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"/>
    </mc:Choice>
  </mc:AlternateContent>
  <xr:revisionPtr revIDLastSave="0" documentId="13_ncr:1_{C6132144-D93B-7B44-84AE-F5AB3A46624F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SECI O&amp;M Dashboard" sheetId="16" r:id="rId1"/>
    <sheet name="DRDO Kolar Dashboard" sheetId="10" r:id="rId2"/>
    <sheet name="DRDO Kolar Data" sheetId="11" r:id="rId3"/>
    <sheet name="Agatti Dashboard" sheetId="14" r:id="rId4"/>
    <sheet name="Kaveratti 1.4 MW Solar+BESS DB" sheetId="12" r:id="rId5"/>
    <sheet name="Agatti Data" sheetId="15" r:id="rId6"/>
    <sheet name="Kaveratti Data" sheetId="13" r:id="rId7"/>
    <sheet name="BADI SID Dashboard" sheetId="3" r:id="rId8"/>
    <sheet name="BADI SID DATA" sheetId="1" r:id="rId9"/>
    <sheet name="Rajnandgaon Dashboard" sheetId="5" r:id="rId10"/>
    <sheet name="Rajnandgaon Data" sheetId="6" r:id="rId11"/>
  </sheets>
  <definedNames>
    <definedName name="_xlnm._FilterDatabase" localSheetId="5" hidden="1">'Agatti Data'!$A$1:$H$1319</definedName>
    <definedName name="_xlnm._FilterDatabase" localSheetId="8" hidden="1">'BADI SID DATA'!$A$1:$H$2193</definedName>
    <definedName name="_xlnm._FilterDatabase" localSheetId="2" hidden="1">'DRDO Kolar Data'!$A$1:$H$1404</definedName>
    <definedName name="_xlnm._FilterDatabase" localSheetId="6" hidden="1">'Kaveratti Data'!$A$1:$O$1</definedName>
    <definedName name="_xlnm._FilterDatabase" localSheetId="10" hidden="1">'Rajnandgaon Data'!$A$1:$O$1</definedName>
    <definedName name="_xlnm._FilterDatabase" localSheetId="0" hidden="1">'SECI O&amp;M Dashboard'!$A$6:$A$11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MyjcnC2MxTPTH4BGJGI2jMdprcKLu2X7p/lb9wts3kY="/>
    </ext>
  </extLst>
</workbook>
</file>

<file path=xl/calcChain.xml><?xml version="1.0" encoding="utf-8"?>
<calcChain xmlns="http://schemas.openxmlformats.org/spreadsheetml/2006/main">
  <c r="E3" i="16" l="1"/>
  <c r="Q11" i="16" l="1"/>
  <c r="O526" i="6"/>
  <c r="O527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M527" i="6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618" i="6" s="1"/>
  <c r="M619" i="6" s="1"/>
  <c r="L527" i="6"/>
  <c r="L528" i="6" s="1"/>
  <c r="L529" i="6" s="1"/>
  <c r="L530" i="6" s="1"/>
  <c r="L531" i="6" s="1"/>
  <c r="L532" i="6" s="1"/>
  <c r="L533" i="6" s="1"/>
  <c r="L534" i="6" s="1"/>
  <c r="L535" i="6" s="1"/>
  <c r="L536" i="6" s="1"/>
  <c r="L537" i="6" s="1"/>
  <c r="L538" i="6" s="1"/>
  <c r="L539" i="6" s="1"/>
  <c r="L540" i="6" s="1"/>
  <c r="L541" i="6" s="1"/>
  <c r="L542" i="6" s="1"/>
  <c r="L543" i="6" s="1"/>
  <c r="L544" i="6" s="1"/>
  <c r="L545" i="6" s="1"/>
  <c r="L546" i="6" s="1"/>
  <c r="L547" i="6" s="1"/>
  <c r="L548" i="6" s="1"/>
  <c r="L549" i="6" s="1"/>
  <c r="L550" i="6" s="1"/>
  <c r="L551" i="6" s="1"/>
  <c r="L552" i="6" s="1"/>
  <c r="L553" i="6" s="1"/>
  <c r="L554" i="6" s="1"/>
  <c r="L555" i="6" s="1"/>
  <c r="L556" i="6" s="1"/>
  <c r="L557" i="6" s="1"/>
  <c r="L558" i="6" s="1"/>
  <c r="L559" i="6" s="1"/>
  <c r="L560" i="6" s="1"/>
  <c r="L561" i="6" s="1"/>
  <c r="L562" i="6" s="1"/>
  <c r="L563" i="6" s="1"/>
  <c r="L564" i="6" s="1"/>
  <c r="L565" i="6" s="1"/>
  <c r="L566" i="6" s="1"/>
  <c r="L567" i="6" s="1"/>
  <c r="L568" i="6" s="1"/>
  <c r="L569" i="6" s="1"/>
  <c r="L570" i="6" s="1"/>
  <c r="L571" i="6" s="1"/>
  <c r="L572" i="6" s="1"/>
  <c r="L573" i="6" s="1"/>
  <c r="L574" i="6" s="1"/>
  <c r="L575" i="6" s="1"/>
  <c r="L576" i="6" s="1"/>
  <c r="L577" i="6" s="1"/>
  <c r="L578" i="6" s="1"/>
  <c r="L579" i="6" s="1"/>
  <c r="L580" i="6" s="1"/>
  <c r="L581" i="6" s="1"/>
  <c r="L582" i="6" s="1"/>
  <c r="L583" i="6" s="1"/>
  <c r="L584" i="6" s="1"/>
  <c r="L585" i="6" s="1"/>
  <c r="L586" i="6" s="1"/>
  <c r="L587" i="6" s="1"/>
  <c r="L588" i="6" s="1"/>
  <c r="L589" i="6" s="1"/>
  <c r="L590" i="6" s="1"/>
  <c r="L591" i="6" s="1"/>
  <c r="L592" i="6" s="1"/>
  <c r="L593" i="6" s="1"/>
  <c r="L594" i="6" s="1"/>
  <c r="L595" i="6" s="1"/>
  <c r="L596" i="6" s="1"/>
  <c r="L597" i="6" s="1"/>
  <c r="L598" i="6" s="1"/>
  <c r="L599" i="6" s="1"/>
  <c r="L600" i="6" s="1"/>
  <c r="L601" i="6" s="1"/>
  <c r="L602" i="6" s="1"/>
  <c r="L603" i="6" s="1"/>
  <c r="L604" i="6" s="1"/>
  <c r="L605" i="6" s="1"/>
  <c r="L606" i="6" s="1"/>
  <c r="L607" i="6" s="1"/>
  <c r="L608" i="6" s="1"/>
  <c r="L609" i="6" s="1"/>
  <c r="L610" i="6" s="1"/>
  <c r="L611" i="6" s="1"/>
  <c r="L612" i="6" s="1"/>
  <c r="L613" i="6" s="1"/>
  <c r="L614" i="6" s="1"/>
  <c r="L615" i="6" s="1"/>
  <c r="L616" i="6" s="1"/>
  <c r="L617" i="6" s="1"/>
  <c r="L618" i="6" s="1"/>
  <c r="L619" i="6" s="1"/>
  <c r="K527" i="6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614" i="6" s="1"/>
  <c r="K615" i="6" s="1"/>
  <c r="K616" i="6" s="1"/>
  <c r="K617" i="6" s="1"/>
  <c r="K618" i="6" s="1"/>
  <c r="K619" i="6" s="1"/>
  <c r="O619" i="6" s="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H1196" i="11"/>
  <c r="H1197" i="11" s="1"/>
  <c r="H1198" i="11" s="1"/>
  <c r="H1199" i="11" s="1"/>
  <c r="H1200" i="11" s="1"/>
  <c r="H1201" i="11" s="1"/>
  <c r="H1202" i="11" s="1"/>
  <c r="H1203" i="11" s="1"/>
  <c r="H1204" i="11" s="1"/>
  <c r="H1205" i="11" s="1"/>
  <c r="H1206" i="11" s="1"/>
  <c r="H1207" i="11" s="1"/>
  <c r="H1208" i="11" s="1"/>
  <c r="H1209" i="11" s="1"/>
  <c r="H1210" i="11" s="1"/>
  <c r="H1211" i="11" s="1"/>
  <c r="H1212" i="11" s="1"/>
  <c r="H1213" i="11" s="1"/>
  <c r="H1214" i="11" s="1"/>
  <c r="H1215" i="11" s="1"/>
  <c r="H1216" i="11" s="1"/>
  <c r="H1217" i="11" s="1"/>
  <c r="H1218" i="11" s="1"/>
  <c r="H1219" i="11" s="1"/>
  <c r="H1220" i="11" s="1"/>
  <c r="H1221" i="11" s="1"/>
  <c r="H1222" i="11" s="1"/>
  <c r="H1223" i="11" s="1"/>
  <c r="H1224" i="11" s="1"/>
  <c r="H1225" i="11" s="1"/>
  <c r="H1226" i="11" s="1"/>
  <c r="H1227" i="11" s="1"/>
  <c r="H1228" i="11" s="1"/>
  <c r="H1229" i="11" s="1"/>
  <c r="H1230" i="11" s="1"/>
  <c r="H1231" i="11" s="1"/>
  <c r="H1232" i="11" s="1"/>
  <c r="H1233" i="11" s="1"/>
  <c r="H1234" i="11" s="1"/>
  <c r="H1235" i="11" s="1"/>
  <c r="H1236" i="11" s="1"/>
  <c r="H1237" i="11" s="1"/>
  <c r="H1238" i="11" s="1"/>
  <c r="H1239" i="11" s="1"/>
  <c r="H1240" i="11" s="1"/>
  <c r="H1241" i="11" s="1"/>
  <c r="H1242" i="11" s="1"/>
  <c r="H1243" i="11" s="1"/>
  <c r="H1244" i="11" s="1"/>
  <c r="H1245" i="11" s="1"/>
  <c r="H1246" i="11" s="1"/>
  <c r="H1247" i="11" s="1"/>
  <c r="H1248" i="11" s="1"/>
  <c r="H1249" i="11" s="1"/>
  <c r="H1250" i="11" s="1"/>
  <c r="H1251" i="11" s="1"/>
  <c r="H1252" i="11" s="1"/>
  <c r="H1253" i="11" s="1"/>
  <c r="H1254" i="11" s="1"/>
  <c r="H1255" i="11" s="1"/>
  <c r="H1256" i="11" s="1"/>
  <c r="H1257" i="11" s="1"/>
  <c r="H1258" i="11" s="1"/>
  <c r="H1259" i="11" s="1"/>
  <c r="H1260" i="11" s="1"/>
  <c r="H1261" i="11" s="1"/>
  <c r="H1262" i="11" s="1"/>
  <c r="H1263" i="11" s="1"/>
  <c r="H1264" i="11" s="1"/>
  <c r="H1265" i="11" s="1"/>
  <c r="H1266" i="11" s="1"/>
  <c r="H1267" i="11" s="1"/>
  <c r="H1268" i="11" s="1"/>
  <c r="H1269" i="11" s="1"/>
  <c r="H1270" i="11" s="1"/>
  <c r="H1271" i="11" s="1"/>
  <c r="H1272" i="11" s="1"/>
  <c r="H1273" i="11" s="1"/>
  <c r="H1274" i="11" s="1"/>
  <c r="H1275" i="11" s="1"/>
  <c r="H1276" i="11" s="1"/>
  <c r="H1277" i="11" s="1"/>
  <c r="H1278" i="11" s="1"/>
  <c r="H1279" i="11" s="1"/>
  <c r="H1280" i="11" s="1"/>
  <c r="H1281" i="11" s="1"/>
  <c r="H1282" i="11" s="1"/>
  <c r="H1283" i="11" s="1"/>
  <c r="H1284" i="11" s="1"/>
  <c r="H1285" i="11" s="1"/>
  <c r="H1286" i="11" s="1"/>
  <c r="H1287" i="11" s="1"/>
  <c r="H1288" i="11" s="1"/>
  <c r="H1289" i="11" s="1"/>
  <c r="H1290" i="11" s="1"/>
  <c r="H1291" i="11" s="1"/>
  <c r="H1292" i="11" s="1"/>
  <c r="H1293" i="11" s="1"/>
  <c r="H1294" i="11" s="1"/>
  <c r="H1295" i="11" s="1"/>
  <c r="H1296" i="11" s="1"/>
  <c r="H1297" i="11" s="1"/>
  <c r="H1298" i="11" s="1"/>
  <c r="H1299" i="11" s="1"/>
  <c r="H1300" i="11" s="1"/>
  <c r="H1301" i="11" s="1"/>
  <c r="H1302" i="11" s="1"/>
  <c r="H1303" i="11" s="1"/>
  <c r="H1304" i="11" s="1"/>
  <c r="H1305" i="11" s="1"/>
  <c r="H1306" i="11" s="1"/>
  <c r="H1307" i="11" s="1"/>
  <c r="H1308" i="11" s="1"/>
  <c r="H1309" i="11" s="1"/>
  <c r="H1310" i="11" s="1"/>
  <c r="H1311" i="11" s="1"/>
  <c r="H1312" i="11" s="1"/>
  <c r="H1313" i="11" s="1"/>
  <c r="H1314" i="11" s="1"/>
  <c r="H1315" i="11" s="1"/>
  <c r="H1316" i="11" s="1"/>
  <c r="H1317" i="11" s="1"/>
  <c r="H1318" i="11" s="1"/>
  <c r="H1319" i="11" s="1"/>
  <c r="H1320" i="11" s="1"/>
  <c r="H1321" i="11" s="1"/>
  <c r="H1322" i="11" s="1"/>
  <c r="H1323" i="11" s="1"/>
  <c r="H1324" i="11" s="1"/>
  <c r="H1325" i="11" s="1"/>
  <c r="H1326" i="11" s="1"/>
  <c r="H1327" i="11" s="1"/>
  <c r="H1328" i="11" s="1"/>
  <c r="H1329" i="11" s="1"/>
  <c r="H1330" i="11" s="1"/>
  <c r="H1331" i="11" s="1"/>
  <c r="H1332" i="11" s="1"/>
  <c r="H1333" i="11" s="1"/>
  <c r="H1334" i="11" s="1"/>
  <c r="H1335" i="11" s="1"/>
  <c r="H1336" i="11" s="1"/>
  <c r="H1337" i="11" s="1"/>
  <c r="H1338" i="11" s="1"/>
  <c r="H1339" i="11" s="1"/>
  <c r="H1340" i="11" s="1"/>
  <c r="H1341" i="11" s="1"/>
  <c r="H1342" i="11" s="1"/>
  <c r="H1343" i="11" s="1"/>
  <c r="H1344" i="11" s="1"/>
  <c r="H1345" i="11" s="1"/>
  <c r="H1346" i="11" s="1"/>
  <c r="H1347" i="11" s="1"/>
  <c r="H1348" i="11" s="1"/>
  <c r="H1349" i="11" s="1"/>
  <c r="H1350" i="11" s="1"/>
  <c r="H1351" i="11" s="1"/>
  <c r="H1352" i="11" s="1"/>
  <c r="H1353" i="11" s="1"/>
  <c r="H1354" i="11" s="1"/>
  <c r="H1355" i="11" s="1"/>
  <c r="H1356" i="11" s="1"/>
  <c r="H1357" i="11" s="1"/>
  <c r="H1358" i="11" s="1"/>
  <c r="H1359" i="11" s="1"/>
  <c r="H1360" i="11" s="1"/>
  <c r="H1361" i="11" s="1"/>
  <c r="H1362" i="11" s="1"/>
  <c r="H1363" i="11" s="1"/>
  <c r="H1364" i="11" s="1"/>
  <c r="H1365" i="11" s="1"/>
  <c r="H1366" i="11" s="1"/>
  <c r="H1367" i="11" s="1"/>
  <c r="H1368" i="11" s="1"/>
  <c r="H1369" i="11" s="1"/>
  <c r="H1370" i="11" s="1"/>
  <c r="H1371" i="11" s="1"/>
  <c r="H1372" i="11" s="1"/>
  <c r="H1373" i="11" s="1"/>
  <c r="H1374" i="11" s="1"/>
  <c r="H1375" i="11" s="1"/>
  <c r="H1376" i="11" s="1"/>
  <c r="H1377" i="11" s="1"/>
  <c r="H1378" i="11" s="1"/>
  <c r="H1379" i="11" s="1"/>
  <c r="H1380" i="11" s="1"/>
  <c r="H1381" i="11" s="1"/>
  <c r="H1382" i="11" s="1"/>
  <c r="H1383" i="11" s="1"/>
  <c r="H1384" i="11" s="1"/>
  <c r="H1385" i="11" s="1"/>
  <c r="H1386" i="11" s="1"/>
  <c r="H1387" i="11" s="1"/>
  <c r="H1388" i="11" s="1"/>
  <c r="H1389" i="11" s="1"/>
  <c r="H1390" i="11" s="1"/>
  <c r="H1391" i="11" s="1"/>
  <c r="H1392" i="11" s="1"/>
  <c r="H1393" i="11" s="1"/>
  <c r="H1394" i="11" s="1"/>
  <c r="H1395" i="11" s="1"/>
  <c r="H1396" i="11" s="1"/>
  <c r="H1397" i="11" s="1"/>
  <c r="H1398" i="11" s="1"/>
  <c r="H1399" i="11" s="1"/>
  <c r="H1400" i="11" s="1"/>
  <c r="H1401" i="11" s="1"/>
  <c r="H1402" i="11" s="1"/>
  <c r="H1403" i="11" s="1"/>
  <c r="H1404" i="11" s="1"/>
  <c r="H1405" i="11" s="1"/>
  <c r="H1406" i="11" s="1"/>
  <c r="H1407" i="11" s="1"/>
  <c r="H1408" i="11" s="1"/>
  <c r="H1409" i="11" s="1"/>
  <c r="H1410" i="11" s="1"/>
  <c r="H1411" i="11" s="1"/>
  <c r="H1412" i="11" s="1"/>
  <c r="H1413" i="11" s="1"/>
  <c r="H1414" i="11" s="1"/>
  <c r="H1415" i="11" s="1"/>
  <c r="H1416" i="11" s="1"/>
  <c r="H1417" i="11" s="1"/>
  <c r="H1418" i="11" s="1"/>
  <c r="H1419" i="11" s="1"/>
  <c r="H1420" i="11" s="1"/>
  <c r="H1421" i="11" s="1"/>
  <c r="H1422" i="11" s="1"/>
  <c r="H1423" i="11" s="1"/>
  <c r="H1424" i="11" s="1"/>
  <c r="H1425" i="11" s="1"/>
  <c r="H1426" i="11" s="1"/>
  <c r="H1427" i="11" s="1"/>
  <c r="H1428" i="11" s="1"/>
  <c r="H1429" i="11" s="1"/>
  <c r="H1430" i="11" s="1"/>
  <c r="H1431" i="11" s="1"/>
  <c r="H1432" i="11" s="1"/>
  <c r="H1433" i="11" s="1"/>
  <c r="H1434" i="11" s="1"/>
  <c r="H1435" i="11" s="1"/>
  <c r="H1436" i="11" s="1"/>
  <c r="H1437" i="11" s="1"/>
  <c r="H1438" i="11" s="1"/>
  <c r="H1439" i="11" s="1"/>
  <c r="H1440" i="11" s="1"/>
  <c r="H1441" i="11" s="1"/>
  <c r="H1442" i="11" s="1"/>
  <c r="H1443" i="11" s="1"/>
  <c r="H1444" i="11" s="1"/>
  <c r="H1445" i="11" s="1"/>
  <c r="H1446" i="11" s="1"/>
  <c r="H1447" i="11" s="1"/>
  <c r="H1448" i="11" s="1"/>
  <c r="H1449" i="11" s="1"/>
  <c r="H1450" i="11" s="1"/>
  <c r="H1451" i="11" s="1"/>
  <c r="H1452" i="11" s="1"/>
  <c r="H1453" i="11" s="1"/>
  <c r="H1454" i="11" s="1"/>
  <c r="H1455" i="11" s="1"/>
  <c r="H1456" i="11" s="1"/>
  <c r="H1457" i="11" s="1"/>
  <c r="H1458" i="11" s="1"/>
  <c r="H1459" i="11" s="1"/>
  <c r="H1460" i="11" s="1"/>
  <c r="H1461" i="11" s="1"/>
  <c r="H1462" i="11" s="1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K774" i="13"/>
  <c r="K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J491" i="6"/>
  <c r="O541" i="6" l="1"/>
  <c r="O589" i="6"/>
  <c r="O565" i="6"/>
  <c r="O540" i="6"/>
  <c r="O600" i="6"/>
  <c r="O591" i="6"/>
  <c r="O570" i="6"/>
  <c r="O549" i="6"/>
  <c r="O590" i="6"/>
  <c r="O569" i="6"/>
  <c r="O615" i="6"/>
  <c r="O585" i="6"/>
  <c r="O564" i="6"/>
  <c r="O539" i="6"/>
  <c r="O605" i="6"/>
  <c r="O582" i="6"/>
  <c r="O555" i="6"/>
  <c r="O534" i="6"/>
  <c r="O604" i="6"/>
  <c r="O581" i="6"/>
  <c r="O554" i="6"/>
  <c r="O532" i="6"/>
  <c r="O602" i="6"/>
  <c r="O574" i="6"/>
  <c r="O552" i="6"/>
  <c r="O531" i="6"/>
  <c r="O571" i="6"/>
  <c r="O609" i="6"/>
  <c r="O584" i="6"/>
  <c r="O559" i="6"/>
  <c r="O535" i="6"/>
  <c r="O601" i="6"/>
  <c r="O572" i="6"/>
  <c r="O551" i="6"/>
  <c r="O550" i="6"/>
  <c r="O614" i="6"/>
  <c r="O599" i="6"/>
  <c r="O612" i="6"/>
  <c r="O595" i="6"/>
  <c r="O580" i="6"/>
  <c r="O562" i="6"/>
  <c r="O545" i="6"/>
  <c r="O530" i="6"/>
  <c r="O611" i="6"/>
  <c r="O594" i="6"/>
  <c r="O579" i="6"/>
  <c r="O561" i="6"/>
  <c r="O544" i="6"/>
  <c r="O529" i="6"/>
  <c r="O610" i="6"/>
  <c r="O592" i="6"/>
  <c r="O575" i="6"/>
  <c r="O560" i="6"/>
  <c r="O542" i="6"/>
  <c r="O613" i="6"/>
  <c r="O603" i="6"/>
  <c r="O593" i="6"/>
  <c r="O583" i="6"/>
  <c r="O573" i="6"/>
  <c r="O563" i="6"/>
  <c r="O553" i="6"/>
  <c r="O543" i="6"/>
  <c r="O533" i="6"/>
  <c r="O618" i="6"/>
  <c r="O608" i="6"/>
  <c r="O598" i="6"/>
  <c r="O588" i="6"/>
  <c r="O578" i="6"/>
  <c r="O568" i="6"/>
  <c r="O558" i="6"/>
  <c r="O548" i="6"/>
  <c r="O538" i="6"/>
  <c r="O528" i="6"/>
  <c r="O617" i="6"/>
  <c r="O607" i="6"/>
  <c r="O597" i="6"/>
  <c r="O587" i="6"/>
  <c r="O577" i="6"/>
  <c r="O567" i="6"/>
  <c r="O557" i="6"/>
  <c r="O547" i="6"/>
  <c r="O537" i="6"/>
  <c r="O616" i="6"/>
  <c r="O606" i="6"/>
  <c r="O596" i="6"/>
  <c r="O586" i="6"/>
  <c r="O576" i="6"/>
  <c r="O566" i="6"/>
  <c r="O556" i="6"/>
  <c r="O546" i="6"/>
  <c r="O536" i="6"/>
  <c r="C1" i="5"/>
  <c r="C1" i="3"/>
  <c r="C1" i="12"/>
  <c r="C1" i="14"/>
  <c r="C1" i="10"/>
  <c r="K775" i="13"/>
  <c r="K776" i="13" s="1"/>
  <c r="K777" i="13" s="1"/>
  <c r="K778" i="13" s="1"/>
  <c r="K779" i="13" s="1"/>
  <c r="K780" i="13" s="1"/>
  <c r="K781" i="13" s="1"/>
  <c r="K782" i="13" s="1"/>
  <c r="K783" i="13" s="1"/>
  <c r="K784" i="13" s="1"/>
  <c r="K785" i="13" s="1"/>
  <c r="K786" i="13" s="1"/>
  <c r="K787" i="13" s="1"/>
  <c r="K788" i="13" s="1"/>
  <c r="K789" i="13" s="1"/>
  <c r="K790" i="13" s="1"/>
  <c r="K791" i="13" s="1"/>
  <c r="K792" i="13" s="1"/>
  <c r="K793" i="13" s="1"/>
  <c r="K794" i="13" s="1"/>
  <c r="K795" i="13" s="1"/>
  <c r="K796" i="13" s="1"/>
  <c r="K797" i="13" s="1"/>
  <c r="K798" i="13" s="1"/>
  <c r="K799" i="13" s="1"/>
  <c r="K800" i="13" s="1"/>
  <c r="K801" i="13" s="1"/>
  <c r="K802" i="13" s="1"/>
  <c r="K803" i="13" s="1"/>
  <c r="K804" i="13" s="1"/>
  <c r="K805" i="13" s="1"/>
  <c r="K806" i="13" s="1"/>
  <c r="K807" i="13" s="1"/>
  <c r="K808" i="13" s="1"/>
  <c r="K809" i="13" s="1"/>
  <c r="K810" i="13" s="1"/>
  <c r="K811" i="13" s="1"/>
  <c r="K812" i="13" s="1"/>
  <c r="K813" i="13" s="1"/>
  <c r="K814" i="13" s="1"/>
  <c r="K815" i="13" s="1"/>
  <c r="K816" i="13" s="1"/>
  <c r="K817" i="13" s="1"/>
  <c r="K818" i="13" s="1"/>
  <c r="K819" i="13" s="1"/>
  <c r="K820" i="13" s="1"/>
  <c r="K821" i="13" s="1"/>
  <c r="K822" i="13" s="1"/>
  <c r="K823" i="13" s="1"/>
  <c r="K824" i="13" s="1"/>
  <c r="K825" i="13" s="1"/>
  <c r="K826" i="13" s="1"/>
  <c r="K827" i="13" s="1"/>
  <c r="K828" i="13" s="1"/>
  <c r="K829" i="13" s="1"/>
  <c r="K830" i="13" s="1"/>
  <c r="K831" i="13" s="1"/>
  <c r="K832" i="13" s="1"/>
  <c r="K833" i="13" s="1"/>
  <c r="K834" i="13" s="1"/>
  <c r="K835" i="13" s="1"/>
  <c r="K836" i="13" s="1"/>
  <c r="K837" i="13" s="1"/>
  <c r="K838" i="13" s="1"/>
  <c r="K839" i="13" s="1"/>
  <c r="K840" i="13" s="1"/>
  <c r="K841" i="13" s="1"/>
  <c r="K842" i="13" s="1"/>
  <c r="K843" i="13" s="1"/>
  <c r="K844" i="13" s="1"/>
  <c r="K845" i="13" s="1"/>
  <c r="K846" i="13" s="1"/>
  <c r="K847" i="13" s="1"/>
  <c r="K848" i="13" s="1"/>
  <c r="K849" i="13" s="1"/>
  <c r="K850" i="13" s="1"/>
  <c r="K851" i="13" s="1"/>
  <c r="K852" i="13" s="1"/>
  <c r="K853" i="13" s="1"/>
  <c r="K854" i="13" s="1"/>
  <c r="K855" i="13" s="1"/>
  <c r="K856" i="13" s="1"/>
  <c r="K857" i="13" s="1"/>
  <c r="K858" i="13" s="1"/>
  <c r="K859" i="13" s="1"/>
  <c r="K860" i="13" s="1"/>
  <c r="K861" i="13" s="1"/>
  <c r="K862" i="13" s="1"/>
  <c r="K863" i="13" s="1"/>
  <c r="K864" i="13" s="1"/>
  <c r="K865" i="13" s="1"/>
  <c r="K866" i="13" s="1"/>
  <c r="K867" i="13" s="1"/>
  <c r="K868" i="13" s="1"/>
  <c r="K869" i="13" s="1"/>
  <c r="K870" i="13" s="1"/>
  <c r="K871" i="13" s="1"/>
  <c r="K872" i="13" s="1"/>
  <c r="K873" i="13" s="1"/>
  <c r="K874" i="13" s="1"/>
  <c r="K875" i="13" s="1"/>
  <c r="K876" i="13" s="1"/>
  <c r="K877" i="13" s="1"/>
  <c r="K878" i="13" s="1"/>
  <c r="K879" i="13" s="1"/>
  <c r="K880" i="13" s="1"/>
  <c r="K881" i="13" s="1"/>
  <c r="K882" i="13" s="1"/>
  <c r="K883" i="13" s="1"/>
  <c r="K884" i="13" s="1"/>
  <c r="K885" i="13" s="1"/>
  <c r="K886" i="13" s="1"/>
  <c r="K887" i="13" s="1"/>
  <c r="K888" i="13" s="1"/>
  <c r="K889" i="13" s="1"/>
  <c r="K890" i="13" s="1"/>
  <c r="K891" i="13" s="1"/>
  <c r="K892" i="13" s="1"/>
  <c r="K893" i="13" s="1"/>
  <c r="K894" i="13" s="1"/>
  <c r="K895" i="13" s="1"/>
  <c r="K896" i="13" s="1"/>
  <c r="K897" i="13" s="1"/>
  <c r="K898" i="13" s="1"/>
  <c r="K899" i="13" s="1"/>
  <c r="K900" i="13" s="1"/>
  <c r="K901" i="13" s="1"/>
  <c r="K902" i="13" s="1"/>
  <c r="K903" i="13" s="1"/>
  <c r="K904" i="13" s="1"/>
  <c r="K905" i="13" s="1"/>
  <c r="K906" i="13" s="1"/>
  <c r="K907" i="13" s="1"/>
  <c r="K908" i="13" s="1"/>
  <c r="K909" i="13" s="1"/>
  <c r="K910" i="13" s="1"/>
  <c r="K911" i="13" s="1"/>
  <c r="K912" i="13" s="1"/>
  <c r="K913" i="13" s="1"/>
  <c r="K914" i="13" s="1"/>
  <c r="K915" i="13" s="1"/>
  <c r="K916" i="13" s="1"/>
  <c r="K917" i="13" s="1"/>
  <c r="K918" i="13" s="1"/>
  <c r="K919" i="13" s="1"/>
  <c r="K920" i="13" s="1"/>
  <c r="K921" i="13" s="1"/>
  <c r="K922" i="13" s="1"/>
  <c r="K923" i="13" s="1"/>
  <c r="K924" i="13" s="1"/>
  <c r="K925" i="13" s="1"/>
  <c r="K926" i="13" s="1"/>
  <c r="K927" i="13" s="1"/>
  <c r="K928" i="13" s="1"/>
  <c r="K929" i="13" s="1"/>
  <c r="K930" i="13" s="1"/>
  <c r="K931" i="13" s="1"/>
  <c r="K932" i="13" s="1"/>
  <c r="K933" i="13" s="1"/>
  <c r="K934" i="13" s="1"/>
  <c r="K935" i="13" s="1"/>
  <c r="K936" i="13" s="1"/>
  <c r="K937" i="13" s="1"/>
  <c r="K938" i="13" s="1"/>
  <c r="K939" i="13" s="1"/>
  <c r="K940" i="13" s="1"/>
  <c r="K941" i="13" s="1"/>
  <c r="K942" i="13" s="1"/>
  <c r="K943" i="13" s="1"/>
  <c r="K944" i="13" s="1"/>
  <c r="K945" i="13" s="1"/>
  <c r="K946" i="13" s="1"/>
  <c r="K947" i="13" s="1"/>
  <c r="K948" i="13" s="1"/>
  <c r="K949" i="13" s="1"/>
  <c r="K950" i="13" s="1"/>
  <c r="K951" i="13" s="1"/>
  <c r="K952" i="13" s="1"/>
  <c r="K953" i="13" s="1"/>
  <c r="K954" i="13" s="1"/>
  <c r="K955" i="13" s="1"/>
  <c r="K956" i="13" s="1"/>
  <c r="K957" i="13" s="1"/>
  <c r="K958" i="13" s="1"/>
  <c r="K959" i="13" s="1"/>
  <c r="K960" i="13" s="1"/>
  <c r="K961" i="13" s="1"/>
  <c r="K962" i="13" s="1"/>
  <c r="K963" i="13" s="1"/>
  <c r="K964" i="13" s="1"/>
  <c r="K965" i="13" s="1"/>
  <c r="K966" i="13" s="1"/>
  <c r="K967" i="13" s="1"/>
  <c r="K968" i="13" s="1"/>
  <c r="K969" i="13" s="1"/>
  <c r="K970" i="13" s="1"/>
  <c r="K971" i="13" s="1"/>
  <c r="K972" i="13" s="1"/>
  <c r="K973" i="13" s="1"/>
  <c r="K974" i="13" s="1"/>
  <c r="K975" i="13" s="1"/>
  <c r="K976" i="13" s="1"/>
  <c r="K977" i="13" s="1"/>
  <c r="K978" i="13" s="1"/>
  <c r="K979" i="13" s="1"/>
  <c r="K980" i="13" s="1"/>
  <c r="K981" i="13" s="1"/>
  <c r="K982" i="13" s="1"/>
  <c r="K983" i="13" s="1"/>
  <c r="K984" i="13" s="1"/>
  <c r="K985" i="13" s="1"/>
  <c r="K986" i="13" s="1"/>
  <c r="K987" i="13" s="1"/>
  <c r="K988" i="13" s="1"/>
  <c r="K989" i="13" s="1"/>
  <c r="K990" i="13" s="1"/>
  <c r="K991" i="13" s="1"/>
  <c r="K992" i="13" s="1"/>
  <c r="K993" i="13" s="1"/>
  <c r="K994" i="13" s="1"/>
  <c r="K995" i="13" s="1"/>
  <c r="K996" i="13" s="1"/>
  <c r="K997" i="13" s="1"/>
  <c r="K998" i="13" s="1"/>
  <c r="K999" i="13" s="1"/>
  <c r="K1000" i="13" s="1"/>
  <c r="K1001" i="13" s="1"/>
  <c r="K1002" i="13" s="1"/>
  <c r="K1003" i="13" s="1"/>
  <c r="K1004" i="13" s="1"/>
  <c r="K1005" i="13" s="1"/>
  <c r="K1006" i="13" s="1"/>
  <c r="K1007" i="13" s="1"/>
  <c r="K1008" i="13" s="1"/>
  <c r="K1009" i="13" s="1"/>
  <c r="K1010" i="13" s="1"/>
  <c r="K1011" i="13" s="1"/>
  <c r="K1012" i="13" s="1"/>
  <c r="K1013" i="13" s="1"/>
  <c r="K1014" i="13" s="1"/>
  <c r="K1015" i="13" s="1"/>
  <c r="K1016" i="13" s="1"/>
  <c r="K1017" i="13" s="1"/>
  <c r="K1018" i="13" s="1"/>
  <c r="K1019" i="13" s="1"/>
  <c r="K1020" i="13" s="1"/>
  <c r="K1021" i="13" s="1"/>
  <c r="K1022" i="13" s="1"/>
  <c r="K1023" i="13" s="1"/>
  <c r="K1024" i="13" s="1"/>
  <c r="K1025" i="13" s="1"/>
  <c r="K1026" i="13" s="1"/>
  <c r="K1027" i="13" s="1"/>
  <c r="K1028" i="13" s="1"/>
  <c r="K1029" i="13" s="1"/>
  <c r="K1030" i="13" s="1"/>
  <c r="K1031" i="13" s="1"/>
  <c r="K1032" i="13" s="1"/>
  <c r="K1033" i="13" s="1"/>
  <c r="K1034" i="13" s="1"/>
  <c r="K1035" i="13" s="1"/>
  <c r="K1036" i="13" s="1"/>
  <c r="K1037" i="13" s="1"/>
  <c r="K1038" i="13" s="1"/>
  <c r="K1039" i="13" s="1"/>
  <c r="K1040" i="13" s="1"/>
  <c r="K1041" i="13" s="1"/>
  <c r="Q10" i="16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Q9" i="16" l="1"/>
  <c r="Q8" i="16"/>
  <c r="Q7" i="16"/>
  <c r="L758" i="13"/>
  <c r="M556" i="13"/>
  <c r="M557" i="13" s="1"/>
  <c r="M558" i="13" s="1"/>
  <c r="M559" i="13" s="1"/>
  <c r="M560" i="13" s="1"/>
  <c r="M561" i="13" s="1"/>
  <c r="M562" i="13" s="1"/>
  <c r="M563" i="13" s="1"/>
  <c r="M564" i="13" s="1"/>
  <c r="M565" i="13" s="1"/>
  <c r="M566" i="13" s="1"/>
  <c r="M567" i="13" s="1"/>
  <c r="M568" i="13" s="1"/>
  <c r="M569" i="13" s="1"/>
  <c r="M570" i="13" s="1"/>
  <c r="M571" i="13" s="1"/>
  <c r="M572" i="13" s="1"/>
  <c r="M573" i="13" s="1"/>
  <c r="M574" i="13" s="1"/>
  <c r="M575" i="13" s="1"/>
  <c r="M576" i="13" s="1"/>
  <c r="M577" i="13" s="1"/>
  <c r="M578" i="13" s="1"/>
  <c r="M579" i="13" s="1"/>
  <c r="M580" i="13" s="1"/>
  <c r="M581" i="13" s="1"/>
  <c r="M582" i="13" s="1"/>
  <c r="M583" i="13" s="1"/>
  <c r="M584" i="13" s="1"/>
  <c r="M585" i="13" s="1"/>
  <c r="M586" i="13" s="1"/>
  <c r="M587" i="13" s="1"/>
  <c r="M588" i="13" s="1"/>
  <c r="M589" i="13" s="1"/>
  <c r="M590" i="13" s="1"/>
  <c r="M591" i="13" s="1"/>
  <c r="M592" i="13" s="1"/>
  <c r="M593" i="13" s="1"/>
  <c r="M594" i="13" s="1"/>
  <c r="M595" i="13" s="1"/>
  <c r="M596" i="13" s="1"/>
  <c r="M597" i="13" s="1"/>
  <c r="M598" i="13" s="1"/>
  <c r="M599" i="13" s="1"/>
  <c r="M600" i="13" s="1"/>
  <c r="M601" i="13" s="1"/>
  <c r="M602" i="13" s="1"/>
  <c r="M603" i="13" s="1"/>
  <c r="M604" i="13" s="1"/>
  <c r="M605" i="13" s="1"/>
  <c r="M606" i="13" s="1"/>
  <c r="M607" i="13" s="1"/>
  <c r="M608" i="13" s="1"/>
  <c r="M609" i="13" s="1"/>
  <c r="M610" i="13" s="1"/>
  <c r="M611" i="13" s="1"/>
  <c r="M612" i="13" s="1"/>
  <c r="M613" i="13" s="1"/>
  <c r="M614" i="13" s="1"/>
  <c r="M615" i="13" s="1"/>
  <c r="M616" i="13" s="1"/>
  <c r="M617" i="13" s="1"/>
  <c r="M618" i="13" s="1"/>
  <c r="M619" i="13" s="1"/>
  <c r="M620" i="13" s="1"/>
  <c r="M621" i="13" s="1"/>
  <c r="M622" i="13" s="1"/>
  <c r="M623" i="13" s="1"/>
  <c r="M624" i="13" s="1"/>
  <c r="M625" i="13" s="1"/>
  <c r="M626" i="13" s="1"/>
  <c r="M627" i="13" s="1"/>
  <c r="M628" i="13" s="1"/>
  <c r="M629" i="13" s="1"/>
  <c r="M630" i="13" s="1"/>
  <c r="M631" i="13" s="1"/>
  <c r="M632" i="13" s="1"/>
  <c r="M633" i="13" s="1"/>
  <c r="M634" i="13" s="1"/>
  <c r="M635" i="13" s="1"/>
  <c r="M636" i="13" s="1"/>
  <c r="M637" i="13" s="1"/>
  <c r="M638" i="13" s="1"/>
  <c r="M639" i="13" s="1"/>
  <c r="M640" i="13" s="1"/>
  <c r="M641" i="13" s="1"/>
  <c r="M642" i="13" s="1"/>
  <c r="M643" i="13" s="1"/>
  <c r="M644" i="13" s="1"/>
  <c r="M645" i="13" s="1"/>
  <c r="M646" i="13" s="1"/>
  <c r="M647" i="13" s="1"/>
  <c r="M648" i="13" s="1"/>
  <c r="M649" i="13" s="1"/>
  <c r="M650" i="13" s="1"/>
  <c r="M651" i="13" s="1"/>
  <c r="M652" i="13" s="1"/>
  <c r="M653" i="13" s="1"/>
  <c r="M654" i="13" s="1"/>
  <c r="M655" i="13" s="1"/>
  <c r="M656" i="13" s="1"/>
  <c r="M657" i="13" s="1"/>
  <c r="M658" i="13" s="1"/>
  <c r="M659" i="13" s="1"/>
  <c r="M660" i="13" s="1"/>
  <c r="M661" i="13" s="1"/>
  <c r="M662" i="13" s="1"/>
  <c r="M663" i="13" s="1"/>
  <c r="M664" i="13" s="1"/>
  <c r="M665" i="13" s="1"/>
  <c r="M666" i="13" s="1"/>
  <c r="M667" i="13" s="1"/>
  <c r="M668" i="13" s="1"/>
  <c r="M669" i="13" s="1"/>
  <c r="M670" i="13" s="1"/>
  <c r="M671" i="13" s="1"/>
  <c r="M672" i="13" s="1"/>
  <c r="M673" i="13" s="1"/>
  <c r="M674" i="13" s="1"/>
  <c r="M675" i="13" s="1"/>
  <c r="M676" i="13" s="1"/>
  <c r="M677" i="13" s="1"/>
  <c r="M678" i="13" s="1"/>
  <c r="M679" i="13" s="1"/>
  <c r="M680" i="13" s="1"/>
  <c r="M681" i="13" s="1"/>
  <c r="M682" i="13" s="1"/>
  <c r="M683" i="13" s="1"/>
  <c r="M684" i="13" s="1"/>
  <c r="M685" i="13" s="1"/>
  <c r="M686" i="13" s="1"/>
  <c r="M687" i="13" s="1"/>
  <c r="M688" i="13" s="1"/>
  <c r="M689" i="13" s="1"/>
  <c r="M690" i="13" s="1"/>
  <c r="M691" i="13" s="1"/>
  <c r="M692" i="13" s="1"/>
  <c r="M693" i="13" s="1"/>
  <c r="M694" i="13" s="1"/>
  <c r="M695" i="13" s="1"/>
  <c r="M696" i="13" s="1"/>
  <c r="M697" i="13" s="1"/>
  <c r="M698" i="13" s="1"/>
  <c r="M699" i="13" s="1"/>
  <c r="M700" i="13" s="1"/>
  <c r="M701" i="13" s="1"/>
  <c r="M702" i="13" s="1"/>
  <c r="M703" i="13" s="1"/>
  <c r="M704" i="13" s="1"/>
  <c r="M705" i="13" s="1"/>
  <c r="M706" i="13" s="1"/>
  <c r="M707" i="13" s="1"/>
  <c r="M708" i="13" s="1"/>
  <c r="M709" i="13" s="1"/>
  <c r="M710" i="13" s="1"/>
  <c r="M711" i="13" s="1"/>
  <c r="M712" i="13" s="1"/>
  <c r="M713" i="13" s="1"/>
  <c r="M714" i="13" s="1"/>
  <c r="M715" i="13" s="1"/>
  <c r="M716" i="13" s="1"/>
  <c r="M717" i="13" s="1"/>
  <c r="M718" i="13" s="1"/>
  <c r="M719" i="13" s="1"/>
  <c r="M720" i="13" s="1"/>
  <c r="M721" i="13" s="1"/>
  <c r="M722" i="13" s="1"/>
  <c r="M723" i="13" s="1"/>
  <c r="M724" i="13" s="1"/>
  <c r="M725" i="13" s="1"/>
  <c r="M726" i="13" s="1"/>
  <c r="M727" i="13" s="1"/>
  <c r="M728" i="13" s="1"/>
  <c r="M729" i="13" s="1"/>
  <c r="M730" i="13" s="1"/>
  <c r="M731" i="13" s="1"/>
  <c r="M732" i="13" s="1"/>
  <c r="M733" i="13" s="1"/>
  <c r="M734" i="13" s="1"/>
  <c r="M735" i="13" s="1"/>
  <c r="M736" i="13" s="1"/>
  <c r="M737" i="13" s="1"/>
  <c r="M738" i="13" s="1"/>
  <c r="M739" i="13" s="1"/>
  <c r="M740" i="13" s="1"/>
  <c r="M741" i="13" s="1"/>
  <c r="M742" i="13" s="1"/>
  <c r="M743" i="13" s="1"/>
  <c r="M744" i="13" s="1"/>
  <c r="M745" i="13" s="1"/>
  <c r="M746" i="13" s="1"/>
  <c r="M747" i="13" s="1"/>
  <c r="M748" i="13" s="1"/>
  <c r="M749" i="13" s="1"/>
  <c r="M750" i="13" s="1"/>
  <c r="M751" i="13" s="1"/>
  <c r="M752" i="13" s="1"/>
  <c r="M753" i="13" s="1"/>
  <c r="M754" i="13" s="1"/>
  <c r="M755" i="13" s="1"/>
  <c r="M756" i="13" s="1"/>
  <c r="M757" i="13" s="1"/>
  <c r="M758" i="13" s="1"/>
  <c r="M759" i="13" s="1"/>
  <c r="M760" i="13" s="1"/>
  <c r="M761" i="13" s="1"/>
  <c r="M762" i="13" s="1"/>
  <c r="M763" i="13" s="1"/>
  <c r="M764" i="13" s="1"/>
  <c r="M765" i="13" s="1"/>
  <c r="M766" i="13" s="1"/>
  <c r="M767" i="13" s="1"/>
  <c r="M768" i="13" s="1"/>
  <c r="M769" i="13" s="1"/>
  <c r="M770" i="13" s="1"/>
  <c r="M771" i="13" s="1"/>
  <c r="M772" i="13" s="1"/>
  <c r="M773" i="13" s="1"/>
  <c r="M774" i="13" s="1"/>
  <c r="M775" i="13" s="1"/>
  <c r="M776" i="13" s="1"/>
  <c r="M777" i="13" s="1"/>
  <c r="M778" i="13" s="1"/>
  <c r="M779" i="13" s="1"/>
  <c r="M780" i="13" s="1"/>
  <c r="M781" i="13" s="1"/>
  <c r="M782" i="13" s="1"/>
  <c r="M783" i="13" s="1"/>
  <c r="M784" i="13" s="1"/>
  <c r="M785" i="13" s="1"/>
  <c r="M786" i="13" s="1"/>
  <c r="M787" i="13" s="1"/>
  <c r="M788" i="13" s="1"/>
  <c r="M789" i="13" s="1"/>
  <c r="M790" i="13" s="1"/>
  <c r="M791" i="13" s="1"/>
  <c r="M792" i="13" s="1"/>
  <c r="M793" i="13" s="1"/>
  <c r="M794" i="13" s="1"/>
  <c r="M795" i="13" s="1"/>
  <c r="M796" i="13" s="1"/>
  <c r="M797" i="13" s="1"/>
  <c r="M798" i="13" s="1"/>
  <c r="M799" i="13" s="1"/>
  <c r="M800" i="13" s="1"/>
  <c r="M801" i="13" s="1"/>
  <c r="M802" i="13" s="1"/>
  <c r="M803" i="13" s="1"/>
  <c r="M804" i="13" s="1"/>
  <c r="M805" i="13" s="1"/>
  <c r="M806" i="13" s="1"/>
  <c r="M807" i="13" s="1"/>
  <c r="M808" i="13" s="1"/>
  <c r="M809" i="13" s="1"/>
  <c r="M810" i="13" s="1"/>
  <c r="M811" i="13" s="1"/>
  <c r="M812" i="13" s="1"/>
  <c r="M813" i="13" s="1"/>
  <c r="M814" i="13" s="1"/>
  <c r="M815" i="13" s="1"/>
  <c r="M816" i="13" s="1"/>
  <c r="M817" i="13" s="1"/>
  <c r="M818" i="13" s="1"/>
  <c r="M819" i="13" s="1"/>
  <c r="M820" i="13" s="1"/>
  <c r="M821" i="13" s="1"/>
  <c r="M822" i="13" s="1"/>
  <c r="M823" i="13" s="1"/>
  <c r="M824" i="13" s="1"/>
  <c r="M825" i="13" s="1"/>
  <c r="M826" i="13" s="1"/>
  <c r="M827" i="13" s="1"/>
  <c r="M828" i="13" s="1"/>
  <c r="M829" i="13" s="1"/>
  <c r="M830" i="13" s="1"/>
  <c r="M831" i="13" s="1"/>
  <c r="M832" i="13" s="1"/>
  <c r="M833" i="13" s="1"/>
  <c r="M834" i="13" s="1"/>
  <c r="M835" i="13" s="1"/>
  <c r="M836" i="13" s="1"/>
  <c r="M837" i="13" s="1"/>
  <c r="M838" i="13" s="1"/>
  <c r="M839" i="13" s="1"/>
  <c r="M840" i="13" s="1"/>
  <c r="M841" i="13" s="1"/>
  <c r="M842" i="13" s="1"/>
  <c r="M843" i="13" s="1"/>
  <c r="M844" i="13" s="1"/>
  <c r="M845" i="13" s="1"/>
  <c r="M846" i="13" s="1"/>
  <c r="M847" i="13" s="1"/>
  <c r="M848" i="13" s="1"/>
  <c r="M849" i="13" s="1"/>
  <c r="M850" i="13" s="1"/>
  <c r="M851" i="13" s="1"/>
  <c r="M852" i="13" s="1"/>
  <c r="M853" i="13" s="1"/>
  <c r="M854" i="13" s="1"/>
  <c r="M855" i="13" s="1"/>
  <c r="M856" i="13" s="1"/>
  <c r="M857" i="13" s="1"/>
  <c r="M858" i="13" s="1"/>
  <c r="M859" i="13" s="1"/>
  <c r="M860" i="13" s="1"/>
  <c r="M861" i="13" s="1"/>
  <c r="M862" i="13" s="1"/>
  <c r="M863" i="13" s="1"/>
  <c r="M864" i="13" s="1"/>
  <c r="M865" i="13" s="1"/>
  <c r="M866" i="13" s="1"/>
  <c r="M867" i="13" s="1"/>
  <c r="M868" i="13" s="1"/>
  <c r="M869" i="13" s="1"/>
  <c r="M870" i="13" s="1"/>
  <c r="M871" i="13" s="1"/>
  <c r="M872" i="13" s="1"/>
  <c r="M873" i="13" s="1"/>
  <c r="M874" i="13" s="1"/>
  <c r="M875" i="13" s="1"/>
  <c r="M876" i="13" s="1"/>
  <c r="M877" i="13" s="1"/>
  <c r="M878" i="13" s="1"/>
  <c r="M879" i="13" s="1"/>
  <c r="M880" i="13" s="1"/>
  <c r="M881" i="13" s="1"/>
  <c r="M882" i="13" s="1"/>
  <c r="M883" i="13" s="1"/>
  <c r="M884" i="13" s="1"/>
  <c r="M885" i="13" s="1"/>
  <c r="M886" i="13" s="1"/>
  <c r="M887" i="13" s="1"/>
  <c r="M888" i="13" s="1"/>
  <c r="M889" i="13" s="1"/>
  <c r="M890" i="13" s="1"/>
  <c r="M891" i="13" s="1"/>
  <c r="M892" i="13" s="1"/>
  <c r="M893" i="13" s="1"/>
  <c r="M894" i="13" s="1"/>
  <c r="M895" i="13" s="1"/>
  <c r="M896" i="13" s="1"/>
  <c r="M897" i="13" s="1"/>
  <c r="M898" i="13" s="1"/>
  <c r="M899" i="13" s="1"/>
  <c r="M900" i="13" s="1"/>
  <c r="M901" i="13" s="1"/>
  <c r="M902" i="13" s="1"/>
  <c r="M903" i="13" s="1"/>
  <c r="M904" i="13" s="1"/>
  <c r="M905" i="13" s="1"/>
  <c r="M906" i="13" s="1"/>
  <c r="M907" i="13" s="1"/>
  <c r="M908" i="13" s="1"/>
  <c r="M909" i="13" s="1"/>
  <c r="M910" i="13" s="1"/>
  <c r="M911" i="13" s="1"/>
  <c r="M912" i="13" s="1"/>
  <c r="M913" i="13" s="1"/>
  <c r="M914" i="13" s="1"/>
  <c r="M915" i="13" s="1"/>
  <c r="M916" i="13" s="1"/>
  <c r="M917" i="13" s="1"/>
  <c r="M918" i="13" s="1"/>
  <c r="M919" i="13" s="1"/>
  <c r="M920" i="13" s="1"/>
  <c r="M921" i="13" s="1"/>
  <c r="M922" i="13" s="1"/>
  <c r="M923" i="13" s="1"/>
  <c r="M924" i="13" s="1"/>
  <c r="M925" i="13" s="1"/>
  <c r="M926" i="13" s="1"/>
  <c r="M927" i="13" s="1"/>
  <c r="M928" i="13" s="1"/>
  <c r="M929" i="13" s="1"/>
  <c r="M930" i="13" s="1"/>
  <c r="M931" i="13" s="1"/>
  <c r="M932" i="13" s="1"/>
  <c r="M933" i="13" s="1"/>
  <c r="M934" i="13" s="1"/>
  <c r="M935" i="13" s="1"/>
  <c r="M936" i="13" s="1"/>
  <c r="M937" i="13" s="1"/>
  <c r="M938" i="13" s="1"/>
  <c r="M939" i="13" s="1"/>
  <c r="M940" i="13" s="1"/>
  <c r="M941" i="13" s="1"/>
  <c r="M942" i="13" s="1"/>
  <c r="M943" i="13" s="1"/>
  <c r="M944" i="13" s="1"/>
  <c r="M945" i="13" s="1"/>
  <c r="M946" i="13" s="1"/>
  <c r="M947" i="13" s="1"/>
  <c r="M948" i="13" s="1"/>
  <c r="M949" i="13" s="1"/>
  <c r="M950" i="13" s="1"/>
  <c r="M951" i="13" s="1"/>
  <c r="M952" i="13" s="1"/>
  <c r="M953" i="13" s="1"/>
  <c r="M954" i="13" s="1"/>
  <c r="M955" i="13" s="1"/>
  <c r="M956" i="13" s="1"/>
  <c r="M957" i="13" s="1"/>
  <c r="M958" i="13" s="1"/>
  <c r="M959" i="13" s="1"/>
  <c r="M960" i="13" s="1"/>
  <c r="M961" i="13" s="1"/>
  <c r="M962" i="13" s="1"/>
  <c r="M963" i="13" s="1"/>
  <c r="M964" i="13" s="1"/>
  <c r="M965" i="13" s="1"/>
  <c r="M966" i="13" s="1"/>
  <c r="M967" i="13" s="1"/>
  <c r="M968" i="13" s="1"/>
  <c r="M969" i="13" s="1"/>
  <c r="M970" i="13" s="1"/>
  <c r="M971" i="13" s="1"/>
  <c r="M972" i="13" s="1"/>
  <c r="M973" i="13" s="1"/>
  <c r="M974" i="13" s="1"/>
  <c r="M975" i="13" s="1"/>
  <c r="M976" i="13" s="1"/>
  <c r="M977" i="13" s="1"/>
  <c r="M978" i="13" s="1"/>
  <c r="M979" i="13" s="1"/>
  <c r="M980" i="13" s="1"/>
  <c r="M981" i="13" s="1"/>
  <c r="M982" i="13" s="1"/>
  <c r="M983" i="13" s="1"/>
  <c r="M984" i="13" s="1"/>
  <c r="M985" i="13" s="1"/>
  <c r="M986" i="13" s="1"/>
  <c r="M987" i="13" s="1"/>
  <c r="M988" i="13" s="1"/>
  <c r="M989" i="13" s="1"/>
  <c r="M990" i="13" s="1"/>
  <c r="M991" i="13" s="1"/>
  <c r="M992" i="13" s="1"/>
  <c r="M993" i="13" s="1"/>
  <c r="M994" i="13" s="1"/>
  <c r="M995" i="13" s="1"/>
  <c r="M996" i="13" s="1"/>
  <c r="M997" i="13" s="1"/>
  <c r="M998" i="13" s="1"/>
  <c r="M999" i="13" s="1"/>
  <c r="M1000" i="13" s="1"/>
  <c r="M1001" i="13" s="1"/>
  <c r="M1002" i="13" s="1"/>
  <c r="M1003" i="13" s="1"/>
  <c r="M1004" i="13" s="1"/>
  <c r="M1005" i="13" s="1"/>
  <c r="M1006" i="13" s="1"/>
  <c r="M1007" i="13" s="1"/>
  <c r="M1008" i="13" s="1"/>
  <c r="M1009" i="13" s="1"/>
  <c r="M1010" i="13" s="1"/>
  <c r="M1011" i="13" s="1"/>
  <c r="M1012" i="13" s="1"/>
  <c r="M1013" i="13" s="1"/>
  <c r="M1014" i="13" s="1"/>
  <c r="M1015" i="13" s="1"/>
  <c r="M1016" i="13" s="1"/>
  <c r="M1017" i="13" s="1"/>
  <c r="M1018" i="13" s="1"/>
  <c r="M1019" i="13" s="1"/>
  <c r="M1020" i="13" s="1"/>
  <c r="M1021" i="13" s="1"/>
  <c r="M1022" i="13" s="1"/>
  <c r="M1023" i="13" s="1"/>
  <c r="M1024" i="13" s="1"/>
  <c r="M1025" i="13" s="1"/>
  <c r="M1026" i="13" s="1"/>
  <c r="M1027" i="13" s="1"/>
  <c r="M1028" i="13" s="1"/>
  <c r="M1029" i="13" s="1"/>
  <c r="M1030" i="13" s="1"/>
  <c r="M1031" i="13" s="1"/>
  <c r="M1032" i="13" s="1"/>
  <c r="M1033" i="13" s="1"/>
  <c r="M1034" i="13" s="1"/>
  <c r="M1035" i="13" s="1"/>
  <c r="M1036" i="13" s="1"/>
  <c r="M1037" i="13" s="1"/>
  <c r="M1038" i="13" s="1"/>
  <c r="M1039" i="13" s="1"/>
  <c r="M1040" i="13" s="1"/>
  <c r="M1041" i="13" s="1"/>
  <c r="M555" i="13"/>
  <c r="L555" i="13"/>
  <c r="L556" i="13" s="1"/>
  <c r="L557" i="13" s="1"/>
  <c r="L558" i="13" s="1"/>
  <c r="L559" i="13" s="1"/>
  <c r="L560" i="13" s="1"/>
  <c r="L561" i="13" s="1"/>
  <c r="L562" i="13" s="1"/>
  <c r="L563" i="13" s="1"/>
  <c r="L564" i="13" s="1"/>
  <c r="L565" i="13" s="1"/>
  <c r="L566" i="13" s="1"/>
  <c r="L567" i="13" s="1"/>
  <c r="L568" i="13" s="1"/>
  <c r="L569" i="13" s="1"/>
  <c r="L570" i="13" s="1"/>
  <c r="L571" i="13" s="1"/>
  <c r="L572" i="13" s="1"/>
  <c r="L573" i="13" s="1"/>
  <c r="L574" i="13" s="1"/>
  <c r="L575" i="13" s="1"/>
  <c r="L576" i="13" s="1"/>
  <c r="L577" i="13" s="1"/>
  <c r="L578" i="13" s="1"/>
  <c r="L579" i="13" s="1"/>
  <c r="L580" i="13" s="1"/>
  <c r="L581" i="13" s="1"/>
  <c r="L582" i="13" s="1"/>
  <c r="L583" i="13" s="1"/>
  <c r="L584" i="13" s="1"/>
  <c r="L585" i="13" s="1"/>
  <c r="L586" i="13" s="1"/>
  <c r="L587" i="13" s="1"/>
  <c r="L588" i="13" s="1"/>
  <c r="L589" i="13" s="1"/>
  <c r="L590" i="13" s="1"/>
  <c r="L591" i="13" s="1"/>
  <c r="L592" i="13" s="1"/>
  <c r="L593" i="13" s="1"/>
  <c r="L594" i="13" s="1"/>
  <c r="L595" i="13" s="1"/>
  <c r="L596" i="13" s="1"/>
  <c r="L597" i="13" s="1"/>
  <c r="L598" i="13" s="1"/>
  <c r="L599" i="13" s="1"/>
  <c r="L600" i="13" s="1"/>
  <c r="L601" i="13" s="1"/>
  <c r="L602" i="13" s="1"/>
  <c r="L603" i="13" s="1"/>
  <c r="L604" i="13" s="1"/>
  <c r="L605" i="13" s="1"/>
  <c r="L606" i="13" s="1"/>
  <c r="L607" i="13" s="1"/>
  <c r="L608" i="13" s="1"/>
  <c r="L609" i="13" s="1"/>
  <c r="L610" i="13" s="1"/>
  <c r="L611" i="13" s="1"/>
  <c r="L612" i="13" s="1"/>
  <c r="L613" i="13" s="1"/>
  <c r="L614" i="13" s="1"/>
  <c r="L615" i="13" s="1"/>
  <c r="L616" i="13" s="1"/>
  <c r="L617" i="13" s="1"/>
  <c r="L618" i="13" s="1"/>
  <c r="L619" i="13" s="1"/>
  <c r="L620" i="13" s="1"/>
  <c r="L621" i="13" s="1"/>
  <c r="L622" i="13" s="1"/>
  <c r="L623" i="13" s="1"/>
  <c r="L624" i="13" s="1"/>
  <c r="L625" i="13" s="1"/>
  <c r="L626" i="13" s="1"/>
  <c r="L627" i="13" s="1"/>
  <c r="L628" i="13" s="1"/>
  <c r="L629" i="13" s="1"/>
  <c r="L630" i="13" s="1"/>
  <c r="L631" i="13" s="1"/>
  <c r="L632" i="13" s="1"/>
  <c r="L633" i="13" s="1"/>
  <c r="L634" i="13" s="1"/>
  <c r="L635" i="13" s="1"/>
  <c r="L636" i="13" s="1"/>
  <c r="L637" i="13" s="1"/>
  <c r="L638" i="13" s="1"/>
  <c r="L639" i="13" s="1"/>
  <c r="L640" i="13" s="1"/>
  <c r="L641" i="13" s="1"/>
  <c r="L642" i="13" s="1"/>
  <c r="L643" i="13" s="1"/>
  <c r="L644" i="13" s="1"/>
  <c r="L645" i="13" s="1"/>
  <c r="L646" i="13" s="1"/>
  <c r="L647" i="13" s="1"/>
  <c r="L648" i="13" s="1"/>
  <c r="L649" i="13" s="1"/>
  <c r="L650" i="13" s="1"/>
  <c r="L651" i="13" s="1"/>
  <c r="L652" i="13" s="1"/>
  <c r="L653" i="13" s="1"/>
  <c r="L654" i="13" s="1"/>
  <c r="L655" i="13" s="1"/>
  <c r="L656" i="13" s="1"/>
  <c r="L657" i="13" s="1"/>
  <c r="L658" i="13" s="1"/>
  <c r="L659" i="13" s="1"/>
  <c r="L660" i="13" s="1"/>
  <c r="L661" i="13" s="1"/>
  <c r="L662" i="13" s="1"/>
  <c r="L663" i="13" s="1"/>
  <c r="L664" i="13" s="1"/>
  <c r="L665" i="13" s="1"/>
  <c r="L666" i="13" s="1"/>
  <c r="L667" i="13" s="1"/>
  <c r="L668" i="13" s="1"/>
  <c r="L669" i="13" s="1"/>
  <c r="L670" i="13" s="1"/>
  <c r="L671" i="13" s="1"/>
  <c r="L672" i="13" s="1"/>
  <c r="L673" i="13" s="1"/>
  <c r="L674" i="13" s="1"/>
  <c r="L675" i="13" s="1"/>
  <c r="L676" i="13" s="1"/>
  <c r="L677" i="13" s="1"/>
  <c r="L678" i="13" s="1"/>
  <c r="L679" i="13" s="1"/>
  <c r="L680" i="13" s="1"/>
  <c r="L681" i="13" s="1"/>
  <c r="L682" i="13" s="1"/>
  <c r="L683" i="13" s="1"/>
  <c r="L684" i="13" s="1"/>
  <c r="L685" i="13" s="1"/>
  <c r="L686" i="13" s="1"/>
  <c r="L687" i="13" s="1"/>
  <c r="L688" i="13" s="1"/>
  <c r="L689" i="13" s="1"/>
  <c r="L690" i="13" s="1"/>
  <c r="L691" i="13" s="1"/>
  <c r="L692" i="13" s="1"/>
  <c r="L693" i="13" s="1"/>
  <c r="L694" i="13" s="1"/>
  <c r="L695" i="13" s="1"/>
  <c r="L696" i="13" s="1"/>
  <c r="L697" i="13" s="1"/>
  <c r="L698" i="13" s="1"/>
  <c r="L699" i="13" s="1"/>
  <c r="L700" i="13" s="1"/>
  <c r="L701" i="13" s="1"/>
  <c r="L702" i="13" s="1"/>
  <c r="L703" i="13" s="1"/>
  <c r="L704" i="13" s="1"/>
  <c r="L705" i="13" s="1"/>
  <c r="L706" i="13" s="1"/>
  <c r="L707" i="13" s="1"/>
  <c r="L708" i="13" s="1"/>
  <c r="L709" i="13" s="1"/>
  <c r="L710" i="13" s="1"/>
  <c r="L711" i="13" s="1"/>
  <c r="L712" i="13" s="1"/>
  <c r="L713" i="13" s="1"/>
  <c r="L714" i="13" s="1"/>
  <c r="L715" i="13" s="1"/>
  <c r="L716" i="13" s="1"/>
  <c r="L717" i="13" s="1"/>
  <c r="L718" i="13" s="1"/>
  <c r="L719" i="13" s="1"/>
  <c r="L720" i="13" s="1"/>
  <c r="L721" i="13" s="1"/>
  <c r="L722" i="13" s="1"/>
  <c r="L723" i="13" s="1"/>
  <c r="L724" i="13" s="1"/>
  <c r="L725" i="13" s="1"/>
  <c r="L726" i="13" s="1"/>
  <c r="L727" i="13" s="1"/>
  <c r="L728" i="13" s="1"/>
  <c r="L729" i="13" s="1"/>
  <c r="L730" i="13" s="1"/>
  <c r="L731" i="13" s="1"/>
  <c r="L732" i="13" s="1"/>
  <c r="L733" i="13" s="1"/>
  <c r="L734" i="13" s="1"/>
  <c r="L735" i="13" s="1"/>
  <c r="L736" i="13" s="1"/>
  <c r="L737" i="13" s="1"/>
  <c r="L738" i="13" s="1"/>
  <c r="L739" i="13" s="1"/>
  <c r="L740" i="13" s="1"/>
  <c r="L741" i="13" s="1"/>
  <c r="L742" i="13" s="1"/>
  <c r="L743" i="13" s="1"/>
  <c r="L744" i="13" s="1"/>
  <c r="L745" i="13" s="1"/>
  <c r="L746" i="13" s="1"/>
  <c r="L747" i="13" s="1"/>
  <c r="L748" i="13" s="1"/>
  <c r="L749" i="13" s="1"/>
  <c r="L750" i="13" s="1"/>
  <c r="L751" i="13" s="1"/>
  <c r="L752" i="13" s="1"/>
  <c r="L753" i="13" s="1"/>
  <c r="L754" i="13" s="1"/>
  <c r="L755" i="13" s="1"/>
  <c r="L756" i="13" s="1"/>
  <c r="L757" i="13" s="1"/>
  <c r="L759" i="13" s="1"/>
  <c r="L760" i="13" s="1"/>
  <c r="L761" i="13" s="1"/>
  <c r="L762" i="13" s="1"/>
  <c r="L763" i="13" s="1"/>
  <c r="L764" i="13" s="1"/>
  <c r="L765" i="13" s="1"/>
  <c r="L766" i="13" s="1"/>
  <c r="L767" i="13" s="1"/>
  <c r="L768" i="13" s="1"/>
  <c r="L769" i="13" s="1"/>
  <c r="L770" i="13" s="1"/>
  <c r="L771" i="13" s="1"/>
  <c r="L772" i="13" s="1"/>
  <c r="L773" i="13" s="1"/>
  <c r="L774" i="13" s="1"/>
  <c r="L775" i="13" s="1"/>
  <c r="L776" i="13" s="1"/>
  <c r="L777" i="13" s="1"/>
  <c r="L778" i="13" s="1"/>
  <c r="L779" i="13" s="1"/>
  <c r="L780" i="13" s="1"/>
  <c r="L781" i="13" s="1"/>
  <c r="L782" i="13" s="1"/>
  <c r="L783" i="13" s="1"/>
  <c r="L784" i="13" s="1"/>
  <c r="L785" i="13" s="1"/>
  <c r="L786" i="13" s="1"/>
  <c r="L787" i="13" s="1"/>
  <c r="L788" i="13" s="1"/>
  <c r="L789" i="13" s="1"/>
  <c r="L790" i="13" s="1"/>
  <c r="L791" i="13" s="1"/>
  <c r="L792" i="13" s="1"/>
  <c r="L793" i="13" s="1"/>
  <c r="L794" i="13" s="1"/>
  <c r="L795" i="13" s="1"/>
  <c r="L796" i="13" s="1"/>
  <c r="L797" i="13" s="1"/>
  <c r="L798" i="13" s="1"/>
  <c r="L799" i="13" s="1"/>
  <c r="L800" i="13" s="1"/>
  <c r="L801" i="13" s="1"/>
  <c r="L802" i="13" s="1"/>
  <c r="L803" i="13" s="1"/>
  <c r="L804" i="13" s="1"/>
  <c r="L805" i="13" s="1"/>
  <c r="L806" i="13" s="1"/>
  <c r="L807" i="13" s="1"/>
  <c r="L808" i="13" s="1"/>
  <c r="L809" i="13" s="1"/>
  <c r="L810" i="13" s="1"/>
  <c r="L811" i="13" s="1"/>
  <c r="L812" i="13" s="1"/>
  <c r="L813" i="13" s="1"/>
  <c r="L814" i="13" s="1"/>
  <c r="L815" i="13" s="1"/>
  <c r="L816" i="13" s="1"/>
  <c r="L817" i="13" s="1"/>
  <c r="L818" i="13" s="1"/>
  <c r="L819" i="13" s="1"/>
  <c r="L820" i="13" s="1"/>
  <c r="L821" i="13" s="1"/>
  <c r="L822" i="13" s="1"/>
  <c r="L823" i="13" s="1"/>
  <c r="L824" i="13" s="1"/>
  <c r="L825" i="13" s="1"/>
  <c r="L826" i="13" s="1"/>
  <c r="L827" i="13" s="1"/>
  <c r="L828" i="13" s="1"/>
  <c r="L829" i="13" s="1"/>
  <c r="L830" i="13" s="1"/>
  <c r="L831" i="13" s="1"/>
  <c r="L832" i="13" s="1"/>
  <c r="L833" i="13" s="1"/>
  <c r="L834" i="13" s="1"/>
  <c r="L835" i="13" s="1"/>
  <c r="L836" i="13" s="1"/>
  <c r="L837" i="13" s="1"/>
  <c r="L838" i="13" s="1"/>
  <c r="L839" i="13" s="1"/>
  <c r="L840" i="13" s="1"/>
  <c r="L841" i="13" s="1"/>
  <c r="L842" i="13" s="1"/>
  <c r="L843" i="13" s="1"/>
  <c r="L844" i="13" s="1"/>
  <c r="L845" i="13" s="1"/>
  <c r="L846" i="13" s="1"/>
  <c r="L847" i="13" s="1"/>
  <c r="L848" i="13" s="1"/>
  <c r="L849" i="13" s="1"/>
  <c r="L850" i="13" s="1"/>
  <c r="L851" i="13" s="1"/>
  <c r="L852" i="13" s="1"/>
  <c r="L853" i="13" s="1"/>
  <c r="L854" i="13" s="1"/>
  <c r="L855" i="13" s="1"/>
  <c r="L856" i="13" s="1"/>
  <c r="L857" i="13" s="1"/>
  <c r="L858" i="13" s="1"/>
  <c r="L859" i="13" s="1"/>
  <c r="L860" i="13" s="1"/>
  <c r="L861" i="13" s="1"/>
  <c r="L862" i="13" s="1"/>
  <c r="L863" i="13" s="1"/>
  <c r="L864" i="13" s="1"/>
  <c r="L865" i="13" s="1"/>
  <c r="L866" i="13" s="1"/>
  <c r="L867" i="13" s="1"/>
  <c r="L868" i="13" s="1"/>
  <c r="L869" i="13" s="1"/>
  <c r="L870" i="13" s="1"/>
  <c r="L871" i="13" s="1"/>
  <c r="L872" i="13" s="1"/>
  <c r="L873" i="13" s="1"/>
  <c r="L874" i="13" s="1"/>
  <c r="L875" i="13" s="1"/>
  <c r="L876" i="13" s="1"/>
  <c r="L877" i="13" s="1"/>
  <c r="L878" i="13" s="1"/>
  <c r="L879" i="13" s="1"/>
  <c r="L880" i="13" s="1"/>
  <c r="L881" i="13" s="1"/>
  <c r="L882" i="13" s="1"/>
  <c r="L883" i="13" s="1"/>
  <c r="L884" i="13" s="1"/>
  <c r="L885" i="13" s="1"/>
  <c r="L886" i="13" s="1"/>
  <c r="L887" i="13" s="1"/>
  <c r="L888" i="13" s="1"/>
  <c r="L889" i="13" s="1"/>
  <c r="L890" i="13" s="1"/>
  <c r="L891" i="13" s="1"/>
  <c r="L892" i="13" s="1"/>
  <c r="L893" i="13" s="1"/>
  <c r="L894" i="13" s="1"/>
  <c r="L895" i="13" s="1"/>
  <c r="L896" i="13" s="1"/>
  <c r="L897" i="13" s="1"/>
  <c r="L898" i="13" s="1"/>
  <c r="L899" i="13" s="1"/>
  <c r="L900" i="13" s="1"/>
  <c r="L901" i="13" s="1"/>
  <c r="L902" i="13" s="1"/>
  <c r="L903" i="13" s="1"/>
  <c r="L904" i="13" s="1"/>
  <c r="L905" i="13" s="1"/>
  <c r="L906" i="13" s="1"/>
  <c r="L907" i="13" s="1"/>
  <c r="L908" i="13" s="1"/>
  <c r="L909" i="13" s="1"/>
  <c r="L910" i="13" s="1"/>
  <c r="L911" i="13" s="1"/>
  <c r="L912" i="13" s="1"/>
  <c r="L913" i="13" s="1"/>
  <c r="L914" i="13" s="1"/>
  <c r="L915" i="13" s="1"/>
  <c r="L916" i="13" s="1"/>
  <c r="L917" i="13" s="1"/>
  <c r="L918" i="13" s="1"/>
  <c r="L919" i="13" s="1"/>
  <c r="L920" i="13" s="1"/>
  <c r="L921" i="13" s="1"/>
  <c r="L922" i="13" s="1"/>
  <c r="L923" i="13" s="1"/>
  <c r="L924" i="13" s="1"/>
  <c r="L925" i="13" s="1"/>
  <c r="L926" i="13" s="1"/>
  <c r="L927" i="13" s="1"/>
  <c r="L928" i="13" s="1"/>
  <c r="L929" i="13" s="1"/>
  <c r="L930" i="13" s="1"/>
  <c r="L931" i="13" s="1"/>
  <c r="L932" i="13" s="1"/>
  <c r="L933" i="13" s="1"/>
  <c r="L934" i="13" s="1"/>
  <c r="L935" i="13" s="1"/>
  <c r="L936" i="13" s="1"/>
  <c r="L937" i="13" s="1"/>
  <c r="L938" i="13" s="1"/>
  <c r="L939" i="13" s="1"/>
  <c r="L940" i="13" s="1"/>
  <c r="L941" i="13" s="1"/>
  <c r="L942" i="13" s="1"/>
  <c r="L943" i="13" s="1"/>
  <c r="L944" i="13" s="1"/>
  <c r="L945" i="13" s="1"/>
  <c r="L946" i="13" s="1"/>
  <c r="L947" i="13" s="1"/>
  <c r="L948" i="13" s="1"/>
  <c r="L949" i="13" s="1"/>
  <c r="L950" i="13" s="1"/>
  <c r="L951" i="13" s="1"/>
  <c r="L952" i="13" s="1"/>
  <c r="L953" i="13" s="1"/>
  <c r="L954" i="13" s="1"/>
  <c r="L955" i="13" s="1"/>
  <c r="L956" i="13" s="1"/>
  <c r="L957" i="13" s="1"/>
  <c r="L958" i="13" s="1"/>
  <c r="L959" i="13" s="1"/>
  <c r="L960" i="13" s="1"/>
  <c r="L961" i="13" s="1"/>
  <c r="L962" i="13" s="1"/>
  <c r="L963" i="13" s="1"/>
  <c r="L964" i="13" s="1"/>
  <c r="L965" i="13" s="1"/>
  <c r="L966" i="13" s="1"/>
  <c r="L967" i="13" s="1"/>
  <c r="L968" i="13" s="1"/>
  <c r="L969" i="13" s="1"/>
  <c r="L970" i="13" s="1"/>
  <c r="L971" i="13" s="1"/>
  <c r="L972" i="13" s="1"/>
  <c r="L973" i="13" s="1"/>
  <c r="L974" i="13" s="1"/>
  <c r="L975" i="13" s="1"/>
  <c r="L976" i="13" s="1"/>
  <c r="L977" i="13" s="1"/>
  <c r="L978" i="13" s="1"/>
  <c r="L979" i="13" s="1"/>
  <c r="L980" i="13" s="1"/>
  <c r="L981" i="13" s="1"/>
  <c r="L982" i="13" s="1"/>
  <c r="L983" i="13" s="1"/>
  <c r="L984" i="13" s="1"/>
  <c r="L985" i="13" s="1"/>
  <c r="L986" i="13" s="1"/>
  <c r="L987" i="13" s="1"/>
  <c r="L988" i="13" s="1"/>
  <c r="L989" i="13" s="1"/>
  <c r="L990" i="13" s="1"/>
  <c r="L991" i="13" s="1"/>
  <c r="L992" i="13" s="1"/>
  <c r="L993" i="13" s="1"/>
  <c r="L994" i="13" s="1"/>
  <c r="L995" i="13" s="1"/>
  <c r="L996" i="13" s="1"/>
  <c r="L997" i="13" s="1"/>
  <c r="L998" i="13" s="1"/>
  <c r="L999" i="13" s="1"/>
  <c r="L1000" i="13" s="1"/>
  <c r="L1001" i="13" s="1"/>
  <c r="L1002" i="13" s="1"/>
  <c r="L1003" i="13" s="1"/>
  <c r="L1004" i="13" s="1"/>
  <c r="L1005" i="13" s="1"/>
  <c r="L1006" i="13" s="1"/>
  <c r="L1007" i="13" s="1"/>
  <c r="L1008" i="13" s="1"/>
  <c r="L1009" i="13" s="1"/>
  <c r="L1010" i="13" s="1"/>
  <c r="L1011" i="13" s="1"/>
  <c r="L1012" i="13" s="1"/>
  <c r="L1013" i="13" s="1"/>
  <c r="L1014" i="13" s="1"/>
  <c r="L1015" i="13" s="1"/>
  <c r="L1016" i="13" s="1"/>
  <c r="L1017" i="13" s="1"/>
  <c r="L1018" i="13" s="1"/>
  <c r="L1019" i="13" s="1"/>
  <c r="L1020" i="13" s="1"/>
  <c r="L1021" i="13" s="1"/>
  <c r="L1022" i="13" s="1"/>
  <c r="L1023" i="13" s="1"/>
  <c r="L1024" i="13" s="1"/>
  <c r="L1025" i="13" s="1"/>
  <c r="L1026" i="13" s="1"/>
  <c r="L1027" i="13" s="1"/>
  <c r="L1028" i="13" s="1"/>
  <c r="L1029" i="13" s="1"/>
  <c r="L1030" i="13" s="1"/>
  <c r="L1031" i="13" s="1"/>
  <c r="L1032" i="13" s="1"/>
  <c r="L1033" i="13" s="1"/>
  <c r="L1034" i="13" s="1"/>
  <c r="L1035" i="13" s="1"/>
  <c r="L1036" i="13" s="1"/>
  <c r="L1037" i="13" s="1"/>
  <c r="L1038" i="13" s="1"/>
  <c r="L1039" i="13" s="1"/>
  <c r="L1040" i="13" s="1"/>
  <c r="L1041" i="13" s="1"/>
  <c r="K555" i="13"/>
  <c r="M276" i="6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309" i="6" s="1"/>
  <c r="M310" i="6" s="1"/>
  <c r="M311" i="6" s="1"/>
  <c r="M312" i="6" s="1"/>
  <c r="M313" i="6" s="1"/>
  <c r="M314" i="6" s="1"/>
  <c r="M315" i="6" s="1"/>
  <c r="M316" i="6" s="1"/>
  <c r="M317" i="6" s="1"/>
  <c r="M318" i="6" s="1"/>
  <c r="M319" i="6" s="1"/>
  <c r="M320" i="6" s="1"/>
  <c r="M321" i="6" s="1"/>
  <c r="M322" i="6" s="1"/>
  <c r="M323" i="6" s="1"/>
  <c r="M324" i="6" s="1"/>
  <c r="M325" i="6" s="1"/>
  <c r="M326" i="6" s="1"/>
  <c r="M327" i="6" s="1"/>
  <c r="M328" i="6" s="1"/>
  <c r="M329" i="6" s="1"/>
  <c r="M330" i="6" s="1"/>
  <c r="M331" i="6" s="1"/>
  <c r="M332" i="6" s="1"/>
  <c r="M333" i="6" s="1"/>
  <c r="M334" i="6" s="1"/>
  <c r="M335" i="6" s="1"/>
  <c r="M336" i="6" s="1"/>
  <c r="M337" i="6" s="1"/>
  <c r="M338" i="6" s="1"/>
  <c r="M339" i="6" s="1"/>
  <c r="M340" i="6" s="1"/>
  <c r="M341" i="6" s="1"/>
  <c r="M342" i="6" s="1"/>
  <c r="M343" i="6" s="1"/>
  <c r="M344" i="6" s="1"/>
  <c r="M345" i="6" s="1"/>
  <c r="M346" i="6" s="1"/>
  <c r="M347" i="6" s="1"/>
  <c r="M348" i="6" s="1"/>
  <c r="M349" i="6" s="1"/>
  <c r="M350" i="6" s="1"/>
  <c r="M351" i="6" s="1"/>
  <c r="M352" i="6" s="1"/>
  <c r="M353" i="6" s="1"/>
  <c r="M354" i="6" s="1"/>
  <c r="M355" i="6" s="1"/>
  <c r="M356" i="6" s="1"/>
  <c r="M357" i="6" s="1"/>
  <c r="M358" i="6" s="1"/>
  <c r="M359" i="6" s="1"/>
  <c r="M360" i="6" s="1"/>
  <c r="M361" i="6" s="1"/>
  <c r="M362" i="6" s="1"/>
  <c r="M363" i="6" s="1"/>
  <c r="M364" i="6" s="1"/>
  <c r="M365" i="6" s="1"/>
  <c r="M366" i="6" s="1"/>
  <c r="M367" i="6" s="1"/>
  <c r="M368" i="6" s="1"/>
  <c r="M369" i="6" s="1"/>
  <c r="M370" i="6" s="1"/>
  <c r="M371" i="6" s="1"/>
  <c r="M372" i="6" s="1"/>
  <c r="M373" i="6" s="1"/>
  <c r="M374" i="6" s="1"/>
  <c r="M375" i="6" s="1"/>
  <c r="M376" i="6" s="1"/>
  <c r="M377" i="6" s="1"/>
  <c r="M378" i="6" s="1"/>
  <c r="M379" i="6" s="1"/>
  <c r="M380" i="6" s="1"/>
  <c r="M381" i="6" s="1"/>
  <c r="M382" i="6" s="1"/>
  <c r="M383" i="6" s="1"/>
  <c r="M384" i="6" s="1"/>
  <c r="M385" i="6" s="1"/>
  <c r="M386" i="6" s="1"/>
  <c r="M387" i="6" s="1"/>
  <c r="M388" i="6" s="1"/>
  <c r="M389" i="6" s="1"/>
  <c r="M390" i="6" s="1"/>
  <c r="M391" i="6" s="1"/>
  <c r="M392" i="6" s="1"/>
  <c r="M393" i="6" s="1"/>
  <c r="M394" i="6" s="1"/>
  <c r="M395" i="6" s="1"/>
  <c r="M396" i="6" s="1"/>
  <c r="M397" i="6" s="1"/>
  <c r="M398" i="6" s="1"/>
  <c r="M399" i="6" s="1"/>
  <c r="M400" i="6" s="1"/>
  <c r="M401" i="6" s="1"/>
  <c r="M402" i="6" s="1"/>
  <c r="M403" i="6" s="1"/>
  <c r="M404" i="6" s="1"/>
  <c r="M405" i="6" s="1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M460" i="6" s="1"/>
  <c r="M461" i="6" s="1"/>
  <c r="M462" i="6" s="1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L276" i="6"/>
  <c r="K276" i="6"/>
  <c r="N753" i="13"/>
  <c r="N754" i="13"/>
  <c r="N755" i="13"/>
  <c r="N756" i="13"/>
  <c r="N757" i="13"/>
  <c r="N758" i="13"/>
  <c r="N759" i="13"/>
  <c r="N760" i="13"/>
  <c r="B833" i="13"/>
  <c r="B834" i="13"/>
  <c r="B835" i="13"/>
  <c r="B836" i="13"/>
  <c r="B837" i="13"/>
  <c r="B838" i="13"/>
  <c r="B839" i="13"/>
  <c r="B840" i="13"/>
  <c r="B841" i="13"/>
  <c r="B842" i="13"/>
  <c r="B843" i="13"/>
  <c r="B844" i="13"/>
  <c r="B845" i="13"/>
  <c r="B846" i="13"/>
  <c r="B847" i="13"/>
  <c r="B848" i="13"/>
  <c r="B849" i="13"/>
  <c r="B850" i="13"/>
  <c r="B851" i="13"/>
  <c r="B852" i="13"/>
  <c r="B853" i="13"/>
  <c r="B854" i="13"/>
  <c r="B855" i="13"/>
  <c r="B856" i="13"/>
  <c r="B857" i="13"/>
  <c r="B858" i="13"/>
  <c r="B859" i="13"/>
  <c r="B860" i="13"/>
  <c r="B861" i="13"/>
  <c r="B862" i="13"/>
  <c r="B863" i="13"/>
  <c r="B864" i="13"/>
  <c r="B865" i="13"/>
  <c r="B866" i="13"/>
  <c r="B867" i="13"/>
  <c r="B868" i="13"/>
  <c r="B869" i="13"/>
  <c r="B870" i="13"/>
  <c r="B871" i="13"/>
  <c r="B872" i="13"/>
  <c r="B873" i="13"/>
  <c r="B874" i="13"/>
  <c r="B875" i="13"/>
  <c r="B876" i="13"/>
  <c r="B877" i="13"/>
  <c r="B878" i="13"/>
  <c r="B879" i="13"/>
  <c r="B880" i="13"/>
  <c r="B881" i="13"/>
  <c r="B882" i="13"/>
  <c r="B883" i="13"/>
  <c r="B884" i="13"/>
  <c r="B885" i="13"/>
  <c r="B886" i="13"/>
  <c r="B887" i="13"/>
  <c r="B888" i="13"/>
  <c r="B889" i="13"/>
  <c r="B890" i="13"/>
  <c r="B891" i="13"/>
  <c r="B892" i="13"/>
  <c r="B893" i="13"/>
  <c r="B894" i="13"/>
  <c r="B895" i="13"/>
  <c r="B896" i="13"/>
  <c r="B897" i="13"/>
  <c r="B898" i="13"/>
  <c r="B899" i="13"/>
  <c r="B900" i="13"/>
  <c r="B901" i="13"/>
  <c r="B902" i="13"/>
  <c r="B903" i="13"/>
  <c r="B904" i="13"/>
  <c r="B905" i="13"/>
  <c r="B906" i="13"/>
  <c r="B907" i="13"/>
  <c r="B908" i="13"/>
  <c r="B909" i="13"/>
  <c r="B910" i="13"/>
  <c r="B911" i="13"/>
  <c r="B912" i="13"/>
  <c r="B913" i="13"/>
  <c r="B914" i="13"/>
  <c r="B915" i="13"/>
  <c r="B916" i="13"/>
  <c r="B917" i="13"/>
  <c r="B918" i="13"/>
  <c r="B919" i="13"/>
  <c r="B753" i="13"/>
  <c r="B754" i="13"/>
  <c r="B755" i="13"/>
  <c r="B756" i="13"/>
  <c r="B757" i="13"/>
  <c r="B758" i="13"/>
  <c r="B759" i="13"/>
  <c r="B760" i="13"/>
  <c r="B761" i="13"/>
  <c r="B762" i="13"/>
  <c r="B763" i="13"/>
  <c r="B764" i="13"/>
  <c r="B765" i="13"/>
  <c r="B766" i="13"/>
  <c r="B767" i="13"/>
  <c r="B768" i="13"/>
  <c r="B769" i="13"/>
  <c r="B770" i="13"/>
  <c r="B771" i="13"/>
  <c r="B772" i="13"/>
  <c r="B773" i="13"/>
  <c r="B774" i="13"/>
  <c r="B775" i="13"/>
  <c r="B776" i="13"/>
  <c r="B777" i="13"/>
  <c r="B778" i="13"/>
  <c r="B779" i="13"/>
  <c r="B780" i="13"/>
  <c r="B781" i="13"/>
  <c r="B782" i="13"/>
  <c r="B783" i="13"/>
  <c r="B784" i="13"/>
  <c r="B785" i="13"/>
  <c r="B786" i="13"/>
  <c r="B787" i="13"/>
  <c r="B788" i="13"/>
  <c r="B789" i="13"/>
  <c r="B790" i="13"/>
  <c r="B791" i="13"/>
  <c r="B792" i="13"/>
  <c r="B793" i="13"/>
  <c r="B794" i="13"/>
  <c r="B795" i="13"/>
  <c r="B796" i="13"/>
  <c r="B797" i="13"/>
  <c r="B798" i="13"/>
  <c r="B799" i="13"/>
  <c r="B800" i="13"/>
  <c r="B801" i="13"/>
  <c r="B802" i="13"/>
  <c r="B803" i="13"/>
  <c r="B804" i="13"/>
  <c r="B805" i="13"/>
  <c r="B806" i="13"/>
  <c r="B807" i="13"/>
  <c r="B808" i="13"/>
  <c r="B809" i="13"/>
  <c r="B810" i="13"/>
  <c r="B811" i="13"/>
  <c r="B812" i="13"/>
  <c r="B813" i="13"/>
  <c r="B814" i="13"/>
  <c r="B815" i="13"/>
  <c r="B816" i="13"/>
  <c r="B817" i="13"/>
  <c r="B818" i="13"/>
  <c r="B819" i="13"/>
  <c r="B820" i="13"/>
  <c r="B821" i="13"/>
  <c r="B822" i="13"/>
  <c r="B823" i="13"/>
  <c r="B824" i="13"/>
  <c r="B825" i="13"/>
  <c r="B826" i="13"/>
  <c r="B827" i="13"/>
  <c r="B828" i="13"/>
  <c r="B829" i="13"/>
  <c r="B830" i="13"/>
  <c r="B831" i="13"/>
  <c r="B832" i="13"/>
  <c r="H750" i="15"/>
  <c r="H751" i="15" s="1"/>
  <c r="H752" i="15" s="1"/>
  <c r="H753" i="15" s="1"/>
  <c r="H754" i="15" s="1"/>
  <c r="H755" i="15" s="1"/>
  <c r="H756" i="15" s="1"/>
  <c r="H757" i="15" s="1"/>
  <c r="H758" i="15" s="1"/>
  <c r="H759" i="15" s="1"/>
  <c r="H760" i="15" s="1"/>
  <c r="H761" i="15" s="1"/>
  <c r="H762" i="15" s="1"/>
  <c r="H763" i="15" s="1"/>
  <c r="H764" i="15" s="1"/>
  <c r="H765" i="15" s="1"/>
  <c r="H766" i="15" s="1"/>
  <c r="H767" i="15" s="1"/>
  <c r="H768" i="15" s="1"/>
  <c r="H769" i="15" s="1"/>
  <c r="H770" i="15" s="1"/>
  <c r="H771" i="15" s="1"/>
  <c r="H772" i="15" s="1"/>
  <c r="H773" i="15" s="1"/>
  <c r="H774" i="15" s="1"/>
  <c r="H775" i="15" s="1"/>
  <c r="H776" i="15" s="1"/>
  <c r="H777" i="15" s="1"/>
  <c r="H778" i="15" s="1"/>
  <c r="H779" i="15" s="1"/>
  <c r="H780" i="15" s="1"/>
  <c r="H781" i="15" s="1"/>
  <c r="H782" i="15" s="1"/>
  <c r="H783" i="15" s="1"/>
  <c r="H784" i="15" s="1"/>
  <c r="H785" i="15" s="1"/>
  <c r="H786" i="15" s="1"/>
  <c r="H787" i="15" s="1"/>
  <c r="H788" i="15" s="1"/>
  <c r="H789" i="15" s="1"/>
  <c r="H790" i="15" s="1"/>
  <c r="H791" i="15" s="1"/>
  <c r="H792" i="15" s="1"/>
  <c r="H793" i="15" s="1"/>
  <c r="H794" i="15" s="1"/>
  <c r="H795" i="15" s="1"/>
  <c r="H796" i="15" s="1"/>
  <c r="H797" i="15" s="1"/>
  <c r="H798" i="15" s="1"/>
  <c r="H799" i="15" s="1"/>
  <c r="H800" i="15" s="1"/>
  <c r="H801" i="15" s="1"/>
  <c r="H802" i="15" s="1"/>
  <c r="H803" i="15" s="1"/>
  <c r="H804" i="15" s="1"/>
  <c r="H805" i="15" s="1"/>
  <c r="H806" i="15" s="1"/>
  <c r="H807" i="15" s="1"/>
  <c r="H808" i="15" s="1"/>
  <c r="H809" i="15" s="1"/>
  <c r="H810" i="15" s="1"/>
  <c r="H811" i="15" s="1"/>
  <c r="H812" i="15" s="1"/>
  <c r="H813" i="15" s="1"/>
  <c r="H814" i="15" s="1"/>
  <c r="H815" i="15" s="1"/>
  <c r="H816" i="15" s="1"/>
  <c r="H817" i="15" s="1"/>
  <c r="H818" i="15" s="1"/>
  <c r="H819" i="15" s="1"/>
  <c r="H820" i="15" s="1"/>
  <c r="H821" i="15" s="1"/>
  <c r="H822" i="15" s="1"/>
  <c r="H823" i="15" s="1"/>
  <c r="H824" i="15" s="1"/>
  <c r="H825" i="15" s="1"/>
  <c r="H826" i="15" s="1"/>
  <c r="H827" i="15" s="1"/>
  <c r="H828" i="15" s="1"/>
  <c r="H829" i="15" s="1"/>
  <c r="H830" i="15" s="1"/>
  <c r="H831" i="15" s="1"/>
  <c r="H832" i="15" s="1"/>
  <c r="H833" i="15" s="1"/>
  <c r="H834" i="15" s="1"/>
  <c r="H835" i="15" s="1"/>
  <c r="H836" i="15" s="1"/>
  <c r="H837" i="15" s="1"/>
  <c r="H838" i="15" s="1"/>
  <c r="H839" i="15" s="1"/>
  <c r="H840" i="15" s="1"/>
  <c r="H841" i="15" s="1"/>
  <c r="H842" i="15" s="1"/>
  <c r="H843" i="15" s="1"/>
  <c r="H844" i="15" s="1"/>
  <c r="H845" i="15" s="1"/>
  <c r="H846" i="15" s="1"/>
  <c r="H847" i="15" s="1"/>
  <c r="H848" i="15" s="1"/>
  <c r="H849" i="15" s="1"/>
  <c r="H850" i="15" s="1"/>
  <c r="H851" i="15" s="1"/>
  <c r="H852" i="15" s="1"/>
  <c r="H853" i="15" s="1"/>
  <c r="H854" i="15" s="1"/>
  <c r="H855" i="15" s="1"/>
  <c r="H856" i="15" s="1"/>
  <c r="H857" i="15" s="1"/>
  <c r="H858" i="15" s="1"/>
  <c r="H859" i="15" s="1"/>
  <c r="H860" i="15" s="1"/>
  <c r="H861" i="15" s="1"/>
  <c r="H862" i="15" s="1"/>
  <c r="H863" i="15" s="1"/>
  <c r="H864" i="15" s="1"/>
  <c r="H865" i="15" s="1"/>
  <c r="H866" i="15" s="1"/>
  <c r="H867" i="15" s="1"/>
  <c r="H868" i="15" s="1"/>
  <c r="H869" i="15" s="1"/>
  <c r="H870" i="15" s="1"/>
  <c r="H871" i="15" s="1"/>
  <c r="H872" i="15" s="1"/>
  <c r="H873" i="15" s="1"/>
  <c r="H874" i="15" s="1"/>
  <c r="H875" i="15" s="1"/>
  <c r="H876" i="15" s="1"/>
  <c r="H877" i="15" s="1"/>
  <c r="H878" i="15" s="1"/>
  <c r="H879" i="15" s="1"/>
  <c r="H880" i="15" s="1"/>
  <c r="H881" i="15" s="1"/>
  <c r="H882" i="15" s="1"/>
  <c r="H883" i="15" s="1"/>
  <c r="H884" i="15" s="1"/>
  <c r="H885" i="15" s="1"/>
  <c r="H886" i="15" s="1"/>
  <c r="H887" i="15" s="1"/>
  <c r="H888" i="15" s="1"/>
  <c r="H889" i="15" s="1"/>
  <c r="H890" i="15" s="1"/>
  <c r="H891" i="15" s="1"/>
  <c r="H892" i="15" s="1"/>
  <c r="H893" i="15" s="1"/>
  <c r="H894" i="15" s="1"/>
  <c r="H895" i="15" s="1"/>
  <c r="H896" i="15" s="1"/>
  <c r="H897" i="15" s="1"/>
  <c r="H898" i="15" s="1"/>
  <c r="H899" i="15" s="1"/>
  <c r="H900" i="15" s="1"/>
  <c r="H901" i="15" s="1"/>
  <c r="H902" i="15" s="1"/>
  <c r="H903" i="15" s="1"/>
  <c r="H904" i="15" s="1"/>
  <c r="H905" i="15" s="1"/>
  <c r="H906" i="15" s="1"/>
  <c r="H907" i="15" s="1"/>
  <c r="H908" i="15" s="1"/>
  <c r="H909" i="15" s="1"/>
  <c r="H910" i="15" s="1"/>
  <c r="H911" i="15" s="1"/>
  <c r="H912" i="15" s="1"/>
  <c r="H913" i="15" s="1"/>
  <c r="H914" i="15" s="1"/>
  <c r="H915" i="15" s="1"/>
  <c r="H916" i="15" s="1"/>
  <c r="H917" i="15" s="1"/>
  <c r="H918" i="15" s="1"/>
  <c r="H919" i="15" s="1"/>
  <c r="H920" i="15" s="1"/>
  <c r="H921" i="15" s="1"/>
  <c r="H922" i="15" s="1"/>
  <c r="H923" i="15" s="1"/>
  <c r="H924" i="15" s="1"/>
  <c r="H925" i="15" s="1"/>
  <c r="H926" i="15" s="1"/>
  <c r="H927" i="15" s="1"/>
  <c r="H928" i="15" s="1"/>
  <c r="H929" i="15" s="1"/>
  <c r="H930" i="15" s="1"/>
  <c r="H931" i="15" s="1"/>
  <c r="H932" i="15" s="1"/>
  <c r="H933" i="15" s="1"/>
  <c r="H934" i="15" s="1"/>
  <c r="H935" i="15" s="1"/>
  <c r="H936" i="15" s="1"/>
  <c r="H937" i="15" s="1"/>
  <c r="H938" i="15" s="1"/>
  <c r="H939" i="15" s="1"/>
  <c r="H940" i="15" s="1"/>
  <c r="H941" i="15" s="1"/>
  <c r="H942" i="15" s="1"/>
  <c r="H943" i="15" s="1"/>
  <c r="H944" i="15" s="1"/>
  <c r="H945" i="15" s="1"/>
  <c r="H946" i="15" s="1"/>
  <c r="H947" i="15" s="1"/>
  <c r="H948" i="15" s="1"/>
  <c r="H949" i="15" s="1"/>
  <c r="H950" i="15" s="1"/>
  <c r="H951" i="15" s="1"/>
  <c r="H952" i="15" s="1"/>
  <c r="H953" i="15" s="1"/>
  <c r="H954" i="15" s="1"/>
  <c r="H955" i="15" s="1"/>
  <c r="H956" i="15" s="1"/>
  <c r="H957" i="15" s="1"/>
  <c r="H958" i="15" s="1"/>
  <c r="H959" i="15" s="1"/>
  <c r="H960" i="15" s="1"/>
  <c r="H961" i="15" s="1"/>
  <c r="H962" i="15" s="1"/>
  <c r="H963" i="15" s="1"/>
  <c r="H964" i="15" s="1"/>
  <c r="H965" i="15" s="1"/>
  <c r="H966" i="15" s="1"/>
  <c r="H967" i="15" s="1"/>
  <c r="H968" i="15" s="1"/>
  <c r="H969" i="15" s="1"/>
  <c r="H970" i="15" s="1"/>
  <c r="H971" i="15" s="1"/>
  <c r="H972" i="15" s="1"/>
  <c r="H973" i="15" s="1"/>
  <c r="H974" i="15" s="1"/>
  <c r="H975" i="15" s="1"/>
  <c r="H976" i="15" s="1"/>
  <c r="H977" i="15" s="1"/>
  <c r="H978" i="15" s="1"/>
  <c r="H979" i="15" s="1"/>
  <c r="H980" i="15" s="1"/>
  <c r="H981" i="15" s="1"/>
  <c r="H982" i="15" s="1"/>
  <c r="H983" i="15" s="1"/>
  <c r="H984" i="15" s="1"/>
  <c r="H985" i="15" s="1"/>
  <c r="H986" i="15" s="1"/>
  <c r="H987" i="15" s="1"/>
  <c r="H988" i="15" s="1"/>
  <c r="H989" i="15" s="1"/>
  <c r="H990" i="15" s="1"/>
  <c r="H991" i="15" s="1"/>
  <c r="H992" i="15" s="1"/>
  <c r="H993" i="15" s="1"/>
  <c r="H994" i="15" s="1"/>
  <c r="H995" i="15" s="1"/>
  <c r="H996" i="15" s="1"/>
  <c r="H997" i="15" s="1"/>
  <c r="H998" i="15" s="1"/>
  <c r="H999" i="15" s="1"/>
  <c r="H1000" i="15" s="1"/>
  <c r="H1001" i="15" s="1"/>
  <c r="H1002" i="15" s="1"/>
  <c r="H1003" i="15" s="1"/>
  <c r="H1004" i="15" s="1"/>
  <c r="H1005" i="15" s="1"/>
  <c r="H1006" i="15" s="1"/>
  <c r="H1007" i="15" s="1"/>
  <c r="H1008" i="15" s="1"/>
  <c r="H1009" i="15" s="1"/>
  <c r="H1010" i="15" s="1"/>
  <c r="H1011" i="15" s="1"/>
  <c r="H1012" i="15" s="1"/>
  <c r="H1013" i="15" s="1"/>
  <c r="H1014" i="15" s="1"/>
  <c r="H1015" i="15" s="1"/>
  <c r="H1016" i="15" s="1"/>
  <c r="H1017" i="15" s="1"/>
  <c r="H1018" i="15" s="1"/>
  <c r="H1019" i="15" s="1"/>
  <c r="H1020" i="15" s="1"/>
  <c r="H1021" i="15" s="1"/>
  <c r="H1022" i="15" s="1"/>
  <c r="H1023" i="15" s="1"/>
  <c r="H1024" i="15" s="1"/>
  <c r="H1025" i="15" s="1"/>
  <c r="H1026" i="15" s="1"/>
  <c r="H1027" i="15" s="1"/>
  <c r="H1028" i="15" s="1"/>
  <c r="H1029" i="15" s="1"/>
  <c r="H1030" i="15" s="1"/>
  <c r="H1031" i="15" s="1"/>
  <c r="H1032" i="15" s="1"/>
  <c r="H1033" i="15" s="1"/>
  <c r="H1034" i="15" s="1"/>
  <c r="H1035" i="15" s="1"/>
  <c r="H1036" i="15" s="1"/>
  <c r="H1037" i="15" s="1"/>
  <c r="H1038" i="15" s="1"/>
  <c r="H1039" i="15" s="1"/>
  <c r="H1040" i="15" s="1"/>
  <c r="H1041" i="15" s="1"/>
  <c r="H1042" i="15" s="1"/>
  <c r="H1043" i="15" s="1"/>
  <c r="H1044" i="15" s="1"/>
  <c r="H1045" i="15" s="1"/>
  <c r="H1046" i="15" s="1"/>
  <c r="H1047" i="15" s="1"/>
  <c r="H1048" i="15" s="1"/>
  <c r="H1049" i="15" s="1"/>
  <c r="H1050" i="15" s="1"/>
  <c r="H1051" i="15" s="1"/>
  <c r="H1052" i="15" s="1"/>
  <c r="H1053" i="15" s="1"/>
  <c r="H1054" i="15" s="1"/>
  <c r="H1055" i="15" s="1"/>
  <c r="H1056" i="15" s="1"/>
  <c r="H1057" i="15" s="1"/>
  <c r="H1058" i="15" s="1"/>
  <c r="H1059" i="15" s="1"/>
  <c r="H1060" i="15" s="1"/>
  <c r="H1061" i="15" s="1"/>
  <c r="H1062" i="15" s="1"/>
  <c r="H1063" i="15" s="1"/>
  <c r="H1064" i="15" s="1"/>
  <c r="H1065" i="15" s="1"/>
  <c r="H1066" i="15" s="1"/>
  <c r="H1067" i="15" s="1"/>
  <c r="H1068" i="15" s="1"/>
  <c r="H1069" i="15" s="1"/>
  <c r="H1070" i="15" s="1"/>
  <c r="H1071" i="15" s="1"/>
  <c r="H1072" i="15" s="1"/>
  <c r="H1073" i="15" s="1"/>
  <c r="H1074" i="15" s="1"/>
  <c r="H1075" i="15" s="1"/>
  <c r="H1076" i="15" s="1"/>
  <c r="H1077" i="15" s="1"/>
  <c r="H1078" i="15" s="1"/>
  <c r="H1079" i="15" s="1"/>
  <c r="H1080" i="15" s="1"/>
  <c r="H1081" i="15" s="1"/>
  <c r="H1082" i="15" s="1"/>
  <c r="H1083" i="15" s="1"/>
  <c r="H1084" i="15" s="1"/>
  <c r="H1085" i="15" s="1"/>
  <c r="H1086" i="15" s="1"/>
  <c r="H1087" i="15" s="1"/>
  <c r="H1088" i="15" s="1"/>
  <c r="H1089" i="15" s="1"/>
  <c r="H1090" i="15" s="1"/>
  <c r="H1091" i="15" s="1"/>
  <c r="H1092" i="15" s="1"/>
  <c r="H1093" i="15" s="1"/>
  <c r="H1094" i="15" s="1"/>
  <c r="H1095" i="15" s="1"/>
  <c r="H1096" i="15" s="1"/>
  <c r="H1097" i="15" s="1"/>
  <c r="H1098" i="15" s="1"/>
  <c r="H1099" i="15" s="1"/>
  <c r="H1100" i="15" s="1"/>
  <c r="H1101" i="15" s="1"/>
  <c r="H1102" i="15" s="1"/>
  <c r="H1103" i="15" s="1"/>
  <c r="H1104" i="15" s="1"/>
  <c r="H1105" i="15" s="1"/>
  <c r="H1106" i="15" s="1"/>
  <c r="H1107" i="15" s="1"/>
  <c r="H1108" i="15" s="1"/>
  <c r="H1109" i="15" s="1"/>
  <c r="H1110" i="15" s="1"/>
  <c r="H1111" i="15" s="1"/>
  <c r="H1112" i="15" s="1"/>
  <c r="H1113" i="15" s="1"/>
  <c r="H1114" i="15" s="1"/>
  <c r="H1115" i="15" s="1"/>
  <c r="H1116" i="15" s="1"/>
  <c r="H1117" i="15" s="1"/>
  <c r="H1118" i="15" s="1"/>
  <c r="H1119" i="15" s="1"/>
  <c r="H1120" i="15" s="1"/>
  <c r="H1121" i="15" s="1"/>
  <c r="H1122" i="15" s="1"/>
  <c r="H1123" i="15" s="1"/>
  <c r="H1124" i="15" s="1"/>
  <c r="H1125" i="15" s="1"/>
  <c r="H1126" i="15" s="1"/>
  <c r="H1127" i="15" s="1"/>
  <c r="H1128" i="15" s="1"/>
  <c r="H1129" i="15" s="1"/>
  <c r="H1130" i="15" s="1"/>
  <c r="H1131" i="15" s="1"/>
  <c r="H1132" i="15" s="1"/>
  <c r="H1133" i="15" s="1"/>
  <c r="H1134" i="15" s="1"/>
  <c r="H1135" i="15" s="1"/>
  <c r="H1136" i="15" s="1"/>
  <c r="H1137" i="15" s="1"/>
  <c r="H1138" i="15" s="1"/>
  <c r="H1139" i="15" s="1"/>
  <c r="H1140" i="15" s="1"/>
  <c r="H1141" i="15" s="1"/>
  <c r="H1142" i="15" s="1"/>
  <c r="H1143" i="15" s="1"/>
  <c r="H1144" i="15" s="1"/>
  <c r="H1145" i="15" s="1"/>
  <c r="H1146" i="15" s="1"/>
  <c r="H1147" i="15" s="1"/>
  <c r="H1148" i="15" s="1"/>
  <c r="H1149" i="15" s="1"/>
  <c r="H1150" i="15" s="1"/>
  <c r="H1151" i="15" s="1"/>
  <c r="H1152" i="15" s="1"/>
  <c r="H1153" i="15" s="1"/>
  <c r="H1154" i="15" s="1"/>
  <c r="H1155" i="15" s="1"/>
  <c r="H1156" i="15" s="1"/>
  <c r="H1157" i="15" s="1"/>
  <c r="H1158" i="15" s="1"/>
  <c r="H1159" i="15" s="1"/>
  <c r="H1160" i="15" s="1"/>
  <c r="H1161" i="15" s="1"/>
  <c r="H1162" i="15" s="1"/>
  <c r="H1163" i="15" s="1"/>
  <c r="H1164" i="15" s="1"/>
  <c r="H1165" i="15" s="1"/>
  <c r="H1166" i="15" s="1"/>
  <c r="H1167" i="15" s="1"/>
  <c r="H1168" i="15" s="1"/>
  <c r="H1169" i="15" s="1"/>
  <c r="H1170" i="15" s="1"/>
  <c r="H1171" i="15" s="1"/>
  <c r="H1172" i="15" s="1"/>
  <c r="H1173" i="15" s="1"/>
  <c r="H1174" i="15" s="1"/>
  <c r="H1175" i="15" s="1"/>
  <c r="H1176" i="15" s="1"/>
  <c r="H1177" i="15" s="1"/>
  <c r="H1178" i="15" s="1"/>
  <c r="H1179" i="15" s="1"/>
  <c r="H1180" i="15" s="1"/>
  <c r="H1181" i="15" s="1"/>
  <c r="H1182" i="15" s="1"/>
  <c r="H1183" i="15" s="1"/>
  <c r="H1184" i="15" s="1"/>
  <c r="H1185" i="15" s="1"/>
  <c r="H1186" i="15" s="1"/>
  <c r="H1187" i="15" s="1"/>
  <c r="H1188" i="15" s="1"/>
  <c r="H1189" i="15" s="1"/>
  <c r="H1190" i="15" s="1"/>
  <c r="H1191" i="15" s="1"/>
  <c r="H1192" i="15" s="1"/>
  <c r="H1193" i="15" s="1"/>
  <c r="H1194" i="15" s="1"/>
  <c r="H1195" i="15" s="1"/>
  <c r="H1196" i="15" s="1"/>
  <c r="H1197" i="15" s="1"/>
  <c r="H1198" i="15" s="1"/>
  <c r="H1199" i="15" s="1"/>
  <c r="H1200" i="15" s="1"/>
  <c r="H1201" i="15" s="1"/>
  <c r="H1202" i="15" s="1"/>
  <c r="H1203" i="15" s="1"/>
  <c r="H1204" i="15" s="1"/>
  <c r="H1205" i="15" s="1"/>
  <c r="H1206" i="15" s="1"/>
  <c r="H1207" i="15" s="1"/>
  <c r="H1208" i="15" s="1"/>
  <c r="H1209" i="15" s="1"/>
  <c r="H1210" i="15" s="1"/>
  <c r="H1211" i="15" s="1"/>
  <c r="H1212" i="15" s="1"/>
  <c r="H1213" i="15" s="1"/>
  <c r="H1214" i="15" s="1"/>
  <c r="H1215" i="15" s="1"/>
  <c r="H1216" i="15" s="1"/>
  <c r="H1217" i="15" s="1"/>
  <c r="H1218" i="15" s="1"/>
  <c r="H1219" i="15" s="1"/>
  <c r="H1220" i="15" s="1"/>
  <c r="H1221" i="15" s="1"/>
  <c r="H1222" i="15" s="1"/>
  <c r="H1223" i="15" s="1"/>
  <c r="H1224" i="15" s="1"/>
  <c r="H1225" i="15" s="1"/>
  <c r="H1226" i="15" s="1"/>
  <c r="H1227" i="15" s="1"/>
  <c r="H1228" i="15" s="1"/>
  <c r="H1229" i="15" s="1"/>
  <c r="H1230" i="15" s="1"/>
  <c r="H1231" i="15" s="1"/>
  <c r="H1232" i="15" s="1"/>
  <c r="H1233" i="15" s="1"/>
  <c r="H1234" i="15" s="1"/>
  <c r="H1235" i="15" s="1"/>
  <c r="H1236" i="15" s="1"/>
  <c r="H1237" i="15" s="1"/>
  <c r="H1238" i="15" s="1"/>
  <c r="H1239" i="15" s="1"/>
  <c r="H1240" i="15" s="1"/>
  <c r="H1241" i="15" s="1"/>
  <c r="H1242" i="15" s="1"/>
  <c r="H1243" i="15" s="1"/>
  <c r="H1244" i="15" s="1"/>
  <c r="H1245" i="15" s="1"/>
  <c r="H1246" i="15" s="1"/>
  <c r="H1247" i="15" s="1"/>
  <c r="H1248" i="15" s="1"/>
  <c r="H1249" i="15" s="1"/>
  <c r="H1250" i="15" s="1"/>
  <c r="H1251" i="15" s="1"/>
  <c r="H1252" i="15" s="1"/>
  <c r="H1253" i="15" s="1"/>
  <c r="H1254" i="15" s="1"/>
  <c r="H1255" i="15" s="1"/>
  <c r="H1256" i="15" s="1"/>
  <c r="H1257" i="15" s="1"/>
  <c r="H1258" i="15" s="1"/>
  <c r="H1259" i="15" s="1"/>
  <c r="H1260" i="15" s="1"/>
  <c r="H1261" i="15" s="1"/>
  <c r="H1262" i="15" s="1"/>
  <c r="H1263" i="15" s="1"/>
  <c r="H1264" i="15" s="1"/>
  <c r="H1265" i="15" s="1"/>
  <c r="H1266" i="15" s="1"/>
  <c r="H1267" i="15" s="1"/>
  <c r="H1268" i="15" s="1"/>
  <c r="H1269" i="15" s="1"/>
  <c r="H1270" i="15" s="1"/>
  <c r="H1271" i="15" s="1"/>
  <c r="H1272" i="15" s="1"/>
  <c r="H1273" i="15" s="1"/>
  <c r="H1274" i="15" s="1"/>
  <c r="H1275" i="15" s="1"/>
  <c r="H1276" i="15" s="1"/>
  <c r="H1277" i="15" s="1"/>
  <c r="H1278" i="15" s="1"/>
  <c r="H1279" i="15" s="1"/>
  <c r="H1280" i="15" s="1"/>
  <c r="H1281" i="15" s="1"/>
  <c r="H1282" i="15" s="1"/>
  <c r="H1283" i="15" s="1"/>
  <c r="H1284" i="15" s="1"/>
  <c r="H1285" i="15" s="1"/>
  <c r="H1286" i="15" s="1"/>
  <c r="H1287" i="15" s="1"/>
  <c r="H1288" i="15" s="1"/>
  <c r="H1289" i="15" s="1"/>
  <c r="H1290" i="15" s="1"/>
  <c r="H1291" i="15" s="1"/>
  <c r="H1292" i="15" s="1"/>
  <c r="H1293" i="15" s="1"/>
  <c r="H1294" i="15" s="1"/>
  <c r="H1295" i="15" s="1"/>
  <c r="H1296" i="15" s="1"/>
  <c r="H1297" i="15" s="1"/>
  <c r="H1298" i="15" s="1"/>
  <c r="H1299" i="15" s="1"/>
  <c r="H1300" i="15" s="1"/>
  <c r="H1301" i="15" s="1"/>
  <c r="H1302" i="15" s="1"/>
  <c r="H1303" i="15" s="1"/>
  <c r="H1304" i="15" s="1"/>
  <c r="H1305" i="15" s="1"/>
  <c r="H1306" i="15" s="1"/>
  <c r="H1307" i="15" s="1"/>
  <c r="H1308" i="15" s="1"/>
  <c r="H1309" i="15" s="1"/>
  <c r="H1310" i="15" s="1"/>
  <c r="H1311" i="15" s="1"/>
  <c r="H1312" i="15" s="1"/>
  <c r="H1313" i="15" s="1"/>
  <c r="H1314" i="15" s="1"/>
  <c r="H1315" i="15" s="1"/>
  <c r="H1316" i="15" s="1"/>
  <c r="H1317" i="15" s="1"/>
  <c r="H1318" i="15" s="1"/>
  <c r="H1319" i="15" s="1"/>
  <c r="H1098" i="11"/>
  <c r="H1099" i="11" s="1"/>
  <c r="H1100" i="11" s="1"/>
  <c r="H1101" i="11" s="1"/>
  <c r="H1102" i="11" s="1"/>
  <c r="H1103" i="11" s="1"/>
  <c r="H1104" i="11" s="1"/>
  <c r="H1105" i="11" s="1"/>
  <c r="H1106" i="11" s="1"/>
  <c r="H1107" i="11" s="1"/>
  <c r="H1108" i="11" s="1"/>
  <c r="H1109" i="11" s="1"/>
  <c r="H1110" i="11" s="1"/>
  <c r="H1111" i="11" s="1"/>
  <c r="H1112" i="11" s="1"/>
  <c r="H1113" i="11" s="1"/>
  <c r="H1114" i="11" s="1"/>
  <c r="H1115" i="11" s="1"/>
  <c r="H1116" i="11" s="1"/>
  <c r="H1117" i="11" s="1"/>
  <c r="H1118" i="11" s="1"/>
  <c r="H1119" i="11" s="1"/>
  <c r="H1120" i="11" s="1"/>
  <c r="H1121" i="11" s="1"/>
  <c r="H1122" i="11" s="1"/>
  <c r="H1123" i="11" s="1"/>
  <c r="H1124" i="11" s="1"/>
  <c r="H1125" i="11" s="1"/>
  <c r="H1126" i="11" s="1"/>
  <c r="H1127" i="11" s="1"/>
  <c r="H1128" i="11" s="1"/>
  <c r="H1129" i="11" s="1"/>
  <c r="H1130" i="11" s="1"/>
  <c r="H1131" i="11" s="1"/>
  <c r="H1132" i="11" s="1"/>
  <c r="H1133" i="11" s="1"/>
  <c r="H1134" i="11" s="1"/>
  <c r="H1135" i="11" s="1"/>
  <c r="H1136" i="11" s="1"/>
  <c r="H1137" i="11" s="1"/>
  <c r="H1138" i="11" s="1"/>
  <c r="H1139" i="11" s="1"/>
  <c r="H1140" i="11" s="1"/>
  <c r="H1141" i="11" s="1"/>
  <c r="H1142" i="11" s="1"/>
  <c r="H1143" i="11" s="1"/>
  <c r="H1144" i="11" s="1"/>
  <c r="H1145" i="11" s="1"/>
  <c r="H1146" i="11" s="1"/>
  <c r="H1147" i="11" s="1"/>
  <c r="H1148" i="11" s="1"/>
  <c r="H1149" i="11" s="1"/>
  <c r="H1150" i="11" s="1"/>
  <c r="H1151" i="11" s="1"/>
  <c r="H1152" i="11" s="1"/>
  <c r="H1153" i="11" s="1"/>
  <c r="H1154" i="11" s="1"/>
  <c r="H1155" i="11" s="1"/>
  <c r="H1156" i="11" s="1"/>
  <c r="H1157" i="11" s="1"/>
  <c r="H1158" i="11" s="1"/>
  <c r="H1159" i="11" s="1"/>
  <c r="H1160" i="11" s="1"/>
  <c r="H1161" i="11" s="1"/>
  <c r="H1162" i="11" s="1"/>
  <c r="H1163" i="11" s="1"/>
  <c r="H1164" i="11" s="1"/>
  <c r="H1165" i="11" s="1"/>
  <c r="H1166" i="11" s="1"/>
  <c r="H1167" i="11" s="1"/>
  <c r="H1168" i="11" s="1"/>
  <c r="H1169" i="11" s="1"/>
  <c r="H1170" i="11" s="1"/>
  <c r="H1171" i="11" s="1"/>
  <c r="H1172" i="11" s="1"/>
  <c r="H1173" i="11" s="1"/>
  <c r="H1174" i="11" s="1"/>
  <c r="H1175" i="11" s="1"/>
  <c r="H1176" i="11" s="1"/>
  <c r="H1177" i="11" s="1"/>
  <c r="H1178" i="11" s="1"/>
  <c r="H1179" i="11" s="1"/>
  <c r="H1180" i="11" s="1"/>
  <c r="H1181" i="11" s="1"/>
  <c r="H1182" i="11" s="1"/>
  <c r="H1183" i="11" s="1"/>
  <c r="H1184" i="11" s="1"/>
  <c r="H1185" i="11" s="1"/>
  <c r="H1186" i="11" s="1"/>
  <c r="H1187" i="11" s="1"/>
  <c r="H1188" i="11" s="1"/>
  <c r="H1189" i="11" s="1"/>
  <c r="H1190" i="11" s="1"/>
  <c r="H1191" i="11" s="1"/>
  <c r="H1192" i="11" s="1"/>
  <c r="H1193" i="11" s="1"/>
  <c r="H1194" i="11" s="1"/>
  <c r="H1195" i="11" s="1"/>
  <c r="H945" i="11"/>
  <c r="H580" i="15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190" i="13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B1000" i="15"/>
  <c r="B1001" i="15"/>
  <c r="B1002" i="15"/>
  <c r="B1003" i="15"/>
  <c r="B1004" i="15"/>
  <c r="B1005" i="15"/>
  <c r="B1006" i="15"/>
  <c r="B1007" i="15"/>
  <c r="B1008" i="15"/>
  <c r="B1009" i="15"/>
  <c r="B1010" i="15"/>
  <c r="B1011" i="15"/>
  <c r="B1012" i="15"/>
  <c r="B1013" i="15"/>
  <c r="B1014" i="15"/>
  <c r="B1015" i="15"/>
  <c r="B1016" i="15"/>
  <c r="B1017" i="15"/>
  <c r="B1018" i="15"/>
  <c r="B1019" i="15"/>
  <c r="B1020" i="15"/>
  <c r="B1021" i="15"/>
  <c r="B1022" i="15"/>
  <c r="B1023" i="15"/>
  <c r="B1024" i="15"/>
  <c r="B1025" i="15"/>
  <c r="B1026" i="15"/>
  <c r="B1027" i="15"/>
  <c r="B1028" i="15"/>
  <c r="B1029" i="15"/>
  <c r="B1030" i="15"/>
  <c r="B1031" i="15"/>
  <c r="B1032" i="15"/>
  <c r="B1033" i="15"/>
  <c r="B1034" i="15"/>
  <c r="B1035" i="15"/>
  <c r="B1036" i="15"/>
  <c r="B1037" i="15"/>
  <c r="B1038" i="15"/>
  <c r="B1039" i="15"/>
  <c r="B1040" i="15"/>
  <c r="B1041" i="15"/>
  <c r="B1042" i="15"/>
  <c r="B1043" i="15"/>
  <c r="B1044" i="15"/>
  <c r="B1045" i="15"/>
  <c r="B1046" i="15"/>
  <c r="B1047" i="15"/>
  <c r="B1048" i="15"/>
  <c r="B1049" i="15"/>
  <c r="B1050" i="15"/>
  <c r="B1051" i="15"/>
  <c r="B1052" i="15"/>
  <c r="B1053" i="15"/>
  <c r="B1054" i="15"/>
  <c r="B1055" i="15"/>
  <c r="B1056" i="15"/>
  <c r="B1057" i="15"/>
  <c r="B1058" i="15"/>
  <c r="B1059" i="15"/>
  <c r="B1060" i="15"/>
  <c r="B1061" i="15"/>
  <c r="B1062" i="15"/>
  <c r="B1063" i="15"/>
  <c r="B1064" i="15"/>
  <c r="B1065" i="15"/>
  <c r="B1066" i="15"/>
  <c r="B1067" i="15"/>
  <c r="B1068" i="15"/>
  <c r="B1069" i="15"/>
  <c r="B1070" i="15"/>
  <c r="B1071" i="15"/>
  <c r="B1072" i="15"/>
  <c r="B1073" i="15"/>
  <c r="B1074" i="15"/>
  <c r="B1075" i="15"/>
  <c r="B1076" i="15"/>
  <c r="B1077" i="15"/>
  <c r="B1078" i="15"/>
  <c r="B1079" i="15"/>
  <c r="B1080" i="15"/>
  <c r="B1081" i="15"/>
  <c r="B1082" i="15"/>
  <c r="B1083" i="15"/>
  <c r="B1084" i="15"/>
  <c r="B1085" i="15"/>
  <c r="B1086" i="15"/>
  <c r="B1087" i="15"/>
  <c r="B1088" i="15"/>
  <c r="B1089" i="15"/>
  <c r="B1090" i="15"/>
  <c r="B1091" i="15"/>
  <c r="B1092" i="15"/>
  <c r="B1093" i="15"/>
  <c r="B1094" i="15"/>
  <c r="B1095" i="15"/>
  <c r="B1096" i="15"/>
  <c r="B1097" i="15"/>
  <c r="B1098" i="15"/>
  <c r="B1099" i="15"/>
  <c r="B1100" i="15"/>
  <c r="B1101" i="15"/>
  <c r="B1102" i="15"/>
  <c r="B1103" i="15"/>
  <c r="B1104" i="15"/>
  <c r="B1105" i="15"/>
  <c r="B1106" i="15"/>
  <c r="B1107" i="15"/>
  <c r="B1108" i="15"/>
  <c r="B1109" i="15"/>
  <c r="B1110" i="15"/>
  <c r="B1111" i="15"/>
  <c r="B1112" i="15"/>
  <c r="B1113" i="15"/>
  <c r="B1114" i="15"/>
  <c r="B1115" i="15"/>
  <c r="B1116" i="15"/>
  <c r="B1117" i="15"/>
  <c r="B1118" i="15"/>
  <c r="B1119" i="15"/>
  <c r="B1120" i="15"/>
  <c r="B1121" i="15"/>
  <c r="B1122" i="15"/>
  <c r="B1123" i="15"/>
  <c r="B1124" i="15"/>
  <c r="B1125" i="15"/>
  <c r="B1126" i="15"/>
  <c r="B1127" i="15"/>
  <c r="B1128" i="15"/>
  <c r="B1129" i="15"/>
  <c r="B1130" i="15"/>
  <c r="B1131" i="15"/>
  <c r="B1132" i="15"/>
  <c r="B1133" i="15"/>
  <c r="B1134" i="15"/>
  <c r="B1135" i="15"/>
  <c r="B1136" i="15"/>
  <c r="B1137" i="15"/>
  <c r="B1138" i="15"/>
  <c r="B1139" i="15"/>
  <c r="B1140" i="15"/>
  <c r="B1141" i="15"/>
  <c r="B1142" i="15"/>
  <c r="B1143" i="15"/>
  <c r="B1144" i="15"/>
  <c r="B1145" i="15"/>
  <c r="B1146" i="15"/>
  <c r="B1147" i="15"/>
  <c r="B1148" i="15"/>
  <c r="B1149" i="15"/>
  <c r="B1150" i="15"/>
  <c r="B1151" i="15"/>
  <c r="B1152" i="15"/>
  <c r="B1153" i="15"/>
  <c r="B1154" i="15"/>
  <c r="B1155" i="15"/>
  <c r="B1156" i="15"/>
  <c r="B1157" i="15"/>
  <c r="B1158" i="15"/>
  <c r="B1159" i="15"/>
  <c r="B1160" i="15"/>
  <c r="B1161" i="15"/>
  <c r="B1162" i="15"/>
  <c r="B1163" i="15"/>
  <c r="B1164" i="15"/>
  <c r="B1165" i="15"/>
  <c r="B1166" i="15"/>
  <c r="B1167" i="15"/>
  <c r="B1168" i="15"/>
  <c r="B1169" i="15"/>
  <c r="B1170" i="15"/>
  <c r="B1171" i="15"/>
  <c r="B1172" i="15"/>
  <c r="B1173" i="15"/>
  <c r="B1174" i="15"/>
  <c r="B1175" i="15"/>
  <c r="B1176" i="15"/>
  <c r="B1177" i="15"/>
  <c r="B1178" i="15"/>
  <c r="B1179" i="15"/>
  <c r="B1180" i="15"/>
  <c r="B1181" i="15"/>
  <c r="B1182" i="15"/>
  <c r="B1183" i="15"/>
  <c r="B1184" i="15"/>
  <c r="B1185" i="15"/>
  <c r="B1186" i="15"/>
  <c r="B1187" i="15"/>
  <c r="B1188" i="15"/>
  <c r="B1189" i="15"/>
  <c r="B1190" i="15"/>
  <c r="B1191" i="15"/>
  <c r="B1192" i="15"/>
  <c r="B1193" i="15"/>
  <c r="B1194" i="15"/>
  <c r="B1195" i="15"/>
  <c r="B1196" i="15"/>
  <c r="B1197" i="15"/>
  <c r="B1198" i="15"/>
  <c r="B1199" i="15"/>
  <c r="B1200" i="15"/>
  <c r="B1201" i="15"/>
  <c r="B1202" i="15"/>
  <c r="B1203" i="15"/>
  <c r="B1204" i="15"/>
  <c r="B1205" i="15"/>
  <c r="B1206" i="15"/>
  <c r="B1207" i="15"/>
  <c r="B1208" i="15"/>
  <c r="B1209" i="15"/>
  <c r="B1210" i="15"/>
  <c r="B1211" i="15"/>
  <c r="B1212" i="15"/>
  <c r="B1213" i="15"/>
  <c r="B1214" i="15"/>
  <c r="B1215" i="15"/>
  <c r="B1216" i="15"/>
  <c r="B1217" i="15"/>
  <c r="B1218" i="15"/>
  <c r="B1219" i="15"/>
  <c r="B1220" i="15"/>
  <c r="B1221" i="15"/>
  <c r="B1222" i="15"/>
  <c r="B1223" i="15"/>
  <c r="B1224" i="15"/>
  <c r="B1225" i="15"/>
  <c r="B1226" i="15"/>
  <c r="B1227" i="15"/>
  <c r="B1228" i="15"/>
  <c r="B1229" i="15"/>
  <c r="B1230" i="15"/>
  <c r="B1231" i="15"/>
  <c r="B1232" i="15"/>
  <c r="B1233" i="15"/>
  <c r="B1234" i="15"/>
  <c r="B1235" i="15"/>
  <c r="B1236" i="15"/>
  <c r="B1237" i="15"/>
  <c r="B1238" i="15"/>
  <c r="B1239" i="15"/>
  <c r="B1240" i="15"/>
  <c r="B1241" i="15"/>
  <c r="B1242" i="15"/>
  <c r="B1243" i="15"/>
  <c r="B1244" i="15"/>
  <c r="B1245" i="15"/>
  <c r="B1246" i="15"/>
  <c r="B1247" i="15"/>
  <c r="B1248" i="15"/>
  <c r="B1249" i="15"/>
  <c r="B1250" i="15"/>
  <c r="B1251" i="15"/>
  <c r="B1252" i="15"/>
  <c r="B1253" i="15"/>
  <c r="B1254" i="15"/>
  <c r="B1255" i="15"/>
  <c r="B1256" i="15"/>
  <c r="B1257" i="15"/>
  <c r="B1258" i="15"/>
  <c r="B1259" i="15"/>
  <c r="B1260" i="15"/>
  <c r="B1261" i="15"/>
  <c r="B1262" i="15"/>
  <c r="B1263" i="15"/>
  <c r="B1264" i="15"/>
  <c r="B1265" i="15"/>
  <c r="B1266" i="15"/>
  <c r="B1267" i="15"/>
  <c r="B1268" i="15"/>
  <c r="B1269" i="15"/>
  <c r="B1270" i="15"/>
  <c r="B1271" i="15"/>
  <c r="B1272" i="15"/>
  <c r="B1273" i="15"/>
  <c r="B1274" i="15"/>
  <c r="B1275" i="15"/>
  <c r="B1276" i="15"/>
  <c r="B1277" i="15"/>
  <c r="B1278" i="15"/>
  <c r="B1279" i="15"/>
  <c r="B1280" i="15"/>
  <c r="B1281" i="15"/>
  <c r="B1282" i="15"/>
  <c r="B1283" i="15"/>
  <c r="B1284" i="15"/>
  <c r="B1285" i="15"/>
  <c r="B1286" i="15"/>
  <c r="B1287" i="15"/>
  <c r="B1288" i="15"/>
  <c r="B1289" i="15"/>
  <c r="B1290" i="15"/>
  <c r="B1291" i="15"/>
  <c r="B1292" i="15"/>
  <c r="B1293" i="15"/>
  <c r="B1294" i="15"/>
  <c r="B1295" i="15"/>
  <c r="B1296" i="15"/>
  <c r="B1297" i="15"/>
  <c r="B1298" i="15"/>
  <c r="B1299" i="15"/>
  <c r="B1300" i="15"/>
  <c r="B1301" i="15"/>
  <c r="B1302" i="15"/>
  <c r="B1303" i="15"/>
  <c r="B1304" i="15"/>
  <c r="B1305" i="15"/>
  <c r="B1306" i="15"/>
  <c r="B1307" i="15"/>
  <c r="B1308" i="15"/>
  <c r="B1309" i="15"/>
  <c r="B1310" i="15"/>
  <c r="B1311" i="15"/>
  <c r="B1312" i="15"/>
  <c r="B1313" i="15"/>
  <c r="B1314" i="15"/>
  <c r="B1315" i="15"/>
  <c r="B1316" i="15"/>
  <c r="B1317" i="15"/>
  <c r="B1318" i="15"/>
  <c r="B1319" i="15"/>
  <c r="J4" i="15"/>
  <c r="B5" i="15"/>
  <c r="J5" i="15" s="1"/>
  <c r="B6" i="15"/>
  <c r="J6" i="15" s="1"/>
  <c r="B7" i="15"/>
  <c r="J7" i="15" s="1"/>
  <c r="B8" i="15"/>
  <c r="J8" i="15" s="1"/>
  <c r="B9" i="15"/>
  <c r="J9" i="15" s="1"/>
  <c r="B10" i="15"/>
  <c r="J10" i="15" s="1"/>
  <c r="B11" i="15"/>
  <c r="J11" i="15" s="1"/>
  <c r="B12" i="15"/>
  <c r="J12" i="15" s="1"/>
  <c r="B13" i="15"/>
  <c r="J13" i="15" s="1"/>
  <c r="B14" i="15"/>
  <c r="J14" i="15" s="1"/>
  <c r="B15" i="15"/>
  <c r="J15" i="15" s="1"/>
  <c r="B16" i="15"/>
  <c r="J16" i="15" s="1"/>
  <c r="B17" i="15"/>
  <c r="J17" i="15" s="1"/>
  <c r="B18" i="15"/>
  <c r="J18" i="15" s="1"/>
  <c r="J2" i="15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H387" i="15"/>
  <c r="H388" i="15" s="1"/>
  <c r="H389" i="15"/>
  <c r="H390" i="15"/>
  <c r="H391" i="15"/>
  <c r="H392" i="15"/>
  <c r="H393" i="15"/>
  <c r="H394" i="15" s="1"/>
  <c r="H395" i="15"/>
  <c r="H396" i="15" s="1"/>
  <c r="H397" i="15" s="1"/>
  <c r="H398" i="15" s="1"/>
  <c r="H399" i="15" s="1"/>
  <c r="H400" i="15" s="1"/>
  <c r="H401" i="15" s="1"/>
  <c r="H402" i="15" s="1"/>
  <c r="H403" i="15" s="1"/>
  <c r="H404" i="15" s="1"/>
  <c r="H405" i="15" s="1"/>
  <c r="H406" i="15" s="1"/>
  <c r="H407" i="15" s="1"/>
  <c r="H408" i="15" s="1"/>
  <c r="H409" i="15" s="1"/>
  <c r="H410" i="15" s="1"/>
  <c r="H411" i="15" s="1"/>
  <c r="H412" i="15" s="1"/>
  <c r="H413" i="15" s="1"/>
  <c r="H414" i="15" s="1"/>
  <c r="H415" i="15" s="1"/>
  <c r="H416" i="15" s="1"/>
  <c r="H417" i="15" s="1"/>
  <c r="H418" i="15" s="1"/>
  <c r="H419" i="15" s="1"/>
  <c r="H420" i="15" s="1"/>
  <c r="H421" i="15" s="1"/>
  <c r="H422" i="15" s="1"/>
  <c r="H423" i="15" s="1"/>
  <c r="H424" i="15" s="1"/>
  <c r="H425" i="15" s="1"/>
  <c r="H426" i="15" s="1"/>
  <c r="H427" i="15" s="1"/>
  <c r="H428" i="15" s="1"/>
  <c r="H429" i="15" s="1"/>
  <c r="H430" i="15" s="1"/>
  <c r="H431" i="15" s="1"/>
  <c r="H432" i="15" s="1"/>
  <c r="H433" i="15" s="1"/>
  <c r="H434" i="15" s="1"/>
  <c r="H435" i="15" s="1"/>
  <c r="H436" i="15" s="1"/>
  <c r="H437" i="15" s="1"/>
  <c r="H438" i="15" s="1"/>
  <c r="H439" i="15" s="1"/>
  <c r="H440" i="15" s="1"/>
  <c r="H441" i="15" s="1"/>
  <c r="H442" i="15" s="1"/>
  <c r="H443" i="15" s="1"/>
  <c r="H444" i="15" s="1"/>
  <c r="H445" i="15" s="1"/>
  <c r="H446" i="15" s="1"/>
  <c r="H447" i="15" s="1"/>
  <c r="H448" i="15" s="1"/>
  <c r="H449" i="15" s="1"/>
  <c r="H450" i="15" s="1"/>
  <c r="H451" i="15" s="1"/>
  <c r="H452" i="15" s="1"/>
  <c r="H453" i="15" s="1"/>
  <c r="H454" i="15" s="1"/>
  <c r="H455" i="15" s="1"/>
  <c r="H456" i="15" s="1"/>
  <c r="H457" i="15" s="1"/>
  <c r="H458" i="15" s="1"/>
  <c r="H459" i="15" s="1"/>
  <c r="H460" i="15" s="1"/>
  <c r="H461" i="15" s="1"/>
  <c r="H462" i="15" s="1"/>
  <c r="H463" i="15" s="1"/>
  <c r="H464" i="15" s="1"/>
  <c r="H465" i="15" s="1"/>
  <c r="H466" i="15" s="1"/>
  <c r="H467" i="15" s="1"/>
  <c r="H468" i="15" s="1"/>
  <c r="H469" i="15" s="1"/>
  <c r="H470" i="15" s="1"/>
  <c r="H471" i="15" s="1"/>
  <c r="H472" i="15" s="1"/>
  <c r="H473" i="15" s="1"/>
  <c r="H474" i="15" s="1"/>
  <c r="H475" i="15" s="1"/>
  <c r="H476" i="15" s="1"/>
  <c r="H477" i="15" s="1"/>
  <c r="H478" i="15" s="1"/>
  <c r="H479" i="15" s="1"/>
  <c r="H480" i="15" s="1"/>
  <c r="H481" i="15" s="1"/>
  <c r="H482" i="15" s="1"/>
  <c r="H483" i="15" s="1"/>
  <c r="H484" i="15" s="1"/>
  <c r="H485" i="15" s="1"/>
  <c r="H486" i="15" s="1"/>
  <c r="H487" i="15" s="1"/>
  <c r="H488" i="15" s="1"/>
  <c r="H489" i="15" s="1"/>
  <c r="H490" i="15" s="1"/>
  <c r="H491" i="15" s="1"/>
  <c r="H492" i="15" s="1"/>
  <c r="H493" i="15" s="1"/>
  <c r="H494" i="15" s="1"/>
  <c r="H495" i="15" s="1"/>
  <c r="H496" i="15" s="1"/>
  <c r="H497" i="15" s="1"/>
  <c r="H498" i="15" s="1"/>
  <c r="H499" i="15" s="1"/>
  <c r="H500" i="15" s="1"/>
  <c r="H501" i="15" s="1"/>
  <c r="H502" i="15" s="1"/>
  <c r="H503" i="15" s="1"/>
  <c r="H504" i="15" s="1"/>
  <c r="H505" i="15" s="1"/>
  <c r="H506" i="15" s="1"/>
  <c r="H507" i="15" s="1"/>
  <c r="H508" i="15" s="1"/>
  <c r="H509" i="15" s="1"/>
  <c r="H510" i="15" s="1"/>
  <c r="H511" i="15" s="1"/>
  <c r="H512" i="15" s="1"/>
  <c r="H513" i="15" s="1"/>
  <c r="H514" i="15" s="1"/>
  <c r="H515" i="15" s="1"/>
  <c r="H516" i="15" s="1"/>
  <c r="H517" i="15" s="1"/>
  <c r="H518" i="15" s="1"/>
  <c r="H519" i="15" s="1"/>
  <c r="H520" i="15" s="1"/>
  <c r="H521" i="15" s="1"/>
  <c r="H522" i="15" s="1"/>
  <c r="H523" i="15" s="1"/>
  <c r="H524" i="15" s="1"/>
  <c r="H525" i="15" s="1"/>
  <c r="H526" i="15" s="1"/>
  <c r="H527" i="15" s="1"/>
  <c r="H528" i="15" s="1"/>
  <c r="H529" i="15" s="1"/>
  <c r="H530" i="15" s="1"/>
  <c r="H531" i="15" s="1"/>
  <c r="H532" i="15" s="1"/>
  <c r="H533" i="15" s="1"/>
  <c r="H534" i="15" s="1"/>
  <c r="H535" i="15" s="1"/>
  <c r="H536" i="15" s="1"/>
  <c r="H537" i="15" s="1"/>
  <c r="H538" i="15" s="1"/>
  <c r="H539" i="15" s="1"/>
  <c r="H540" i="15" s="1"/>
  <c r="H541" i="15" s="1"/>
  <c r="H542" i="15" s="1"/>
  <c r="H543" i="15" s="1"/>
  <c r="H544" i="15" s="1"/>
  <c r="H545" i="15" s="1"/>
  <c r="H546" i="15" s="1"/>
  <c r="H547" i="15" s="1"/>
  <c r="H548" i="15" s="1"/>
  <c r="H549" i="15" s="1"/>
  <c r="H550" i="15" s="1"/>
  <c r="H551" i="15" s="1"/>
  <c r="H552" i="15" s="1"/>
  <c r="H553" i="15" s="1"/>
  <c r="H554" i="15" s="1"/>
  <c r="H555" i="15" s="1"/>
  <c r="H556" i="15" s="1"/>
  <c r="H557" i="15" s="1"/>
  <c r="H558" i="15" s="1"/>
  <c r="H559" i="15" s="1"/>
  <c r="H560" i="15" s="1"/>
  <c r="H561" i="15" s="1"/>
  <c r="H562" i="15" s="1"/>
  <c r="H563" i="15" s="1"/>
  <c r="H564" i="15" s="1"/>
  <c r="H565" i="15" s="1"/>
  <c r="H566" i="15" s="1"/>
  <c r="H567" i="15" s="1"/>
  <c r="H568" i="15" s="1"/>
  <c r="H569" i="15" s="1"/>
  <c r="H570" i="15" s="1"/>
  <c r="H571" i="15" s="1"/>
  <c r="H572" i="15" s="1"/>
  <c r="H573" i="15" s="1"/>
  <c r="H574" i="15" s="1"/>
  <c r="H575" i="15" s="1"/>
  <c r="H576" i="15" s="1"/>
  <c r="H577" i="15" s="1"/>
  <c r="H578" i="15" s="1"/>
  <c r="H579" i="15" s="1"/>
  <c r="H581" i="15" s="1"/>
  <c r="H582" i="15" s="1"/>
  <c r="H583" i="15" s="1"/>
  <c r="H584" i="15" s="1"/>
  <c r="H585" i="15" s="1"/>
  <c r="H586" i="15" s="1"/>
  <c r="H587" i="15" s="1"/>
  <c r="H588" i="15" s="1"/>
  <c r="H589" i="15" s="1"/>
  <c r="H590" i="15" s="1"/>
  <c r="H591" i="15" s="1"/>
  <c r="H592" i="15" s="1"/>
  <c r="H593" i="15" s="1"/>
  <c r="H594" i="15" s="1"/>
  <c r="H595" i="15" s="1"/>
  <c r="H596" i="15" s="1"/>
  <c r="H597" i="15" s="1"/>
  <c r="H598" i="15" s="1"/>
  <c r="H599" i="15" s="1"/>
  <c r="H600" i="15" s="1"/>
  <c r="H601" i="15" s="1"/>
  <c r="H602" i="15" s="1"/>
  <c r="H603" i="15" s="1"/>
  <c r="H604" i="15" s="1"/>
  <c r="H605" i="15" s="1"/>
  <c r="H606" i="15" s="1"/>
  <c r="H607" i="15" s="1"/>
  <c r="H608" i="15" s="1"/>
  <c r="H609" i="15" s="1"/>
  <c r="H610" i="15" s="1"/>
  <c r="H611" i="15" s="1"/>
  <c r="H612" i="15" s="1"/>
  <c r="H613" i="15" s="1"/>
  <c r="H614" i="15" s="1"/>
  <c r="H615" i="15" s="1"/>
  <c r="H616" i="15" s="1"/>
  <c r="H617" i="15" s="1"/>
  <c r="H618" i="15" s="1"/>
  <c r="H619" i="15" s="1"/>
  <c r="H620" i="15" s="1"/>
  <c r="H621" i="15" s="1"/>
  <c r="H622" i="15" s="1"/>
  <c r="H623" i="15" s="1"/>
  <c r="H624" i="15" s="1"/>
  <c r="H625" i="15" s="1"/>
  <c r="H626" i="15" s="1"/>
  <c r="H627" i="15" s="1"/>
  <c r="H628" i="15" s="1"/>
  <c r="H629" i="15" s="1"/>
  <c r="H630" i="15" s="1"/>
  <c r="H631" i="15" s="1"/>
  <c r="H632" i="15" s="1"/>
  <c r="H633" i="15" s="1"/>
  <c r="H634" i="15" s="1"/>
  <c r="H635" i="15" s="1"/>
  <c r="H636" i="15" s="1"/>
  <c r="H637" i="15" s="1"/>
  <c r="H638" i="15" s="1"/>
  <c r="H639" i="15" s="1"/>
  <c r="H640" i="15" s="1"/>
  <c r="H641" i="15" s="1"/>
  <c r="H642" i="15" s="1"/>
  <c r="H643" i="15" s="1"/>
  <c r="H644" i="15" s="1"/>
  <c r="H645" i="15" s="1"/>
  <c r="H646" i="15" s="1"/>
  <c r="H647" i="15" s="1"/>
  <c r="H648" i="15" s="1"/>
  <c r="H649" i="15" s="1"/>
  <c r="H650" i="15" s="1"/>
  <c r="H651" i="15" s="1"/>
  <c r="H652" i="15" s="1"/>
  <c r="H653" i="15" s="1"/>
  <c r="H654" i="15" s="1"/>
  <c r="H655" i="15" s="1"/>
  <c r="H656" i="15" s="1"/>
  <c r="H657" i="15" s="1"/>
  <c r="H658" i="15" s="1"/>
  <c r="H659" i="15" s="1"/>
  <c r="H660" i="15" s="1"/>
  <c r="H661" i="15" s="1"/>
  <c r="H662" i="15" s="1"/>
  <c r="H663" i="15" s="1"/>
  <c r="H664" i="15" s="1"/>
  <c r="H665" i="15" s="1"/>
  <c r="H666" i="15" s="1"/>
  <c r="H667" i="15" s="1"/>
  <c r="H668" i="15" s="1"/>
  <c r="H669" i="15" s="1"/>
  <c r="H670" i="15" s="1"/>
  <c r="H671" i="15" s="1"/>
  <c r="H672" i="15" s="1"/>
  <c r="H673" i="15" s="1"/>
  <c r="H674" i="15" s="1"/>
  <c r="H675" i="15" s="1"/>
  <c r="H676" i="15" s="1"/>
  <c r="H677" i="15" s="1"/>
  <c r="H678" i="15" s="1"/>
  <c r="H679" i="15" s="1"/>
  <c r="H680" i="15" s="1"/>
  <c r="H681" i="15" s="1"/>
  <c r="H682" i="15" s="1"/>
  <c r="H683" i="15" s="1"/>
  <c r="H684" i="15" s="1"/>
  <c r="H685" i="15" s="1"/>
  <c r="H686" i="15" s="1"/>
  <c r="H687" i="15" s="1"/>
  <c r="H688" i="15" s="1"/>
  <c r="H689" i="15" s="1"/>
  <c r="H690" i="15" s="1"/>
  <c r="H691" i="15" s="1"/>
  <c r="H692" i="15" s="1"/>
  <c r="H693" i="15" s="1"/>
  <c r="H694" i="15" s="1"/>
  <c r="H695" i="15" s="1"/>
  <c r="H696" i="15" s="1"/>
  <c r="H697" i="15" s="1"/>
  <c r="H698" i="15" s="1"/>
  <c r="H699" i="15" s="1"/>
  <c r="H700" i="15" s="1"/>
  <c r="H701" i="15" s="1"/>
  <c r="H702" i="15" s="1"/>
  <c r="H703" i="15" s="1"/>
  <c r="H704" i="15" s="1"/>
  <c r="H705" i="15" s="1"/>
  <c r="H706" i="15" s="1"/>
  <c r="H707" i="15" s="1"/>
  <c r="H708" i="15" s="1"/>
  <c r="H709" i="15" s="1"/>
  <c r="H710" i="15" s="1"/>
  <c r="H711" i="15" s="1"/>
  <c r="H712" i="15" s="1"/>
  <c r="H713" i="15" s="1"/>
  <c r="H714" i="15" s="1"/>
  <c r="H715" i="15" s="1"/>
  <c r="H716" i="15" s="1"/>
  <c r="H717" i="15" s="1"/>
  <c r="H718" i="15" s="1"/>
  <c r="H719" i="15" s="1"/>
  <c r="H720" i="15" s="1"/>
  <c r="H721" i="15" s="1"/>
  <c r="H722" i="15" s="1"/>
  <c r="H723" i="15" s="1"/>
  <c r="H724" i="15" s="1"/>
  <c r="H725" i="15" s="1"/>
  <c r="H726" i="15" s="1"/>
  <c r="H727" i="15" s="1"/>
  <c r="H728" i="15" s="1"/>
  <c r="H729" i="15" s="1"/>
  <c r="H730" i="15" s="1"/>
  <c r="H731" i="15" s="1"/>
  <c r="H732" i="15" s="1"/>
  <c r="H733" i="15" s="1"/>
  <c r="H734" i="15" s="1"/>
  <c r="H735" i="15" s="1"/>
  <c r="H736" i="15" s="1"/>
  <c r="H737" i="15" s="1"/>
  <c r="H738" i="15" s="1"/>
  <c r="H739" i="15" s="1"/>
  <c r="H740" i="15" s="1"/>
  <c r="H741" i="15" s="1"/>
  <c r="H742" i="15" s="1"/>
  <c r="H743" i="15" s="1"/>
  <c r="H744" i="15" s="1"/>
  <c r="H745" i="15" s="1"/>
  <c r="H746" i="15" s="1"/>
  <c r="H747" i="15" s="1"/>
  <c r="H748" i="15" s="1"/>
  <c r="H386" i="15"/>
  <c r="H385" i="15"/>
  <c r="J385" i="15" s="1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29" i="15"/>
  <c r="I930" i="15"/>
  <c r="I931" i="15"/>
  <c r="I932" i="15"/>
  <c r="I933" i="15"/>
  <c r="I934" i="15"/>
  <c r="I935" i="15"/>
  <c r="I936" i="15"/>
  <c r="I937" i="15"/>
  <c r="I938" i="15"/>
  <c r="I939" i="15"/>
  <c r="I940" i="15"/>
  <c r="I941" i="15"/>
  <c r="I942" i="15"/>
  <c r="I943" i="15"/>
  <c r="I944" i="15"/>
  <c r="I945" i="15"/>
  <c r="I946" i="15"/>
  <c r="I947" i="15"/>
  <c r="I948" i="15"/>
  <c r="I949" i="15"/>
  <c r="I950" i="15"/>
  <c r="I951" i="15"/>
  <c r="I952" i="15"/>
  <c r="I953" i="15"/>
  <c r="I954" i="15"/>
  <c r="I955" i="15"/>
  <c r="I956" i="15"/>
  <c r="I957" i="15"/>
  <c r="I958" i="15"/>
  <c r="I959" i="15"/>
  <c r="I960" i="15"/>
  <c r="I961" i="15"/>
  <c r="I962" i="15"/>
  <c r="I963" i="15"/>
  <c r="I964" i="15"/>
  <c r="I965" i="15"/>
  <c r="I966" i="15"/>
  <c r="I967" i="15"/>
  <c r="I968" i="15"/>
  <c r="I969" i="15"/>
  <c r="I970" i="15"/>
  <c r="I971" i="15"/>
  <c r="I972" i="15"/>
  <c r="I973" i="15"/>
  <c r="I974" i="15"/>
  <c r="I975" i="15"/>
  <c r="I976" i="15"/>
  <c r="I977" i="15"/>
  <c r="I978" i="15"/>
  <c r="I979" i="15"/>
  <c r="I980" i="15"/>
  <c r="I981" i="15"/>
  <c r="I982" i="15"/>
  <c r="I983" i="15"/>
  <c r="I984" i="15"/>
  <c r="I985" i="15"/>
  <c r="I986" i="15"/>
  <c r="I987" i="15"/>
  <c r="I988" i="15"/>
  <c r="I989" i="15"/>
  <c r="I990" i="15"/>
  <c r="I991" i="15"/>
  <c r="I992" i="15"/>
  <c r="I993" i="15"/>
  <c r="I994" i="15"/>
  <c r="I995" i="15"/>
  <c r="I996" i="15"/>
  <c r="I997" i="15"/>
  <c r="I998" i="15"/>
  <c r="I999" i="15"/>
  <c r="I1000" i="15"/>
  <c r="I1001" i="15"/>
  <c r="I1002" i="15"/>
  <c r="I1003" i="15"/>
  <c r="I1004" i="15"/>
  <c r="I1005" i="15"/>
  <c r="I1006" i="15"/>
  <c r="I1007" i="15"/>
  <c r="I1008" i="15"/>
  <c r="I1009" i="15"/>
  <c r="I1010" i="15"/>
  <c r="I1011" i="15"/>
  <c r="I1012" i="15"/>
  <c r="I1013" i="15"/>
  <c r="I1014" i="15"/>
  <c r="I1015" i="15"/>
  <c r="I1016" i="15"/>
  <c r="I1017" i="15"/>
  <c r="I1018" i="15"/>
  <c r="I1019" i="15"/>
  <c r="I1020" i="15"/>
  <c r="I1021" i="15"/>
  <c r="I1022" i="15"/>
  <c r="I1023" i="15"/>
  <c r="I1024" i="15"/>
  <c r="I1025" i="15"/>
  <c r="I1026" i="15"/>
  <c r="I1027" i="15"/>
  <c r="I1028" i="15"/>
  <c r="I1029" i="15"/>
  <c r="I1030" i="15"/>
  <c r="I1031" i="15"/>
  <c r="I1032" i="15"/>
  <c r="I1033" i="15"/>
  <c r="I1034" i="15"/>
  <c r="I1035" i="15"/>
  <c r="I1036" i="15"/>
  <c r="I1037" i="15"/>
  <c r="I1038" i="15"/>
  <c r="I1039" i="15"/>
  <c r="I1040" i="15"/>
  <c r="I1041" i="15"/>
  <c r="I1042" i="15"/>
  <c r="I1043" i="15"/>
  <c r="I1044" i="15"/>
  <c r="I1045" i="15"/>
  <c r="I1046" i="15"/>
  <c r="I1047" i="15"/>
  <c r="I1048" i="15"/>
  <c r="I1049" i="15"/>
  <c r="I1050" i="15"/>
  <c r="I1051" i="15"/>
  <c r="I1052" i="15"/>
  <c r="I1053" i="15"/>
  <c r="I1054" i="15"/>
  <c r="I1055" i="15"/>
  <c r="I1056" i="15"/>
  <c r="I1057" i="15"/>
  <c r="I1058" i="15"/>
  <c r="I1059" i="15"/>
  <c r="I1060" i="15"/>
  <c r="I1061" i="15"/>
  <c r="I1062" i="15"/>
  <c r="I1063" i="15"/>
  <c r="I1064" i="15"/>
  <c r="I1065" i="15"/>
  <c r="I1066" i="15"/>
  <c r="I1067" i="15"/>
  <c r="I1068" i="15"/>
  <c r="I1069" i="15"/>
  <c r="I1070" i="15"/>
  <c r="I1071" i="15"/>
  <c r="I1072" i="15"/>
  <c r="I1073" i="15"/>
  <c r="I1074" i="15"/>
  <c r="I1075" i="15"/>
  <c r="I1076" i="15"/>
  <c r="I1077" i="15"/>
  <c r="I1078" i="15"/>
  <c r="I1079" i="15"/>
  <c r="I1080" i="15"/>
  <c r="I1081" i="15"/>
  <c r="I1082" i="15"/>
  <c r="I1083" i="15"/>
  <c r="I1084" i="15"/>
  <c r="I1085" i="15"/>
  <c r="I1086" i="15"/>
  <c r="I1087" i="15"/>
  <c r="I1088" i="15"/>
  <c r="I1089" i="15"/>
  <c r="I1090" i="15"/>
  <c r="I1091" i="15"/>
  <c r="I1092" i="15"/>
  <c r="I1093" i="15"/>
  <c r="I1094" i="15"/>
  <c r="I1095" i="15"/>
  <c r="I1096" i="15"/>
  <c r="I1097" i="15"/>
  <c r="I1098" i="15"/>
  <c r="I1099" i="15"/>
  <c r="I1100" i="15"/>
  <c r="I1101" i="15"/>
  <c r="I1102" i="15"/>
  <c r="I1103" i="15"/>
  <c r="I1104" i="15"/>
  <c r="I1105" i="15"/>
  <c r="I1106" i="15"/>
  <c r="I1107" i="15"/>
  <c r="I1108" i="15"/>
  <c r="I1109" i="15"/>
  <c r="I1110" i="15"/>
  <c r="I1111" i="15"/>
  <c r="I1112" i="15"/>
  <c r="I1113" i="15"/>
  <c r="I1114" i="15"/>
  <c r="I1115" i="15"/>
  <c r="I1116" i="15"/>
  <c r="I1117" i="15"/>
  <c r="I1118" i="15"/>
  <c r="I1119" i="15"/>
  <c r="I1120" i="15"/>
  <c r="I1121" i="15"/>
  <c r="I1122" i="15"/>
  <c r="I1123" i="15"/>
  <c r="I1124" i="15"/>
  <c r="I1125" i="15"/>
  <c r="I1126" i="15"/>
  <c r="I1127" i="15"/>
  <c r="I1128" i="15"/>
  <c r="I1129" i="15"/>
  <c r="I1130" i="15"/>
  <c r="I1131" i="15"/>
  <c r="I1132" i="15"/>
  <c r="I1133" i="15"/>
  <c r="I1134" i="15"/>
  <c r="I1135" i="15"/>
  <c r="I1136" i="15"/>
  <c r="I1137" i="15"/>
  <c r="I1138" i="15"/>
  <c r="I1139" i="15"/>
  <c r="I1140" i="15"/>
  <c r="I1141" i="15"/>
  <c r="I1142" i="15"/>
  <c r="I1143" i="15"/>
  <c r="I1144" i="15"/>
  <c r="I1145" i="15"/>
  <c r="I1146" i="15"/>
  <c r="I1147" i="15"/>
  <c r="I1148" i="15"/>
  <c r="I1149" i="15"/>
  <c r="I1150" i="15"/>
  <c r="I1151" i="15"/>
  <c r="I1152" i="15"/>
  <c r="I1153" i="15"/>
  <c r="I1154" i="15"/>
  <c r="I1155" i="15"/>
  <c r="I1156" i="15"/>
  <c r="I1157" i="15"/>
  <c r="I1158" i="15"/>
  <c r="I1159" i="15"/>
  <c r="I1160" i="15"/>
  <c r="I1161" i="15"/>
  <c r="I1162" i="15"/>
  <c r="I1163" i="15"/>
  <c r="I1164" i="15"/>
  <c r="I1165" i="15"/>
  <c r="I1166" i="15"/>
  <c r="I1167" i="15"/>
  <c r="I1168" i="15"/>
  <c r="I1169" i="15"/>
  <c r="I1170" i="15"/>
  <c r="I1171" i="15"/>
  <c r="I1172" i="15"/>
  <c r="I1173" i="15"/>
  <c r="I1174" i="15"/>
  <c r="I1175" i="15"/>
  <c r="I1176" i="15"/>
  <c r="I1177" i="15"/>
  <c r="I1178" i="15"/>
  <c r="I1179" i="15"/>
  <c r="I1180" i="15"/>
  <c r="I1181" i="15"/>
  <c r="I1182" i="15"/>
  <c r="I1183" i="15"/>
  <c r="I1184" i="15"/>
  <c r="I1185" i="15"/>
  <c r="I1186" i="15"/>
  <c r="I1187" i="15"/>
  <c r="I1188" i="15"/>
  <c r="I1189" i="15"/>
  <c r="I1190" i="15"/>
  <c r="I1191" i="15"/>
  <c r="I1192" i="15"/>
  <c r="I1193" i="15"/>
  <c r="I1194" i="15"/>
  <c r="I1195" i="15"/>
  <c r="I1196" i="15"/>
  <c r="I1197" i="15"/>
  <c r="I1198" i="15"/>
  <c r="I1199" i="15"/>
  <c r="I1200" i="15"/>
  <c r="I1201" i="15"/>
  <c r="I1202" i="15"/>
  <c r="I1203" i="15"/>
  <c r="I1204" i="15"/>
  <c r="I1205" i="15"/>
  <c r="I1206" i="15"/>
  <c r="I1207" i="15"/>
  <c r="I1208" i="15"/>
  <c r="I1209" i="15"/>
  <c r="I1210" i="15"/>
  <c r="I1211" i="15"/>
  <c r="I1212" i="15"/>
  <c r="I1213" i="15"/>
  <c r="I1214" i="15"/>
  <c r="I1215" i="15"/>
  <c r="I1216" i="15"/>
  <c r="I1217" i="15"/>
  <c r="I1218" i="15"/>
  <c r="I1219" i="15"/>
  <c r="I1220" i="15"/>
  <c r="I1221" i="15"/>
  <c r="I1222" i="15"/>
  <c r="I1223" i="15"/>
  <c r="I1224" i="15"/>
  <c r="I1225" i="15"/>
  <c r="I1226" i="15"/>
  <c r="I1227" i="15"/>
  <c r="I1228" i="15"/>
  <c r="I1229" i="15"/>
  <c r="I1230" i="15"/>
  <c r="I1231" i="15"/>
  <c r="I1232" i="15"/>
  <c r="I1233" i="15"/>
  <c r="I1234" i="15"/>
  <c r="I1235" i="15"/>
  <c r="I1236" i="15"/>
  <c r="I1237" i="15"/>
  <c r="I1238" i="15"/>
  <c r="I1239" i="15"/>
  <c r="I1240" i="15"/>
  <c r="I1241" i="15"/>
  <c r="I1242" i="15"/>
  <c r="I1243" i="15"/>
  <c r="I1244" i="15"/>
  <c r="I1245" i="15"/>
  <c r="I1246" i="15"/>
  <c r="I1247" i="15"/>
  <c r="I1248" i="15"/>
  <c r="I1249" i="15"/>
  <c r="I1250" i="15"/>
  <c r="I1251" i="15"/>
  <c r="I1252" i="15"/>
  <c r="I1253" i="15"/>
  <c r="I1254" i="15"/>
  <c r="I1255" i="15"/>
  <c r="I1256" i="15"/>
  <c r="I1257" i="15"/>
  <c r="I1258" i="15"/>
  <c r="I1259" i="15"/>
  <c r="I1260" i="15"/>
  <c r="I1261" i="15"/>
  <c r="I1262" i="15"/>
  <c r="I1263" i="15"/>
  <c r="I1264" i="15"/>
  <c r="I1265" i="15"/>
  <c r="I1266" i="15"/>
  <c r="I1267" i="15"/>
  <c r="I1268" i="15"/>
  <c r="I1269" i="15"/>
  <c r="I1270" i="15"/>
  <c r="I1271" i="15"/>
  <c r="I1272" i="15"/>
  <c r="I1273" i="15"/>
  <c r="I1274" i="15"/>
  <c r="I1275" i="15"/>
  <c r="I1276" i="15"/>
  <c r="I1277" i="15"/>
  <c r="I1278" i="15"/>
  <c r="I1279" i="15"/>
  <c r="I1280" i="15"/>
  <c r="I1281" i="15"/>
  <c r="I1282" i="15"/>
  <c r="I1283" i="15"/>
  <c r="I1284" i="15"/>
  <c r="I1285" i="15"/>
  <c r="I1286" i="15"/>
  <c r="I1287" i="15"/>
  <c r="I1288" i="15"/>
  <c r="I1289" i="15"/>
  <c r="I1290" i="15"/>
  <c r="I1291" i="15"/>
  <c r="I1292" i="15"/>
  <c r="I1293" i="15"/>
  <c r="I1294" i="15"/>
  <c r="I1295" i="15"/>
  <c r="I1296" i="15"/>
  <c r="I1297" i="15"/>
  <c r="I1298" i="15"/>
  <c r="I1299" i="15"/>
  <c r="I1300" i="15"/>
  <c r="I1301" i="15"/>
  <c r="I1302" i="15"/>
  <c r="I1303" i="15"/>
  <c r="I1304" i="15"/>
  <c r="I1305" i="15"/>
  <c r="I1306" i="15"/>
  <c r="I1307" i="15"/>
  <c r="I1308" i="15"/>
  <c r="I1309" i="15"/>
  <c r="I1310" i="15"/>
  <c r="I1311" i="15"/>
  <c r="I1312" i="15"/>
  <c r="I1313" i="15"/>
  <c r="I1314" i="15"/>
  <c r="I1315" i="15"/>
  <c r="I1316" i="15"/>
  <c r="I1317" i="15"/>
  <c r="I1318" i="15"/>
  <c r="I1319" i="15"/>
  <c r="J3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2" i="15"/>
  <c r="H2" i="15"/>
  <c r="O555" i="13" l="1"/>
  <c r="H749" i="15"/>
  <c r="O2" i="13" l="1"/>
  <c r="K368" i="13"/>
  <c r="K369" i="13" s="1"/>
  <c r="K4" i="13"/>
  <c r="K5" i="13" s="1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51" i="13" s="1"/>
  <c r="K152" i="13" s="1"/>
  <c r="K153" i="13" s="1"/>
  <c r="K154" i="13" s="1"/>
  <c r="K155" i="13" s="1"/>
  <c r="K156" i="13" s="1"/>
  <c r="K157" i="13" s="1"/>
  <c r="K158" i="13" s="1"/>
  <c r="K159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K184" i="13" s="1"/>
  <c r="K185" i="13" s="1"/>
  <c r="K186" i="13" s="1"/>
  <c r="K187" i="13" s="1"/>
  <c r="K188" i="13" s="1"/>
  <c r="K189" i="13" s="1"/>
  <c r="K190" i="13" s="1"/>
  <c r="K191" i="13" s="1"/>
  <c r="K192" i="13" s="1"/>
  <c r="K193" i="13" s="1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K205" i="13" s="1"/>
  <c r="K206" i="13" s="1"/>
  <c r="K207" i="13" s="1"/>
  <c r="K208" i="13" s="1"/>
  <c r="K209" i="13" s="1"/>
  <c r="K210" i="13" s="1"/>
  <c r="K211" i="13" s="1"/>
  <c r="K212" i="13" s="1"/>
  <c r="K213" i="13" s="1"/>
  <c r="K214" i="13" s="1"/>
  <c r="K215" i="13" s="1"/>
  <c r="K216" i="13" s="1"/>
  <c r="K217" i="13" s="1"/>
  <c r="K218" i="13" s="1"/>
  <c r="K219" i="13" s="1"/>
  <c r="K220" i="13" s="1"/>
  <c r="K221" i="13" s="1"/>
  <c r="K222" i="13" s="1"/>
  <c r="K223" i="13" s="1"/>
  <c r="K22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K246" i="13" s="1"/>
  <c r="K247" i="13" s="1"/>
  <c r="K248" i="13" s="1"/>
  <c r="K249" i="13" s="1"/>
  <c r="K250" i="13" s="1"/>
  <c r="K251" i="13" s="1"/>
  <c r="K252" i="13" s="1"/>
  <c r="K253" i="13" s="1"/>
  <c r="K254" i="13" s="1"/>
  <c r="K255" i="13" s="1"/>
  <c r="K256" i="13" s="1"/>
  <c r="K257" i="13" s="1"/>
  <c r="K258" i="13" s="1"/>
  <c r="K259" i="13" s="1"/>
  <c r="K260" i="13" s="1"/>
  <c r="K261" i="13" s="1"/>
  <c r="K262" i="13" s="1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277" i="13" s="1"/>
  <c r="K278" i="13" s="1"/>
  <c r="K279" i="13" s="1"/>
  <c r="K280" i="13" s="1"/>
  <c r="K281" i="13" s="1"/>
  <c r="K282" i="13" s="1"/>
  <c r="K283" i="13" s="1"/>
  <c r="K284" i="13" s="1"/>
  <c r="K285" i="13" s="1"/>
  <c r="K286" i="13" s="1"/>
  <c r="K287" i="13" s="1"/>
  <c r="K288" i="13" s="1"/>
  <c r="K289" i="13" s="1"/>
  <c r="K290" i="13" s="1"/>
  <c r="K291" i="13" s="1"/>
  <c r="K292" i="13" s="1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K305" i="13" s="1"/>
  <c r="K306" i="13" s="1"/>
  <c r="K307" i="13" s="1"/>
  <c r="K308" i="13" s="1"/>
  <c r="K309" i="13" s="1"/>
  <c r="K310" i="13" s="1"/>
  <c r="K311" i="13" s="1"/>
  <c r="K312" i="13" s="1"/>
  <c r="K313" i="13" s="1"/>
  <c r="K314" i="13" s="1"/>
  <c r="K315" i="13" s="1"/>
  <c r="K316" i="13" s="1"/>
  <c r="K317" i="13" s="1"/>
  <c r="K318" i="13" s="1"/>
  <c r="K319" i="13" s="1"/>
  <c r="K320" i="13" s="1"/>
  <c r="K321" i="13" s="1"/>
  <c r="K322" i="13" s="1"/>
  <c r="K323" i="13" s="1"/>
  <c r="K324" i="13" s="1"/>
  <c r="K325" i="13" s="1"/>
  <c r="K326" i="13" s="1"/>
  <c r="K327" i="13" s="1"/>
  <c r="K328" i="13" s="1"/>
  <c r="K329" i="13" s="1"/>
  <c r="K330" i="13" s="1"/>
  <c r="K331" i="13" s="1"/>
  <c r="K332" i="13" s="1"/>
  <c r="K333" i="13" s="1"/>
  <c r="K334" i="13" s="1"/>
  <c r="K335" i="13" s="1"/>
  <c r="K336" i="13" s="1"/>
  <c r="K337" i="13" s="1"/>
  <c r="K338" i="13" s="1"/>
  <c r="K339" i="13" s="1"/>
  <c r="K340" i="13" s="1"/>
  <c r="K341" i="13" s="1"/>
  <c r="K342" i="13" s="1"/>
  <c r="K343" i="13" s="1"/>
  <c r="K344" i="13" s="1"/>
  <c r="K345" i="13" s="1"/>
  <c r="K346" i="13" s="1"/>
  <c r="K347" i="13" s="1"/>
  <c r="K348" i="13" s="1"/>
  <c r="K349" i="13" s="1"/>
  <c r="K350" i="13" s="1"/>
  <c r="K351" i="13" s="1"/>
  <c r="K352" i="13" s="1"/>
  <c r="K353" i="13" s="1"/>
  <c r="K354" i="13" s="1"/>
  <c r="K355" i="13" s="1"/>
  <c r="K356" i="13" s="1"/>
  <c r="K357" i="13" s="1"/>
  <c r="K358" i="13" s="1"/>
  <c r="K359" i="13" s="1"/>
  <c r="K360" i="13" s="1"/>
  <c r="K361" i="13" s="1"/>
  <c r="K362" i="13" s="1"/>
  <c r="K363" i="13" s="1"/>
  <c r="K364" i="13" s="1"/>
  <c r="K365" i="13" s="1"/>
  <c r="K366" i="13" s="1"/>
  <c r="K367" i="13" s="1"/>
  <c r="O367" i="13" s="1"/>
  <c r="K3" i="13"/>
  <c r="O3" i="13" s="1"/>
  <c r="K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I2218" i="1"/>
  <c r="N2" i="13"/>
  <c r="K370" i="13" l="1"/>
  <c r="O369" i="13"/>
  <c r="O360" i="13"/>
  <c r="O350" i="13"/>
  <c r="O340" i="13"/>
  <c r="O330" i="13"/>
  <c r="O320" i="13"/>
  <c r="O310" i="13"/>
  <c r="O300" i="13"/>
  <c r="O290" i="13"/>
  <c r="O280" i="13"/>
  <c r="O270" i="13"/>
  <c r="O260" i="13"/>
  <c r="O250" i="13"/>
  <c r="O240" i="13"/>
  <c r="O230" i="13"/>
  <c r="O220" i="13"/>
  <c r="O210" i="13"/>
  <c r="O200" i="13"/>
  <c r="O190" i="13"/>
  <c r="O180" i="13"/>
  <c r="O170" i="13"/>
  <c r="O160" i="13"/>
  <c r="O150" i="13"/>
  <c r="O140" i="13"/>
  <c r="O130" i="13"/>
  <c r="O120" i="13"/>
  <c r="O110" i="13"/>
  <c r="O100" i="13"/>
  <c r="O90" i="13"/>
  <c r="O80" i="13"/>
  <c r="O70" i="13"/>
  <c r="O60" i="13"/>
  <c r="O50" i="13"/>
  <c r="O40" i="13"/>
  <c r="O30" i="13"/>
  <c r="O20" i="13"/>
  <c r="O10" i="13"/>
  <c r="O359" i="13"/>
  <c r="O349" i="13"/>
  <c r="O339" i="13"/>
  <c r="O329" i="13"/>
  <c r="O319" i="13"/>
  <c r="O309" i="13"/>
  <c r="O299" i="13"/>
  <c r="O289" i="13"/>
  <c r="O279" i="13"/>
  <c r="O269" i="13"/>
  <c r="O259" i="13"/>
  <c r="O249" i="13"/>
  <c r="O239" i="13"/>
  <c r="O229" i="13"/>
  <c r="O219" i="13"/>
  <c r="O209" i="13"/>
  <c r="O199" i="13"/>
  <c r="O189" i="13"/>
  <c r="O179" i="13"/>
  <c r="O169" i="13"/>
  <c r="O159" i="13"/>
  <c r="O149" i="13"/>
  <c r="O139" i="13"/>
  <c r="O129" i="13"/>
  <c r="O119" i="13"/>
  <c r="O109" i="13"/>
  <c r="O99" i="13"/>
  <c r="O89" i="13"/>
  <c r="O79" i="13"/>
  <c r="O69" i="13"/>
  <c r="O59" i="13"/>
  <c r="O49" i="13"/>
  <c r="O39" i="13"/>
  <c r="O29" i="13"/>
  <c r="O19" i="13"/>
  <c r="O9" i="13"/>
  <c r="O368" i="13"/>
  <c r="O358" i="13"/>
  <c r="O348" i="13"/>
  <c r="O338" i="13"/>
  <c r="O328" i="13"/>
  <c r="O318" i="13"/>
  <c r="O308" i="13"/>
  <c r="O298" i="13"/>
  <c r="O288" i="13"/>
  <c r="O278" i="13"/>
  <c r="O268" i="13"/>
  <c r="O258" i="13"/>
  <c r="O248" i="13"/>
  <c r="O238" i="13"/>
  <c r="O228" i="13"/>
  <c r="O218" i="13"/>
  <c r="O208" i="13"/>
  <c r="O198" i="13"/>
  <c r="O188" i="13"/>
  <c r="O178" i="13"/>
  <c r="O168" i="13"/>
  <c r="O158" i="13"/>
  <c r="O148" i="13"/>
  <c r="O138" i="13"/>
  <c r="O128" i="13"/>
  <c r="O118" i="13"/>
  <c r="O108" i="13"/>
  <c r="O98" i="13"/>
  <c r="O88" i="13"/>
  <c r="O78" i="13"/>
  <c r="O68" i="13"/>
  <c r="O58" i="13"/>
  <c r="O48" i="13"/>
  <c r="O38" i="13"/>
  <c r="O28" i="13"/>
  <c r="O18" i="13"/>
  <c r="O8" i="13"/>
  <c r="O357" i="13"/>
  <c r="O347" i="13"/>
  <c r="O337" i="13"/>
  <c r="O327" i="13"/>
  <c r="O317" i="13"/>
  <c r="O307" i="13"/>
  <c r="O297" i="13"/>
  <c r="O287" i="13"/>
  <c r="O277" i="13"/>
  <c r="O267" i="13"/>
  <c r="O257" i="13"/>
  <c r="O247" i="13"/>
  <c r="O237" i="13"/>
  <c r="O227" i="13"/>
  <c r="O217" i="13"/>
  <c r="O207" i="13"/>
  <c r="O197" i="13"/>
  <c r="O187" i="13"/>
  <c r="O177" i="13"/>
  <c r="O167" i="13"/>
  <c r="O157" i="13"/>
  <c r="O147" i="13"/>
  <c r="O137" i="13"/>
  <c r="O127" i="13"/>
  <c r="O117" i="13"/>
  <c r="O107" i="13"/>
  <c r="O97" i="13"/>
  <c r="O87" i="13"/>
  <c r="O77" i="13"/>
  <c r="O67" i="13"/>
  <c r="O57" i="13"/>
  <c r="O47" i="13"/>
  <c r="O37" i="13"/>
  <c r="O27" i="13"/>
  <c r="O17" i="13"/>
  <c r="O7" i="13"/>
  <c r="O366" i="13"/>
  <c r="O356" i="13"/>
  <c r="O346" i="13"/>
  <c r="O336" i="13"/>
  <c r="O326" i="13"/>
  <c r="O316" i="13"/>
  <c r="O306" i="13"/>
  <c r="O296" i="13"/>
  <c r="O286" i="13"/>
  <c r="O276" i="13"/>
  <c r="O266" i="13"/>
  <c r="O256" i="13"/>
  <c r="O246" i="13"/>
  <c r="O236" i="13"/>
  <c r="O226" i="13"/>
  <c r="O216" i="13"/>
  <c r="O206" i="13"/>
  <c r="O196" i="13"/>
  <c r="O186" i="13"/>
  <c r="O176" i="13"/>
  <c r="O166" i="13"/>
  <c r="O156" i="13"/>
  <c r="O146" i="13"/>
  <c r="O136" i="13"/>
  <c r="O126" i="13"/>
  <c r="O116" i="13"/>
  <c r="O106" i="13"/>
  <c r="O96" i="13"/>
  <c r="O86" i="13"/>
  <c r="O76" i="13"/>
  <c r="O66" i="13"/>
  <c r="O56" i="13"/>
  <c r="O46" i="13"/>
  <c r="O36" i="13"/>
  <c r="O26" i="13"/>
  <c r="O16" i="13"/>
  <c r="O6" i="13"/>
  <c r="O365" i="13"/>
  <c r="O355" i="13"/>
  <c r="O345" i="13"/>
  <c r="O335" i="13"/>
  <c r="O325" i="13"/>
  <c r="O315" i="13"/>
  <c r="O305" i="13"/>
  <c r="O295" i="13"/>
  <c r="O285" i="13"/>
  <c r="O275" i="13"/>
  <c r="O265" i="13"/>
  <c r="O255" i="13"/>
  <c r="O245" i="13"/>
  <c r="O235" i="13"/>
  <c r="O225" i="13"/>
  <c r="O215" i="13"/>
  <c r="O205" i="13"/>
  <c r="O195" i="13"/>
  <c r="O185" i="13"/>
  <c r="O175" i="13"/>
  <c r="O165" i="13"/>
  <c r="O155" i="13"/>
  <c r="O145" i="13"/>
  <c r="O135" i="13"/>
  <c r="O125" i="13"/>
  <c r="O115" i="13"/>
  <c r="O105" i="13"/>
  <c r="O95" i="13"/>
  <c r="O85" i="13"/>
  <c r="O75" i="13"/>
  <c r="O65" i="13"/>
  <c r="O55" i="13"/>
  <c r="O45" i="13"/>
  <c r="O35" i="13"/>
  <c r="O25" i="13"/>
  <c r="O15" i="13"/>
  <c r="O5" i="13"/>
  <c r="O4" i="13"/>
  <c r="O344" i="13"/>
  <c r="O314" i="13"/>
  <c r="O284" i="13"/>
  <c r="O254" i="13"/>
  <c r="O224" i="13"/>
  <c r="O194" i="13"/>
  <c r="O164" i="13"/>
  <c r="O134" i="13"/>
  <c r="O104" i="13"/>
  <c r="O74" i="13"/>
  <c r="O44" i="13"/>
  <c r="O34" i="13"/>
  <c r="O363" i="13"/>
  <c r="O353" i="13"/>
  <c r="O343" i="13"/>
  <c r="O333" i="13"/>
  <c r="O323" i="13"/>
  <c r="O313" i="13"/>
  <c r="O303" i="13"/>
  <c r="O293" i="13"/>
  <c r="O283" i="13"/>
  <c r="O273" i="13"/>
  <c r="O263" i="13"/>
  <c r="O253" i="13"/>
  <c r="O243" i="13"/>
  <c r="O233" i="13"/>
  <c r="O223" i="13"/>
  <c r="O213" i="13"/>
  <c r="O203" i="13"/>
  <c r="O193" i="13"/>
  <c r="O183" i="13"/>
  <c r="O173" i="13"/>
  <c r="O163" i="13"/>
  <c r="O153" i="13"/>
  <c r="O143" i="13"/>
  <c r="O133" i="13"/>
  <c r="O123" i="13"/>
  <c r="O113" i="13"/>
  <c r="O103" i="13"/>
  <c r="O93" i="13"/>
  <c r="O83" i="13"/>
  <c r="O73" i="13"/>
  <c r="O63" i="13"/>
  <c r="O53" i="13"/>
  <c r="O43" i="13"/>
  <c r="O33" i="13"/>
  <c r="O23" i="13"/>
  <c r="O13" i="13"/>
  <c r="O354" i="13"/>
  <c r="O324" i="13"/>
  <c r="O304" i="13"/>
  <c r="O274" i="13"/>
  <c r="O244" i="13"/>
  <c r="O214" i="13"/>
  <c r="O184" i="13"/>
  <c r="O154" i="13"/>
  <c r="O124" i="13"/>
  <c r="O94" i="13"/>
  <c r="O64" i="13"/>
  <c r="O14" i="13"/>
  <c r="O362" i="13"/>
  <c r="O352" i="13"/>
  <c r="O342" i="13"/>
  <c r="O332" i="13"/>
  <c r="O322" i="13"/>
  <c r="O312" i="13"/>
  <c r="O302" i="13"/>
  <c r="O292" i="13"/>
  <c r="O282" i="13"/>
  <c r="O272" i="13"/>
  <c r="O262" i="13"/>
  <c r="O252" i="13"/>
  <c r="O242" i="13"/>
  <c r="O232" i="13"/>
  <c r="O222" i="13"/>
  <c r="O212" i="13"/>
  <c r="O202" i="13"/>
  <c r="O192" i="13"/>
  <c r="O182" i="13"/>
  <c r="O172" i="13"/>
  <c r="O162" i="13"/>
  <c r="O152" i="13"/>
  <c r="O142" i="13"/>
  <c r="O132" i="13"/>
  <c r="O122" i="13"/>
  <c r="O112" i="13"/>
  <c r="O102" i="13"/>
  <c r="O92" i="13"/>
  <c r="O82" i="13"/>
  <c r="O72" i="13"/>
  <c r="O62" i="13"/>
  <c r="O52" i="13"/>
  <c r="O42" i="13"/>
  <c r="O32" i="13"/>
  <c r="O22" i="13"/>
  <c r="O12" i="13"/>
  <c r="O364" i="13"/>
  <c r="O334" i="13"/>
  <c r="O294" i="13"/>
  <c r="O264" i="13"/>
  <c r="O234" i="13"/>
  <c r="O204" i="13"/>
  <c r="O174" i="13"/>
  <c r="O144" i="13"/>
  <c r="O114" i="13"/>
  <c r="O84" i="13"/>
  <c r="O54" i="13"/>
  <c r="O24" i="13"/>
  <c r="O361" i="13"/>
  <c r="O351" i="13"/>
  <c r="O341" i="13"/>
  <c r="O331" i="13"/>
  <c r="O321" i="13"/>
  <c r="O311" i="13"/>
  <c r="O301" i="13"/>
  <c r="O291" i="13"/>
  <c r="O281" i="13"/>
  <c r="O271" i="13"/>
  <c r="O261" i="13"/>
  <c r="O251" i="13"/>
  <c r="O241" i="13"/>
  <c r="O231" i="13"/>
  <c r="O221" i="13"/>
  <c r="O211" i="13"/>
  <c r="O201" i="13"/>
  <c r="O191" i="13"/>
  <c r="O181" i="13"/>
  <c r="O171" i="13"/>
  <c r="O161" i="13"/>
  <c r="O151" i="13"/>
  <c r="O141" i="13"/>
  <c r="O131" i="13"/>
  <c r="O121" i="13"/>
  <c r="O111" i="13"/>
  <c r="O101" i="13"/>
  <c r="O91" i="13"/>
  <c r="O81" i="13"/>
  <c r="O71" i="13"/>
  <c r="O61" i="13"/>
  <c r="O51" i="13"/>
  <c r="O41" i="13"/>
  <c r="O31" i="13"/>
  <c r="O21" i="13"/>
  <c r="O11" i="13"/>
  <c r="E8" i="14"/>
  <c r="F11" i="16" s="1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K371" i="13" l="1"/>
  <c r="O370" i="13"/>
  <c r="K372" i="13" l="1"/>
  <c r="O371" i="13"/>
  <c r="K373" i="13" l="1"/>
  <c r="O372" i="13"/>
  <c r="K374" i="13" l="1"/>
  <c r="O373" i="13"/>
  <c r="K375" i="13" l="1"/>
  <c r="O374" i="13"/>
  <c r="K376" i="13" l="1"/>
  <c r="O375" i="13"/>
  <c r="K377" i="13" l="1"/>
  <c r="O376" i="13"/>
  <c r="K378" i="13" l="1"/>
  <c r="O377" i="13"/>
  <c r="K379" i="13" l="1"/>
  <c r="O378" i="13"/>
  <c r="K380" i="13" l="1"/>
  <c r="O379" i="13"/>
  <c r="K381" i="13" l="1"/>
  <c r="O380" i="13"/>
  <c r="K382" i="13" l="1"/>
  <c r="O381" i="13"/>
  <c r="K383" i="13" l="1"/>
  <c r="O382" i="13"/>
  <c r="K384" i="13" l="1"/>
  <c r="O383" i="13"/>
  <c r="K385" i="13" l="1"/>
  <c r="O384" i="13"/>
  <c r="K386" i="13" l="1"/>
  <c r="O385" i="13"/>
  <c r="K387" i="13" l="1"/>
  <c r="O386" i="13"/>
  <c r="K388" i="13" l="1"/>
  <c r="O387" i="13"/>
  <c r="K389" i="13" l="1"/>
  <c r="O388" i="13"/>
  <c r="K390" i="13" l="1"/>
  <c r="O389" i="13"/>
  <c r="K391" i="13" l="1"/>
  <c r="O390" i="13"/>
  <c r="K392" i="13" l="1"/>
  <c r="O391" i="13"/>
  <c r="K393" i="13" l="1"/>
  <c r="O392" i="13"/>
  <c r="K394" i="13" l="1"/>
  <c r="O393" i="13"/>
  <c r="K395" i="13" l="1"/>
  <c r="O394" i="13"/>
  <c r="K396" i="13" l="1"/>
  <c r="O395" i="13"/>
  <c r="K397" i="13" l="1"/>
  <c r="O396" i="13"/>
  <c r="K398" i="13" l="1"/>
  <c r="O397" i="13"/>
  <c r="K399" i="13" l="1"/>
  <c r="O398" i="13"/>
  <c r="K400" i="13" l="1"/>
  <c r="O399" i="13"/>
  <c r="K401" i="13" l="1"/>
  <c r="O400" i="13"/>
  <c r="K402" i="13" l="1"/>
  <c r="O401" i="13"/>
  <c r="H3014" i="1"/>
  <c r="J3014" i="1" s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H3015" i="1" l="1"/>
  <c r="K403" i="13"/>
  <c r="O402" i="13"/>
  <c r="J3015" i="1" l="1"/>
  <c r="H3016" i="1"/>
  <c r="K404" i="13"/>
  <c r="O403" i="13"/>
  <c r="H3017" i="1" l="1"/>
  <c r="J3016" i="1"/>
  <c r="K405" i="13"/>
  <c r="O404" i="13"/>
  <c r="J3017" i="1" l="1"/>
  <c r="H3018" i="1"/>
  <c r="K406" i="13"/>
  <c r="O405" i="13"/>
  <c r="J3018" i="1" l="1"/>
  <c r="H3019" i="1"/>
  <c r="K407" i="13"/>
  <c r="O406" i="13"/>
  <c r="J3019" i="1" l="1"/>
  <c r="H3020" i="1"/>
  <c r="K408" i="13"/>
  <c r="O407" i="13"/>
  <c r="J3020" i="1" l="1"/>
  <c r="H3021" i="1"/>
  <c r="K409" i="13"/>
  <c r="O408" i="13"/>
  <c r="J3021" i="1" l="1"/>
  <c r="H3022" i="1"/>
  <c r="K410" i="13"/>
  <c r="O409" i="13"/>
  <c r="J3022" i="1" l="1"/>
  <c r="H3023" i="1"/>
  <c r="K411" i="13"/>
  <c r="O410" i="13"/>
  <c r="J3023" i="1" l="1"/>
  <c r="H3024" i="1"/>
  <c r="K412" i="13"/>
  <c r="O411" i="13"/>
  <c r="J3024" i="1" l="1"/>
  <c r="H3025" i="1"/>
  <c r="K413" i="13"/>
  <c r="O412" i="13"/>
  <c r="J3025" i="1" l="1"/>
  <c r="H3026" i="1"/>
  <c r="K414" i="13"/>
  <c r="O413" i="13"/>
  <c r="J3026" i="1" l="1"/>
  <c r="H3027" i="1"/>
  <c r="K415" i="13"/>
  <c r="O414" i="13"/>
  <c r="J3027" i="1" l="1"/>
  <c r="H3028" i="1"/>
  <c r="K416" i="13"/>
  <c r="O415" i="13"/>
  <c r="J3028" i="1" l="1"/>
  <c r="H3029" i="1"/>
  <c r="K417" i="13"/>
  <c r="O416" i="13"/>
  <c r="J3029" i="1" l="1"/>
  <c r="H3030" i="1"/>
  <c r="K418" i="13"/>
  <c r="O417" i="13"/>
  <c r="J3030" i="1" l="1"/>
  <c r="H3031" i="1"/>
  <c r="K419" i="13"/>
  <c r="O418" i="13"/>
  <c r="J3031" i="1" l="1"/>
  <c r="H3032" i="1"/>
  <c r="K420" i="13"/>
  <c r="O419" i="13"/>
  <c r="J3032" i="1" l="1"/>
  <c r="H3033" i="1"/>
  <c r="K421" i="13"/>
  <c r="O420" i="13"/>
  <c r="J3033" i="1" l="1"/>
  <c r="H3034" i="1"/>
  <c r="K422" i="13"/>
  <c r="O421" i="13"/>
  <c r="J3034" i="1" l="1"/>
  <c r="H3035" i="1"/>
  <c r="K423" i="13"/>
  <c r="O422" i="13"/>
  <c r="J3035" i="1" l="1"/>
  <c r="H3036" i="1"/>
  <c r="K424" i="13"/>
  <c r="O423" i="13"/>
  <c r="J3036" i="1" l="1"/>
  <c r="H3037" i="1"/>
  <c r="K425" i="13"/>
  <c r="O424" i="13"/>
  <c r="J3037" i="1" l="1"/>
  <c r="H3038" i="1"/>
  <c r="K426" i="13"/>
  <c r="O425" i="13"/>
  <c r="J3038" i="1" l="1"/>
  <c r="H3039" i="1"/>
  <c r="K427" i="13"/>
  <c r="O426" i="13"/>
  <c r="J3039" i="1" l="1"/>
  <c r="H3040" i="1"/>
  <c r="K428" i="13"/>
  <c r="O427" i="13"/>
  <c r="J3040" i="1" l="1"/>
  <c r="H3041" i="1"/>
  <c r="K429" i="13"/>
  <c r="O428" i="13"/>
  <c r="J3041" i="1" l="1"/>
  <c r="H3042" i="1"/>
  <c r="K430" i="13"/>
  <c r="O429" i="13"/>
  <c r="J3042" i="1" l="1"/>
  <c r="H3043" i="1"/>
  <c r="K431" i="13"/>
  <c r="O430" i="13"/>
  <c r="J3043" i="1" l="1"/>
  <c r="H3044" i="1"/>
  <c r="K432" i="13"/>
  <c r="O431" i="13"/>
  <c r="J3044" i="1" l="1"/>
  <c r="H3045" i="1"/>
  <c r="K433" i="13"/>
  <c r="O432" i="13"/>
  <c r="J3045" i="1" l="1"/>
  <c r="H3046" i="1"/>
  <c r="K434" i="13"/>
  <c r="O433" i="13"/>
  <c r="J3046" i="1" l="1"/>
  <c r="H3047" i="1"/>
  <c r="K435" i="13"/>
  <c r="O434" i="13"/>
  <c r="J3047" i="1" l="1"/>
  <c r="H3048" i="1"/>
  <c r="K436" i="13"/>
  <c r="O435" i="13"/>
  <c r="J3048" i="1" l="1"/>
  <c r="H3049" i="1"/>
  <c r="K437" i="13"/>
  <c r="O436" i="13"/>
  <c r="J3049" i="1" l="1"/>
  <c r="H3050" i="1"/>
  <c r="K438" i="13"/>
  <c r="O437" i="13"/>
  <c r="J3050" i="1" l="1"/>
  <c r="H3051" i="1"/>
  <c r="K439" i="13"/>
  <c r="O438" i="13"/>
  <c r="J3051" i="1" l="1"/>
  <c r="H3052" i="1"/>
  <c r="K440" i="13"/>
  <c r="O439" i="13"/>
  <c r="J3052" i="1" l="1"/>
  <c r="H3053" i="1"/>
  <c r="K441" i="13"/>
  <c r="O440" i="13"/>
  <c r="J3053" i="1" l="1"/>
  <c r="H3054" i="1"/>
  <c r="K442" i="13"/>
  <c r="O441" i="13"/>
  <c r="J3054" i="1" l="1"/>
  <c r="H3055" i="1"/>
  <c r="K443" i="13"/>
  <c r="O442" i="13"/>
  <c r="J3055" i="1" l="1"/>
  <c r="H3056" i="1"/>
  <c r="K444" i="13"/>
  <c r="O443" i="13"/>
  <c r="J3056" i="1" l="1"/>
  <c r="H3057" i="1"/>
  <c r="K445" i="13"/>
  <c r="O444" i="13"/>
  <c r="J3057" i="1" l="1"/>
  <c r="H3058" i="1"/>
  <c r="K446" i="13"/>
  <c r="O445" i="13"/>
  <c r="J3058" i="1" l="1"/>
  <c r="H3059" i="1"/>
  <c r="K447" i="13"/>
  <c r="O446" i="13"/>
  <c r="J3059" i="1" l="1"/>
  <c r="H3060" i="1"/>
  <c r="K448" i="13"/>
  <c r="O447" i="13"/>
  <c r="J3060" i="1" l="1"/>
  <c r="H3061" i="1"/>
  <c r="K449" i="13"/>
  <c r="O448" i="13"/>
  <c r="J3061" i="1" l="1"/>
  <c r="H3062" i="1"/>
  <c r="K450" i="13"/>
  <c r="O449" i="13"/>
  <c r="J3062" i="1" l="1"/>
  <c r="H3063" i="1"/>
  <c r="K451" i="13"/>
  <c r="O450" i="13"/>
  <c r="J3063" i="1" l="1"/>
  <c r="H3064" i="1"/>
  <c r="K452" i="13"/>
  <c r="O451" i="13"/>
  <c r="J3064" i="1" l="1"/>
  <c r="H3065" i="1"/>
  <c r="K453" i="13"/>
  <c r="O452" i="13"/>
  <c r="J3065" i="1" l="1"/>
  <c r="H3066" i="1"/>
  <c r="K454" i="13"/>
  <c r="O453" i="13"/>
  <c r="J3066" i="1" l="1"/>
  <c r="H3067" i="1"/>
  <c r="K455" i="13"/>
  <c r="O454" i="13"/>
  <c r="J3067" i="1" l="1"/>
  <c r="H3068" i="1"/>
  <c r="K456" i="13"/>
  <c r="O455" i="13"/>
  <c r="J3068" i="1" l="1"/>
  <c r="H3069" i="1"/>
  <c r="K457" i="13"/>
  <c r="O456" i="13"/>
  <c r="J3069" i="1" l="1"/>
  <c r="H3070" i="1"/>
  <c r="K458" i="13"/>
  <c r="O457" i="13"/>
  <c r="J3070" i="1" l="1"/>
  <c r="H3071" i="1"/>
  <c r="K459" i="13"/>
  <c r="O458" i="13"/>
  <c r="J3071" i="1" l="1"/>
  <c r="H3072" i="1"/>
  <c r="K460" i="13"/>
  <c r="O459" i="13"/>
  <c r="J3072" i="1" l="1"/>
  <c r="H3073" i="1"/>
  <c r="K461" i="13"/>
  <c r="O460" i="13"/>
  <c r="J3073" i="1" l="1"/>
  <c r="H3074" i="1"/>
  <c r="K462" i="13"/>
  <c r="O461" i="13"/>
  <c r="J3074" i="1" l="1"/>
  <c r="H3075" i="1"/>
  <c r="K463" i="13"/>
  <c r="O462" i="13"/>
  <c r="J3075" i="1" l="1"/>
  <c r="H3076" i="1"/>
  <c r="K464" i="13"/>
  <c r="O463" i="13"/>
  <c r="J3076" i="1" l="1"/>
  <c r="H3077" i="1"/>
  <c r="K465" i="13"/>
  <c r="O464" i="13"/>
  <c r="J3077" i="1" l="1"/>
  <c r="H3078" i="1"/>
  <c r="K466" i="13"/>
  <c r="O465" i="13"/>
  <c r="J3078" i="1" l="1"/>
  <c r="H3079" i="1"/>
  <c r="K467" i="13"/>
  <c r="O466" i="13"/>
  <c r="J3079" i="1" l="1"/>
  <c r="H3080" i="1"/>
  <c r="K468" i="13"/>
  <c r="O467" i="13"/>
  <c r="J3080" i="1" l="1"/>
  <c r="H3081" i="1"/>
  <c r="K469" i="13"/>
  <c r="O468" i="13"/>
  <c r="J3081" i="1" l="1"/>
  <c r="H3082" i="1"/>
  <c r="K470" i="13"/>
  <c r="O469" i="13"/>
  <c r="J3082" i="1" l="1"/>
  <c r="H3083" i="1"/>
  <c r="K471" i="13"/>
  <c r="O470" i="13"/>
  <c r="J3083" i="1" l="1"/>
  <c r="H3084" i="1"/>
  <c r="K472" i="13"/>
  <c r="O471" i="13"/>
  <c r="J3084" i="1" l="1"/>
  <c r="H3085" i="1"/>
  <c r="K473" i="13"/>
  <c r="O472" i="13"/>
  <c r="J3085" i="1" l="1"/>
  <c r="H3086" i="1"/>
  <c r="K474" i="13"/>
  <c r="O473" i="13"/>
  <c r="J3086" i="1" l="1"/>
  <c r="H3087" i="1"/>
  <c r="K475" i="13"/>
  <c r="O474" i="13"/>
  <c r="J3087" i="1" l="1"/>
  <c r="H3088" i="1"/>
  <c r="K476" i="13"/>
  <c r="O475" i="13"/>
  <c r="J3088" i="1" l="1"/>
  <c r="H3089" i="1"/>
  <c r="K477" i="13"/>
  <c r="O476" i="13"/>
  <c r="J3089" i="1" l="1"/>
  <c r="H3090" i="1"/>
  <c r="K478" i="13"/>
  <c r="O477" i="13"/>
  <c r="J3090" i="1" l="1"/>
  <c r="H3091" i="1"/>
  <c r="K479" i="13"/>
  <c r="O478" i="13"/>
  <c r="J3091" i="1" l="1"/>
  <c r="H3092" i="1"/>
  <c r="K480" i="13"/>
  <c r="O479" i="13"/>
  <c r="J3092" i="1" l="1"/>
  <c r="H3093" i="1"/>
  <c r="K481" i="13"/>
  <c r="O480" i="13"/>
  <c r="J3093" i="1" l="1"/>
  <c r="H3094" i="1"/>
  <c r="K482" i="13"/>
  <c r="O481" i="13"/>
  <c r="J3094" i="1" l="1"/>
  <c r="H3095" i="1"/>
  <c r="K483" i="13"/>
  <c r="O482" i="13"/>
  <c r="J3095" i="1" l="1"/>
  <c r="H3096" i="1"/>
  <c r="K484" i="13"/>
  <c r="O483" i="13"/>
  <c r="J3096" i="1" l="1"/>
  <c r="H3097" i="1"/>
  <c r="K485" i="13"/>
  <c r="O484" i="13"/>
  <c r="J3097" i="1" l="1"/>
  <c r="H3098" i="1"/>
  <c r="K486" i="13"/>
  <c r="O485" i="13"/>
  <c r="J3098" i="1" l="1"/>
  <c r="H3099" i="1"/>
  <c r="K487" i="13"/>
  <c r="O486" i="13"/>
  <c r="J3099" i="1" l="1"/>
  <c r="H3100" i="1"/>
  <c r="K488" i="13"/>
  <c r="O487" i="13"/>
  <c r="J3100" i="1" l="1"/>
  <c r="H3101" i="1"/>
  <c r="K489" i="13"/>
  <c r="O488" i="13"/>
  <c r="J3101" i="1" l="1"/>
  <c r="H3102" i="1"/>
  <c r="K490" i="13"/>
  <c r="O489" i="13"/>
  <c r="J3102" i="1" l="1"/>
  <c r="H3103" i="1"/>
  <c r="K491" i="13"/>
  <c r="O490" i="13"/>
  <c r="J3103" i="1" l="1"/>
  <c r="H3104" i="1"/>
  <c r="K492" i="13"/>
  <c r="O491" i="13"/>
  <c r="J3104" i="1" l="1"/>
  <c r="H3105" i="1"/>
  <c r="K493" i="13"/>
  <c r="O492" i="13"/>
  <c r="J3105" i="1" l="1"/>
  <c r="H3106" i="1"/>
  <c r="K494" i="13"/>
  <c r="O493" i="13"/>
  <c r="J3106" i="1" l="1"/>
  <c r="H3107" i="1"/>
  <c r="K495" i="13"/>
  <c r="O494" i="13"/>
  <c r="J3107" i="1" l="1"/>
  <c r="H3108" i="1"/>
  <c r="K496" i="13"/>
  <c r="O495" i="13"/>
  <c r="J3108" i="1" l="1"/>
  <c r="H3109" i="1"/>
  <c r="K497" i="13"/>
  <c r="O496" i="13"/>
  <c r="J3109" i="1" l="1"/>
  <c r="H3110" i="1"/>
  <c r="K498" i="13"/>
  <c r="O497" i="13"/>
  <c r="J3110" i="1" l="1"/>
  <c r="H3111" i="1"/>
  <c r="K499" i="13"/>
  <c r="O498" i="13"/>
  <c r="J3111" i="1" l="1"/>
  <c r="H3112" i="1"/>
  <c r="K500" i="13"/>
  <c r="O499" i="13"/>
  <c r="J3112" i="1" l="1"/>
  <c r="H3113" i="1"/>
  <c r="K501" i="13"/>
  <c r="O500" i="13"/>
  <c r="J3113" i="1" l="1"/>
  <c r="H3114" i="1"/>
  <c r="K502" i="13"/>
  <c r="O501" i="13"/>
  <c r="J3114" i="1" l="1"/>
  <c r="H3115" i="1"/>
  <c r="K503" i="13"/>
  <c r="O502" i="13"/>
  <c r="J3115" i="1" l="1"/>
  <c r="H3116" i="1"/>
  <c r="K504" i="13"/>
  <c r="O503" i="13"/>
  <c r="J3116" i="1" l="1"/>
  <c r="H3117" i="1"/>
  <c r="K505" i="13"/>
  <c r="O504" i="13"/>
  <c r="J3117" i="1" l="1"/>
  <c r="H3118" i="1"/>
  <c r="K506" i="13"/>
  <c r="O505" i="13"/>
  <c r="J3118" i="1" l="1"/>
  <c r="H3119" i="1"/>
  <c r="K507" i="13"/>
  <c r="O506" i="13"/>
  <c r="J3119" i="1" l="1"/>
  <c r="H3120" i="1"/>
  <c r="K508" i="13"/>
  <c r="O507" i="13"/>
  <c r="J3120" i="1" l="1"/>
  <c r="H3121" i="1"/>
  <c r="K509" i="13"/>
  <c r="O508" i="13"/>
  <c r="J3121" i="1" l="1"/>
  <c r="H3122" i="1"/>
  <c r="K510" i="13"/>
  <c r="O509" i="13"/>
  <c r="J3122" i="1" l="1"/>
  <c r="H3123" i="1"/>
  <c r="K511" i="13"/>
  <c r="O510" i="13"/>
  <c r="J3123" i="1" l="1"/>
  <c r="H3124" i="1"/>
  <c r="K512" i="13"/>
  <c r="O511" i="13"/>
  <c r="J3124" i="1" l="1"/>
  <c r="H3125" i="1"/>
  <c r="K513" i="13"/>
  <c r="O512" i="13"/>
  <c r="J3125" i="1" l="1"/>
  <c r="H3126" i="1"/>
  <c r="K514" i="13"/>
  <c r="O513" i="13"/>
  <c r="J3126" i="1" l="1"/>
  <c r="H3127" i="1"/>
  <c r="K515" i="13"/>
  <c r="O514" i="13"/>
  <c r="J3127" i="1" l="1"/>
  <c r="H3128" i="1"/>
  <c r="K516" i="13"/>
  <c r="O515" i="13"/>
  <c r="J3128" i="1" l="1"/>
  <c r="H3129" i="1"/>
  <c r="K517" i="13"/>
  <c r="O516" i="13"/>
  <c r="J3129" i="1" l="1"/>
  <c r="H3130" i="1"/>
  <c r="K518" i="13"/>
  <c r="O517" i="13"/>
  <c r="J3130" i="1" l="1"/>
  <c r="H3131" i="1"/>
  <c r="K519" i="13"/>
  <c r="O518" i="13"/>
  <c r="J3131" i="1" l="1"/>
  <c r="H3132" i="1"/>
  <c r="K520" i="13"/>
  <c r="O519" i="13"/>
  <c r="J3132" i="1" l="1"/>
  <c r="H3133" i="1"/>
  <c r="K521" i="13"/>
  <c r="O520" i="13"/>
  <c r="J3133" i="1" l="1"/>
  <c r="H3134" i="1"/>
  <c r="K522" i="13"/>
  <c r="O521" i="13"/>
  <c r="J3134" i="1" l="1"/>
  <c r="H3135" i="1"/>
  <c r="K523" i="13"/>
  <c r="O522" i="13"/>
  <c r="J3135" i="1" l="1"/>
  <c r="H3136" i="1"/>
  <c r="K524" i="13"/>
  <c r="O523" i="13"/>
  <c r="J3136" i="1" l="1"/>
  <c r="H3137" i="1"/>
  <c r="K525" i="13"/>
  <c r="O524" i="13"/>
  <c r="J3137" i="1" l="1"/>
  <c r="H3138" i="1"/>
  <c r="K526" i="13"/>
  <c r="O525" i="13"/>
  <c r="J3138" i="1" l="1"/>
  <c r="H3139" i="1"/>
  <c r="K527" i="13"/>
  <c r="O526" i="13"/>
  <c r="J3139" i="1" l="1"/>
  <c r="H3140" i="1"/>
  <c r="K528" i="13"/>
  <c r="O527" i="13"/>
  <c r="J3140" i="1" l="1"/>
  <c r="H3141" i="1"/>
  <c r="K529" i="13"/>
  <c r="O528" i="13"/>
  <c r="J3141" i="1" l="1"/>
  <c r="H3142" i="1"/>
  <c r="K530" i="13"/>
  <c r="O529" i="13"/>
  <c r="J3142" i="1" l="1"/>
  <c r="H3143" i="1"/>
  <c r="K531" i="13"/>
  <c r="O530" i="13"/>
  <c r="J3143" i="1" l="1"/>
  <c r="H3144" i="1"/>
  <c r="K532" i="13"/>
  <c r="O531" i="13"/>
  <c r="J3144" i="1" l="1"/>
  <c r="H3145" i="1"/>
  <c r="K533" i="13"/>
  <c r="O532" i="13"/>
  <c r="J3145" i="1" l="1"/>
  <c r="H3146" i="1"/>
  <c r="K534" i="13"/>
  <c r="O533" i="13"/>
  <c r="J3146" i="1" l="1"/>
  <c r="H3147" i="1"/>
  <c r="K535" i="13"/>
  <c r="O534" i="13"/>
  <c r="J3147" i="1" l="1"/>
  <c r="H3148" i="1"/>
  <c r="K536" i="13"/>
  <c r="O535" i="13"/>
  <c r="J3148" i="1" l="1"/>
  <c r="H3149" i="1"/>
  <c r="K537" i="13"/>
  <c r="O536" i="13"/>
  <c r="J3149" i="1" l="1"/>
  <c r="H3150" i="1"/>
  <c r="K538" i="13"/>
  <c r="O537" i="13"/>
  <c r="J3150" i="1" l="1"/>
  <c r="H3151" i="1"/>
  <c r="K539" i="13"/>
  <c r="O538" i="13"/>
  <c r="J3151" i="1" l="1"/>
  <c r="H3152" i="1"/>
  <c r="K540" i="13"/>
  <c r="O539" i="13"/>
  <c r="J3152" i="1" l="1"/>
  <c r="H3153" i="1"/>
  <c r="K541" i="13"/>
  <c r="O540" i="13"/>
  <c r="J3153" i="1" l="1"/>
  <c r="H3154" i="1"/>
  <c r="K542" i="13"/>
  <c r="O541" i="13"/>
  <c r="J3154" i="1" l="1"/>
  <c r="H3155" i="1"/>
  <c r="K543" i="13"/>
  <c r="O542" i="13"/>
  <c r="J3155" i="1" l="1"/>
  <c r="H3156" i="1"/>
  <c r="K544" i="13"/>
  <c r="O543" i="13"/>
  <c r="J3156" i="1" l="1"/>
  <c r="H3157" i="1"/>
  <c r="K545" i="13"/>
  <c r="O544" i="13"/>
  <c r="J3157" i="1" l="1"/>
  <c r="H3158" i="1"/>
  <c r="K546" i="13"/>
  <c r="O545" i="13"/>
  <c r="J3158" i="1" l="1"/>
  <c r="H3159" i="1"/>
  <c r="K547" i="13"/>
  <c r="O546" i="13"/>
  <c r="J3159" i="1" l="1"/>
  <c r="H3160" i="1"/>
  <c r="K548" i="13"/>
  <c r="O547" i="13"/>
  <c r="J3160" i="1" l="1"/>
  <c r="H3161" i="1"/>
  <c r="K549" i="13"/>
  <c r="O548" i="13"/>
  <c r="J3161" i="1" l="1"/>
  <c r="H3162" i="1"/>
  <c r="K550" i="13"/>
  <c r="O549" i="13"/>
  <c r="J3162" i="1" l="1"/>
  <c r="H3163" i="1"/>
  <c r="K551" i="13"/>
  <c r="O550" i="13"/>
  <c r="J3163" i="1" l="1"/>
  <c r="H3164" i="1"/>
  <c r="K552" i="13"/>
  <c r="O551" i="13"/>
  <c r="J3164" i="1" l="1"/>
  <c r="H3165" i="1"/>
  <c r="K553" i="13"/>
  <c r="O552" i="13"/>
  <c r="J3165" i="1" l="1"/>
  <c r="H3166" i="1"/>
  <c r="K554" i="13"/>
  <c r="O553" i="13"/>
  <c r="J3166" i="1" l="1"/>
  <c r="H3167" i="1"/>
  <c r="K556" i="13"/>
  <c r="O554" i="13"/>
  <c r="J3167" i="1" l="1"/>
  <c r="H3168" i="1"/>
  <c r="K557" i="13"/>
  <c r="O556" i="13"/>
  <c r="J3168" i="1" l="1"/>
  <c r="H3169" i="1"/>
  <c r="K558" i="13"/>
  <c r="O557" i="13"/>
  <c r="J3169" i="1" l="1"/>
  <c r="H3170" i="1"/>
  <c r="K559" i="13"/>
  <c r="O558" i="13"/>
  <c r="J3170" i="1" l="1"/>
  <c r="H3171" i="1"/>
  <c r="K560" i="13"/>
  <c r="O559" i="13"/>
  <c r="J3171" i="1" l="1"/>
  <c r="H3172" i="1"/>
  <c r="K561" i="13"/>
  <c r="O560" i="13"/>
  <c r="J3172" i="1" l="1"/>
  <c r="H3173" i="1"/>
  <c r="K562" i="13"/>
  <c r="O561" i="13"/>
  <c r="J3173" i="1" l="1"/>
  <c r="H3174" i="1"/>
  <c r="K563" i="13"/>
  <c r="O562" i="13"/>
  <c r="J3174" i="1" l="1"/>
  <c r="H3175" i="1"/>
  <c r="K564" i="13"/>
  <c r="O563" i="13"/>
  <c r="J3175" i="1" l="1"/>
  <c r="H3176" i="1"/>
  <c r="K565" i="13"/>
  <c r="O564" i="13"/>
  <c r="J3176" i="1" l="1"/>
  <c r="H3177" i="1"/>
  <c r="K566" i="13"/>
  <c r="O565" i="13"/>
  <c r="J3177" i="1" l="1"/>
  <c r="H3178" i="1"/>
  <c r="K567" i="13"/>
  <c r="O566" i="13"/>
  <c r="J3178" i="1" l="1"/>
  <c r="H3179" i="1"/>
  <c r="K568" i="13"/>
  <c r="O567" i="13"/>
  <c r="J3179" i="1" l="1"/>
  <c r="H3180" i="1"/>
  <c r="K569" i="13"/>
  <c r="O568" i="13"/>
  <c r="J3180" i="1" l="1"/>
  <c r="H3181" i="1"/>
  <c r="K570" i="13"/>
  <c r="O569" i="13"/>
  <c r="J3181" i="1" l="1"/>
  <c r="H3182" i="1"/>
  <c r="K571" i="13"/>
  <c r="O570" i="13"/>
  <c r="J3182" i="1" l="1"/>
  <c r="H3183" i="1"/>
  <c r="K572" i="13"/>
  <c r="O571" i="13"/>
  <c r="J3183" i="1" l="1"/>
  <c r="H3184" i="1"/>
  <c r="K573" i="13"/>
  <c r="O572" i="13"/>
  <c r="J3184" i="1" l="1"/>
  <c r="H3185" i="1"/>
  <c r="K574" i="13"/>
  <c r="O573" i="13"/>
  <c r="J3185" i="1" l="1"/>
  <c r="H3186" i="1"/>
  <c r="K575" i="13"/>
  <c r="O574" i="13"/>
  <c r="J3186" i="1" l="1"/>
  <c r="H3187" i="1"/>
  <c r="K576" i="13"/>
  <c r="O575" i="13"/>
  <c r="J3187" i="1" l="1"/>
  <c r="H3188" i="1"/>
  <c r="K577" i="13"/>
  <c r="O576" i="13"/>
  <c r="J3188" i="1" l="1"/>
  <c r="H3189" i="1"/>
  <c r="K578" i="13"/>
  <c r="O577" i="13"/>
  <c r="J3189" i="1" l="1"/>
  <c r="H3190" i="1"/>
  <c r="K579" i="13"/>
  <c r="O578" i="13"/>
  <c r="J3190" i="1" l="1"/>
  <c r="H3191" i="1"/>
  <c r="K580" i="13"/>
  <c r="O579" i="13"/>
  <c r="J3191" i="1" l="1"/>
  <c r="H3192" i="1"/>
  <c r="K581" i="13"/>
  <c r="O580" i="13"/>
  <c r="J3192" i="1" l="1"/>
  <c r="H3193" i="1"/>
  <c r="K582" i="13"/>
  <c r="O581" i="13"/>
  <c r="J3193" i="1" l="1"/>
  <c r="H3194" i="1"/>
  <c r="K583" i="13"/>
  <c r="O582" i="13"/>
  <c r="J3194" i="1" l="1"/>
  <c r="H3195" i="1"/>
  <c r="K584" i="13"/>
  <c r="O583" i="13"/>
  <c r="J3195" i="1" l="1"/>
  <c r="H3196" i="1"/>
  <c r="K585" i="13"/>
  <c r="O584" i="13"/>
  <c r="J3196" i="1" l="1"/>
  <c r="H3197" i="1"/>
  <c r="K586" i="13"/>
  <c r="O585" i="13"/>
  <c r="J3197" i="1" l="1"/>
  <c r="H3198" i="1"/>
  <c r="K587" i="13"/>
  <c r="O586" i="13"/>
  <c r="J3198" i="1" l="1"/>
  <c r="H3199" i="1"/>
  <c r="K588" i="13"/>
  <c r="O587" i="13"/>
  <c r="J3199" i="1" l="1"/>
  <c r="H3200" i="1"/>
  <c r="O588" i="13"/>
  <c r="K589" i="13"/>
  <c r="J3200" i="1" l="1"/>
  <c r="H3201" i="1"/>
  <c r="K590" i="13"/>
  <c r="O589" i="13"/>
  <c r="J3201" i="1" l="1"/>
  <c r="H3202" i="1"/>
  <c r="K591" i="13"/>
  <c r="O590" i="13"/>
  <c r="J3202" i="1" l="1"/>
  <c r="H3203" i="1"/>
  <c r="K592" i="13"/>
  <c r="O591" i="13"/>
  <c r="J3203" i="1" l="1"/>
  <c r="H3204" i="1"/>
  <c r="K593" i="13"/>
  <c r="O592" i="13"/>
  <c r="J3204" i="1" l="1"/>
  <c r="H3205" i="1"/>
  <c r="K594" i="13"/>
  <c r="O593" i="13"/>
  <c r="J3205" i="1" l="1"/>
  <c r="H3206" i="1"/>
  <c r="K595" i="13"/>
  <c r="O594" i="13"/>
  <c r="J3206" i="1" l="1"/>
  <c r="H3207" i="1"/>
  <c r="K596" i="13"/>
  <c r="O595" i="13"/>
  <c r="J3207" i="1" l="1"/>
  <c r="H3208" i="1"/>
  <c r="K597" i="13"/>
  <c r="O596" i="13"/>
  <c r="J3208" i="1" l="1"/>
  <c r="H3209" i="1"/>
  <c r="K598" i="13"/>
  <c r="O597" i="13"/>
  <c r="J3209" i="1" l="1"/>
  <c r="H3210" i="1"/>
  <c r="K599" i="13"/>
  <c r="O598" i="13"/>
  <c r="E8" i="3"/>
  <c r="F8" i="16" s="1"/>
  <c r="B14" i="10"/>
  <c r="J1098" i="11"/>
  <c r="J945" i="11"/>
  <c r="J947" i="11"/>
  <c r="J948" i="11"/>
  <c r="J949" i="11"/>
  <c r="J950" i="11"/>
  <c r="J953" i="11"/>
  <c r="J957" i="11"/>
  <c r="J958" i="11"/>
  <c r="J959" i="11"/>
  <c r="J960" i="11"/>
  <c r="J963" i="11"/>
  <c r="J967" i="11"/>
  <c r="J968" i="11"/>
  <c r="J969" i="11"/>
  <c r="J970" i="11"/>
  <c r="J973" i="11"/>
  <c r="J977" i="11"/>
  <c r="J978" i="11"/>
  <c r="J979" i="11"/>
  <c r="J980" i="11"/>
  <c r="J983" i="11"/>
  <c r="J987" i="11"/>
  <c r="J988" i="11"/>
  <c r="J989" i="11"/>
  <c r="J990" i="11"/>
  <c r="J993" i="11"/>
  <c r="J997" i="11"/>
  <c r="J998" i="11"/>
  <c r="J999" i="11"/>
  <c r="J1000" i="11"/>
  <c r="J1003" i="11"/>
  <c r="J1008" i="11"/>
  <c r="J1009" i="11"/>
  <c r="J1010" i="11"/>
  <c r="J1018" i="11"/>
  <c r="J1019" i="11"/>
  <c r="J1020" i="11"/>
  <c r="J1028" i="11"/>
  <c r="J1029" i="11"/>
  <c r="J1030" i="11"/>
  <c r="J1038" i="11"/>
  <c r="J1039" i="11"/>
  <c r="J1040" i="11"/>
  <c r="J1048" i="11"/>
  <c r="J1049" i="11"/>
  <c r="J1050" i="11"/>
  <c r="J1058" i="11"/>
  <c r="J1059" i="11"/>
  <c r="J1060" i="11"/>
  <c r="J1068" i="11"/>
  <c r="J1069" i="11"/>
  <c r="J1070" i="11"/>
  <c r="J1079" i="11"/>
  <c r="J1080" i="11"/>
  <c r="J1089" i="11"/>
  <c r="J1090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H946" i="11"/>
  <c r="H947" i="11" s="1"/>
  <c r="H948" i="11" s="1"/>
  <c r="H949" i="11" s="1"/>
  <c r="H950" i="11" s="1"/>
  <c r="H951" i="11" s="1"/>
  <c r="H952" i="11" s="1"/>
  <c r="H953" i="11" s="1"/>
  <c r="H954" i="11" s="1"/>
  <c r="H955" i="11" s="1"/>
  <c r="H956" i="11" s="1"/>
  <c r="H957" i="11" s="1"/>
  <c r="H958" i="11" s="1"/>
  <c r="H959" i="11" s="1"/>
  <c r="H960" i="11" s="1"/>
  <c r="H961" i="11" s="1"/>
  <c r="H962" i="11" s="1"/>
  <c r="H963" i="11" s="1"/>
  <c r="H964" i="11" s="1"/>
  <c r="H965" i="11" s="1"/>
  <c r="H966" i="11" s="1"/>
  <c r="H967" i="11" s="1"/>
  <c r="H968" i="11" s="1"/>
  <c r="H969" i="11" s="1"/>
  <c r="H970" i="11" s="1"/>
  <c r="H971" i="11" s="1"/>
  <c r="H972" i="11" s="1"/>
  <c r="H973" i="11" s="1"/>
  <c r="H974" i="11" s="1"/>
  <c r="H975" i="11" s="1"/>
  <c r="H976" i="11" s="1"/>
  <c r="H977" i="11" s="1"/>
  <c r="H978" i="11" s="1"/>
  <c r="H979" i="11" s="1"/>
  <c r="H980" i="11" s="1"/>
  <c r="H981" i="11" s="1"/>
  <c r="H982" i="11" s="1"/>
  <c r="H983" i="11" s="1"/>
  <c r="H984" i="11" s="1"/>
  <c r="H985" i="11" s="1"/>
  <c r="H986" i="11" s="1"/>
  <c r="H987" i="11" s="1"/>
  <c r="H988" i="11" s="1"/>
  <c r="H989" i="11" s="1"/>
  <c r="H990" i="11" s="1"/>
  <c r="H991" i="11" s="1"/>
  <c r="H992" i="11" s="1"/>
  <c r="H993" i="11" s="1"/>
  <c r="H994" i="11" s="1"/>
  <c r="H995" i="11" s="1"/>
  <c r="H996" i="11" s="1"/>
  <c r="H997" i="11" s="1"/>
  <c r="H998" i="11" s="1"/>
  <c r="H999" i="11" s="1"/>
  <c r="H1000" i="11" s="1"/>
  <c r="H1001" i="11" s="1"/>
  <c r="H1002" i="11" s="1"/>
  <c r="H1003" i="11" s="1"/>
  <c r="H1004" i="11" s="1"/>
  <c r="H1005" i="11" s="1"/>
  <c r="H1006" i="11" s="1"/>
  <c r="H1007" i="11" s="1"/>
  <c r="H1008" i="11" s="1"/>
  <c r="H1009" i="11" s="1"/>
  <c r="H1010" i="11" s="1"/>
  <c r="H1011" i="11" s="1"/>
  <c r="H1012" i="11" s="1"/>
  <c r="H1013" i="11" s="1"/>
  <c r="H1014" i="11" s="1"/>
  <c r="H1015" i="11" s="1"/>
  <c r="H1016" i="11" s="1"/>
  <c r="H1017" i="11" s="1"/>
  <c r="H1018" i="11" s="1"/>
  <c r="H1019" i="11" s="1"/>
  <c r="H1020" i="11" s="1"/>
  <c r="H1021" i="11" s="1"/>
  <c r="H1022" i="11" s="1"/>
  <c r="H1023" i="11" s="1"/>
  <c r="H1024" i="11" s="1"/>
  <c r="H1025" i="11" s="1"/>
  <c r="H1026" i="11" s="1"/>
  <c r="H1027" i="11" s="1"/>
  <c r="H1028" i="11" s="1"/>
  <c r="H1029" i="11" s="1"/>
  <c r="H1030" i="11" s="1"/>
  <c r="H1031" i="11" s="1"/>
  <c r="H1032" i="11" s="1"/>
  <c r="H1033" i="11" s="1"/>
  <c r="H1034" i="11" s="1"/>
  <c r="H1035" i="11" s="1"/>
  <c r="H1036" i="11" s="1"/>
  <c r="H1037" i="11" s="1"/>
  <c r="H1038" i="11" s="1"/>
  <c r="H1039" i="11" s="1"/>
  <c r="H1040" i="11" s="1"/>
  <c r="H1041" i="11" s="1"/>
  <c r="H1042" i="11" s="1"/>
  <c r="H1043" i="11" s="1"/>
  <c r="H1044" i="11" s="1"/>
  <c r="H1045" i="11" s="1"/>
  <c r="H1046" i="11" s="1"/>
  <c r="H1047" i="11" s="1"/>
  <c r="H1048" i="11" s="1"/>
  <c r="H1049" i="11" s="1"/>
  <c r="H1050" i="11" s="1"/>
  <c r="H1051" i="11" s="1"/>
  <c r="H1052" i="11" s="1"/>
  <c r="H1053" i="11" s="1"/>
  <c r="H1054" i="11" s="1"/>
  <c r="H1055" i="11" s="1"/>
  <c r="H1056" i="11" s="1"/>
  <c r="H1057" i="11" s="1"/>
  <c r="H1058" i="11" s="1"/>
  <c r="H1059" i="11" s="1"/>
  <c r="H1060" i="11" s="1"/>
  <c r="H1061" i="11" s="1"/>
  <c r="H1062" i="11" s="1"/>
  <c r="H1063" i="11" s="1"/>
  <c r="H1064" i="11" s="1"/>
  <c r="H1065" i="11" s="1"/>
  <c r="H1066" i="11" s="1"/>
  <c r="H1067" i="11" s="1"/>
  <c r="H1068" i="11" s="1"/>
  <c r="H1069" i="11" s="1"/>
  <c r="H1070" i="11" s="1"/>
  <c r="H1071" i="11" s="1"/>
  <c r="H1072" i="11" s="1"/>
  <c r="H1073" i="11" s="1"/>
  <c r="H1074" i="11" s="1"/>
  <c r="H1075" i="11" s="1"/>
  <c r="H1076" i="11" s="1"/>
  <c r="H1077" i="11" s="1"/>
  <c r="H1078" i="11" s="1"/>
  <c r="H1079" i="11" s="1"/>
  <c r="H1080" i="11" s="1"/>
  <c r="H1081" i="11" s="1"/>
  <c r="H1082" i="11" s="1"/>
  <c r="H1083" i="11" s="1"/>
  <c r="H1084" i="11" s="1"/>
  <c r="H1085" i="11" s="1"/>
  <c r="H1086" i="11" s="1"/>
  <c r="H1087" i="11" s="1"/>
  <c r="H1088" i="11" s="1"/>
  <c r="H1089" i="11" s="1"/>
  <c r="H1090" i="11" s="1"/>
  <c r="H1091" i="11" s="1"/>
  <c r="H1092" i="11" s="1"/>
  <c r="H1093" i="11" s="1"/>
  <c r="H1094" i="11" s="1"/>
  <c r="H1095" i="11" s="1"/>
  <c r="H1096" i="11" s="1"/>
  <c r="H1097" i="11" s="1"/>
  <c r="J1163" i="11" s="1"/>
  <c r="H734" i="11"/>
  <c r="H733" i="11"/>
  <c r="H367" i="11"/>
  <c r="H368" i="11"/>
  <c r="H2" i="11"/>
  <c r="D812" i="11"/>
  <c r="D809" i="11"/>
  <c r="D793" i="11"/>
  <c r="D784" i="11"/>
  <c r="D782" i="11"/>
  <c r="D779" i="11"/>
  <c r="D770" i="11"/>
  <c r="D744" i="11"/>
  <c r="D740" i="11"/>
  <c r="D738" i="11"/>
  <c r="D737" i="11"/>
  <c r="D736" i="11"/>
  <c r="D726" i="11"/>
  <c r="D251" i="11"/>
  <c r="J3210" i="1" l="1"/>
  <c r="H3211" i="1"/>
  <c r="K600" i="13"/>
  <c r="O599" i="13"/>
  <c r="J1088" i="11"/>
  <c r="J1093" i="11"/>
  <c r="J1083" i="11"/>
  <c r="J1073" i="11"/>
  <c r="J1063" i="11"/>
  <c r="J1053" i="11"/>
  <c r="J1043" i="11"/>
  <c r="J1033" i="11"/>
  <c r="J1023" i="11"/>
  <c r="J1013" i="11"/>
  <c r="J1091" i="11"/>
  <c r="J1081" i="11"/>
  <c r="J1071" i="11"/>
  <c r="J1061" i="11"/>
  <c r="J1051" i="11"/>
  <c r="J1041" i="11"/>
  <c r="J1031" i="11"/>
  <c r="J1021" i="11"/>
  <c r="J1011" i="11"/>
  <c r="J1001" i="11"/>
  <c r="J991" i="11"/>
  <c r="J981" i="11"/>
  <c r="J971" i="11"/>
  <c r="J961" i="11"/>
  <c r="J951" i="11"/>
  <c r="J1097" i="11"/>
  <c r="J1067" i="11"/>
  <c r="J1037" i="11"/>
  <c r="J1096" i="11"/>
  <c r="J1086" i="11"/>
  <c r="J1076" i="11"/>
  <c r="J1066" i="11"/>
  <c r="J1056" i="11"/>
  <c r="J1046" i="11"/>
  <c r="J1036" i="11"/>
  <c r="J1026" i="11"/>
  <c r="J1016" i="11"/>
  <c r="J1006" i="11"/>
  <c r="J996" i="11"/>
  <c r="J986" i="11"/>
  <c r="J976" i="11"/>
  <c r="J966" i="11"/>
  <c r="J956" i="11"/>
  <c r="J946" i="11"/>
  <c r="J1077" i="11"/>
  <c r="J1095" i="11"/>
  <c r="J1085" i="11"/>
  <c r="J1075" i="11"/>
  <c r="J1065" i="11"/>
  <c r="J1055" i="11"/>
  <c r="J1045" i="11"/>
  <c r="J1035" i="11"/>
  <c r="J1025" i="11"/>
  <c r="J1015" i="11"/>
  <c r="J1005" i="11"/>
  <c r="J995" i="11"/>
  <c r="J985" i="11"/>
  <c r="J975" i="11"/>
  <c r="J965" i="11"/>
  <c r="J955" i="11"/>
  <c r="J1078" i="11"/>
  <c r="J1087" i="11"/>
  <c r="J1057" i="11"/>
  <c r="J1047" i="11"/>
  <c r="J1027" i="11"/>
  <c r="J1017" i="11"/>
  <c r="J1007" i="11"/>
  <c r="J1094" i="11"/>
  <c r="J1084" i="11"/>
  <c r="J1074" i="11"/>
  <c r="J1064" i="11"/>
  <c r="J1054" i="11"/>
  <c r="J1044" i="11"/>
  <c r="J1034" i="11"/>
  <c r="J1024" i="11"/>
  <c r="J1014" i="11"/>
  <c r="J1004" i="11"/>
  <c r="J994" i="11"/>
  <c r="J984" i="11"/>
  <c r="J974" i="11"/>
  <c r="J964" i="11"/>
  <c r="J954" i="11"/>
  <c r="J1092" i="11"/>
  <c r="J1082" i="11"/>
  <c r="J1072" i="11"/>
  <c r="J1062" i="11"/>
  <c r="J1052" i="11"/>
  <c r="J1042" i="11"/>
  <c r="J1032" i="11"/>
  <c r="J1022" i="11"/>
  <c r="J1012" i="11"/>
  <c r="J1002" i="11"/>
  <c r="J992" i="11"/>
  <c r="J982" i="11"/>
  <c r="J972" i="11"/>
  <c r="J962" i="11"/>
  <c r="J952" i="11"/>
  <c r="J1153" i="11"/>
  <c r="J1143" i="11"/>
  <c r="J1133" i="11"/>
  <c r="J1123" i="11"/>
  <c r="J1113" i="11"/>
  <c r="J1103" i="11"/>
  <c r="J1162" i="11"/>
  <c r="J1152" i="11"/>
  <c r="J1142" i="11"/>
  <c r="J1132" i="11"/>
  <c r="J1122" i="11"/>
  <c r="J1112" i="11"/>
  <c r="J1102" i="11"/>
  <c r="J1161" i="11"/>
  <c r="J1151" i="11"/>
  <c r="J1141" i="11"/>
  <c r="J1131" i="11"/>
  <c r="J1121" i="11"/>
  <c r="J1111" i="11"/>
  <c r="J1101" i="11"/>
  <c r="J1160" i="11"/>
  <c r="J1150" i="11"/>
  <c r="J1140" i="11"/>
  <c r="J1130" i="11"/>
  <c r="J1120" i="11"/>
  <c r="J1110" i="11"/>
  <c r="J1100" i="11"/>
  <c r="J1159" i="11"/>
  <c r="J1149" i="11"/>
  <c r="J1139" i="11"/>
  <c r="J1129" i="11"/>
  <c r="J1119" i="11"/>
  <c r="J1109" i="11"/>
  <c r="J1099" i="11"/>
  <c r="J1158" i="11"/>
  <c r="J1148" i="11"/>
  <c r="J1138" i="11"/>
  <c r="J1128" i="11"/>
  <c r="J1118" i="11"/>
  <c r="J1108" i="11"/>
  <c r="J1157" i="11"/>
  <c r="J1147" i="11"/>
  <c r="J1137" i="11"/>
  <c r="J1127" i="11"/>
  <c r="J1117" i="11"/>
  <c r="J1107" i="11"/>
  <c r="J1156" i="11"/>
  <c r="J1146" i="11"/>
  <c r="J1136" i="11"/>
  <c r="J1126" i="11"/>
  <c r="J1116" i="11"/>
  <c r="J1106" i="11"/>
  <c r="J1155" i="11"/>
  <c r="J1145" i="11"/>
  <c r="J1135" i="11"/>
  <c r="J1125" i="11"/>
  <c r="J1115" i="11"/>
  <c r="J1105" i="11"/>
  <c r="J1154" i="11"/>
  <c r="J1144" i="11"/>
  <c r="J1134" i="11"/>
  <c r="J1124" i="11"/>
  <c r="J1114" i="11"/>
  <c r="J1104" i="11"/>
  <c r="J3211" i="1" l="1"/>
  <c r="H3212" i="1"/>
  <c r="K601" i="13"/>
  <c r="O600" i="13"/>
  <c r="H215" i="15"/>
  <c r="C13" i="14"/>
  <c r="G13" i="14" s="1"/>
  <c r="G8" i="10"/>
  <c r="H9" i="16" s="1"/>
  <c r="E9" i="12"/>
  <c r="F10" i="16" s="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H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H214" i="11"/>
  <c r="H215" i="11" s="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G9" i="5"/>
  <c r="L7" i="16" s="1"/>
  <c r="F9" i="5"/>
  <c r="K7" i="16" s="1"/>
  <c r="E9" i="5"/>
  <c r="F7" i="16" s="1"/>
  <c r="D9" i="5"/>
  <c r="E7" i="16" s="1"/>
  <c r="B9" i="5"/>
  <c r="C7" i="16" s="1"/>
  <c r="K9" i="5"/>
  <c r="N7" i="16" s="1"/>
  <c r="E5" i="5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2" i="6"/>
  <c r="N3" i="6"/>
  <c r="N4" i="6"/>
  <c r="N5" i="6"/>
  <c r="N6" i="6"/>
  <c r="N7" i="6"/>
  <c r="N8" i="6"/>
  <c r="N9" i="6"/>
  <c r="N10" i="6"/>
  <c r="N11" i="6"/>
  <c r="N12" i="6"/>
  <c r="M2" i="6"/>
  <c r="M3" i="6" s="1"/>
  <c r="M4" i="6" s="1"/>
  <c r="M5" i="6" s="1"/>
  <c r="M6" i="6" s="1"/>
  <c r="M7" i="6" s="1"/>
  <c r="M8" i="6" s="1"/>
  <c r="M9" i="6" s="1"/>
  <c r="M10" i="6" s="1"/>
  <c r="M11" i="6" s="1"/>
  <c r="M12" i="6" s="1"/>
  <c r="L2" i="6"/>
  <c r="L3" i="6" s="1"/>
  <c r="L4" i="6" s="1"/>
  <c r="L5" i="6" s="1"/>
  <c r="L6" i="6" s="1"/>
  <c r="L7" i="6" s="1"/>
  <c r="L8" i="6" s="1"/>
  <c r="L9" i="6" s="1"/>
  <c r="L10" i="6" s="1"/>
  <c r="L11" i="6" s="1"/>
  <c r="L12" i="6" s="1"/>
  <c r="K2" i="6"/>
  <c r="O2" i="6" s="1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13" i="6"/>
  <c r="I2" i="1"/>
  <c r="M13" i="6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M136" i="6" s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L13" i="6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L135" i="6" s="1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L256" i="6" s="1"/>
  <c r="L257" i="6" s="1"/>
  <c r="L258" i="6" s="1"/>
  <c r="L259" i="6" s="1"/>
  <c r="L260" i="6" s="1"/>
  <c r="L261" i="6" s="1"/>
  <c r="L262" i="6" s="1"/>
  <c r="L263" i="6" s="1"/>
  <c r="L264" i="6" s="1"/>
  <c r="L265" i="6" s="1"/>
  <c r="L266" i="6" s="1"/>
  <c r="L267" i="6" s="1"/>
  <c r="L268" i="6" s="1"/>
  <c r="L269" i="6" s="1"/>
  <c r="L270" i="6" s="1"/>
  <c r="L271" i="6" s="1"/>
  <c r="L272" i="6" s="1"/>
  <c r="L273" i="6" s="1"/>
  <c r="L274" i="6" s="1"/>
  <c r="L275" i="6" s="1"/>
  <c r="L277" i="6" s="1"/>
  <c r="L278" i="6" s="1"/>
  <c r="L279" i="6" s="1"/>
  <c r="L280" i="6" s="1"/>
  <c r="L281" i="6" s="1"/>
  <c r="L282" i="6" s="1"/>
  <c r="L283" i="6" s="1"/>
  <c r="L284" i="6" s="1"/>
  <c r="L285" i="6" s="1"/>
  <c r="L286" i="6" s="1"/>
  <c r="L287" i="6" s="1"/>
  <c r="L288" i="6" s="1"/>
  <c r="L289" i="6" s="1"/>
  <c r="L290" i="6" s="1"/>
  <c r="L291" i="6" s="1"/>
  <c r="L292" i="6" s="1"/>
  <c r="L293" i="6" s="1"/>
  <c r="L294" i="6" s="1"/>
  <c r="L295" i="6" s="1"/>
  <c r="L296" i="6" s="1"/>
  <c r="L297" i="6" s="1"/>
  <c r="L298" i="6" s="1"/>
  <c r="L299" i="6" s="1"/>
  <c r="L300" i="6" s="1"/>
  <c r="L301" i="6" s="1"/>
  <c r="L302" i="6" s="1"/>
  <c r="L303" i="6" s="1"/>
  <c r="L304" i="6" s="1"/>
  <c r="L305" i="6" s="1"/>
  <c r="L306" i="6" s="1"/>
  <c r="L307" i="6" s="1"/>
  <c r="L308" i="6" s="1"/>
  <c r="L309" i="6" s="1"/>
  <c r="L310" i="6" s="1"/>
  <c r="L311" i="6" s="1"/>
  <c r="L312" i="6" s="1"/>
  <c r="L313" i="6" s="1"/>
  <c r="L314" i="6" s="1"/>
  <c r="L315" i="6" s="1"/>
  <c r="L316" i="6" s="1"/>
  <c r="L317" i="6" s="1"/>
  <c r="L318" i="6" s="1"/>
  <c r="L319" i="6" s="1"/>
  <c r="L320" i="6" s="1"/>
  <c r="L321" i="6" s="1"/>
  <c r="L322" i="6" s="1"/>
  <c r="L323" i="6" s="1"/>
  <c r="L324" i="6" s="1"/>
  <c r="L325" i="6" s="1"/>
  <c r="L326" i="6" s="1"/>
  <c r="L327" i="6" s="1"/>
  <c r="L328" i="6" s="1"/>
  <c r="L329" i="6" s="1"/>
  <c r="L330" i="6" s="1"/>
  <c r="L331" i="6" s="1"/>
  <c r="L332" i="6" s="1"/>
  <c r="L333" i="6" s="1"/>
  <c r="L334" i="6" s="1"/>
  <c r="L335" i="6" s="1"/>
  <c r="L336" i="6" s="1"/>
  <c r="L337" i="6" s="1"/>
  <c r="L338" i="6" s="1"/>
  <c r="L339" i="6" s="1"/>
  <c r="L340" i="6" s="1"/>
  <c r="L341" i="6" s="1"/>
  <c r="L342" i="6" s="1"/>
  <c r="L343" i="6" s="1"/>
  <c r="L344" i="6" s="1"/>
  <c r="L345" i="6" s="1"/>
  <c r="L346" i="6" s="1"/>
  <c r="L347" i="6" s="1"/>
  <c r="L348" i="6" s="1"/>
  <c r="L349" i="6" s="1"/>
  <c r="L350" i="6" s="1"/>
  <c r="L351" i="6" s="1"/>
  <c r="L352" i="6" s="1"/>
  <c r="L353" i="6" s="1"/>
  <c r="L354" i="6" s="1"/>
  <c r="L355" i="6" s="1"/>
  <c r="L356" i="6" s="1"/>
  <c r="L357" i="6" s="1"/>
  <c r="L358" i="6" s="1"/>
  <c r="L359" i="6" s="1"/>
  <c r="L360" i="6" s="1"/>
  <c r="L361" i="6" s="1"/>
  <c r="L362" i="6" s="1"/>
  <c r="L363" i="6" s="1"/>
  <c r="L364" i="6" s="1"/>
  <c r="L365" i="6" s="1"/>
  <c r="L366" i="6" s="1"/>
  <c r="L367" i="6" s="1"/>
  <c r="L368" i="6" s="1"/>
  <c r="L369" i="6" s="1"/>
  <c r="L370" i="6" s="1"/>
  <c r="L371" i="6" s="1"/>
  <c r="L372" i="6" s="1"/>
  <c r="L373" i="6" s="1"/>
  <c r="L374" i="6" s="1"/>
  <c r="L375" i="6" s="1"/>
  <c r="L376" i="6" s="1"/>
  <c r="L377" i="6" s="1"/>
  <c r="L378" i="6" s="1"/>
  <c r="L379" i="6" s="1"/>
  <c r="L380" i="6" s="1"/>
  <c r="L381" i="6" s="1"/>
  <c r="L382" i="6" s="1"/>
  <c r="L383" i="6" s="1"/>
  <c r="L384" i="6" s="1"/>
  <c r="L385" i="6" s="1"/>
  <c r="L386" i="6" s="1"/>
  <c r="L387" i="6" s="1"/>
  <c r="L388" i="6" s="1"/>
  <c r="L389" i="6" s="1"/>
  <c r="L390" i="6" s="1"/>
  <c r="L391" i="6" s="1"/>
  <c r="L392" i="6" s="1"/>
  <c r="L393" i="6" s="1"/>
  <c r="L394" i="6" s="1"/>
  <c r="L395" i="6" s="1"/>
  <c r="L396" i="6" s="1"/>
  <c r="L397" i="6" s="1"/>
  <c r="L398" i="6" s="1"/>
  <c r="L399" i="6" s="1"/>
  <c r="L400" i="6" s="1"/>
  <c r="L401" i="6" s="1"/>
  <c r="L402" i="6" s="1"/>
  <c r="L403" i="6" s="1"/>
  <c r="L404" i="6" s="1"/>
  <c r="L405" i="6" s="1"/>
  <c r="L406" i="6" s="1"/>
  <c r="L407" i="6" s="1"/>
  <c r="L408" i="6" s="1"/>
  <c r="L409" i="6" s="1"/>
  <c r="L410" i="6" s="1"/>
  <c r="L411" i="6" s="1"/>
  <c r="L412" i="6" s="1"/>
  <c r="L413" i="6" s="1"/>
  <c r="L414" i="6" s="1"/>
  <c r="L415" i="6" s="1"/>
  <c r="L416" i="6" s="1"/>
  <c r="L417" i="6" s="1"/>
  <c r="L418" i="6" s="1"/>
  <c r="L419" i="6" s="1"/>
  <c r="L420" i="6" s="1"/>
  <c r="L421" i="6" s="1"/>
  <c r="L422" i="6" s="1"/>
  <c r="L423" i="6" s="1"/>
  <c r="L424" i="6" s="1"/>
  <c r="L425" i="6" s="1"/>
  <c r="L426" i="6" s="1"/>
  <c r="L427" i="6" s="1"/>
  <c r="L428" i="6" s="1"/>
  <c r="L429" i="6" s="1"/>
  <c r="L430" i="6" s="1"/>
  <c r="L431" i="6" s="1"/>
  <c r="L432" i="6" s="1"/>
  <c r="L433" i="6" s="1"/>
  <c r="L434" i="6" s="1"/>
  <c r="L435" i="6" s="1"/>
  <c r="L436" i="6" s="1"/>
  <c r="L437" i="6" s="1"/>
  <c r="L438" i="6" s="1"/>
  <c r="L439" i="6" s="1"/>
  <c r="L440" i="6" s="1"/>
  <c r="L441" i="6" s="1"/>
  <c r="L442" i="6" s="1"/>
  <c r="L443" i="6" s="1"/>
  <c r="L444" i="6" s="1"/>
  <c r="L445" i="6" s="1"/>
  <c r="L446" i="6" s="1"/>
  <c r="L447" i="6" s="1"/>
  <c r="L448" i="6" s="1"/>
  <c r="L449" i="6" s="1"/>
  <c r="L450" i="6" s="1"/>
  <c r="L451" i="6" s="1"/>
  <c r="L452" i="6" s="1"/>
  <c r="L453" i="6" s="1"/>
  <c r="L454" i="6" s="1"/>
  <c r="L455" i="6" s="1"/>
  <c r="L456" i="6" s="1"/>
  <c r="L457" i="6" s="1"/>
  <c r="L458" i="6" s="1"/>
  <c r="L459" i="6" s="1"/>
  <c r="L460" i="6" s="1"/>
  <c r="L461" i="6" s="1"/>
  <c r="L462" i="6" s="1"/>
  <c r="L463" i="6" s="1"/>
  <c r="L464" i="6" s="1"/>
  <c r="L465" i="6" s="1"/>
  <c r="L466" i="6" s="1"/>
  <c r="L467" i="6" s="1"/>
  <c r="L468" i="6" s="1"/>
  <c r="L469" i="6" s="1"/>
  <c r="L470" i="6" s="1"/>
  <c r="L471" i="6" s="1"/>
  <c r="L472" i="6" s="1"/>
  <c r="L473" i="6" s="1"/>
  <c r="L474" i="6" s="1"/>
  <c r="L475" i="6" s="1"/>
  <c r="L476" i="6" s="1"/>
  <c r="L477" i="6" s="1"/>
  <c r="L478" i="6" s="1"/>
  <c r="L479" i="6" s="1"/>
  <c r="L480" i="6" s="1"/>
  <c r="L481" i="6" s="1"/>
  <c r="L482" i="6" s="1"/>
  <c r="L483" i="6" s="1"/>
  <c r="L484" i="6" s="1"/>
  <c r="L485" i="6" s="1"/>
  <c r="L486" i="6" s="1"/>
  <c r="L487" i="6" s="1"/>
  <c r="L488" i="6" s="1"/>
  <c r="L489" i="6" s="1"/>
  <c r="L490" i="6" s="1"/>
  <c r="L491" i="6" s="1"/>
  <c r="L492" i="6" s="1"/>
  <c r="L493" i="6" s="1"/>
  <c r="L494" i="6" s="1"/>
  <c r="L495" i="6" s="1"/>
  <c r="L496" i="6" s="1"/>
  <c r="L497" i="6" s="1"/>
  <c r="L498" i="6" s="1"/>
  <c r="L499" i="6" s="1"/>
  <c r="L500" i="6" s="1"/>
  <c r="L501" i="6" s="1"/>
  <c r="L502" i="6" s="1"/>
  <c r="L503" i="6" s="1"/>
  <c r="L504" i="6" s="1"/>
  <c r="L505" i="6" s="1"/>
  <c r="L506" i="6" s="1"/>
  <c r="L507" i="6" s="1"/>
  <c r="L508" i="6" s="1"/>
  <c r="L509" i="6" s="1"/>
  <c r="L510" i="6" s="1"/>
  <c r="L511" i="6" s="1"/>
  <c r="L512" i="6" s="1"/>
  <c r="L513" i="6" s="1"/>
  <c r="L514" i="6" s="1"/>
  <c r="L515" i="6" s="1"/>
  <c r="L516" i="6" s="1"/>
  <c r="L517" i="6" s="1"/>
  <c r="L518" i="6" s="1"/>
  <c r="L519" i="6" s="1"/>
  <c r="L520" i="6" s="1"/>
  <c r="L521" i="6" s="1"/>
  <c r="L522" i="6" s="1"/>
  <c r="L523" i="6" s="1"/>
  <c r="L524" i="6" s="1"/>
  <c r="L525" i="6" s="1"/>
  <c r="L526" i="6" s="1"/>
  <c r="K13" i="6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O19" i="6" l="1"/>
  <c r="J3212" i="1"/>
  <c r="H3213" i="1"/>
  <c r="K602" i="13"/>
  <c r="O601" i="13"/>
  <c r="O13" i="6"/>
  <c r="O20" i="6"/>
  <c r="O48" i="6"/>
  <c r="K3" i="6"/>
  <c r="O3" i="6" s="1"/>
  <c r="O50" i="6"/>
  <c r="O40" i="6"/>
  <c r="J9" i="5"/>
  <c r="M7" i="16" s="1"/>
  <c r="O30" i="6"/>
  <c r="J214" i="11"/>
  <c r="B8" i="14"/>
  <c r="C11" i="16" s="1"/>
  <c r="C8" i="14"/>
  <c r="D11" i="16" s="1"/>
  <c r="D8" i="14"/>
  <c r="E11" i="16" s="1"/>
  <c r="H216" i="15"/>
  <c r="B14" i="14"/>
  <c r="D5" i="14"/>
  <c r="D8" i="10"/>
  <c r="E9" i="16" s="1"/>
  <c r="B8" i="10"/>
  <c r="C9" i="16" s="1"/>
  <c r="D5" i="10"/>
  <c r="E8" i="10" s="1"/>
  <c r="F9" i="16" s="1"/>
  <c r="C13" i="10"/>
  <c r="G13" i="10" s="1"/>
  <c r="D14" i="10"/>
  <c r="C8" i="10"/>
  <c r="D9" i="16" s="1"/>
  <c r="F8" i="10"/>
  <c r="G9" i="16" s="1"/>
  <c r="D8" i="3"/>
  <c r="E8" i="16" s="1"/>
  <c r="C8" i="3"/>
  <c r="D8" i="16" s="1"/>
  <c r="C15" i="12"/>
  <c r="I15" i="12" s="1"/>
  <c r="B16" i="12"/>
  <c r="G16" i="12" s="1"/>
  <c r="F9" i="12"/>
  <c r="K10" i="16" s="1"/>
  <c r="G9" i="12"/>
  <c r="L10" i="16" s="1"/>
  <c r="E5" i="12"/>
  <c r="J9" i="12"/>
  <c r="M10" i="16" s="1"/>
  <c r="K9" i="12"/>
  <c r="N10" i="16" s="1"/>
  <c r="B9" i="12"/>
  <c r="C10" i="16" s="1"/>
  <c r="C9" i="12"/>
  <c r="D10" i="16" s="1"/>
  <c r="D9" i="12"/>
  <c r="E10" i="16" s="1"/>
  <c r="H216" i="11"/>
  <c r="J215" i="11"/>
  <c r="H581" i="11"/>
  <c r="J580" i="11"/>
  <c r="K85" i="6"/>
  <c r="O84" i="6"/>
  <c r="O82" i="6"/>
  <c r="O72" i="6"/>
  <c r="O62" i="6"/>
  <c r="O52" i="6"/>
  <c r="O42" i="6"/>
  <c r="O32" i="6"/>
  <c r="O22" i="6"/>
  <c r="O81" i="6"/>
  <c r="O71" i="6"/>
  <c r="O61" i="6"/>
  <c r="O51" i="6"/>
  <c r="O41" i="6"/>
  <c r="O31" i="6"/>
  <c r="O21" i="6"/>
  <c r="K4" i="6"/>
  <c r="O80" i="6"/>
  <c r="O70" i="6"/>
  <c r="O60" i="6"/>
  <c r="O79" i="6"/>
  <c r="O69" i="6"/>
  <c r="O59" i="6"/>
  <c r="O49" i="6"/>
  <c r="O39" i="6"/>
  <c r="O29" i="6"/>
  <c r="O78" i="6"/>
  <c r="O68" i="6"/>
  <c r="O58" i="6"/>
  <c r="O38" i="6"/>
  <c r="O18" i="6"/>
  <c r="O28" i="6"/>
  <c r="O77" i="6"/>
  <c r="O67" i="6"/>
  <c r="O57" i="6"/>
  <c r="O47" i="6"/>
  <c r="O37" i="6"/>
  <c r="O27" i="6"/>
  <c r="O17" i="6"/>
  <c r="O76" i="6"/>
  <c r="O66" i="6"/>
  <c r="O56" i="6"/>
  <c r="O46" i="6"/>
  <c r="O36" i="6"/>
  <c r="O26" i="6"/>
  <c r="O16" i="6"/>
  <c r="O75" i="6"/>
  <c r="O65" i="6"/>
  <c r="O55" i="6"/>
  <c r="O45" i="6"/>
  <c r="O35" i="6"/>
  <c r="O25" i="6"/>
  <c r="O15" i="6"/>
  <c r="O74" i="6"/>
  <c r="O64" i="6"/>
  <c r="O54" i="6"/>
  <c r="O44" i="6"/>
  <c r="O34" i="6"/>
  <c r="O24" i="6"/>
  <c r="O14" i="6"/>
  <c r="O83" i="6"/>
  <c r="O73" i="6"/>
  <c r="O63" i="6"/>
  <c r="O53" i="6"/>
  <c r="O43" i="6"/>
  <c r="O33" i="6"/>
  <c r="O23" i="6"/>
  <c r="H3214" i="1" l="1"/>
  <c r="J3213" i="1"/>
  <c r="K603" i="13"/>
  <c r="O602" i="13"/>
  <c r="F14" i="14"/>
  <c r="J14" i="14"/>
  <c r="B15" i="10"/>
  <c r="H15" i="10" s="1"/>
  <c r="J14" i="10"/>
  <c r="F14" i="10"/>
  <c r="I16" i="12"/>
  <c r="H14" i="10"/>
  <c r="D14" i="14"/>
  <c r="C14" i="14"/>
  <c r="H14" i="14"/>
  <c r="G14" i="14"/>
  <c r="E14" i="14"/>
  <c r="I14" i="14"/>
  <c r="E14" i="10"/>
  <c r="C14" i="10"/>
  <c r="G14" i="10"/>
  <c r="I14" i="10"/>
  <c r="H217" i="15"/>
  <c r="B15" i="14"/>
  <c r="M16" i="12"/>
  <c r="C16" i="12"/>
  <c r="K16" i="12"/>
  <c r="B17" i="12"/>
  <c r="B18" i="12" s="1"/>
  <c r="D18" i="12" s="1"/>
  <c r="H16" i="12"/>
  <c r="F16" i="12"/>
  <c r="J16" i="12"/>
  <c r="N16" i="12"/>
  <c r="D16" i="12"/>
  <c r="E16" i="12"/>
  <c r="L16" i="12"/>
  <c r="H217" i="11"/>
  <c r="J216" i="11"/>
  <c r="H582" i="11"/>
  <c r="J581" i="11"/>
  <c r="K5" i="6"/>
  <c r="O4" i="6"/>
  <c r="K86" i="6"/>
  <c r="O85" i="6"/>
  <c r="J3214" i="1" l="1"/>
  <c r="H3215" i="1"/>
  <c r="K604" i="13"/>
  <c r="O603" i="13"/>
  <c r="F15" i="14"/>
  <c r="J15" i="14"/>
  <c r="B16" i="10"/>
  <c r="G16" i="10" s="1"/>
  <c r="G15" i="10"/>
  <c r="C15" i="10"/>
  <c r="E15" i="10"/>
  <c r="I15" i="10"/>
  <c r="D15" i="10"/>
  <c r="J15" i="10"/>
  <c r="F15" i="10"/>
  <c r="I15" i="14"/>
  <c r="H15" i="14"/>
  <c r="G15" i="14"/>
  <c r="E15" i="14"/>
  <c r="D15" i="14"/>
  <c r="C15" i="14"/>
  <c r="I18" i="12"/>
  <c r="E17" i="12"/>
  <c r="J18" i="12"/>
  <c r="J17" i="12"/>
  <c r="B19" i="12"/>
  <c r="E19" i="12" s="1"/>
  <c r="H18" i="12"/>
  <c r="G17" i="12"/>
  <c r="K18" i="12"/>
  <c r="I17" i="12"/>
  <c r="C17" i="12"/>
  <c r="N18" i="12"/>
  <c r="H218" i="15"/>
  <c r="L17" i="12"/>
  <c r="E18" i="12"/>
  <c r="M18" i="12"/>
  <c r="M17" i="12"/>
  <c r="B16" i="14"/>
  <c r="K17" i="12"/>
  <c r="G18" i="12"/>
  <c r="C18" i="12"/>
  <c r="H17" i="12"/>
  <c r="F18" i="12"/>
  <c r="D17" i="12"/>
  <c r="L18" i="12"/>
  <c r="F17" i="12"/>
  <c r="N17" i="12"/>
  <c r="H583" i="11"/>
  <c r="J582" i="11"/>
  <c r="J217" i="11"/>
  <c r="H218" i="11"/>
  <c r="K87" i="6"/>
  <c r="O86" i="6"/>
  <c r="K6" i="6"/>
  <c r="O5" i="6"/>
  <c r="H3216" i="1" l="1"/>
  <c r="J3215" i="1"/>
  <c r="I16" i="10"/>
  <c r="E16" i="10"/>
  <c r="K605" i="13"/>
  <c r="O604" i="13"/>
  <c r="F16" i="10"/>
  <c r="C16" i="10"/>
  <c r="H16" i="10"/>
  <c r="J16" i="10"/>
  <c r="B17" i="10"/>
  <c r="F17" i="10" s="1"/>
  <c r="D16" i="10"/>
  <c r="F16" i="14"/>
  <c r="J16" i="14"/>
  <c r="K19" i="12"/>
  <c r="C19" i="12"/>
  <c r="F19" i="12"/>
  <c r="D19" i="12"/>
  <c r="J19" i="12"/>
  <c r="L19" i="12"/>
  <c r="B20" i="12"/>
  <c r="H20" i="12" s="1"/>
  <c r="M19" i="12"/>
  <c r="N19" i="12"/>
  <c r="G19" i="12"/>
  <c r="H19" i="12"/>
  <c r="I16" i="14"/>
  <c r="D16" i="14"/>
  <c r="C16" i="14"/>
  <c r="H16" i="14"/>
  <c r="G16" i="14"/>
  <c r="E16" i="14"/>
  <c r="I19" i="12"/>
  <c r="H219" i="15"/>
  <c r="B17" i="14"/>
  <c r="H219" i="11"/>
  <c r="J218" i="11"/>
  <c r="H584" i="11"/>
  <c r="J583" i="11"/>
  <c r="K7" i="6"/>
  <c r="O6" i="6"/>
  <c r="K88" i="6"/>
  <c r="O87" i="6"/>
  <c r="H3217" i="1" l="1"/>
  <c r="J3216" i="1"/>
  <c r="K606" i="13"/>
  <c r="O605" i="13"/>
  <c r="H17" i="10"/>
  <c r="E17" i="10"/>
  <c r="D17" i="10"/>
  <c r="C17" i="10"/>
  <c r="B18" i="10"/>
  <c r="C18" i="10" s="1"/>
  <c r="G17" i="10"/>
  <c r="J17" i="10"/>
  <c r="I17" i="10"/>
  <c r="F17" i="14"/>
  <c r="J17" i="14"/>
  <c r="F20" i="12"/>
  <c r="K20" i="12"/>
  <c r="M20" i="12"/>
  <c r="B21" i="12"/>
  <c r="K21" i="12" s="1"/>
  <c r="G20" i="12"/>
  <c r="J20" i="12"/>
  <c r="L20" i="12"/>
  <c r="I20" i="12"/>
  <c r="D20" i="12"/>
  <c r="N20" i="12"/>
  <c r="E20" i="12"/>
  <c r="C20" i="12"/>
  <c r="G17" i="14"/>
  <c r="E17" i="14"/>
  <c r="D17" i="14"/>
  <c r="I17" i="14"/>
  <c r="H17" i="14"/>
  <c r="C17" i="14"/>
  <c r="H220" i="15"/>
  <c r="B18" i="14"/>
  <c r="H220" i="11"/>
  <c r="J219" i="11"/>
  <c r="J584" i="11"/>
  <c r="H585" i="11"/>
  <c r="K89" i="6"/>
  <c r="O88" i="6"/>
  <c r="K8" i="6"/>
  <c r="O7" i="6"/>
  <c r="H3218" i="1" l="1"/>
  <c r="J3217" i="1"/>
  <c r="K607" i="13"/>
  <c r="O606" i="13"/>
  <c r="D18" i="10"/>
  <c r="B19" i="10"/>
  <c r="E19" i="10" s="1"/>
  <c r="E18" i="10"/>
  <c r="H18" i="10"/>
  <c r="G18" i="10"/>
  <c r="I18" i="10"/>
  <c r="F18" i="10"/>
  <c r="J18" i="10"/>
  <c r="F18" i="14"/>
  <c r="J18" i="14"/>
  <c r="H21" i="12"/>
  <c r="E21" i="12"/>
  <c r="I21" i="12"/>
  <c r="D21" i="12"/>
  <c r="N21" i="12"/>
  <c r="F21" i="12"/>
  <c r="G21" i="12"/>
  <c r="J21" i="12"/>
  <c r="L21" i="12"/>
  <c r="C21" i="12"/>
  <c r="B22" i="12"/>
  <c r="H22" i="12" s="1"/>
  <c r="M21" i="12"/>
  <c r="I18" i="14"/>
  <c r="C18" i="14"/>
  <c r="H18" i="14"/>
  <c r="G18" i="14"/>
  <c r="E18" i="14"/>
  <c r="D18" i="14"/>
  <c r="H221" i="15"/>
  <c r="B19" i="14"/>
  <c r="H586" i="11"/>
  <c r="J585" i="11"/>
  <c r="J220" i="11"/>
  <c r="H221" i="11"/>
  <c r="K9" i="6"/>
  <c r="O8" i="6"/>
  <c r="K90" i="6"/>
  <c r="O89" i="6"/>
  <c r="J3218" i="1" l="1"/>
  <c r="H3219" i="1"/>
  <c r="K608" i="13"/>
  <c r="O607" i="13"/>
  <c r="I19" i="10"/>
  <c r="D19" i="10"/>
  <c r="B20" i="10"/>
  <c r="J20" i="10" s="1"/>
  <c r="F19" i="10"/>
  <c r="G19" i="10"/>
  <c r="C19" i="10"/>
  <c r="H19" i="10"/>
  <c r="J19" i="10"/>
  <c r="F19" i="14"/>
  <c r="J19" i="14"/>
  <c r="G22" i="12"/>
  <c r="C22" i="12"/>
  <c r="M22" i="12"/>
  <c r="I22" i="12"/>
  <c r="L22" i="12"/>
  <c r="D22" i="12"/>
  <c r="N22" i="12"/>
  <c r="F22" i="12"/>
  <c r="E22" i="12"/>
  <c r="J22" i="12"/>
  <c r="K22" i="12"/>
  <c r="D19" i="14"/>
  <c r="C19" i="14"/>
  <c r="H19" i="14"/>
  <c r="I19" i="14"/>
  <c r="G19" i="14"/>
  <c r="E19" i="14"/>
  <c r="H222" i="15"/>
  <c r="B20" i="14"/>
  <c r="H222" i="11"/>
  <c r="J221" i="11"/>
  <c r="J586" i="11"/>
  <c r="H587" i="11"/>
  <c r="K91" i="6"/>
  <c r="O90" i="6"/>
  <c r="K10" i="6"/>
  <c r="O9" i="6"/>
  <c r="H3220" i="1" l="1"/>
  <c r="J3219" i="1"/>
  <c r="K609" i="13"/>
  <c r="O608" i="13"/>
  <c r="F20" i="10"/>
  <c r="D20" i="10"/>
  <c r="H20" i="10"/>
  <c r="I20" i="10"/>
  <c r="G20" i="10"/>
  <c r="C20" i="10"/>
  <c r="E20" i="10"/>
  <c r="F20" i="14"/>
  <c r="J20" i="14"/>
  <c r="I20" i="14"/>
  <c r="H20" i="14"/>
  <c r="G20" i="14"/>
  <c r="E20" i="14"/>
  <c r="D20" i="14"/>
  <c r="C20" i="14"/>
  <c r="H223" i="15"/>
  <c r="H588" i="11"/>
  <c r="J587" i="11"/>
  <c r="J222" i="11"/>
  <c r="H223" i="11"/>
  <c r="K11" i="6"/>
  <c r="O10" i="6"/>
  <c r="K92" i="6"/>
  <c r="O91" i="6"/>
  <c r="J3220" i="1" l="1"/>
  <c r="H3221" i="1"/>
  <c r="K610" i="13"/>
  <c r="O609" i="13"/>
  <c r="H224" i="15"/>
  <c r="H224" i="11"/>
  <c r="J223" i="11"/>
  <c r="H589" i="11"/>
  <c r="J588" i="11"/>
  <c r="K93" i="6"/>
  <c r="O92" i="6"/>
  <c r="K12" i="6"/>
  <c r="O12" i="6" s="1"/>
  <c r="O11" i="6"/>
  <c r="J3221" i="1" l="1"/>
  <c r="H3222" i="1"/>
  <c r="K611" i="13"/>
  <c r="O610" i="13"/>
  <c r="H225" i="15"/>
  <c r="H590" i="11"/>
  <c r="J589" i="11"/>
  <c r="J224" i="11"/>
  <c r="H225" i="11"/>
  <c r="K94" i="6"/>
  <c r="O93" i="6"/>
  <c r="H3223" i="1" l="1"/>
  <c r="J3222" i="1"/>
  <c r="K612" i="13"/>
  <c r="O611" i="13"/>
  <c r="H226" i="15"/>
  <c r="H591" i="11"/>
  <c r="J590" i="11"/>
  <c r="H226" i="11"/>
  <c r="J225" i="11"/>
  <c r="K95" i="6"/>
  <c r="O94" i="6"/>
  <c r="J3223" i="1" l="1"/>
  <c r="H3224" i="1"/>
  <c r="K613" i="13"/>
  <c r="O612" i="13"/>
  <c r="H227" i="15"/>
  <c r="H592" i="11"/>
  <c r="J591" i="11"/>
  <c r="H227" i="11"/>
  <c r="J226" i="11"/>
  <c r="K96" i="6"/>
  <c r="O95" i="6"/>
  <c r="J3224" i="1" l="1"/>
  <c r="H3225" i="1"/>
  <c r="K614" i="13"/>
  <c r="O613" i="13"/>
  <c r="H228" i="15"/>
  <c r="H228" i="11"/>
  <c r="J227" i="11"/>
  <c r="H593" i="11"/>
  <c r="J592" i="11"/>
  <c r="K97" i="6"/>
  <c r="O96" i="6"/>
  <c r="J3225" i="1" l="1"/>
  <c r="H3226" i="1"/>
  <c r="K615" i="13"/>
  <c r="O614" i="13"/>
  <c r="H229" i="15"/>
  <c r="H594" i="11"/>
  <c r="J593" i="11"/>
  <c r="H229" i="11"/>
  <c r="J228" i="11"/>
  <c r="K98" i="6"/>
  <c r="O97" i="6"/>
  <c r="H3227" i="1" l="1"/>
  <c r="J3226" i="1"/>
  <c r="K616" i="13"/>
  <c r="O615" i="13"/>
  <c r="H230" i="15"/>
  <c r="J229" i="11"/>
  <c r="H230" i="11"/>
  <c r="J594" i="11"/>
  <c r="H595" i="11"/>
  <c r="K99" i="6"/>
  <c r="O98" i="6"/>
  <c r="H3228" i="1" l="1"/>
  <c r="J3227" i="1"/>
  <c r="K617" i="13"/>
  <c r="O616" i="13"/>
  <c r="H231" i="15"/>
  <c r="H596" i="11"/>
  <c r="J595" i="11"/>
  <c r="H231" i="11"/>
  <c r="J230" i="11"/>
  <c r="K100" i="6"/>
  <c r="O99" i="6"/>
  <c r="B16" i="5"/>
  <c r="C15" i="5"/>
  <c r="I15" i="5" s="1"/>
  <c r="D5" i="3"/>
  <c r="B8" i="3"/>
  <c r="C8" i="16" s="1"/>
  <c r="B14" i="3"/>
  <c r="C13" i="3"/>
  <c r="J3228" i="1" l="1"/>
  <c r="H3229" i="1"/>
  <c r="K618" i="13"/>
  <c r="O617" i="13"/>
  <c r="F14" i="3"/>
  <c r="J14" i="3"/>
  <c r="H232" i="15"/>
  <c r="J596" i="11"/>
  <c r="H597" i="11"/>
  <c r="H232" i="11"/>
  <c r="J231" i="11"/>
  <c r="E14" i="3"/>
  <c r="G16" i="5"/>
  <c r="N16" i="5"/>
  <c r="H16" i="5"/>
  <c r="M16" i="5"/>
  <c r="F16" i="5"/>
  <c r="I16" i="5"/>
  <c r="L16" i="5"/>
  <c r="K16" i="5"/>
  <c r="E16" i="5"/>
  <c r="C16" i="5"/>
  <c r="J16" i="5"/>
  <c r="K101" i="6"/>
  <c r="O100" i="6"/>
  <c r="B17" i="5"/>
  <c r="H3230" i="1" l="1"/>
  <c r="J3229" i="1"/>
  <c r="K619" i="13"/>
  <c r="O618" i="13"/>
  <c r="H233" i="15"/>
  <c r="J232" i="11"/>
  <c r="H233" i="11"/>
  <c r="H598" i="11"/>
  <c r="J597" i="11"/>
  <c r="M17" i="5"/>
  <c r="N17" i="5"/>
  <c r="L17" i="5"/>
  <c r="K17" i="5"/>
  <c r="J17" i="5"/>
  <c r="I17" i="5"/>
  <c r="H17" i="5"/>
  <c r="E17" i="5"/>
  <c r="G17" i="5"/>
  <c r="C17" i="5"/>
  <c r="F17" i="5"/>
  <c r="K102" i="6"/>
  <c r="O101" i="6"/>
  <c r="B18" i="5"/>
  <c r="H3231" i="1" l="1"/>
  <c r="J3230" i="1"/>
  <c r="K620" i="13"/>
  <c r="O619" i="13"/>
  <c r="H234" i="15"/>
  <c r="J233" i="11"/>
  <c r="H234" i="11"/>
  <c r="J598" i="11"/>
  <c r="H599" i="11"/>
  <c r="M18" i="5"/>
  <c r="N18" i="5"/>
  <c r="L18" i="5"/>
  <c r="K18" i="5"/>
  <c r="J18" i="5"/>
  <c r="I18" i="5"/>
  <c r="F18" i="5"/>
  <c r="H18" i="5"/>
  <c r="C18" i="5"/>
  <c r="E18" i="5"/>
  <c r="G18" i="5"/>
  <c r="K103" i="6"/>
  <c r="O102" i="6"/>
  <c r="B19" i="5"/>
  <c r="H3232" i="1" l="1"/>
  <c r="J3231" i="1"/>
  <c r="K621" i="13"/>
  <c r="O620" i="13"/>
  <c r="H235" i="15"/>
  <c r="H600" i="11"/>
  <c r="J599" i="11"/>
  <c r="H235" i="11"/>
  <c r="J234" i="11"/>
  <c r="N19" i="5"/>
  <c r="M19" i="5"/>
  <c r="I19" i="5"/>
  <c r="J19" i="5"/>
  <c r="L19" i="5"/>
  <c r="K19" i="5"/>
  <c r="F19" i="5"/>
  <c r="H19" i="5"/>
  <c r="E19" i="5"/>
  <c r="G19" i="5"/>
  <c r="C19" i="5"/>
  <c r="K104" i="6"/>
  <c r="O103" i="6"/>
  <c r="B20" i="5"/>
  <c r="J3232" i="1" l="1"/>
  <c r="H3233" i="1"/>
  <c r="K622" i="13"/>
  <c r="O621" i="13"/>
  <c r="H236" i="15"/>
  <c r="H601" i="11"/>
  <c r="J600" i="11"/>
  <c r="H236" i="11"/>
  <c r="J235" i="11"/>
  <c r="M20" i="5"/>
  <c r="N20" i="5"/>
  <c r="I20" i="5"/>
  <c r="J20" i="5"/>
  <c r="L20" i="5"/>
  <c r="K20" i="5"/>
  <c r="C20" i="5"/>
  <c r="E20" i="5"/>
  <c r="F20" i="5"/>
  <c r="H20" i="5"/>
  <c r="G20" i="5"/>
  <c r="K105" i="6"/>
  <c r="O104" i="6"/>
  <c r="B21" i="5"/>
  <c r="J3233" i="1" l="1"/>
  <c r="H3234" i="1"/>
  <c r="K623" i="13"/>
  <c r="O622" i="13"/>
  <c r="H237" i="15"/>
  <c r="J236" i="11"/>
  <c r="H237" i="11"/>
  <c r="H602" i="11"/>
  <c r="J601" i="11"/>
  <c r="M21" i="5"/>
  <c r="N21" i="5"/>
  <c r="K21" i="5"/>
  <c r="L21" i="5"/>
  <c r="J21" i="5"/>
  <c r="I21" i="5"/>
  <c r="G21" i="5"/>
  <c r="F21" i="5"/>
  <c r="C21" i="5"/>
  <c r="H21" i="5"/>
  <c r="E21" i="5"/>
  <c r="K106" i="6"/>
  <c r="O105" i="6"/>
  <c r="B22" i="5"/>
  <c r="H3235" i="1" l="1"/>
  <c r="J3234" i="1"/>
  <c r="K624" i="13"/>
  <c r="O623" i="13"/>
  <c r="H238" i="15"/>
  <c r="J602" i="11"/>
  <c r="H603" i="11"/>
  <c r="H238" i="11"/>
  <c r="J237" i="11"/>
  <c r="M22" i="5"/>
  <c r="N22" i="5"/>
  <c r="K22" i="5"/>
  <c r="I22" i="5"/>
  <c r="L22" i="5"/>
  <c r="J22" i="5"/>
  <c r="E22" i="5"/>
  <c r="H22" i="5"/>
  <c r="G22" i="5"/>
  <c r="F22" i="5"/>
  <c r="C22" i="5"/>
  <c r="K107" i="6"/>
  <c r="O106" i="6"/>
  <c r="H3236" i="1" l="1"/>
  <c r="J3235" i="1"/>
  <c r="K625" i="13"/>
  <c r="O624" i="13"/>
  <c r="H239" i="15"/>
  <c r="H239" i="11"/>
  <c r="J238" i="11"/>
  <c r="H604" i="11"/>
  <c r="J603" i="11"/>
  <c r="K108" i="6"/>
  <c r="O107" i="6"/>
  <c r="J3236" i="1" l="1"/>
  <c r="H3237" i="1"/>
  <c r="K626" i="13"/>
  <c r="O625" i="13"/>
  <c r="H240" i="15"/>
  <c r="H240" i="11"/>
  <c r="J239" i="11"/>
  <c r="J604" i="11"/>
  <c r="H605" i="11"/>
  <c r="K109" i="6"/>
  <c r="O108" i="6"/>
  <c r="J3237" i="1" l="1"/>
  <c r="H3238" i="1"/>
  <c r="O626" i="13"/>
  <c r="K627" i="13"/>
  <c r="H241" i="15"/>
  <c r="J240" i="11"/>
  <c r="H241" i="11"/>
  <c r="H606" i="11"/>
  <c r="J605" i="11"/>
  <c r="K110" i="6"/>
  <c r="O109" i="6"/>
  <c r="H3239" i="1" l="1"/>
  <c r="J3238" i="1"/>
  <c r="K628" i="13"/>
  <c r="O627" i="13"/>
  <c r="H242" i="15"/>
  <c r="J606" i="11"/>
  <c r="H607" i="11"/>
  <c r="H242" i="11"/>
  <c r="J241" i="11"/>
  <c r="K111" i="6"/>
  <c r="O110" i="6"/>
  <c r="H3240" i="1" l="1"/>
  <c r="J3239" i="1"/>
  <c r="K629" i="13"/>
  <c r="O628" i="13"/>
  <c r="H243" i="15"/>
  <c r="J242" i="11"/>
  <c r="H243" i="11"/>
  <c r="H608" i="11"/>
  <c r="J607" i="11"/>
  <c r="K112" i="6"/>
  <c r="O111" i="6"/>
  <c r="H457" i="1"/>
  <c r="H2" i="1"/>
  <c r="H92" i="1"/>
  <c r="H93" i="1" l="1"/>
  <c r="J92" i="1"/>
  <c r="H458" i="1"/>
  <c r="J458" i="1" s="1"/>
  <c r="J457" i="1"/>
  <c r="J3240" i="1"/>
  <c r="H3241" i="1"/>
  <c r="K630" i="13"/>
  <c r="O629" i="13"/>
  <c r="H244" i="15"/>
  <c r="H609" i="11"/>
  <c r="J608" i="11"/>
  <c r="H244" i="11"/>
  <c r="J243" i="11"/>
  <c r="H3" i="1"/>
  <c r="J2" i="1"/>
  <c r="H459" i="1"/>
  <c r="K113" i="6"/>
  <c r="O112" i="6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H460" i="1" l="1"/>
  <c r="J459" i="1"/>
  <c r="I14" i="3"/>
  <c r="H3242" i="1"/>
  <c r="J3241" i="1"/>
  <c r="H94" i="1"/>
  <c r="J93" i="1"/>
  <c r="K631" i="13"/>
  <c r="O630" i="13"/>
  <c r="H245" i="15"/>
  <c r="J244" i="11"/>
  <c r="H245" i="11"/>
  <c r="H610" i="11"/>
  <c r="J609" i="11"/>
  <c r="H4" i="1"/>
  <c r="H5" i="1" s="1"/>
  <c r="H6" i="1" s="1"/>
  <c r="J3" i="1"/>
  <c r="K114" i="6"/>
  <c r="O113" i="6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H95" i="1" l="1"/>
  <c r="J94" i="1"/>
  <c r="J3242" i="1"/>
  <c r="H3243" i="1"/>
  <c r="H7" i="1"/>
  <c r="J6" i="1"/>
  <c r="H461" i="1"/>
  <c r="J460" i="1"/>
  <c r="K632" i="13"/>
  <c r="O631" i="13"/>
  <c r="H246" i="15"/>
  <c r="H611" i="11"/>
  <c r="J610" i="11"/>
  <c r="H246" i="11"/>
  <c r="J245" i="11"/>
  <c r="K115" i="6"/>
  <c r="O114" i="6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182" i="1"/>
  <c r="H462" i="1" l="1"/>
  <c r="J461" i="1"/>
  <c r="H8" i="1"/>
  <c r="J7" i="1"/>
  <c r="J3243" i="1"/>
  <c r="H3244" i="1"/>
  <c r="H96" i="1"/>
  <c r="J95" i="1"/>
  <c r="K633" i="13"/>
  <c r="O632" i="13"/>
  <c r="H247" i="15"/>
  <c r="H247" i="11"/>
  <c r="J246" i="11"/>
  <c r="J611" i="11"/>
  <c r="H612" i="11"/>
  <c r="K116" i="6"/>
  <c r="O115" i="6"/>
  <c r="G13" i="3"/>
  <c r="C14" i="3"/>
  <c r="H9" i="1" l="1"/>
  <c r="J8" i="1"/>
  <c r="H97" i="1"/>
  <c r="J96" i="1"/>
  <c r="H3245" i="1"/>
  <c r="J3244" i="1"/>
  <c r="H463" i="1"/>
  <c r="J462" i="1"/>
  <c r="K634" i="13"/>
  <c r="O633" i="13"/>
  <c r="H248" i="15"/>
  <c r="J612" i="11"/>
  <c r="H613" i="11"/>
  <c r="H248" i="11"/>
  <c r="J247" i="11"/>
  <c r="K117" i="6"/>
  <c r="O116" i="6"/>
  <c r="B15" i="3"/>
  <c r="G14" i="3"/>
  <c r="D14" i="3"/>
  <c r="H14" i="3"/>
  <c r="H464" i="1" l="1"/>
  <c r="J463" i="1"/>
  <c r="J3245" i="1"/>
  <c r="H3246" i="1"/>
  <c r="H98" i="1"/>
  <c r="J97" i="1"/>
  <c r="H10" i="1"/>
  <c r="J9" i="1"/>
  <c r="K635" i="13"/>
  <c r="O634" i="13"/>
  <c r="F15" i="3"/>
  <c r="J15" i="3"/>
  <c r="H249" i="15"/>
  <c r="H249" i="11"/>
  <c r="J248" i="11"/>
  <c r="H614" i="11"/>
  <c r="J613" i="11"/>
  <c r="H15" i="3"/>
  <c r="E15" i="3"/>
  <c r="I15" i="3"/>
  <c r="K118" i="6"/>
  <c r="O117" i="6"/>
  <c r="B16" i="3"/>
  <c r="G15" i="3"/>
  <c r="C15" i="3"/>
  <c r="D15" i="3"/>
  <c r="H11" i="1" l="1"/>
  <c r="J10" i="1"/>
  <c r="H99" i="1"/>
  <c r="J98" i="1"/>
  <c r="J3246" i="1"/>
  <c r="H3247" i="1"/>
  <c r="H465" i="1"/>
  <c r="J464" i="1"/>
  <c r="K636" i="13"/>
  <c r="O635" i="13"/>
  <c r="F16" i="3"/>
  <c r="J16" i="3"/>
  <c r="H250" i="15"/>
  <c r="H250" i="11"/>
  <c r="J249" i="11"/>
  <c r="J614" i="11"/>
  <c r="H615" i="11"/>
  <c r="E16" i="3"/>
  <c r="I16" i="3"/>
  <c r="K119" i="6"/>
  <c r="O118" i="6"/>
  <c r="B17" i="3"/>
  <c r="H16" i="3"/>
  <c r="D16" i="3"/>
  <c r="G16" i="3"/>
  <c r="C16" i="3"/>
  <c r="H3248" i="1" l="1"/>
  <c r="J3247" i="1"/>
  <c r="H466" i="1"/>
  <c r="J465" i="1"/>
  <c r="H100" i="1"/>
  <c r="J99" i="1"/>
  <c r="H12" i="1"/>
  <c r="J11" i="1"/>
  <c r="K637" i="13"/>
  <c r="O636" i="13"/>
  <c r="F17" i="3"/>
  <c r="J17" i="3"/>
  <c r="H251" i="15"/>
  <c r="J250" i="11"/>
  <c r="H251" i="11"/>
  <c r="H616" i="11"/>
  <c r="J615" i="11"/>
  <c r="E17" i="3"/>
  <c r="I17" i="3"/>
  <c r="K120" i="6"/>
  <c r="O119" i="6"/>
  <c r="B18" i="3"/>
  <c r="H17" i="3"/>
  <c r="D17" i="3"/>
  <c r="C17" i="3"/>
  <c r="G17" i="3"/>
  <c r="H467" i="1" l="1"/>
  <c r="J466" i="1"/>
  <c r="H13" i="1"/>
  <c r="J12" i="1"/>
  <c r="H101" i="1"/>
  <c r="J100" i="1"/>
  <c r="J3248" i="1"/>
  <c r="H3249" i="1"/>
  <c r="K638" i="13"/>
  <c r="O637" i="13"/>
  <c r="F18" i="3"/>
  <c r="J18" i="3"/>
  <c r="H252" i="15"/>
  <c r="H252" i="11"/>
  <c r="J251" i="11"/>
  <c r="H617" i="11"/>
  <c r="J616" i="11"/>
  <c r="E18" i="3"/>
  <c r="I18" i="3"/>
  <c r="K121" i="6"/>
  <c r="O120" i="6"/>
  <c r="B19" i="3"/>
  <c r="C18" i="3"/>
  <c r="H18" i="3"/>
  <c r="D18" i="3"/>
  <c r="G18" i="3"/>
  <c r="H14" i="1" l="1"/>
  <c r="J13" i="1"/>
  <c r="H3250" i="1"/>
  <c r="J3249" i="1"/>
  <c r="H102" i="1"/>
  <c r="J101" i="1"/>
  <c r="H468" i="1"/>
  <c r="J467" i="1"/>
  <c r="K639" i="13"/>
  <c r="O638" i="13"/>
  <c r="F19" i="3"/>
  <c r="J19" i="3"/>
  <c r="H253" i="15"/>
  <c r="J252" i="11"/>
  <c r="H253" i="11"/>
  <c r="H618" i="11"/>
  <c r="J617" i="11"/>
  <c r="E19" i="3"/>
  <c r="I19" i="3"/>
  <c r="K122" i="6"/>
  <c r="O121" i="6"/>
  <c r="B20" i="3"/>
  <c r="G19" i="3"/>
  <c r="H19" i="3"/>
  <c r="C19" i="3"/>
  <c r="D19" i="3"/>
  <c r="J3250" i="1" l="1"/>
  <c r="H3251" i="1"/>
  <c r="H469" i="1"/>
  <c r="J468" i="1"/>
  <c r="H103" i="1"/>
  <c r="J102" i="1"/>
  <c r="H15" i="1"/>
  <c r="J14" i="1"/>
  <c r="K640" i="13"/>
  <c r="O639" i="13"/>
  <c r="F20" i="3"/>
  <c r="J20" i="3"/>
  <c r="H254" i="15"/>
  <c r="H254" i="11"/>
  <c r="J253" i="11"/>
  <c r="H619" i="11"/>
  <c r="J618" i="11"/>
  <c r="I20" i="3"/>
  <c r="E20" i="3"/>
  <c r="K123" i="6"/>
  <c r="O122" i="6"/>
  <c r="G20" i="3"/>
  <c r="H20" i="3"/>
  <c r="C20" i="3"/>
  <c r="D20" i="3"/>
  <c r="H104" i="1" l="1"/>
  <c r="J103" i="1"/>
  <c r="H3252" i="1"/>
  <c r="J3251" i="1"/>
  <c r="H16" i="1"/>
  <c r="J15" i="1"/>
  <c r="H470" i="1"/>
  <c r="J469" i="1"/>
  <c r="K641" i="13"/>
  <c r="O640" i="13"/>
  <c r="H255" i="15"/>
  <c r="H255" i="11"/>
  <c r="J254" i="11"/>
  <c r="H620" i="11"/>
  <c r="J619" i="11"/>
  <c r="K124" i="6"/>
  <c r="O123" i="6"/>
  <c r="H471" i="1" l="1"/>
  <c r="J470" i="1"/>
  <c r="H17" i="1"/>
  <c r="J16" i="1"/>
  <c r="H3253" i="1"/>
  <c r="J3252" i="1"/>
  <c r="H105" i="1"/>
  <c r="J104" i="1"/>
  <c r="K642" i="13"/>
  <c r="O641" i="13"/>
  <c r="H256" i="15"/>
  <c r="H256" i="11"/>
  <c r="J255" i="11"/>
  <c r="H621" i="11"/>
  <c r="J620" i="11"/>
  <c r="K125" i="6"/>
  <c r="O124" i="6"/>
  <c r="H106" i="1" l="1"/>
  <c r="J105" i="1"/>
  <c r="J3253" i="1"/>
  <c r="H3254" i="1"/>
  <c r="H18" i="1"/>
  <c r="J17" i="1"/>
  <c r="H472" i="1"/>
  <c r="J471" i="1"/>
  <c r="K643" i="13"/>
  <c r="O642" i="13"/>
  <c r="H257" i="15"/>
  <c r="J621" i="11"/>
  <c r="H622" i="11"/>
  <c r="H257" i="11"/>
  <c r="J256" i="11"/>
  <c r="K126" i="6"/>
  <c r="O125" i="6"/>
  <c r="H473" i="1" l="1"/>
  <c r="J472" i="1"/>
  <c r="H3255" i="1"/>
  <c r="J3254" i="1"/>
  <c r="H19" i="1"/>
  <c r="J18" i="1"/>
  <c r="H107" i="1"/>
  <c r="J106" i="1"/>
  <c r="K644" i="13"/>
  <c r="O643" i="13"/>
  <c r="H258" i="15"/>
  <c r="H623" i="11"/>
  <c r="J622" i="11"/>
  <c r="H258" i="11"/>
  <c r="J257" i="11"/>
  <c r="K127" i="6"/>
  <c r="O126" i="6"/>
  <c r="H20" i="1" l="1"/>
  <c r="J19" i="1"/>
  <c r="H108" i="1"/>
  <c r="J107" i="1"/>
  <c r="H3256" i="1"/>
  <c r="J3255" i="1"/>
  <c r="H474" i="1"/>
  <c r="J473" i="1"/>
  <c r="K645" i="13"/>
  <c r="O644" i="13"/>
  <c r="H259" i="15"/>
  <c r="H624" i="11"/>
  <c r="J623" i="11"/>
  <c r="H259" i="11"/>
  <c r="J258" i="11"/>
  <c r="K128" i="6"/>
  <c r="O127" i="6"/>
  <c r="J3256" i="1" l="1"/>
  <c r="H3257" i="1"/>
  <c r="H475" i="1"/>
  <c r="J474" i="1"/>
  <c r="H109" i="1"/>
  <c r="J108" i="1"/>
  <c r="H21" i="1"/>
  <c r="J20" i="1"/>
  <c r="K646" i="13"/>
  <c r="O645" i="13"/>
  <c r="H260" i="15"/>
  <c r="H260" i="11"/>
  <c r="J259" i="11"/>
  <c r="J624" i="11"/>
  <c r="H625" i="11"/>
  <c r="K129" i="6"/>
  <c r="O128" i="6"/>
  <c r="H22" i="1" l="1"/>
  <c r="J21" i="1"/>
  <c r="H110" i="1"/>
  <c r="J109" i="1"/>
  <c r="H476" i="1"/>
  <c r="J475" i="1"/>
  <c r="J3257" i="1"/>
  <c r="H3258" i="1"/>
  <c r="K647" i="13"/>
  <c r="O646" i="13"/>
  <c r="H261" i="15"/>
  <c r="H626" i="11"/>
  <c r="J625" i="11"/>
  <c r="H261" i="11"/>
  <c r="J260" i="11"/>
  <c r="K130" i="6"/>
  <c r="O129" i="6"/>
  <c r="H477" i="1" l="1"/>
  <c r="J476" i="1"/>
  <c r="H111" i="1"/>
  <c r="J110" i="1"/>
  <c r="H3259" i="1"/>
  <c r="J3258" i="1"/>
  <c r="H23" i="1"/>
  <c r="J22" i="1"/>
  <c r="K648" i="13"/>
  <c r="O647" i="13"/>
  <c r="H262" i="15"/>
  <c r="H262" i="11"/>
  <c r="J261" i="11"/>
  <c r="H627" i="11"/>
  <c r="J626" i="11"/>
  <c r="K131" i="6"/>
  <c r="O130" i="6"/>
  <c r="H24" i="1" l="1"/>
  <c r="J23" i="1"/>
  <c r="J3259" i="1"/>
  <c r="H3260" i="1"/>
  <c r="H112" i="1"/>
  <c r="J111" i="1"/>
  <c r="H478" i="1"/>
  <c r="J477" i="1"/>
  <c r="K649" i="13"/>
  <c r="O648" i="13"/>
  <c r="H263" i="15"/>
  <c r="H628" i="11"/>
  <c r="J627" i="11"/>
  <c r="J262" i="11"/>
  <c r="H263" i="11"/>
  <c r="K132" i="6"/>
  <c r="O131" i="6"/>
  <c r="H479" i="1" l="1"/>
  <c r="J478" i="1"/>
  <c r="H113" i="1"/>
  <c r="J112" i="1"/>
  <c r="J3260" i="1"/>
  <c r="H3261" i="1"/>
  <c r="H25" i="1"/>
  <c r="J24" i="1"/>
  <c r="K650" i="13"/>
  <c r="O649" i="13"/>
  <c r="H264" i="15"/>
  <c r="H264" i="11"/>
  <c r="J263" i="11"/>
  <c r="J628" i="11"/>
  <c r="H629" i="11"/>
  <c r="K133" i="6"/>
  <c r="O132" i="6"/>
  <c r="H26" i="1" l="1"/>
  <c r="J25" i="1"/>
  <c r="H3262" i="1"/>
  <c r="J3261" i="1"/>
  <c r="H114" i="1"/>
  <c r="J113" i="1"/>
  <c r="H480" i="1"/>
  <c r="J479" i="1"/>
  <c r="K651" i="13"/>
  <c r="O650" i="13"/>
  <c r="H265" i="15"/>
  <c r="H265" i="11"/>
  <c r="J264" i="11"/>
  <c r="H630" i="11"/>
  <c r="J629" i="11"/>
  <c r="K134" i="6"/>
  <c r="O133" i="6"/>
  <c r="H481" i="1" l="1"/>
  <c r="J480" i="1"/>
  <c r="H115" i="1"/>
  <c r="J114" i="1"/>
  <c r="J3262" i="1"/>
  <c r="H3263" i="1"/>
  <c r="H27" i="1"/>
  <c r="J26" i="1"/>
  <c r="K652" i="13"/>
  <c r="O651" i="13"/>
  <c r="H266" i="15"/>
  <c r="H266" i="11"/>
  <c r="J265" i="11"/>
  <c r="H631" i="11"/>
  <c r="J630" i="11"/>
  <c r="K135" i="6"/>
  <c r="O134" i="6"/>
  <c r="H116" i="1" l="1"/>
  <c r="J115" i="1"/>
  <c r="H28" i="1"/>
  <c r="J27" i="1"/>
  <c r="H3264" i="1"/>
  <c r="J3263" i="1"/>
  <c r="H482" i="1"/>
  <c r="J481" i="1"/>
  <c r="K653" i="13"/>
  <c r="O652" i="13"/>
  <c r="H267" i="15"/>
  <c r="H632" i="11"/>
  <c r="J631" i="11"/>
  <c r="H267" i="11"/>
  <c r="J266" i="11"/>
  <c r="K136" i="6"/>
  <c r="O135" i="6"/>
  <c r="H483" i="1" l="1"/>
  <c r="J482" i="1"/>
  <c r="H3265" i="1"/>
  <c r="J3264" i="1"/>
  <c r="H29" i="1"/>
  <c r="J28" i="1"/>
  <c r="H117" i="1"/>
  <c r="J116" i="1"/>
  <c r="K654" i="13"/>
  <c r="O653" i="13"/>
  <c r="H268" i="15"/>
  <c r="H268" i="11"/>
  <c r="J267" i="11"/>
  <c r="J632" i="11"/>
  <c r="H633" i="11"/>
  <c r="K137" i="6"/>
  <c r="O136" i="6"/>
  <c r="H118" i="1" l="1"/>
  <c r="J117" i="1"/>
  <c r="H30" i="1"/>
  <c r="J29" i="1"/>
  <c r="H3266" i="1"/>
  <c r="J3265" i="1"/>
  <c r="H484" i="1"/>
  <c r="J483" i="1"/>
  <c r="K655" i="13"/>
  <c r="O654" i="13"/>
  <c r="H269" i="15"/>
  <c r="H634" i="11"/>
  <c r="J633" i="11"/>
  <c r="H269" i="11"/>
  <c r="J268" i="11"/>
  <c r="K138" i="6"/>
  <c r="O137" i="6"/>
  <c r="H485" i="1" l="1"/>
  <c r="J484" i="1"/>
  <c r="J3266" i="1"/>
  <c r="H3267" i="1"/>
  <c r="H31" i="1"/>
  <c r="J30" i="1"/>
  <c r="H119" i="1"/>
  <c r="J118" i="1"/>
  <c r="K656" i="13"/>
  <c r="O655" i="13"/>
  <c r="H270" i="15"/>
  <c r="J269" i="11"/>
  <c r="H270" i="11"/>
  <c r="J634" i="11"/>
  <c r="H635" i="11"/>
  <c r="K139" i="6"/>
  <c r="O138" i="6"/>
  <c r="H120" i="1" l="1"/>
  <c r="J119" i="1"/>
  <c r="H32" i="1"/>
  <c r="J31" i="1"/>
  <c r="H3268" i="1"/>
  <c r="J3267" i="1"/>
  <c r="H486" i="1"/>
  <c r="J485" i="1"/>
  <c r="K657" i="13"/>
  <c r="O656" i="13"/>
  <c r="H271" i="15"/>
  <c r="H271" i="11"/>
  <c r="J270" i="11"/>
  <c r="H636" i="11"/>
  <c r="J635" i="11"/>
  <c r="K140" i="6"/>
  <c r="O139" i="6"/>
  <c r="H487" i="1" l="1"/>
  <c r="J486" i="1"/>
  <c r="H3269" i="1"/>
  <c r="J3268" i="1"/>
  <c r="H33" i="1"/>
  <c r="J32" i="1"/>
  <c r="H121" i="1"/>
  <c r="J120" i="1"/>
  <c r="K658" i="13"/>
  <c r="O657" i="13"/>
  <c r="H272" i="15"/>
  <c r="H272" i="11"/>
  <c r="J271" i="11"/>
  <c r="J636" i="11"/>
  <c r="H637" i="11"/>
  <c r="K141" i="6"/>
  <c r="O140" i="6"/>
  <c r="H34" i="1" l="1"/>
  <c r="J33" i="1"/>
  <c r="H122" i="1"/>
  <c r="J121" i="1"/>
  <c r="H3270" i="1"/>
  <c r="J3269" i="1"/>
  <c r="H488" i="1"/>
  <c r="J487" i="1"/>
  <c r="K659" i="13"/>
  <c r="O658" i="13"/>
  <c r="H273" i="15"/>
  <c r="H638" i="11"/>
  <c r="J637" i="11"/>
  <c r="J272" i="11"/>
  <c r="H273" i="11"/>
  <c r="K142" i="6"/>
  <c r="O141" i="6"/>
  <c r="H3271" i="1" l="1"/>
  <c r="J3270" i="1"/>
  <c r="H123" i="1"/>
  <c r="J122" i="1"/>
  <c r="H489" i="1"/>
  <c r="J488" i="1"/>
  <c r="H35" i="1"/>
  <c r="J34" i="1"/>
  <c r="K660" i="13"/>
  <c r="O659" i="13"/>
  <c r="H274" i="15"/>
  <c r="J273" i="11"/>
  <c r="H274" i="11"/>
  <c r="J638" i="11"/>
  <c r="H639" i="11"/>
  <c r="K143" i="6"/>
  <c r="O142" i="6"/>
  <c r="H490" i="1" l="1"/>
  <c r="J489" i="1"/>
  <c r="H124" i="1"/>
  <c r="J123" i="1"/>
  <c r="H36" i="1"/>
  <c r="J35" i="1"/>
  <c r="J3271" i="1"/>
  <c r="H3272" i="1"/>
  <c r="K661" i="13"/>
  <c r="O660" i="13"/>
  <c r="H275" i="15"/>
  <c r="H275" i="11"/>
  <c r="J274" i="11"/>
  <c r="H640" i="11"/>
  <c r="J639" i="11"/>
  <c r="K144" i="6"/>
  <c r="O143" i="6"/>
  <c r="H3273" i="1" l="1"/>
  <c r="J3272" i="1"/>
  <c r="H37" i="1"/>
  <c r="J36" i="1"/>
  <c r="H125" i="1"/>
  <c r="J124" i="1"/>
  <c r="H491" i="1"/>
  <c r="J490" i="1"/>
  <c r="K662" i="13"/>
  <c r="O661" i="13"/>
  <c r="H276" i="15"/>
  <c r="H641" i="11"/>
  <c r="J640" i="11"/>
  <c r="H276" i="11"/>
  <c r="J275" i="11"/>
  <c r="K145" i="6"/>
  <c r="O144" i="6"/>
  <c r="H492" i="1" l="1"/>
  <c r="J491" i="1"/>
  <c r="H126" i="1"/>
  <c r="J125" i="1"/>
  <c r="H38" i="1"/>
  <c r="J37" i="1"/>
  <c r="J3273" i="1"/>
  <c r="H3274" i="1"/>
  <c r="K663" i="13"/>
  <c r="O662" i="13"/>
  <c r="H277" i="15"/>
  <c r="H277" i="11"/>
  <c r="J276" i="11"/>
  <c r="H642" i="11"/>
  <c r="J641" i="11"/>
  <c r="K146" i="6"/>
  <c r="O145" i="6"/>
  <c r="J3274" i="1" l="1"/>
  <c r="H3275" i="1"/>
  <c r="H39" i="1"/>
  <c r="J38" i="1"/>
  <c r="H127" i="1"/>
  <c r="J126" i="1"/>
  <c r="H493" i="1"/>
  <c r="J492" i="1"/>
  <c r="K664" i="13"/>
  <c r="O663" i="13"/>
  <c r="H278" i="15"/>
  <c r="J277" i="11"/>
  <c r="H278" i="11"/>
  <c r="H643" i="11"/>
  <c r="J642" i="11"/>
  <c r="K147" i="6"/>
  <c r="O146" i="6"/>
  <c r="H494" i="1" l="1"/>
  <c r="J493" i="1"/>
  <c r="H40" i="1"/>
  <c r="J39" i="1"/>
  <c r="H128" i="1"/>
  <c r="J127" i="1"/>
  <c r="H3276" i="1"/>
  <c r="J3275" i="1"/>
  <c r="K665" i="13"/>
  <c r="O664" i="13"/>
  <c r="H279" i="15"/>
  <c r="H644" i="11"/>
  <c r="J643" i="11"/>
  <c r="H279" i="11"/>
  <c r="J278" i="11"/>
  <c r="K148" i="6"/>
  <c r="O147" i="6"/>
  <c r="J3276" i="1" l="1"/>
  <c r="H3277" i="1"/>
  <c r="H129" i="1"/>
  <c r="J128" i="1"/>
  <c r="H41" i="1"/>
  <c r="J40" i="1"/>
  <c r="H495" i="1"/>
  <c r="J494" i="1"/>
  <c r="K666" i="13"/>
  <c r="O665" i="13"/>
  <c r="H280" i="15"/>
  <c r="J279" i="11"/>
  <c r="H280" i="11"/>
  <c r="J644" i="11"/>
  <c r="H645" i="11"/>
  <c r="K149" i="6"/>
  <c r="O148" i="6"/>
  <c r="H496" i="1" l="1"/>
  <c r="J495" i="1"/>
  <c r="H130" i="1"/>
  <c r="J129" i="1"/>
  <c r="H42" i="1"/>
  <c r="J41" i="1"/>
  <c r="J3277" i="1"/>
  <c r="H3278" i="1"/>
  <c r="K667" i="13"/>
  <c r="O666" i="13"/>
  <c r="H281" i="15"/>
  <c r="H646" i="11"/>
  <c r="J645" i="11"/>
  <c r="H281" i="11"/>
  <c r="J280" i="11"/>
  <c r="K150" i="6"/>
  <c r="O149" i="6"/>
  <c r="H3279" i="1" l="1"/>
  <c r="J3278" i="1"/>
  <c r="H131" i="1"/>
  <c r="J130" i="1"/>
  <c r="H43" i="1"/>
  <c r="J42" i="1"/>
  <c r="H497" i="1"/>
  <c r="J496" i="1"/>
  <c r="K668" i="13"/>
  <c r="O667" i="13"/>
  <c r="H282" i="15"/>
  <c r="J646" i="11"/>
  <c r="H647" i="11"/>
  <c r="H282" i="11"/>
  <c r="J281" i="11"/>
  <c r="K151" i="6"/>
  <c r="O150" i="6"/>
  <c r="H498" i="1" l="1"/>
  <c r="J497" i="1"/>
  <c r="H44" i="1"/>
  <c r="J43" i="1"/>
  <c r="H132" i="1"/>
  <c r="J131" i="1"/>
  <c r="H3280" i="1"/>
  <c r="J3279" i="1"/>
  <c r="K669" i="13"/>
  <c r="O668" i="13"/>
  <c r="H283" i="15"/>
  <c r="J282" i="11"/>
  <c r="H283" i="11"/>
  <c r="H648" i="11"/>
  <c r="J647" i="11"/>
  <c r="K152" i="6"/>
  <c r="O151" i="6"/>
  <c r="H133" i="1" l="1"/>
  <c r="J132" i="1"/>
  <c r="H45" i="1"/>
  <c r="J44" i="1"/>
  <c r="H3281" i="1"/>
  <c r="J3280" i="1"/>
  <c r="H499" i="1"/>
  <c r="J498" i="1"/>
  <c r="K670" i="13"/>
  <c r="O669" i="13"/>
  <c r="H284" i="15"/>
  <c r="H284" i="11"/>
  <c r="J283" i="11"/>
  <c r="J648" i="11"/>
  <c r="H649" i="11"/>
  <c r="K153" i="6"/>
  <c r="O152" i="6"/>
  <c r="H500" i="1" l="1"/>
  <c r="J499" i="1"/>
  <c r="J3281" i="1"/>
  <c r="H3282" i="1"/>
  <c r="H46" i="1"/>
  <c r="J45" i="1"/>
  <c r="H134" i="1"/>
  <c r="J133" i="1"/>
  <c r="K671" i="13"/>
  <c r="O670" i="13"/>
  <c r="H285" i="15"/>
  <c r="H650" i="11"/>
  <c r="J649" i="11"/>
  <c r="H285" i="11"/>
  <c r="J284" i="11"/>
  <c r="K154" i="6"/>
  <c r="O153" i="6"/>
  <c r="H135" i="1" l="1"/>
  <c r="J134" i="1"/>
  <c r="H47" i="1"/>
  <c r="J46" i="1"/>
  <c r="H3283" i="1"/>
  <c r="J3282" i="1"/>
  <c r="H501" i="1"/>
  <c r="J500" i="1"/>
  <c r="K672" i="13"/>
  <c r="O671" i="13"/>
  <c r="H286" i="15"/>
  <c r="H651" i="11"/>
  <c r="J650" i="11"/>
  <c r="H286" i="11"/>
  <c r="J285" i="11"/>
  <c r="K155" i="6"/>
  <c r="O154" i="6"/>
  <c r="H502" i="1" l="1"/>
  <c r="J501" i="1"/>
  <c r="J3283" i="1"/>
  <c r="H3284" i="1"/>
  <c r="H48" i="1"/>
  <c r="J47" i="1"/>
  <c r="H136" i="1"/>
  <c r="J135" i="1"/>
  <c r="K673" i="13"/>
  <c r="O672" i="13"/>
  <c r="H287" i="15"/>
  <c r="J286" i="11"/>
  <c r="H287" i="11"/>
  <c r="H652" i="11"/>
  <c r="J651" i="11"/>
  <c r="K156" i="6"/>
  <c r="O155" i="6"/>
  <c r="H49" i="1" l="1"/>
  <c r="J48" i="1"/>
  <c r="H137" i="1"/>
  <c r="J136" i="1"/>
  <c r="J3284" i="1"/>
  <c r="H3285" i="1"/>
  <c r="H503" i="1"/>
  <c r="J502" i="1"/>
  <c r="O673" i="13"/>
  <c r="K674" i="13"/>
  <c r="H288" i="15"/>
  <c r="J287" i="11"/>
  <c r="H288" i="11"/>
  <c r="J652" i="11"/>
  <c r="H653" i="11"/>
  <c r="K157" i="6"/>
  <c r="O156" i="6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3" i="1"/>
  <c r="I2184" i="1"/>
  <c r="I2185" i="1"/>
  <c r="I2186" i="1"/>
  <c r="I2187" i="1"/>
  <c r="I2188" i="1"/>
  <c r="I2189" i="1"/>
  <c r="I2190" i="1"/>
  <c r="I2191" i="1"/>
  <c r="I2192" i="1"/>
  <c r="I2193" i="1"/>
  <c r="H822" i="1"/>
  <c r="H823" i="1" l="1"/>
  <c r="J823" i="1" s="1"/>
  <c r="J822" i="1"/>
  <c r="H504" i="1"/>
  <c r="J503" i="1"/>
  <c r="J3285" i="1"/>
  <c r="H3286" i="1"/>
  <c r="H138" i="1"/>
  <c r="J137" i="1"/>
  <c r="H50" i="1"/>
  <c r="J49" i="1"/>
  <c r="K675" i="13"/>
  <c r="O674" i="13"/>
  <c r="H289" i="15"/>
  <c r="H654" i="11"/>
  <c r="J653" i="11"/>
  <c r="H289" i="11"/>
  <c r="J288" i="11"/>
  <c r="K158" i="6"/>
  <c r="O157" i="6"/>
  <c r="H824" i="1"/>
  <c r="J824" i="1" s="1"/>
  <c r="H1188" i="1"/>
  <c r="J1188" i="1" s="1"/>
  <c r="H505" i="1" l="1"/>
  <c r="J504" i="1"/>
  <c r="H51" i="1"/>
  <c r="J50" i="1"/>
  <c r="H139" i="1"/>
  <c r="J138" i="1"/>
  <c r="H3287" i="1"/>
  <c r="J3286" i="1"/>
  <c r="K676" i="13"/>
  <c r="O675" i="13"/>
  <c r="H290" i="15"/>
  <c r="H290" i="11"/>
  <c r="J289" i="11"/>
  <c r="J654" i="11"/>
  <c r="H655" i="11"/>
  <c r="K159" i="6"/>
  <c r="O158" i="6"/>
  <c r="H1189" i="1"/>
  <c r="J1189" i="1" s="1"/>
  <c r="H825" i="1"/>
  <c r="J825" i="1" s="1"/>
  <c r="J4" i="1"/>
  <c r="H1553" i="1"/>
  <c r="J1553" i="1" s="1"/>
  <c r="J3287" i="1" l="1"/>
  <c r="H3288" i="1"/>
  <c r="H140" i="1"/>
  <c r="J139" i="1"/>
  <c r="H52" i="1"/>
  <c r="J51" i="1"/>
  <c r="H506" i="1"/>
  <c r="J505" i="1"/>
  <c r="K677" i="13"/>
  <c r="O676" i="13"/>
  <c r="H291" i="15"/>
  <c r="H656" i="11"/>
  <c r="J655" i="11"/>
  <c r="J290" i="11"/>
  <c r="H291" i="11"/>
  <c r="K160" i="6"/>
  <c r="O159" i="6"/>
  <c r="H1554" i="1"/>
  <c r="J1554" i="1" s="1"/>
  <c r="H826" i="1"/>
  <c r="J826" i="1" s="1"/>
  <c r="J5" i="1"/>
  <c r="H1190" i="1"/>
  <c r="J1190" i="1" s="1"/>
  <c r="H1918" i="1"/>
  <c r="J1918" i="1" s="1"/>
  <c r="H2283" i="1"/>
  <c r="J2283" i="1" s="1"/>
  <c r="H507" i="1" l="1"/>
  <c r="J506" i="1"/>
  <c r="H141" i="1"/>
  <c r="J140" i="1"/>
  <c r="H53" i="1"/>
  <c r="J52" i="1"/>
  <c r="H3289" i="1"/>
  <c r="J3288" i="1"/>
  <c r="K678" i="13"/>
  <c r="O677" i="13"/>
  <c r="H292" i="15"/>
  <c r="J656" i="11"/>
  <c r="H657" i="11"/>
  <c r="H292" i="11"/>
  <c r="J291" i="11"/>
  <c r="K161" i="6"/>
  <c r="O160" i="6"/>
  <c r="H1919" i="1"/>
  <c r="J1919" i="1" s="1"/>
  <c r="H2284" i="1"/>
  <c r="J2284" i="1" s="1"/>
  <c r="H1191" i="1"/>
  <c r="J1191" i="1" s="1"/>
  <c r="H827" i="1"/>
  <c r="J827" i="1" s="1"/>
  <c r="H1555" i="1"/>
  <c r="J1555" i="1" s="1"/>
  <c r="H2649" i="1"/>
  <c r="J2649" i="1" s="1"/>
  <c r="H3290" i="1" l="1"/>
  <c r="J3289" i="1"/>
  <c r="H54" i="1"/>
  <c r="J53" i="1"/>
  <c r="H142" i="1"/>
  <c r="J141" i="1"/>
  <c r="H508" i="1"/>
  <c r="J507" i="1"/>
  <c r="K679" i="13"/>
  <c r="O678" i="13"/>
  <c r="H293" i="15"/>
  <c r="H658" i="11"/>
  <c r="J657" i="11"/>
  <c r="J292" i="11"/>
  <c r="H293" i="11"/>
  <c r="K162" i="6"/>
  <c r="O161" i="6"/>
  <c r="H1192" i="1"/>
  <c r="J1192" i="1" s="1"/>
  <c r="H1556" i="1"/>
  <c r="J1556" i="1" s="1"/>
  <c r="H828" i="1"/>
  <c r="J828" i="1" s="1"/>
  <c r="H2285" i="1"/>
  <c r="J2285" i="1" s="1"/>
  <c r="H2650" i="1"/>
  <c r="J2650" i="1" s="1"/>
  <c r="H1920" i="1"/>
  <c r="J1920" i="1" s="1"/>
  <c r="H55" i="1" l="1"/>
  <c r="J54" i="1"/>
  <c r="H509" i="1"/>
  <c r="J508" i="1"/>
  <c r="H143" i="1"/>
  <c r="J142" i="1"/>
  <c r="J3290" i="1"/>
  <c r="H3291" i="1"/>
  <c r="K680" i="13"/>
  <c r="O679" i="13"/>
  <c r="H294" i="15"/>
  <c r="H294" i="11"/>
  <c r="J293" i="11"/>
  <c r="J658" i="11"/>
  <c r="H659" i="11"/>
  <c r="K163" i="6"/>
  <c r="O162" i="6"/>
  <c r="H2651" i="1"/>
  <c r="J2651" i="1" s="1"/>
  <c r="H2286" i="1"/>
  <c r="J2286" i="1" s="1"/>
  <c r="H829" i="1"/>
  <c r="J829" i="1" s="1"/>
  <c r="H1557" i="1"/>
  <c r="J1557" i="1" s="1"/>
  <c r="H1921" i="1"/>
  <c r="J1921" i="1" s="1"/>
  <c r="H1193" i="1"/>
  <c r="J1193" i="1" s="1"/>
  <c r="H3292" i="1" l="1"/>
  <c r="J3291" i="1"/>
  <c r="H144" i="1"/>
  <c r="J143" i="1"/>
  <c r="H510" i="1"/>
  <c r="J509" i="1"/>
  <c r="H56" i="1"/>
  <c r="J55" i="1"/>
  <c r="K681" i="13"/>
  <c r="O680" i="13"/>
  <c r="H295" i="15"/>
  <c r="H660" i="11"/>
  <c r="J659" i="11"/>
  <c r="J294" i="11"/>
  <c r="H295" i="11"/>
  <c r="K164" i="6"/>
  <c r="O163" i="6"/>
  <c r="H1922" i="1"/>
  <c r="J1922" i="1" s="1"/>
  <c r="H1558" i="1"/>
  <c r="J1558" i="1" s="1"/>
  <c r="H830" i="1"/>
  <c r="J830" i="1" s="1"/>
  <c r="H2287" i="1"/>
  <c r="J2287" i="1" s="1"/>
  <c r="H1194" i="1"/>
  <c r="J1194" i="1" s="1"/>
  <c r="H2652" i="1"/>
  <c r="J2652" i="1" s="1"/>
  <c r="H511" i="1" l="1"/>
  <c r="J510" i="1"/>
  <c r="H57" i="1"/>
  <c r="J56" i="1"/>
  <c r="H145" i="1"/>
  <c r="J144" i="1"/>
  <c r="H3293" i="1"/>
  <c r="F8" i="3" s="1"/>
  <c r="G8" i="16" s="1"/>
  <c r="J3292" i="1"/>
  <c r="K682" i="13"/>
  <c r="O681" i="13"/>
  <c r="H296" i="15"/>
  <c r="H296" i="11"/>
  <c r="J295" i="11"/>
  <c r="H661" i="11"/>
  <c r="J660" i="11"/>
  <c r="K165" i="6"/>
  <c r="O164" i="6"/>
  <c r="H831" i="1"/>
  <c r="J831" i="1" s="1"/>
  <c r="H1559" i="1"/>
  <c r="J1559" i="1" s="1"/>
  <c r="H1195" i="1"/>
  <c r="J1195" i="1" s="1"/>
  <c r="H2288" i="1"/>
  <c r="J2288" i="1" s="1"/>
  <c r="H2653" i="1"/>
  <c r="J2653" i="1" s="1"/>
  <c r="H1923" i="1"/>
  <c r="J1923" i="1" s="1"/>
  <c r="H58" i="1" l="1"/>
  <c r="J57" i="1"/>
  <c r="J3293" i="1"/>
  <c r="G8" i="3" s="1"/>
  <c r="H8" i="16" s="1"/>
  <c r="H3294" i="1"/>
  <c r="H146" i="1"/>
  <c r="J145" i="1"/>
  <c r="H512" i="1"/>
  <c r="J511" i="1"/>
  <c r="K683" i="13"/>
  <c r="O682" i="13"/>
  <c r="H297" i="15"/>
  <c r="J661" i="11"/>
  <c r="H662" i="11"/>
  <c r="H297" i="11"/>
  <c r="J296" i="11"/>
  <c r="K166" i="6"/>
  <c r="O165" i="6"/>
  <c r="H2654" i="1"/>
  <c r="J2654" i="1" s="1"/>
  <c r="H2289" i="1"/>
  <c r="J2289" i="1" s="1"/>
  <c r="H1196" i="1"/>
  <c r="J1196" i="1" s="1"/>
  <c r="H1560" i="1"/>
  <c r="J1560" i="1" s="1"/>
  <c r="H1924" i="1"/>
  <c r="J1924" i="1" s="1"/>
  <c r="H832" i="1"/>
  <c r="J832" i="1" s="1"/>
  <c r="H513" i="1" l="1"/>
  <c r="J512" i="1"/>
  <c r="H147" i="1"/>
  <c r="J146" i="1"/>
  <c r="J3294" i="1"/>
  <c r="H3295" i="1"/>
  <c r="H59" i="1"/>
  <c r="J58" i="1"/>
  <c r="K684" i="13"/>
  <c r="O683" i="13"/>
  <c r="H298" i="15"/>
  <c r="H663" i="11"/>
  <c r="J662" i="11"/>
  <c r="H298" i="11"/>
  <c r="J297" i="11"/>
  <c r="K167" i="6"/>
  <c r="O166" i="6"/>
  <c r="H1925" i="1"/>
  <c r="J1925" i="1" s="1"/>
  <c r="H1561" i="1"/>
  <c r="J1561" i="1" s="1"/>
  <c r="H1197" i="1"/>
  <c r="J1197" i="1" s="1"/>
  <c r="H2290" i="1"/>
  <c r="J2290" i="1" s="1"/>
  <c r="H833" i="1"/>
  <c r="J833" i="1" s="1"/>
  <c r="H2655" i="1"/>
  <c r="J2655" i="1" s="1"/>
  <c r="H60" i="1" l="1"/>
  <c r="J59" i="1"/>
  <c r="H3296" i="1"/>
  <c r="J3295" i="1"/>
  <c r="H148" i="1"/>
  <c r="J147" i="1"/>
  <c r="H514" i="1"/>
  <c r="J513" i="1"/>
  <c r="K685" i="13"/>
  <c r="O684" i="13"/>
  <c r="H299" i="15"/>
  <c r="H664" i="11"/>
  <c r="J663" i="11"/>
  <c r="H299" i="11"/>
  <c r="J298" i="11"/>
  <c r="K168" i="6"/>
  <c r="O167" i="6"/>
  <c r="H834" i="1"/>
  <c r="J834" i="1" s="1"/>
  <c r="H2291" i="1"/>
  <c r="J2291" i="1" s="1"/>
  <c r="H1198" i="1"/>
  <c r="J1198" i="1" s="1"/>
  <c r="H1562" i="1"/>
  <c r="J1562" i="1" s="1"/>
  <c r="H2656" i="1"/>
  <c r="J2656" i="1" s="1"/>
  <c r="H1926" i="1"/>
  <c r="J1926" i="1" s="1"/>
  <c r="H515" i="1" l="1"/>
  <c r="J514" i="1"/>
  <c r="H149" i="1"/>
  <c r="J148" i="1"/>
  <c r="H3297" i="1"/>
  <c r="J3296" i="1"/>
  <c r="H61" i="1"/>
  <c r="J60" i="1"/>
  <c r="K686" i="13"/>
  <c r="O685" i="13"/>
  <c r="H300" i="15"/>
  <c r="J664" i="11"/>
  <c r="H665" i="11"/>
  <c r="J299" i="11"/>
  <c r="H300" i="11"/>
  <c r="K169" i="6"/>
  <c r="O168" i="6"/>
  <c r="H2657" i="1"/>
  <c r="J2657" i="1" s="1"/>
  <c r="H1563" i="1"/>
  <c r="J1563" i="1" s="1"/>
  <c r="H1199" i="1"/>
  <c r="J1199" i="1" s="1"/>
  <c r="H2292" i="1"/>
  <c r="J2292" i="1" s="1"/>
  <c r="H1927" i="1"/>
  <c r="J1927" i="1" s="1"/>
  <c r="H835" i="1"/>
  <c r="J835" i="1" s="1"/>
  <c r="H3298" i="1" l="1"/>
  <c r="J3297" i="1"/>
  <c r="H150" i="1"/>
  <c r="J149" i="1"/>
  <c r="H62" i="1"/>
  <c r="J61" i="1"/>
  <c r="H516" i="1"/>
  <c r="J515" i="1"/>
  <c r="K687" i="13"/>
  <c r="O686" i="13"/>
  <c r="H301" i="15"/>
  <c r="H301" i="11"/>
  <c r="J300" i="11"/>
  <c r="H666" i="11"/>
  <c r="J665" i="11"/>
  <c r="K170" i="6"/>
  <c r="O169" i="6"/>
  <c r="H1928" i="1"/>
  <c r="J1928" i="1" s="1"/>
  <c r="H2293" i="1"/>
  <c r="J2293" i="1" s="1"/>
  <c r="H1200" i="1"/>
  <c r="J1200" i="1" s="1"/>
  <c r="H1564" i="1"/>
  <c r="J1564" i="1" s="1"/>
  <c r="H836" i="1"/>
  <c r="J836" i="1" s="1"/>
  <c r="H2658" i="1"/>
  <c r="J2658" i="1" s="1"/>
  <c r="H517" i="1" l="1"/>
  <c r="J516" i="1"/>
  <c r="H63" i="1"/>
  <c r="J62" i="1"/>
  <c r="H151" i="1"/>
  <c r="J150" i="1"/>
  <c r="J3298" i="1"/>
  <c r="H3299" i="1"/>
  <c r="K688" i="13"/>
  <c r="O687" i="13"/>
  <c r="H302" i="15"/>
  <c r="J666" i="11"/>
  <c r="H667" i="11"/>
  <c r="H302" i="11"/>
  <c r="J301" i="11"/>
  <c r="K171" i="6"/>
  <c r="O170" i="6"/>
  <c r="H837" i="1"/>
  <c r="J837" i="1" s="1"/>
  <c r="H1565" i="1"/>
  <c r="J1565" i="1" s="1"/>
  <c r="H1201" i="1"/>
  <c r="J1201" i="1" s="1"/>
  <c r="H2294" i="1"/>
  <c r="J2294" i="1" s="1"/>
  <c r="H2659" i="1"/>
  <c r="J2659" i="1" s="1"/>
  <c r="H1929" i="1"/>
  <c r="J1929" i="1" s="1"/>
  <c r="H3300" i="1" l="1"/>
  <c r="J3299" i="1"/>
  <c r="H152" i="1"/>
  <c r="J151" i="1"/>
  <c r="H64" i="1"/>
  <c r="J63" i="1"/>
  <c r="H518" i="1"/>
  <c r="J517" i="1"/>
  <c r="K689" i="13"/>
  <c r="O688" i="13"/>
  <c r="H303" i="15"/>
  <c r="J302" i="11"/>
  <c r="H303" i="11"/>
  <c r="H668" i="11"/>
  <c r="J667" i="11"/>
  <c r="K172" i="6"/>
  <c r="O171" i="6"/>
  <c r="H2660" i="1"/>
  <c r="J2660" i="1" s="1"/>
  <c r="H2295" i="1"/>
  <c r="J2295" i="1" s="1"/>
  <c r="H1202" i="1"/>
  <c r="J1202" i="1" s="1"/>
  <c r="H1566" i="1"/>
  <c r="J1566" i="1" s="1"/>
  <c r="H1930" i="1"/>
  <c r="J1930" i="1" s="1"/>
  <c r="H838" i="1"/>
  <c r="J838" i="1" s="1"/>
  <c r="H519" i="1" l="1"/>
  <c r="J518" i="1"/>
  <c r="H65" i="1"/>
  <c r="J64" i="1"/>
  <c r="H153" i="1"/>
  <c r="J152" i="1"/>
  <c r="H3301" i="1"/>
  <c r="J3300" i="1"/>
  <c r="K690" i="13"/>
  <c r="O689" i="13"/>
  <c r="H304" i="15"/>
  <c r="H669" i="11"/>
  <c r="J668" i="11"/>
  <c r="H304" i="11"/>
  <c r="J303" i="11"/>
  <c r="K173" i="6"/>
  <c r="O172" i="6"/>
  <c r="H1931" i="1"/>
  <c r="J1931" i="1" s="1"/>
  <c r="H1567" i="1"/>
  <c r="J1567" i="1" s="1"/>
  <c r="H1203" i="1"/>
  <c r="J1203" i="1" s="1"/>
  <c r="H2296" i="1"/>
  <c r="J2296" i="1" s="1"/>
  <c r="H839" i="1"/>
  <c r="J839" i="1" s="1"/>
  <c r="H2661" i="1"/>
  <c r="J2661" i="1" s="1"/>
  <c r="H3302" i="1" l="1"/>
  <c r="J3301" i="1"/>
  <c r="H66" i="1"/>
  <c r="J65" i="1"/>
  <c r="H154" i="1"/>
  <c r="J153" i="1"/>
  <c r="H520" i="1"/>
  <c r="J519" i="1"/>
  <c r="K691" i="13"/>
  <c r="O690" i="13"/>
  <c r="H305" i="15"/>
  <c r="H305" i="11"/>
  <c r="J304" i="11"/>
  <c r="H670" i="11"/>
  <c r="J669" i="11"/>
  <c r="K174" i="6"/>
  <c r="O173" i="6"/>
  <c r="H840" i="1"/>
  <c r="J840" i="1" s="1"/>
  <c r="H1568" i="1"/>
  <c r="J1568" i="1" s="1"/>
  <c r="H1204" i="1"/>
  <c r="J1204" i="1" s="1"/>
  <c r="H2297" i="1"/>
  <c r="J2297" i="1" s="1"/>
  <c r="H2662" i="1"/>
  <c r="J2662" i="1" s="1"/>
  <c r="H1932" i="1"/>
  <c r="J1932" i="1" s="1"/>
  <c r="H67" i="1" l="1"/>
  <c r="J66" i="1"/>
  <c r="H521" i="1"/>
  <c r="J520" i="1"/>
  <c r="H155" i="1"/>
  <c r="J154" i="1"/>
  <c r="J3302" i="1"/>
  <c r="H3303" i="1"/>
  <c r="K692" i="13"/>
  <c r="O691" i="13"/>
  <c r="H306" i="15"/>
  <c r="H671" i="11"/>
  <c r="J670" i="11"/>
  <c r="H306" i="11"/>
  <c r="J305" i="11"/>
  <c r="K175" i="6"/>
  <c r="O174" i="6"/>
  <c r="H2663" i="1"/>
  <c r="J2663" i="1" s="1"/>
  <c r="H1569" i="1"/>
  <c r="J1569" i="1" s="1"/>
  <c r="H2298" i="1"/>
  <c r="J2298" i="1" s="1"/>
  <c r="H1205" i="1"/>
  <c r="J1205" i="1" s="1"/>
  <c r="H1933" i="1"/>
  <c r="J1933" i="1" s="1"/>
  <c r="H841" i="1"/>
  <c r="J841" i="1" s="1"/>
  <c r="H156" i="1" l="1"/>
  <c r="J155" i="1"/>
  <c r="H3304" i="1"/>
  <c r="J3303" i="1"/>
  <c r="H522" i="1"/>
  <c r="J521" i="1"/>
  <c r="H68" i="1"/>
  <c r="J67" i="1"/>
  <c r="K693" i="13"/>
  <c r="O692" i="13"/>
  <c r="H307" i="15"/>
  <c r="H307" i="11"/>
  <c r="J306" i="11"/>
  <c r="J671" i="11"/>
  <c r="H672" i="11"/>
  <c r="K176" i="6"/>
  <c r="O175" i="6"/>
  <c r="H1934" i="1"/>
  <c r="J1934" i="1" s="1"/>
  <c r="H1570" i="1"/>
  <c r="J1570" i="1" s="1"/>
  <c r="H1206" i="1"/>
  <c r="J1206" i="1" s="1"/>
  <c r="H2299" i="1"/>
  <c r="J2299" i="1" s="1"/>
  <c r="H842" i="1"/>
  <c r="J842" i="1" s="1"/>
  <c r="H2664" i="1"/>
  <c r="J2664" i="1" s="1"/>
  <c r="H69" i="1" l="1"/>
  <c r="J68" i="1"/>
  <c r="H523" i="1"/>
  <c r="J522" i="1"/>
  <c r="H3305" i="1"/>
  <c r="J3304" i="1"/>
  <c r="H157" i="1"/>
  <c r="J156" i="1"/>
  <c r="K694" i="13"/>
  <c r="O693" i="13"/>
  <c r="H308" i="15"/>
  <c r="H673" i="11"/>
  <c r="J672" i="11"/>
  <c r="J307" i="11"/>
  <c r="H308" i="11"/>
  <c r="K177" i="6"/>
  <c r="O176" i="6"/>
  <c r="H2300" i="1"/>
  <c r="J2300" i="1" s="1"/>
  <c r="H1207" i="1"/>
  <c r="J1207" i="1" s="1"/>
  <c r="H843" i="1"/>
  <c r="J843" i="1" s="1"/>
  <c r="H1571" i="1"/>
  <c r="J1571" i="1" s="1"/>
  <c r="H2665" i="1"/>
  <c r="J2665" i="1" s="1"/>
  <c r="H1935" i="1"/>
  <c r="J1935" i="1" s="1"/>
  <c r="H158" i="1" l="1"/>
  <c r="J157" i="1"/>
  <c r="H3306" i="1"/>
  <c r="J3305" i="1"/>
  <c r="H524" i="1"/>
  <c r="J523" i="1"/>
  <c r="H70" i="1"/>
  <c r="J69" i="1"/>
  <c r="K695" i="13"/>
  <c r="O694" i="13"/>
  <c r="H309" i="15"/>
  <c r="H674" i="11"/>
  <c r="J673" i="11"/>
  <c r="H309" i="11"/>
  <c r="J308" i="11"/>
  <c r="K178" i="6"/>
  <c r="O177" i="6"/>
  <c r="H1572" i="1"/>
  <c r="J1572" i="1" s="1"/>
  <c r="H844" i="1"/>
  <c r="J844" i="1" s="1"/>
  <c r="H1208" i="1"/>
  <c r="J1208" i="1" s="1"/>
  <c r="H2666" i="1"/>
  <c r="J2666" i="1" s="1"/>
  <c r="H1936" i="1"/>
  <c r="J1936" i="1" s="1"/>
  <c r="H2301" i="1"/>
  <c r="J2301" i="1" s="1"/>
  <c r="H71" i="1" l="1"/>
  <c r="J70" i="1"/>
  <c r="H525" i="1"/>
  <c r="J524" i="1"/>
  <c r="J3306" i="1"/>
  <c r="H3307" i="1"/>
  <c r="H159" i="1"/>
  <c r="J158" i="1"/>
  <c r="O695" i="13"/>
  <c r="K696" i="13"/>
  <c r="H310" i="15"/>
  <c r="H310" i="11"/>
  <c r="J309" i="11"/>
  <c r="J674" i="11"/>
  <c r="H675" i="11"/>
  <c r="K179" i="6"/>
  <c r="O178" i="6"/>
  <c r="H1937" i="1"/>
  <c r="J1937" i="1" s="1"/>
  <c r="H1209" i="1"/>
  <c r="J1209" i="1" s="1"/>
  <c r="H845" i="1"/>
  <c r="J845" i="1" s="1"/>
  <c r="H2667" i="1"/>
  <c r="J2667" i="1" s="1"/>
  <c r="H2302" i="1"/>
  <c r="J2302" i="1" s="1"/>
  <c r="H1573" i="1"/>
  <c r="J1573" i="1" s="1"/>
  <c r="H526" i="1" l="1"/>
  <c r="J525" i="1"/>
  <c r="H160" i="1"/>
  <c r="J159" i="1"/>
  <c r="H3308" i="1"/>
  <c r="J3307" i="1"/>
  <c r="H72" i="1"/>
  <c r="J71" i="1"/>
  <c r="K697" i="13"/>
  <c r="O696" i="13"/>
  <c r="H311" i="15"/>
  <c r="H676" i="11"/>
  <c r="J675" i="11"/>
  <c r="H311" i="11"/>
  <c r="J310" i="11"/>
  <c r="K180" i="6"/>
  <c r="O179" i="6"/>
  <c r="H2303" i="1"/>
  <c r="J2303" i="1" s="1"/>
  <c r="H2668" i="1"/>
  <c r="J2668" i="1" s="1"/>
  <c r="H846" i="1"/>
  <c r="J846" i="1" s="1"/>
  <c r="H1210" i="1"/>
  <c r="J1210" i="1" s="1"/>
  <c r="H1574" i="1"/>
  <c r="J1574" i="1" s="1"/>
  <c r="H1938" i="1"/>
  <c r="J1938" i="1" s="1"/>
  <c r="H161" i="1" l="1"/>
  <c r="J160" i="1"/>
  <c r="H73" i="1"/>
  <c r="J72" i="1"/>
  <c r="J3308" i="1"/>
  <c r="H3309" i="1"/>
  <c r="H527" i="1"/>
  <c r="J526" i="1"/>
  <c r="K698" i="13"/>
  <c r="O697" i="13"/>
  <c r="H312" i="15"/>
  <c r="H312" i="11"/>
  <c r="J311" i="11"/>
  <c r="H677" i="11"/>
  <c r="J676" i="11"/>
  <c r="K181" i="6"/>
  <c r="O180" i="6"/>
  <c r="H1575" i="1"/>
  <c r="J1575" i="1" s="1"/>
  <c r="H2669" i="1"/>
  <c r="J2669" i="1" s="1"/>
  <c r="H1211" i="1"/>
  <c r="J1211" i="1" s="1"/>
  <c r="H847" i="1"/>
  <c r="J847" i="1" s="1"/>
  <c r="H1939" i="1"/>
  <c r="J1939" i="1" s="1"/>
  <c r="H2304" i="1"/>
  <c r="J2304" i="1" s="1"/>
  <c r="H3310" i="1" l="1"/>
  <c r="J3309" i="1"/>
  <c r="H528" i="1"/>
  <c r="J527" i="1"/>
  <c r="H74" i="1"/>
  <c r="J73" i="1"/>
  <c r="H162" i="1"/>
  <c r="J161" i="1"/>
  <c r="K699" i="13"/>
  <c r="O698" i="13"/>
  <c r="H313" i="15"/>
  <c r="J312" i="11"/>
  <c r="H313" i="11"/>
  <c r="H678" i="11"/>
  <c r="J677" i="11"/>
  <c r="K182" i="6"/>
  <c r="O181" i="6"/>
  <c r="H2670" i="1"/>
  <c r="J2670" i="1" s="1"/>
  <c r="H1940" i="1"/>
  <c r="J1940" i="1" s="1"/>
  <c r="H1212" i="1"/>
  <c r="J1212" i="1" s="1"/>
  <c r="H848" i="1"/>
  <c r="J848" i="1" s="1"/>
  <c r="H2305" i="1"/>
  <c r="J2305" i="1" s="1"/>
  <c r="H1576" i="1"/>
  <c r="J1576" i="1" s="1"/>
  <c r="H75" i="1" l="1"/>
  <c r="J74" i="1"/>
  <c r="H163" i="1"/>
  <c r="J162" i="1"/>
  <c r="H529" i="1"/>
  <c r="J528" i="1"/>
  <c r="H3311" i="1"/>
  <c r="J3310" i="1"/>
  <c r="K700" i="13"/>
  <c r="O699" i="13"/>
  <c r="H314" i="15"/>
  <c r="H679" i="11"/>
  <c r="J678" i="11"/>
  <c r="H314" i="11"/>
  <c r="J313" i="11"/>
  <c r="K183" i="6"/>
  <c r="O182" i="6"/>
  <c r="H2306" i="1"/>
  <c r="J2306" i="1" s="1"/>
  <c r="H1213" i="1"/>
  <c r="J1213" i="1" s="1"/>
  <c r="H1941" i="1"/>
  <c r="J1941" i="1" s="1"/>
  <c r="H849" i="1"/>
  <c r="J849" i="1" s="1"/>
  <c r="H1577" i="1"/>
  <c r="J1577" i="1" s="1"/>
  <c r="H2671" i="1"/>
  <c r="J2671" i="1" s="1"/>
  <c r="H530" i="1" l="1"/>
  <c r="J529" i="1"/>
  <c r="H3312" i="1"/>
  <c r="J3311" i="1"/>
  <c r="H164" i="1"/>
  <c r="J163" i="1"/>
  <c r="H76" i="1"/>
  <c r="J75" i="1"/>
  <c r="K701" i="13"/>
  <c r="O700" i="13"/>
  <c r="H315" i="15"/>
  <c r="H315" i="11"/>
  <c r="J314" i="11"/>
  <c r="H680" i="11"/>
  <c r="J679" i="11"/>
  <c r="K184" i="6"/>
  <c r="O183" i="6"/>
  <c r="H1578" i="1"/>
  <c r="J1578" i="1" s="1"/>
  <c r="H1214" i="1"/>
  <c r="J1214" i="1" s="1"/>
  <c r="H850" i="1"/>
  <c r="J850" i="1" s="1"/>
  <c r="H1942" i="1"/>
  <c r="J1942" i="1" s="1"/>
  <c r="H2672" i="1"/>
  <c r="J2672" i="1" s="1"/>
  <c r="H2307" i="1"/>
  <c r="J2307" i="1" s="1"/>
  <c r="H165" i="1" l="1"/>
  <c r="J164" i="1"/>
  <c r="H77" i="1"/>
  <c r="J76" i="1"/>
  <c r="J3312" i="1"/>
  <c r="H3313" i="1"/>
  <c r="H531" i="1"/>
  <c r="J530" i="1"/>
  <c r="K702" i="13"/>
  <c r="O701" i="13"/>
  <c r="H316" i="15"/>
  <c r="H316" i="11"/>
  <c r="J315" i="11"/>
  <c r="H681" i="11"/>
  <c r="J680" i="11"/>
  <c r="K185" i="6"/>
  <c r="O184" i="6"/>
  <c r="H2673" i="1"/>
  <c r="J2673" i="1" s="1"/>
  <c r="H1943" i="1"/>
  <c r="J1943" i="1" s="1"/>
  <c r="H851" i="1"/>
  <c r="J851" i="1" s="1"/>
  <c r="H1215" i="1"/>
  <c r="J1215" i="1" s="1"/>
  <c r="H2308" i="1"/>
  <c r="J2308" i="1" s="1"/>
  <c r="H1579" i="1"/>
  <c r="J1579" i="1" s="1"/>
  <c r="H532" i="1" l="1"/>
  <c r="J531" i="1"/>
  <c r="J3313" i="1"/>
  <c r="H3314" i="1"/>
  <c r="H78" i="1"/>
  <c r="J77" i="1"/>
  <c r="H166" i="1"/>
  <c r="J165" i="1"/>
  <c r="K703" i="13"/>
  <c r="O702" i="13"/>
  <c r="H317" i="15"/>
  <c r="H317" i="11"/>
  <c r="J316" i="11"/>
  <c r="H682" i="11"/>
  <c r="J681" i="11"/>
  <c r="K186" i="6"/>
  <c r="O185" i="6"/>
  <c r="H1216" i="1"/>
  <c r="J1216" i="1" s="1"/>
  <c r="H2309" i="1"/>
  <c r="J2309" i="1" s="1"/>
  <c r="H852" i="1"/>
  <c r="J852" i="1" s="1"/>
  <c r="H1944" i="1"/>
  <c r="J1944" i="1" s="1"/>
  <c r="H1580" i="1"/>
  <c r="J1580" i="1" s="1"/>
  <c r="H2674" i="1"/>
  <c r="J2674" i="1" s="1"/>
  <c r="H79" i="1" l="1"/>
  <c r="J78" i="1"/>
  <c r="H167" i="1"/>
  <c r="J166" i="1"/>
  <c r="H3315" i="1"/>
  <c r="J3314" i="1"/>
  <c r="H533" i="1"/>
  <c r="J532" i="1"/>
  <c r="K704" i="13"/>
  <c r="O703" i="13"/>
  <c r="H318" i="15"/>
  <c r="H318" i="11"/>
  <c r="J317" i="11"/>
  <c r="J682" i="11"/>
  <c r="H683" i="11"/>
  <c r="K187" i="6"/>
  <c r="O186" i="6"/>
  <c r="H2310" i="1"/>
  <c r="J2310" i="1" s="1"/>
  <c r="H1581" i="1"/>
  <c r="J1581" i="1" s="1"/>
  <c r="H1945" i="1"/>
  <c r="J1945" i="1" s="1"/>
  <c r="H853" i="1"/>
  <c r="J853" i="1" s="1"/>
  <c r="H2675" i="1"/>
  <c r="J2675" i="1" s="1"/>
  <c r="H1217" i="1"/>
  <c r="J1217" i="1" s="1"/>
  <c r="H534" i="1" l="1"/>
  <c r="J533" i="1"/>
  <c r="J3315" i="1"/>
  <c r="H3316" i="1"/>
  <c r="H168" i="1"/>
  <c r="J167" i="1"/>
  <c r="H80" i="1"/>
  <c r="J79" i="1"/>
  <c r="K705" i="13"/>
  <c r="O704" i="13"/>
  <c r="H319" i="15"/>
  <c r="H319" i="11"/>
  <c r="J318" i="11"/>
  <c r="H684" i="11"/>
  <c r="J683" i="11"/>
  <c r="K188" i="6"/>
  <c r="O187" i="6"/>
  <c r="H2676" i="1"/>
  <c r="J2676" i="1" s="1"/>
  <c r="H854" i="1"/>
  <c r="J854" i="1" s="1"/>
  <c r="H1946" i="1"/>
  <c r="J1946" i="1" s="1"/>
  <c r="H1582" i="1"/>
  <c r="J1582" i="1" s="1"/>
  <c r="H1218" i="1"/>
  <c r="J1218" i="1" s="1"/>
  <c r="H2311" i="1"/>
  <c r="J2311" i="1" s="1"/>
  <c r="H81" i="1" l="1"/>
  <c r="J80" i="1"/>
  <c r="H169" i="1"/>
  <c r="J168" i="1"/>
  <c r="H3317" i="1"/>
  <c r="J3316" i="1"/>
  <c r="H535" i="1"/>
  <c r="J534" i="1"/>
  <c r="K706" i="13"/>
  <c r="O705" i="13"/>
  <c r="H320" i="15"/>
  <c r="J684" i="11"/>
  <c r="H685" i="11"/>
  <c r="J319" i="11"/>
  <c r="H320" i="11"/>
  <c r="K189" i="6"/>
  <c r="O188" i="6"/>
  <c r="H1219" i="1"/>
  <c r="J1219" i="1" s="1"/>
  <c r="H1583" i="1"/>
  <c r="J1583" i="1" s="1"/>
  <c r="H1947" i="1"/>
  <c r="J1947" i="1" s="1"/>
  <c r="H855" i="1"/>
  <c r="J855" i="1" s="1"/>
  <c r="H2312" i="1"/>
  <c r="J2312" i="1" s="1"/>
  <c r="H2677" i="1"/>
  <c r="J2677" i="1" s="1"/>
  <c r="H170" i="1" l="1"/>
  <c r="J169" i="1"/>
  <c r="H536" i="1"/>
  <c r="J535" i="1"/>
  <c r="H3318" i="1"/>
  <c r="J3317" i="1"/>
  <c r="H82" i="1"/>
  <c r="J81" i="1"/>
  <c r="K707" i="13"/>
  <c r="O706" i="13"/>
  <c r="H321" i="15"/>
  <c r="H686" i="11"/>
  <c r="J685" i="11"/>
  <c r="J320" i="11"/>
  <c r="H321" i="11"/>
  <c r="K190" i="6"/>
  <c r="O189" i="6"/>
  <c r="H2313" i="1"/>
  <c r="J2313" i="1" s="1"/>
  <c r="H856" i="1"/>
  <c r="J856" i="1" s="1"/>
  <c r="H1948" i="1"/>
  <c r="J1948" i="1" s="1"/>
  <c r="H1584" i="1"/>
  <c r="J1584" i="1" s="1"/>
  <c r="H2678" i="1"/>
  <c r="J2678" i="1" s="1"/>
  <c r="H1220" i="1"/>
  <c r="J1220" i="1" s="1"/>
  <c r="H537" i="1" l="1"/>
  <c r="J536" i="1"/>
  <c r="H3319" i="1"/>
  <c r="J3318" i="1"/>
  <c r="H83" i="1"/>
  <c r="J82" i="1"/>
  <c r="H171" i="1"/>
  <c r="J170" i="1"/>
  <c r="K708" i="13"/>
  <c r="O707" i="13"/>
  <c r="H322" i="15"/>
  <c r="H322" i="11"/>
  <c r="J321" i="11"/>
  <c r="J686" i="11"/>
  <c r="H687" i="11"/>
  <c r="K191" i="6"/>
  <c r="O190" i="6"/>
  <c r="H2679" i="1"/>
  <c r="J2679" i="1" s="1"/>
  <c r="H857" i="1"/>
  <c r="J857" i="1" s="1"/>
  <c r="H1585" i="1"/>
  <c r="J1585" i="1" s="1"/>
  <c r="H1949" i="1"/>
  <c r="J1949" i="1" s="1"/>
  <c r="H1221" i="1"/>
  <c r="J1221" i="1" s="1"/>
  <c r="H2314" i="1"/>
  <c r="J2314" i="1" s="1"/>
  <c r="H172" i="1" l="1"/>
  <c r="J171" i="1"/>
  <c r="H84" i="1"/>
  <c r="J83" i="1"/>
  <c r="H3320" i="1"/>
  <c r="J3319" i="1"/>
  <c r="H538" i="1"/>
  <c r="J537" i="1"/>
  <c r="K709" i="13"/>
  <c r="O708" i="13"/>
  <c r="H323" i="15"/>
  <c r="H688" i="11"/>
  <c r="J687" i="11"/>
  <c r="J322" i="11"/>
  <c r="H323" i="11"/>
  <c r="K192" i="6"/>
  <c r="O191" i="6"/>
  <c r="H1222" i="1"/>
  <c r="J1222" i="1" s="1"/>
  <c r="H1586" i="1"/>
  <c r="J1586" i="1" s="1"/>
  <c r="H1950" i="1"/>
  <c r="J1950" i="1" s="1"/>
  <c r="H858" i="1"/>
  <c r="J858" i="1" s="1"/>
  <c r="H2315" i="1"/>
  <c r="J2315" i="1" s="1"/>
  <c r="H2680" i="1"/>
  <c r="J2680" i="1" s="1"/>
  <c r="H539" i="1" l="1"/>
  <c r="J538" i="1"/>
  <c r="J3320" i="1"/>
  <c r="H3321" i="1"/>
  <c r="H85" i="1"/>
  <c r="J84" i="1"/>
  <c r="H173" i="1"/>
  <c r="J172" i="1"/>
  <c r="K710" i="13"/>
  <c r="O709" i="13"/>
  <c r="H324" i="15"/>
  <c r="H324" i="11"/>
  <c r="J323" i="11"/>
  <c r="H689" i="11"/>
  <c r="J688" i="11"/>
  <c r="K193" i="6"/>
  <c r="O192" i="6"/>
  <c r="H1951" i="1"/>
  <c r="J1951" i="1" s="1"/>
  <c r="H2316" i="1"/>
  <c r="J2316" i="1" s="1"/>
  <c r="H859" i="1"/>
  <c r="J859" i="1" s="1"/>
  <c r="H1587" i="1"/>
  <c r="J1587" i="1" s="1"/>
  <c r="H2681" i="1"/>
  <c r="J2681" i="1" s="1"/>
  <c r="H1223" i="1"/>
  <c r="J1223" i="1" s="1"/>
  <c r="H174" i="1" l="1"/>
  <c r="J173" i="1"/>
  <c r="H86" i="1"/>
  <c r="J85" i="1"/>
  <c r="H3322" i="1"/>
  <c r="J3321" i="1"/>
  <c r="H540" i="1"/>
  <c r="J539" i="1"/>
  <c r="K711" i="13"/>
  <c r="O710" i="13"/>
  <c r="H325" i="15"/>
  <c r="J324" i="11"/>
  <c r="H325" i="11"/>
  <c r="H690" i="11"/>
  <c r="J689" i="11"/>
  <c r="K194" i="6"/>
  <c r="O193" i="6"/>
  <c r="H2682" i="1"/>
  <c r="J2682" i="1" s="1"/>
  <c r="H1588" i="1"/>
  <c r="J1588" i="1" s="1"/>
  <c r="H860" i="1"/>
  <c r="J860" i="1" s="1"/>
  <c r="H2317" i="1"/>
  <c r="J2317" i="1" s="1"/>
  <c r="H1224" i="1"/>
  <c r="J1224" i="1" s="1"/>
  <c r="H1952" i="1"/>
  <c r="J1952" i="1" s="1"/>
  <c r="H541" i="1" l="1"/>
  <c r="J540" i="1"/>
  <c r="H3323" i="1"/>
  <c r="J3322" i="1"/>
  <c r="H87" i="1"/>
  <c r="J86" i="1"/>
  <c r="H175" i="1"/>
  <c r="J174" i="1"/>
  <c r="K712" i="13"/>
  <c r="O711" i="13"/>
  <c r="H326" i="15"/>
  <c r="H691" i="11"/>
  <c r="J690" i="11"/>
  <c r="H326" i="11"/>
  <c r="J325" i="11"/>
  <c r="K195" i="6"/>
  <c r="O194" i="6"/>
  <c r="H1589" i="1"/>
  <c r="J1589" i="1" s="1"/>
  <c r="H1225" i="1"/>
  <c r="J1225" i="1" s="1"/>
  <c r="H2318" i="1"/>
  <c r="J2318" i="1" s="1"/>
  <c r="H861" i="1"/>
  <c r="J861" i="1" s="1"/>
  <c r="H1953" i="1"/>
  <c r="J1953" i="1" s="1"/>
  <c r="H2683" i="1"/>
  <c r="J2683" i="1" s="1"/>
  <c r="H176" i="1" l="1"/>
  <c r="J175" i="1"/>
  <c r="H88" i="1"/>
  <c r="J87" i="1"/>
  <c r="H3324" i="1"/>
  <c r="J3323" i="1"/>
  <c r="H542" i="1"/>
  <c r="J541" i="1"/>
  <c r="K713" i="13"/>
  <c r="O712" i="13"/>
  <c r="H327" i="15"/>
  <c r="H692" i="11"/>
  <c r="J691" i="11"/>
  <c r="H327" i="11"/>
  <c r="J326" i="11"/>
  <c r="K196" i="6"/>
  <c r="O195" i="6"/>
  <c r="H1954" i="1"/>
  <c r="J1954" i="1" s="1"/>
  <c r="H862" i="1"/>
  <c r="J862" i="1" s="1"/>
  <c r="H2319" i="1"/>
  <c r="J2319" i="1" s="1"/>
  <c r="H1226" i="1"/>
  <c r="J1226" i="1" s="1"/>
  <c r="H2684" i="1"/>
  <c r="J2684" i="1" s="1"/>
  <c r="H1590" i="1"/>
  <c r="J1590" i="1" s="1"/>
  <c r="H543" i="1" l="1"/>
  <c r="J542" i="1"/>
  <c r="J3324" i="1"/>
  <c r="H3325" i="1"/>
  <c r="H89" i="1"/>
  <c r="J88" i="1"/>
  <c r="H177" i="1"/>
  <c r="J176" i="1"/>
  <c r="K714" i="13"/>
  <c r="O713" i="13"/>
  <c r="H328" i="15"/>
  <c r="H328" i="11"/>
  <c r="J327" i="11"/>
  <c r="J692" i="11"/>
  <c r="H693" i="11"/>
  <c r="K197" i="6"/>
  <c r="O196" i="6"/>
  <c r="H2685" i="1"/>
  <c r="J2685" i="1" s="1"/>
  <c r="H1227" i="1"/>
  <c r="J1227" i="1" s="1"/>
  <c r="H2320" i="1"/>
  <c r="J2320" i="1" s="1"/>
  <c r="H863" i="1"/>
  <c r="J863" i="1" s="1"/>
  <c r="H1591" i="1"/>
  <c r="J1591" i="1" s="1"/>
  <c r="H1955" i="1"/>
  <c r="J1955" i="1" s="1"/>
  <c r="H178" i="1" l="1"/>
  <c r="J177" i="1"/>
  <c r="H90" i="1"/>
  <c r="J89" i="1"/>
  <c r="H3326" i="1"/>
  <c r="J3325" i="1"/>
  <c r="H544" i="1"/>
  <c r="J543" i="1"/>
  <c r="K715" i="13"/>
  <c r="O714" i="13"/>
  <c r="H329" i="15"/>
  <c r="H694" i="11"/>
  <c r="J693" i="11"/>
  <c r="H329" i="11"/>
  <c r="J328" i="11"/>
  <c r="K198" i="6"/>
  <c r="O197" i="6"/>
  <c r="H1592" i="1"/>
  <c r="J1592" i="1" s="1"/>
  <c r="H864" i="1"/>
  <c r="J864" i="1" s="1"/>
  <c r="H2321" i="1"/>
  <c r="J2321" i="1" s="1"/>
  <c r="H1228" i="1"/>
  <c r="J1228" i="1" s="1"/>
  <c r="H1956" i="1"/>
  <c r="J1956" i="1" s="1"/>
  <c r="H2686" i="1"/>
  <c r="J2686" i="1" s="1"/>
  <c r="H545" i="1" l="1"/>
  <c r="J544" i="1"/>
  <c r="H3327" i="1"/>
  <c r="J3326" i="1"/>
  <c r="H91" i="1"/>
  <c r="J91" i="1" s="1"/>
  <c r="J90" i="1"/>
  <c r="H179" i="1"/>
  <c r="J178" i="1"/>
  <c r="K716" i="13"/>
  <c r="O715" i="13"/>
  <c r="H330" i="15"/>
  <c r="J329" i="11"/>
  <c r="H330" i="11"/>
  <c r="J694" i="11"/>
  <c r="H695" i="11"/>
  <c r="K199" i="6"/>
  <c r="O198" i="6"/>
  <c r="H865" i="1"/>
  <c r="J865" i="1" s="1"/>
  <c r="H1957" i="1"/>
  <c r="J1957" i="1" s="1"/>
  <c r="H1229" i="1"/>
  <c r="J1229" i="1" s="1"/>
  <c r="H2322" i="1"/>
  <c r="J2322" i="1" s="1"/>
  <c r="H2687" i="1"/>
  <c r="J2687" i="1" s="1"/>
  <c r="H1593" i="1"/>
  <c r="J1593" i="1" s="1"/>
  <c r="H180" i="1" l="1"/>
  <c r="J179" i="1"/>
  <c r="H3328" i="1"/>
  <c r="J3327" i="1"/>
  <c r="H546" i="1"/>
  <c r="J545" i="1"/>
  <c r="K717" i="13"/>
  <c r="O716" i="13"/>
  <c r="H331" i="15"/>
  <c r="H696" i="11"/>
  <c r="J695" i="11"/>
  <c r="H331" i="11"/>
  <c r="J330" i="11"/>
  <c r="K200" i="6"/>
  <c r="O199" i="6"/>
  <c r="H1230" i="1"/>
  <c r="J1230" i="1" s="1"/>
  <c r="H2688" i="1"/>
  <c r="J2688" i="1" s="1"/>
  <c r="H2323" i="1"/>
  <c r="J2323" i="1" s="1"/>
  <c r="H1958" i="1"/>
  <c r="J1958" i="1" s="1"/>
  <c r="H1594" i="1"/>
  <c r="J1594" i="1" s="1"/>
  <c r="H866" i="1"/>
  <c r="J866" i="1" s="1"/>
  <c r="H547" i="1" l="1"/>
  <c r="J546" i="1"/>
  <c r="J3328" i="1"/>
  <c r="H3329" i="1"/>
  <c r="H181" i="1"/>
  <c r="J180" i="1"/>
  <c r="K718" i="13"/>
  <c r="O717" i="13"/>
  <c r="H332" i="15"/>
  <c r="H332" i="11"/>
  <c r="J331" i="11"/>
  <c r="J696" i="11"/>
  <c r="H697" i="11"/>
  <c r="K201" i="6"/>
  <c r="O200" i="6"/>
  <c r="H2689" i="1"/>
  <c r="J2689" i="1" s="1"/>
  <c r="H1595" i="1"/>
  <c r="J1595" i="1" s="1"/>
  <c r="H2324" i="1"/>
  <c r="J2324" i="1" s="1"/>
  <c r="H1959" i="1"/>
  <c r="J1959" i="1" s="1"/>
  <c r="H867" i="1"/>
  <c r="J867" i="1" s="1"/>
  <c r="H1231" i="1"/>
  <c r="J1231" i="1" s="1"/>
  <c r="H182" i="1" l="1"/>
  <c r="J181" i="1"/>
  <c r="H3330" i="1"/>
  <c r="J3329" i="1"/>
  <c r="H548" i="1"/>
  <c r="J547" i="1"/>
  <c r="K719" i="13"/>
  <c r="O718" i="13"/>
  <c r="H333" i="15"/>
  <c r="H698" i="11"/>
  <c r="J697" i="11"/>
  <c r="J332" i="11"/>
  <c r="H333" i="11"/>
  <c r="K202" i="6"/>
  <c r="O201" i="6"/>
  <c r="H1596" i="1"/>
  <c r="J1596" i="1" s="1"/>
  <c r="H868" i="1"/>
  <c r="J868" i="1" s="1"/>
  <c r="H1960" i="1"/>
  <c r="J1960" i="1" s="1"/>
  <c r="H2325" i="1"/>
  <c r="J2325" i="1" s="1"/>
  <c r="H1232" i="1"/>
  <c r="J1232" i="1" s="1"/>
  <c r="H2690" i="1"/>
  <c r="J2690" i="1" s="1"/>
  <c r="H549" i="1" l="1"/>
  <c r="J548" i="1"/>
  <c r="J3330" i="1"/>
  <c r="H3331" i="1"/>
  <c r="H183" i="1"/>
  <c r="J182" i="1"/>
  <c r="K720" i="13"/>
  <c r="O719" i="13"/>
  <c r="H334" i="15"/>
  <c r="J333" i="11"/>
  <c r="H334" i="11"/>
  <c r="J698" i="11"/>
  <c r="H699" i="11"/>
  <c r="K203" i="6"/>
  <c r="O202" i="6"/>
  <c r="H869" i="1"/>
  <c r="J869" i="1" s="1"/>
  <c r="H1961" i="1"/>
  <c r="J1961" i="1" s="1"/>
  <c r="H1233" i="1"/>
  <c r="J1233" i="1" s="1"/>
  <c r="H2326" i="1"/>
  <c r="J2326" i="1" s="1"/>
  <c r="H2691" i="1"/>
  <c r="J2691" i="1" s="1"/>
  <c r="H1597" i="1"/>
  <c r="J1597" i="1" s="1"/>
  <c r="H184" i="1" l="1"/>
  <c r="J183" i="1"/>
  <c r="H3332" i="1"/>
  <c r="J3331" i="1"/>
  <c r="H550" i="1"/>
  <c r="J549" i="1"/>
  <c r="K721" i="13"/>
  <c r="O720" i="13"/>
  <c r="H335" i="15"/>
  <c r="H335" i="11"/>
  <c r="J334" i="11"/>
  <c r="H700" i="11"/>
  <c r="J699" i="11"/>
  <c r="K204" i="6"/>
  <c r="O203" i="6"/>
  <c r="H1962" i="1"/>
  <c r="J1962" i="1" s="1"/>
  <c r="H2692" i="1"/>
  <c r="J2692" i="1" s="1"/>
  <c r="H2327" i="1"/>
  <c r="J2327" i="1" s="1"/>
  <c r="H1234" i="1"/>
  <c r="J1234" i="1" s="1"/>
  <c r="H1598" i="1"/>
  <c r="J1598" i="1" s="1"/>
  <c r="H870" i="1"/>
  <c r="J870" i="1" s="1"/>
  <c r="H551" i="1" l="1"/>
  <c r="J550" i="1"/>
  <c r="H3333" i="1"/>
  <c r="J3332" i="1"/>
  <c r="H185" i="1"/>
  <c r="J184" i="1"/>
  <c r="K722" i="13"/>
  <c r="O721" i="13"/>
  <c r="H336" i="15"/>
  <c r="H701" i="11"/>
  <c r="J700" i="11"/>
  <c r="H336" i="11"/>
  <c r="J335" i="11"/>
  <c r="K205" i="6"/>
  <c r="O204" i="6"/>
  <c r="H2328" i="1"/>
  <c r="J2328" i="1" s="1"/>
  <c r="H1599" i="1"/>
  <c r="J1599" i="1" s="1"/>
  <c r="H1235" i="1"/>
  <c r="J1235" i="1" s="1"/>
  <c r="H2693" i="1"/>
  <c r="J2693" i="1" s="1"/>
  <c r="H871" i="1"/>
  <c r="J871" i="1" s="1"/>
  <c r="H1963" i="1"/>
  <c r="J1963" i="1" s="1"/>
  <c r="H186" i="1" l="1"/>
  <c r="J185" i="1"/>
  <c r="J3333" i="1"/>
  <c r="H3334" i="1"/>
  <c r="H552" i="1"/>
  <c r="J551" i="1"/>
  <c r="K723" i="13"/>
  <c r="O722" i="13"/>
  <c r="H337" i="15"/>
  <c r="H337" i="11"/>
  <c r="J336" i="11"/>
  <c r="H702" i="11"/>
  <c r="J701" i="11"/>
  <c r="K206" i="6"/>
  <c r="O205" i="6"/>
  <c r="H872" i="1"/>
  <c r="J872" i="1" s="1"/>
  <c r="H2694" i="1"/>
  <c r="J2694" i="1" s="1"/>
  <c r="H1236" i="1"/>
  <c r="J1236" i="1" s="1"/>
  <c r="H1600" i="1"/>
  <c r="J1600" i="1" s="1"/>
  <c r="H1964" i="1"/>
  <c r="J1964" i="1" s="1"/>
  <c r="H2329" i="1"/>
  <c r="J2329" i="1" s="1"/>
  <c r="H553" i="1" l="1"/>
  <c r="J552" i="1"/>
  <c r="J3334" i="1"/>
  <c r="H3335" i="1"/>
  <c r="H187" i="1"/>
  <c r="J186" i="1"/>
  <c r="K724" i="13"/>
  <c r="O723" i="13"/>
  <c r="H338" i="15"/>
  <c r="J337" i="11"/>
  <c r="H338" i="11"/>
  <c r="J702" i="11"/>
  <c r="H703" i="11"/>
  <c r="K207" i="6"/>
  <c r="O206" i="6"/>
  <c r="H1601" i="1"/>
  <c r="J1601" i="1" s="1"/>
  <c r="H2695" i="1"/>
  <c r="J2695" i="1" s="1"/>
  <c r="H1965" i="1"/>
  <c r="J1965" i="1" s="1"/>
  <c r="H1237" i="1"/>
  <c r="J1237" i="1" s="1"/>
  <c r="H2330" i="1"/>
  <c r="J2330" i="1" s="1"/>
  <c r="H873" i="1"/>
  <c r="J873" i="1" s="1"/>
  <c r="H188" i="1" l="1"/>
  <c r="J187" i="1"/>
  <c r="J3335" i="1"/>
  <c r="H3336" i="1"/>
  <c r="H554" i="1"/>
  <c r="J553" i="1"/>
  <c r="K725" i="13"/>
  <c r="O724" i="13"/>
  <c r="H339" i="15"/>
  <c r="H704" i="11"/>
  <c r="J703" i="11"/>
  <c r="H339" i="11"/>
  <c r="J338" i="11"/>
  <c r="K208" i="6"/>
  <c r="O207" i="6"/>
  <c r="H2331" i="1"/>
  <c r="J2331" i="1" s="1"/>
  <c r="H1238" i="1"/>
  <c r="J1238" i="1" s="1"/>
  <c r="H1966" i="1"/>
  <c r="J1966" i="1" s="1"/>
  <c r="H2696" i="1"/>
  <c r="J2696" i="1" s="1"/>
  <c r="H874" i="1"/>
  <c r="J874" i="1" s="1"/>
  <c r="H1602" i="1"/>
  <c r="J1602" i="1" s="1"/>
  <c r="H555" i="1" l="1"/>
  <c r="J554" i="1"/>
  <c r="H3337" i="1"/>
  <c r="J3336" i="1"/>
  <c r="H189" i="1"/>
  <c r="J188" i="1"/>
  <c r="K726" i="13"/>
  <c r="O725" i="13"/>
  <c r="H340" i="15"/>
  <c r="J339" i="11"/>
  <c r="H340" i="11"/>
  <c r="J704" i="11"/>
  <c r="H705" i="11"/>
  <c r="K209" i="6"/>
  <c r="O208" i="6"/>
  <c r="H875" i="1"/>
  <c r="J875" i="1" s="1"/>
  <c r="H2697" i="1"/>
  <c r="J2697" i="1" s="1"/>
  <c r="H1967" i="1"/>
  <c r="J1967" i="1" s="1"/>
  <c r="H1239" i="1"/>
  <c r="J1239" i="1" s="1"/>
  <c r="H1603" i="1"/>
  <c r="J1603" i="1" s="1"/>
  <c r="H2332" i="1"/>
  <c r="J2332" i="1" s="1"/>
  <c r="J3337" i="1" l="1"/>
  <c r="H3338" i="1"/>
  <c r="H190" i="1"/>
  <c r="J189" i="1"/>
  <c r="H556" i="1"/>
  <c r="J555" i="1"/>
  <c r="K727" i="13"/>
  <c r="O726" i="13"/>
  <c r="H341" i="15"/>
  <c r="H341" i="11"/>
  <c r="J340" i="11"/>
  <c r="H706" i="11"/>
  <c r="J705" i="11"/>
  <c r="K210" i="6"/>
  <c r="O209" i="6"/>
  <c r="H1604" i="1"/>
  <c r="J1604" i="1" s="1"/>
  <c r="H1240" i="1"/>
  <c r="J1240" i="1" s="1"/>
  <c r="H1968" i="1"/>
  <c r="J1968" i="1" s="1"/>
  <c r="H2698" i="1"/>
  <c r="J2698" i="1" s="1"/>
  <c r="H2333" i="1"/>
  <c r="J2333" i="1" s="1"/>
  <c r="H876" i="1"/>
  <c r="J876" i="1" s="1"/>
  <c r="H557" i="1" l="1"/>
  <c r="J556" i="1"/>
  <c r="H191" i="1"/>
  <c r="J190" i="1"/>
  <c r="J3338" i="1"/>
  <c r="H3339" i="1"/>
  <c r="K728" i="13"/>
  <c r="O727" i="13"/>
  <c r="H342" i="15"/>
  <c r="J706" i="11"/>
  <c r="H707" i="11"/>
  <c r="H342" i="11"/>
  <c r="J341" i="11"/>
  <c r="K211" i="6"/>
  <c r="O210" i="6"/>
  <c r="H2699" i="1"/>
  <c r="J2699" i="1" s="1"/>
  <c r="H2334" i="1"/>
  <c r="J2334" i="1" s="1"/>
  <c r="H1969" i="1"/>
  <c r="J1969" i="1" s="1"/>
  <c r="H1241" i="1"/>
  <c r="J1241" i="1" s="1"/>
  <c r="H877" i="1"/>
  <c r="J877" i="1" s="1"/>
  <c r="H1605" i="1"/>
  <c r="J1605" i="1" s="1"/>
  <c r="H3340" i="1" l="1"/>
  <c r="J3339" i="1"/>
  <c r="H192" i="1"/>
  <c r="J191" i="1"/>
  <c r="H558" i="1"/>
  <c r="J557" i="1"/>
  <c r="K729" i="13"/>
  <c r="O728" i="13"/>
  <c r="H343" i="15"/>
  <c r="H708" i="11"/>
  <c r="J707" i="11"/>
  <c r="J342" i="11"/>
  <c r="H343" i="11"/>
  <c r="K212" i="6"/>
  <c r="O211" i="6"/>
  <c r="H878" i="1"/>
  <c r="J878" i="1" s="1"/>
  <c r="H1242" i="1"/>
  <c r="J1242" i="1" s="1"/>
  <c r="H1970" i="1"/>
  <c r="J1970" i="1" s="1"/>
  <c r="H2335" i="1"/>
  <c r="J2335" i="1" s="1"/>
  <c r="H1606" i="1"/>
  <c r="J1606" i="1" s="1"/>
  <c r="H2700" i="1"/>
  <c r="J2700" i="1" s="1"/>
  <c r="H559" i="1" l="1"/>
  <c r="J558" i="1"/>
  <c r="H193" i="1"/>
  <c r="J192" i="1"/>
  <c r="H3341" i="1"/>
  <c r="J3340" i="1"/>
  <c r="K730" i="13"/>
  <c r="O729" i="13"/>
  <c r="H344" i="15"/>
  <c r="H344" i="11"/>
  <c r="J343" i="11"/>
  <c r="H709" i="11"/>
  <c r="J708" i="11"/>
  <c r="K213" i="6"/>
  <c r="O212" i="6"/>
  <c r="H1243" i="1"/>
  <c r="J1243" i="1" s="1"/>
  <c r="H1607" i="1"/>
  <c r="J1607" i="1" s="1"/>
  <c r="H2336" i="1"/>
  <c r="J2336" i="1" s="1"/>
  <c r="H1971" i="1"/>
  <c r="J1971" i="1" s="1"/>
  <c r="H2701" i="1"/>
  <c r="J2701" i="1" s="1"/>
  <c r="H879" i="1"/>
  <c r="J879" i="1" s="1"/>
  <c r="H3342" i="1" l="1"/>
  <c r="J3341" i="1"/>
  <c r="H194" i="1"/>
  <c r="J193" i="1"/>
  <c r="H560" i="1"/>
  <c r="J559" i="1"/>
  <c r="K731" i="13"/>
  <c r="O730" i="13"/>
  <c r="H345" i="15"/>
  <c r="J344" i="11"/>
  <c r="H345" i="11"/>
  <c r="H710" i="11"/>
  <c r="J709" i="11"/>
  <c r="K214" i="6"/>
  <c r="O213" i="6"/>
  <c r="H2702" i="1"/>
  <c r="J2702" i="1" s="1"/>
  <c r="H1972" i="1"/>
  <c r="J1972" i="1" s="1"/>
  <c r="H2337" i="1"/>
  <c r="J2337" i="1" s="1"/>
  <c r="H1608" i="1"/>
  <c r="J1608" i="1" s="1"/>
  <c r="H880" i="1"/>
  <c r="J880" i="1" s="1"/>
  <c r="H1244" i="1"/>
  <c r="J1244" i="1" s="1"/>
  <c r="H561" i="1" l="1"/>
  <c r="J560" i="1"/>
  <c r="H195" i="1"/>
  <c r="J194" i="1"/>
  <c r="J3342" i="1"/>
  <c r="H3343" i="1"/>
  <c r="K732" i="13"/>
  <c r="O731" i="13"/>
  <c r="H346" i="15"/>
  <c r="H711" i="11"/>
  <c r="J710" i="11"/>
  <c r="H346" i="11"/>
  <c r="J345" i="11"/>
  <c r="K215" i="6"/>
  <c r="O214" i="6"/>
  <c r="H881" i="1"/>
  <c r="J881" i="1" s="1"/>
  <c r="H1609" i="1"/>
  <c r="J1609" i="1" s="1"/>
  <c r="H2338" i="1"/>
  <c r="J2338" i="1" s="1"/>
  <c r="H1973" i="1"/>
  <c r="J1973" i="1" s="1"/>
  <c r="H1245" i="1"/>
  <c r="J1245" i="1" s="1"/>
  <c r="H2703" i="1"/>
  <c r="J2703" i="1" s="1"/>
  <c r="J3343" i="1" l="1"/>
  <c r="H3344" i="1"/>
  <c r="H196" i="1"/>
  <c r="J195" i="1"/>
  <c r="H562" i="1"/>
  <c r="J561" i="1"/>
  <c r="O732" i="13"/>
  <c r="K733" i="13"/>
  <c r="H347" i="15"/>
  <c r="J711" i="11"/>
  <c r="H712" i="11"/>
  <c r="H347" i="11"/>
  <c r="J346" i="11"/>
  <c r="K216" i="6"/>
  <c r="O215" i="6"/>
  <c r="H1610" i="1"/>
  <c r="J1610" i="1" s="1"/>
  <c r="H1246" i="1"/>
  <c r="J1246" i="1" s="1"/>
  <c r="H1974" i="1"/>
  <c r="J1974" i="1" s="1"/>
  <c r="H2339" i="1"/>
  <c r="J2339" i="1" s="1"/>
  <c r="H2704" i="1"/>
  <c r="J2704" i="1" s="1"/>
  <c r="H882" i="1"/>
  <c r="J882" i="1" s="1"/>
  <c r="H197" i="1" l="1"/>
  <c r="J196" i="1"/>
  <c r="H3345" i="1"/>
  <c r="J3344" i="1"/>
  <c r="H563" i="1"/>
  <c r="J562" i="1"/>
  <c r="K734" i="13"/>
  <c r="O733" i="13"/>
  <c r="H348" i="15"/>
  <c r="H713" i="11"/>
  <c r="J712" i="11"/>
  <c r="H348" i="11"/>
  <c r="J347" i="11"/>
  <c r="K217" i="6"/>
  <c r="O216" i="6"/>
  <c r="H2705" i="1"/>
  <c r="J2705" i="1" s="1"/>
  <c r="H2340" i="1"/>
  <c r="J2340" i="1" s="1"/>
  <c r="H1975" i="1"/>
  <c r="J1975" i="1" s="1"/>
  <c r="H1247" i="1"/>
  <c r="J1247" i="1" s="1"/>
  <c r="H883" i="1"/>
  <c r="J883" i="1" s="1"/>
  <c r="H1611" i="1"/>
  <c r="J1611" i="1" s="1"/>
  <c r="H564" i="1" l="1"/>
  <c r="J563" i="1"/>
  <c r="H3346" i="1"/>
  <c r="J3345" i="1"/>
  <c r="H198" i="1"/>
  <c r="J197" i="1"/>
  <c r="K735" i="13"/>
  <c r="O734" i="13"/>
  <c r="H349" i="15"/>
  <c r="H349" i="11"/>
  <c r="J348" i="11"/>
  <c r="H714" i="11"/>
  <c r="J713" i="11"/>
  <c r="K218" i="6"/>
  <c r="O217" i="6"/>
  <c r="H884" i="1"/>
  <c r="J884" i="1" s="1"/>
  <c r="H1248" i="1"/>
  <c r="J1248" i="1" s="1"/>
  <c r="H1976" i="1"/>
  <c r="J1976" i="1" s="1"/>
  <c r="H2341" i="1"/>
  <c r="J2341" i="1" s="1"/>
  <c r="H1612" i="1"/>
  <c r="J1612" i="1" s="1"/>
  <c r="H2706" i="1"/>
  <c r="J2706" i="1" s="1"/>
  <c r="H3347" i="1" l="1"/>
  <c r="J3346" i="1"/>
  <c r="H199" i="1"/>
  <c r="J198" i="1"/>
  <c r="H565" i="1"/>
  <c r="J564" i="1"/>
  <c r="K736" i="13"/>
  <c r="O735" i="13"/>
  <c r="H350" i="15"/>
  <c r="J714" i="11"/>
  <c r="H715" i="11"/>
  <c r="J349" i="11"/>
  <c r="H350" i="11"/>
  <c r="K219" i="6"/>
  <c r="O218" i="6"/>
  <c r="H1249" i="1"/>
  <c r="J1249" i="1" s="1"/>
  <c r="H1613" i="1"/>
  <c r="J1613" i="1" s="1"/>
  <c r="H2342" i="1"/>
  <c r="J2342" i="1" s="1"/>
  <c r="H1977" i="1"/>
  <c r="J1977" i="1" s="1"/>
  <c r="H2707" i="1"/>
  <c r="J2707" i="1" s="1"/>
  <c r="H885" i="1"/>
  <c r="J885" i="1" s="1"/>
  <c r="H566" i="1" l="1"/>
  <c r="J565" i="1"/>
  <c r="H200" i="1"/>
  <c r="J199" i="1"/>
  <c r="J3347" i="1"/>
  <c r="H3348" i="1"/>
  <c r="K737" i="13"/>
  <c r="O736" i="13"/>
  <c r="H351" i="15"/>
  <c r="H716" i="11"/>
  <c r="J715" i="11"/>
  <c r="H351" i="11"/>
  <c r="J350" i="11"/>
  <c r="K220" i="6"/>
  <c r="O219" i="6"/>
  <c r="H2708" i="1"/>
  <c r="J2708" i="1" s="1"/>
  <c r="H1978" i="1"/>
  <c r="J1978" i="1" s="1"/>
  <c r="H2343" i="1"/>
  <c r="J2343" i="1" s="1"/>
  <c r="H1614" i="1"/>
  <c r="J1614" i="1" s="1"/>
  <c r="H886" i="1"/>
  <c r="J886" i="1" s="1"/>
  <c r="H1250" i="1"/>
  <c r="J1250" i="1" s="1"/>
  <c r="J3348" i="1" l="1"/>
  <c r="H3349" i="1"/>
  <c r="H201" i="1"/>
  <c r="J200" i="1"/>
  <c r="H567" i="1"/>
  <c r="J566" i="1"/>
  <c r="K738" i="13"/>
  <c r="O737" i="13"/>
  <c r="H352" i="15"/>
  <c r="H352" i="11"/>
  <c r="J351" i="11"/>
  <c r="H717" i="11"/>
  <c r="J716" i="11"/>
  <c r="K221" i="6"/>
  <c r="O220" i="6"/>
  <c r="H887" i="1"/>
  <c r="J887" i="1" s="1"/>
  <c r="H1615" i="1"/>
  <c r="J1615" i="1" s="1"/>
  <c r="H2344" i="1"/>
  <c r="J2344" i="1" s="1"/>
  <c r="H1979" i="1"/>
  <c r="J1979" i="1" s="1"/>
  <c r="H1251" i="1"/>
  <c r="J1251" i="1" s="1"/>
  <c r="H2709" i="1"/>
  <c r="J2709" i="1" s="1"/>
  <c r="H3350" i="1" l="1"/>
  <c r="J3349" i="1"/>
  <c r="H568" i="1"/>
  <c r="J567" i="1"/>
  <c r="H202" i="1"/>
  <c r="J201" i="1"/>
  <c r="K739" i="13"/>
  <c r="O738" i="13"/>
  <c r="H353" i="15"/>
  <c r="H718" i="11"/>
  <c r="J717" i="11"/>
  <c r="J352" i="11"/>
  <c r="H353" i="11"/>
  <c r="K222" i="6"/>
  <c r="O221" i="6"/>
  <c r="H1252" i="1"/>
  <c r="J1252" i="1" s="1"/>
  <c r="H1980" i="1"/>
  <c r="J1980" i="1" s="1"/>
  <c r="H2345" i="1"/>
  <c r="J2345" i="1" s="1"/>
  <c r="H1616" i="1"/>
  <c r="J1616" i="1" s="1"/>
  <c r="H2710" i="1"/>
  <c r="J2710" i="1" s="1"/>
  <c r="H888" i="1"/>
  <c r="J888" i="1" s="1"/>
  <c r="H203" i="1" l="1"/>
  <c r="J202" i="1"/>
  <c r="H569" i="1"/>
  <c r="J568" i="1"/>
  <c r="H3351" i="1"/>
  <c r="J3350" i="1"/>
  <c r="K740" i="13"/>
  <c r="O739" i="13"/>
  <c r="H354" i="15"/>
  <c r="H719" i="11"/>
  <c r="J718" i="11"/>
  <c r="H354" i="11"/>
  <c r="J353" i="11"/>
  <c r="K223" i="6"/>
  <c r="O222" i="6"/>
  <c r="H2711" i="1"/>
  <c r="J2711" i="1" s="1"/>
  <c r="H1981" i="1"/>
  <c r="J1981" i="1" s="1"/>
  <c r="H2346" i="1"/>
  <c r="J2346" i="1" s="1"/>
  <c r="H1617" i="1"/>
  <c r="J1617" i="1" s="1"/>
  <c r="H889" i="1"/>
  <c r="J889" i="1" s="1"/>
  <c r="H1253" i="1"/>
  <c r="J1253" i="1" s="1"/>
  <c r="H3352" i="1" l="1"/>
  <c r="J3351" i="1"/>
  <c r="H570" i="1"/>
  <c r="J569" i="1"/>
  <c r="H204" i="1"/>
  <c r="J203" i="1"/>
  <c r="K741" i="13"/>
  <c r="O740" i="13"/>
  <c r="H355" i="15"/>
  <c r="H720" i="11"/>
  <c r="J719" i="11"/>
  <c r="H355" i="11"/>
  <c r="J354" i="11"/>
  <c r="K224" i="6"/>
  <c r="O223" i="6"/>
  <c r="H890" i="1"/>
  <c r="J890" i="1" s="1"/>
  <c r="H1618" i="1"/>
  <c r="J1618" i="1" s="1"/>
  <c r="H2347" i="1"/>
  <c r="J2347" i="1" s="1"/>
  <c r="H1982" i="1"/>
  <c r="J1982" i="1" s="1"/>
  <c r="H1254" i="1"/>
  <c r="J1254" i="1" s="1"/>
  <c r="H2712" i="1"/>
  <c r="J2712" i="1" s="1"/>
  <c r="H205" i="1" l="1"/>
  <c r="J204" i="1"/>
  <c r="H571" i="1"/>
  <c r="J570" i="1"/>
  <c r="H3353" i="1"/>
  <c r="J3352" i="1"/>
  <c r="K742" i="13"/>
  <c r="O741" i="13"/>
  <c r="H356" i="15"/>
  <c r="H356" i="11"/>
  <c r="J355" i="11"/>
  <c r="H721" i="11"/>
  <c r="J720" i="11"/>
  <c r="K225" i="6"/>
  <c r="O224" i="6"/>
  <c r="H1255" i="1"/>
  <c r="J1255" i="1" s="1"/>
  <c r="H1983" i="1"/>
  <c r="J1983" i="1" s="1"/>
  <c r="H2348" i="1"/>
  <c r="J2348" i="1" s="1"/>
  <c r="H1619" i="1"/>
  <c r="J1619" i="1" s="1"/>
  <c r="H2713" i="1"/>
  <c r="J2713" i="1" s="1"/>
  <c r="H891" i="1"/>
  <c r="J891" i="1" s="1"/>
  <c r="J3353" i="1" l="1"/>
  <c r="H3354" i="1"/>
  <c r="H572" i="1"/>
  <c r="J571" i="1"/>
  <c r="H206" i="1"/>
  <c r="J205" i="1"/>
  <c r="K743" i="13"/>
  <c r="O742" i="13"/>
  <c r="H357" i="15"/>
  <c r="J721" i="11"/>
  <c r="H722" i="11"/>
  <c r="J356" i="11"/>
  <c r="H357" i="11"/>
  <c r="K226" i="6"/>
  <c r="O225" i="6"/>
  <c r="H2714" i="1"/>
  <c r="J2714" i="1" s="1"/>
  <c r="H1620" i="1"/>
  <c r="J1620" i="1" s="1"/>
  <c r="H2349" i="1"/>
  <c r="J2349" i="1" s="1"/>
  <c r="H1984" i="1"/>
  <c r="J1984" i="1" s="1"/>
  <c r="H892" i="1"/>
  <c r="J892" i="1" s="1"/>
  <c r="H1256" i="1"/>
  <c r="J1256" i="1" s="1"/>
  <c r="J3354" i="1" l="1"/>
  <c r="H3355" i="1"/>
  <c r="H207" i="1"/>
  <c r="J206" i="1"/>
  <c r="H573" i="1"/>
  <c r="J572" i="1"/>
  <c r="K744" i="13"/>
  <c r="O743" i="13"/>
  <c r="H358" i="15"/>
  <c r="H723" i="11"/>
  <c r="J722" i="11"/>
  <c r="J357" i="11"/>
  <c r="H358" i="11"/>
  <c r="K227" i="6"/>
  <c r="O226" i="6"/>
  <c r="H893" i="1"/>
  <c r="J893" i="1" s="1"/>
  <c r="H1985" i="1"/>
  <c r="J1985" i="1" s="1"/>
  <c r="H2350" i="1"/>
  <c r="J2350" i="1" s="1"/>
  <c r="H1621" i="1"/>
  <c r="J1621" i="1" s="1"/>
  <c r="H1257" i="1"/>
  <c r="J1257" i="1" s="1"/>
  <c r="H2715" i="1"/>
  <c r="J2715" i="1" s="1"/>
  <c r="H574" i="1" l="1"/>
  <c r="J573" i="1"/>
  <c r="H3356" i="1"/>
  <c r="J3355" i="1"/>
  <c r="H208" i="1"/>
  <c r="J207" i="1"/>
  <c r="K745" i="13"/>
  <c r="O744" i="13"/>
  <c r="H359" i="15"/>
  <c r="H359" i="11"/>
  <c r="J358" i="11"/>
  <c r="H724" i="11"/>
  <c r="J723" i="11"/>
  <c r="K228" i="6"/>
  <c r="O227" i="6"/>
  <c r="H1258" i="1"/>
  <c r="J1258" i="1" s="1"/>
  <c r="H1622" i="1"/>
  <c r="J1622" i="1" s="1"/>
  <c r="H2351" i="1"/>
  <c r="J2351" i="1" s="1"/>
  <c r="H1986" i="1"/>
  <c r="J1986" i="1" s="1"/>
  <c r="H2716" i="1"/>
  <c r="J2716" i="1" s="1"/>
  <c r="H894" i="1"/>
  <c r="J894" i="1" s="1"/>
  <c r="H209" i="1" l="1"/>
  <c r="J208" i="1"/>
  <c r="H3357" i="1"/>
  <c r="J3356" i="1"/>
  <c r="H575" i="1"/>
  <c r="J574" i="1"/>
  <c r="O745" i="13"/>
  <c r="K746" i="13"/>
  <c r="H360" i="15"/>
  <c r="J724" i="11"/>
  <c r="H725" i="11"/>
  <c r="J359" i="11"/>
  <c r="H360" i="11"/>
  <c r="K229" i="6"/>
  <c r="O228" i="6"/>
  <c r="H2717" i="1"/>
  <c r="J2717" i="1" s="1"/>
  <c r="H1987" i="1"/>
  <c r="J1987" i="1" s="1"/>
  <c r="H2352" i="1"/>
  <c r="J2352" i="1" s="1"/>
  <c r="H1623" i="1"/>
  <c r="J1623" i="1" s="1"/>
  <c r="H895" i="1"/>
  <c r="J895" i="1" s="1"/>
  <c r="H1259" i="1"/>
  <c r="J1259" i="1" s="1"/>
  <c r="H576" i="1" l="1"/>
  <c r="J575" i="1"/>
  <c r="J3357" i="1"/>
  <c r="H3358" i="1"/>
  <c r="H210" i="1"/>
  <c r="J209" i="1"/>
  <c r="K747" i="13"/>
  <c r="O746" i="13"/>
  <c r="H361" i="15"/>
  <c r="H726" i="11"/>
  <c r="J725" i="11"/>
  <c r="J360" i="11"/>
  <c r="H361" i="11"/>
  <c r="K230" i="6"/>
  <c r="O229" i="6"/>
  <c r="H1624" i="1"/>
  <c r="J1624" i="1" s="1"/>
  <c r="H1988" i="1"/>
  <c r="J1988" i="1" s="1"/>
  <c r="H896" i="1"/>
  <c r="J896" i="1" s="1"/>
  <c r="H2353" i="1"/>
  <c r="J2353" i="1" s="1"/>
  <c r="H1260" i="1"/>
  <c r="J1260" i="1" s="1"/>
  <c r="H2718" i="1"/>
  <c r="J2718" i="1" s="1"/>
  <c r="H211" i="1" l="1"/>
  <c r="J210" i="1"/>
  <c r="H3359" i="1"/>
  <c r="J3358" i="1"/>
  <c r="H577" i="1"/>
  <c r="J576" i="1"/>
  <c r="K748" i="13"/>
  <c r="O747" i="13"/>
  <c r="H362" i="15"/>
  <c r="H362" i="11"/>
  <c r="J361" i="11"/>
  <c r="H727" i="11"/>
  <c r="J726" i="11"/>
  <c r="K231" i="6"/>
  <c r="O230" i="6"/>
  <c r="H1261" i="1"/>
  <c r="J1261" i="1" s="1"/>
  <c r="H2354" i="1"/>
  <c r="J2354" i="1" s="1"/>
  <c r="H897" i="1"/>
  <c r="J897" i="1" s="1"/>
  <c r="H1989" i="1"/>
  <c r="J1989" i="1" s="1"/>
  <c r="H2719" i="1"/>
  <c r="J2719" i="1" s="1"/>
  <c r="H1625" i="1"/>
  <c r="J1625" i="1" s="1"/>
  <c r="H578" i="1" l="1"/>
  <c r="J577" i="1"/>
  <c r="H3360" i="1"/>
  <c r="J3359" i="1"/>
  <c r="H212" i="1"/>
  <c r="J211" i="1"/>
  <c r="K749" i="13"/>
  <c r="O748" i="13"/>
  <c r="H363" i="15"/>
  <c r="H728" i="11"/>
  <c r="J727" i="11"/>
  <c r="J362" i="11"/>
  <c r="H363" i="11"/>
  <c r="K232" i="6"/>
  <c r="O231" i="6"/>
  <c r="H2355" i="1"/>
  <c r="J2355" i="1" s="1"/>
  <c r="H2720" i="1"/>
  <c r="J2720" i="1" s="1"/>
  <c r="H1990" i="1"/>
  <c r="J1990" i="1" s="1"/>
  <c r="H898" i="1"/>
  <c r="J898" i="1" s="1"/>
  <c r="H1626" i="1"/>
  <c r="J1626" i="1" s="1"/>
  <c r="H1262" i="1"/>
  <c r="J1262" i="1" s="1"/>
  <c r="J3360" i="1" l="1"/>
  <c r="H3361" i="1"/>
  <c r="H213" i="1"/>
  <c r="J212" i="1"/>
  <c r="H579" i="1"/>
  <c r="J578" i="1"/>
  <c r="K750" i="13"/>
  <c r="O749" i="13"/>
  <c r="H364" i="15"/>
  <c r="H364" i="11"/>
  <c r="J363" i="11"/>
  <c r="H729" i="11"/>
  <c r="J728" i="11"/>
  <c r="K233" i="6"/>
  <c r="O232" i="6"/>
  <c r="H899" i="1"/>
  <c r="J899" i="1" s="1"/>
  <c r="H2721" i="1"/>
  <c r="J2721" i="1" s="1"/>
  <c r="H1627" i="1"/>
  <c r="J1627" i="1" s="1"/>
  <c r="H1991" i="1"/>
  <c r="J1991" i="1" s="1"/>
  <c r="H1263" i="1"/>
  <c r="J1263" i="1" s="1"/>
  <c r="H2356" i="1"/>
  <c r="J2356" i="1" s="1"/>
  <c r="H580" i="1" l="1"/>
  <c r="J579" i="1"/>
  <c r="H214" i="1"/>
  <c r="J213" i="1"/>
  <c r="H3362" i="1"/>
  <c r="J3361" i="1"/>
  <c r="K751" i="13"/>
  <c r="O750" i="13"/>
  <c r="H365" i="15"/>
  <c r="H730" i="11"/>
  <c r="J729" i="11"/>
  <c r="H365" i="11"/>
  <c r="J364" i="11"/>
  <c r="K234" i="6"/>
  <c r="O233" i="6"/>
  <c r="H1264" i="1"/>
  <c r="J1264" i="1" s="1"/>
  <c r="H1992" i="1"/>
  <c r="J1992" i="1" s="1"/>
  <c r="H1628" i="1"/>
  <c r="J1628" i="1" s="1"/>
  <c r="H2722" i="1"/>
  <c r="J2722" i="1" s="1"/>
  <c r="H2357" i="1"/>
  <c r="J2357" i="1" s="1"/>
  <c r="H900" i="1"/>
  <c r="J900" i="1" s="1"/>
  <c r="J3362" i="1" l="1"/>
  <c r="H3363" i="1"/>
  <c r="H215" i="1"/>
  <c r="J214" i="1"/>
  <c r="H581" i="1"/>
  <c r="J580" i="1"/>
  <c r="K752" i="13"/>
  <c r="O751" i="13"/>
  <c r="H366" i="15"/>
  <c r="H366" i="11"/>
  <c r="J365" i="11"/>
  <c r="H731" i="11"/>
  <c r="J730" i="11"/>
  <c r="K235" i="6"/>
  <c r="O234" i="6"/>
  <c r="H2358" i="1"/>
  <c r="J2358" i="1" s="1"/>
  <c r="H2723" i="1"/>
  <c r="J2723" i="1" s="1"/>
  <c r="H1629" i="1"/>
  <c r="J1629" i="1" s="1"/>
  <c r="H1993" i="1"/>
  <c r="J1993" i="1" s="1"/>
  <c r="H901" i="1"/>
  <c r="J901" i="1" s="1"/>
  <c r="H1265" i="1"/>
  <c r="J1265" i="1" s="1"/>
  <c r="H582" i="1" l="1"/>
  <c r="J581" i="1"/>
  <c r="H216" i="1"/>
  <c r="J215" i="1"/>
  <c r="J3363" i="1"/>
  <c r="H3364" i="1"/>
  <c r="K753" i="13"/>
  <c r="O752" i="13"/>
  <c r="H367" i="15"/>
  <c r="J366" i="11"/>
  <c r="H732" i="11"/>
  <c r="J731" i="11"/>
  <c r="K236" i="6"/>
  <c r="O235" i="6"/>
  <c r="H902" i="1"/>
  <c r="J902" i="1" s="1"/>
  <c r="H1994" i="1"/>
  <c r="J1994" i="1" s="1"/>
  <c r="H1630" i="1"/>
  <c r="J1630" i="1" s="1"/>
  <c r="H2724" i="1"/>
  <c r="J2724" i="1" s="1"/>
  <c r="H1266" i="1"/>
  <c r="J1266" i="1" s="1"/>
  <c r="H2359" i="1"/>
  <c r="J2359" i="1" s="1"/>
  <c r="H3365" i="1" l="1"/>
  <c r="J3364" i="1"/>
  <c r="H217" i="1"/>
  <c r="J216" i="1"/>
  <c r="H583" i="1"/>
  <c r="J582" i="1"/>
  <c r="K754" i="13"/>
  <c r="O753" i="13"/>
  <c r="H368" i="15"/>
  <c r="J732" i="11"/>
  <c r="J367" i="11"/>
  <c r="K237" i="6"/>
  <c r="O236" i="6"/>
  <c r="H1995" i="1"/>
  <c r="J1995" i="1" s="1"/>
  <c r="H2725" i="1"/>
  <c r="J2725" i="1" s="1"/>
  <c r="H1267" i="1"/>
  <c r="J1267" i="1" s="1"/>
  <c r="H1631" i="1"/>
  <c r="J1631" i="1" s="1"/>
  <c r="H2360" i="1"/>
  <c r="J2360" i="1" s="1"/>
  <c r="H903" i="1"/>
  <c r="J903" i="1" s="1"/>
  <c r="H218" i="1" l="1"/>
  <c r="J217" i="1"/>
  <c r="H584" i="1"/>
  <c r="J583" i="1"/>
  <c r="J3365" i="1"/>
  <c r="H3366" i="1"/>
  <c r="K755" i="13"/>
  <c r="O754" i="13"/>
  <c r="H3" i="15"/>
  <c r="H369" i="15"/>
  <c r="J733" i="11"/>
  <c r="H369" i="11"/>
  <c r="J368" i="11"/>
  <c r="J2" i="11"/>
  <c r="H3" i="11"/>
  <c r="K238" i="6"/>
  <c r="O237" i="6"/>
  <c r="H2361" i="1"/>
  <c r="J2361" i="1" s="1"/>
  <c r="H1632" i="1"/>
  <c r="J1632" i="1" s="1"/>
  <c r="H2726" i="1"/>
  <c r="J2726" i="1" s="1"/>
  <c r="H1268" i="1"/>
  <c r="J1268" i="1" s="1"/>
  <c r="H904" i="1"/>
  <c r="J904" i="1" s="1"/>
  <c r="H1996" i="1"/>
  <c r="J1996" i="1" s="1"/>
  <c r="H3367" i="1" l="1"/>
  <c r="J3366" i="1"/>
  <c r="H585" i="1"/>
  <c r="J584" i="1"/>
  <c r="H219" i="1"/>
  <c r="J218" i="1"/>
  <c r="K756" i="13"/>
  <c r="O755" i="13"/>
  <c r="H370" i="15"/>
  <c r="H4" i="15"/>
  <c r="J3" i="11"/>
  <c r="H4" i="11"/>
  <c r="H370" i="11"/>
  <c r="J369" i="11"/>
  <c r="J734" i="11"/>
  <c r="H735" i="11"/>
  <c r="K239" i="6"/>
  <c r="O238" i="6"/>
  <c r="H905" i="1"/>
  <c r="J905" i="1" s="1"/>
  <c r="H1269" i="1"/>
  <c r="J1269" i="1" s="1"/>
  <c r="H2727" i="1"/>
  <c r="J2727" i="1" s="1"/>
  <c r="H1633" i="1"/>
  <c r="J1633" i="1" s="1"/>
  <c r="H1997" i="1"/>
  <c r="J1997" i="1" s="1"/>
  <c r="H2362" i="1"/>
  <c r="J2362" i="1" s="1"/>
  <c r="H220" i="1" l="1"/>
  <c r="J219" i="1"/>
  <c r="H586" i="1"/>
  <c r="J585" i="1"/>
  <c r="H3368" i="1"/>
  <c r="J3367" i="1"/>
  <c r="K757" i="13"/>
  <c r="O756" i="13"/>
  <c r="H5" i="15"/>
  <c r="H371" i="15"/>
  <c r="H5" i="11"/>
  <c r="J4" i="11"/>
  <c r="J370" i="11"/>
  <c r="H371" i="11"/>
  <c r="H736" i="11"/>
  <c r="J735" i="11"/>
  <c r="K240" i="6"/>
  <c r="O239" i="6"/>
  <c r="H1998" i="1"/>
  <c r="J1998" i="1" s="1"/>
  <c r="H1634" i="1"/>
  <c r="J1634" i="1" s="1"/>
  <c r="H2728" i="1"/>
  <c r="J2728" i="1" s="1"/>
  <c r="H1270" i="1"/>
  <c r="J1270" i="1" s="1"/>
  <c r="H2363" i="1"/>
  <c r="J2363" i="1" s="1"/>
  <c r="H906" i="1"/>
  <c r="J906" i="1" s="1"/>
  <c r="J3368" i="1" l="1"/>
  <c r="H3369" i="1"/>
  <c r="H587" i="1"/>
  <c r="J586" i="1"/>
  <c r="H221" i="1"/>
  <c r="J220" i="1"/>
  <c r="K758" i="13"/>
  <c r="O757" i="13"/>
  <c r="H372" i="15"/>
  <c r="H6" i="15"/>
  <c r="J736" i="11"/>
  <c r="H737" i="11"/>
  <c r="H372" i="11"/>
  <c r="J371" i="11"/>
  <c r="H6" i="11"/>
  <c r="J5" i="11"/>
  <c r="K241" i="6"/>
  <c r="O240" i="6"/>
  <c r="H2364" i="1"/>
  <c r="J2364" i="1" s="1"/>
  <c r="H1271" i="1"/>
  <c r="J1271" i="1" s="1"/>
  <c r="H2729" i="1"/>
  <c r="J2729" i="1" s="1"/>
  <c r="H1635" i="1"/>
  <c r="J1635" i="1" s="1"/>
  <c r="H907" i="1"/>
  <c r="J907" i="1" s="1"/>
  <c r="H1999" i="1"/>
  <c r="J1999" i="1" s="1"/>
  <c r="H222" i="1" l="1"/>
  <c r="J221" i="1"/>
  <c r="H588" i="1"/>
  <c r="J587" i="1"/>
  <c r="J3369" i="1"/>
  <c r="H3370" i="1"/>
  <c r="K759" i="13"/>
  <c r="O758" i="13"/>
  <c r="H373" i="15"/>
  <c r="H7" i="15"/>
  <c r="H373" i="11"/>
  <c r="J372" i="11"/>
  <c r="H7" i="11"/>
  <c r="J6" i="11"/>
  <c r="H738" i="11"/>
  <c r="J737" i="11"/>
  <c r="K242" i="6"/>
  <c r="O241" i="6"/>
  <c r="H908" i="1"/>
  <c r="J908" i="1" s="1"/>
  <c r="H1636" i="1"/>
  <c r="J1636" i="1" s="1"/>
  <c r="H2730" i="1"/>
  <c r="J2730" i="1" s="1"/>
  <c r="H1272" i="1"/>
  <c r="J1272" i="1" s="1"/>
  <c r="H2000" i="1"/>
  <c r="J2000" i="1" s="1"/>
  <c r="H2365" i="1"/>
  <c r="J2365" i="1" s="1"/>
  <c r="J3370" i="1" l="1"/>
  <c r="H3371" i="1"/>
  <c r="H589" i="1"/>
  <c r="J588" i="1"/>
  <c r="H223" i="1"/>
  <c r="J222" i="1"/>
  <c r="K760" i="13"/>
  <c r="O759" i="13"/>
  <c r="H8" i="15"/>
  <c r="H374" i="15"/>
  <c r="J7" i="11"/>
  <c r="H8" i="11"/>
  <c r="J373" i="11"/>
  <c r="H374" i="11"/>
  <c r="H739" i="11"/>
  <c r="J738" i="11"/>
  <c r="K243" i="6"/>
  <c r="O242" i="6"/>
  <c r="H2001" i="1"/>
  <c r="J2001" i="1" s="1"/>
  <c r="H1273" i="1"/>
  <c r="J1273" i="1" s="1"/>
  <c r="H2731" i="1"/>
  <c r="J2731" i="1" s="1"/>
  <c r="H1637" i="1"/>
  <c r="J1637" i="1" s="1"/>
  <c r="H2366" i="1"/>
  <c r="J2366" i="1" s="1"/>
  <c r="H909" i="1"/>
  <c r="J909" i="1" s="1"/>
  <c r="H590" i="1" l="1"/>
  <c r="J589" i="1"/>
  <c r="H3372" i="1"/>
  <c r="J3371" i="1"/>
  <c r="H224" i="1"/>
  <c r="J223" i="1"/>
  <c r="K761" i="13"/>
  <c r="O760" i="13"/>
  <c r="H375" i="15"/>
  <c r="H9" i="15"/>
  <c r="H9" i="11"/>
  <c r="J8" i="11"/>
  <c r="H740" i="11"/>
  <c r="J739" i="11"/>
  <c r="J374" i="11"/>
  <c r="H375" i="11"/>
  <c r="K244" i="6"/>
  <c r="O243" i="6"/>
  <c r="H2367" i="1"/>
  <c r="J2367" i="1" s="1"/>
  <c r="H1638" i="1"/>
  <c r="J1638" i="1" s="1"/>
  <c r="H2732" i="1"/>
  <c r="J2732" i="1" s="1"/>
  <c r="H1274" i="1"/>
  <c r="J1274" i="1" s="1"/>
  <c r="H910" i="1"/>
  <c r="J910" i="1" s="1"/>
  <c r="H2002" i="1"/>
  <c r="J2002" i="1" s="1"/>
  <c r="H225" i="1" l="1"/>
  <c r="J224" i="1"/>
  <c r="J3372" i="1"/>
  <c r="H3373" i="1"/>
  <c r="H591" i="1"/>
  <c r="J590" i="1"/>
  <c r="K762" i="13"/>
  <c r="O761" i="13"/>
  <c r="H10" i="15"/>
  <c r="H376" i="15"/>
  <c r="J9" i="11"/>
  <c r="H10" i="11"/>
  <c r="H376" i="11"/>
  <c r="J375" i="11"/>
  <c r="H741" i="11"/>
  <c r="J740" i="11"/>
  <c r="K245" i="6"/>
  <c r="O244" i="6"/>
  <c r="H911" i="1"/>
  <c r="J911" i="1" s="1"/>
  <c r="H1275" i="1"/>
  <c r="J1275" i="1" s="1"/>
  <c r="H2733" i="1"/>
  <c r="J2733" i="1" s="1"/>
  <c r="H1639" i="1"/>
  <c r="J1639" i="1" s="1"/>
  <c r="H2003" i="1"/>
  <c r="J2003" i="1" s="1"/>
  <c r="H2368" i="1"/>
  <c r="J2368" i="1" s="1"/>
  <c r="H592" i="1" l="1"/>
  <c r="J591" i="1"/>
  <c r="H3374" i="1"/>
  <c r="J3373" i="1"/>
  <c r="H226" i="1"/>
  <c r="J225" i="1"/>
  <c r="K763" i="13"/>
  <c r="O762" i="13"/>
  <c r="H377" i="15"/>
  <c r="H11" i="15"/>
  <c r="H742" i="11"/>
  <c r="J741" i="11"/>
  <c r="J376" i="11"/>
  <c r="H377" i="11"/>
  <c r="H11" i="11"/>
  <c r="J10" i="11"/>
  <c r="K246" i="6"/>
  <c r="O245" i="6"/>
  <c r="H912" i="1"/>
  <c r="J912" i="1" s="1"/>
  <c r="H1276" i="1"/>
  <c r="J1276" i="1" s="1"/>
  <c r="H2369" i="1"/>
  <c r="J2369" i="1" s="1"/>
  <c r="H2004" i="1"/>
  <c r="J2004" i="1" s="1"/>
  <c r="H1640" i="1"/>
  <c r="J1640" i="1" s="1"/>
  <c r="H2734" i="1"/>
  <c r="J2734" i="1" s="1"/>
  <c r="H227" i="1" l="1"/>
  <c r="J226" i="1"/>
  <c r="H3375" i="1"/>
  <c r="J3374" i="1"/>
  <c r="H593" i="1"/>
  <c r="J592" i="1"/>
  <c r="K764" i="13"/>
  <c r="O763" i="13"/>
  <c r="H12" i="15"/>
  <c r="H378" i="15"/>
  <c r="H12" i="11"/>
  <c r="J11" i="11"/>
  <c r="H378" i="11"/>
  <c r="J377" i="11"/>
  <c r="H743" i="11"/>
  <c r="J742" i="11"/>
  <c r="K247" i="6"/>
  <c r="O246" i="6"/>
  <c r="H1641" i="1"/>
  <c r="J1641" i="1" s="1"/>
  <c r="H2005" i="1"/>
  <c r="J2005" i="1" s="1"/>
  <c r="H2370" i="1"/>
  <c r="J2370" i="1" s="1"/>
  <c r="H1277" i="1"/>
  <c r="J1277" i="1" s="1"/>
  <c r="H2735" i="1"/>
  <c r="J2735" i="1" s="1"/>
  <c r="H913" i="1"/>
  <c r="J913" i="1" s="1"/>
  <c r="H594" i="1" l="1"/>
  <c r="J593" i="1"/>
  <c r="J3375" i="1"/>
  <c r="H3376" i="1"/>
  <c r="H228" i="1"/>
  <c r="J227" i="1"/>
  <c r="K765" i="13"/>
  <c r="O764" i="13"/>
  <c r="H379" i="15"/>
  <c r="H13" i="15"/>
  <c r="H744" i="11"/>
  <c r="J743" i="11"/>
  <c r="J12" i="11"/>
  <c r="H13" i="11"/>
  <c r="H379" i="11"/>
  <c r="J378" i="11"/>
  <c r="K248" i="6"/>
  <c r="O247" i="6"/>
  <c r="H2006" i="1"/>
  <c r="J2006" i="1" s="1"/>
  <c r="H2736" i="1"/>
  <c r="J2736" i="1" s="1"/>
  <c r="H1278" i="1"/>
  <c r="J1278" i="1" s="1"/>
  <c r="H2371" i="1"/>
  <c r="J2371" i="1" s="1"/>
  <c r="H914" i="1"/>
  <c r="J914" i="1" s="1"/>
  <c r="H1642" i="1"/>
  <c r="J1642" i="1" s="1"/>
  <c r="H3377" i="1" l="1"/>
  <c r="J3376" i="1"/>
  <c r="H229" i="1"/>
  <c r="J228" i="1"/>
  <c r="H595" i="1"/>
  <c r="J594" i="1"/>
  <c r="K766" i="13"/>
  <c r="O765" i="13"/>
  <c r="H14" i="15"/>
  <c r="H380" i="15"/>
  <c r="H380" i="11"/>
  <c r="J379" i="11"/>
  <c r="H14" i="11"/>
  <c r="J13" i="11"/>
  <c r="J744" i="11"/>
  <c r="H745" i="11"/>
  <c r="K249" i="6"/>
  <c r="O248" i="6"/>
  <c r="H915" i="1"/>
  <c r="J915" i="1" s="1"/>
  <c r="H2737" i="1"/>
  <c r="J2737" i="1" s="1"/>
  <c r="H2372" i="1"/>
  <c r="J2372" i="1" s="1"/>
  <c r="H1279" i="1"/>
  <c r="J1279" i="1" s="1"/>
  <c r="H1643" i="1"/>
  <c r="J1643" i="1" s="1"/>
  <c r="H2007" i="1"/>
  <c r="J2007" i="1" s="1"/>
  <c r="H596" i="1" l="1"/>
  <c r="J595" i="1"/>
  <c r="H230" i="1"/>
  <c r="J229" i="1"/>
  <c r="H3378" i="1"/>
  <c r="J3377" i="1"/>
  <c r="K767" i="13"/>
  <c r="O766" i="13"/>
  <c r="H381" i="15"/>
  <c r="H15" i="15"/>
  <c r="J380" i="11"/>
  <c r="H381" i="11"/>
  <c r="H15" i="11"/>
  <c r="J14" i="11"/>
  <c r="H746" i="11"/>
  <c r="J745" i="11"/>
  <c r="K250" i="6"/>
  <c r="O249" i="6"/>
  <c r="H1644" i="1"/>
  <c r="J1644" i="1" s="1"/>
  <c r="H1280" i="1"/>
  <c r="J1280" i="1" s="1"/>
  <c r="H2373" i="1"/>
  <c r="J2373" i="1" s="1"/>
  <c r="H2738" i="1"/>
  <c r="J2738" i="1" s="1"/>
  <c r="H2008" i="1"/>
  <c r="J2008" i="1" s="1"/>
  <c r="H916" i="1"/>
  <c r="J916" i="1" s="1"/>
  <c r="H231" i="1" l="1"/>
  <c r="J230" i="1"/>
  <c r="H3379" i="1"/>
  <c r="J3378" i="1"/>
  <c r="H597" i="1"/>
  <c r="J596" i="1"/>
  <c r="K768" i="13"/>
  <c r="O767" i="13"/>
  <c r="H382" i="15"/>
  <c r="H16" i="15"/>
  <c r="H382" i="11"/>
  <c r="J381" i="11"/>
  <c r="J746" i="11"/>
  <c r="H747" i="11"/>
  <c r="H16" i="11"/>
  <c r="J15" i="11"/>
  <c r="K251" i="6"/>
  <c r="O250" i="6"/>
  <c r="H2009" i="1"/>
  <c r="J2009" i="1" s="1"/>
  <c r="H2739" i="1"/>
  <c r="J2739" i="1" s="1"/>
  <c r="H2374" i="1"/>
  <c r="J2374" i="1" s="1"/>
  <c r="H1281" i="1"/>
  <c r="J1281" i="1" s="1"/>
  <c r="H917" i="1"/>
  <c r="J917" i="1" s="1"/>
  <c r="H1645" i="1"/>
  <c r="J1645" i="1" s="1"/>
  <c r="H598" i="1" l="1"/>
  <c r="J597" i="1"/>
  <c r="H3380" i="1"/>
  <c r="J3379" i="1"/>
  <c r="H232" i="1"/>
  <c r="J231" i="1"/>
  <c r="K769" i="13"/>
  <c r="O768" i="13"/>
  <c r="H17" i="15"/>
  <c r="H383" i="15"/>
  <c r="H383" i="11"/>
  <c r="J382" i="11"/>
  <c r="J16" i="11"/>
  <c r="H17" i="11"/>
  <c r="H748" i="11"/>
  <c r="J747" i="11"/>
  <c r="K252" i="6"/>
  <c r="O251" i="6"/>
  <c r="H1282" i="1"/>
  <c r="J1282" i="1" s="1"/>
  <c r="H2740" i="1"/>
  <c r="J2740" i="1" s="1"/>
  <c r="H918" i="1"/>
  <c r="J918" i="1" s="1"/>
  <c r="H2375" i="1"/>
  <c r="J2375" i="1" s="1"/>
  <c r="H1646" i="1"/>
  <c r="J1646" i="1" s="1"/>
  <c r="H2010" i="1"/>
  <c r="J2010" i="1" s="1"/>
  <c r="J3380" i="1" l="1"/>
  <c r="H3381" i="1"/>
  <c r="H233" i="1"/>
  <c r="J232" i="1"/>
  <c r="H599" i="1"/>
  <c r="J598" i="1"/>
  <c r="K770" i="13"/>
  <c r="O769" i="13"/>
  <c r="H18" i="15"/>
  <c r="H384" i="15"/>
  <c r="J17" i="11"/>
  <c r="H18" i="11"/>
  <c r="H384" i="11"/>
  <c r="J383" i="11"/>
  <c r="J748" i="11"/>
  <c r="H749" i="11"/>
  <c r="K253" i="6"/>
  <c r="O252" i="6"/>
  <c r="H1647" i="1"/>
  <c r="J1647" i="1" s="1"/>
  <c r="H2376" i="1"/>
  <c r="J2376" i="1" s="1"/>
  <c r="H919" i="1"/>
  <c r="J919" i="1" s="1"/>
  <c r="H2741" i="1"/>
  <c r="J2741" i="1" s="1"/>
  <c r="H2011" i="1"/>
  <c r="J2011" i="1" s="1"/>
  <c r="H1283" i="1"/>
  <c r="J1283" i="1" s="1"/>
  <c r="H234" i="1" l="1"/>
  <c r="J233" i="1"/>
  <c r="H600" i="1"/>
  <c r="J599" i="1"/>
  <c r="H3382" i="1"/>
  <c r="J3381" i="1"/>
  <c r="K771" i="13"/>
  <c r="O770" i="13"/>
  <c r="H19" i="15"/>
  <c r="H750" i="11"/>
  <c r="J749" i="11"/>
  <c r="J384" i="11"/>
  <c r="H385" i="11"/>
  <c r="H19" i="11"/>
  <c r="J18" i="11"/>
  <c r="K254" i="6"/>
  <c r="O253" i="6"/>
  <c r="H920" i="1"/>
  <c r="J920" i="1" s="1"/>
  <c r="H2012" i="1"/>
  <c r="J2012" i="1" s="1"/>
  <c r="H2742" i="1"/>
  <c r="J2742" i="1" s="1"/>
  <c r="H2377" i="1"/>
  <c r="J2377" i="1" s="1"/>
  <c r="H1284" i="1"/>
  <c r="J1284" i="1" s="1"/>
  <c r="H1648" i="1"/>
  <c r="J1648" i="1" s="1"/>
  <c r="H601" i="1" l="1"/>
  <c r="J600" i="1"/>
  <c r="H3383" i="1"/>
  <c r="J3382" i="1"/>
  <c r="H235" i="1"/>
  <c r="J234" i="1"/>
  <c r="K772" i="13"/>
  <c r="O771" i="13"/>
  <c r="J386" i="15"/>
  <c r="H20" i="15"/>
  <c r="H20" i="11"/>
  <c r="J19" i="11"/>
  <c r="H386" i="11"/>
  <c r="J385" i="11"/>
  <c r="H751" i="11"/>
  <c r="J750" i="11"/>
  <c r="K255" i="6"/>
  <c r="O254" i="6"/>
  <c r="H1285" i="1"/>
  <c r="J1285" i="1" s="1"/>
  <c r="H2378" i="1"/>
  <c r="J2378" i="1" s="1"/>
  <c r="H2743" i="1"/>
  <c r="J2743" i="1" s="1"/>
  <c r="H2013" i="1"/>
  <c r="J2013" i="1" s="1"/>
  <c r="H1649" i="1"/>
  <c r="J1649" i="1" s="1"/>
  <c r="H921" i="1"/>
  <c r="J921" i="1" s="1"/>
  <c r="J3383" i="1" l="1"/>
  <c r="H3384" i="1"/>
  <c r="H236" i="1"/>
  <c r="J235" i="1"/>
  <c r="H602" i="1"/>
  <c r="J601" i="1"/>
  <c r="O772" i="13"/>
  <c r="H21" i="15"/>
  <c r="J387" i="15"/>
  <c r="H752" i="11"/>
  <c r="J751" i="11"/>
  <c r="J386" i="11"/>
  <c r="H387" i="11"/>
  <c r="H21" i="11"/>
  <c r="J20" i="11"/>
  <c r="K256" i="6"/>
  <c r="O255" i="6"/>
  <c r="H1650" i="1"/>
  <c r="J1650" i="1" s="1"/>
  <c r="H2014" i="1"/>
  <c r="J2014" i="1" s="1"/>
  <c r="H2744" i="1"/>
  <c r="J2744" i="1" s="1"/>
  <c r="H2379" i="1"/>
  <c r="J2379" i="1" s="1"/>
  <c r="H922" i="1"/>
  <c r="J922" i="1" s="1"/>
  <c r="H1286" i="1"/>
  <c r="J1286" i="1" s="1"/>
  <c r="H603" i="1" l="1"/>
  <c r="J602" i="1"/>
  <c r="J3384" i="1"/>
  <c r="H3385" i="1"/>
  <c r="H237" i="1"/>
  <c r="J236" i="1"/>
  <c r="H9" i="12"/>
  <c r="G10" i="16" s="1"/>
  <c r="O773" i="13"/>
  <c r="J388" i="15"/>
  <c r="H22" i="15"/>
  <c r="J21" i="11"/>
  <c r="H22" i="11"/>
  <c r="J387" i="11"/>
  <c r="H388" i="11"/>
  <c r="J752" i="11"/>
  <c r="H753" i="11"/>
  <c r="K257" i="6"/>
  <c r="O256" i="6"/>
  <c r="H2380" i="1"/>
  <c r="J2380" i="1" s="1"/>
  <c r="H923" i="1"/>
  <c r="J923" i="1" s="1"/>
  <c r="H2745" i="1"/>
  <c r="J2745" i="1" s="1"/>
  <c r="H2015" i="1"/>
  <c r="J2015" i="1" s="1"/>
  <c r="H1287" i="1"/>
  <c r="J1287" i="1" s="1"/>
  <c r="H1651" i="1"/>
  <c r="J1651" i="1" s="1"/>
  <c r="H238" i="1" l="1"/>
  <c r="J237" i="1"/>
  <c r="H3386" i="1"/>
  <c r="J3385" i="1"/>
  <c r="H604" i="1"/>
  <c r="J603" i="1"/>
  <c r="O774" i="13"/>
  <c r="H23" i="15"/>
  <c r="J389" i="15"/>
  <c r="H754" i="11"/>
  <c r="J753" i="11"/>
  <c r="H389" i="11"/>
  <c r="J388" i="11"/>
  <c r="J22" i="11"/>
  <c r="H23" i="11"/>
  <c r="K258" i="6"/>
  <c r="O257" i="6"/>
  <c r="H1288" i="1"/>
  <c r="J1288" i="1" s="1"/>
  <c r="H2016" i="1"/>
  <c r="J2016" i="1" s="1"/>
  <c r="H2746" i="1"/>
  <c r="J2746" i="1" s="1"/>
  <c r="H924" i="1"/>
  <c r="J924" i="1" s="1"/>
  <c r="H1652" i="1"/>
  <c r="J1652" i="1" s="1"/>
  <c r="H2381" i="1"/>
  <c r="J2381" i="1" s="1"/>
  <c r="H3387" i="1" l="1"/>
  <c r="J3386" i="1"/>
  <c r="H605" i="1"/>
  <c r="J604" i="1"/>
  <c r="H239" i="1"/>
  <c r="J238" i="1"/>
  <c r="O775" i="13"/>
  <c r="H24" i="15"/>
  <c r="J390" i="15"/>
  <c r="H390" i="11"/>
  <c r="J389" i="11"/>
  <c r="J23" i="11"/>
  <c r="H24" i="11"/>
  <c r="J754" i="11"/>
  <c r="H755" i="11"/>
  <c r="K259" i="6"/>
  <c r="O258" i="6"/>
  <c r="H1653" i="1"/>
  <c r="J1653" i="1" s="1"/>
  <c r="H925" i="1"/>
  <c r="J925" i="1" s="1"/>
  <c r="H2747" i="1"/>
  <c r="J2747" i="1" s="1"/>
  <c r="H2017" i="1"/>
  <c r="J2017" i="1" s="1"/>
  <c r="H2382" i="1"/>
  <c r="J2382" i="1" s="1"/>
  <c r="H1289" i="1"/>
  <c r="J1289" i="1" s="1"/>
  <c r="H240" i="1" l="1"/>
  <c r="J239" i="1"/>
  <c r="H606" i="1"/>
  <c r="J605" i="1"/>
  <c r="H3388" i="1"/>
  <c r="J3387" i="1"/>
  <c r="O776" i="13"/>
  <c r="H25" i="15"/>
  <c r="J391" i="15"/>
  <c r="H25" i="11"/>
  <c r="J24" i="11"/>
  <c r="H756" i="11"/>
  <c r="J755" i="11"/>
  <c r="H391" i="11"/>
  <c r="J390" i="11"/>
  <c r="K260" i="6"/>
  <c r="O259" i="6"/>
  <c r="H2383" i="1"/>
  <c r="J2383" i="1" s="1"/>
  <c r="H2018" i="1"/>
  <c r="J2018" i="1" s="1"/>
  <c r="H2748" i="1"/>
  <c r="J2748" i="1" s="1"/>
  <c r="H926" i="1"/>
  <c r="J926" i="1" s="1"/>
  <c r="H1290" i="1"/>
  <c r="J1290" i="1" s="1"/>
  <c r="H1654" i="1"/>
  <c r="J1654" i="1" s="1"/>
  <c r="H607" i="1" l="1"/>
  <c r="J606" i="1"/>
  <c r="J3388" i="1"/>
  <c r="H3389" i="1"/>
  <c r="H241" i="1"/>
  <c r="J240" i="1"/>
  <c r="O777" i="13"/>
  <c r="H26" i="15"/>
  <c r="J392" i="15"/>
  <c r="J391" i="11"/>
  <c r="H392" i="11"/>
  <c r="J756" i="11"/>
  <c r="H757" i="11"/>
  <c r="H26" i="11"/>
  <c r="J25" i="11"/>
  <c r="K261" i="6"/>
  <c r="O260" i="6"/>
  <c r="H1291" i="1"/>
  <c r="J1291" i="1" s="1"/>
  <c r="H927" i="1"/>
  <c r="J927" i="1" s="1"/>
  <c r="H2749" i="1"/>
  <c r="J2749" i="1" s="1"/>
  <c r="H2019" i="1"/>
  <c r="J2019" i="1" s="1"/>
  <c r="H1655" i="1"/>
  <c r="J1655" i="1" s="1"/>
  <c r="H2384" i="1"/>
  <c r="J2384" i="1" s="1"/>
  <c r="H242" i="1" l="1"/>
  <c r="J241" i="1"/>
  <c r="H3390" i="1"/>
  <c r="J3389" i="1"/>
  <c r="H608" i="1"/>
  <c r="J607" i="1"/>
  <c r="O778" i="13"/>
  <c r="J393" i="15"/>
  <c r="H27" i="15"/>
  <c r="H393" i="11"/>
  <c r="J392" i="11"/>
  <c r="H758" i="11"/>
  <c r="J757" i="11"/>
  <c r="H27" i="11"/>
  <c r="J26" i="11"/>
  <c r="K262" i="6"/>
  <c r="O261" i="6"/>
  <c r="H1656" i="1"/>
  <c r="J1656" i="1" s="1"/>
  <c r="H2750" i="1"/>
  <c r="J2750" i="1" s="1"/>
  <c r="H2020" i="1"/>
  <c r="J2020" i="1" s="1"/>
  <c r="H928" i="1"/>
  <c r="J928" i="1" s="1"/>
  <c r="H2385" i="1"/>
  <c r="J2385" i="1" s="1"/>
  <c r="H1292" i="1"/>
  <c r="J1292" i="1" s="1"/>
  <c r="H609" i="1" l="1"/>
  <c r="J608" i="1"/>
  <c r="J3390" i="1"/>
  <c r="H3391" i="1"/>
  <c r="H243" i="1"/>
  <c r="J242" i="1"/>
  <c r="O779" i="13"/>
  <c r="J394" i="15"/>
  <c r="H28" i="15"/>
  <c r="H759" i="11"/>
  <c r="J758" i="11"/>
  <c r="J27" i="11"/>
  <c r="H28" i="11"/>
  <c r="H394" i="11"/>
  <c r="J393" i="11"/>
  <c r="K263" i="6"/>
  <c r="O262" i="6"/>
  <c r="H929" i="1"/>
  <c r="J929" i="1" s="1"/>
  <c r="H2751" i="1"/>
  <c r="J2751" i="1" s="1"/>
  <c r="H2386" i="1"/>
  <c r="J2386" i="1" s="1"/>
  <c r="H2021" i="1"/>
  <c r="J2021" i="1" s="1"/>
  <c r="H1293" i="1"/>
  <c r="J1293" i="1" s="1"/>
  <c r="H1657" i="1"/>
  <c r="J1657" i="1" s="1"/>
  <c r="H244" i="1" l="1"/>
  <c r="J243" i="1"/>
  <c r="H3392" i="1"/>
  <c r="J3391" i="1"/>
  <c r="H610" i="1"/>
  <c r="J609" i="1"/>
  <c r="O780" i="13"/>
  <c r="H29" i="15"/>
  <c r="J395" i="15"/>
  <c r="H29" i="11"/>
  <c r="J28" i="11"/>
  <c r="J394" i="11"/>
  <c r="H395" i="11"/>
  <c r="H760" i="11"/>
  <c r="J759" i="11"/>
  <c r="K264" i="6"/>
  <c r="O263" i="6"/>
  <c r="H1294" i="1"/>
  <c r="J1294" i="1" s="1"/>
  <c r="H2022" i="1"/>
  <c r="J2022" i="1" s="1"/>
  <c r="H2387" i="1"/>
  <c r="J2387" i="1" s="1"/>
  <c r="H2752" i="1"/>
  <c r="J2752" i="1" s="1"/>
  <c r="H1658" i="1"/>
  <c r="J1658" i="1" s="1"/>
  <c r="H930" i="1"/>
  <c r="J930" i="1" s="1"/>
  <c r="H611" i="1" l="1"/>
  <c r="J610" i="1"/>
  <c r="J3392" i="1"/>
  <c r="H3393" i="1"/>
  <c r="H245" i="1"/>
  <c r="J244" i="1"/>
  <c r="O781" i="13"/>
  <c r="H30" i="15"/>
  <c r="J396" i="15"/>
  <c r="H396" i="11"/>
  <c r="J395" i="11"/>
  <c r="H761" i="11"/>
  <c r="J760" i="11"/>
  <c r="H30" i="11"/>
  <c r="J29" i="11"/>
  <c r="K265" i="6"/>
  <c r="O264" i="6"/>
  <c r="H1659" i="1"/>
  <c r="J1659" i="1" s="1"/>
  <c r="H2753" i="1"/>
  <c r="J2753" i="1" s="1"/>
  <c r="H2388" i="1"/>
  <c r="J2388" i="1" s="1"/>
  <c r="H2023" i="1"/>
  <c r="J2023" i="1" s="1"/>
  <c r="H931" i="1"/>
  <c r="J931" i="1" s="1"/>
  <c r="H1295" i="1"/>
  <c r="J1295" i="1" s="1"/>
  <c r="H246" i="1" l="1"/>
  <c r="J245" i="1"/>
  <c r="J3393" i="1"/>
  <c r="H3394" i="1"/>
  <c r="H612" i="1"/>
  <c r="J611" i="1"/>
  <c r="O782" i="13"/>
  <c r="J397" i="15"/>
  <c r="H31" i="15"/>
  <c r="J30" i="11"/>
  <c r="H31" i="11"/>
  <c r="J396" i="11"/>
  <c r="H397" i="11"/>
  <c r="J761" i="11"/>
  <c r="H762" i="11"/>
  <c r="K266" i="6"/>
  <c r="O265" i="6"/>
  <c r="H932" i="1"/>
  <c r="J932" i="1" s="1"/>
  <c r="H2024" i="1"/>
  <c r="J2024" i="1" s="1"/>
  <c r="H2389" i="1"/>
  <c r="J2389" i="1" s="1"/>
  <c r="H2754" i="1"/>
  <c r="J2754" i="1" s="1"/>
  <c r="H1296" i="1"/>
  <c r="J1296" i="1" s="1"/>
  <c r="H1660" i="1"/>
  <c r="J1660" i="1" s="1"/>
  <c r="J3394" i="1" l="1"/>
  <c r="H3395" i="1"/>
  <c r="H613" i="1"/>
  <c r="J612" i="1"/>
  <c r="H247" i="1"/>
  <c r="J246" i="1"/>
  <c r="O783" i="13"/>
  <c r="J398" i="15"/>
  <c r="H32" i="15"/>
  <c r="H763" i="11"/>
  <c r="J762" i="11"/>
  <c r="H398" i="11"/>
  <c r="J397" i="11"/>
  <c r="J31" i="11"/>
  <c r="H32" i="11"/>
  <c r="K267" i="6"/>
  <c r="O266" i="6"/>
  <c r="H2755" i="1"/>
  <c r="J2755" i="1" s="1"/>
  <c r="H1297" i="1"/>
  <c r="J1297" i="1" s="1"/>
  <c r="H2390" i="1"/>
  <c r="J2390" i="1" s="1"/>
  <c r="H2025" i="1"/>
  <c r="J2025" i="1" s="1"/>
  <c r="H1661" i="1"/>
  <c r="J1661" i="1" s="1"/>
  <c r="H933" i="1"/>
  <c r="J933" i="1" s="1"/>
  <c r="H614" i="1" l="1"/>
  <c r="J613" i="1"/>
  <c r="J3395" i="1"/>
  <c r="H3396" i="1"/>
  <c r="H248" i="1"/>
  <c r="J247" i="1"/>
  <c r="O784" i="13"/>
  <c r="H33" i="15"/>
  <c r="J399" i="15"/>
  <c r="J32" i="11"/>
  <c r="H33" i="11"/>
  <c r="J398" i="11"/>
  <c r="H399" i="11"/>
  <c r="H764" i="11"/>
  <c r="J763" i="11"/>
  <c r="K268" i="6"/>
  <c r="O267" i="6"/>
  <c r="H1662" i="1"/>
  <c r="J1662" i="1" s="1"/>
  <c r="H2026" i="1"/>
  <c r="J2026" i="1" s="1"/>
  <c r="H2391" i="1"/>
  <c r="J2391" i="1" s="1"/>
  <c r="H1298" i="1"/>
  <c r="J1298" i="1" s="1"/>
  <c r="H934" i="1"/>
  <c r="J934" i="1" s="1"/>
  <c r="H2756" i="1"/>
  <c r="J2756" i="1" s="1"/>
  <c r="H249" i="1" l="1"/>
  <c r="J248" i="1"/>
  <c r="J3396" i="1"/>
  <c r="H3397" i="1"/>
  <c r="H615" i="1"/>
  <c r="J614" i="1"/>
  <c r="O785" i="13"/>
  <c r="J400" i="15"/>
  <c r="H34" i="15"/>
  <c r="J764" i="11"/>
  <c r="H765" i="11"/>
  <c r="H400" i="11"/>
  <c r="J399" i="11"/>
  <c r="H34" i="11"/>
  <c r="J33" i="11"/>
  <c r="K269" i="6"/>
  <c r="O268" i="6"/>
  <c r="H935" i="1"/>
  <c r="J935" i="1" s="1"/>
  <c r="H2027" i="1"/>
  <c r="J2027" i="1" s="1"/>
  <c r="H1299" i="1"/>
  <c r="J1299" i="1" s="1"/>
  <c r="H2392" i="1"/>
  <c r="J2392" i="1" s="1"/>
  <c r="H2757" i="1"/>
  <c r="J2757" i="1" s="1"/>
  <c r="H1663" i="1"/>
  <c r="J1663" i="1" s="1"/>
  <c r="H616" i="1" l="1"/>
  <c r="J615" i="1"/>
  <c r="H3398" i="1"/>
  <c r="J3397" i="1"/>
  <c r="H250" i="1"/>
  <c r="J249" i="1"/>
  <c r="O786" i="13"/>
  <c r="H35" i="15"/>
  <c r="J401" i="15"/>
  <c r="H766" i="11"/>
  <c r="J765" i="11"/>
  <c r="J34" i="11"/>
  <c r="H35" i="11"/>
  <c r="H401" i="11"/>
  <c r="J400" i="11"/>
  <c r="K270" i="6"/>
  <c r="O269" i="6"/>
  <c r="H2028" i="1"/>
  <c r="J2028" i="1" s="1"/>
  <c r="H2758" i="1"/>
  <c r="J2758" i="1" s="1"/>
  <c r="H2393" i="1"/>
  <c r="J2393" i="1" s="1"/>
  <c r="H1300" i="1"/>
  <c r="J1300" i="1" s="1"/>
  <c r="H1664" i="1"/>
  <c r="J1664" i="1" s="1"/>
  <c r="H936" i="1"/>
  <c r="J936" i="1" s="1"/>
  <c r="H251" i="1" l="1"/>
  <c r="J250" i="1"/>
  <c r="J3398" i="1"/>
  <c r="H3399" i="1"/>
  <c r="H617" i="1"/>
  <c r="J616" i="1"/>
  <c r="O787" i="13"/>
  <c r="H36" i="15"/>
  <c r="J402" i="15"/>
  <c r="H36" i="11"/>
  <c r="J35" i="11"/>
  <c r="H767" i="11"/>
  <c r="J766" i="11"/>
  <c r="H402" i="11"/>
  <c r="J401" i="11"/>
  <c r="K271" i="6"/>
  <c r="O270" i="6"/>
  <c r="H1665" i="1"/>
  <c r="J1665" i="1" s="1"/>
  <c r="H1301" i="1"/>
  <c r="J1301" i="1" s="1"/>
  <c r="H2394" i="1"/>
  <c r="J2394" i="1" s="1"/>
  <c r="H2759" i="1"/>
  <c r="J2759" i="1" s="1"/>
  <c r="H937" i="1"/>
  <c r="J937" i="1" s="1"/>
  <c r="H2029" i="1"/>
  <c r="J2029" i="1" s="1"/>
  <c r="H618" i="1" l="1"/>
  <c r="J617" i="1"/>
  <c r="J3399" i="1"/>
  <c r="H3400" i="1"/>
  <c r="H252" i="1"/>
  <c r="J251" i="1"/>
  <c r="O788" i="13"/>
  <c r="J403" i="15"/>
  <c r="H37" i="15"/>
  <c r="H768" i="11"/>
  <c r="J767" i="11"/>
  <c r="H403" i="11"/>
  <c r="J402" i="11"/>
  <c r="J36" i="11"/>
  <c r="H37" i="11"/>
  <c r="K272" i="6"/>
  <c r="O271" i="6"/>
  <c r="H938" i="1"/>
  <c r="J938" i="1" s="1"/>
  <c r="H2760" i="1"/>
  <c r="J2760" i="1" s="1"/>
  <c r="H2395" i="1"/>
  <c r="J2395" i="1" s="1"/>
  <c r="H1302" i="1"/>
  <c r="J1302" i="1" s="1"/>
  <c r="H2030" i="1"/>
  <c r="J2030" i="1" s="1"/>
  <c r="H1666" i="1"/>
  <c r="J1666" i="1" s="1"/>
  <c r="H253" i="1" l="1"/>
  <c r="J252" i="1"/>
  <c r="J3400" i="1"/>
  <c r="H3401" i="1"/>
  <c r="H619" i="1"/>
  <c r="J618" i="1"/>
  <c r="O789" i="13"/>
  <c r="H38" i="15"/>
  <c r="J404" i="15"/>
  <c r="J403" i="11"/>
  <c r="H404" i="11"/>
  <c r="H769" i="11"/>
  <c r="J768" i="11"/>
  <c r="H38" i="11"/>
  <c r="J37" i="11"/>
  <c r="K273" i="6"/>
  <c r="O272" i="6"/>
  <c r="H2031" i="1"/>
  <c r="J2031" i="1" s="1"/>
  <c r="H1303" i="1"/>
  <c r="J1303" i="1" s="1"/>
  <c r="H2396" i="1"/>
  <c r="J2396" i="1" s="1"/>
  <c r="H2761" i="1"/>
  <c r="J2761" i="1" s="1"/>
  <c r="H1667" i="1"/>
  <c r="J1667" i="1" s="1"/>
  <c r="H939" i="1"/>
  <c r="J939" i="1" s="1"/>
  <c r="H620" i="1" l="1"/>
  <c r="J619" i="1"/>
  <c r="H3402" i="1"/>
  <c r="J3401" i="1"/>
  <c r="H254" i="1"/>
  <c r="J253" i="1"/>
  <c r="O790" i="13"/>
  <c r="J405" i="15"/>
  <c r="H39" i="15"/>
  <c r="H39" i="11"/>
  <c r="J38" i="11"/>
  <c r="H405" i="11"/>
  <c r="J404" i="11"/>
  <c r="H770" i="11"/>
  <c r="J769" i="11"/>
  <c r="K274" i="6"/>
  <c r="O273" i="6"/>
  <c r="H1668" i="1"/>
  <c r="J1668" i="1" s="1"/>
  <c r="H2762" i="1"/>
  <c r="J2762" i="1" s="1"/>
  <c r="H2397" i="1"/>
  <c r="J2397" i="1" s="1"/>
  <c r="H1304" i="1"/>
  <c r="J1304" i="1" s="1"/>
  <c r="H940" i="1"/>
  <c r="J940" i="1" s="1"/>
  <c r="H2032" i="1"/>
  <c r="J2032" i="1" s="1"/>
  <c r="H255" i="1" l="1"/>
  <c r="J254" i="1"/>
  <c r="H3403" i="1"/>
  <c r="J3402" i="1"/>
  <c r="H621" i="1"/>
  <c r="J620" i="1"/>
  <c r="O791" i="13"/>
  <c r="J406" i="15"/>
  <c r="H40" i="15"/>
  <c r="H40" i="11"/>
  <c r="J39" i="11"/>
  <c r="H771" i="11"/>
  <c r="J770" i="11"/>
  <c r="J405" i="11"/>
  <c r="H406" i="11"/>
  <c r="K275" i="6"/>
  <c r="O274" i="6"/>
  <c r="H941" i="1"/>
  <c r="J941" i="1" s="1"/>
  <c r="H1305" i="1"/>
  <c r="J1305" i="1" s="1"/>
  <c r="H2398" i="1"/>
  <c r="J2398" i="1" s="1"/>
  <c r="H2763" i="1"/>
  <c r="J2763" i="1" s="1"/>
  <c r="H2033" i="1"/>
  <c r="J2033" i="1" s="1"/>
  <c r="H1669" i="1"/>
  <c r="J1669" i="1" s="1"/>
  <c r="H622" i="1" l="1"/>
  <c r="J621" i="1"/>
  <c r="H3404" i="1"/>
  <c r="J3403" i="1"/>
  <c r="H256" i="1"/>
  <c r="J255" i="1"/>
  <c r="O792" i="13"/>
  <c r="J407" i="15"/>
  <c r="H41" i="15"/>
  <c r="J771" i="11"/>
  <c r="H772" i="11"/>
  <c r="J406" i="11"/>
  <c r="H407" i="11"/>
  <c r="H41" i="11"/>
  <c r="J40" i="11"/>
  <c r="O275" i="6"/>
  <c r="H2034" i="1"/>
  <c r="J2034" i="1" s="1"/>
  <c r="H2764" i="1"/>
  <c r="J2764" i="1" s="1"/>
  <c r="H2399" i="1"/>
  <c r="J2399" i="1" s="1"/>
  <c r="H1306" i="1"/>
  <c r="J1306" i="1" s="1"/>
  <c r="H1670" i="1"/>
  <c r="J1670" i="1" s="1"/>
  <c r="H942" i="1"/>
  <c r="J942" i="1" s="1"/>
  <c r="J3404" i="1" l="1"/>
  <c r="H3405" i="1"/>
  <c r="H257" i="1"/>
  <c r="J256" i="1"/>
  <c r="H623" i="1"/>
  <c r="J622" i="1"/>
  <c r="O793" i="13"/>
  <c r="J408" i="15"/>
  <c r="H42" i="15"/>
  <c r="H773" i="11"/>
  <c r="J772" i="11"/>
  <c r="J41" i="11"/>
  <c r="H42" i="11"/>
  <c r="H408" i="11"/>
  <c r="J407" i="11"/>
  <c r="K277" i="6"/>
  <c r="K278" i="6" s="1"/>
  <c r="K279" i="6" s="1"/>
  <c r="O276" i="6"/>
  <c r="H1671" i="1"/>
  <c r="J1671" i="1" s="1"/>
  <c r="H1307" i="1"/>
  <c r="J1307" i="1" s="1"/>
  <c r="H2400" i="1"/>
  <c r="J2400" i="1" s="1"/>
  <c r="H2765" i="1"/>
  <c r="J2765" i="1" s="1"/>
  <c r="H943" i="1"/>
  <c r="J943" i="1" s="1"/>
  <c r="H2035" i="1"/>
  <c r="J2035" i="1" s="1"/>
  <c r="H624" i="1" l="1"/>
  <c r="J623" i="1"/>
  <c r="H258" i="1"/>
  <c r="J257" i="1"/>
  <c r="J3405" i="1"/>
  <c r="H3406" i="1"/>
  <c r="O794" i="13"/>
  <c r="K280" i="6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O279" i="6"/>
  <c r="H43" i="15"/>
  <c r="J409" i="15"/>
  <c r="H409" i="11"/>
  <c r="J408" i="11"/>
  <c r="J42" i="11"/>
  <c r="H43" i="11"/>
  <c r="H774" i="11"/>
  <c r="J773" i="11"/>
  <c r="O277" i="6"/>
  <c r="H944" i="1"/>
  <c r="J944" i="1" s="1"/>
  <c r="H2766" i="1"/>
  <c r="J2766" i="1" s="1"/>
  <c r="H2401" i="1"/>
  <c r="J2401" i="1" s="1"/>
  <c r="H1308" i="1"/>
  <c r="J1308" i="1" s="1"/>
  <c r="H2036" i="1"/>
  <c r="J2036" i="1" s="1"/>
  <c r="H1672" i="1"/>
  <c r="J1672" i="1" s="1"/>
  <c r="H259" i="1" l="1"/>
  <c r="J258" i="1"/>
  <c r="H3407" i="1"/>
  <c r="J3406" i="1"/>
  <c r="H625" i="1"/>
  <c r="J624" i="1"/>
  <c r="O795" i="13"/>
  <c r="K379" i="6"/>
  <c r="O378" i="6"/>
  <c r="H44" i="15"/>
  <c r="J410" i="15"/>
  <c r="J774" i="11"/>
  <c r="H775" i="11"/>
  <c r="J43" i="11"/>
  <c r="H44" i="11"/>
  <c r="H410" i="11"/>
  <c r="J409" i="11"/>
  <c r="O278" i="6"/>
  <c r="H2037" i="1"/>
  <c r="J2037" i="1" s="1"/>
  <c r="H1309" i="1"/>
  <c r="J1309" i="1" s="1"/>
  <c r="H2402" i="1"/>
  <c r="J2402" i="1" s="1"/>
  <c r="H2767" i="1"/>
  <c r="J2767" i="1" s="1"/>
  <c r="H1673" i="1"/>
  <c r="J1673" i="1" s="1"/>
  <c r="H945" i="1"/>
  <c r="J945" i="1" s="1"/>
  <c r="H626" i="1" l="1"/>
  <c r="J625" i="1"/>
  <c r="J3407" i="1"/>
  <c r="H3408" i="1"/>
  <c r="H260" i="1"/>
  <c r="J259" i="1"/>
  <c r="O796" i="13"/>
  <c r="K380" i="6"/>
  <c r="O379" i="6"/>
  <c r="J411" i="15"/>
  <c r="H45" i="15"/>
  <c r="H45" i="11"/>
  <c r="J44" i="11"/>
  <c r="H411" i="11"/>
  <c r="J410" i="11"/>
  <c r="H776" i="11"/>
  <c r="J775" i="11"/>
  <c r="H1674" i="1"/>
  <c r="J1674" i="1" s="1"/>
  <c r="H2768" i="1"/>
  <c r="J2768" i="1" s="1"/>
  <c r="H2403" i="1"/>
  <c r="J2403" i="1" s="1"/>
  <c r="H1310" i="1"/>
  <c r="J1310" i="1" s="1"/>
  <c r="H946" i="1"/>
  <c r="J946" i="1" s="1"/>
  <c r="H2038" i="1"/>
  <c r="J2038" i="1" s="1"/>
  <c r="H261" i="1" l="1"/>
  <c r="J260" i="1"/>
  <c r="H3409" i="1"/>
  <c r="J3408" i="1"/>
  <c r="H627" i="1"/>
  <c r="J626" i="1"/>
  <c r="O797" i="13"/>
  <c r="K381" i="6"/>
  <c r="O380" i="6"/>
  <c r="J412" i="15"/>
  <c r="H46" i="15"/>
  <c r="H412" i="11"/>
  <c r="J411" i="11"/>
  <c r="H777" i="11"/>
  <c r="J776" i="11"/>
  <c r="H46" i="11"/>
  <c r="J45" i="11"/>
  <c r="O280" i="6"/>
  <c r="H2769" i="1"/>
  <c r="J2769" i="1" s="1"/>
  <c r="H947" i="1"/>
  <c r="J947" i="1" s="1"/>
  <c r="H1311" i="1"/>
  <c r="J1311" i="1" s="1"/>
  <c r="H2404" i="1"/>
  <c r="J2404" i="1" s="1"/>
  <c r="H2039" i="1"/>
  <c r="J2039" i="1" s="1"/>
  <c r="H1675" i="1"/>
  <c r="J1675" i="1" s="1"/>
  <c r="H3410" i="1" l="1"/>
  <c r="J3409" i="1"/>
  <c r="H628" i="1"/>
  <c r="J627" i="1"/>
  <c r="H262" i="1"/>
  <c r="J261" i="1"/>
  <c r="O798" i="13"/>
  <c r="K382" i="6"/>
  <c r="O381" i="6"/>
  <c r="H47" i="15"/>
  <c r="J413" i="15"/>
  <c r="J46" i="11"/>
  <c r="H47" i="11"/>
  <c r="H778" i="11"/>
  <c r="J777" i="11"/>
  <c r="J412" i="11"/>
  <c r="H413" i="11"/>
  <c r="O281" i="6"/>
  <c r="H2040" i="1"/>
  <c r="J2040" i="1" s="1"/>
  <c r="H2405" i="1"/>
  <c r="J2405" i="1" s="1"/>
  <c r="H1312" i="1"/>
  <c r="J1312" i="1" s="1"/>
  <c r="H948" i="1"/>
  <c r="J948" i="1" s="1"/>
  <c r="H1676" i="1"/>
  <c r="J1676" i="1" s="1"/>
  <c r="H2770" i="1"/>
  <c r="J2770" i="1" s="1"/>
  <c r="H263" i="1" l="1"/>
  <c r="J262" i="1"/>
  <c r="H629" i="1"/>
  <c r="J628" i="1"/>
  <c r="J3410" i="1"/>
  <c r="H3411" i="1"/>
  <c r="O799" i="13"/>
  <c r="K383" i="6"/>
  <c r="O382" i="6"/>
  <c r="J414" i="15"/>
  <c r="H48" i="15"/>
  <c r="H779" i="11"/>
  <c r="J778" i="11"/>
  <c r="J413" i="11"/>
  <c r="H414" i="11"/>
  <c r="H48" i="11"/>
  <c r="J47" i="11"/>
  <c r="O282" i="6"/>
  <c r="H1677" i="1"/>
  <c r="J1677" i="1" s="1"/>
  <c r="H949" i="1"/>
  <c r="J949" i="1" s="1"/>
  <c r="H1313" i="1"/>
  <c r="J1313" i="1" s="1"/>
  <c r="H2406" i="1"/>
  <c r="J2406" i="1" s="1"/>
  <c r="H2771" i="1"/>
  <c r="J2771" i="1" s="1"/>
  <c r="H2041" i="1"/>
  <c r="J2041" i="1" s="1"/>
  <c r="H3412" i="1" l="1"/>
  <c r="J3411" i="1"/>
  <c r="H630" i="1"/>
  <c r="J629" i="1"/>
  <c r="H264" i="1"/>
  <c r="J263" i="1"/>
  <c r="O800" i="13"/>
  <c r="K384" i="6"/>
  <c r="O383" i="6"/>
  <c r="H49" i="15"/>
  <c r="J415" i="15"/>
  <c r="J48" i="11"/>
  <c r="H49" i="11"/>
  <c r="H415" i="11"/>
  <c r="J414" i="11"/>
  <c r="H780" i="11"/>
  <c r="J779" i="11"/>
  <c r="O283" i="6"/>
  <c r="H2772" i="1"/>
  <c r="J2772" i="1" s="1"/>
  <c r="H2407" i="1"/>
  <c r="J2407" i="1" s="1"/>
  <c r="H1314" i="1"/>
  <c r="J1314" i="1" s="1"/>
  <c r="H950" i="1"/>
  <c r="J950" i="1" s="1"/>
  <c r="H2042" i="1"/>
  <c r="J2042" i="1" s="1"/>
  <c r="H1678" i="1"/>
  <c r="J1678" i="1" s="1"/>
  <c r="H265" i="1" l="1"/>
  <c r="J264" i="1"/>
  <c r="H631" i="1"/>
  <c r="J630" i="1"/>
  <c r="H3413" i="1"/>
  <c r="J3412" i="1"/>
  <c r="O801" i="13"/>
  <c r="K385" i="6"/>
  <c r="O384" i="6"/>
  <c r="J416" i="15"/>
  <c r="H50" i="15"/>
  <c r="H416" i="11"/>
  <c r="J415" i="11"/>
  <c r="H50" i="11"/>
  <c r="J49" i="11"/>
  <c r="H781" i="11"/>
  <c r="J780" i="11"/>
  <c r="O284" i="6"/>
  <c r="H2043" i="1"/>
  <c r="J2043" i="1" s="1"/>
  <c r="H951" i="1"/>
  <c r="J951" i="1" s="1"/>
  <c r="H1315" i="1"/>
  <c r="J1315" i="1" s="1"/>
  <c r="H2408" i="1"/>
  <c r="J2408" i="1" s="1"/>
  <c r="H1679" i="1"/>
  <c r="J1679" i="1" s="1"/>
  <c r="H2773" i="1"/>
  <c r="J2773" i="1" s="1"/>
  <c r="J3413" i="1" l="1"/>
  <c r="H3414" i="1"/>
  <c r="H632" i="1"/>
  <c r="J631" i="1"/>
  <c r="H266" i="1"/>
  <c r="J265" i="1"/>
  <c r="O802" i="13"/>
  <c r="K386" i="6"/>
  <c r="O385" i="6"/>
  <c r="J417" i="15"/>
  <c r="H51" i="15"/>
  <c r="J416" i="11"/>
  <c r="H417" i="11"/>
  <c r="H782" i="11"/>
  <c r="J781" i="11"/>
  <c r="J50" i="11"/>
  <c r="H51" i="11"/>
  <c r="O285" i="6"/>
  <c r="H1680" i="1"/>
  <c r="J1680" i="1" s="1"/>
  <c r="H2409" i="1"/>
  <c r="J2409" i="1" s="1"/>
  <c r="H1316" i="1"/>
  <c r="J1316" i="1" s="1"/>
  <c r="H952" i="1"/>
  <c r="J952" i="1" s="1"/>
  <c r="H2774" i="1"/>
  <c r="J2774" i="1" s="1"/>
  <c r="H2044" i="1"/>
  <c r="J2044" i="1" s="1"/>
  <c r="H267" i="1" l="1"/>
  <c r="J266" i="1"/>
  <c r="H633" i="1"/>
  <c r="J632" i="1"/>
  <c r="H3415" i="1"/>
  <c r="J3414" i="1"/>
  <c r="O803" i="13"/>
  <c r="K387" i="6"/>
  <c r="O386" i="6"/>
  <c r="H52" i="15"/>
  <c r="J418" i="15"/>
  <c r="H418" i="11"/>
  <c r="J417" i="11"/>
  <c r="H52" i="11"/>
  <c r="J51" i="11"/>
  <c r="J782" i="11"/>
  <c r="H783" i="11"/>
  <c r="O286" i="6"/>
  <c r="H2775" i="1"/>
  <c r="J2775" i="1" s="1"/>
  <c r="H953" i="1"/>
  <c r="J953" i="1" s="1"/>
  <c r="H1317" i="1"/>
  <c r="J1317" i="1" s="1"/>
  <c r="H2410" i="1"/>
  <c r="J2410" i="1" s="1"/>
  <c r="H2045" i="1"/>
  <c r="J2045" i="1" s="1"/>
  <c r="H1681" i="1"/>
  <c r="J1681" i="1" s="1"/>
  <c r="J3415" i="1" l="1"/>
  <c r="H3416" i="1"/>
  <c r="H634" i="1"/>
  <c r="J633" i="1"/>
  <c r="H268" i="1"/>
  <c r="J267" i="1"/>
  <c r="O804" i="13"/>
  <c r="K388" i="6"/>
  <c r="O387" i="6"/>
  <c r="J419" i="15"/>
  <c r="H53" i="15"/>
  <c r="H784" i="11"/>
  <c r="J783" i="11"/>
  <c r="H419" i="11"/>
  <c r="J418" i="11"/>
  <c r="J52" i="11"/>
  <c r="H53" i="11"/>
  <c r="O287" i="6"/>
  <c r="H2046" i="1"/>
  <c r="J2046" i="1" s="1"/>
  <c r="H2411" i="1"/>
  <c r="J2411" i="1" s="1"/>
  <c r="H1318" i="1"/>
  <c r="J1318" i="1" s="1"/>
  <c r="H954" i="1"/>
  <c r="J954" i="1" s="1"/>
  <c r="H1682" i="1"/>
  <c r="J1682" i="1" s="1"/>
  <c r="H2776" i="1"/>
  <c r="J2776" i="1" s="1"/>
  <c r="H3417" i="1" l="1"/>
  <c r="J3416" i="1"/>
  <c r="H269" i="1"/>
  <c r="J268" i="1"/>
  <c r="H635" i="1"/>
  <c r="J634" i="1"/>
  <c r="O805" i="13"/>
  <c r="K389" i="6"/>
  <c r="O388" i="6"/>
  <c r="J420" i="15"/>
  <c r="H54" i="15"/>
  <c r="H54" i="11"/>
  <c r="J53" i="11"/>
  <c r="J784" i="11"/>
  <c r="H785" i="11"/>
  <c r="H420" i="11"/>
  <c r="J419" i="11"/>
  <c r="O288" i="6"/>
  <c r="H1683" i="1"/>
  <c r="J1683" i="1" s="1"/>
  <c r="H955" i="1"/>
  <c r="J955" i="1" s="1"/>
  <c r="H1319" i="1"/>
  <c r="J1319" i="1" s="1"/>
  <c r="H2412" i="1"/>
  <c r="J2412" i="1" s="1"/>
  <c r="H2777" i="1"/>
  <c r="J2777" i="1" s="1"/>
  <c r="H2047" i="1"/>
  <c r="J2047" i="1" s="1"/>
  <c r="H636" i="1" l="1"/>
  <c r="J635" i="1"/>
  <c r="H270" i="1"/>
  <c r="J269" i="1"/>
  <c r="J3417" i="1"/>
  <c r="H3418" i="1"/>
  <c r="O806" i="13"/>
  <c r="K390" i="6"/>
  <c r="O389" i="6"/>
  <c r="H55" i="15"/>
  <c r="J421" i="15"/>
  <c r="H55" i="11"/>
  <c r="J54" i="11"/>
  <c r="H421" i="11"/>
  <c r="J420" i="11"/>
  <c r="H786" i="11"/>
  <c r="J785" i="11"/>
  <c r="O289" i="6"/>
  <c r="H2778" i="1"/>
  <c r="J2778" i="1" s="1"/>
  <c r="H2413" i="1"/>
  <c r="J2413" i="1" s="1"/>
  <c r="H1320" i="1"/>
  <c r="J1320" i="1" s="1"/>
  <c r="H956" i="1"/>
  <c r="J956" i="1" s="1"/>
  <c r="H2048" i="1"/>
  <c r="J2048" i="1" s="1"/>
  <c r="H1684" i="1"/>
  <c r="J1684" i="1" s="1"/>
  <c r="J3418" i="1" l="1"/>
  <c r="H3419" i="1"/>
  <c r="H271" i="1"/>
  <c r="J270" i="1"/>
  <c r="H637" i="1"/>
  <c r="J636" i="1"/>
  <c r="O807" i="13"/>
  <c r="K391" i="6"/>
  <c r="O390" i="6"/>
  <c r="J422" i="15"/>
  <c r="H56" i="15"/>
  <c r="J786" i="11"/>
  <c r="H787" i="11"/>
  <c r="H422" i="11"/>
  <c r="J421" i="11"/>
  <c r="H56" i="11"/>
  <c r="J55" i="11"/>
  <c r="O290" i="6"/>
  <c r="H2049" i="1"/>
  <c r="J2049" i="1" s="1"/>
  <c r="H957" i="1"/>
  <c r="J957" i="1" s="1"/>
  <c r="H1321" i="1"/>
  <c r="J1321" i="1" s="1"/>
  <c r="H2414" i="1"/>
  <c r="J2414" i="1" s="1"/>
  <c r="H1685" i="1"/>
  <c r="J1685" i="1" s="1"/>
  <c r="H2779" i="1"/>
  <c r="J2779" i="1" s="1"/>
  <c r="H638" i="1" l="1"/>
  <c r="J637" i="1"/>
  <c r="H272" i="1"/>
  <c r="J271" i="1"/>
  <c r="J3419" i="1"/>
  <c r="H3420" i="1"/>
  <c r="O808" i="13"/>
  <c r="K392" i="6"/>
  <c r="O391" i="6"/>
  <c r="H57" i="15"/>
  <c r="J423" i="15"/>
  <c r="H423" i="11"/>
  <c r="J422" i="11"/>
  <c r="H788" i="11"/>
  <c r="J787" i="11"/>
  <c r="J56" i="11"/>
  <c r="H57" i="11"/>
  <c r="O291" i="6"/>
  <c r="H1686" i="1"/>
  <c r="J1686" i="1" s="1"/>
  <c r="H2415" i="1"/>
  <c r="J2415" i="1" s="1"/>
  <c r="H1322" i="1"/>
  <c r="J1322" i="1" s="1"/>
  <c r="H958" i="1"/>
  <c r="J958" i="1" s="1"/>
  <c r="H2780" i="1"/>
  <c r="J2780" i="1" s="1"/>
  <c r="H2050" i="1"/>
  <c r="J2050" i="1" s="1"/>
  <c r="J3420" i="1" l="1"/>
  <c r="H3421" i="1"/>
  <c r="H273" i="1"/>
  <c r="J272" i="1"/>
  <c r="H639" i="1"/>
  <c r="J638" i="1"/>
  <c r="O809" i="13"/>
  <c r="K393" i="6"/>
  <c r="O392" i="6"/>
  <c r="J424" i="15"/>
  <c r="H58" i="15"/>
  <c r="J423" i="11"/>
  <c r="H424" i="11"/>
  <c r="H58" i="11"/>
  <c r="J57" i="11"/>
  <c r="J788" i="11"/>
  <c r="H789" i="11"/>
  <c r="O292" i="6"/>
  <c r="H2416" i="1"/>
  <c r="J2416" i="1" s="1"/>
  <c r="H959" i="1"/>
  <c r="J959" i="1" s="1"/>
  <c r="H1323" i="1"/>
  <c r="J1323" i="1" s="1"/>
  <c r="H2781" i="1"/>
  <c r="J2781" i="1" s="1"/>
  <c r="H2051" i="1"/>
  <c r="J2051" i="1" s="1"/>
  <c r="H1687" i="1"/>
  <c r="J1687" i="1" s="1"/>
  <c r="H274" i="1" l="1"/>
  <c r="J273" i="1"/>
  <c r="H640" i="1"/>
  <c r="J639" i="1"/>
  <c r="H3422" i="1"/>
  <c r="J3421" i="1"/>
  <c r="O810" i="13"/>
  <c r="K394" i="6"/>
  <c r="O393" i="6"/>
  <c r="H59" i="15"/>
  <c r="J425" i="15"/>
  <c r="H59" i="11"/>
  <c r="J58" i="11"/>
  <c r="H790" i="11"/>
  <c r="J789" i="11"/>
  <c r="H425" i="11"/>
  <c r="J424" i="11"/>
  <c r="O293" i="6"/>
  <c r="H2052" i="1"/>
  <c r="J2052" i="1" s="1"/>
  <c r="H2782" i="1"/>
  <c r="J2782" i="1" s="1"/>
  <c r="H1324" i="1"/>
  <c r="J1324" i="1" s="1"/>
  <c r="H960" i="1"/>
  <c r="J960" i="1" s="1"/>
  <c r="H1688" i="1"/>
  <c r="J1688" i="1" s="1"/>
  <c r="H2417" i="1"/>
  <c r="J2417" i="1" s="1"/>
  <c r="H3423" i="1" l="1"/>
  <c r="J3422" i="1"/>
  <c r="H641" i="1"/>
  <c r="J640" i="1"/>
  <c r="H275" i="1"/>
  <c r="J274" i="1"/>
  <c r="O811" i="13"/>
  <c r="K395" i="6"/>
  <c r="O394" i="6"/>
  <c r="J426" i="15"/>
  <c r="H60" i="15"/>
  <c r="H426" i="11"/>
  <c r="J425" i="11"/>
  <c r="H791" i="11"/>
  <c r="J790" i="11"/>
  <c r="J59" i="11"/>
  <c r="H60" i="11"/>
  <c r="O294" i="6"/>
  <c r="H1689" i="1"/>
  <c r="J1689" i="1" s="1"/>
  <c r="H961" i="1"/>
  <c r="J961" i="1" s="1"/>
  <c r="H1325" i="1"/>
  <c r="J1325" i="1" s="1"/>
  <c r="H2783" i="1"/>
  <c r="J2783" i="1" s="1"/>
  <c r="H2418" i="1"/>
  <c r="J2418" i="1" s="1"/>
  <c r="H2053" i="1"/>
  <c r="J2053" i="1" s="1"/>
  <c r="H276" i="1" l="1"/>
  <c r="J275" i="1"/>
  <c r="H642" i="1"/>
  <c r="J641" i="1"/>
  <c r="J3423" i="1"/>
  <c r="H3424" i="1"/>
  <c r="O812" i="13"/>
  <c r="K396" i="6"/>
  <c r="O395" i="6"/>
  <c r="J427" i="15"/>
  <c r="H61" i="15"/>
  <c r="J60" i="11"/>
  <c r="H61" i="11"/>
  <c r="H792" i="11"/>
  <c r="J791" i="11"/>
  <c r="J426" i="11"/>
  <c r="H427" i="11"/>
  <c r="O295" i="6"/>
  <c r="H2419" i="1"/>
  <c r="J2419" i="1" s="1"/>
  <c r="H2784" i="1"/>
  <c r="J2784" i="1" s="1"/>
  <c r="H1326" i="1"/>
  <c r="J1326" i="1" s="1"/>
  <c r="H962" i="1"/>
  <c r="J962" i="1" s="1"/>
  <c r="H2054" i="1"/>
  <c r="J2054" i="1" s="1"/>
  <c r="H1690" i="1"/>
  <c r="J1690" i="1" s="1"/>
  <c r="H3425" i="1" l="1"/>
  <c r="J3424" i="1"/>
  <c r="H643" i="1"/>
  <c r="J642" i="1"/>
  <c r="H277" i="1"/>
  <c r="J276" i="1"/>
  <c r="O813" i="13"/>
  <c r="K397" i="6"/>
  <c r="O396" i="6"/>
  <c r="H62" i="15"/>
  <c r="J428" i="15"/>
  <c r="J427" i="11"/>
  <c r="H428" i="11"/>
  <c r="H62" i="11"/>
  <c r="J61" i="11"/>
  <c r="H793" i="11"/>
  <c r="J792" i="11"/>
  <c r="O296" i="6"/>
  <c r="H2785" i="1"/>
  <c r="J2785" i="1" s="1"/>
  <c r="H2055" i="1"/>
  <c r="J2055" i="1" s="1"/>
  <c r="H963" i="1"/>
  <c r="J963" i="1" s="1"/>
  <c r="H1327" i="1"/>
  <c r="J1327" i="1" s="1"/>
  <c r="H1691" i="1"/>
  <c r="J1691" i="1" s="1"/>
  <c r="H2420" i="1"/>
  <c r="J2420" i="1" s="1"/>
  <c r="H278" i="1" l="1"/>
  <c r="J277" i="1"/>
  <c r="H644" i="1"/>
  <c r="J643" i="1"/>
  <c r="H3426" i="1"/>
  <c r="J3425" i="1"/>
  <c r="O814" i="13"/>
  <c r="K398" i="6"/>
  <c r="O397" i="6"/>
  <c r="J429" i="15"/>
  <c r="H63" i="15"/>
  <c r="J62" i="11"/>
  <c r="H63" i="11"/>
  <c r="J428" i="11"/>
  <c r="H429" i="11"/>
  <c r="H794" i="11"/>
  <c r="J793" i="11"/>
  <c r="O297" i="6"/>
  <c r="H1692" i="1"/>
  <c r="J1692" i="1" s="1"/>
  <c r="H1328" i="1"/>
  <c r="J1328" i="1" s="1"/>
  <c r="H964" i="1"/>
  <c r="J964" i="1" s="1"/>
  <c r="H2056" i="1"/>
  <c r="J2056" i="1" s="1"/>
  <c r="H2421" i="1"/>
  <c r="J2421" i="1" s="1"/>
  <c r="H2786" i="1"/>
  <c r="J2786" i="1" s="1"/>
  <c r="H3427" i="1" l="1"/>
  <c r="J3426" i="1"/>
  <c r="H645" i="1"/>
  <c r="J644" i="1"/>
  <c r="H279" i="1"/>
  <c r="J278" i="1"/>
  <c r="O815" i="13"/>
  <c r="K399" i="6"/>
  <c r="O398" i="6"/>
  <c r="H64" i="15"/>
  <c r="J430" i="15"/>
  <c r="H64" i="11"/>
  <c r="J63" i="11"/>
  <c r="J794" i="11"/>
  <c r="H795" i="11"/>
  <c r="H430" i="11"/>
  <c r="J429" i="11"/>
  <c r="O298" i="6"/>
  <c r="H2422" i="1"/>
  <c r="J2422" i="1" s="1"/>
  <c r="H2057" i="1"/>
  <c r="J2057" i="1" s="1"/>
  <c r="H965" i="1"/>
  <c r="J965" i="1" s="1"/>
  <c r="H1329" i="1"/>
  <c r="J1329" i="1" s="1"/>
  <c r="H2787" i="1"/>
  <c r="J2787" i="1" s="1"/>
  <c r="H1693" i="1"/>
  <c r="J1693" i="1" s="1"/>
  <c r="H280" i="1" l="1"/>
  <c r="J279" i="1"/>
  <c r="H646" i="1"/>
  <c r="J645" i="1"/>
  <c r="J3427" i="1"/>
  <c r="H3428" i="1"/>
  <c r="O816" i="13"/>
  <c r="K400" i="6"/>
  <c r="O399" i="6"/>
  <c r="H65" i="15"/>
  <c r="J431" i="15"/>
  <c r="H796" i="11"/>
  <c r="J795" i="11"/>
  <c r="J64" i="11"/>
  <c r="H65" i="11"/>
  <c r="H431" i="11"/>
  <c r="J430" i="11"/>
  <c r="O299" i="6"/>
  <c r="H966" i="1"/>
  <c r="J966" i="1" s="1"/>
  <c r="H2788" i="1"/>
  <c r="J2788" i="1" s="1"/>
  <c r="H1330" i="1"/>
  <c r="J1330" i="1" s="1"/>
  <c r="H2058" i="1"/>
  <c r="J2058" i="1" s="1"/>
  <c r="H1694" i="1"/>
  <c r="J1694" i="1" s="1"/>
  <c r="H2423" i="1"/>
  <c r="J2423" i="1" s="1"/>
  <c r="J3428" i="1" l="1"/>
  <c r="H3429" i="1"/>
  <c r="H647" i="1"/>
  <c r="J646" i="1"/>
  <c r="H281" i="1"/>
  <c r="J280" i="1"/>
  <c r="O817" i="13"/>
  <c r="K401" i="6"/>
  <c r="O400" i="6"/>
  <c r="J432" i="15"/>
  <c r="H66" i="15"/>
  <c r="H432" i="11"/>
  <c r="J431" i="11"/>
  <c r="H66" i="11"/>
  <c r="J65" i="11"/>
  <c r="J796" i="11"/>
  <c r="H797" i="11"/>
  <c r="O300" i="6"/>
  <c r="H1695" i="1"/>
  <c r="J1695" i="1" s="1"/>
  <c r="H2059" i="1"/>
  <c r="J2059" i="1" s="1"/>
  <c r="H1331" i="1"/>
  <c r="J1331" i="1" s="1"/>
  <c r="H2789" i="1"/>
  <c r="J2789" i="1" s="1"/>
  <c r="H2424" i="1"/>
  <c r="J2424" i="1" s="1"/>
  <c r="H967" i="1"/>
  <c r="J967" i="1" s="1"/>
  <c r="H648" i="1" l="1"/>
  <c r="J647" i="1"/>
  <c r="H3430" i="1"/>
  <c r="J3429" i="1"/>
  <c r="H282" i="1"/>
  <c r="J281" i="1"/>
  <c r="O818" i="13"/>
  <c r="K402" i="6"/>
  <c r="O401" i="6"/>
  <c r="J433" i="15"/>
  <c r="H67" i="15"/>
  <c r="J66" i="11"/>
  <c r="H67" i="11"/>
  <c r="H798" i="11"/>
  <c r="J797" i="11"/>
  <c r="J432" i="11"/>
  <c r="H433" i="11"/>
  <c r="O301" i="6"/>
  <c r="H2425" i="1"/>
  <c r="J2425" i="1" s="1"/>
  <c r="H2790" i="1"/>
  <c r="J2790" i="1" s="1"/>
  <c r="H1332" i="1"/>
  <c r="J1332" i="1" s="1"/>
  <c r="H2060" i="1"/>
  <c r="J2060" i="1" s="1"/>
  <c r="H968" i="1"/>
  <c r="J968" i="1" s="1"/>
  <c r="H1696" i="1"/>
  <c r="J1696" i="1" s="1"/>
  <c r="H3431" i="1" l="1"/>
  <c r="J3430" i="1"/>
  <c r="H283" i="1"/>
  <c r="J282" i="1"/>
  <c r="H649" i="1"/>
  <c r="J648" i="1"/>
  <c r="O819" i="13"/>
  <c r="K403" i="6"/>
  <c r="O402" i="6"/>
  <c r="H68" i="15"/>
  <c r="J434" i="15"/>
  <c r="H68" i="11"/>
  <c r="J67" i="11"/>
  <c r="H434" i="11"/>
  <c r="J433" i="11"/>
  <c r="J798" i="11"/>
  <c r="H799" i="11"/>
  <c r="O302" i="6"/>
  <c r="H969" i="1"/>
  <c r="J969" i="1" s="1"/>
  <c r="H2061" i="1"/>
  <c r="J2061" i="1" s="1"/>
  <c r="H1333" i="1"/>
  <c r="J1333" i="1" s="1"/>
  <c r="H2791" i="1"/>
  <c r="J2791" i="1" s="1"/>
  <c r="H1697" i="1"/>
  <c r="J1697" i="1" s="1"/>
  <c r="H2426" i="1"/>
  <c r="J2426" i="1" s="1"/>
  <c r="H284" i="1" l="1"/>
  <c r="J283" i="1"/>
  <c r="H650" i="1"/>
  <c r="J649" i="1"/>
  <c r="H3432" i="1"/>
  <c r="J3431" i="1"/>
  <c r="O820" i="13"/>
  <c r="K404" i="6"/>
  <c r="O403" i="6"/>
  <c r="J435" i="15"/>
  <c r="H69" i="15"/>
  <c r="J434" i="11"/>
  <c r="H435" i="11"/>
  <c r="H800" i="11"/>
  <c r="J799" i="11"/>
  <c r="H69" i="11"/>
  <c r="J68" i="11"/>
  <c r="O303" i="6"/>
  <c r="H1698" i="1"/>
  <c r="J1698" i="1" s="1"/>
  <c r="H2792" i="1"/>
  <c r="J2792" i="1" s="1"/>
  <c r="H1334" i="1"/>
  <c r="J1334" i="1" s="1"/>
  <c r="H2062" i="1"/>
  <c r="J2062" i="1" s="1"/>
  <c r="H2427" i="1"/>
  <c r="J2427" i="1" s="1"/>
  <c r="H970" i="1"/>
  <c r="J970" i="1" s="1"/>
  <c r="J3432" i="1" l="1"/>
  <c r="H3433" i="1"/>
  <c r="H651" i="1"/>
  <c r="J650" i="1"/>
  <c r="H285" i="1"/>
  <c r="J284" i="1"/>
  <c r="O821" i="13"/>
  <c r="K405" i="6"/>
  <c r="O404" i="6"/>
  <c r="J436" i="15"/>
  <c r="H70" i="15"/>
  <c r="H801" i="11"/>
  <c r="J800" i="11"/>
  <c r="H436" i="11"/>
  <c r="J435" i="11"/>
  <c r="H70" i="11"/>
  <c r="J69" i="11"/>
  <c r="O304" i="6"/>
  <c r="H2428" i="1"/>
  <c r="J2428" i="1" s="1"/>
  <c r="H2063" i="1"/>
  <c r="J2063" i="1" s="1"/>
  <c r="H1335" i="1"/>
  <c r="J1335" i="1" s="1"/>
  <c r="H2793" i="1"/>
  <c r="J2793" i="1" s="1"/>
  <c r="H971" i="1"/>
  <c r="J971" i="1" s="1"/>
  <c r="H1699" i="1"/>
  <c r="J1699" i="1" s="1"/>
  <c r="H652" i="1" l="1"/>
  <c r="J651" i="1"/>
  <c r="J3433" i="1"/>
  <c r="H3434" i="1"/>
  <c r="H286" i="1"/>
  <c r="J285" i="1"/>
  <c r="O822" i="13"/>
  <c r="K406" i="6"/>
  <c r="O405" i="6"/>
  <c r="J437" i="15"/>
  <c r="H71" i="15"/>
  <c r="H71" i="11"/>
  <c r="J70" i="11"/>
  <c r="J436" i="11"/>
  <c r="H437" i="11"/>
  <c r="H802" i="11"/>
  <c r="J801" i="11"/>
  <c r="O305" i="6"/>
  <c r="H2064" i="1"/>
  <c r="J2064" i="1" s="1"/>
  <c r="H972" i="1"/>
  <c r="J972" i="1" s="1"/>
  <c r="H2794" i="1"/>
  <c r="J2794" i="1" s="1"/>
  <c r="H1336" i="1"/>
  <c r="J1336" i="1" s="1"/>
  <c r="H1700" i="1"/>
  <c r="J1700" i="1" s="1"/>
  <c r="H2429" i="1"/>
  <c r="J2429" i="1" s="1"/>
  <c r="H3435" i="1" l="1"/>
  <c r="J3434" i="1"/>
  <c r="H287" i="1"/>
  <c r="J286" i="1"/>
  <c r="H653" i="1"/>
  <c r="J652" i="1"/>
  <c r="O823" i="13"/>
  <c r="K407" i="6"/>
  <c r="O406" i="6"/>
  <c r="H72" i="15"/>
  <c r="J438" i="15"/>
  <c r="H72" i="11"/>
  <c r="J71" i="11"/>
  <c r="J802" i="11"/>
  <c r="H803" i="11"/>
  <c r="H438" i="11"/>
  <c r="J437" i="11"/>
  <c r="O306" i="6"/>
  <c r="H1701" i="1"/>
  <c r="J1701" i="1" s="1"/>
  <c r="H1337" i="1"/>
  <c r="J1337" i="1" s="1"/>
  <c r="H2795" i="1"/>
  <c r="J2795" i="1" s="1"/>
  <c r="H973" i="1"/>
  <c r="J973" i="1" s="1"/>
  <c r="H2430" i="1"/>
  <c r="J2430" i="1" s="1"/>
  <c r="H2065" i="1"/>
  <c r="J2065" i="1" s="1"/>
  <c r="H288" i="1" l="1"/>
  <c r="J287" i="1"/>
  <c r="H654" i="1"/>
  <c r="J653" i="1"/>
  <c r="H3436" i="1"/>
  <c r="J3435" i="1"/>
  <c r="O824" i="13"/>
  <c r="K408" i="6"/>
  <c r="O407" i="6"/>
  <c r="H73" i="15"/>
  <c r="J439" i="15"/>
  <c r="H804" i="11"/>
  <c r="J803" i="11"/>
  <c r="J438" i="11"/>
  <c r="H439" i="11"/>
  <c r="J72" i="11"/>
  <c r="H73" i="11"/>
  <c r="O307" i="6"/>
  <c r="H2431" i="1"/>
  <c r="J2431" i="1" s="1"/>
  <c r="H974" i="1"/>
  <c r="J974" i="1" s="1"/>
  <c r="H2796" i="1"/>
  <c r="J2796" i="1" s="1"/>
  <c r="H1338" i="1"/>
  <c r="J1338" i="1" s="1"/>
  <c r="H2066" i="1"/>
  <c r="J2066" i="1" s="1"/>
  <c r="H1702" i="1"/>
  <c r="J1702" i="1" s="1"/>
  <c r="J3436" i="1" l="1"/>
  <c r="H3437" i="1"/>
  <c r="H655" i="1"/>
  <c r="J654" i="1"/>
  <c r="H289" i="1"/>
  <c r="J288" i="1"/>
  <c r="O825" i="13"/>
  <c r="K409" i="6"/>
  <c r="O408" i="6"/>
  <c r="H74" i="15"/>
  <c r="J440" i="15"/>
  <c r="J73" i="11"/>
  <c r="H74" i="11"/>
  <c r="H440" i="11"/>
  <c r="J439" i="11"/>
  <c r="J804" i="11"/>
  <c r="H805" i="11"/>
  <c r="O308" i="6"/>
  <c r="H2067" i="1"/>
  <c r="J2067" i="1" s="1"/>
  <c r="H1339" i="1"/>
  <c r="J1339" i="1" s="1"/>
  <c r="H2797" i="1"/>
  <c r="J2797" i="1" s="1"/>
  <c r="H975" i="1"/>
  <c r="J975" i="1" s="1"/>
  <c r="H1703" i="1"/>
  <c r="J1703" i="1" s="1"/>
  <c r="H2432" i="1"/>
  <c r="J2432" i="1" s="1"/>
  <c r="H3438" i="1" l="1"/>
  <c r="J3437" i="1"/>
  <c r="H290" i="1"/>
  <c r="J289" i="1"/>
  <c r="H656" i="1"/>
  <c r="J655" i="1"/>
  <c r="O826" i="13"/>
  <c r="K410" i="6"/>
  <c r="O409" i="6"/>
  <c r="J441" i="15"/>
  <c r="H75" i="15"/>
  <c r="H441" i="11"/>
  <c r="J440" i="11"/>
  <c r="H806" i="11"/>
  <c r="J805" i="11"/>
  <c r="J74" i="11"/>
  <c r="H75" i="11"/>
  <c r="O309" i="6"/>
  <c r="H1704" i="1"/>
  <c r="J1704" i="1" s="1"/>
  <c r="H976" i="1"/>
  <c r="J976" i="1" s="1"/>
  <c r="H2798" i="1"/>
  <c r="J2798" i="1" s="1"/>
  <c r="H1340" i="1"/>
  <c r="J1340" i="1" s="1"/>
  <c r="H2433" i="1"/>
  <c r="J2433" i="1" s="1"/>
  <c r="H2068" i="1"/>
  <c r="J2068" i="1" s="1"/>
  <c r="H291" i="1" l="1"/>
  <c r="J290" i="1"/>
  <c r="H657" i="1"/>
  <c r="J656" i="1"/>
  <c r="J3438" i="1"/>
  <c r="H3439" i="1"/>
  <c r="O827" i="13"/>
  <c r="K411" i="6"/>
  <c r="O410" i="6"/>
  <c r="J442" i="15"/>
  <c r="H76" i="15"/>
  <c r="J806" i="11"/>
  <c r="H807" i="11"/>
  <c r="H76" i="11"/>
  <c r="J75" i="11"/>
  <c r="H442" i="11"/>
  <c r="J441" i="11"/>
  <c r="O310" i="6"/>
  <c r="H2434" i="1"/>
  <c r="J2434" i="1" s="1"/>
  <c r="H1341" i="1"/>
  <c r="J1341" i="1" s="1"/>
  <c r="H2799" i="1"/>
  <c r="J2799" i="1" s="1"/>
  <c r="H977" i="1"/>
  <c r="J977" i="1" s="1"/>
  <c r="H2069" i="1"/>
  <c r="J2069" i="1" s="1"/>
  <c r="H1705" i="1"/>
  <c r="J1705" i="1" s="1"/>
  <c r="H3440" i="1" l="1"/>
  <c r="J3439" i="1"/>
  <c r="H658" i="1"/>
  <c r="J657" i="1"/>
  <c r="H292" i="1"/>
  <c r="J291" i="1"/>
  <c r="O828" i="13"/>
  <c r="K412" i="6"/>
  <c r="O411" i="6"/>
  <c r="H77" i="15"/>
  <c r="J443" i="15"/>
  <c r="J442" i="11"/>
  <c r="H443" i="11"/>
  <c r="H77" i="11"/>
  <c r="J76" i="11"/>
  <c r="H808" i="11"/>
  <c r="J807" i="11"/>
  <c r="O311" i="6"/>
  <c r="H2070" i="1"/>
  <c r="J2070" i="1" s="1"/>
  <c r="H978" i="1"/>
  <c r="J978" i="1" s="1"/>
  <c r="H2800" i="1"/>
  <c r="J2800" i="1" s="1"/>
  <c r="H1342" i="1"/>
  <c r="J1342" i="1" s="1"/>
  <c r="H1706" i="1"/>
  <c r="J1706" i="1" s="1"/>
  <c r="H2435" i="1"/>
  <c r="J2435" i="1" s="1"/>
  <c r="H293" i="1" l="1"/>
  <c r="J292" i="1"/>
  <c r="H659" i="1"/>
  <c r="J658" i="1"/>
  <c r="J3440" i="1"/>
  <c r="H3441" i="1"/>
  <c r="O829" i="13"/>
  <c r="K413" i="6"/>
  <c r="O412" i="6"/>
  <c r="H78" i="15"/>
  <c r="J444" i="15"/>
  <c r="J77" i="11"/>
  <c r="H78" i="11"/>
  <c r="J443" i="11"/>
  <c r="H444" i="11"/>
  <c r="J808" i="11"/>
  <c r="H809" i="11"/>
  <c r="O312" i="6"/>
  <c r="H1707" i="1"/>
  <c r="J1707" i="1" s="1"/>
  <c r="H1343" i="1"/>
  <c r="J1343" i="1" s="1"/>
  <c r="H2801" i="1"/>
  <c r="J2801" i="1" s="1"/>
  <c r="H979" i="1"/>
  <c r="J979" i="1" s="1"/>
  <c r="H2436" i="1"/>
  <c r="J2436" i="1" s="1"/>
  <c r="H2071" i="1"/>
  <c r="J2071" i="1" s="1"/>
  <c r="J3441" i="1" l="1"/>
  <c r="H3442" i="1"/>
  <c r="H660" i="1"/>
  <c r="J659" i="1"/>
  <c r="H294" i="1"/>
  <c r="J293" i="1"/>
  <c r="O830" i="13"/>
  <c r="K414" i="6"/>
  <c r="O413" i="6"/>
  <c r="J445" i="15"/>
  <c r="H79" i="15"/>
  <c r="H810" i="11"/>
  <c r="J809" i="11"/>
  <c r="H445" i="11"/>
  <c r="J444" i="11"/>
  <c r="H79" i="11"/>
  <c r="J78" i="11"/>
  <c r="O313" i="6"/>
  <c r="H2437" i="1"/>
  <c r="J2437" i="1" s="1"/>
  <c r="H980" i="1"/>
  <c r="J980" i="1" s="1"/>
  <c r="H2802" i="1"/>
  <c r="J2802" i="1" s="1"/>
  <c r="H1344" i="1"/>
  <c r="J1344" i="1" s="1"/>
  <c r="H2072" i="1"/>
  <c r="J2072" i="1" s="1"/>
  <c r="H1708" i="1"/>
  <c r="J1708" i="1" s="1"/>
  <c r="H661" i="1" l="1"/>
  <c r="J660" i="1"/>
  <c r="J3442" i="1"/>
  <c r="H3443" i="1"/>
  <c r="H295" i="1"/>
  <c r="J294" i="1"/>
  <c r="O831" i="13"/>
  <c r="K415" i="6"/>
  <c r="O414" i="6"/>
  <c r="J446" i="15"/>
  <c r="H80" i="15"/>
  <c r="H446" i="11"/>
  <c r="J445" i="11"/>
  <c r="H811" i="11"/>
  <c r="J810" i="11"/>
  <c r="H80" i="11"/>
  <c r="J79" i="11"/>
  <c r="O314" i="6"/>
  <c r="H2073" i="1"/>
  <c r="J2073" i="1" s="1"/>
  <c r="H1345" i="1"/>
  <c r="J1345" i="1" s="1"/>
  <c r="H2803" i="1"/>
  <c r="J2803" i="1" s="1"/>
  <c r="H981" i="1"/>
  <c r="J981" i="1" s="1"/>
  <c r="H1709" i="1"/>
  <c r="J1709" i="1" s="1"/>
  <c r="H2438" i="1"/>
  <c r="J2438" i="1" s="1"/>
  <c r="H296" i="1" l="1"/>
  <c r="J295" i="1"/>
  <c r="J3443" i="1"/>
  <c r="H3444" i="1"/>
  <c r="H662" i="1"/>
  <c r="J661" i="1"/>
  <c r="O832" i="13"/>
  <c r="K416" i="6"/>
  <c r="O415" i="6"/>
  <c r="H81" i="15"/>
  <c r="J447" i="15"/>
  <c r="J80" i="11"/>
  <c r="H81" i="11"/>
  <c r="J811" i="11"/>
  <c r="H812" i="11"/>
  <c r="J446" i="11"/>
  <c r="H447" i="11"/>
  <c r="O315" i="6"/>
  <c r="H1710" i="1"/>
  <c r="J1710" i="1" s="1"/>
  <c r="H982" i="1"/>
  <c r="J982" i="1" s="1"/>
  <c r="H2804" i="1"/>
  <c r="J2804" i="1" s="1"/>
  <c r="H1346" i="1"/>
  <c r="J1346" i="1" s="1"/>
  <c r="H2439" i="1"/>
  <c r="J2439" i="1" s="1"/>
  <c r="H2074" i="1"/>
  <c r="J2074" i="1" s="1"/>
  <c r="H663" i="1" l="1"/>
  <c r="J662" i="1"/>
  <c r="J3444" i="1"/>
  <c r="H3445" i="1"/>
  <c r="H297" i="1"/>
  <c r="J296" i="1"/>
  <c r="O833" i="13"/>
  <c r="K417" i="6"/>
  <c r="O416" i="6"/>
  <c r="H82" i="15"/>
  <c r="J448" i="15"/>
  <c r="H813" i="11"/>
  <c r="J812" i="11"/>
  <c r="H448" i="11"/>
  <c r="J447" i="11"/>
  <c r="H82" i="11"/>
  <c r="J81" i="11"/>
  <c r="O316" i="6"/>
  <c r="H2440" i="1"/>
  <c r="J2440" i="1" s="1"/>
  <c r="H1347" i="1"/>
  <c r="J1347" i="1" s="1"/>
  <c r="H2805" i="1"/>
  <c r="J2805" i="1" s="1"/>
  <c r="H983" i="1"/>
  <c r="J983" i="1" s="1"/>
  <c r="H2075" i="1"/>
  <c r="J2075" i="1" s="1"/>
  <c r="H1711" i="1"/>
  <c r="J1711" i="1" s="1"/>
  <c r="H298" i="1" l="1"/>
  <c r="J297" i="1"/>
  <c r="J3445" i="1"/>
  <c r="H3446" i="1"/>
  <c r="H664" i="1"/>
  <c r="J663" i="1"/>
  <c r="O834" i="13"/>
  <c r="I9" i="12" s="1"/>
  <c r="H10" i="16" s="1"/>
  <c r="K418" i="6"/>
  <c r="O417" i="6"/>
  <c r="J449" i="15"/>
  <c r="H83" i="15"/>
  <c r="J448" i="11"/>
  <c r="H449" i="11"/>
  <c r="J82" i="11"/>
  <c r="H83" i="11"/>
  <c r="H814" i="11"/>
  <c r="J813" i="11"/>
  <c r="O317" i="6"/>
  <c r="H2076" i="1"/>
  <c r="J2076" i="1" s="1"/>
  <c r="H984" i="1"/>
  <c r="J984" i="1" s="1"/>
  <c r="H2806" i="1"/>
  <c r="J2806" i="1" s="1"/>
  <c r="H1348" i="1"/>
  <c r="J1348" i="1" s="1"/>
  <c r="H1712" i="1"/>
  <c r="J1712" i="1" s="1"/>
  <c r="H2441" i="1"/>
  <c r="J2441" i="1" s="1"/>
  <c r="J3446" i="1" l="1"/>
  <c r="H3447" i="1"/>
  <c r="H665" i="1"/>
  <c r="J664" i="1"/>
  <c r="H299" i="1"/>
  <c r="J298" i="1"/>
  <c r="O835" i="13"/>
  <c r="K419" i="6"/>
  <c r="O418" i="6"/>
  <c r="J450" i="15"/>
  <c r="H84" i="15"/>
  <c r="H84" i="11"/>
  <c r="J83" i="11"/>
  <c r="J814" i="11"/>
  <c r="H815" i="11"/>
  <c r="H450" i="11"/>
  <c r="J449" i="11"/>
  <c r="O318" i="6"/>
  <c r="H985" i="1"/>
  <c r="J985" i="1" s="1"/>
  <c r="H1713" i="1"/>
  <c r="J1713" i="1" s="1"/>
  <c r="H2807" i="1"/>
  <c r="J2807" i="1" s="1"/>
  <c r="H1349" i="1"/>
  <c r="J1349" i="1" s="1"/>
  <c r="H2442" i="1"/>
  <c r="J2442" i="1" s="1"/>
  <c r="H2077" i="1"/>
  <c r="J2077" i="1" s="1"/>
  <c r="H300" i="1" l="1"/>
  <c r="J299" i="1"/>
  <c r="H666" i="1"/>
  <c r="J665" i="1"/>
  <c r="H3448" i="1"/>
  <c r="J3447" i="1"/>
  <c r="O836" i="13"/>
  <c r="K420" i="6"/>
  <c r="O419" i="6"/>
  <c r="J451" i="15"/>
  <c r="H85" i="15"/>
  <c r="J450" i="11"/>
  <c r="H451" i="11"/>
  <c r="J815" i="11"/>
  <c r="H816" i="11"/>
  <c r="J84" i="11"/>
  <c r="H85" i="11"/>
  <c r="O319" i="6"/>
  <c r="H2443" i="1"/>
  <c r="J2443" i="1" s="1"/>
  <c r="H1350" i="1"/>
  <c r="J1350" i="1" s="1"/>
  <c r="H2808" i="1"/>
  <c r="J2808" i="1" s="1"/>
  <c r="H1714" i="1"/>
  <c r="J1714" i="1" s="1"/>
  <c r="H2078" i="1"/>
  <c r="J2078" i="1" s="1"/>
  <c r="H986" i="1"/>
  <c r="J986" i="1" s="1"/>
  <c r="J3448" i="1" l="1"/>
  <c r="H3449" i="1"/>
  <c r="H667" i="1"/>
  <c r="J666" i="1"/>
  <c r="H301" i="1"/>
  <c r="J300" i="1"/>
  <c r="O837" i="13"/>
  <c r="K421" i="6"/>
  <c r="O420" i="6"/>
  <c r="H86" i="15"/>
  <c r="J452" i="15"/>
  <c r="H817" i="11"/>
  <c r="J816" i="11"/>
  <c r="H86" i="11"/>
  <c r="J85" i="11"/>
  <c r="H452" i="11"/>
  <c r="J451" i="11"/>
  <c r="O320" i="6"/>
  <c r="H1715" i="1"/>
  <c r="J1715" i="1" s="1"/>
  <c r="H2079" i="1"/>
  <c r="J2079" i="1" s="1"/>
  <c r="H2809" i="1"/>
  <c r="J2809" i="1" s="1"/>
  <c r="H1351" i="1"/>
  <c r="J1351" i="1" s="1"/>
  <c r="H987" i="1"/>
  <c r="J987" i="1" s="1"/>
  <c r="H2444" i="1"/>
  <c r="J2444" i="1" s="1"/>
  <c r="H302" i="1" l="1"/>
  <c r="J301" i="1"/>
  <c r="H668" i="1"/>
  <c r="J667" i="1"/>
  <c r="H3450" i="1"/>
  <c r="J3449" i="1"/>
  <c r="O838" i="13"/>
  <c r="K422" i="6"/>
  <c r="O421" i="6"/>
  <c r="J453" i="15"/>
  <c r="H87" i="15"/>
  <c r="H818" i="11"/>
  <c r="J817" i="11"/>
  <c r="H453" i="11"/>
  <c r="J452" i="11"/>
  <c r="H87" i="11"/>
  <c r="J86" i="11"/>
  <c r="O321" i="6"/>
  <c r="H988" i="1"/>
  <c r="J988" i="1" s="1"/>
  <c r="H1352" i="1"/>
  <c r="J1352" i="1" s="1"/>
  <c r="H2810" i="1"/>
  <c r="J2810" i="1" s="1"/>
  <c r="H2080" i="1"/>
  <c r="J2080" i="1" s="1"/>
  <c r="H2445" i="1"/>
  <c r="J2445" i="1" s="1"/>
  <c r="H1716" i="1"/>
  <c r="J1716" i="1" s="1"/>
  <c r="H3451" i="1" l="1"/>
  <c r="J3450" i="1"/>
  <c r="H669" i="1"/>
  <c r="J668" i="1"/>
  <c r="H303" i="1"/>
  <c r="J302" i="1"/>
  <c r="O839" i="13"/>
  <c r="K423" i="6"/>
  <c r="O422" i="6"/>
  <c r="J454" i="15"/>
  <c r="H88" i="15"/>
  <c r="H454" i="11"/>
  <c r="J453" i="11"/>
  <c r="H819" i="11"/>
  <c r="J818" i="11"/>
  <c r="H88" i="11"/>
  <c r="J87" i="11"/>
  <c r="O322" i="6"/>
  <c r="H2446" i="1"/>
  <c r="J2446" i="1" s="1"/>
  <c r="H2081" i="1"/>
  <c r="J2081" i="1" s="1"/>
  <c r="H2811" i="1"/>
  <c r="J2811" i="1" s="1"/>
  <c r="H1353" i="1"/>
  <c r="J1353" i="1" s="1"/>
  <c r="H1717" i="1"/>
  <c r="J1717" i="1" s="1"/>
  <c r="H989" i="1"/>
  <c r="J989" i="1" s="1"/>
  <c r="H304" i="1" l="1"/>
  <c r="J303" i="1"/>
  <c r="H670" i="1"/>
  <c r="J669" i="1"/>
  <c r="H3452" i="1"/>
  <c r="J3451" i="1"/>
  <c r="O840" i="13"/>
  <c r="K424" i="6"/>
  <c r="O423" i="6"/>
  <c r="H89" i="15"/>
  <c r="J455" i="15"/>
  <c r="H89" i="11"/>
  <c r="J88" i="11"/>
  <c r="J819" i="11"/>
  <c r="H820" i="11"/>
  <c r="J454" i="11"/>
  <c r="H455" i="11"/>
  <c r="O323" i="6"/>
  <c r="H1718" i="1"/>
  <c r="J1718" i="1" s="1"/>
  <c r="H2082" i="1"/>
  <c r="J2082" i="1" s="1"/>
  <c r="H1354" i="1"/>
  <c r="J1354" i="1" s="1"/>
  <c r="H2812" i="1"/>
  <c r="J2812" i="1" s="1"/>
  <c r="H990" i="1"/>
  <c r="J990" i="1" s="1"/>
  <c r="H2447" i="1"/>
  <c r="J2447" i="1" s="1"/>
  <c r="J3452" i="1" l="1"/>
  <c r="H3453" i="1"/>
  <c r="H671" i="1"/>
  <c r="J670" i="1"/>
  <c r="H305" i="1"/>
  <c r="J304" i="1"/>
  <c r="O841" i="13"/>
  <c r="K425" i="6"/>
  <c r="O424" i="6"/>
  <c r="J456" i="15"/>
  <c r="H90" i="15"/>
  <c r="H456" i="11"/>
  <c r="J455" i="11"/>
  <c r="J89" i="11"/>
  <c r="H90" i="11"/>
  <c r="H821" i="11"/>
  <c r="J820" i="11"/>
  <c r="O324" i="6"/>
  <c r="H991" i="1"/>
  <c r="J991" i="1" s="1"/>
  <c r="H2813" i="1"/>
  <c r="J2813" i="1" s="1"/>
  <c r="H1355" i="1"/>
  <c r="J1355" i="1" s="1"/>
  <c r="H2083" i="1"/>
  <c r="J2083" i="1" s="1"/>
  <c r="H2448" i="1"/>
  <c r="J2448" i="1" s="1"/>
  <c r="H1719" i="1"/>
  <c r="J1719" i="1" s="1"/>
  <c r="H306" i="1" l="1"/>
  <c r="J305" i="1"/>
  <c r="H672" i="1"/>
  <c r="J671" i="1"/>
  <c r="H3454" i="1"/>
  <c r="J3453" i="1"/>
  <c r="O842" i="13"/>
  <c r="K426" i="6"/>
  <c r="O425" i="6"/>
  <c r="H91" i="15"/>
  <c r="J457" i="15"/>
  <c r="H822" i="11"/>
  <c r="J821" i="11"/>
  <c r="H91" i="11"/>
  <c r="J90" i="11"/>
  <c r="J456" i="11"/>
  <c r="H457" i="11"/>
  <c r="O325" i="6"/>
  <c r="H2449" i="1"/>
  <c r="J2449" i="1" s="1"/>
  <c r="H2084" i="1"/>
  <c r="J2084" i="1" s="1"/>
  <c r="H1356" i="1"/>
  <c r="J1356" i="1" s="1"/>
  <c r="H2814" i="1"/>
  <c r="J2814" i="1" s="1"/>
  <c r="H1720" i="1"/>
  <c r="J1720" i="1" s="1"/>
  <c r="H992" i="1"/>
  <c r="J992" i="1" s="1"/>
  <c r="H3455" i="1" l="1"/>
  <c r="J3454" i="1"/>
  <c r="H673" i="1"/>
  <c r="J672" i="1"/>
  <c r="H307" i="1"/>
  <c r="J306" i="1"/>
  <c r="O843" i="13"/>
  <c r="K427" i="6"/>
  <c r="O426" i="6"/>
  <c r="J458" i="15"/>
  <c r="H92" i="15"/>
  <c r="H458" i="11"/>
  <c r="J457" i="11"/>
  <c r="J91" i="11"/>
  <c r="H92" i="11"/>
  <c r="H823" i="11"/>
  <c r="J822" i="11"/>
  <c r="O326" i="6"/>
  <c r="H1721" i="1"/>
  <c r="J1721" i="1" s="1"/>
  <c r="H2815" i="1"/>
  <c r="J2815" i="1" s="1"/>
  <c r="H1357" i="1"/>
  <c r="J1357" i="1" s="1"/>
  <c r="H2085" i="1"/>
  <c r="J2085" i="1" s="1"/>
  <c r="H993" i="1"/>
  <c r="J993" i="1" s="1"/>
  <c r="H2450" i="1"/>
  <c r="J2450" i="1" s="1"/>
  <c r="H308" i="1" l="1"/>
  <c r="J307" i="1"/>
  <c r="H674" i="1"/>
  <c r="J673" i="1"/>
  <c r="J3455" i="1"/>
  <c r="H3456" i="1"/>
  <c r="O844" i="13"/>
  <c r="K428" i="6"/>
  <c r="O427" i="6"/>
  <c r="H93" i="15"/>
  <c r="J459" i="15"/>
  <c r="J92" i="11"/>
  <c r="H93" i="11"/>
  <c r="H824" i="11"/>
  <c r="J823" i="11"/>
  <c r="J458" i="11"/>
  <c r="H459" i="11"/>
  <c r="O327" i="6"/>
  <c r="H994" i="1"/>
  <c r="J994" i="1" s="1"/>
  <c r="H2086" i="1"/>
  <c r="J2086" i="1" s="1"/>
  <c r="H1358" i="1"/>
  <c r="J1358" i="1" s="1"/>
  <c r="H2816" i="1"/>
  <c r="J2816" i="1" s="1"/>
  <c r="H2451" i="1"/>
  <c r="J2451" i="1" s="1"/>
  <c r="H1722" i="1"/>
  <c r="J1722" i="1" s="1"/>
  <c r="H3457" i="1" l="1"/>
  <c r="J3456" i="1"/>
  <c r="H675" i="1"/>
  <c r="J674" i="1"/>
  <c r="H309" i="1"/>
  <c r="J308" i="1"/>
  <c r="O845" i="13"/>
  <c r="K429" i="6"/>
  <c r="O428" i="6"/>
  <c r="H94" i="15"/>
  <c r="J460" i="15"/>
  <c r="H460" i="11"/>
  <c r="J459" i="11"/>
  <c r="J824" i="11"/>
  <c r="H825" i="11"/>
  <c r="H94" i="11"/>
  <c r="J93" i="11"/>
  <c r="O328" i="6"/>
  <c r="H2452" i="1"/>
  <c r="J2452" i="1" s="1"/>
  <c r="H2817" i="1"/>
  <c r="J2817" i="1" s="1"/>
  <c r="H1359" i="1"/>
  <c r="J1359" i="1" s="1"/>
  <c r="H2087" i="1"/>
  <c r="J2087" i="1" s="1"/>
  <c r="H1723" i="1"/>
  <c r="J1723" i="1" s="1"/>
  <c r="H995" i="1"/>
  <c r="J995" i="1" s="1"/>
  <c r="H676" i="1" l="1"/>
  <c r="J675" i="1"/>
  <c r="H310" i="1"/>
  <c r="J309" i="1"/>
  <c r="H3458" i="1"/>
  <c r="J3457" i="1"/>
  <c r="O846" i="13"/>
  <c r="K430" i="6"/>
  <c r="O429" i="6"/>
  <c r="J461" i="15"/>
  <c r="H95" i="15"/>
  <c r="H95" i="11"/>
  <c r="J94" i="11"/>
  <c r="J460" i="11"/>
  <c r="H461" i="11"/>
  <c r="J825" i="11"/>
  <c r="H826" i="11"/>
  <c r="O329" i="6"/>
  <c r="H1724" i="1"/>
  <c r="J1724" i="1" s="1"/>
  <c r="H2088" i="1"/>
  <c r="J2088" i="1" s="1"/>
  <c r="H1360" i="1"/>
  <c r="J1360" i="1" s="1"/>
  <c r="H2818" i="1"/>
  <c r="J2818" i="1" s="1"/>
  <c r="H996" i="1"/>
  <c r="J996" i="1" s="1"/>
  <c r="H2453" i="1"/>
  <c r="J2453" i="1" s="1"/>
  <c r="H311" i="1" l="1"/>
  <c r="J310" i="1"/>
  <c r="H3459" i="1"/>
  <c r="J3458" i="1"/>
  <c r="H677" i="1"/>
  <c r="J676" i="1"/>
  <c r="O847" i="13"/>
  <c r="K431" i="6"/>
  <c r="O430" i="6"/>
  <c r="J462" i="15"/>
  <c r="H96" i="15"/>
  <c r="H96" i="11"/>
  <c r="J95" i="11"/>
  <c r="H827" i="11"/>
  <c r="J826" i="11"/>
  <c r="H462" i="11"/>
  <c r="J461" i="11"/>
  <c r="O330" i="6"/>
  <c r="H2819" i="1"/>
  <c r="J2819" i="1" s="1"/>
  <c r="H2089" i="1"/>
  <c r="J2089" i="1" s="1"/>
  <c r="H997" i="1"/>
  <c r="J997" i="1" s="1"/>
  <c r="H1361" i="1"/>
  <c r="J1361" i="1" s="1"/>
  <c r="H2454" i="1"/>
  <c r="J2454" i="1" s="1"/>
  <c r="H1725" i="1"/>
  <c r="J1725" i="1" s="1"/>
  <c r="H678" i="1" l="1"/>
  <c r="J677" i="1"/>
  <c r="H3460" i="1"/>
  <c r="J3459" i="1"/>
  <c r="H312" i="1"/>
  <c r="J311" i="1"/>
  <c r="O848" i="13"/>
  <c r="K432" i="6"/>
  <c r="O431" i="6"/>
  <c r="H97" i="15"/>
  <c r="J463" i="15"/>
  <c r="H828" i="11"/>
  <c r="J827" i="11"/>
  <c r="H463" i="11"/>
  <c r="J462" i="11"/>
  <c r="H97" i="11"/>
  <c r="J96" i="11"/>
  <c r="O331" i="6"/>
  <c r="H2455" i="1"/>
  <c r="J2455" i="1" s="1"/>
  <c r="H1362" i="1"/>
  <c r="J1362" i="1" s="1"/>
  <c r="H998" i="1"/>
  <c r="J998" i="1" s="1"/>
  <c r="H2090" i="1"/>
  <c r="J2090" i="1" s="1"/>
  <c r="H1726" i="1"/>
  <c r="J1726" i="1" s="1"/>
  <c r="H2820" i="1"/>
  <c r="J2820" i="1" s="1"/>
  <c r="H313" i="1" l="1"/>
  <c r="J312" i="1"/>
  <c r="J3460" i="1"/>
  <c r="H3461" i="1"/>
  <c r="H679" i="1"/>
  <c r="J678" i="1"/>
  <c r="O849" i="13"/>
  <c r="K433" i="6"/>
  <c r="O432" i="6"/>
  <c r="J464" i="15"/>
  <c r="H98" i="15"/>
  <c r="H98" i="11"/>
  <c r="J97" i="11"/>
  <c r="J463" i="11"/>
  <c r="H464" i="11"/>
  <c r="H829" i="11"/>
  <c r="J828" i="11"/>
  <c r="O332" i="6"/>
  <c r="H1727" i="1"/>
  <c r="J1727" i="1" s="1"/>
  <c r="H2091" i="1"/>
  <c r="J2091" i="1" s="1"/>
  <c r="H999" i="1"/>
  <c r="J999" i="1" s="1"/>
  <c r="H1363" i="1"/>
  <c r="J1363" i="1" s="1"/>
  <c r="H2821" i="1"/>
  <c r="J2821" i="1" s="1"/>
  <c r="H2456" i="1"/>
  <c r="J2456" i="1" s="1"/>
  <c r="H680" i="1" l="1"/>
  <c r="J679" i="1"/>
  <c r="H3462" i="1"/>
  <c r="J3461" i="1"/>
  <c r="H314" i="1"/>
  <c r="J313" i="1"/>
  <c r="O850" i="13"/>
  <c r="K434" i="6"/>
  <c r="O433" i="6"/>
  <c r="H99" i="15"/>
  <c r="J465" i="15"/>
  <c r="H830" i="11"/>
  <c r="J829" i="11"/>
  <c r="H465" i="11"/>
  <c r="J464" i="11"/>
  <c r="J98" i="11"/>
  <c r="H99" i="11"/>
  <c r="O333" i="6"/>
  <c r="H2822" i="1"/>
  <c r="J2822" i="1" s="1"/>
  <c r="H1364" i="1"/>
  <c r="J1364" i="1" s="1"/>
  <c r="H1000" i="1"/>
  <c r="J1000" i="1" s="1"/>
  <c r="H2092" i="1"/>
  <c r="J2092" i="1" s="1"/>
  <c r="H2457" i="1"/>
  <c r="J2457" i="1" s="1"/>
  <c r="H1728" i="1"/>
  <c r="J1728" i="1" s="1"/>
  <c r="H315" i="1" l="1"/>
  <c r="J314" i="1"/>
  <c r="H3463" i="1"/>
  <c r="J3462" i="1"/>
  <c r="H681" i="1"/>
  <c r="J680" i="1"/>
  <c r="O851" i="13"/>
  <c r="K435" i="6"/>
  <c r="O434" i="6"/>
  <c r="H100" i="15"/>
  <c r="J466" i="15"/>
  <c r="J99" i="11"/>
  <c r="H100" i="11"/>
  <c r="H466" i="11"/>
  <c r="J465" i="11"/>
  <c r="H831" i="11"/>
  <c r="J830" i="11"/>
  <c r="O334" i="6"/>
  <c r="H2458" i="1"/>
  <c r="J2458" i="1" s="1"/>
  <c r="H2093" i="1"/>
  <c r="J2093" i="1" s="1"/>
  <c r="H1001" i="1"/>
  <c r="J1001" i="1" s="1"/>
  <c r="H1365" i="1"/>
  <c r="J1365" i="1" s="1"/>
  <c r="H1729" i="1"/>
  <c r="J1729" i="1" s="1"/>
  <c r="H2823" i="1"/>
  <c r="J2823" i="1" s="1"/>
  <c r="H682" i="1" l="1"/>
  <c r="J681" i="1"/>
  <c r="J3463" i="1"/>
  <c r="H3464" i="1"/>
  <c r="H316" i="1"/>
  <c r="J315" i="1"/>
  <c r="O852" i="13"/>
  <c r="K436" i="6"/>
  <c r="O435" i="6"/>
  <c r="H101" i="15"/>
  <c r="J467" i="15"/>
  <c r="H832" i="11"/>
  <c r="J831" i="11"/>
  <c r="J466" i="11"/>
  <c r="H467" i="11"/>
  <c r="H101" i="11"/>
  <c r="J100" i="11"/>
  <c r="O335" i="6"/>
  <c r="H1730" i="1"/>
  <c r="J1730" i="1" s="1"/>
  <c r="H1366" i="1"/>
  <c r="J1366" i="1" s="1"/>
  <c r="H1002" i="1"/>
  <c r="J1002" i="1" s="1"/>
  <c r="H2094" i="1"/>
  <c r="J2094" i="1" s="1"/>
  <c r="H2824" i="1"/>
  <c r="J2824" i="1" s="1"/>
  <c r="H2459" i="1"/>
  <c r="J2459" i="1" s="1"/>
  <c r="H317" i="1" l="1"/>
  <c r="J316" i="1"/>
  <c r="J3464" i="1"/>
  <c r="H3465" i="1"/>
  <c r="H683" i="1"/>
  <c r="J682" i="1"/>
  <c r="O853" i="13"/>
  <c r="K437" i="6"/>
  <c r="O436" i="6"/>
  <c r="H102" i="15"/>
  <c r="J468" i="15"/>
  <c r="J467" i="11"/>
  <c r="H468" i="11"/>
  <c r="H102" i="11"/>
  <c r="J101" i="11"/>
  <c r="J832" i="11"/>
  <c r="H833" i="11"/>
  <c r="O336" i="6"/>
  <c r="H2825" i="1"/>
  <c r="J2825" i="1" s="1"/>
  <c r="H2095" i="1"/>
  <c r="J2095" i="1" s="1"/>
  <c r="H1003" i="1"/>
  <c r="J1003" i="1" s="1"/>
  <c r="H1367" i="1"/>
  <c r="J1367" i="1" s="1"/>
  <c r="H2460" i="1"/>
  <c r="J2460" i="1" s="1"/>
  <c r="H1731" i="1"/>
  <c r="J1731" i="1" s="1"/>
  <c r="H684" i="1" l="1"/>
  <c r="J683" i="1"/>
  <c r="J3465" i="1"/>
  <c r="H3466" i="1"/>
  <c r="H318" i="1"/>
  <c r="J317" i="1"/>
  <c r="O854" i="13"/>
  <c r="K438" i="6"/>
  <c r="O437" i="6"/>
  <c r="J469" i="15"/>
  <c r="H103" i="15"/>
  <c r="H469" i="11"/>
  <c r="J468" i="11"/>
  <c r="J102" i="11"/>
  <c r="H103" i="11"/>
  <c r="H834" i="11"/>
  <c r="J833" i="11"/>
  <c r="O337" i="6"/>
  <c r="H2461" i="1"/>
  <c r="J2461" i="1" s="1"/>
  <c r="H1368" i="1"/>
  <c r="J1368" i="1" s="1"/>
  <c r="H1004" i="1"/>
  <c r="J1004" i="1" s="1"/>
  <c r="H2096" i="1"/>
  <c r="J2096" i="1" s="1"/>
  <c r="H1732" i="1"/>
  <c r="J1732" i="1" s="1"/>
  <c r="H2826" i="1"/>
  <c r="J2826" i="1" s="1"/>
  <c r="H319" i="1" l="1"/>
  <c r="J318" i="1"/>
  <c r="J3466" i="1"/>
  <c r="H3467" i="1"/>
  <c r="H685" i="1"/>
  <c r="J684" i="1"/>
  <c r="O855" i="13"/>
  <c r="K439" i="6"/>
  <c r="O438" i="6"/>
  <c r="H104" i="15"/>
  <c r="J470" i="15"/>
  <c r="J103" i="11"/>
  <c r="H104" i="11"/>
  <c r="J834" i="11"/>
  <c r="H835" i="11"/>
  <c r="H470" i="11"/>
  <c r="J469" i="11"/>
  <c r="O338" i="6"/>
  <c r="H1369" i="1"/>
  <c r="J1369" i="1" s="1"/>
  <c r="H1733" i="1"/>
  <c r="J1733" i="1" s="1"/>
  <c r="H2097" i="1"/>
  <c r="J2097" i="1" s="1"/>
  <c r="H1005" i="1"/>
  <c r="J1005" i="1" s="1"/>
  <c r="H2827" i="1"/>
  <c r="J2827" i="1" s="1"/>
  <c r="H2462" i="1"/>
  <c r="J2462" i="1" s="1"/>
  <c r="H686" i="1" l="1"/>
  <c r="J685" i="1"/>
  <c r="H3468" i="1"/>
  <c r="J3467" i="1"/>
  <c r="H320" i="1"/>
  <c r="J319" i="1"/>
  <c r="O856" i="13"/>
  <c r="K440" i="6"/>
  <c r="O439" i="6"/>
  <c r="J471" i="15"/>
  <c r="H105" i="15"/>
  <c r="H836" i="11"/>
  <c r="J835" i="11"/>
  <c r="H471" i="11"/>
  <c r="J470" i="11"/>
  <c r="H105" i="11"/>
  <c r="J104" i="11"/>
  <c r="O339" i="6"/>
  <c r="H2828" i="1"/>
  <c r="J2828" i="1" s="1"/>
  <c r="H1006" i="1"/>
  <c r="J1006" i="1" s="1"/>
  <c r="H2098" i="1"/>
  <c r="J2098" i="1" s="1"/>
  <c r="H1734" i="1"/>
  <c r="J1734" i="1" s="1"/>
  <c r="H2463" i="1"/>
  <c r="J2463" i="1" s="1"/>
  <c r="H1370" i="1"/>
  <c r="J1370" i="1" s="1"/>
  <c r="H321" i="1" l="1"/>
  <c r="J320" i="1"/>
  <c r="H3469" i="1"/>
  <c r="J3468" i="1"/>
  <c r="H687" i="1"/>
  <c r="J686" i="1"/>
  <c r="O857" i="13"/>
  <c r="K441" i="6"/>
  <c r="O440" i="6"/>
  <c r="J472" i="15"/>
  <c r="H106" i="15"/>
  <c r="H106" i="11"/>
  <c r="J105" i="11"/>
  <c r="J471" i="11"/>
  <c r="H472" i="11"/>
  <c r="H837" i="11"/>
  <c r="J836" i="11"/>
  <c r="O340" i="6"/>
  <c r="H2464" i="1"/>
  <c r="J2464" i="1" s="1"/>
  <c r="H1735" i="1"/>
  <c r="J1735" i="1" s="1"/>
  <c r="H2099" i="1"/>
  <c r="J2099" i="1" s="1"/>
  <c r="H1007" i="1"/>
  <c r="J1007" i="1" s="1"/>
  <c r="H1371" i="1"/>
  <c r="J1371" i="1" s="1"/>
  <c r="H2829" i="1"/>
  <c r="J2829" i="1" s="1"/>
  <c r="H3470" i="1" l="1"/>
  <c r="J3469" i="1"/>
  <c r="H688" i="1"/>
  <c r="J687" i="1"/>
  <c r="H322" i="1"/>
  <c r="J321" i="1"/>
  <c r="O858" i="13"/>
  <c r="K442" i="6"/>
  <c r="O441" i="6"/>
  <c r="H107" i="15"/>
  <c r="J473" i="15"/>
  <c r="H107" i="11"/>
  <c r="J106" i="11"/>
  <c r="H473" i="11"/>
  <c r="J472" i="11"/>
  <c r="H838" i="11"/>
  <c r="J837" i="11"/>
  <c r="O341" i="6"/>
  <c r="H1372" i="1"/>
  <c r="J1372" i="1" s="1"/>
  <c r="H1008" i="1"/>
  <c r="J1008" i="1" s="1"/>
  <c r="H2100" i="1"/>
  <c r="J2100" i="1" s="1"/>
  <c r="H1736" i="1"/>
  <c r="J1736" i="1" s="1"/>
  <c r="H2830" i="1"/>
  <c r="J2830" i="1" s="1"/>
  <c r="H2465" i="1"/>
  <c r="J2465" i="1" s="1"/>
  <c r="H323" i="1" l="1"/>
  <c r="J322" i="1"/>
  <c r="H689" i="1"/>
  <c r="J688" i="1"/>
  <c r="J3470" i="1"/>
  <c r="H3471" i="1"/>
  <c r="O859" i="13"/>
  <c r="K443" i="6"/>
  <c r="O442" i="6"/>
  <c r="J474" i="15"/>
  <c r="H108" i="15"/>
  <c r="J473" i="11"/>
  <c r="H474" i="11"/>
  <c r="H839" i="11"/>
  <c r="J838" i="11"/>
  <c r="H108" i="11"/>
  <c r="J107" i="11"/>
  <c r="O342" i="6"/>
  <c r="H2831" i="1"/>
  <c r="J2831" i="1" s="1"/>
  <c r="H1737" i="1"/>
  <c r="J1737" i="1" s="1"/>
  <c r="H2101" i="1"/>
  <c r="J2101" i="1" s="1"/>
  <c r="H1009" i="1"/>
  <c r="J1009" i="1" s="1"/>
  <c r="H2466" i="1"/>
  <c r="J2466" i="1" s="1"/>
  <c r="H1373" i="1"/>
  <c r="J1373" i="1" s="1"/>
  <c r="H3472" i="1" l="1"/>
  <c r="J3471" i="1"/>
  <c r="H690" i="1"/>
  <c r="J689" i="1"/>
  <c r="H324" i="1"/>
  <c r="J323" i="1"/>
  <c r="O860" i="13"/>
  <c r="K444" i="6"/>
  <c r="O443" i="6"/>
  <c r="H109" i="15"/>
  <c r="J475" i="15"/>
  <c r="H840" i="11"/>
  <c r="J839" i="11"/>
  <c r="H475" i="11"/>
  <c r="J474" i="11"/>
  <c r="H109" i="11"/>
  <c r="J108" i="11"/>
  <c r="O343" i="6"/>
  <c r="H2467" i="1"/>
  <c r="J2467" i="1" s="1"/>
  <c r="H1010" i="1"/>
  <c r="J1010" i="1" s="1"/>
  <c r="H2102" i="1"/>
  <c r="J2102" i="1" s="1"/>
  <c r="H1738" i="1"/>
  <c r="J1738" i="1" s="1"/>
  <c r="H1374" i="1"/>
  <c r="J1374" i="1" s="1"/>
  <c r="H2832" i="1"/>
  <c r="J2832" i="1" s="1"/>
  <c r="H325" i="1" l="1"/>
  <c r="J324" i="1"/>
  <c r="H691" i="1"/>
  <c r="J690" i="1"/>
  <c r="J3472" i="1"/>
  <c r="H3473" i="1"/>
  <c r="O861" i="13"/>
  <c r="K445" i="6"/>
  <c r="O444" i="6"/>
  <c r="J476" i="15"/>
  <c r="H110" i="15"/>
  <c r="H841" i="11"/>
  <c r="J840" i="11"/>
  <c r="H476" i="11"/>
  <c r="J475" i="11"/>
  <c r="J109" i="11"/>
  <c r="H110" i="11"/>
  <c r="O344" i="6"/>
  <c r="H1375" i="1"/>
  <c r="J1375" i="1" s="1"/>
  <c r="H1739" i="1"/>
  <c r="J1739" i="1" s="1"/>
  <c r="H2103" i="1"/>
  <c r="J2103" i="1" s="1"/>
  <c r="H1011" i="1"/>
  <c r="J1011" i="1" s="1"/>
  <c r="H2833" i="1"/>
  <c r="J2833" i="1" s="1"/>
  <c r="H2468" i="1"/>
  <c r="J2468" i="1" s="1"/>
  <c r="J3473" i="1" l="1"/>
  <c r="H3474" i="1"/>
  <c r="H692" i="1"/>
  <c r="J691" i="1"/>
  <c r="H326" i="1"/>
  <c r="J325" i="1"/>
  <c r="O862" i="13"/>
  <c r="K446" i="6"/>
  <c r="O445" i="6"/>
  <c r="J477" i="15"/>
  <c r="H111" i="15"/>
  <c r="J476" i="11"/>
  <c r="H477" i="11"/>
  <c r="J110" i="11"/>
  <c r="H111" i="11"/>
  <c r="J841" i="11"/>
  <c r="H842" i="11"/>
  <c r="O345" i="6"/>
  <c r="H2834" i="1"/>
  <c r="J2834" i="1" s="1"/>
  <c r="H1012" i="1"/>
  <c r="J1012" i="1" s="1"/>
  <c r="H2104" i="1"/>
  <c r="J2104" i="1" s="1"/>
  <c r="H1740" i="1"/>
  <c r="J1740" i="1" s="1"/>
  <c r="H2469" i="1"/>
  <c r="J2469" i="1" s="1"/>
  <c r="H1376" i="1"/>
  <c r="J1376" i="1" s="1"/>
  <c r="H693" i="1" l="1"/>
  <c r="J692" i="1"/>
  <c r="J3474" i="1"/>
  <c r="H3475" i="1"/>
  <c r="H327" i="1"/>
  <c r="J326" i="1"/>
  <c r="O863" i="13"/>
  <c r="K447" i="6"/>
  <c r="O446" i="6"/>
  <c r="J478" i="15"/>
  <c r="H112" i="15"/>
  <c r="H112" i="11"/>
  <c r="J111" i="11"/>
  <c r="H843" i="11"/>
  <c r="J842" i="11"/>
  <c r="J477" i="11"/>
  <c r="H478" i="11"/>
  <c r="O346" i="6"/>
  <c r="H2470" i="1"/>
  <c r="J2470" i="1" s="1"/>
  <c r="H1741" i="1"/>
  <c r="J1741" i="1" s="1"/>
  <c r="H2105" i="1"/>
  <c r="J2105" i="1" s="1"/>
  <c r="H1013" i="1"/>
  <c r="J1013" i="1" s="1"/>
  <c r="H1377" i="1"/>
  <c r="J1377" i="1" s="1"/>
  <c r="H2835" i="1"/>
  <c r="J2835" i="1" s="1"/>
  <c r="H328" i="1" l="1"/>
  <c r="J327" i="1"/>
  <c r="H3476" i="1"/>
  <c r="J3475" i="1"/>
  <c r="H694" i="1"/>
  <c r="J693" i="1"/>
  <c r="O864" i="13"/>
  <c r="K448" i="6"/>
  <c r="O447" i="6"/>
  <c r="H113" i="15"/>
  <c r="J479" i="15"/>
  <c r="H479" i="11"/>
  <c r="J478" i="11"/>
  <c r="H844" i="11"/>
  <c r="J843" i="11"/>
  <c r="J112" i="11"/>
  <c r="H113" i="11"/>
  <c r="O347" i="6"/>
  <c r="H1742" i="1"/>
  <c r="J1742" i="1" s="1"/>
  <c r="H1014" i="1"/>
  <c r="J1014" i="1" s="1"/>
  <c r="H2106" i="1"/>
  <c r="J2106" i="1" s="1"/>
  <c r="H1378" i="1"/>
  <c r="J1378" i="1" s="1"/>
  <c r="H2836" i="1"/>
  <c r="J2836" i="1" s="1"/>
  <c r="H2471" i="1"/>
  <c r="J2471" i="1" s="1"/>
  <c r="J3476" i="1" l="1"/>
  <c r="H3477" i="1"/>
  <c r="H695" i="1"/>
  <c r="J694" i="1"/>
  <c r="H329" i="1"/>
  <c r="J328" i="1"/>
  <c r="O865" i="13"/>
  <c r="K449" i="6"/>
  <c r="O448" i="6"/>
  <c r="J480" i="15"/>
  <c r="H114" i="15"/>
  <c r="J113" i="11"/>
  <c r="H114" i="11"/>
  <c r="H480" i="11"/>
  <c r="J479" i="11"/>
  <c r="J844" i="11"/>
  <c r="H845" i="11"/>
  <c r="O348" i="6"/>
  <c r="H1015" i="1"/>
  <c r="J1015" i="1" s="1"/>
  <c r="H2837" i="1"/>
  <c r="J2837" i="1" s="1"/>
  <c r="H1379" i="1"/>
  <c r="J1379" i="1" s="1"/>
  <c r="H2107" i="1"/>
  <c r="J2107" i="1" s="1"/>
  <c r="H2472" i="1"/>
  <c r="J2472" i="1" s="1"/>
  <c r="H1743" i="1"/>
  <c r="J1743" i="1" s="1"/>
  <c r="H330" i="1" l="1"/>
  <c r="J329" i="1"/>
  <c r="H696" i="1"/>
  <c r="J695" i="1"/>
  <c r="J3477" i="1"/>
  <c r="H3478" i="1"/>
  <c r="O866" i="13"/>
  <c r="K450" i="6"/>
  <c r="O449" i="6"/>
  <c r="H115" i="15"/>
  <c r="J481" i="15"/>
  <c r="J114" i="11"/>
  <c r="H115" i="11"/>
  <c r="H481" i="11"/>
  <c r="J480" i="11"/>
  <c r="H846" i="11"/>
  <c r="J845" i="11"/>
  <c r="O349" i="6"/>
  <c r="H2473" i="1"/>
  <c r="J2473" i="1" s="1"/>
  <c r="H2838" i="1"/>
  <c r="J2838" i="1" s="1"/>
  <c r="H2108" i="1"/>
  <c r="J2108" i="1" s="1"/>
  <c r="H1380" i="1"/>
  <c r="J1380" i="1" s="1"/>
  <c r="H1744" i="1"/>
  <c r="J1744" i="1" s="1"/>
  <c r="H1016" i="1"/>
  <c r="J1016" i="1" s="1"/>
  <c r="J3478" i="1" l="1"/>
  <c r="H3479" i="1"/>
  <c r="H697" i="1"/>
  <c r="J696" i="1"/>
  <c r="H331" i="1"/>
  <c r="J330" i="1"/>
  <c r="O867" i="13"/>
  <c r="K451" i="6"/>
  <c r="O450" i="6"/>
  <c r="H116" i="15"/>
  <c r="J482" i="15"/>
  <c r="J481" i="11"/>
  <c r="H482" i="11"/>
  <c r="H116" i="11"/>
  <c r="J115" i="11"/>
  <c r="H847" i="11"/>
  <c r="J846" i="11"/>
  <c r="O350" i="6"/>
  <c r="H1745" i="1"/>
  <c r="J1745" i="1" s="1"/>
  <c r="H1381" i="1"/>
  <c r="J1381" i="1" s="1"/>
  <c r="H2109" i="1"/>
  <c r="J2109" i="1" s="1"/>
  <c r="H2839" i="1"/>
  <c r="J2839" i="1" s="1"/>
  <c r="H1017" i="1"/>
  <c r="J1017" i="1" s="1"/>
  <c r="H2474" i="1"/>
  <c r="J2474" i="1" s="1"/>
  <c r="H698" i="1" l="1"/>
  <c r="J697" i="1"/>
  <c r="H3480" i="1"/>
  <c r="J3479" i="1"/>
  <c r="H332" i="1"/>
  <c r="J331" i="1"/>
  <c r="O868" i="13"/>
  <c r="K452" i="6"/>
  <c r="O451" i="6"/>
  <c r="J483" i="15"/>
  <c r="H117" i="15"/>
  <c r="H848" i="11"/>
  <c r="J847" i="11"/>
  <c r="J116" i="11"/>
  <c r="H117" i="11"/>
  <c r="H483" i="11"/>
  <c r="J482" i="11"/>
  <c r="O351" i="6"/>
  <c r="H1018" i="1"/>
  <c r="J1018" i="1" s="1"/>
  <c r="H2840" i="1"/>
  <c r="J2840" i="1" s="1"/>
  <c r="H2110" i="1"/>
  <c r="J2110" i="1" s="1"/>
  <c r="H1382" i="1"/>
  <c r="J1382" i="1" s="1"/>
  <c r="H2475" i="1"/>
  <c r="J2475" i="1" s="1"/>
  <c r="H1746" i="1"/>
  <c r="J1746" i="1" s="1"/>
  <c r="H333" i="1" l="1"/>
  <c r="J332" i="1"/>
  <c r="H3481" i="1"/>
  <c r="J3480" i="1"/>
  <c r="H699" i="1"/>
  <c r="J698" i="1"/>
  <c r="O869" i="13"/>
  <c r="K453" i="6"/>
  <c r="O452" i="6"/>
  <c r="H118" i="15"/>
  <c r="J484" i="15"/>
  <c r="H484" i="11"/>
  <c r="J483" i="11"/>
  <c r="H118" i="11"/>
  <c r="J117" i="11"/>
  <c r="J848" i="11"/>
  <c r="H849" i="11"/>
  <c r="O352" i="6"/>
  <c r="H2841" i="1"/>
  <c r="J2841" i="1" s="1"/>
  <c r="H2476" i="1"/>
  <c r="J2476" i="1" s="1"/>
  <c r="H1383" i="1"/>
  <c r="J1383" i="1" s="1"/>
  <c r="H2111" i="1"/>
  <c r="J2111" i="1" s="1"/>
  <c r="H1747" i="1"/>
  <c r="J1747" i="1" s="1"/>
  <c r="H1019" i="1"/>
  <c r="J1019" i="1" s="1"/>
  <c r="H700" i="1" l="1"/>
  <c r="J699" i="1"/>
  <c r="J3481" i="1"/>
  <c r="H3482" i="1"/>
  <c r="H334" i="1"/>
  <c r="J333" i="1"/>
  <c r="O870" i="13"/>
  <c r="K454" i="6"/>
  <c r="O453" i="6"/>
  <c r="J485" i="15"/>
  <c r="H119" i="15"/>
  <c r="H119" i="11"/>
  <c r="J118" i="11"/>
  <c r="H850" i="11"/>
  <c r="J849" i="11"/>
  <c r="H485" i="11"/>
  <c r="J484" i="11"/>
  <c r="O353" i="6"/>
  <c r="H1748" i="1"/>
  <c r="J1748" i="1" s="1"/>
  <c r="H2112" i="1"/>
  <c r="J2112" i="1" s="1"/>
  <c r="H1384" i="1"/>
  <c r="J1384" i="1" s="1"/>
  <c r="H2477" i="1"/>
  <c r="J2477" i="1" s="1"/>
  <c r="H1020" i="1"/>
  <c r="J1020" i="1" s="1"/>
  <c r="H2842" i="1"/>
  <c r="J2842" i="1" s="1"/>
  <c r="H335" i="1" l="1"/>
  <c r="J334" i="1"/>
  <c r="H3483" i="1"/>
  <c r="J3482" i="1"/>
  <c r="H701" i="1"/>
  <c r="J700" i="1"/>
  <c r="O871" i="13"/>
  <c r="K455" i="6"/>
  <c r="O454" i="6"/>
  <c r="J486" i="15"/>
  <c r="H120" i="15"/>
  <c r="H486" i="11"/>
  <c r="J485" i="11"/>
  <c r="H120" i="11"/>
  <c r="J119" i="11"/>
  <c r="H851" i="11"/>
  <c r="J850" i="11"/>
  <c r="O354" i="6"/>
  <c r="H1021" i="1"/>
  <c r="J1021" i="1" s="1"/>
  <c r="H2113" i="1"/>
  <c r="J2113" i="1" s="1"/>
  <c r="H2478" i="1"/>
  <c r="J2478" i="1" s="1"/>
  <c r="H1385" i="1"/>
  <c r="J1385" i="1" s="1"/>
  <c r="H2843" i="1"/>
  <c r="J2843" i="1" s="1"/>
  <c r="H1749" i="1"/>
  <c r="J1749" i="1" s="1"/>
  <c r="H702" i="1" l="1"/>
  <c r="J701" i="1"/>
  <c r="H3484" i="1"/>
  <c r="J3483" i="1"/>
  <c r="H336" i="1"/>
  <c r="J335" i="1"/>
  <c r="O872" i="13"/>
  <c r="K456" i="6"/>
  <c r="O455" i="6"/>
  <c r="J487" i="15"/>
  <c r="H121" i="15"/>
  <c r="H121" i="11"/>
  <c r="J120" i="11"/>
  <c r="J486" i="11"/>
  <c r="H487" i="11"/>
  <c r="H852" i="11"/>
  <c r="J851" i="11"/>
  <c r="O355" i="6"/>
  <c r="H2844" i="1"/>
  <c r="J2844" i="1" s="1"/>
  <c r="H1386" i="1"/>
  <c r="J1386" i="1" s="1"/>
  <c r="H2479" i="1"/>
  <c r="J2479" i="1" s="1"/>
  <c r="H2114" i="1"/>
  <c r="J2114" i="1" s="1"/>
  <c r="H1750" i="1"/>
  <c r="J1750" i="1" s="1"/>
  <c r="H1022" i="1"/>
  <c r="J1022" i="1" s="1"/>
  <c r="H337" i="1" l="1"/>
  <c r="J336" i="1"/>
  <c r="H3485" i="1"/>
  <c r="J3484" i="1"/>
  <c r="H703" i="1"/>
  <c r="J702" i="1"/>
  <c r="O873" i="13"/>
  <c r="K457" i="6"/>
  <c r="O456" i="6"/>
  <c r="H122" i="15"/>
  <c r="J488" i="15"/>
  <c r="J852" i="11"/>
  <c r="H853" i="11"/>
  <c r="H488" i="11"/>
  <c r="J487" i="11"/>
  <c r="H122" i="11"/>
  <c r="J121" i="11"/>
  <c r="O356" i="6"/>
  <c r="H1751" i="1"/>
  <c r="J1751" i="1" s="1"/>
  <c r="H2115" i="1"/>
  <c r="J2115" i="1" s="1"/>
  <c r="H2480" i="1"/>
  <c r="J2480" i="1" s="1"/>
  <c r="H1387" i="1"/>
  <c r="J1387" i="1" s="1"/>
  <c r="H1023" i="1"/>
  <c r="J1023" i="1" s="1"/>
  <c r="H2845" i="1"/>
  <c r="J2845" i="1" s="1"/>
  <c r="H704" i="1" l="1"/>
  <c r="J703" i="1"/>
  <c r="H3486" i="1"/>
  <c r="J3485" i="1"/>
  <c r="H338" i="1"/>
  <c r="J337" i="1"/>
  <c r="O874" i="13"/>
  <c r="K458" i="6"/>
  <c r="O457" i="6"/>
  <c r="H123" i="15"/>
  <c r="J489" i="15"/>
  <c r="J488" i="11"/>
  <c r="H489" i="11"/>
  <c r="H854" i="11"/>
  <c r="J853" i="11"/>
  <c r="J122" i="11"/>
  <c r="H123" i="11"/>
  <c r="O357" i="6"/>
  <c r="H1024" i="1"/>
  <c r="J1024" i="1" s="1"/>
  <c r="H1388" i="1"/>
  <c r="J1388" i="1" s="1"/>
  <c r="H2481" i="1"/>
  <c r="J2481" i="1" s="1"/>
  <c r="H2116" i="1"/>
  <c r="J2116" i="1" s="1"/>
  <c r="H2846" i="1"/>
  <c r="J2846" i="1" s="1"/>
  <c r="H1752" i="1"/>
  <c r="J1752" i="1" s="1"/>
  <c r="H3487" i="1" l="1"/>
  <c r="J3486" i="1"/>
  <c r="H339" i="1"/>
  <c r="J338" i="1"/>
  <c r="H705" i="1"/>
  <c r="J704" i="1"/>
  <c r="O875" i="13"/>
  <c r="K459" i="6"/>
  <c r="O458" i="6"/>
  <c r="J490" i="15"/>
  <c r="H124" i="15"/>
  <c r="J854" i="11"/>
  <c r="H855" i="11"/>
  <c r="J123" i="11"/>
  <c r="H124" i="11"/>
  <c r="H490" i="11"/>
  <c r="J489" i="11"/>
  <c r="O358" i="6"/>
  <c r="H2847" i="1"/>
  <c r="J2847" i="1" s="1"/>
  <c r="H2117" i="1"/>
  <c r="J2117" i="1" s="1"/>
  <c r="H2482" i="1"/>
  <c r="J2482" i="1" s="1"/>
  <c r="H1389" i="1"/>
  <c r="J1389" i="1" s="1"/>
  <c r="H1753" i="1"/>
  <c r="J1753" i="1" s="1"/>
  <c r="H1025" i="1"/>
  <c r="J1025" i="1" s="1"/>
  <c r="H706" i="1" l="1"/>
  <c r="J705" i="1"/>
  <c r="H340" i="1"/>
  <c r="J339" i="1"/>
  <c r="J3487" i="1"/>
  <c r="H3488" i="1"/>
  <c r="O876" i="13"/>
  <c r="K460" i="6"/>
  <c r="O459" i="6"/>
  <c r="J491" i="15"/>
  <c r="H125" i="15"/>
  <c r="H125" i="11"/>
  <c r="J124" i="11"/>
  <c r="H491" i="11"/>
  <c r="J490" i="11"/>
  <c r="H856" i="11"/>
  <c r="J855" i="11"/>
  <c r="O359" i="6"/>
  <c r="H1754" i="1"/>
  <c r="J1754" i="1" s="1"/>
  <c r="H1390" i="1"/>
  <c r="J1390" i="1" s="1"/>
  <c r="H2483" i="1"/>
  <c r="J2483" i="1" s="1"/>
  <c r="H2118" i="1"/>
  <c r="J2118" i="1" s="1"/>
  <c r="H1026" i="1"/>
  <c r="J1026" i="1" s="1"/>
  <c r="H2848" i="1"/>
  <c r="J2848" i="1" s="1"/>
  <c r="H3489" i="1" l="1"/>
  <c r="J3488" i="1"/>
  <c r="H341" i="1"/>
  <c r="J340" i="1"/>
  <c r="H707" i="1"/>
  <c r="J706" i="1"/>
  <c r="O877" i="13"/>
  <c r="K461" i="6"/>
  <c r="K462" i="6" s="1"/>
  <c r="O460" i="6"/>
  <c r="H126" i="15"/>
  <c r="J492" i="15"/>
  <c r="H492" i="11"/>
  <c r="J491" i="11"/>
  <c r="H126" i="11"/>
  <c r="J125" i="11"/>
  <c r="J856" i="11"/>
  <c r="H857" i="11"/>
  <c r="O360" i="6"/>
  <c r="H1027" i="1"/>
  <c r="J1027" i="1" s="1"/>
  <c r="H2119" i="1"/>
  <c r="J2119" i="1" s="1"/>
  <c r="H2484" i="1"/>
  <c r="J2484" i="1" s="1"/>
  <c r="H1391" i="1"/>
  <c r="J1391" i="1" s="1"/>
  <c r="H2849" i="1"/>
  <c r="J2849" i="1" s="1"/>
  <c r="H1755" i="1"/>
  <c r="J1755" i="1" s="1"/>
  <c r="H708" i="1" l="1"/>
  <c r="J707" i="1"/>
  <c r="H342" i="1"/>
  <c r="J341" i="1"/>
  <c r="H3490" i="1"/>
  <c r="J3489" i="1"/>
  <c r="O878" i="13"/>
  <c r="K463" i="6"/>
  <c r="O462" i="6"/>
  <c r="J493" i="15"/>
  <c r="H127" i="15"/>
  <c r="H858" i="11"/>
  <c r="J857" i="11"/>
  <c r="H127" i="11"/>
  <c r="J126" i="11"/>
  <c r="H493" i="11"/>
  <c r="J492" i="11"/>
  <c r="O361" i="6"/>
  <c r="H2850" i="1"/>
  <c r="J2850" i="1" s="1"/>
  <c r="H1392" i="1"/>
  <c r="J1392" i="1" s="1"/>
  <c r="H2485" i="1"/>
  <c r="J2485" i="1" s="1"/>
  <c r="H2120" i="1"/>
  <c r="J2120" i="1" s="1"/>
  <c r="H1756" i="1"/>
  <c r="J1756" i="1" s="1"/>
  <c r="H1028" i="1"/>
  <c r="J1028" i="1" s="1"/>
  <c r="H343" i="1" l="1"/>
  <c r="J342" i="1"/>
  <c r="J3490" i="1"/>
  <c r="H3491" i="1"/>
  <c r="H709" i="1"/>
  <c r="J708" i="1"/>
  <c r="O879" i="13"/>
  <c r="K464" i="6"/>
  <c r="O463" i="6"/>
  <c r="J494" i="15"/>
  <c r="H128" i="15"/>
  <c r="H494" i="11"/>
  <c r="J493" i="11"/>
  <c r="J127" i="11"/>
  <c r="H128" i="11"/>
  <c r="H859" i="11"/>
  <c r="J858" i="11"/>
  <c r="O362" i="6"/>
  <c r="H1757" i="1"/>
  <c r="J1757" i="1" s="1"/>
  <c r="H2121" i="1"/>
  <c r="J2121" i="1" s="1"/>
  <c r="H2486" i="1"/>
  <c r="J2486" i="1" s="1"/>
  <c r="H1393" i="1"/>
  <c r="J1393" i="1" s="1"/>
  <c r="H1029" i="1"/>
  <c r="J1029" i="1" s="1"/>
  <c r="H2851" i="1"/>
  <c r="J2851" i="1" s="1"/>
  <c r="H710" i="1" l="1"/>
  <c r="J709" i="1"/>
  <c r="H3492" i="1"/>
  <c r="J3491" i="1"/>
  <c r="H344" i="1"/>
  <c r="J343" i="1"/>
  <c r="O880" i="13"/>
  <c r="K465" i="6"/>
  <c r="O464" i="6"/>
  <c r="H129" i="15"/>
  <c r="J495" i="15"/>
  <c r="J494" i="11"/>
  <c r="H495" i="11"/>
  <c r="H860" i="11"/>
  <c r="J859" i="11"/>
  <c r="H129" i="11"/>
  <c r="J128" i="11"/>
  <c r="O363" i="6"/>
  <c r="H1030" i="1"/>
  <c r="J1030" i="1" s="1"/>
  <c r="H1394" i="1"/>
  <c r="J1394" i="1" s="1"/>
  <c r="H2487" i="1"/>
  <c r="J2487" i="1" s="1"/>
  <c r="H2122" i="1"/>
  <c r="J2122" i="1" s="1"/>
  <c r="H2852" i="1"/>
  <c r="J2852" i="1" s="1"/>
  <c r="H1758" i="1"/>
  <c r="J1758" i="1" s="1"/>
  <c r="H345" i="1" l="1"/>
  <c r="J344" i="1"/>
  <c r="J3492" i="1"/>
  <c r="H3493" i="1"/>
  <c r="H711" i="1"/>
  <c r="J710" i="1"/>
  <c r="O881" i="13"/>
  <c r="K466" i="6"/>
  <c r="O465" i="6"/>
  <c r="J496" i="15"/>
  <c r="H130" i="15"/>
  <c r="H861" i="11"/>
  <c r="J860" i="11"/>
  <c r="H496" i="11"/>
  <c r="J495" i="11"/>
  <c r="H130" i="11"/>
  <c r="J129" i="11"/>
  <c r="O364" i="6"/>
  <c r="H2853" i="1"/>
  <c r="J2853" i="1" s="1"/>
  <c r="H2123" i="1"/>
  <c r="J2123" i="1" s="1"/>
  <c r="H2488" i="1"/>
  <c r="J2488" i="1" s="1"/>
  <c r="H1395" i="1"/>
  <c r="J1395" i="1" s="1"/>
  <c r="H1759" i="1"/>
  <c r="J1759" i="1" s="1"/>
  <c r="H1031" i="1"/>
  <c r="J1031" i="1" s="1"/>
  <c r="H712" i="1" l="1"/>
  <c r="J711" i="1"/>
  <c r="H3494" i="1"/>
  <c r="J3493" i="1"/>
  <c r="H346" i="1"/>
  <c r="J345" i="1"/>
  <c r="O882" i="13"/>
  <c r="K467" i="6"/>
  <c r="O466" i="6"/>
  <c r="J497" i="15"/>
  <c r="H131" i="15"/>
  <c r="J861" i="11"/>
  <c r="H862" i="11"/>
  <c r="J130" i="11"/>
  <c r="H131" i="11"/>
  <c r="J496" i="11"/>
  <c r="H497" i="11"/>
  <c r="O365" i="6"/>
  <c r="H1760" i="1"/>
  <c r="J1760" i="1" s="1"/>
  <c r="H1396" i="1"/>
  <c r="J1396" i="1" s="1"/>
  <c r="H2489" i="1"/>
  <c r="J2489" i="1" s="1"/>
  <c r="H2124" i="1"/>
  <c r="J2124" i="1" s="1"/>
  <c r="H1032" i="1"/>
  <c r="J1032" i="1" s="1"/>
  <c r="H2854" i="1"/>
  <c r="J2854" i="1" s="1"/>
  <c r="H347" i="1" l="1"/>
  <c r="J346" i="1"/>
  <c r="J3494" i="1"/>
  <c r="H3495" i="1"/>
  <c r="H713" i="1"/>
  <c r="J712" i="1"/>
  <c r="O883" i="13"/>
  <c r="K468" i="6"/>
  <c r="O467" i="6"/>
  <c r="H132" i="15"/>
  <c r="J498" i="15"/>
  <c r="H132" i="11"/>
  <c r="J131" i="11"/>
  <c r="J497" i="11"/>
  <c r="H498" i="11"/>
  <c r="J862" i="11"/>
  <c r="H863" i="11"/>
  <c r="O366" i="6"/>
  <c r="H1033" i="1"/>
  <c r="J1033" i="1" s="1"/>
  <c r="H2125" i="1"/>
  <c r="J2125" i="1" s="1"/>
  <c r="H2490" i="1"/>
  <c r="J2490" i="1" s="1"/>
  <c r="H1397" i="1"/>
  <c r="J1397" i="1" s="1"/>
  <c r="H2855" i="1"/>
  <c r="J2855" i="1" s="1"/>
  <c r="H1761" i="1"/>
  <c r="J1761" i="1" s="1"/>
  <c r="H714" i="1" l="1"/>
  <c r="J713" i="1"/>
  <c r="H3496" i="1"/>
  <c r="J3495" i="1"/>
  <c r="H348" i="1"/>
  <c r="J347" i="1"/>
  <c r="O884" i="13"/>
  <c r="K469" i="6"/>
  <c r="O468" i="6"/>
  <c r="J499" i="15"/>
  <c r="H133" i="15"/>
  <c r="H864" i="11"/>
  <c r="J863" i="11"/>
  <c r="J498" i="11"/>
  <c r="H499" i="11"/>
  <c r="J132" i="11"/>
  <c r="H133" i="11"/>
  <c r="O367" i="6"/>
  <c r="H2856" i="1"/>
  <c r="J2856" i="1" s="1"/>
  <c r="H2126" i="1"/>
  <c r="J2126" i="1" s="1"/>
  <c r="H1398" i="1"/>
  <c r="J1398" i="1" s="1"/>
  <c r="H2491" i="1"/>
  <c r="J2491" i="1" s="1"/>
  <c r="H1762" i="1"/>
  <c r="J1762" i="1" s="1"/>
  <c r="H1034" i="1"/>
  <c r="J1034" i="1" s="1"/>
  <c r="H349" i="1" l="1"/>
  <c r="J348" i="1"/>
  <c r="J3496" i="1"/>
  <c r="H3497" i="1"/>
  <c r="H715" i="1"/>
  <c r="J714" i="1"/>
  <c r="O885" i="13"/>
  <c r="K470" i="6"/>
  <c r="O469" i="6"/>
  <c r="J500" i="15"/>
  <c r="H134" i="15"/>
  <c r="H134" i="11"/>
  <c r="J133" i="11"/>
  <c r="J864" i="11"/>
  <c r="H865" i="11"/>
  <c r="H500" i="11"/>
  <c r="J499" i="11"/>
  <c r="O368" i="6"/>
  <c r="H1763" i="1"/>
  <c r="J1763" i="1" s="1"/>
  <c r="H2492" i="1"/>
  <c r="J2492" i="1" s="1"/>
  <c r="H1399" i="1"/>
  <c r="J1399" i="1" s="1"/>
  <c r="H2127" i="1"/>
  <c r="J2127" i="1" s="1"/>
  <c r="H1035" i="1"/>
  <c r="J1035" i="1" s="1"/>
  <c r="H2857" i="1"/>
  <c r="J2857" i="1" s="1"/>
  <c r="H716" i="1" l="1"/>
  <c r="J715" i="1"/>
  <c r="H3498" i="1"/>
  <c r="J3497" i="1"/>
  <c r="H350" i="1"/>
  <c r="J349" i="1"/>
  <c r="O886" i="13"/>
  <c r="K471" i="6"/>
  <c r="O470" i="6"/>
  <c r="H135" i="15"/>
  <c r="J501" i="15"/>
  <c r="J865" i="11"/>
  <c r="H866" i="11"/>
  <c r="J134" i="11"/>
  <c r="H135" i="11"/>
  <c r="J500" i="11"/>
  <c r="H501" i="11"/>
  <c r="O369" i="6"/>
  <c r="H1036" i="1"/>
  <c r="J1036" i="1" s="1"/>
  <c r="H2128" i="1"/>
  <c r="J2128" i="1" s="1"/>
  <c r="H1400" i="1"/>
  <c r="J1400" i="1" s="1"/>
  <c r="H2493" i="1"/>
  <c r="J2493" i="1" s="1"/>
  <c r="H2858" i="1"/>
  <c r="J2858" i="1" s="1"/>
  <c r="H1764" i="1"/>
  <c r="J1764" i="1" s="1"/>
  <c r="H351" i="1" l="1"/>
  <c r="J350" i="1"/>
  <c r="H3499" i="1"/>
  <c r="J3498" i="1"/>
  <c r="H717" i="1"/>
  <c r="J716" i="1"/>
  <c r="O887" i="13"/>
  <c r="K472" i="6"/>
  <c r="O471" i="6"/>
  <c r="J502" i="15"/>
  <c r="H136" i="15"/>
  <c r="H136" i="11"/>
  <c r="J135" i="11"/>
  <c r="H502" i="11"/>
  <c r="J501" i="11"/>
  <c r="H867" i="11"/>
  <c r="J866" i="11"/>
  <c r="O370" i="6"/>
  <c r="H2859" i="1"/>
  <c r="J2859" i="1" s="1"/>
  <c r="H2494" i="1"/>
  <c r="J2494" i="1" s="1"/>
  <c r="H1401" i="1"/>
  <c r="J1401" i="1" s="1"/>
  <c r="H2129" i="1"/>
  <c r="J2129" i="1" s="1"/>
  <c r="H1765" i="1"/>
  <c r="J1765" i="1" s="1"/>
  <c r="H1037" i="1"/>
  <c r="J1037" i="1" s="1"/>
  <c r="H718" i="1" l="1"/>
  <c r="J717" i="1"/>
  <c r="H3500" i="1"/>
  <c r="J3499" i="1"/>
  <c r="H352" i="1"/>
  <c r="J351" i="1"/>
  <c r="O888" i="13"/>
  <c r="K473" i="6"/>
  <c r="O472" i="6"/>
  <c r="J503" i="15"/>
  <c r="H137" i="15"/>
  <c r="H503" i="11"/>
  <c r="J502" i="11"/>
  <c r="H137" i="11"/>
  <c r="J136" i="11"/>
  <c r="H868" i="11"/>
  <c r="J867" i="11"/>
  <c r="O371" i="6"/>
  <c r="H1766" i="1"/>
  <c r="J1766" i="1" s="1"/>
  <c r="H2130" i="1"/>
  <c r="J2130" i="1" s="1"/>
  <c r="H1402" i="1"/>
  <c r="J1402" i="1" s="1"/>
  <c r="H2495" i="1"/>
  <c r="J2495" i="1" s="1"/>
  <c r="H1038" i="1"/>
  <c r="J1038" i="1" s="1"/>
  <c r="H2860" i="1"/>
  <c r="J2860" i="1" s="1"/>
  <c r="H353" i="1" l="1"/>
  <c r="J352" i="1"/>
  <c r="J3500" i="1"/>
  <c r="H3501" i="1"/>
  <c r="H719" i="1"/>
  <c r="J718" i="1"/>
  <c r="O889" i="13"/>
  <c r="K474" i="6"/>
  <c r="O473" i="6"/>
  <c r="H138" i="15"/>
  <c r="J504" i="15"/>
  <c r="H869" i="11"/>
  <c r="J868" i="11"/>
  <c r="H138" i="11"/>
  <c r="J137" i="11"/>
  <c r="H504" i="11"/>
  <c r="J503" i="11"/>
  <c r="O372" i="6"/>
  <c r="H1039" i="1"/>
  <c r="J1039" i="1" s="1"/>
  <c r="H2131" i="1"/>
  <c r="J2131" i="1" s="1"/>
  <c r="H2496" i="1"/>
  <c r="J2496" i="1" s="1"/>
  <c r="H1403" i="1"/>
  <c r="J1403" i="1" s="1"/>
  <c r="H2861" i="1"/>
  <c r="J2861" i="1" s="1"/>
  <c r="H1767" i="1"/>
  <c r="J1767" i="1" s="1"/>
  <c r="H720" i="1" l="1"/>
  <c r="J719" i="1"/>
  <c r="H3502" i="1"/>
  <c r="J3501" i="1"/>
  <c r="H354" i="1"/>
  <c r="J353" i="1"/>
  <c r="O890" i="13"/>
  <c r="K475" i="6"/>
  <c r="O474" i="6"/>
  <c r="H139" i="15"/>
  <c r="J505" i="15"/>
  <c r="J504" i="11"/>
  <c r="H505" i="11"/>
  <c r="J869" i="11"/>
  <c r="H870" i="11"/>
  <c r="H139" i="11"/>
  <c r="J138" i="11"/>
  <c r="O373" i="6"/>
  <c r="H2862" i="1"/>
  <c r="J2862" i="1" s="1"/>
  <c r="H1404" i="1"/>
  <c r="J1404" i="1" s="1"/>
  <c r="H2497" i="1"/>
  <c r="J2497" i="1" s="1"/>
  <c r="H2132" i="1"/>
  <c r="J2132" i="1" s="1"/>
  <c r="H1768" i="1"/>
  <c r="J1768" i="1" s="1"/>
  <c r="H1040" i="1"/>
  <c r="J1040" i="1" s="1"/>
  <c r="H355" i="1" l="1"/>
  <c r="J354" i="1"/>
  <c r="H3503" i="1"/>
  <c r="J3502" i="1"/>
  <c r="H721" i="1"/>
  <c r="J720" i="1"/>
  <c r="O891" i="13"/>
  <c r="K476" i="6"/>
  <c r="O475" i="6"/>
  <c r="J506" i="15"/>
  <c r="H140" i="15"/>
  <c r="H871" i="11"/>
  <c r="J870" i="11"/>
  <c r="J139" i="11"/>
  <c r="H140" i="11"/>
  <c r="H506" i="11"/>
  <c r="J505" i="11"/>
  <c r="O374" i="6"/>
  <c r="H1769" i="1"/>
  <c r="J1769" i="1" s="1"/>
  <c r="H2133" i="1"/>
  <c r="J2133" i="1" s="1"/>
  <c r="H2498" i="1"/>
  <c r="J2498" i="1" s="1"/>
  <c r="H1405" i="1"/>
  <c r="J1405" i="1" s="1"/>
  <c r="H1041" i="1"/>
  <c r="J1041" i="1" s="1"/>
  <c r="H2863" i="1"/>
  <c r="J2863" i="1" s="1"/>
  <c r="H722" i="1" l="1"/>
  <c r="J721" i="1"/>
  <c r="J3503" i="1"/>
  <c r="H3504" i="1"/>
  <c r="H356" i="1"/>
  <c r="J355" i="1"/>
  <c r="O892" i="13"/>
  <c r="K477" i="6"/>
  <c r="O476" i="6"/>
  <c r="J507" i="15"/>
  <c r="H141" i="15"/>
  <c r="H872" i="11"/>
  <c r="J871" i="11"/>
  <c r="J506" i="11"/>
  <c r="H507" i="11"/>
  <c r="H141" i="11"/>
  <c r="J140" i="11"/>
  <c r="O375" i="6"/>
  <c r="H1042" i="1"/>
  <c r="J1042" i="1" s="1"/>
  <c r="H1406" i="1"/>
  <c r="J1406" i="1" s="1"/>
  <c r="H2499" i="1"/>
  <c r="J2499" i="1" s="1"/>
  <c r="H2134" i="1"/>
  <c r="J2134" i="1" s="1"/>
  <c r="H2864" i="1"/>
  <c r="J2864" i="1" s="1"/>
  <c r="H1770" i="1"/>
  <c r="J1770" i="1" s="1"/>
  <c r="H357" i="1" l="1"/>
  <c r="J356" i="1"/>
  <c r="H3505" i="1"/>
  <c r="J3504" i="1"/>
  <c r="H723" i="1"/>
  <c r="J722" i="1"/>
  <c r="O893" i="13"/>
  <c r="K478" i="6"/>
  <c r="O477" i="6"/>
  <c r="H142" i="15"/>
  <c r="J508" i="15"/>
  <c r="J141" i="11"/>
  <c r="H142" i="11"/>
  <c r="H508" i="11"/>
  <c r="J507" i="11"/>
  <c r="H873" i="11"/>
  <c r="J872" i="11"/>
  <c r="O377" i="6"/>
  <c r="O376" i="6"/>
  <c r="H1407" i="1"/>
  <c r="J1407" i="1" s="1"/>
  <c r="H2865" i="1"/>
  <c r="J2865" i="1" s="1"/>
  <c r="H2135" i="1"/>
  <c r="J2135" i="1" s="1"/>
  <c r="H2500" i="1"/>
  <c r="J2500" i="1" s="1"/>
  <c r="H1771" i="1"/>
  <c r="J1771" i="1" s="1"/>
  <c r="H1043" i="1"/>
  <c r="J1043" i="1" s="1"/>
  <c r="H724" i="1" l="1"/>
  <c r="J723" i="1"/>
  <c r="J3505" i="1"/>
  <c r="H3506" i="1"/>
  <c r="H358" i="1"/>
  <c r="J357" i="1"/>
  <c r="O894" i="13"/>
  <c r="K479" i="6"/>
  <c r="O478" i="6"/>
  <c r="J509" i="15"/>
  <c r="H143" i="15"/>
  <c r="J142" i="11"/>
  <c r="H143" i="11"/>
  <c r="H874" i="11"/>
  <c r="J873" i="11"/>
  <c r="J508" i="11"/>
  <c r="H509" i="11"/>
  <c r="H1772" i="1"/>
  <c r="J1772" i="1" s="1"/>
  <c r="H2501" i="1"/>
  <c r="J2501" i="1" s="1"/>
  <c r="H2136" i="1"/>
  <c r="J2136" i="1" s="1"/>
  <c r="H2866" i="1"/>
  <c r="J2866" i="1" s="1"/>
  <c r="H1044" i="1"/>
  <c r="J1044" i="1" s="1"/>
  <c r="H1408" i="1"/>
  <c r="J1408" i="1" s="1"/>
  <c r="H359" i="1" l="1"/>
  <c r="J358" i="1"/>
  <c r="J3506" i="1"/>
  <c r="H3507" i="1"/>
  <c r="H725" i="1"/>
  <c r="J724" i="1"/>
  <c r="O895" i="13"/>
  <c r="K480" i="6"/>
  <c r="O479" i="6"/>
  <c r="J510" i="15"/>
  <c r="H144" i="15"/>
  <c r="H510" i="11"/>
  <c r="J509" i="11"/>
  <c r="H144" i="11"/>
  <c r="J143" i="11"/>
  <c r="J874" i="11"/>
  <c r="H875" i="11"/>
  <c r="H1045" i="1"/>
  <c r="J1045" i="1" s="1"/>
  <c r="H2867" i="1"/>
  <c r="J2867" i="1" s="1"/>
  <c r="H2137" i="1"/>
  <c r="J2137" i="1" s="1"/>
  <c r="H2502" i="1"/>
  <c r="J2502" i="1" s="1"/>
  <c r="H1409" i="1"/>
  <c r="J1409" i="1" s="1"/>
  <c r="H1773" i="1"/>
  <c r="J1773" i="1" s="1"/>
  <c r="H726" i="1" l="1"/>
  <c r="J725" i="1"/>
  <c r="H3508" i="1"/>
  <c r="J3507" i="1"/>
  <c r="H360" i="1"/>
  <c r="J359" i="1"/>
  <c r="O896" i="13"/>
  <c r="K481" i="6"/>
  <c r="O480" i="6"/>
  <c r="H145" i="15"/>
  <c r="J511" i="15"/>
  <c r="H145" i="11"/>
  <c r="J144" i="11"/>
  <c r="H511" i="11"/>
  <c r="J510" i="11"/>
  <c r="H876" i="11"/>
  <c r="J875" i="11"/>
  <c r="H1410" i="1"/>
  <c r="J1410" i="1" s="1"/>
  <c r="H2503" i="1"/>
  <c r="J2503" i="1" s="1"/>
  <c r="H2138" i="1"/>
  <c r="J2138" i="1" s="1"/>
  <c r="H2868" i="1"/>
  <c r="J2868" i="1" s="1"/>
  <c r="H1774" i="1"/>
  <c r="J1774" i="1" s="1"/>
  <c r="H1046" i="1"/>
  <c r="J1046" i="1" s="1"/>
  <c r="H361" i="1" l="1"/>
  <c r="J360" i="1"/>
  <c r="J3508" i="1"/>
  <c r="H3509" i="1"/>
  <c r="H727" i="1"/>
  <c r="J726" i="1"/>
  <c r="O897" i="13"/>
  <c r="K482" i="6"/>
  <c r="O481" i="6"/>
  <c r="H146" i="15"/>
  <c r="J512" i="15"/>
  <c r="H512" i="11"/>
  <c r="J511" i="11"/>
  <c r="H877" i="11"/>
  <c r="J876" i="11"/>
  <c r="H146" i="11"/>
  <c r="J145" i="11"/>
  <c r="H1775" i="1"/>
  <c r="J1775" i="1" s="1"/>
  <c r="H2869" i="1"/>
  <c r="J2869" i="1" s="1"/>
  <c r="H2139" i="1"/>
  <c r="J2139" i="1" s="1"/>
  <c r="H2504" i="1"/>
  <c r="J2504" i="1" s="1"/>
  <c r="H1047" i="1"/>
  <c r="J1047" i="1" s="1"/>
  <c r="H1411" i="1"/>
  <c r="J1411" i="1" s="1"/>
  <c r="H728" i="1" l="1"/>
  <c r="J727" i="1"/>
  <c r="H3510" i="1"/>
  <c r="J3509" i="1"/>
  <c r="H362" i="1"/>
  <c r="J361" i="1"/>
  <c r="O898" i="13"/>
  <c r="K483" i="6"/>
  <c r="O482" i="6"/>
  <c r="J513" i="15"/>
  <c r="H147" i="15"/>
  <c r="H513" i="11"/>
  <c r="J512" i="11"/>
  <c r="H878" i="11"/>
  <c r="J877" i="11"/>
  <c r="H147" i="11"/>
  <c r="J146" i="11"/>
  <c r="H1048" i="1"/>
  <c r="J1048" i="1" s="1"/>
  <c r="H2870" i="1"/>
  <c r="J2870" i="1" s="1"/>
  <c r="H2140" i="1"/>
  <c r="J2140" i="1" s="1"/>
  <c r="H2505" i="1"/>
  <c r="J2505" i="1" s="1"/>
  <c r="H1412" i="1"/>
  <c r="J1412" i="1" s="1"/>
  <c r="H1776" i="1"/>
  <c r="J1776" i="1" s="1"/>
  <c r="H363" i="1" l="1"/>
  <c r="J362" i="1"/>
  <c r="J3510" i="1"/>
  <c r="H3511" i="1"/>
  <c r="H729" i="1"/>
  <c r="J728" i="1"/>
  <c r="O899" i="13"/>
  <c r="K484" i="6"/>
  <c r="O483" i="6"/>
  <c r="H148" i="15"/>
  <c r="J514" i="15"/>
  <c r="H879" i="11"/>
  <c r="J878" i="11"/>
  <c r="H148" i="11"/>
  <c r="J147" i="11"/>
  <c r="J513" i="11"/>
  <c r="H514" i="11"/>
  <c r="H1413" i="1"/>
  <c r="J1413" i="1" s="1"/>
  <c r="H2506" i="1"/>
  <c r="J2506" i="1" s="1"/>
  <c r="H2141" i="1"/>
  <c r="J2141" i="1" s="1"/>
  <c r="H2871" i="1"/>
  <c r="J2871" i="1" s="1"/>
  <c r="H1777" i="1"/>
  <c r="J1777" i="1" s="1"/>
  <c r="H1049" i="1"/>
  <c r="J1049" i="1" s="1"/>
  <c r="J3511" i="1" l="1"/>
  <c r="H3512" i="1"/>
  <c r="H730" i="1"/>
  <c r="J729" i="1"/>
  <c r="H364" i="1"/>
  <c r="J363" i="1"/>
  <c r="O900" i="13"/>
  <c r="K485" i="6"/>
  <c r="O484" i="6"/>
  <c r="H149" i="15"/>
  <c r="J515" i="15"/>
  <c r="J148" i="11"/>
  <c r="H149" i="11"/>
  <c r="J514" i="11"/>
  <c r="H515" i="11"/>
  <c r="J879" i="11"/>
  <c r="H880" i="11"/>
  <c r="H1778" i="1"/>
  <c r="J1778" i="1" s="1"/>
  <c r="H2872" i="1"/>
  <c r="J2872" i="1" s="1"/>
  <c r="H2142" i="1"/>
  <c r="J2142" i="1" s="1"/>
  <c r="H2507" i="1"/>
  <c r="J2507" i="1" s="1"/>
  <c r="H1050" i="1"/>
  <c r="J1050" i="1" s="1"/>
  <c r="H1414" i="1"/>
  <c r="J1414" i="1" s="1"/>
  <c r="H365" i="1" l="1"/>
  <c r="J364" i="1"/>
  <c r="H731" i="1"/>
  <c r="J730" i="1"/>
  <c r="J3512" i="1"/>
  <c r="H3513" i="1"/>
  <c r="O901" i="13"/>
  <c r="K486" i="6"/>
  <c r="O485" i="6"/>
  <c r="J516" i="15"/>
  <c r="H150" i="15"/>
  <c r="H881" i="11"/>
  <c r="J880" i="11"/>
  <c r="J149" i="11"/>
  <c r="H150" i="11"/>
  <c r="H516" i="11"/>
  <c r="J515" i="11"/>
  <c r="H1051" i="1"/>
  <c r="J1051" i="1" s="1"/>
  <c r="H2508" i="1"/>
  <c r="J2508" i="1" s="1"/>
  <c r="H2143" i="1"/>
  <c r="J2143" i="1" s="1"/>
  <c r="H2873" i="1"/>
  <c r="J2873" i="1" s="1"/>
  <c r="H1415" i="1"/>
  <c r="J1415" i="1" s="1"/>
  <c r="H1779" i="1"/>
  <c r="J1779" i="1" s="1"/>
  <c r="H732" i="1" l="1"/>
  <c r="J731" i="1"/>
  <c r="J3513" i="1"/>
  <c r="H3514" i="1"/>
  <c r="H366" i="1"/>
  <c r="J365" i="1"/>
  <c r="O902" i="13"/>
  <c r="K487" i="6"/>
  <c r="O486" i="6"/>
  <c r="H151" i="15"/>
  <c r="J517" i="15"/>
  <c r="H151" i="11"/>
  <c r="J150" i="11"/>
  <c r="H882" i="11"/>
  <c r="J881" i="11"/>
  <c r="J516" i="11"/>
  <c r="H517" i="11"/>
  <c r="H1416" i="1"/>
  <c r="J1416" i="1" s="1"/>
  <c r="H2874" i="1"/>
  <c r="J2874" i="1" s="1"/>
  <c r="H2144" i="1"/>
  <c r="J2144" i="1" s="1"/>
  <c r="H2509" i="1"/>
  <c r="J2509" i="1" s="1"/>
  <c r="H1780" i="1"/>
  <c r="J1780" i="1" s="1"/>
  <c r="H1052" i="1"/>
  <c r="J1052" i="1" s="1"/>
  <c r="H367" i="1" l="1"/>
  <c r="J366" i="1"/>
  <c r="J3514" i="1"/>
  <c r="H3515" i="1"/>
  <c r="H733" i="1"/>
  <c r="J732" i="1"/>
  <c r="O903" i="13"/>
  <c r="K488" i="6"/>
  <c r="O487" i="6"/>
  <c r="J518" i="15"/>
  <c r="H152" i="15"/>
  <c r="H883" i="11"/>
  <c r="J882" i="11"/>
  <c r="J517" i="11"/>
  <c r="H518" i="11"/>
  <c r="H152" i="11"/>
  <c r="J151" i="11"/>
  <c r="H1781" i="1"/>
  <c r="J1781" i="1" s="1"/>
  <c r="H2510" i="1"/>
  <c r="J2510" i="1" s="1"/>
  <c r="H2145" i="1"/>
  <c r="J2145" i="1" s="1"/>
  <c r="H2875" i="1"/>
  <c r="J2875" i="1" s="1"/>
  <c r="H1053" i="1"/>
  <c r="J1053" i="1" s="1"/>
  <c r="H1417" i="1"/>
  <c r="J1417" i="1" s="1"/>
  <c r="H734" i="1" l="1"/>
  <c r="J733" i="1"/>
  <c r="J3515" i="1"/>
  <c r="H3516" i="1"/>
  <c r="H368" i="1"/>
  <c r="J367" i="1"/>
  <c r="O904" i="13"/>
  <c r="K489" i="6"/>
  <c r="O488" i="6"/>
  <c r="H153" i="15"/>
  <c r="J519" i="15"/>
  <c r="J152" i="11"/>
  <c r="H153" i="11"/>
  <c r="H519" i="11"/>
  <c r="J518" i="11"/>
  <c r="H884" i="11"/>
  <c r="J883" i="11"/>
  <c r="H1054" i="1"/>
  <c r="J1054" i="1" s="1"/>
  <c r="H2876" i="1"/>
  <c r="J2876" i="1" s="1"/>
  <c r="H2146" i="1"/>
  <c r="J2146" i="1" s="1"/>
  <c r="H2511" i="1"/>
  <c r="J2511" i="1" s="1"/>
  <c r="H1418" i="1"/>
  <c r="J1418" i="1" s="1"/>
  <c r="H1782" i="1"/>
  <c r="J1782" i="1" s="1"/>
  <c r="H369" i="1" l="1"/>
  <c r="J368" i="1"/>
  <c r="H3517" i="1"/>
  <c r="J3516" i="1"/>
  <c r="H735" i="1"/>
  <c r="J734" i="1"/>
  <c r="O905" i="13"/>
  <c r="K490" i="6"/>
  <c r="O489" i="6"/>
  <c r="J520" i="15"/>
  <c r="H154" i="15"/>
  <c r="J884" i="11"/>
  <c r="H885" i="11"/>
  <c r="H154" i="11"/>
  <c r="J153" i="11"/>
  <c r="H520" i="11"/>
  <c r="J519" i="11"/>
  <c r="H1419" i="1"/>
  <c r="J1419" i="1" s="1"/>
  <c r="H2512" i="1"/>
  <c r="J2512" i="1" s="1"/>
  <c r="H2147" i="1"/>
  <c r="J2147" i="1" s="1"/>
  <c r="H2877" i="1"/>
  <c r="J2877" i="1" s="1"/>
  <c r="H1783" i="1"/>
  <c r="J1783" i="1" s="1"/>
  <c r="H1055" i="1"/>
  <c r="J1055" i="1" s="1"/>
  <c r="H736" i="1" l="1"/>
  <c r="J735" i="1"/>
  <c r="H3518" i="1"/>
  <c r="J3517" i="1"/>
  <c r="H370" i="1"/>
  <c r="J369" i="1"/>
  <c r="O906" i="13"/>
  <c r="K491" i="6"/>
  <c r="O490" i="6"/>
  <c r="J521" i="15"/>
  <c r="H155" i="15"/>
  <c r="H886" i="11"/>
  <c r="J885" i="11"/>
  <c r="H521" i="11"/>
  <c r="J520" i="11"/>
  <c r="H155" i="11"/>
  <c r="J154" i="11"/>
  <c r="H1784" i="1"/>
  <c r="J1784" i="1" s="1"/>
  <c r="H2513" i="1"/>
  <c r="J2513" i="1" s="1"/>
  <c r="H2878" i="1"/>
  <c r="J2878" i="1" s="1"/>
  <c r="H2148" i="1"/>
  <c r="J2148" i="1" s="1"/>
  <c r="H1056" i="1"/>
  <c r="J1056" i="1" s="1"/>
  <c r="H1420" i="1"/>
  <c r="J1420" i="1" s="1"/>
  <c r="H3519" i="1" l="1"/>
  <c r="J3518" i="1"/>
  <c r="H371" i="1"/>
  <c r="J370" i="1"/>
  <c r="H737" i="1"/>
  <c r="J736" i="1"/>
  <c r="O907" i="13"/>
  <c r="K492" i="6"/>
  <c r="O491" i="6"/>
  <c r="H156" i="15"/>
  <c r="J522" i="15"/>
  <c r="H156" i="11"/>
  <c r="J155" i="11"/>
  <c r="J521" i="11"/>
  <c r="H522" i="11"/>
  <c r="H887" i="11"/>
  <c r="J886" i="11"/>
  <c r="H2149" i="1"/>
  <c r="J2149" i="1" s="1"/>
  <c r="H1057" i="1"/>
  <c r="J1057" i="1" s="1"/>
  <c r="H2879" i="1"/>
  <c r="J2879" i="1" s="1"/>
  <c r="H2514" i="1"/>
  <c r="J2514" i="1" s="1"/>
  <c r="H1421" i="1"/>
  <c r="J1421" i="1" s="1"/>
  <c r="H1785" i="1"/>
  <c r="J1785" i="1" s="1"/>
  <c r="H372" i="1" l="1"/>
  <c r="J371" i="1"/>
  <c r="H738" i="1"/>
  <c r="J737" i="1"/>
  <c r="J3519" i="1"/>
  <c r="H3520" i="1"/>
  <c r="O908" i="13"/>
  <c r="K493" i="6"/>
  <c r="O492" i="6"/>
  <c r="H157" i="15"/>
  <c r="J523" i="15"/>
  <c r="J156" i="11"/>
  <c r="H157" i="11"/>
  <c r="H523" i="11"/>
  <c r="J522" i="11"/>
  <c r="H888" i="11"/>
  <c r="J887" i="11"/>
  <c r="H1422" i="1"/>
  <c r="J1422" i="1" s="1"/>
  <c r="H2515" i="1"/>
  <c r="J2515" i="1" s="1"/>
  <c r="H2880" i="1"/>
  <c r="J2880" i="1" s="1"/>
  <c r="H1058" i="1"/>
  <c r="J1058" i="1" s="1"/>
  <c r="H1786" i="1"/>
  <c r="J1786" i="1" s="1"/>
  <c r="H2150" i="1"/>
  <c r="J2150" i="1" s="1"/>
  <c r="J3520" i="1" l="1"/>
  <c r="H3521" i="1"/>
  <c r="H739" i="1"/>
  <c r="J738" i="1"/>
  <c r="H373" i="1"/>
  <c r="J372" i="1"/>
  <c r="O909" i="13"/>
  <c r="K494" i="6"/>
  <c r="O493" i="6"/>
  <c r="J524" i="15"/>
  <c r="H158" i="15"/>
  <c r="H158" i="11"/>
  <c r="J157" i="11"/>
  <c r="H889" i="11"/>
  <c r="J888" i="11"/>
  <c r="H524" i="11"/>
  <c r="J523" i="11"/>
  <c r="H1787" i="1"/>
  <c r="J1787" i="1" s="1"/>
  <c r="H1059" i="1"/>
  <c r="J1059" i="1" s="1"/>
  <c r="H2881" i="1"/>
  <c r="J2881" i="1" s="1"/>
  <c r="H2516" i="1"/>
  <c r="J2516" i="1" s="1"/>
  <c r="H2151" i="1"/>
  <c r="J2151" i="1" s="1"/>
  <c r="H1423" i="1"/>
  <c r="J1423" i="1" s="1"/>
  <c r="H740" i="1" l="1"/>
  <c r="J739" i="1"/>
  <c r="J3521" i="1"/>
  <c r="H3522" i="1"/>
  <c r="H374" i="1"/>
  <c r="J373" i="1"/>
  <c r="O910" i="13"/>
  <c r="K495" i="6"/>
  <c r="O494" i="6"/>
  <c r="H159" i="15"/>
  <c r="J525" i="15"/>
  <c r="J524" i="11"/>
  <c r="H525" i="11"/>
  <c r="H890" i="11"/>
  <c r="J889" i="11"/>
  <c r="H159" i="11"/>
  <c r="J158" i="11"/>
  <c r="H2152" i="1"/>
  <c r="J2152" i="1" s="1"/>
  <c r="H2517" i="1"/>
  <c r="J2517" i="1" s="1"/>
  <c r="H2882" i="1"/>
  <c r="J2882" i="1" s="1"/>
  <c r="H1060" i="1"/>
  <c r="J1060" i="1" s="1"/>
  <c r="H1424" i="1"/>
  <c r="J1424" i="1" s="1"/>
  <c r="H1788" i="1"/>
  <c r="J1788" i="1" s="1"/>
  <c r="H375" i="1" l="1"/>
  <c r="J374" i="1"/>
  <c r="J3522" i="1"/>
  <c r="H3523" i="1"/>
  <c r="H741" i="1"/>
  <c r="J740" i="1"/>
  <c r="O911" i="13"/>
  <c r="K496" i="6"/>
  <c r="O495" i="6"/>
  <c r="H160" i="15"/>
  <c r="J526" i="15"/>
  <c r="H526" i="11"/>
  <c r="J525" i="11"/>
  <c r="J159" i="11"/>
  <c r="H160" i="11"/>
  <c r="H891" i="11"/>
  <c r="J890" i="11"/>
  <c r="H1425" i="1"/>
  <c r="J1425" i="1" s="1"/>
  <c r="H1061" i="1"/>
  <c r="J1061" i="1" s="1"/>
  <c r="H2883" i="1"/>
  <c r="J2883" i="1" s="1"/>
  <c r="H2518" i="1"/>
  <c r="J2518" i="1" s="1"/>
  <c r="H1789" i="1"/>
  <c r="J1789" i="1" s="1"/>
  <c r="H2153" i="1"/>
  <c r="J2153" i="1" s="1"/>
  <c r="H742" i="1" l="1"/>
  <c r="J741" i="1"/>
  <c r="J3523" i="1"/>
  <c r="H3524" i="1"/>
  <c r="H376" i="1"/>
  <c r="J375" i="1"/>
  <c r="O912" i="13"/>
  <c r="K497" i="6"/>
  <c r="O496" i="6"/>
  <c r="J527" i="15"/>
  <c r="H161" i="15"/>
  <c r="H161" i="11"/>
  <c r="J160" i="11"/>
  <c r="H892" i="11"/>
  <c r="J891" i="11"/>
  <c r="H527" i="11"/>
  <c r="J526" i="11"/>
  <c r="H1790" i="1"/>
  <c r="J1790" i="1" s="1"/>
  <c r="H2519" i="1"/>
  <c r="J2519" i="1" s="1"/>
  <c r="H2884" i="1"/>
  <c r="J2884" i="1" s="1"/>
  <c r="H1062" i="1"/>
  <c r="J1062" i="1" s="1"/>
  <c r="H2154" i="1"/>
  <c r="J2154" i="1" s="1"/>
  <c r="H1426" i="1"/>
  <c r="J1426" i="1" s="1"/>
  <c r="H377" i="1" l="1"/>
  <c r="J376" i="1"/>
  <c r="H3525" i="1"/>
  <c r="J3524" i="1"/>
  <c r="H743" i="1"/>
  <c r="J742" i="1"/>
  <c r="O913" i="13"/>
  <c r="K498" i="6"/>
  <c r="O497" i="6"/>
  <c r="H162" i="15"/>
  <c r="J528" i="15"/>
  <c r="H893" i="11"/>
  <c r="J892" i="11"/>
  <c r="H528" i="11"/>
  <c r="J527" i="11"/>
  <c r="H162" i="11"/>
  <c r="J161" i="11"/>
  <c r="H2520" i="1"/>
  <c r="J2520" i="1" s="1"/>
  <c r="H2155" i="1"/>
  <c r="J2155" i="1" s="1"/>
  <c r="H1063" i="1"/>
  <c r="J1063" i="1" s="1"/>
  <c r="H2885" i="1"/>
  <c r="J2885" i="1" s="1"/>
  <c r="H1427" i="1"/>
  <c r="J1427" i="1" s="1"/>
  <c r="H1791" i="1"/>
  <c r="J1791" i="1" s="1"/>
  <c r="H744" i="1" l="1"/>
  <c r="J743" i="1"/>
  <c r="H3526" i="1"/>
  <c r="J3525" i="1"/>
  <c r="H378" i="1"/>
  <c r="J377" i="1"/>
  <c r="O914" i="13"/>
  <c r="K499" i="6"/>
  <c r="O498" i="6"/>
  <c r="H163" i="15"/>
  <c r="J529" i="15"/>
  <c r="J162" i="11"/>
  <c r="H163" i="11"/>
  <c r="J528" i="11"/>
  <c r="H529" i="11"/>
  <c r="H894" i="11"/>
  <c r="J893" i="11"/>
  <c r="H1428" i="1"/>
  <c r="J1428" i="1" s="1"/>
  <c r="H2886" i="1"/>
  <c r="J2886" i="1" s="1"/>
  <c r="H1064" i="1"/>
  <c r="J1064" i="1" s="1"/>
  <c r="H2156" i="1"/>
  <c r="J2156" i="1" s="1"/>
  <c r="H1792" i="1"/>
  <c r="J1792" i="1" s="1"/>
  <c r="H2521" i="1"/>
  <c r="J2521" i="1" s="1"/>
  <c r="H379" i="1" l="1"/>
  <c r="J378" i="1"/>
  <c r="H3527" i="1"/>
  <c r="J3526" i="1"/>
  <c r="H745" i="1"/>
  <c r="J744" i="1"/>
  <c r="O915" i="13"/>
  <c r="K500" i="6"/>
  <c r="O499" i="6"/>
  <c r="J530" i="15"/>
  <c r="H164" i="15"/>
  <c r="J894" i="11"/>
  <c r="H895" i="11"/>
  <c r="H530" i="11"/>
  <c r="J529" i="11"/>
  <c r="H164" i="11"/>
  <c r="J163" i="11"/>
  <c r="H1793" i="1"/>
  <c r="J1793" i="1" s="1"/>
  <c r="H2157" i="1"/>
  <c r="J2157" i="1" s="1"/>
  <c r="H1065" i="1"/>
  <c r="J1065" i="1" s="1"/>
  <c r="H2887" i="1"/>
  <c r="J2887" i="1" s="1"/>
  <c r="H2522" i="1"/>
  <c r="J2522" i="1" s="1"/>
  <c r="H1429" i="1"/>
  <c r="J1429" i="1" s="1"/>
  <c r="H746" i="1" l="1"/>
  <c r="J745" i="1"/>
  <c r="J3527" i="1"/>
  <c r="H3528" i="1"/>
  <c r="H380" i="1"/>
  <c r="J379" i="1"/>
  <c r="O916" i="13"/>
  <c r="K501" i="6"/>
  <c r="O500" i="6"/>
  <c r="H165" i="15"/>
  <c r="J531" i="15"/>
  <c r="H165" i="11"/>
  <c r="J164" i="11"/>
  <c r="H531" i="11"/>
  <c r="J530" i="11"/>
  <c r="J895" i="11"/>
  <c r="H896" i="11"/>
  <c r="H2523" i="1"/>
  <c r="J2523" i="1" s="1"/>
  <c r="H2888" i="1"/>
  <c r="J2888" i="1" s="1"/>
  <c r="H1066" i="1"/>
  <c r="J1066" i="1" s="1"/>
  <c r="H2158" i="1"/>
  <c r="J2158" i="1" s="1"/>
  <c r="H1430" i="1"/>
  <c r="J1430" i="1" s="1"/>
  <c r="H1794" i="1"/>
  <c r="J1794" i="1" s="1"/>
  <c r="H381" i="1" l="1"/>
  <c r="J380" i="1"/>
  <c r="H3529" i="1"/>
  <c r="J3528" i="1"/>
  <c r="H747" i="1"/>
  <c r="J746" i="1"/>
  <c r="O917" i="13"/>
  <c r="K502" i="6"/>
  <c r="O501" i="6"/>
  <c r="H166" i="15"/>
  <c r="J532" i="15"/>
  <c r="H532" i="11"/>
  <c r="J531" i="11"/>
  <c r="H897" i="11"/>
  <c r="J896" i="11"/>
  <c r="H166" i="11"/>
  <c r="J165" i="11"/>
  <c r="H1431" i="1"/>
  <c r="J1431" i="1" s="1"/>
  <c r="H2159" i="1"/>
  <c r="J2159" i="1" s="1"/>
  <c r="H1067" i="1"/>
  <c r="J1067" i="1" s="1"/>
  <c r="H2889" i="1"/>
  <c r="J2889" i="1" s="1"/>
  <c r="H1795" i="1"/>
  <c r="J1795" i="1" s="1"/>
  <c r="H2524" i="1"/>
  <c r="J2524" i="1" s="1"/>
  <c r="H748" i="1" l="1"/>
  <c r="J747" i="1"/>
  <c r="J3529" i="1"/>
  <c r="H3530" i="1"/>
  <c r="H382" i="1"/>
  <c r="J381" i="1"/>
  <c r="O918" i="13"/>
  <c r="K503" i="6"/>
  <c r="O502" i="6"/>
  <c r="H167" i="15"/>
  <c r="J533" i="15"/>
  <c r="J532" i="11"/>
  <c r="H533" i="11"/>
  <c r="H167" i="11"/>
  <c r="J166" i="11"/>
  <c r="H898" i="11"/>
  <c r="J897" i="11"/>
  <c r="H1796" i="1"/>
  <c r="J1796" i="1" s="1"/>
  <c r="H2890" i="1"/>
  <c r="J2890" i="1" s="1"/>
  <c r="H1068" i="1"/>
  <c r="J1068" i="1" s="1"/>
  <c r="H2160" i="1"/>
  <c r="J2160" i="1" s="1"/>
  <c r="H2525" i="1"/>
  <c r="J2525" i="1" s="1"/>
  <c r="H1432" i="1"/>
  <c r="J1432" i="1" s="1"/>
  <c r="J3530" i="1" l="1"/>
  <c r="H3531" i="1"/>
  <c r="H383" i="1"/>
  <c r="J382" i="1"/>
  <c r="H749" i="1"/>
  <c r="J748" i="1"/>
  <c r="O919" i="13"/>
  <c r="K504" i="6"/>
  <c r="O503" i="6"/>
  <c r="H168" i="15"/>
  <c r="J534" i="15"/>
  <c r="H168" i="11"/>
  <c r="J167" i="11"/>
  <c r="H534" i="11"/>
  <c r="J533" i="11"/>
  <c r="J898" i="11"/>
  <c r="H899" i="11"/>
  <c r="H2526" i="1"/>
  <c r="J2526" i="1" s="1"/>
  <c r="H2161" i="1"/>
  <c r="J2161" i="1" s="1"/>
  <c r="H1069" i="1"/>
  <c r="J1069" i="1" s="1"/>
  <c r="H2891" i="1"/>
  <c r="J2891" i="1" s="1"/>
  <c r="H1433" i="1"/>
  <c r="J1433" i="1" s="1"/>
  <c r="H1797" i="1"/>
  <c r="J1797" i="1" s="1"/>
  <c r="H384" i="1" l="1"/>
  <c r="J383" i="1"/>
  <c r="H750" i="1"/>
  <c r="J749" i="1"/>
  <c r="H3532" i="1"/>
  <c r="J3531" i="1"/>
  <c r="O920" i="13"/>
  <c r="K505" i="6"/>
  <c r="O504" i="6"/>
  <c r="J535" i="15"/>
  <c r="H169" i="15"/>
  <c r="H169" i="11"/>
  <c r="J168" i="11"/>
  <c r="J534" i="11"/>
  <c r="H535" i="11"/>
  <c r="H900" i="11"/>
  <c r="J899" i="11"/>
  <c r="H1434" i="1"/>
  <c r="J1434" i="1" s="1"/>
  <c r="H2892" i="1"/>
  <c r="J2892" i="1" s="1"/>
  <c r="H1070" i="1"/>
  <c r="J1070" i="1" s="1"/>
  <c r="H2162" i="1"/>
  <c r="J2162" i="1" s="1"/>
  <c r="H1798" i="1"/>
  <c r="J1798" i="1" s="1"/>
  <c r="H2527" i="1"/>
  <c r="J2527" i="1" s="1"/>
  <c r="H3533" i="1" l="1"/>
  <c r="J3532" i="1"/>
  <c r="H751" i="1"/>
  <c r="J750" i="1"/>
  <c r="H385" i="1"/>
  <c r="J384" i="1"/>
  <c r="O921" i="13"/>
  <c r="K506" i="6"/>
  <c r="O505" i="6"/>
  <c r="J536" i="15"/>
  <c r="H170" i="15"/>
  <c r="H901" i="11"/>
  <c r="J900" i="11"/>
  <c r="H536" i="11"/>
  <c r="J535" i="11"/>
  <c r="H170" i="11"/>
  <c r="J169" i="11"/>
  <c r="H1799" i="1"/>
  <c r="J1799" i="1" s="1"/>
  <c r="H2163" i="1"/>
  <c r="J2163" i="1" s="1"/>
  <c r="H1071" i="1"/>
  <c r="J1071" i="1" s="1"/>
  <c r="H2893" i="1"/>
  <c r="J2893" i="1" s="1"/>
  <c r="H2528" i="1"/>
  <c r="J2528" i="1" s="1"/>
  <c r="H1435" i="1"/>
  <c r="J1435" i="1" s="1"/>
  <c r="H386" i="1" l="1"/>
  <c r="J385" i="1"/>
  <c r="H752" i="1"/>
  <c r="J751" i="1"/>
  <c r="H3534" i="1"/>
  <c r="J3533" i="1"/>
  <c r="O506" i="6"/>
  <c r="K507" i="6"/>
  <c r="O922" i="13"/>
  <c r="H171" i="15"/>
  <c r="J537" i="15"/>
  <c r="J170" i="11"/>
  <c r="H171" i="11"/>
  <c r="J536" i="11"/>
  <c r="H537" i="11"/>
  <c r="H902" i="11"/>
  <c r="J901" i="11"/>
  <c r="H2529" i="1"/>
  <c r="J2529" i="1" s="1"/>
  <c r="H2164" i="1"/>
  <c r="J2164" i="1" s="1"/>
  <c r="H1072" i="1"/>
  <c r="J1072" i="1" s="1"/>
  <c r="H2894" i="1"/>
  <c r="J2894" i="1" s="1"/>
  <c r="H1436" i="1"/>
  <c r="J1436" i="1" s="1"/>
  <c r="H1800" i="1"/>
  <c r="J1800" i="1" s="1"/>
  <c r="J3534" i="1" l="1"/>
  <c r="H3535" i="1"/>
  <c r="H753" i="1"/>
  <c r="J752" i="1"/>
  <c r="H387" i="1"/>
  <c r="J386" i="1"/>
  <c r="O507" i="6"/>
  <c r="K508" i="6"/>
  <c r="O923" i="13"/>
  <c r="J538" i="15"/>
  <c r="H172" i="15"/>
  <c r="J171" i="11"/>
  <c r="H172" i="11"/>
  <c r="J902" i="11"/>
  <c r="H903" i="11"/>
  <c r="H538" i="11"/>
  <c r="J537" i="11"/>
  <c r="H1437" i="1"/>
  <c r="J1437" i="1" s="1"/>
  <c r="H2895" i="1"/>
  <c r="J2895" i="1" s="1"/>
  <c r="H1073" i="1"/>
  <c r="J1073" i="1" s="1"/>
  <c r="H2165" i="1"/>
  <c r="J2165" i="1" s="1"/>
  <c r="H1801" i="1"/>
  <c r="J1801" i="1" s="1"/>
  <c r="H2530" i="1"/>
  <c r="J2530" i="1" s="1"/>
  <c r="H388" i="1" l="1"/>
  <c r="J387" i="1"/>
  <c r="H754" i="1"/>
  <c r="J753" i="1"/>
  <c r="J3535" i="1"/>
  <c r="H3536" i="1"/>
  <c r="K509" i="6"/>
  <c r="O508" i="6"/>
  <c r="O924" i="13"/>
  <c r="J539" i="15"/>
  <c r="H173" i="15"/>
  <c r="H904" i="11"/>
  <c r="J903" i="11"/>
  <c r="J538" i="11"/>
  <c r="H539" i="11"/>
  <c r="J172" i="11"/>
  <c r="H173" i="11"/>
  <c r="H1802" i="1"/>
  <c r="J1802" i="1" s="1"/>
  <c r="H2166" i="1"/>
  <c r="J2166" i="1" s="1"/>
  <c r="H1074" i="1"/>
  <c r="J1074" i="1" s="1"/>
  <c r="H2896" i="1"/>
  <c r="J2896" i="1" s="1"/>
  <c r="H2531" i="1"/>
  <c r="J2531" i="1" s="1"/>
  <c r="H1438" i="1"/>
  <c r="J1438" i="1" s="1"/>
  <c r="J3536" i="1" l="1"/>
  <c r="H3537" i="1"/>
  <c r="H755" i="1"/>
  <c r="J754" i="1"/>
  <c r="H389" i="1"/>
  <c r="J388" i="1"/>
  <c r="O509" i="6"/>
  <c r="K510" i="6"/>
  <c r="O925" i="13"/>
  <c r="H174" i="15"/>
  <c r="J540" i="15"/>
  <c r="H540" i="11"/>
  <c r="J539" i="11"/>
  <c r="H174" i="11"/>
  <c r="J173" i="11"/>
  <c r="J904" i="11"/>
  <c r="H905" i="11"/>
  <c r="H2532" i="1"/>
  <c r="J2532" i="1" s="1"/>
  <c r="H2897" i="1"/>
  <c r="J2897" i="1" s="1"/>
  <c r="H1075" i="1"/>
  <c r="J1075" i="1" s="1"/>
  <c r="H2167" i="1"/>
  <c r="J2167" i="1" s="1"/>
  <c r="H1439" i="1"/>
  <c r="J1439" i="1" s="1"/>
  <c r="H1803" i="1"/>
  <c r="J1803" i="1" s="1"/>
  <c r="H390" i="1" l="1"/>
  <c r="J389" i="1"/>
  <c r="H756" i="1"/>
  <c r="J755" i="1"/>
  <c r="H3538" i="1"/>
  <c r="J3537" i="1"/>
  <c r="K511" i="6"/>
  <c r="O510" i="6"/>
  <c r="O926" i="13"/>
  <c r="J541" i="15"/>
  <c r="H175" i="15"/>
  <c r="J174" i="11"/>
  <c r="H175" i="11"/>
  <c r="H906" i="11"/>
  <c r="J905" i="11"/>
  <c r="H541" i="11"/>
  <c r="J540" i="11"/>
  <c r="H1440" i="1"/>
  <c r="J1440" i="1" s="1"/>
  <c r="H2168" i="1"/>
  <c r="J2168" i="1" s="1"/>
  <c r="H1076" i="1"/>
  <c r="J1076" i="1" s="1"/>
  <c r="H2898" i="1"/>
  <c r="J2898" i="1" s="1"/>
  <c r="H1804" i="1"/>
  <c r="J1804" i="1" s="1"/>
  <c r="H2533" i="1"/>
  <c r="J2533" i="1" s="1"/>
  <c r="J3538" i="1" l="1"/>
  <c r="H3539" i="1"/>
  <c r="H757" i="1"/>
  <c r="J756" i="1"/>
  <c r="H391" i="1"/>
  <c r="J390" i="1"/>
  <c r="K512" i="6"/>
  <c r="O511" i="6"/>
  <c r="O927" i="13"/>
  <c r="H176" i="15"/>
  <c r="J542" i="15"/>
  <c r="J906" i="11"/>
  <c r="H907" i="11"/>
  <c r="H542" i="11"/>
  <c r="J541" i="11"/>
  <c r="H176" i="11"/>
  <c r="J175" i="11"/>
  <c r="H1805" i="1"/>
  <c r="J1805" i="1" s="1"/>
  <c r="H2899" i="1"/>
  <c r="J2899" i="1" s="1"/>
  <c r="H1077" i="1"/>
  <c r="J1077" i="1" s="1"/>
  <c r="H2169" i="1"/>
  <c r="J2169" i="1" s="1"/>
  <c r="H2534" i="1"/>
  <c r="J2534" i="1" s="1"/>
  <c r="H1441" i="1"/>
  <c r="J1441" i="1" s="1"/>
  <c r="H392" i="1" l="1"/>
  <c r="J391" i="1"/>
  <c r="H3540" i="1"/>
  <c r="J3539" i="1"/>
  <c r="H758" i="1"/>
  <c r="J757" i="1"/>
  <c r="K513" i="6"/>
  <c r="O512" i="6"/>
  <c r="O928" i="13"/>
  <c r="J543" i="15"/>
  <c r="H177" i="15"/>
  <c r="H543" i="11"/>
  <c r="J542" i="11"/>
  <c r="H908" i="11"/>
  <c r="J907" i="11"/>
  <c r="J176" i="11"/>
  <c r="H177" i="11"/>
  <c r="H2535" i="1"/>
  <c r="J2535" i="1" s="1"/>
  <c r="H2900" i="1"/>
  <c r="J2900" i="1" s="1"/>
  <c r="H2170" i="1"/>
  <c r="J2170" i="1" s="1"/>
  <c r="H1078" i="1"/>
  <c r="J1078" i="1" s="1"/>
  <c r="H1442" i="1"/>
  <c r="J1442" i="1" s="1"/>
  <c r="H1806" i="1"/>
  <c r="J1806" i="1" s="1"/>
  <c r="H759" i="1" l="1"/>
  <c r="J758" i="1"/>
  <c r="H3541" i="1"/>
  <c r="J3540" i="1"/>
  <c r="H393" i="1"/>
  <c r="J392" i="1"/>
  <c r="K514" i="6"/>
  <c r="O513" i="6"/>
  <c r="O929" i="13"/>
  <c r="J544" i="15"/>
  <c r="H178" i="15"/>
  <c r="J908" i="11"/>
  <c r="H909" i="11"/>
  <c r="H178" i="11"/>
  <c r="J177" i="11"/>
  <c r="H544" i="11"/>
  <c r="J543" i="11"/>
  <c r="H1443" i="1"/>
  <c r="J1443" i="1" s="1"/>
  <c r="H1079" i="1"/>
  <c r="J1079" i="1" s="1"/>
  <c r="H2171" i="1"/>
  <c r="J2171" i="1" s="1"/>
  <c r="H2901" i="1"/>
  <c r="J2901" i="1" s="1"/>
  <c r="H1807" i="1"/>
  <c r="J1807" i="1" s="1"/>
  <c r="H2536" i="1"/>
  <c r="J2536" i="1" s="1"/>
  <c r="H394" i="1" l="1"/>
  <c r="J393" i="1"/>
  <c r="J3541" i="1"/>
  <c r="H3542" i="1"/>
  <c r="H760" i="1"/>
  <c r="J759" i="1"/>
  <c r="K515" i="6"/>
  <c r="O514" i="6"/>
  <c r="O930" i="13"/>
  <c r="J545" i="15"/>
  <c r="H179" i="15"/>
  <c r="J544" i="11"/>
  <c r="H545" i="11"/>
  <c r="H179" i="11"/>
  <c r="J178" i="11"/>
  <c r="H910" i="11"/>
  <c r="J909" i="11"/>
  <c r="H1808" i="1"/>
  <c r="J1808" i="1" s="1"/>
  <c r="H2902" i="1"/>
  <c r="J2902" i="1" s="1"/>
  <c r="H2172" i="1"/>
  <c r="J2172" i="1" s="1"/>
  <c r="H1080" i="1"/>
  <c r="J1080" i="1" s="1"/>
  <c r="H2537" i="1"/>
  <c r="J2537" i="1" s="1"/>
  <c r="H1444" i="1"/>
  <c r="J1444" i="1" s="1"/>
  <c r="H761" i="1" l="1"/>
  <c r="J760" i="1"/>
  <c r="H3543" i="1"/>
  <c r="J3542" i="1"/>
  <c r="H395" i="1"/>
  <c r="J394" i="1"/>
  <c r="K516" i="6"/>
  <c r="O515" i="6"/>
  <c r="O931" i="13"/>
  <c r="J546" i="15"/>
  <c r="H180" i="15"/>
  <c r="J179" i="11"/>
  <c r="H180" i="11"/>
  <c r="H546" i="11"/>
  <c r="J545" i="11"/>
  <c r="H911" i="11"/>
  <c r="J910" i="11"/>
  <c r="H1081" i="1"/>
  <c r="J1081" i="1" s="1"/>
  <c r="H2538" i="1"/>
  <c r="J2538" i="1" s="1"/>
  <c r="H2173" i="1"/>
  <c r="J2173" i="1" s="1"/>
  <c r="H2903" i="1"/>
  <c r="J2903" i="1" s="1"/>
  <c r="H1445" i="1"/>
  <c r="J1445" i="1" s="1"/>
  <c r="H1809" i="1"/>
  <c r="J1809" i="1" s="1"/>
  <c r="H396" i="1" l="1"/>
  <c r="J395" i="1"/>
  <c r="J3543" i="1"/>
  <c r="H3544" i="1"/>
  <c r="H762" i="1"/>
  <c r="J761" i="1"/>
  <c r="K517" i="6"/>
  <c r="O516" i="6"/>
  <c r="O932" i="13"/>
  <c r="H181" i="15"/>
  <c r="J547" i="15"/>
  <c r="J546" i="11"/>
  <c r="H547" i="11"/>
  <c r="J911" i="11"/>
  <c r="H912" i="11"/>
  <c r="H181" i="11"/>
  <c r="J180" i="11"/>
  <c r="H1446" i="1"/>
  <c r="J1446" i="1" s="1"/>
  <c r="H2904" i="1"/>
  <c r="J2904" i="1" s="1"/>
  <c r="H2174" i="1"/>
  <c r="J2174" i="1" s="1"/>
  <c r="H2539" i="1"/>
  <c r="J2539" i="1" s="1"/>
  <c r="H1810" i="1"/>
  <c r="J1810" i="1" s="1"/>
  <c r="H1082" i="1"/>
  <c r="J1082" i="1" s="1"/>
  <c r="H3545" i="1" l="1"/>
  <c r="J3544" i="1"/>
  <c r="H763" i="1"/>
  <c r="J762" i="1"/>
  <c r="H397" i="1"/>
  <c r="J396" i="1"/>
  <c r="O517" i="6"/>
  <c r="K518" i="6"/>
  <c r="O933" i="13"/>
  <c r="J548" i="15"/>
  <c r="H182" i="15"/>
  <c r="H913" i="11"/>
  <c r="J912" i="11"/>
  <c r="H548" i="11"/>
  <c r="J547" i="11"/>
  <c r="H182" i="11"/>
  <c r="J181" i="11"/>
  <c r="H1811" i="1"/>
  <c r="J1811" i="1" s="1"/>
  <c r="H2540" i="1"/>
  <c r="J2540" i="1" s="1"/>
  <c r="H2175" i="1"/>
  <c r="J2175" i="1" s="1"/>
  <c r="H2905" i="1"/>
  <c r="J2905" i="1" s="1"/>
  <c r="H1083" i="1"/>
  <c r="J1083" i="1" s="1"/>
  <c r="H1447" i="1"/>
  <c r="J1447" i="1" s="1"/>
  <c r="H398" i="1" l="1"/>
  <c r="J397" i="1"/>
  <c r="H764" i="1"/>
  <c r="J763" i="1"/>
  <c r="J3545" i="1"/>
  <c r="H3546" i="1"/>
  <c r="K519" i="6"/>
  <c r="O518" i="6"/>
  <c r="O934" i="13"/>
  <c r="J549" i="15"/>
  <c r="H183" i="15"/>
  <c r="H914" i="11"/>
  <c r="J913" i="11"/>
  <c r="J182" i="11"/>
  <c r="H183" i="11"/>
  <c r="J548" i="11"/>
  <c r="H549" i="11"/>
  <c r="H1084" i="1"/>
  <c r="J1084" i="1" s="1"/>
  <c r="H2906" i="1"/>
  <c r="J2906" i="1" s="1"/>
  <c r="H2176" i="1"/>
  <c r="J2176" i="1" s="1"/>
  <c r="H2541" i="1"/>
  <c r="J2541" i="1" s="1"/>
  <c r="H1448" i="1"/>
  <c r="J1448" i="1" s="1"/>
  <c r="H1812" i="1"/>
  <c r="J1812" i="1" s="1"/>
  <c r="H3547" i="1" l="1"/>
  <c r="J3546" i="1"/>
  <c r="H765" i="1"/>
  <c r="J764" i="1"/>
  <c r="H399" i="1"/>
  <c r="J398" i="1"/>
  <c r="K520" i="6"/>
  <c r="O519" i="6"/>
  <c r="O935" i="13"/>
  <c r="H184" i="15"/>
  <c r="J550" i="15"/>
  <c r="J914" i="11"/>
  <c r="H915" i="11"/>
  <c r="H550" i="11"/>
  <c r="J549" i="11"/>
  <c r="H184" i="11"/>
  <c r="J183" i="11"/>
  <c r="H1449" i="1"/>
  <c r="J1449" i="1" s="1"/>
  <c r="H2542" i="1"/>
  <c r="J2542" i="1" s="1"/>
  <c r="H2177" i="1"/>
  <c r="J2177" i="1" s="1"/>
  <c r="H2907" i="1"/>
  <c r="J2907" i="1" s="1"/>
  <c r="H1813" i="1"/>
  <c r="J1813" i="1" s="1"/>
  <c r="H1085" i="1"/>
  <c r="J1085" i="1" s="1"/>
  <c r="H400" i="1" l="1"/>
  <c r="J399" i="1"/>
  <c r="H766" i="1"/>
  <c r="J765" i="1"/>
  <c r="J3547" i="1"/>
  <c r="H3548" i="1"/>
  <c r="K521" i="6"/>
  <c r="O520" i="6"/>
  <c r="O936" i="13"/>
  <c r="J551" i="15"/>
  <c r="H185" i="15"/>
  <c r="H551" i="11"/>
  <c r="J550" i="11"/>
  <c r="J915" i="11"/>
  <c r="H916" i="11"/>
  <c r="H185" i="11"/>
  <c r="J184" i="11"/>
  <c r="H1814" i="1"/>
  <c r="J1814" i="1" s="1"/>
  <c r="H2908" i="1"/>
  <c r="J2908" i="1" s="1"/>
  <c r="H2178" i="1"/>
  <c r="J2178" i="1" s="1"/>
  <c r="H2543" i="1"/>
  <c r="J2543" i="1" s="1"/>
  <c r="H1086" i="1"/>
  <c r="J1086" i="1" s="1"/>
  <c r="H1450" i="1"/>
  <c r="J1450" i="1" s="1"/>
  <c r="H767" i="1" l="1"/>
  <c r="J766" i="1"/>
  <c r="H3549" i="1"/>
  <c r="J3548" i="1"/>
  <c r="H401" i="1"/>
  <c r="J400" i="1"/>
  <c r="K522" i="6"/>
  <c r="O521" i="6"/>
  <c r="O937" i="13"/>
  <c r="H186" i="15"/>
  <c r="J552" i="15"/>
  <c r="J916" i="11"/>
  <c r="H917" i="11"/>
  <c r="H186" i="11"/>
  <c r="J185" i="11"/>
  <c r="H552" i="11"/>
  <c r="J551" i="11"/>
  <c r="H1087" i="1"/>
  <c r="J1087" i="1" s="1"/>
  <c r="H2544" i="1"/>
  <c r="J2544" i="1" s="1"/>
  <c r="H2179" i="1"/>
  <c r="J2179" i="1" s="1"/>
  <c r="H2909" i="1"/>
  <c r="J2909" i="1" s="1"/>
  <c r="H1451" i="1"/>
  <c r="J1451" i="1" s="1"/>
  <c r="H1815" i="1"/>
  <c r="J1815" i="1" s="1"/>
  <c r="H3550" i="1" l="1"/>
  <c r="J3549" i="1"/>
  <c r="H402" i="1"/>
  <c r="J401" i="1"/>
  <c r="H768" i="1"/>
  <c r="J767" i="1"/>
  <c r="K523" i="6"/>
  <c r="O522" i="6"/>
  <c r="O938" i="13"/>
  <c r="J553" i="15"/>
  <c r="H187" i="15"/>
  <c r="J186" i="11"/>
  <c r="H187" i="11"/>
  <c r="H918" i="11"/>
  <c r="J917" i="11"/>
  <c r="J552" i="11"/>
  <c r="H553" i="11"/>
  <c r="H1452" i="1"/>
  <c r="J1452" i="1" s="1"/>
  <c r="H2910" i="1"/>
  <c r="J2910" i="1" s="1"/>
  <c r="H2180" i="1"/>
  <c r="J2180" i="1" s="1"/>
  <c r="H2545" i="1"/>
  <c r="J2545" i="1" s="1"/>
  <c r="H1816" i="1"/>
  <c r="J1816" i="1" s="1"/>
  <c r="H1088" i="1"/>
  <c r="J1088" i="1" s="1"/>
  <c r="H769" i="1" l="1"/>
  <c r="J768" i="1"/>
  <c r="H403" i="1"/>
  <c r="J402" i="1"/>
  <c r="J3550" i="1"/>
  <c r="H3551" i="1"/>
  <c r="O523" i="6"/>
  <c r="K524" i="6"/>
  <c r="O939" i="13"/>
  <c r="J554" i="15"/>
  <c r="H188" i="15"/>
  <c r="H919" i="11"/>
  <c r="J918" i="11"/>
  <c r="H188" i="11"/>
  <c r="J187" i="11"/>
  <c r="H554" i="11"/>
  <c r="J553" i="11"/>
  <c r="H1817" i="1"/>
  <c r="J1817" i="1" s="1"/>
  <c r="H2546" i="1"/>
  <c r="J2546" i="1" s="1"/>
  <c r="H2181" i="1"/>
  <c r="J2181" i="1" s="1"/>
  <c r="H2911" i="1"/>
  <c r="J2911" i="1" s="1"/>
  <c r="H1089" i="1"/>
  <c r="J1089" i="1" s="1"/>
  <c r="H1453" i="1"/>
  <c r="J1453" i="1" s="1"/>
  <c r="H404" i="1" l="1"/>
  <c r="J403" i="1"/>
  <c r="J3551" i="1"/>
  <c r="H3552" i="1"/>
  <c r="H770" i="1"/>
  <c r="J769" i="1"/>
  <c r="K525" i="6"/>
  <c r="O524" i="6"/>
  <c r="O940" i="13"/>
  <c r="J555" i="15"/>
  <c r="H189" i="15"/>
  <c r="J554" i="11"/>
  <c r="H555" i="11"/>
  <c r="J919" i="11"/>
  <c r="H920" i="11"/>
  <c r="H189" i="11"/>
  <c r="J188" i="11"/>
  <c r="H1090" i="1"/>
  <c r="J1090" i="1" s="1"/>
  <c r="H2912" i="1"/>
  <c r="J2912" i="1" s="1"/>
  <c r="H2182" i="1"/>
  <c r="J2182" i="1" s="1"/>
  <c r="H2547" i="1"/>
  <c r="J2547" i="1" s="1"/>
  <c r="H1454" i="1"/>
  <c r="J1454" i="1" s="1"/>
  <c r="H1818" i="1"/>
  <c r="J1818" i="1" s="1"/>
  <c r="H3553" i="1" l="1"/>
  <c r="J3552" i="1"/>
  <c r="H771" i="1"/>
  <c r="J770" i="1"/>
  <c r="H405" i="1"/>
  <c r="J404" i="1"/>
  <c r="K526" i="6"/>
  <c r="O525" i="6"/>
  <c r="O941" i="13"/>
  <c r="J556" i="15"/>
  <c r="H190" i="15"/>
  <c r="H921" i="11"/>
  <c r="J920" i="11"/>
  <c r="H556" i="11"/>
  <c r="J555" i="11"/>
  <c r="H190" i="11"/>
  <c r="J189" i="11"/>
  <c r="H2913" i="1"/>
  <c r="J2913" i="1" s="1"/>
  <c r="H2548" i="1"/>
  <c r="J2548" i="1" s="1"/>
  <c r="H2183" i="1"/>
  <c r="J2183" i="1" s="1"/>
  <c r="H1455" i="1"/>
  <c r="J1455" i="1" s="1"/>
  <c r="H1819" i="1"/>
  <c r="J1819" i="1" s="1"/>
  <c r="H1091" i="1"/>
  <c r="J1091" i="1" s="1"/>
  <c r="H406" i="1" l="1"/>
  <c r="J405" i="1"/>
  <c r="H772" i="1"/>
  <c r="J771" i="1"/>
  <c r="J3553" i="1"/>
  <c r="H3554" i="1"/>
  <c r="H9" i="5"/>
  <c r="G7" i="16" s="1"/>
  <c r="O942" i="13"/>
  <c r="H191" i="15"/>
  <c r="J557" i="15"/>
  <c r="H922" i="11"/>
  <c r="J921" i="11"/>
  <c r="H191" i="11"/>
  <c r="J190" i="11"/>
  <c r="J556" i="11"/>
  <c r="H557" i="11"/>
  <c r="H1456" i="1"/>
  <c r="J1456" i="1" s="1"/>
  <c r="H1820" i="1"/>
  <c r="J1820" i="1" s="1"/>
  <c r="H2184" i="1"/>
  <c r="J2184" i="1" s="1"/>
  <c r="H2549" i="1"/>
  <c r="J2549" i="1" s="1"/>
  <c r="H1092" i="1"/>
  <c r="J1092" i="1" s="1"/>
  <c r="H2914" i="1"/>
  <c r="J2914" i="1" s="1"/>
  <c r="H3555" i="1" l="1"/>
  <c r="J3554" i="1"/>
  <c r="H773" i="1"/>
  <c r="J772" i="1"/>
  <c r="H407" i="1"/>
  <c r="J406" i="1"/>
  <c r="I9" i="5"/>
  <c r="H7" i="16" s="1"/>
  <c r="O943" i="13"/>
  <c r="H192" i="15"/>
  <c r="J558" i="15"/>
  <c r="H558" i="11"/>
  <c r="J557" i="11"/>
  <c r="J191" i="11"/>
  <c r="H192" i="11"/>
  <c r="H923" i="11"/>
  <c r="J922" i="11"/>
  <c r="H1093" i="1"/>
  <c r="J1093" i="1" s="1"/>
  <c r="H2550" i="1"/>
  <c r="J2550" i="1" s="1"/>
  <c r="H2185" i="1"/>
  <c r="J2185" i="1" s="1"/>
  <c r="H1821" i="1"/>
  <c r="J1821" i="1" s="1"/>
  <c r="H2915" i="1"/>
  <c r="J2915" i="1" s="1"/>
  <c r="H1457" i="1"/>
  <c r="J1457" i="1" s="1"/>
  <c r="H408" i="1" l="1"/>
  <c r="J407" i="1"/>
  <c r="H774" i="1"/>
  <c r="J773" i="1"/>
  <c r="J3555" i="1"/>
  <c r="H3556" i="1"/>
  <c r="O944" i="13"/>
  <c r="J559" i="15"/>
  <c r="H193" i="15"/>
  <c r="J192" i="11"/>
  <c r="H193" i="11"/>
  <c r="H924" i="11"/>
  <c r="J923" i="11"/>
  <c r="J558" i="11"/>
  <c r="H559" i="11"/>
  <c r="H2551" i="1"/>
  <c r="J2551" i="1" s="1"/>
  <c r="H2916" i="1"/>
  <c r="J2916" i="1" s="1"/>
  <c r="H1822" i="1"/>
  <c r="J1822" i="1" s="1"/>
  <c r="H2186" i="1"/>
  <c r="J2186" i="1" s="1"/>
  <c r="H1458" i="1"/>
  <c r="J1458" i="1" s="1"/>
  <c r="H1094" i="1"/>
  <c r="J1094" i="1" s="1"/>
  <c r="J3556" i="1" l="1"/>
  <c r="H3557" i="1"/>
  <c r="H775" i="1"/>
  <c r="J774" i="1"/>
  <c r="H409" i="1"/>
  <c r="J408" i="1"/>
  <c r="O945" i="13"/>
  <c r="H194" i="15"/>
  <c r="J560" i="15"/>
  <c r="H560" i="11"/>
  <c r="J559" i="11"/>
  <c r="J193" i="11"/>
  <c r="H194" i="11"/>
  <c r="J924" i="11"/>
  <c r="H925" i="11"/>
  <c r="H1459" i="1"/>
  <c r="J1459" i="1" s="1"/>
  <c r="H2187" i="1"/>
  <c r="J2187" i="1" s="1"/>
  <c r="H1823" i="1"/>
  <c r="J1823" i="1" s="1"/>
  <c r="H2917" i="1"/>
  <c r="J2917" i="1" s="1"/>
  <c r="H1095" i="1"/>
  <c r="J1095" i="1" s="1"/>
  <c r="H2552" i="1"/>
  <c r="J2552" i="1" s="1"/>
  <c r="H3558" i="1" l="1"/>
  <c r="J3557" i="1"/>
  <c r="H410" i="1"/>
  <c r="J409" i="1"/>
  <c r="H776" i="1"/>
  <c r="J775" i="1"/>
  <c r="O946" i="13"/>
  <c r="J561" i="15"/>
  <c r="H195" i="15"/>
  <c r="H926" i="11"/>
  <c r="J925" i="11"/>
  <c r="H195" i="11"/>
  <c r="J194" i="11"/>
  <c r="H561" i="11"/>
  <c r="J560" i="11"/>
  <c r="H2188" i="1"/>
  <c r="J2188" i="1" s="1"/>
  <c r="H1096" i="1"/>
  <c r="J1096" i="1" s="1"/>
  <c r="H2918" i="1"/>
  <c r="J2918" i="1" s="1"/>
  <c r="H1824" i="1"/>
  <c r="J1824" i="1" s="1"/>
  <c r="H2553" i="1"/>
  <c r="J2553" i="1" s="1"/>
  <c r="H1460" i="1"/>
  <c r="J1460" i="1" s="1"/>
  <c r="H411" i="1" l="1"/>
  <c r="J410" i="1"/>
  <c r="H777" i="1"/>
  <c r="J776" i="1"/>
  <c r="J3558" i="1"/>
  <c r="H3559" i="1"/>
  <c r="O947" i="13"/>
  <c r="H196" i="15"/>
  <c r="J562" i="15"/>
  <c r="J561" i="11"/>
  <c r="H562" i="11"/>
  <c r="H196" i="11"/>
  <c r="J195" i="11"/>
  <c r="H927" i="11"/>
  <c r="J926" i="11"/>
  <c r="H2554" i="1"/>
  <c r="J2554" i="1" s="1"/>
  <c r="H1825" i="1"/>
  <c r="J1825" i="1" s="1"/>
  <c r="H2919" i="1"/>
  <c r="J2919" i="1" s="1"/>
  <c r="H1097" i="1"/>
  <c r="J1097" i="1" s="1"/>
  <c r="H1461" i="1"/>
  <c r="J1461" i="1" s="1"/>
  <c r="H2189" i="1"/>
  <c r="J2189" i="1" s="1"/>
  <c r="H3560" i="1" l="1"/>
  <c r="J3559" i="1"/>
  <c r="H778" i="1"/>
  <c r="J777" i="1"/>
  <c r="H412" i="1"/>
  <c r="J411" i="1"/>
  <c r="O948" i="13"/>
  <c r="H197" i="15"/>
  <c r="J563" i="15"/>
  <c r="H563" i="11"/>
  <c r="J562" i="11"/>
  <c r="H928" i="11"/>
  <c r="J927" i="11"/>
  <c r="H197" i="11"/>
  <c r="J196" i="11"/>
  <c r="H1462" i="1"/>
  <c r="J1462" i="1" s="1"/>
  <c r="H1098" i="1"/>
  <c r="J1098" i="1" s="1"/>
  <c r="H2920" i="1"/>
  <c r="J2920" i="1" s="1"/>
  <c r="H1826" i="1"/>
  <c r="J1826" i="1" s="1"/>
  <c r="H2190" i="1"/>
  <c r="J2190" i="1" s="1"/>
  <c r="H2555" i="1"/>
  <c r="J2555" i="1" s="1"/>
  <c r="H413" i="1" l="1"/>
  <c r="J412" i="1"/>
  <c r="H779" i="1"/>
  <c r="J778" i="1"/>
  <c r="J3560" i="1"/>
  <c r="H3561" i="1"/>
  <c r="O949" i="13"/>
  <c r="H198" i="15"/>
  <c r="J564" i="15"/>
  <c r="J928" i="11"/>
  <c r="H929" i="11"/>
  <c r="J197" i="11"/>
  <c r="H198" i="11"/>
  <c r="H564" i="11"/>
  <c r="J563" i="11"/>
  <c r="H2191" i="1"/>
  <c r="J2191" i="1" s="1"/>
  <c r="H1827" i="1"/>
  <c r="J1827" i="1" s="1"/>
  <c r="H2921" i="1"/>
  <c r="J2921" i="1" s="1"/>
  <c r="H1099" i="1"/>
  <c r="J1099" i="1" s="1"/>
  <c r="H2556" i="1"/>
  <c r="J2556" i="1" s="1"/>
  <c r="H1463" i="1"/>
  <c r="J1463" i="1" s="1"/>
  <c r="J3561" i="1" l="1"/>
  <c r="H3562" i="1"/>
  <c r="H780" i="1"/>
  <c r="J779" i="1"/>
  <c r="H414" i="1"/>
  <c r="J413" i="1"/>
  <c r="O950" i="13"/>
  <c r="J565" i="15"/>
  <c r="H199" i="15"/>
  <c r="J564" i="11"/>
  <c r="H565" i="11"/>
  <c r="J929" i="11"/>
  <c r="H930" i="11"/>
  <c r="H199" i="11"/>
  <c r="J198" i="11"/>
  <c r="H2557" i="1"/>
  <c r="J2557" i="1" s="1"/>
  <c r="H1100" i="1"/>
  <c r="J1100" i="1" s="1"/>
  <c r="H2922" i="1"/>
  <c r="J2922" i="1" s="1"/>
  <c r="H1828" i="1"/>
  <c r="J1828" i="1" s="1"/>
  <c r="H1464" i="1"/>
  <c r="J1464" i="1" s="1"/>
  <c r="H2192" i="1"/>
  <c r="J2192" i="1" s="1"/>
  <c r="H3563" i="1" l="1"/>
  <c r="J3562" i="1"/>
  <c r="H415" i="1"/>
  <c r="J414" i="1"/>
  <c r="H781" i="1"/>
  <c r="J780" i="1"/>
  <c r="O951" i="13"/>
  <c r="H200" i="15"/>
  <c r="J566" i="15"/>
  <c r="J199" i="11"/>
  <c r="H200" i="11"/>
  <c r="H931" i="11"/>
  <c r="J930" i="11"/>
  <c r="H566" i="11"/>
  <c r="J565" i="11"/>
  <c r="H1465" i="1"/>
  <c r="J1465" i="1" s="1"/>
  <c r="H1101" i="1"/>
  <c r="J1101" i="1" s="1"/>
  <c r="H2923" i="1"/>
  <c r="J2923" i="1" s="1"/>
  <c r="H1829" i="1"/>
  <c r="J1829" i="1" s="1"/>
  <c r="H2193" i="1"/>
  <c r="J2193" i="1" s="1"/>
  <c r="H2558" i="1"/>
  <c r="J2558" i="1" s="1"/>
  <c r="H782" i="1" l="1"/>
  <c r="J781" i="1"/>
  <c r="H416" i="1"/>
  <c r="J415" i="1"/>
  <c r="H3564" i="1"/>
  <c r="J3563" i="1"/>
  <c r="O952" i="13"/>
  <c r="J567" i="15"/>
  <c r="H201" i="15"/>
  <c r="H932" i="11"/>
  <c r="J931" i="11"/>
  <c r="H567" i="11"/>
  <c r="J566" i="11"/>
  <c r="H201" i="11"/>
  <c r="J200" i="11"/>
  <c r="H2194" i="1"/>
  <c r="J2194" i="1" s="1"/>
  <c r="H1830" i="1"/>
  <c r="J1830" i="1" s="1"/>
  <c r="H2924" i="1"/>
  <c r="J2924" i="1" s="1"/>
  <c r="H1102" i="1"/>
  <c r="J1102" i="1" s="1"/>
  <c r="H2559" i="1"/>
  <c r="J2559" i="1" s="1"/>
  <c r="H1466" i="1"/>
  <c r="J1466" i="1" s="1"/>
  <c r="H3565" i="1" l="1"/>
  <c r="J3564" i="1"/>
  <c r="H417" i="1"/>
  <c r="J416" i="1"/>
  <c r="H783" i="1"/>
  <c r="J782" i="1"/>
  <c r="O953" i="13"/>
  <c r="H202" i="15"/>
  <c r="J568" i="15"/>
  <c r="J201" i="11"/>
  <c r="H202" i="11"/>
  <c r="H568" i="11"/>
  <c r="J567" i="11"/>
  <c r="H933" i="11"/>
  <c r="J932" i="11"/>
  <c r="H2560" i="1"/>
  <c r="J2560" i="1" s="1"/>
  <c r="H1103" i="1"/>
  <c r="J1103" i="1" s="1"/>
  <c r="H2925" i="1"/>
  <c r="J2925" i="1" s="1"/>
  <c r="H1831" i="1"/>
  <c r="J1831" i="1" s="1"/>
  <c r="H1467" i="1"/>
  <c r="J1467" i="1" s="1"/>
  <c r="H2195" i="1"/>
  <c r="J2195" i="1" s="1"/>
  <c r="H784" i="1" l="1"/>
  <c r="J783" i="1"/>
  <c r="H418" i="1"/>
  <c r="J417" i="1"/>
  <c r="H3566" i="1"/>
  <c r="J3565" i="1"/>
  <c r="O954" i="13"/>
  <c r="J569" i="15"/>
  <c r="H203" i="15"/>
  <c r="H934" i="11"/>
  <c r="J933" i="11"/>
  <c r="H569" i="11"/>
  <c r="J568" i="11"/>
  <c r="J202" i="11"/>
  <c r="H203" i="11"/>
  <c r="H1468" i="1"/>
  <c r="J1468" i="1" s="1"/>
  <c r="H1832" i="1"/>
  <c r="J1832" i="1" s="1"/>
  <c r="H2926" i="1"/>
  <c r="J2926" i="1" s="1"/>
  <c r="H1104" i="1"/>
  <c r="J1104" i="1" s="1"/>
  <c r="H2196" i="1"/>
  <c r="J2196" i="1" s="1"/>
  <c r="H2561" i="1"/>
  <c r="J2561" i="1" s="1"/>
  <c r="H3567" i="1" l="1"/>
  <c r="J3566" i="1"/>
  <c r="H419" i="1"/>
  <c r="J418" i="1"/>
  <c r="H785" i="1"/>
  <c r="J784" i="1"/>
  <c r="O955" i="13"/>
  <c r="J570" i="15"/>
  <c r="H204" i="15"/>
  <c r="H204" i="11"/>
  <c r="J203" i="11"/>
  <c r="J934" i="11"/>
  <c r="H935" i="11"/>
  <c r="H570" i="11"/>
  <c r="J569" i="11"/>
  <c r="H2197" i="1"/>
  <c r="J2197" i="1" s="1"/>
  <c r="H1105" i="1"/>
  <c r="J1105" i="1" s="1"/>
  <c r="H2927" i="1"/>
  <c r="J2927" i="1" s="1"/>
  <c r="H1833" i="1"/>
  <c r="J1833" i="1" s="1"/>
  <c r="H2562" i="1"/>
  <c r="J2562" i="1" s="1"/>
  <c r="H1469" i="1"/>
  <c r="J1469" i="1" s="1"/>
  <c r="H786" i="1" l="1"/>
  <c r="J785" i="1"/>
  <c r="H420" i="1"/>
  <c r="J419" i="1"/>
  <c r="H3568" i="1"/>
  <c r="J3567" i="1"/>
  <c r="O956" i="13"/>
  <c r="H205" i="15"/>
  <c r="J571" i="15"/>
  <c r="H936" i="11"/>
  <c r="J935" i="11"/>
  <c r="H205" i="11"/>
  <c r="J204" i="11"/>
  <c r="H571" i="11"/>
  <c r="J570" i="11"/>
  <c r="H1834" i="1"/>
  <c r="J1834" i="1" s="1"/>
  <c r="H1106" i="1"/>
  <c r="J1106" i="1" s="1"/>
  <c r="H2563" i="1"/>
  <c r="J2563" i="1" s="1"/>
  <c r="H2928" i="1"/>
  <c r="J2928" i="1" s="1"/>
  <c r="H1470" i="1"/>
  <c r="J1470" i="1" s="1"/>
  <c r="H2198" i="1"/>
  <c r="J2198" i="1" s="1"/>
  <c r="H421" i="1" l="1"/>
  <c r="J420" i="1"/>
  <c r="J3568" i="1"/>
  <c r="H3569" i="1"/>
  <c r="H787" i="1"/>
  <c r="J786" i="1"/>
  <c r="O957" i="13"/>
  <c r="J572" i="15"/>
  <c r="H206" i="15"/>
  <c r="H206" i="11"/>
  <c r="J205" i="11"/>
  <c r="J571" i="11"/>
  <c r="H572" i="11"/>
  <c r="H937" i="11"/>
  <c r="J936" i="11"/>
  <c r="H1471" i="1"/>
  <c r="J1471" i="1" s="1"/>
  <c r="H2929" i="1"/>
  <c r="J2929" i="1" s="1"/>
  <c r="H1107" i="1"/>
  <c r="J1107" i="1" s="1"/>
  <c r="H2564" i="1"/>
  <c r="J2564" i="1" s="1"/>
  <c r="H2199" i="1"/>
  <c r="J2199" i="1" s="1"/>
  <c r="H1835" i="1"/>
  <c r="J1835" i="1" s="1"/>
  <c r="H788" i="1" l="1"/>
  <c r="J787" i="1"/>
  <c r="H3570" i="1"/>
  <c r="J3569" i="1"/>
  <c r="H422" i="1"/>
  <c r="J421" i="1"/>
  <c r="O958" i="13"/>
  <c r="J573" i="15"/>
  <c r="H207" i="15"/>
  <c r="H938" i="11"/>
  <c r="J937" i="11"/>
  <c r="H573" i="11"/>
  <c r="J572" i="11"/>
  <c r="H207" i="11"/>
  <c r="J206" i="11"/>
  <c r="H2200" i="1"/>
  <c r="J2200" i="1" s="1"/>
  <c r="H2565" i="1"/>
  <c r="J2565" i="1" s="1"/>
  <c r="H1108" i="1"/>
  <c r="J1108" i="1" s="1"/>
  <c r="H2930" i="1"/>
  <c r="J2930" i="1" s="1"/>
  <c r="H1836" i="1"/>
  <c r="J1836" i="1" s="1"/>
  <c r="H1472" i="1"/>
  <c r="J1472" i="1" s="1"/>
  <c r="H423" i="1" l="1"/>
  <c r="J422" i="1"/>
  <c r="J3570" i="1"/>
  <c r="H3571" i="1"/>
  <c r="H789" i="1"/>
  <c r="J788" i="1"/>
  <c r="O959" i="13"/>
  <c r="H208" i="15"/>
  <c r="J574" i="15"/>
  <c r="H574" i="11"/>
  <c r="J573" i="11"/>
  <c r="J938" i="11"/>
  <c r="H939" i="11"/>
  <c r="J207" i="11"/>
  <c r="H208" i="11"/>
  <c r="H1837" i="1"/>
  <c r="J1837" i="1" s="1"/>
  <c r="H2931" i="1"/>
  <c r="J2931" i="1" s="1"/>
  <c r="H1109" i="1"/>
  <c r="J1109" i="1" s="1"/>
  <c r="H2566" i="1"/>
  <c r="J2566" i="1" s="1"/>
  <c r="H1473" i="1"/>
  <c r="J1473" i="1" s="1"/>
  <c r="H2201" i="1"/>
  <c r="J2201" i="1" s="1"/>
  <c r="H790" i="1" l="1"/>
  <c r="J789" i="1"/>
  <c r="H3572" i="1"/>
  <c r="J3571" i="1"/>
  <c r="H424" i="1"/>
  <c r="J423" i="1"/>
  <c r="O960" i="13"/>
  <c r="J575" i="15"/>
  <c r="H209" i="15"/>
  <c r="H209" i="11"/>
  <c r="J208" i="11"/>
  <c r="H940" i="11"/>
  <c r="J939" i="11"/>
  <c r="J574" i="11"/>
  <c r="H575" i="11"/>
  <c r="H1474" i="1"/>
  <c r="J1474" i="1" s="1"/>
  <c r="H2567" i="1"/>
  <c r="J2567" i="1" s="1"/>
  <c r="H1110" i="1"/>
  <c r="J1110" i="1" s="1"/>
  <c r="H2932" i="1"/>
  <c r="J2932" i="1" s="1"/>
  <c r="H2202" i="1"/>
  <c r="J2202" i="1" s="1"/>
  <c r="H1838" i="1"/>
  <c r="J1838" i="1" s="1"/>
  <c r="H425" i="1" l="1"/>
  <c r="J424" i="1"/>
  <c r="H3573" i="1"/>
  <c r="J3572" i="1"/>
  <c r="H791" i="1"/>
  <c r="J790" i="1"/>
  <c r="O961" i="13"/>
  <c r="J576" i="15"/>
  <c r="H210" i="15"/>
  <c r="H941" i="11"/>
  <c r="J940" i="11"/>
  <c r="H576" i="11"/>
  <c r="J575" i="11"/>
  <c r="J209" i="11"/>
  <c r="H210" i="11"/>
  <c r="H2203" i="1"/>
  <c r="J2203" i="1" s="1"/>
  <c r="H2933" i="1"/>
  <c r="J2933" i="1" s="1"/>
  <c r="H1111" i="1"/>
  <c r="J1111" i="1" s="1"/>
  <c r="H2568" i="1"/>
  <c r="J2568" i="1" s="1"/>
  <c r="H1839" i="1"/>
  <c r="J1839" i="1" s="1"/>
  <c r="H1475" i="1"/>
  <c r="J1475" i="1" s="1"/>
  <c r="J3573" i="1" l="1"/>
  <c r="H3574" i="1"/>
  <c r="H792" i="1"/>
  <c r="J791" i="1"/>
  <c r="H426" i="1"/>
  <c r="J425" i="1"/>
  <c r="O962" i="13"/>
  <c r="H211" i="15"/>
  <c r="J577" i="15"/>
  <c r="H211" i="11"/>
  <c r="J210" i="11"/>
  <c r="H942" i="11"/>
  <c r="J941" i="11"/>
  <c r="H577" i="11"/>
  <c r="J576" i="11"/>
  <c r="H1840" i="1"/>
  <c r="J1840" i="1" s="1"/>
  <c r="H2569" i="1"/>
  <c r="J2569" i="1" s="1"/>
  <c r="H1112" i="1"/>
  <c r="J1112" i="1" s="1"/>
  <c r="H2934" i="1"/>
  <c r="J2934" i="1" s="1"/>
  <c r="H1476" i="1"/>
  <c r="J1476" i="1" s="1"/>
  <c r="H2204" i="1"/>
  <c r="J2204" i="1" s="1"/>
  <c r="H793" i="1" l="1"/>
  <c r="J792" i="1"/>
  <c r="H427" i="1"/>
  <c r="J426" i="1"/>
  <c r="H3575" i="1"/>
  <c r="J3574" i="1"/>
  <c r="O963" i="13"/>
  <c r="J578" i="15"/>
  <c r="H212" i="15"/>
  <c r="H578" i="11"/>
  <c r="J577" i="11"/>
  <c r="H943" i="11"/>
  <c r="J942" i="11"/>
  <c r="H212" i="11"/>
  <c r="J211" i="11"/>
  <c r="H2935" i="1"/>
  <c r="J2935" i="1" s="1"/>
  <c r="H1477" i="1"/>
  <c r="J1477" i="1" s="1"/>
  <c r="H1113" i="1"/>
  <c r="J1113" i="1" s="1"/>
  <c r="H2570" i="1"/>
  <c r="J2570" i="1" s="1"/>
  <c r="H2205" i="1"/>
  <c r="J2205" i="1" s="1"/>
  <c r="H1841" i="1"/>
  <c r="J1841" i="1" s="1"/>
  <c r="H3576" i="1" l="1"/>
  <c r="J3575" i="1"/>
  <c r="H428" i="1"/>
  <c r="J427" i="1"/>
  <c r="H794" i="1"/>
  <c r="J793" i="1"/>
  <c r="O964" i="13"/>
  <c r="H213" i="15"/>
  <c r="H944" i="11"/>
  <c r="J944" i="11" s="1"/>
  <c r="J943" i="11"/>
  <c r="H579" i="11"/>
  <c r="J579" i="11" s="1"/>
  <c r="J578" i="11"/>
  <c r="J212" i="11"/>
  <c r="H213" i="11"/>
  <c r="J213" i="11" s="1"/>
  <c r="H2206" i="1"/>
  <c r="J2206" i="1" s="1"/>
  <c r="H2571" i="1"/>
  <c r="J2571" i="1" s="1"/>
  <c r="H1114" i="1"/>
  <c r="J1114" i="1" s="1"/>
  <c r="H1478" i="1"/>
  <c r="J1478" i="1" s="1"/>
  <c r="H1842" i="1"/>
  <c r="J1842" i="1" s="1"/>
  <c r="H2936" i="1"/>
  <c r="J2936" i="1" s="1"/>
  <c r="H795" i="1" l="1"/>
  <c r="J794" i="1"/>
  <c r="H429" i="1"/>
  <c r="J428" i="1"/>
  <c r="H3577" i="1"/>
  <c r="J3576" i="1"/>
  <c r="O965" i="13"/>
  <c r="J579" i="15"/>
  <c r="H214" i="15"/>
  <c r="H1843" i="1"/>
  <c r="J1843" i="1" s="1"/>
  <c r="H1479" i="1"/>
  <c r="J1479" i="1" s="1"/>
  <c r="H1115" i="1"/>
  <c r="J1115" i="1" s="1"/>
  <c r="H2572" i="1"/>
  <c r="J2572" i="1" s="1"/>
  <c r="H2937" i="1"/>
  <c r="J2937" i="1" s="1"/>
  <c r="H2207" i="1"/>
  <c r="J2207" i="1" s="1"/>
  <c r="J3577" i="1" l="1"/>
  <c r="H3578" i="1"/>
  <c r="H430" i="1"/>
  <c r="J429" i="1"/>
  <c r="H796" i="1"/>
  <c r="J795" i="1"/>
  <c r="O966" i="13"/>
  <c r="J580" i="15"/>
  <c r="H2938" i="1"/>
  <c r="J2938" i="1" s="1"/>
  <c r="H2573" i="1"/>
  <c r="J2573" i="1" s="1"/>
  <c r="H1116" i="1"/>
  <c r="J1116" i="1" s="1"/>
  <c r="H1480" i="1"/>
  <c r="J1480" i="1" s="1"/>
  <c r="H2208" i="1"/>
  <c r="J2208" i="1" s="1"/>
  <c r="H1844" i="1"/>
  <c r="J1844" i="1" s="1"/>
  <c r="H797" i="1" l="1"/>
  <c r="J796" i="1"/>
  <c r="H431" i="1"/>
  <c r="J430" i="1"/>
  <c r="H3579" i="1"/>
  <c r="J3578" i="1"/>
  <c r="O967" i="13"/>
  <c r="J581" i="15"/>
  <c r="H2209" i="1"/>
  <c r="J2209" i="1" s="1"/>
  <c r="H1481" i="1"/>
  <c r="J1481" i="1" s="1"/>
  <c r="H1117" i="1"/>
  <c r="J1117" i="1" s="1"/>
  <c r="H2574" i="1"/>
  <c r="J2574" i="1" s="1"/>
  <c r="H1845" i="1"/>
  <c r="J1845" i="1" s="1"/>
  <c r="H2939" i="1"/>
  <c r="J2939" i="1" s="1"/>
  <c r="J3579" i="1" l="1"/>
  <c r="H3580" i="1"/>
  <c r="H432" i="1"/>
  <c r="J431" i="1"/>
  <c r="H798" i="1"/>
  <c r="J797" i="1"/>
  <c r="O968" i="13"/>
  <c r="J582" i="15"/>
  <c r="H1846" i="1"/>
  <c r="J1846" i="1" s="1"/>
  <c r="H2575" i="1"/>
  <c r="J2575" i="1" s="1"/>
  <c r="H1118" i="1"/>
  <c r="J1118" i="1" s="1"/>
  <c r="H1482" i="1"/>
  <c r="J1482" i="1" s="1"/>
  <c r="H2940" i="1"/>
  <c r="J2940" i="1" s="1"/>
  <c r="H2210" i="1"/>
  <c r="J2210" i="1" s="1"/>
  <c r="H799" i="1" l="1"/>
  <c r="J798" i="1"/>
  <c r="H433" i="1"/>
  <c r="J432" i="1"/>
  <c r="H3581" i="1"/>
  <c r="J3580" i="1"/>
  <c r="O969" i="13"/>
  <c r="J583" i="15"/>
  <c r="H1119" i="1"/>
  <c r="J1119" i="1" s="1"/>
  <c r="H2941" i="1"/>
  <c r="J2941" i="1" s="1"/>
  <c r="H1483" i="1"/>
  <c r="J1483" i="1" s="1"/>
  <c r="H2576" i="1"/>
  <c r="J2576" i="1" s="1"/>
  <c r="H2211" i="1"/>
  <c r="J2211" i="1" s="1"/>
  <c r="H1847" i="1"/>
  <c r="J1847" i="1" s="1"/>
  <c r="J3581" i="1" l="1"/>
  <c r="H3582" i="1"/>
  <c r="H434" i="1"/>
  <c r="J433" i="1"/>
  <c r="H800" i="1"/>
  <c r="J799" i="1"/>
  <c r="O970" i="13"/>
  <c r="J584" i="15"/>
  <c r="H2212" i="1"/>
  <c r="J2212" i="1" s="1"/>
  <c r="H2577" i="1"/>
  <c r="J2577" i="1" s="1"/>
  <c r="H1484" i="1"/>
  <c r="J1484" i="1" s="1"/>
  <c r="H2942" i="1"/>
  <c r="J2942" i="1" s="1"/>
  <c r="H1848" i="1"/>
  <c r="J1848" i="1" s="1"/>
  <c r="H1120" i="1"/>
  <c r="J1120" i="1" s="1"/>
  <c r="H801" i="1" l="1"/>
  <c r="J800" i="1"/>
  <c r="H435" i="1"/>
  <c r="J434" i="1"/>
  <c r="H3583" i="1"/>
  <c r="J3582" i="1"/>
  <c r="O971" i="13"/>
  <c r="J585" i="15"/>
  <c r="H1849" i="1"/>
  <c r="J1849" i="1" s="1"/>
  <c r="H2943" i="1"/>
  <c r="J2943" i="1" s="1"/>
  <c r="H1485" i="1"/>
  <c r="J1485" i="1" s="1"/>
  <c r="H2578" i="1"/>
  <c r="J2578" i="1" s="1"/>
  <c r="H1121" i="1"/>
  <c r="J1121" i="1" s="1"/>
  <c r="H2213" i="1"/>
  <c r="J2213" i="1" s="1"/>
  <c r="H436" i="1" l="1"/>
  <c r="J435" i="1"/>
  <c r="J3583" i="1"/>
  <c r="H3584" i="1"/>
  <c r="H802" i="1"/>
  <c r="J801" i="1"/>
  <c r="O972" i="13"/>
  <c r="J586" i="15"/>
  <c r="H1122" i="1"/>
  <c r="J1122" i="1" s="1"/>
  <c r="H2579" i="1"/>
  <c r="J2579" i="1" s="1"/>
  <c r="H1486" i="1"/>
  <c r="J1486" i="1" s="1"/>
  <c r="H2944" i="1"/>
  <c r="J2944" i="1" s="1"/>
  <c r="H2214" i="1"/>
  <c r="J2214" i="1" s="1"/>
  <c r="H1850" i="1"/>
  <c r="J1850" i="1" s="1"/>
  <c r="H803" i="1" l="1"/>
  <c r="J802" i="1"/>
  <c r="H3585" i="1"/>
  <c r="J3584" i="1"/>
  <c r="H437" i="1"/>
  <c r="J436" i="1"/>
  <c r="O973" i="13"/>
  <c r="J587" i="15"/>
  <c r="H2215" i="1"/>
  <c r="J2215" i="1" s="1"/>
  <c r="H2945" i="1"/>
  <c r="J2945" i="1" s="1"/>
  <c r="H1487" i="1"/>
  <c r="J1487" i="1" s="1"/>
  <c r="H2580" i="1"/>
  <c r="J2580" i="1" s="1"/>
  <c r="H1851" i="1"/>
  <c r="J1851" i="1" s="1"/>
  <c r="H1123" i="1"/>
  <c r="J1123" i="1" s="1"/>
  <c r="H3586" i="1" l="1"/>
  <c r="J3585" i="1"/>
  <c r="H438" i="1"/>
  <c r="J437" i="1"/>
  <c r="H804" i="1"/>
  <c r="J803" i="1"/>
  <c r="O974" i="13"/>
  <c r="J588" i="15"/>
  <c r="H1852" i="1"/>
  <c r="J1852" i="1" s="1"/>
  <c r="H2581" i="1"/>
  <c r="J2581" i="1" s="1"/>
  <c r="H1488" i="1"/>
  <c r="J1488" i="1" s="1"/>
  <c r="H2946" i="1"/>
  <c r="J2946" i="1" s="1"/>
  <c r="H1124" i="1"/>
  <c r="J1124" i="1" s="1"/>
  <c r="H2216" i="1"/>
  <c r="J2216" i="1" s="1"/>
  <c r="H805" i="1" l="1"/>
  <c r="J804" i="1"/>
  <c r="H439" i="1"/>
  <c r="J438" i="1"/>
  <c r="H3587" i="1"/>
  <c r="J3586" i="1"/>
  <c r="O975" i="13"/>
  <c r="J589" i="15"/>
  <c r="H1125" i="1"/>
  <c r="J1125" i="1" s="1"/>
  <c r="H2947" i="1"/>
  <c r="J2947" i="1" s="1"/>
  <c r="H1489" i="1"/>
  <c r="J1489" i="1" s="1"/>
  <c r="H2582" i="1"/>
  <c r="J2582" i="1" s="1"/>
  <c r="H2217" i="1"/>
  <c r="J2217" i="1" s="1"/>
  <c r="H1853" i="1"/>
  <c r="J1853" i="1" s="1"/>
  <c r="H3588" i="1" l="1"/>
  <c r="J3587" i="1"/>
  <c r="H440" i="1"/>
  <c r="J439" i="1"/>
  <c r="H806" i="1"/>
  <c r="J805" i="1"/>
  <c r="O976" i="13"/>
  <c r="J590" i="15"/>
  <c r="H2218" i="1"/>
  <c r="J2218" i="1" s="1"/>
  <c r="H2583" i="1"/>
  <c r="J2583" i="1" s="1"/>
  <c r="H1490" i="1"/>
  <c r="J1490" i="1" s="1"/>
  <c r="H2948" i="1"/>
  <c r="J2948" i="1" s="1"/>
  <c r="H1854" i="1"/>
  <c r="J1854" i="1" s="1"/>
  <c r="H1126" i="1"/>
  <c r="J1126" i="1" s="1"/>
  <c r="H807" i="1" l="1"/>
  <c r="J806" i="1"/>
  <c r="H441" i="1"/>
  <c r="J440" i="1"/>
  <c r="H3589" i="1"/>
  <c r="J3588" i="1"/>
  <c r="O977" i="13"/>
  <c r="J591" i="15"/>
  <c r="H1855" i="1"/>
  <c r="J1855" i="1" s="1"/>
  <c r="H2949" i="1"/>
  <c r="J2949" i="1" s="1"/>
  <c r="H1491" i="1"/>
  <c r="J1491" i="1" s="1"/>
  <c r="H2584" i="1"/>
  <c r="J2584" i="1" s="1"/>
  <c r="H1127" i="1"/>
  <c r="J1127" i="1" s="1"/>
  <c r="H2219" i="1"/>
  <c r="J2219" i="1" s="1"/>
  <c r="H442" i="1" l="1"/>
  <c r="J441" i="1"/>
  <c r="H3590" i="1"/>
  <c r="J3589" i="1"/>
  <c r="H808" i="1"/>
  <c r="J807" i="1"/>
  <c r="O978" i="13"/>
  <c r="J592" i="15"/>
  <c r="H1128" i="1"/>
  <c r="J1128" i="1" s="1"/>
  <c r="H2585" i="1"/>
  <c r="J2585" i="1" s="1"/>
  <c r="H1492" i="1"/>
  <c r="J1492" i="1" s="1"/>
  <c r="H2950" i="1"/>
  <c r="J2950" i="1" s="1"/>
  <c r="H2220" i="1"/>
  <c r="J2220" i="1" s="1"/>
  <c r="H1856" i="1"/>
  <c r="J1856" i="1" s="1"/>
  <c r="H809" i="1" l="1"/>
  <c r="J808" i="1"/>
  <c r="J3590" i="1"/>
  <c r="H3591" i="1"/>
  <c r="H443" i="1"/>
  <c r="J442" i="1"/>
  <c r="O979" i="13"/>
  <c r="J593" i="15"/>
  <c r="H2951" i="1"/>
  <c r="J2951" i="1" s="1"/>
  <c r="H2221" i="1"/>
  <c r="J2221" i="1" s="1"/>
  <c r="H1493" i="1"/>
  <c r="J1493" i="1" s="1"/>
  <c r="H2586" i="1"/>
  <c r="J2586" i="1" s="1"/>
  <c r="H1857" i="1"/>
  <c r="J1857" i="1" s="1"/>
  <c r="H1129" i="1"/>
  <c r="J1129" i="1" s="1"/>
  <c r="H444" i="1" l="1"/>
  <c r="J443" i="1"/>
  <c r="J3591" i="1"/>
  <c r="H3592" i="1"/>
  <c r="H810" i="1"/>
  <c r="J809" i="1"/>
  <c r="O980" i="13"/>
  <c r="J594" i="15"/>
  <c r="H1858" i="1"/>
  <c r="J1858" i="1" s="1"/>
  <c r="H2587" i="1"/>
  <c r="J2587" i="1" s="1"/>
  <c r="H1494" i="1"/>
  <c r="J1494" i="1" s="1"/>
  <c r="H2222" i="1"/>
  <c r="J2222" i="1" s="1"/>
  <c r="H1130" i="1"/>
  <c r="J1130" i="1" s="1"/>
  <c r="H2952" i="1"/>
  <c r="J2952" i="1" s="1"/>
  <c r="H811" i="1" l="1"/>
  <c r="J810" i="1"/>
  <c r="H3593" i="1"/>
  <c r="J3592" i="1"/>
  <c r="H445" i="1"/>
  <c r="J444" i="1"/>
  <c r="O981" i="13"/>
  <c r="J595" i="15"/>
  <c r="H1131" i="1"/>
  <c r="J1131" i="1" s="1"/>
  <c r="H2223" i="1"/>
  <c r="J2223" i="1" s="1"/>
  <c r="H1495" i="1"/>
  <c r="J1495" i="1" s="1"/>
  <c r="H2588" i="1"/>
  <c r="J2588" i="1" s="1"/>
  <c r="H2953" i="1"/>
  <c r="J2953" i="1" s="1"/>
  <c r="H1859" i="1"/>
  <c r="J1859" i="1" s="1"/>
  <c r="H446" i="1" l="1"/>
  <c r="J445" i="1"/>
  <c r="H3594" i="1"/>
  <c r="J3593" i="1"/>
  <c r="H812" i="1"/>
  <c r="J811" i="1"/>
  <c r="O982" i="13"/>
  <c r="J596" i="15"/>
  <c r="H2954" i="1"/>
  <c r="J2954" i="1" s="1"/>
  <c r="H2589" i="1"/>
  <c r="J2589" i="1" s="1"/>
  <c r="H1496" i="1"/>
  <c r="J1496" i="1" s="1"/>
  <c r="H2224" i="1"/>
  <c r="J2224" i="1" s="1"/>
  <c r="H1860" i="1"/>
  <c r="J1860" i="1" s="1"/>
  <c r="H1132" i="1"/>
  <c r="J1132" i="1" s="1"/>
  <c r="H813" i="1" l="1"/>
  <c r="J812" i="1"/>
  <c r="H3595" i="1"/>
  <c r="J3594" i="1"/>
  <c r="H447" i="1"/>
  <c r="J446" i="1"/>
  <c r="O983" i="13"/>
  <c r="J597" i="15"/>
  <c r="H2590" i="1"/>
  <c r="J2590" i="1" s="1"/>
  <c r="H1861" i="1"/>
  <c r="J1861" i="1" s="1"/>
  <c r="H2225" i="1"/>
  <c r="J2225" i="1" s="1"/>
  <c r="H1497" i="1"/>
  <c r="J1497" i="1" s="1"/>
  <c r="H1133" i="1"/>
  <c r="J1133" i="1" s="1"/>
  <c r="H2955" i="1"/>
  <c r="J2955" i="1" s="1"/>
  <c r="H448" i="1" l="1"/>
  <c r="J447" i="1"/>
  <c r="H3596" i="1"/>
  <c r="J3595" i="1"/>
  <c r="H814" i="1"/>
  <c r="J813" i="1"/>
  <c r="O984" i="13"/>
  <c r="J598" i="15"/>
  <c r="H1134" i="1"/>
  <c r="J1134" i="1" s="1"/>
  <c r="H1498" i="1"/>
  <c r="J1498" i="1" s="1"/>
  <c r="H2226" i="1"/>
  <c r="J2226" i="1" s="1"/>
  <c r="H1862" i="1"/>
  <c r="J1862" i="1" s="1"/>
  <c r="H2956" i="1"/>
  <c r="J2956" i="1" s="1"/>
  <c r="H2591" i="1"/>
  <c r="J2591" i="1" s="1"/>
  <c r="H815" i="1" l="1"/>
  <c r="J814" i="1"/>
  <c r="J3596" i="1"/>
  <c r="H3597" i="1"/>
  <c r="H449" i="1"/>
  <c r="J448" i="1"/>
  <c r="O985" i="13"/>
  <c r="J599" i="15"/>
  <c r="H2957" i="1"/>
  <c r="J2957" i="1" s="1"/>
  <c r="H1863" i="1"/>
  <c r="J1863" i="1" s="1"/>
  <c r="H2227" i="1"/>
  <c r="J2227" i="1" s="1"/>
  <c r="H1499" i="1"/>
  <c r="J1499" i="1" s="1"/>
  <c r="H2592" i="1"/>
  <c r="J2592" i="1" s="1"/>
  <c r="H1135" i="1"/>
  <c r="J1135" i="1" s="1"/>
  <c r="H450" i="1" l="1"/>
  <c r="J449" i="1"/>
  <c r="J3597" i="1"/>
  <c r="H3598" i="1"/>
  <c r="H816" i="1"/>
  <c r="J815" i="1"/>
  <c r="O986" i="13"/>
  <c r="J600" i="15"/>
  <c r="H2593" i="1"/>
  <c r="J2593" i="1" s="1"/>
  <c r="H1500" i="1"/>
  <c r="J1500" i="1" s="1"/>
  <c r="H2228" i="1"/>
  <c r="J2228" i="1" s="1"/>
  <c r="H1864" i="1"/>
  <c r="J1864" i="1" s="1"/>
  <c r="H1136" i="1"/>
  <c r="J1136" i="1" s="1"/>
  <c r="H2958" i="1"/>
  <c r="J2958" i="1" s="1"/>
  <c r="H817" i="1" l="1"/>
  <c r="J816" i="1"/>
  <c r="J3598" i="1"/>
  <c r="H3599" i="1"/>
  <c r="H451" i="1"/>
  <c r="J450" i="1"/>
  <c r="O987" i="13"/>
  <c r="J601" i="15"/>
  <c r="H1137" i="1"/>
  <c r="J1137" i="1" s="1"/>
  <c r="H1865" i="1"/>
  <c r="J1865" i="1" s="1"/>
  <c r="H2229" i="1"/>
  <c r="J2229" i="1" s="1"/>
  <c r="H1501" i="1"/>
  <c r="J1501" i="1" s="1"/>
  <c r="H2959" i="1"/>
  <c r="J2959" i="1" s="1"/>
  <c r="H2594" i="1"/>
  <c r="J2594" i="1" s="1"/>
  <c r="H452" i="1" l="1"/>
  <c r="J451" i="1"/>
  <c r="H3600" i="1"/>
  <c r="J3599" i="1"/>
  <c r="H818" i="1"/>
  <c r="J817" i="1"/>
  <c r="O988" i="13"/>
  <c r="J602" i="15"/>
  <c r="H1866" i="1"/>
  <c r="J1866" i="1" s="1"/>
  <c r="H2960" i="1"/>
  <c r="J2960" i="1" s="1"/>
  <c r="H1502" i="1"/>
  <c r="J1502" i="1" s="1"/>
  <c r="H2230" i="1"/>
  <c r="J2230" i="1" s="1"/>
  <c r="H2595" i="1"/>
  <c r="J2595" i="1" s="1"/>
  <c r="H1138" i="1"/>
  <c r="J1138" i="1" s="1"/>
  <c r="H819" i="1" l="1"/>
  <c r="J818" i="1"/>
  <c r="J3600" i="1"/>
  <c r="H3601" i="1"/>
  <c r="H453" i="1"/>
  <c r="J452" i="1"/>
  <c r="O989" i="13"/>
  <c r="J603" i="15"/>
  <c r="H2596" i="1"/>
  <c r="J2596" i="1" s="1"/>
  <c r="H2231" i="1"/>
  <c r="J2231" i="1" s="1"/>
  <c r="H1503" i="1"/>
  <c r="J1503" i="1" s="1"/>
  <c r="H2961" i="1"/>
  <c r="J2961" i="1" s="1"/>
  <c r="H1139" i="1"/>
  <c r="J1139" i="1" s="1"/>
  <c r="H1867" i="1"/>
  <c r="J1867" i="1" s="1"/>
  <c r="H454" i="1" l="1"/>
  <c r="J453" i="1"/>
  <c r="H3602" i="1"/>
  <c r="J3601" i="1"/>
  <c r="H820" i="1"/>
  <c r="J819" i="1"/>
  <c r="O990" i="13"/>
  <c r="J604" i="15"/>
  <c r="H1140" i="1"/>
  <c r="J1140" i="1" s="1"/>
  <c r="H2962" i="1"/>
  <c r="J2962" i="1" s="1"/>
  <c r="H1504" i="1"/>
  <c r="J1504" i="1" s="1"/>
  <c r="H2232" i="1"/>
  <c r="J2232" i="1" s="1"/>
  <c r="H1868" i="1"/>
  <c r="J1868" i="1" s="1"/>
  <c r="H2597" i="1"/>
  <c r="J2597" i="1" s="1"/>
  <c r="H3603" i="1" l="1"/>
  <c r="J3602" i="1"/>
  <c r="H821" i="1"/>
  <c r="J821" i="1" s="1"/>
  <c r="J820" i="1"/>
  <c r="H455" i="1"/>
  <c r="J454" i="1"/>
  <c r="O991" i="13"/>
  <c r="J605" i="15"/>
  <c r="H1869" i="1"/>
  <c r="J1869" i="1" s="1"/>
  <c r="H2233" i="1"/>
  <c r="J2233" i="1" s="1"/>
  <c r="H1505" i="1"/>
  <c r="J1505" i="1" s="1"/>
  <c r="H2963" i="1"/>
  <c r="J2963" i="1" s="1"/>
  <c r="H2598" i="1"/>
  <c r="J2598" i="1" s="1"/>
  <c r="H1141" i="1"/>
  <c r="J1141" i="1" s="1"/>
  <c r="H456" i="1" l="1"/>
  <c r="J456" i="1" s="1"/>
  <c r="J455" i="1"/>
  <c r="J3603" i="1"/>
  <c r="H3604" i="1"/>
  <c r="O992" i="13"/>
  <c r="J606" i="15"/>
  <c r="H2599" i="1"/>
  <c r="J2599" i="1" s="1"/>
  <c r="H2964" i="1"/>
  <c r="J2964" i="1" s="1"/>
  <c r="H1506" i="1"/>
  <c r="J1506" i="1" s="1"/>
  <c r="H2234" i="1"/>
  <c r="J2234" i="1" s="1"/>
  <c r="H1142" i="1"/>
  <c r="J1142" i="1" s="1"/>
  <c r="H1870" i="1"/>
  <c r="J1870" i="1" s="1"/>
  <c r="H3605" i="1" l="1"/>
  <c r="J3604" i="1"/>
  <c r="O993" i="13"/>
  <c r="J607" i="15"/>
  <c r="H1143" i="1"/>
  <c r="J1143" i="1" s="1"/>
  <c r="H2235" i="1"/>
  <c r="J2235" i="1" s="1"/>
  <c r="H1507" i="1"/>
  <c r="J1507" i="1" s="1"/>
  <c r="H2965" i="1"/>
  <c r="J2965" i="1" s="1"/>
  <c r="H1871" i="1"/>
  <c r="J1871" i="1" s="1"/>
  <c r="H2600" i="1"/>
  <c r="J2600" i="1" s="1"/>
  <c r="J3605" i="1" l="1"/>
  <c r="H3606" i="1"/>
  <c r="O994" i="13"/>
  <c r="J608" i="15"/>
  <c r="H1872" i="1"/>
  <c r="J1872" i="1" s="1"/>
  <c r="H2966" i="1"/>
  <c r="J2966" i="1" s="1"/>
  <c r="H1508" i="1"/>
  <c r="J1508" i="1" s="1"/>
  <c r="H2236" i="1"/>
  <c r="J2236" i="1" s="1"/>
  <c r="H2601" i="1"/>
  <c r="J2601" i="1" s="1"/>
  <c r="H1144" i="1"/>
  <c r="J1144" i="1" s="1"/>
  <c r="H3607" i="1" l="1"/>
  <c r="J3606" i="1"/>
  <c r="O995" i="13"/>
  <c r="J609" i="15"/>
  <c r="H2602" i="1"/>
  <c r="J2602" i="1" s="1"/>
  <c r="H2237" i="1"/>
  <c r="J2237" i="1" s="1"/>
  <c r="H1509" i="1"/>
  <c r="J1509" i="1" s="1"/>
  <c r="H2967" i="1"/>
  <c r="J2967" i="1" s="1"/>
  <c r="H1145" i="1"/>
  <c r="J1145" i="1" s="1"/>
  <c r="H1873" i="1"/>
  <c r="J1873" i="1" s="1"/>
  <c r="H3608" i="1" l="1"/>
  <c r="J3607" i="1"/>
  <c r="O996" i="13"/>
  <c r="J610" i="15"/>
  <c r="H1146" i="1"/>
  <c r="J1146" i="1" s="1"/>
  <c r="H2968" i="1"/>
  <c r="J2968" i="1" s="1"/>
  <c r="H1510" i="1"/>
  <c r="J1510" i="1" s="1"/>
  <c r="H2238" i="1"/>
  <c r="J2238" i="1" s="1"/>
  <c r="H1874" i="1"/>
  <c r="J1874" i="1" s="1"/>
  <c r="H2603" i="1"/>
  <c r="J2603" i="1" s="1"/>
  <c r="H3609" i="1" l="1"/>
  <c r="J3608" i="1"/>
  <c r="O997" i="13"/>
  <c r="J611" i="15"/>
  <c r="H2239" i="1"/>
  <c r="J2239" i="1" s="1"/>
  <c r="H1875" i="1"/>
  <c r="J1875" i="1" s="1"/>
  <c r="H1511" i="1"/>
  <c r="J1511" i="1" s="1"/>
  <c r="H2969" i="1"/>
  <c r="J2969" i="1" s="1"/>
  <c r="H2604" i="1"/>
  <c r="J2604" i="1" s="1"/>
  <c r="H1147" i="1"/>
  <c r="J1147" i="1" s="1"/>
  <c r="J3609" i="1" l="1"/>
  <c r="H3610" i="1"/>
  <c r="O998" i="13"/>
  <c r="J612" i="15"/>
  <c r="H2605" i="1"/>
  <c r="J2605" i="1" s="1"/>
  <c r="H2970" i="1"/>
  <c r="J2970" i="1" s="1"/>
  <c r="H1512" i="1"/>
  <c r="J1512" i="1" s="1"/>
  <c r="H1876" i="1"/>
  <c r="J1876" i="1" s="1"/>
  <c r="H1148" i="1"/>
  <c r="J1148" i="1" s="1"/>
  <c r="H2240" i="1"/>
  <c r="J2240" i="1" s="1"/>
  <c r="J3610" i="1" l="1"/>
  <c r="H3611" i="1"/>
  <c r="O999" i="13"/>
  <c r="J613" i="15"/>
  <c r="H1149" i="1"/>
  <c r="J1149" i="1" s="1"/>
  <c r="H1877" i="1"/>
  <c r="J1877" i="1" s="1"/>
  <c r="H1513" i="1"/>
  <c r="J1513" i="1" s="1"/>
  <c r="H2971" i="1"/>
  <c r="J2971" i="1" s="1"/>
  <c r="H2241" i="1"/>
  <c r="J2241" i="1" s="1"/>
  <c r="H2606" i="1"/>
  <c r="J2606" i="1" s="1"/>
  <c r="J3611" i="1" l="1"/>
  <c r="H3612" i="1"/>
  <c r="O1000" i="13"/>
  <c r="J614" i="15"/>
  <c r="H2242" i="1"/>
  <c r="J2242" i="1" s="1"/>
  <c r="H2972" i="1"/>
  <c r="J2972" i="1" s="1"/>
  <c r="H1514" i="1"/>
  <c r="J1514" i="1" s="1"/>
  <c r="H1878" i="1"/>
  <c r="J1878" i="1" s="1"/>
  <c r="H2607" i="1"/>
  <c r="J2607" i="1" s="1"/>
  <c r="H1150" i="1"/>
  <c r="J1150" i="1" s="1"/>
  <c r="H3613" i="1" l="1"/>
  <c r="J3612" i="1"/>
  <c r="O1001" i="13"/>
  <c r="J615" i="15"/>
  <c r="H1879" i="1"/>
  <c r="J1879" i="1" s="1"/>
  <c r="H2608" i="1"/>
  <c r="J2608" i="1" s="1"/>
  <c r="H1515" i="1"/>
  <c r="J1515" i="1" s="1"/>
  <c r="H2973" i="1"/>
  <c r="J2973" i="1" s="1"/>
  <c r="H1151" i="1"/>
  <c r="J1151" i="1" s="1"/>
  <c r="H2243" i="1"/>
  <c r="J2243" i="1" s="1"/>
  <c r="J3613" i="1" l="1"/>
  <c r="H3614" i="1"/>
  <c r="O1002" i="13"/>
  <c r="J616" i="15"/>
  <c r="H1152" i="1"/>
  <c r="J1152" i="1" s="1"/>
  <c r="H2974" i="1"/>
  <c r="J2974" i="1" s="1"/>
  <c r="H1516" i="1"/>
  <c r="J1516" i="1" s="1"/>
  <c r="H2609" i="1"/>
  <c r="J2609" i="1" s="1"/>
  <c r="H2244" i="1"/>
  <c r="J2244" i="1" s="1"/>
  <c r="H1880" i="1"/>
  <c r="J1880" i="1" s="1"/>
  <c r="H3615" i="1" l="1"/>
  <c r="J3614" i="1"/>
  <c r="O1003" i="13"/>
  <c r="J617" i="15"/>
  <c r="H2245" i="1"/>
  <c r="J2245" i="1" s="1"/>
  <c r="H2610" i="1"/>
  <c r="J2610" i="1" s="1"/>
  <c r="H1517" i="1"/>
  <c r="J1517" i="1" s="1"/>
  <c r="H2975" i="1"/>
  <c r="J2975" i="1" s="1"/>
  <c r="H1881" i="1"/>
  <c r="J1881" i="1" s="1"/>
  <c r="H1153" i="1"/>
  <c r="J1153" i="1" s="1"/>
  <c r="J3615" i="1" l="1"/>
  <c r="H3616" i="1"/>
  <c r="O1004" i="13"/>
  <c r="J618" i="15"/>
  <c r="H1882" i="1"/>
  <c r="J1882" i="1" s="1"/>
  <c r="H2976" i="1"/>
  <c r="J2976" i="1" s="1"/>
  <c r="H1518" i="1"/>
  <c r="J1518" i="1" s="1"/>
  <c r="H2611" i="1"/>
  <c r="J2611" i="1" s="1"/>
  <c r="H1154" i="1"/>
  <c r="J1154" i="1" s="1"/>
  <c r="H2246" i="1"/>
  <c r="J2246" i="1" s="1"/>
  <c r="J3616" i="1" l="1"/>
  <c r="H3617" i="1"/>
  <c r="O1005" i="13"/>
  <c r="J619" i="15"/>
  <c r="H1155" i="1"/>
  <c r="J1155" i="1" s="1"/>
  <c r="H2612" i="1"/>
  <c r="J2612" i="1" s="1"/>
  <c r="H1519" i="1"/>
  <c r="J1519" i="1" s="1"/>
  <c r="H2977" i="1"/>
  <c r="J2977" i="1" s="1"/>
  <c r="H2247" i="1"/>
  <c r="J2247" i="1" s="1"/>
  <c r="H1883" i="1"/>
  <c r="J1883" i="1" s="1"/>
  <c r="H3618" i="1" l="1"/>
  <c r="J3617" i="1"/>
  <c r="O1006" i="13"/>
  <c r="J620" i="15"/>
  <c r="H2248" i="1"/>
  <c r="J2248" i="1" s="1"/>
  <c r="H2978" i="1"/>
  <c r="J2978" i="1" s="1"/>
  <c r="H1520" i="1"/>
  <c r="J1520" i="1" s="1"/>
  <c r="H2613" i="1"/>
  <c r="J2613" i="1" s="1"/>
  <c r="H1884" i="1"/>
  <c r="J1884" i="1" s="1"/>
  <c r="H1156" i="1"/>
  <c r="J1156" i="1" s="1"/>
  <c r="H3619" i="1" l="1"/>
  <c r="J3618" i="1"/>
  <c r="O1007" i="13"/>
  <c r="J621" i="15"/>
  <c r="H1885" i="1"/>
  <c r="J1885" i="1" s="1"/>
  <c r="H2614" i="1"/>
  <c r="J2614" i="1" s="1"/>
  <c r="H1521" i="1"/>
  <c r="J1521" i="1" s="1"/>
  <c r="H2979" i="1"/>
  <c r="J2979" i="1" s="1"/>
  <c r="H1157" i="1"/>
  <c r="J1157" i="1" s="1"/>
  <c r="H2249" i="1"/>
  <c r="J2249" i="1" s="1"/>
  <c r="H3620" i="1" l="1"/>
  <c r="J3619" i="1"/>
  <c r="O1008" i="13"/>
  <c r="J622" i="15"/>
  <c r="H1158" i="1"/>
  <c r="J1158" i="1" s="1"/>
  <c r="H2980" i="1"/>
  <c r="J2980" i="1" s="1"/>
  <c r="H1522" i="1"/>
  <c r="J1522" i="1" s="1"/>
  <c r="H2615" i="1"/>
  <c r="J2615" i="1" s="1"/>
  <c r="H2250" i="1"/>
  <c r="J2250" i="1" s="1"/>
  <c r="H1886" i="1"/>
  <c r="J1886" i="1" s="1"/>
  <c r="J3620" i="1" l="1"/>
  <c r="H3621" i="1"/>
  <c r="O1009" i="13"/>
  <c r="J623" i="15"/>
  <c r="H2251" i="1"/>
  <c r="J2251" i="1" s="1"/>
  <c r="H2616" i="1"/>
  <c r="J2616" i="1" s="1"/>
  <c r="H1523" i="1"/>
  <c r="J1523" i="1" s="1"/>
  <c r="H2981" i="1"/>
  <c r="J2981" i="1" s="1"/>
  <c r="H1887" i="1"/>
  <c r="J1887" i="1" s="1"/>
  <c r="H1159" i="1"/>
  <c r="J1159" i="1" s="1"/>
  <c r="H3622" i="1" l="1"/>
  <c r="J3621" i="1"/>
  <c r="O1010" i="13"/>
  <c r="J624" i="15"/>
  <c r="H1888" i="1"/>
  <c r="J1888" i="1" s="1"/>
  <c r="H2617" i="1"/>
  <c r="J2617" i="1" s="1"/>
  <c r="H2982" i="1"/>
  <c r="J2982" i="1" s="1"/>
  <c r="H1524" i="1"/>
  <c r="J1524" i="1" s="1"/>
  <c r="H1160" i="1"/>
  <c r="J1160" i="1" s="1"/>
  <c r="H2252" i="1"/>
  <c r="J2252" i="1" s="1"/>
  <c r="J3622" i="1" l="1"/>
  <c r="H3623" i="1"/>
  <c r="O1011" i="13"/>
  <c r="J625" i="15"/>
  <c r="H1161" i="1"/>
  <c r="J1161" i="1" s="1"/>
  <c r="H1525" i="1"/>
  <c r="J1525" i="1" s="1"/>
  <c r="H2983" i="1"/>
  <c r="J2983" i="1" s="1"/>
  <c r="H2618" i="1"/>
  <c r="J2618" i="1" s="1"/>
  <c r="H2253" i="1"/>
  <c r="J2253" i="1" s="1"/>
  <c r="H1889" i="1"/>
  <c r="J1889" i="1" s="1"/>
  <c r="H3624" i="1" l="1"/>
  <c r="J3623" i="1"/>
  <c r="O1012" i="13"/>
  <c r="J626" i="15"/>
  <c r="H2254" i="1"/>
  <c r="J2254" i="1" s="1"/>
  <c r="H2619" i="1"/>
  <c r="J2619" i="1" s="1"/>
  <c r="H2984" i="1"/>
  <c r="J2984" i="1" s="1"/>
  <c r="H1526" i="1"/>
  <c r="J1526" i="1" s="1"/>
  <c r="H1890" i="1"/>
  <c r="J1890" i="1" s="1"/>
  <c r="H1162" i="1"/>
  <c r="J1162" i="1" s="1"/>
  <c r="H3625" i="1" l="1"/>
  <c r="J3624" i="1"/>
  <c r="O1013" i="13"/>
  <c r="J627" i="15"/>
  <c r="H1891" i="1"/>
  <c r="J1891" i="1" s="1"/>
  <c r="H1527" i="1"/>
  <c r="J1527" i="1" s="1"/>
  <c r="H2985" i="1"/>
  <c r="J2985" i="1" s="1"/>
  <c r="H2620" i="1"/>
  <c r="J2620" i="1" s="1"/>
  <c r="H1163" i="1"/>
  <c r="J1163" i="1" s="1"/>
  <c r="H2255" i="1"/>
  <c r="J2255" i="1" s="1"/>
  <c r="J3625" i="1" l="1"/>
  <c r="H3626" i="1"/>
  <c r="O1014" i="13"/>
  <c r="J628" i="15"/>
  <c r="H1164" i="1"/>
  <c r="J1164" i="1" s="1"/>
  <c r="H2621" i="1"/>
  <c r="J2621" i="1" s="1"/>
  <c r="H2986" i="1"/>
  <c r="J2986" i="1" s="1"/>
  <c r="H1528" i="1"/>
  <c r="J1528" i="1" s="1"/>
  <c r="H2256" i="1"/>
  <c r="J2256" i="1" s="1"/>
  <c r="H1892" i="1"/>
  <c r="J1892" i="1" s="1"/>
  <c r="H3627" i="1" l="1"/>
  <c r="J3626" i="1"/>
  <c r="O1015" i="13"/>
  <c r="J629" i="15"/>
  <c r="H2257" i="1"/>
  <c r="J2257" i="1" s="1"/>
  <c r="H1529" i="1"/>
  <c r="J1529" i="1" s="1"/>
  <c r="H2987" i="1"/>
  <c r="J2987" i="1" s="1"/>
  <c r="H2622" i="1"/>
  <c r="J2622" i="1" s="1"/>
  <c r="H1893" i="1"/>
  <c r="J1893" i="1" s="1"/>
  <c r="H1165" i="1"/>
  <c r="J1165" i="1" s="1"/>
  <c r="H3628" i="1" l="1"/>
  <c r="J3627" i="1"/>
  <c r="O1016" i="13"/>
  <c r="J630" i="15"/>
  <c r="H1894" i="1"/>
  <c r="J1894" i="1" s="1"/>
  <c r="H2623" i="1"/>
  <c r="J2623" i="1" s="1"/>
  <c r="H2988" i="1"/>
  <c r="J2988" i="1" s="1"/>
  <c r="H1530" i="1"/>
  <c r="J1530" i="1" s="1"/>
  <c r="H1166" i="1"/>
  <c r="J1166" i="1" s="1"/>
  <c r="H2258" i="1"/>
  <c r="J2258" i="1" s="1"/>
  <c r="H3629" i="1" l="1"/>
  <c r="J3628" i="1"/>
  <c r="O1017" i="13"/>
  <c r="J631" i="15"/>
  <c r="H1167" i="1"/>
  <c r="J1167" i="1" s="1"/>
  <c r="H1531" i="1"/>
  <c r="J1531" i="1" s="1"/>
  <c r="H2989" i="1"/>
  <c r="J2989" i="1" s="1"/>
  <c r="H2624" i="1"/>
  <c r="J2624" i="1" s="1"/>
  <c r="H2259" i="1"/>
  <c r="J2259" i="1" s="1"/>
  <c r="H1895" i="1"/>
  <c r="J1895" i="1" s="1"/>
  <c r="H3630" i="1" l="1"/>
  <c r="J3629" i="1"/>
  <c r="O1018" i="13"/>
  <c r="J632" i="15"/>
  <c r="H2260" i="1"/>
  <c r="J2260" i="1" s="1"/>
  <c r="H2625" i="1"/>
  <c r="J2625" i="1" s="1"/>
  <c r="H2990" i="1"/>
  <c r="J2990" i="1" s="1"/>
  <c r="H1532" i="1"/>
  <c r="J1532" i="1" s="1"/>
  <c r="H1896" i="1"/>
  <c r="J1896" i="1" s="1"/>
  <c r="H1168" i="1"/>
  <c r="J1168" i="1" s="1"/>
  <c r="H3631" i="1" l="1"/>
  <c r="J3630" i="1"/>
  <c r="O1019" i="13"/>
  <c r="J633" i="15"/>
  <c r="H1897" i="1"/>
  <c r="J1897" i="1" s="1"/>
  <c r="H1533" i="1"/>
  <c r="J1533" i="1" s="1"/>
  <c r="H2991" i="1"/>
  <c r="J2991" i="1" s="1"/>
  <c r="H2626" i="1"/>
  <c r="J2626" i="1" s="1"/>
  <c r="H1169" i="1"/>
  <c r="J1169" i="1" s="1"/>
  <c r="H2261" i="1"/>
  <c r="J2261" i="1" s="1"/>
  <c r="H3632" i="1" l="1"/>
  <c r="J3631" i="1"/>
  <c r="O1020" i="13"/>
  <c r="J634" i="15"/>
  <c r="H1170" i="1"/>
  <c r="J1170" i="1" s="1"/>
  <c r="H2627" i="1"/>
  <c r="J2627" i="1" s="1"/>
  <c r="H2992" i="1"/>
  <c r="J2992" i="1" s="1"/>
  <c r="H1534" i="1"/>
  <c r="J1534" i="1" s="1"/>
  <c r="H2262" i="1"/>
  <c r="J2262" i="1" s="1"/>
  <c r="H1898" i="1"/>
  <c r="J1898" i="1" s="1"/>
  <c r="J3632" i="1" l="1"/>
  <c r="H3633" i="1"/>
  <c r="O1021" i="13"/>
  <c r="J635" i="15"/>
  <c r="H2263" i="1"/>
  <c r="J2263" i="1" s="1"/>
  <c r="H1535" i="1"/>
  <c r="J1535" i="1" s="1"/>
  <c r="H2993" i="1"/>
  <c r="J2993" i="1" s="1"/>
  <c r="H2628" i="1"/>
  <c r="J2628" i="1" s="1"/>
  <c r="H1899" i="1"/>
  <c r="J1899" i="1" s="1"/>
  <c r="H1171" i="1"/>
  <c r="J1171" i="1" s="1"/>
  <c r="J3633" i="1" l="1"/>
  <c r="H3634" i="1"/>
  <c r="O1022" i="13"/>
  <c r="J636" i="15"/>
  <c r="H1900" i="1"/>
  <c r="J1900" i="1" s="1"/>
  <c r="H2629" i="1"/>
  <c r="J2629" i="1" s="1"/>
  <c r="H2994" i="1"/>
  <c r="J2994" i="1" s="1"/>
  <c r="H1536" i="1"/>
  <c r="J1536" i="1" s="1"/>
  <c r="H1172" i="1"/>
  <c r="J1172" i="1" s="1"/>
  <c r="H2264" i="1"/>
  <c r="J2264" i="1" s="1"/>
  <c r="H3635" i="1" l="1"/>
  <c r="J3634" i="1"/>
  <c r="O1023" i="13"/>
  <c r="J637" i="15"/>
  <c r="H1173" i="1"/>
  <c r="J1173" i="1" s="1"/>
  <c r="H1537" i="1"/>
  <c r="J1537" i="1" s="1"/>
  <c r="H2995" i="1"/>
  <c r="J2995" i="1" s="1"/>
  <c r="H2630" i="1"/>
  <c r="J2630" i="1" s="1"/>
  <c r="H2265" i="1"/>
  <c r="J2265" i="1" s="1"/>
  <c r="H1901" i="1"/>
  <c r="J1901" i="1" s="1"/>
  <c r="J3635" i="1" l="1"/>
  <c r="H3636" i="1"/>
  <c r="O1024" i="13"/>
  <c r="J638" i="15"/>
  <c r="H2266" i="1"/>
  <c r="J2266" i="1" s="1"/>
  <c r="H1538" i="1"/>
  <c r="J1538" i="1" s="1"/>
  <c r="H2631" i="1"/>
  <c r="J2631" i="1" s="1"/>
  <c r="H2996" i="1"/>
  <c r="J2996" i="1" s="1"/>
  <c r="H1902" i="1"/>
  <c r="J1902" i="1" s="1"/>
  <c r="H1174" i="1"/>
  <c r="J1174" i="1" s="1"/>
  <c r="H3637" i="1" l="1"/>
  <c r="J3636" i="1"/>
  <c r="O1025" i="13"/>
  <c r="J639" i="15"/>
  <c r="H1903" i="1"/>
  <c r="J1903" i="1" s="1"/>
  <c r="H2997" i="1"/>
  <c r="J2997" i="1" s="1"/>
  <c r="H2632" i="1"/>
  <c r="J2632" i="1" s="1"/>
  <c r="H1539" i="1"/>
  <c r="J1539" i="1" s="1"/>
  <c r="H1175" i="1"/>
  <c r="J1175" i="1" s="1"/>
  <c r="H2267" i="1"/>
  <c r="J2267" i="1" s="1"/>
  <c r="J3637" i="1" l="1"/>
  <c r="H3638" i="1"/>
  <c r="O1026" i="13"/>
  <c r="J640" i="15"/>
  <c r="H1176" i="1"/>
  <c r="J1176" i="1" s="1"/>
  <c r="H1540" i="1"/>
  <c r="J1540" i="1" s="1"/>
  <c r="H2633" i="1"/>
  <c r="J2633" i="1" s="1"/>
  <c r="H2998" i="1"/>
  <c r="J2998" i="1" s="1"/>
  <c r="H2268" i="1"/>
  <c r="J2268" i="1" s="1"/>
  <c r="H1904" i="1"/>
  <c r="J1904" i="1" s="1"/>
  <c r="H3639" i="1" l="1"/>
  <c r="J3638" i="1"/>
  <c r="O1027" i="13"/>
  <c r="J641" i="15"/>
  <c r="H2269" i="1"/>
  <c r="J2269" i="1" s="1"/>
  <c r="H2999" i="1"/>
  <c r="J2999" i="1" s="1"/>
  <c r="H2634" i="1"/>
  <c r="J2634" i="1" s="1"/>
  <c r="H1541" i="1"/>
  <c r="J1541" i="1" s="1"/>
  <c r="H1905" i="1"/>
  <c r="J1905" i="1" s="1"/>
  <c r="H1177" i="1"/>
  <c r="J1177" i="1" s="1"/>
  <c r="H3640" i="1" l="1"/>
  <c r="J3639" i="1"/>
  <c r="O1028" i="13"/>
  <c r="J642" i="15"/>
  <c r="H1906" i="1"/>
  <c r="J1906" i="1" s="1"/>
  <c r="H1542" i="1"/>
  <c r="J1542" i="1" s="1"/>
  <c r="H2635" i="1"/>
  <c r="J2635" i="1" s="1"/>
  <c r="H3000" i="1"/>
  <c r="J3000" i="1" s="1"/>
  <c r="H1178" i="1"/>
  <c r="J1178" i="1" s="1"/>
  <c r="H2270" i="1"/>
  <c r="J2270" i="1" s="1"/>
  <c r="H3641" i="1" l="1"/>
  <c r="J3640" i="1"/>
  <c r="O1029" i="13"/>
  <c r="J643" i="15"/>
  <c r="H1179" i="1"/>
  <c r="J1179" i="1" s="1"/>
  <c r="H3001" i="1"/>
  <c r="J3001" i="1" s="1"/>
  <c r="H2636" i="1"/>
  <c r="J2636" i="1" s="1"/>
  <c r="H1543" i="1"/>
  <c r="J1543" i="1" s="1"/>
  <c r="H2271" i="1"/>
  <c r="J2271" i="1" s="1"/>
  <c r="H1907" i="1"/>
  <c r="J1907" i="1" s="1"/>
  <c r="H3642" i="1" l="1"/>
  <c r="J3641" i="1"/>
  <c r="O1030" i="13"/>
  <c r="J644" i="15"/>
  <c r="H2272" i="1"/>
  <c r="J2272" i="1" s="1"/>
  <c r="H1544" i="1"/>
  <c r="J1544" i="1" s="1"/>
  <c r="H2637" i="1"/>
  <c r="J2637" i="1" s="1"/>
  <c r="H3002" i="1"/>
  <c r="J3002" i="1" s="1"/>
  <c r="H1908" i="1"/>
  <c r="J1908" i="1" s="1"/>
  <c r="H1180" i="1"/>
  <c r="J1180" i="1" s="1"/>
  <c r="H3643" i="1" l="1"/>
  <c r="J3642" i="1"/>
  <c r="O1031" i="13"/>
  <c r="J645" i="15"/>
  <c r="H1909" i="1"/>
  <c r="J1909" i="1" s="1"/>
  <c r="H3003" i="1"/>
  <c r="J3003" i="1" s="1"/>
  <c r="H2638" i="1"/>
  <c r="J2638" i="1" s="1"/>
  <c r="H1545" i="1"/>
  <c r="J1545" i="1" s="1"/>
  <c r="H1181" i="1"/>
  <c r="J1181" i="1" s="1"/>
  <c r="H2273" i="1"/>
  <c r="J2273" i="1" s="1"/>
  <c r="H3644" i="1" l="1"/>
  <c r="J3643" i="1"/>
  <c r="O1032" i="13"/>
  <c r="J646" i="15"/>
  <c r="H1182" i="1"/>
  <c r="J1182" i="1" s="1"/>
  <c r="H1546" i="1"/>
  <c r="J1546" i="1" s="1"/>
  <c r="H2639" i="1"/>
  <c r="J2639" i="1" s="1"/>
  <c r="H3004" i="1"/>
  <c r="J3004" i="1" s="1"/>
  <c r="H2274" i="1"/>
  <c r="J2274" i="1" s="1"/>
  <c r="H1910" i="1"/>
  <c r="J1910" i="1" s="1"/>
  <c r="H3645" i="1" l="1"/>
  <c r="J3644" i="1"/>
  <c r="O1033" i="13"/>
  <c r="J647" i="15"/>
  <c r="H2275" i="1"/>
  <c r="J2275" i="1" s="1"/>
  <c r="H3005" i="1"/>
  <c r="J3005" i="1" s="1"/>
  <c r="H2640" i="1"/>
  <c r="J2640" i="1" s="1"/>
  <c r="H1547" i="1"/>
  <c r="J1547" i="1" s="1"/>
  <c r="H1911" i="1"/>
  <c r="J1911" i="1" s="1"/>
  <c r="H1183" i="1"/>
  <c r="J1183" i="1" s="1"/>
  <c r="H3646" i="1" l="1"/>
  <c r="J3645" i="1"/>
  <c r="O1034" i="13"/>
  <c r="J648" i="15"/>
  <c r="H1912" i="1"/>
  <c r="J1912" i="1" s="1"/>
  <c r="H1548" i="1"/>
  <c r="J1548" i="1" s="1"/>
  <c r="H2641" i="1"/>
  <c r="J2641" i="1" s="1"/>
  <c r="H3006" i="1"/>
  <c r="J3006" i="1" s="1"/>
  <c r="H1184" i="1"/>
  <c r="J1184" i="1" s="1"/>
  <c r="H2276" i="1"/>
  <c r="J2276" i="1" s="1"/>
  <c r="H3647" i="1" l="1"/>
  <c r="J3646" i="1"/>
  <c r="O1035" i="13"/>
  <c r="J649" i="15"/>
  <c r="H1185" i="1"/>
  <c r="J1185" i="1" s="1"/>
  <c r="H3007" i="1"/>
  <c r="J3007" i="1" s="1"/>
  <c r="H2642" i="1"/>
  <c r="J2642" i="1" s="1"/>
  <c r="H1549" i="1"/>
  <c r="J1549" i="1" s="1"/>
  <c r="H2277" i="1"/>
  <c r="J2277" i="1" s="1"/>
  <c r="H1913" i="1"/>
  <c r="J1913" i="1" s="1"/>
  <c r="J3647" i="1" l="1"/>
  <c r="H3648" i="1"/>
  <c r="O1036" i="13"/>
  <c r="J650" i="15"/>
  <c r="H2278" i="1"/>
  <c r="J2278" i="1" s="1"/>
  <c r="H1550" i="1"/>
  <c r="J1550" i="1" s="1"/>
  <c r="H2643" i="1"/>
  <c r="J2643" i="1" s="1"/>
  <c r="H3008" i="1"/>
  <c r="J3008" i="1" s="1"/>
  <c r="H1914" i="1"/>
  <c r="J1914" i="1" s="1"/>
  <c r="H1186" i="1"/>
  <c r="J1186" i="1" s="1"/>
  <c r="H3649" i="1" l="1"/>
  <c r="J3648" i="1"/>
  <c r="O1037" i="13"/>
  <c r="J651" i="15"/>
  <c r="H1915" i="1"/>
  <c r="J1915" i="1" s="1"/>
  <c r="H3009" i="1"/>
  <c r="J3009" i="1" s="1"/>
  <c r="H2644" i="1"/>
  <c r="J2644" i="1" s="1"/>
  <c r="H1551" i="1"/>
  <c r="J1551" i="1" s="1"/>
  <c r="H1187" i="1"/>
  <c r="J1187" i="1" s="1"/>
  <c r="H2279" i="1"/>
  <c r="J2279" i="1" s="1"/>
  <c r="H3650" i="1" l="1"/>
  <c r="J3649" i="1"/>
  <c r="O1038" i="13"/>
  <c r="J652" i="15"/>
  <c r="H1552" i="1"/>
  <c r="J1552" i="1" s="1"/>
  <c r="H2645" i="1"/>
  <c r="J2645" i="1" s="1"/>
  <c r="H3010" i="1"/>
  <c r="J3010" i="1" s="1"/>
  <c r="H2280" i="1"/>
  <c r="J2280" i="1" s="1"/>
  <c r="H1916" i="1"/>
  <c r="J1916" i="1" s="1"/>
  <c r="J3650" i="1" l="1"/>
  <c r="H3651" i="1"/>
  <c r="O1039" i="13"/>
  <c r="J653" i="15"/>
  <c r="H1917" i="1"/>
  <c r="J1917" i="1" s="1"/>
  <c r="H2281" i="1"/>
  <c r="J2281" i="1" s="1"/>
  <c r="H3011" i="1"/>
  <c r="J3011" i="1" s="1"/>
  <c r="H2646" i="1"/>
  <c r="J2646" i="1" s="1"/>
  <c r="H3652" i="1" l="1"/>
  <c r="J3651" i="1"/>
  <c r="O1041" i="13"/>
  <c r="O1040" i="13"/>
  <c r="J654" i="15"/>
  <c r="H2647" i="1"/>
  <c r="J2647" i="1" s="1"/>
  <c r="H3012" i="1"/>
  <c r="J3012" i="1" s="1"/>
  <c r="H2282" i="1"/>
  <c r="J2282" i="1" s="1"/>
  <c r="H3653" i="1" l="1"/>
  <c r="J3652" i="1"/>
  <c r="J655" i="15"/>
  <c r="H3013" i="1"/>
  <c r="J3013" i="1" s="1"/>
  <c r="H2648" i="1"/>
  <c r="J2648" i="1" s="1"/>
  <c r="J3653" i="1" l="1"/>
  <c r="H3654" i="1"/>
  <c r="J656" i="15"/>
  <c r="J3654" i="1" l="1"/>
  <c r="H3655" i="1"/>
  <c r="J657" i="15"/>
  <c r="H3656" i="1" l="1"/>
  <c r="J3655" i="1"/>
  <c r="J658" i="15"/>
  <c r="J3656" i="1" l="1"/>
  <c r="H3657" i="1"/>
  <c r="J659" i="15"/>
  <c r="H3658" i="1" l="1"/>
  <c r="J3657" i="1"/>
  <c r="J660" i="15"/>
  <c r="H3659" i="1" l="1"/>
  <c r="J3658" i="1"/>
  <c r="J661" i="15"/>
  <c r="H3660" i="1" l="1"/>
  <c r="J3659" i="1"/>
  <c r="J662" i="15"/>
  <c r="H3661" i="1" l="1"/>
  <c r="J3660" i="1"/>
  <c r="J663" i="15"/>
  <c r="J3661" i="1" l="1"/>
  <c r="H3662" i="1"/>
  <c r="J664" i="15"/>
  <c r="H3663" i="1" l="1"/>
  <c r="J3662" i="1"/>
  <c r="J665" i="15"/>
  <c r="H3664" i="1" l="1"/>
  <c r="J3663" i="1"/>
  <c r="J666" i="15"/>
  <c r="J3664" i="1" l="1"/>
  <c r="H3665" i="1"/>
  <c r="J667" i="15"/>
  <c r="J3665" i="1" l="1"/>
  <c r="H3666" i="1"/>
  <c r="J668" i="15"/>
  <c r="J3666" i="1" l="1"/>
  <c r="H3667" i="1"/>
  <c r="J669" i="15"/>
  <c r="J3667" i="1" l="1"/>
  <c r="H3668" i="1"/>
  <c r="J670" i="15"/>
  <c r="J3668" i="1" l="1"/>
  <c r="H3669" i="1"/>
  <c r="J671" i="15"/>
  <c r="H3670" i="1" l="1"/>
  <c r="J3669" i="1"/>
  <c r="J672" i="15"/>
  <c r="J3670" i="1" l="1"/>
  <c r="H3671" i="1"/>
  <c r="J673" i="15"/>
  <c r="H3672" i="1" l="1"/>
  <c r="J3671" i="1"/>
  <c r="J674" i="15"/>
  <c r="H3673" i="1" l="1"/>
  <c r="J3672" i="1"/>
  <c r="J675" i="15"/>
  <c r="J3673" i="1" l="1"/>
  <c r="H3674" i="1"/>
  <c r="J676" i="15"/>
  <c r="H3675" i="1" l="1"/>
  <c r="J3674" i="1"/>
  <c r="J677" i="15"/>
  <c r="J3675" i="1" l="1"/>
  <c r="H3676" i="1"/>
  <c r="J678" i="15"/>
  <c r="H3677" i="1" l="1"/>
  <c r="J3676" i="1"/>
  <c r="J679" i="15"/>
  <c r="H3678" i="1" l="1"/>
  <c r="J3677" i="1"/>
  <c r="J680" i="15"/>
  <c r="J3678" i="1" l="1"/>
  <c r="H3679" i="1"/>
  <c r="J681" i="15"/>
  <c r="J3679" i="1" l="1"/>
  <c r="H3680" i="1"/>
  <c r="J682" i="15"/>
  <c r="J3680" i="1" l="1"/>
  <c r="H3681" i="1"/>
  <c r="J683" i="15"/>
  <c r="J3681" i="1" l="1"/>
  <c r="H3682" i="1"/>
  <c r="J684" i="15"/>
  <c r="H3683" i="1" l="1"/>
  <c r="J3682" i="1"/>
  <c r="J685" i="15"/>
  <c r="J3683" i="1" l="1"/>
  <c r="H3684" i="1"/>
  <c r="J686" i="15"/>
  <c r="H3685" i="1" l="1"/>
  <c r="J3684" i="1"/>
  <c r="J687" i="15"/>
  <c r="J3685" i="1" l="1"/>
  <c r="H3686" i="1"/>
  <c r="J688" i="15"/>
  <c r="H3687" i="1" l="1"/>
  <c r="J3686" i="1"/>
  <c r="J689" i="15"/>
  <c r="H3688" i="1" l="1"/>
  <c r="J3687" i="1"/>
  <c r="J690" i="15"/>
  <c r="H3689" i="1" l="1"/>
  <c r="J3688" i="1"/>
  <c r="J691" i="15"/>
  <c r="H3690" i="1" l="1"/>
  <c r="J3689" i="1"/>
  <c r="J692" i="15"/>
  <c r="H3691" i="1" l="1"/>
  <c r="J3690" i="1"/>
  <c r="J693" i="15"/>
  <c r="H3692" i="1" l="1"/>
  <c r="J3691" i="1"/>
  <c r="J694" i="15"/>
  <c r="H3693" i="1" l="1"/>
  <c r="J3692" i="1"/>
  <c r="J695" i="15"/>
  <c r="H3694" i="1" l="1"/>
  <c r="J3693" i="1"/>
  <c r="J696" i="15"/>
  <c r="H3695" i="1" l="1"/>
  <c r="J3694" i="1"/>
  <c r="J697" i="15"/>
  <c r="H3696" i="1" l="1"/>
  <c r="J3695" i="1"/>
  <c r="J698" i="15"/>
  <c r="H3697" i="1" l="1"/>
  <c r="J3696" i="1"/>
  <c r="J699" i="15"/>
  <c r="H3698" i="1" l="1"/>
  <c r="J3697" i="1"/>
  <c r="J700" i="15"/>
  <c r="H3699" i="1" l="1"/>
  <c r="J3698" i="1"/>
  <c r="J701" i="15"/>
  <c r="H3700" i="1" l="1"/>
  <c r="J3699" i="1"/>
  <c r="J702" i="15"/>
  <c r="H3701" i="1" l="1"/>
  <c r="J3700" i="1"/>
  <c r="J703" i="15"/>
  <c r="H3702" i="1" l="1"/>
  <c r="J3701" i="1"/>
  <c r="J704" i="15"/>
  <c r="H3703" i="1" l="1"/>
  <c r="J3702" i="1"/>
  <c r="J705" i="15"/>
  <c r="J3703" i="1" l="1"/>
  <c r="H3704" i="1"/>
  <c r="J706" i="15"/>
  <c r="H3705" i="1" l="1"/>
  <c r="J3704" i="1"/>
  <c r="J707" i="15"/>
  <c r="H3706" i="1" l="1"/>
  <c r="J3705" i="1"/>
  <c r="J708" i="15"/>
  <c r="H3707" i="1" l="1"/>
  <c r="J3706" i="1"/>
  <c r="J709" i="15"/>
  <c r="H3708" i="1" l="1"/>
  <c r="J3707" i="1"/>
  <c r="J710" i="15"/>
  <c r="J3708" i="1" l="1"/>
  <c r="H3709" i="1"/>
  <c r="J711" i="15"/>
  <c r="J3709" i="1" l="1"/>
  <c r="H3710" i="1"/>
  <c r="J712" i="15"/>
  <c r="H3711" i="1" l="1"/>
  <c r="J3710" i="1"/>
  <c r="J713" i="15"/>
  <c r="J3711" i="1" l="1"/>
  <c r="H3712" i="1"/>
  <c r="J714" i="15"/>
  <c r="H3713" i="1" l="1"/>
  <c r="J3712" i="1"/>
  <c r="J715" i="15"/>
  <c r="J3713" i="1" l="1"/>
  <c r="H3714" i="1"/>
  <c r="J716" i="15"/>
  <c r="J3714" i="1" l="1"/>
  <c r="H3715" i="1"/>
  <c r="J717" i="15"/>
  <c r="J3715" i="1" l="1"/>
  <c r="H3716" i="1"/>
  <c r="J718" i="15"/>
  <c r="H3717" i="1" l="1"/>
  <c r="J3716" i="1"/>
  <c r="J719" i="15"/>
  <c r="J3717" i="1" l="1"/>
  <c r="H3718" i="1"/>
  <c r="J720" i="15"/>
  <c r="H3719" i="1" l="1"/>
  <c r="J3718" i="1"/>
  <c r="J721" i="15"/>
  <c r="H3720" i="1" l="1"/>
  <c r="J3719" i="1"/>
  <c r="J722" i="15"/>
  <c r="J3720" i="1" l="1"/>
  <c r="H3721" i="1"/>
  <c r="J723" i="15"/>
  <c r="H3722" i="1" l="1"/>
  <c r="J3721" i="1"/>
  <c r="J724" i="15"/>
  <c r="J3722" i="1" l="1"/>
  <c r="H3723" i="1"/>
  <c r="J725" i="15"/>
  <c r="H3724" i="1" l="1"/>
  <c r="J3723" i="1"/>
  <c r="J726" i="15"/>
  <c r="J3724" i="1" l="1"/>
  <c r="H3725" i="1"/>
  <c r="J727" i="15"/>
  <c r="H3726" i="1" l="1"/>
  <c r="J3725" i="1"/>
  <c r="J728" i="15"/>
  <c r="H3727" i="1" l="1"/>
  <c r="J3726" i="1"/>
  <c r="J729" i="15"/>
  <c r="H3728" i="1" l="1"/>
  <c r="J3727" i="1"/>
  <c r="J730" i="15"/>
  <c r="J3728" i="1" l="1"/>
  <c r="H3729" i="1"/>
  <c r="J731" i="15"/>
  <c r="H3730" i="1" l="1"/>
  <c r="J3729" i="1"/>
  <c r="J732" i="15"/>
  <c r="H3731" i="1" l="1"/>
  <c r="J3730" i="1"/>
  <c r="J733" i="15"/>
  <c r="H3732" i="1" l="1"/>
  <c r="J3731" i="1"/>
  <c r="J734" i="15"/>
  <c r="H3733" i="1" l="1"/>
  <c r="J3732" i="1"/>
  <c r="J735" i="15"/>
  <c r="J3733" i="1" l="1"/>
  <c r="H3734" i="1"/>
  <c r="J736" i="15"/>
  <c r="H3735" i="1" l="1"/>
  <c r="J3734" i="1"/>
  <c r="J737" i="15"/>
  <c r="H3736" i="1" l="1"/>
  <c r="J3735" i="1"/>
  <c r="J738" i="15"/>
  <c r="H3737" i="1" l="1"/>
  <c r="J3736" i="1"/>
  <c r="J739" i="15"/>
  <c r="H3738" i="1" l="1"/>
  <c r="J3737" i="1"/>
  <c r="J740" i="15"/>
  <c r="J3738" i="1" l="1"/>
  <c r="H3739" i="1"/>
  <c r="J741" i="15"/>
  <c r="H3740" i="1" l="1"/>
  <c r="J3739" i="1"/>
  <c r="J742" i="15"/>
  <c r="H3741" i="1" l="1"/>
  <c r="J3740" i="1"/>
  <c r="J743" i="15"/>
  <c r="H3742" i="1" l="1"/>
  <c r="J3741" i="1"/>
  <c r="J744" i="15"/>
  <c r="H3743" i="1" l="1"/>
  <c r="J3743" i="1" s="1"/>
  <c r="J3742" i="1"/>
  <c r="J745" i="15"/>
  <c r="J746" i="15" l="1"/>
  <c r="J747" i="15" l="1"/>
  <c r="J748" i="15" l="1"/>
  <c r="J749" i="15" l="1"/>
  <c r="J750" i="15" l="1"/>
  <c r="J751" i="15" l="1"/>
  <c r="J752" i="15" l="1"/>
  <c r="J753" i="15" l="1"/>
  <c r="J754" i="15" l="1"/>
  <c r="J755" i="15" l="1"/>
  <c r="J756" i="15" l="1"/>
  <c r="J757" i="15" l="1"/>
  <c r="J758" i="15" l="1"/>
  <c r="J759" i="15" l="1"/>
  <c r="J760" i="15" l="1"/>
  <c r="J761" i="15" l="1"/>
  <c r="J762" i="15" l="1"/>
  <c r="J763" i="15" l="1"/>
  <c r="J764" i="15" l="1"/>
  <c r="J765" i="15" l="1"/>
  <c r="J766" i="15" l="1"/>
  <c r="J767" i="15" l="1"/>
  <c r="J768" i="15" l="1"/>
  <c r="J769" i="15" l="1"/>
  <c r="J770" i="15" l="1"/>
  <c r="J771" i="15" l="1"/>
  <c r="J772" i="15" l="1"/>
  <c r="J773" i="15" l="1"/>
  <c r="J774" i="15" l="1"/>
  <c r="J775" i="15" l="1"/>
  <c r="J776" i="15" l="1"/>
  <c r="J777" i="15" l="1"/>
  <c r="F8" i="14"/>
  <c r="G11" i="16" s="1"/>
  <c r="J778" i="15" l="1"/>
  <c r="J779" i="15" l="1"/>
  <c r="J780" i="15" l="1"/>
  <c r="J781" i="15" l="1"/>
  <c r="J782" i="15" l="1"/>
  <c r="J783" i="15" l="1"/>
  <c r="J784" i="15" l="1"/>
  <c r="J785" i="15" l="1"/>
  <c r="J786" i="15" l="1"/>
  <c r="J787" i="15" l="1"/>
  <c r="J788" i="15" l="1"/>
  <c r="J789" i="15" l="1"/>
  <c r="J790" i="15" l="1"/>
  <c r="J791" i="15" l="1"/>
  <c r="J792" i="15" l="1"/>
  <c r="J793" i="15" l="1"/>
  <c r="J794" i="15" l="1"/>
  <c r="J795" i="15" l="1"/>
  <c r="J796" i="15" l="1"/>
  <c r="J797" i="15" l="1"/>
  <c r="J798" i="15" l="1"/>
  <c r="J799" i="15" l="1"/>
  <c r="J800" i="15" l="1"/>
  <c r="J801" i="15" l="1"/>
  <c r="J802" i="15" l="1"/>
  <c r="J803" i="15" l="1"/>
  <c r="J804" i="15" l="1"/>
  <c r="J805" i="15" l="1"/>
  <c r="J806" i="15" l="1"/>
  <c r="J807" i="15" l="1"/>
  <c r="J808" i="15" l="1"/>
  <c r="J809" i="15" l="1"/>
  <c r="J810" i="15" l="1"/>
  <c r="J811" i="15" l="1"/>
  <c r="J812" i="15" l="1"/>
  <c r="J813" i="15" l="1"/>
  <c r="J814" i="15" l="1"/>
  <c r="J815" i="15" l="1"/>
  <c r="J816" i="15" l="1"/>
  <c r="J817" i="15" l="1"/>
  <c r="J818" i="15" l="1"/>
  <c r="J819" i="15" l="1"/>
  <c r="J820" i="15" l="1"/>
  <c r="J821" i="15" l="1"/>
  <c r="J822" i="15" l="1"/>
  <c r="J823" i="15" l="1"/>
  <c r="J824" i="15" l="1"/>
  <c r="J825" i="15" l="1"/>
  <c r="J826" i="15" l="1"/>
  <c r="J827" i="15" l="1"/>
  <c r="J828" i="15" l="1"/>
  <c r="J829" i="15" l="1"/>
  <c r="J830" i="15" l="1"/>
  <c r="J831" i="15" l="1"/>
  <c r="J832" i="15" l="1"/>
  <c r="J833" i="15" l="1"/>
  <c r="J834" i="15" l="1"/>
  <c r="J835" i="15" l="1"/>
  <c r="J836" i="15" l="1"/>
  <c r="J837" i="15" l="1"/>
  <c r="J838" i="15" l="1"/>
  <c r="J839" i="15" l="1"/>
  <c r="J840" i="15" l="1"/>
  <c r="J841" i="15" l="1"/>
  <c r="J842" i="15" l="1"/>
  <c r="J843" i="15" l="1"/>
  <c r="J844" i="15" l="1"/>
  <c r="J845" i="15" l="1"/>
  <c r="J846" i="15" l="1"/>
  <c r="J847" i="15" l="1"/>
  <c r="J848" i="15" l="1"/>
  <c r="J849" i="15" l="1"/>
  <c r="J850" i="15" l="1"/>
  <c r="J851" i="15" l="1"/>
  <c r="J852" i="15" l="1"/>
  <c r="J853" i="15" l="1"/>
  <c r="J854" i="15" l="1"/>
  <c r="J855" i="15" l="1"/>
  <c r="J856" i="15" l="1"/>
  <c r="J857" i="15" l="1"/>
  <c r="J858" i="15" l="1"/>
  <c r="J859" i="15" l="1"/>
  <c r="G8" i="14" s="1"/>
  <c r="H11" i="16" s="1"/>
  <c r="J860" i="15" l="1"/>
  <c r="J861" i="15" l="1"/>
  <c r="J862" i="15" l="1"/>
  <c r="J863" i="15" l="1"/>
  <c r="J864" i="15" l="1"/>
  <c r="J865" i="15" l="1"/>
  <c r="J866" i="15" l="1"/>
  <c r="J867" i="15" l="1"/>
  <c r="J868" i="15" l="1"/>
  <c r="J869" i="15" l="1"/>
  <c r="J870" i="15" l="1"/>
  <c r="J871" i="15" l="1"/>
  <c r="J872" i="15" l="1"/>
  <c r="J873" i="15" l="1"/>
  <c r="J874" i="15" l="1"/>
  <c r="J875" i="15" l="1"/>
  <c r="J876" i="15" l="1"/>
  <c r="J877" i="15" l="1"/>
  <c r="J878" i="15" l="1"/>
  <c r="J879" i="15" l="1"/>
  <c r="J880" i="15" l="1"/>
  <c r="J881" i="15" l="1"/>
  <c r="J882" i="15" l="1"/>
  <c r="C9" i="5"/>
  <c r="D7" i="16" s="1"/>
  <c r="D16" i="5"/>
  <c r="D17" i="5"/>
  <c r="D18" i="5"/>
  <c r="D19" i="5"/>
  <c r="D20" i="5"/>
  <c r="D21" i="5"/>
  <c r="D22" i="5"/>
  <c r="O461" i="6"/>
  <c r="J883" i="15" l="1"/>
  <c r="J884" i="15" l="1"/>
  <c r="J885" i="15" l="1"/>
  <c r="J886" i="15" l="1"/>
  <c r="J887" i="15" l="1"/>
  <c r="J888" i="15" l="1"/>
  <c r="J889" i="15" l="1"/>
  <c r="J890" i="15" l="1"/>
  <c r="J891" i="15" l="1"/>
  <c r="J892" i="15" l="1"/>
  <c r="J893" i="15" l="1"/>
  <c r="J894" i="15" l="1"/>
  <c r="J895" i="15" l="1"/>
  <c r="J896" i="15" l="1"/>
  <c r="J897" i="15" l="1"/>
  <c r="J898" i="15" l="1"/>
  <c r="J899" i="15" l="1"/>
  <c r="J900" i="15" l="1"/>
  <c r="J901" i="15" l="1"/>
  <c r="J902" i="15" l="1"/>
  <c r="J903" i="15" l="1"/>
  <c r="J904" i="15" l="1"/>
  <c r="J905" i="15" l="1"/>
  <c r="J906" i="15" l="1"/>
  <c r="J907" i="15" l="1"/>
  <c r="J908" i="15" l="1"/>
  <c r="J909" i="15" l="1"/>
  <c r="J910" i="15" l="1"/>
  <c r="J911" i="15" l="1"/>
  <c r="J912" i="15" l="1"/>
  <c r="J913" i="15" l="1"/>
  <c r="J914" i="15" l="1"/>
  <c r="J915" i="15" l="1"/>
  <c r="J916" i="15" l="1"/>
  <c r="J917" i="15" l="1"/>
  <c r="J918" i="15" l="1"/>
  <c r="J919" i="15" l="1"/>
  <c r="J920" i="15" l="1"/>
  <c r="J921" i="15" l="1"/>
  <c r="J922" i="15" l="1"/>
  <c r="J923" i="15" l="1"/>
  <c r="J924" i="15" l="1"/>
  <c r="J925" i="15" l="1"/>
  <c r="J926" i="15" l="1"/>
  <c r="J927" i="15" l="1"/>
  <c r="J928" i="15" l="1"/>
  <c r="J929" i="15" l="1"/>
  <c r="J930" i="15" l="1"/>
  <c r="J931" i="15" l="1"/>
  <c r="J932" i="15" l="1"/>
  <c r="J933" i="15" l="1"/>
  <c r="J934" i="15" l="1"/>
  <c r="J935" i="15" l="1"/>
  <c r="J936" i="15" l="1"/>
  <c r="J937" i="15" l="1"/>
  <c r="J938" i="15" l="1"/>
  <c r="J939" i="15" l="1"/>
  <c r="J940" i="15" l="1"/>
  <c r="J941" i="15" l="1"/>
  <c r="J942" i="15" l="1"/>
  <c r="J943" i="15" l="1"/>
  <c r="J944" i="15" l="1"/>
  <c r="J945" i="15" l="1"/>
  <c r="J946" i="15" l="1"/>
  <c r="J947" i="15" l="1"/>
  <c r="J948" i="15" l="1"/>
  <c r="J949" i="15" l="1"/>
  <c r="J950" i="15" l="1"/>
  <c r="J951" i="15" l="1"/>
  <c r="J952" i="15" l="1"/>
  <c r="J953" i="15" l="1"/>
  <c r="J954" i="15" l="1"/>
  <c r="J955" i="15" l="1"/>
  <c r="J956" i="15" l="1"/>
  <c r="J957" i="15" l="1"/>
  <c r="J958" i="15" l="1"/>
  <c r="J959" i="15" l="1"/>
  <c r="J960" i="15" l="1"/>
  <c r="J961" i="15" l="1"/>
  <c r="J962" i="15" l="1"/>
  <c r="J963" i="15" l="1"/>
  <c r="J964" i="15" l="1"/>
  <c r="J965" i="15" l="1"/>
  <c r="J966" i="15" l="1"/>
  <c r="J967" i="15" l="1"/>
  <c r="J968" i="15" l="1"/>
  <c r="J969" i="15" l="1"/>
  <c r="J970" i="15" l="1"/>
  <c r="J971" i="15" l="1"/>
  <c r="J972" i="15" l="1"/>
  <c r="J973" i="15" l="1"/>
  <c r="J974" i="15" l="1"/>
  <c r="J975" i="15" l="1"/>
  <c r="J976" i="15" l="1"/>
  <c r="J977" i="15" l="1"/>
  <c r="J978" i="15" l="1"/>
  <c r="J979" i="15" l="1"/>
  <c r="J980" i="15" l="1"/>
  <c r="J981" i="15" l="1"/>
  <c r="J982" i="15" l="1"/>
  <c r="J983" i="15" l="1"/>
  <c r="J984" i="15" l="1"/>
  <c r="J985" i="15" l="1"/>
  <c r="J986" i="15" l="1"/>
  <c r="J987" i="15" l="1"/>
  <c r="J988" i="15" l="1"/>
  <c r="J989" i="15" l="1"/>
  <c r="J990" i="15" l="1"/>
  <c r="J991" i="15" l="1"/>
  <c r="J992" i="15" l="1"/>
  <c r="J993" i="15" l="1"/>
  <c r="J994" i="15" l="1"/>
  <c r="J995" i="15" l="1"/>
  <c r="J996" i="15" l="1"/>
  <c r="J997" i="15" l="1"/>
  <c r="J998" i="15" l="1"/>
  <c r="J999" i="15" l="1"/>
  <c r="J1000" i="15" l="1"/>
  <c r="J1001" i="15" l="1"/>
  <c r="J1002" i="15" l="1"/>
  <c r="J1003" i="15" l="1"/>
  <c r="J1004" i="15" l="1"/>
  <c r="J1005" i="15" l="1"/>
  <c r="J1006" i="15" l="1"/>
  <c r="J1007" i="15" l="1"/>
  <c r="J1008" i="15" l="1"/>
  <c r="J1009" i="15" l="1"/>
  <c r="J1010" i="15" l="1"/>
  <c r="J1011" i="15" l="1"/>
  <c r="J1012" i="15" l="1"/>
  <c r="J1013" i="15" l="1"/>
  <c r="J1014" i="15" l="1"/>
  <c r="J1015" i="15" l="1"/>
  <c r="J1016" i="15" l="1"/>
  <c r="J1017" i="15" l="1"/>
  <c r="J1018" i="15" l="1"/>
  <c r="J1019" i="15" l="1"/>
  <c r="J1020" i="15" l="1"/>
  <c r="J1021" i="15" l="1"/>
  <c r="J1022" i="15" l="1"/>
  <c r="J1023" i="15" l="1"/>
  <c r="J1024" i="15" l="1"/>
  <c r="J1025" i="15" l="1"/>
  <c r="J1026" i="15" l="1"/>
  <c r="J1027" i="15" l="1"/>
  <c r="J1028" i="15" l="1"/>
  <c r="J1029" i="15" l="1"/>
  <c r="J1030" i="15" l="1"/>
  <c r="J1031" i="15" l="1"/>
  <c r="J1032" i="15" l="1"/>
  <c r="J1033" i="15" l="1"/>
  <c r="J1034" i="15" l="1"/>
  <c r="J1035" i="15" l="1"/>
  <c r="J1036" i="15" l="1"/>
  <c r="J1037" i="15" l="1"/>
  <c r="J1038" i="15" l="1"/>
  <c r="J1039" i="15" l="1"/>
  <c r="J1040" i="15" l="1"/>
  <c r="J1041" i="15" l="1"/>
  <c r="J1042" i="15" l="1"/>
  <c r="J1043" i="15" l="1"/>
  <c r="J1044" i="15" l="1"/>
  <c r="J1045" i="15" l="1"/>
  <c r="J1046" i="15" l="1"/>
  <c r="J1047" i="15" l="1"/>
  <c r="J1048" i="15" l="1"/>
  <c r="J1049" i="15" l="1"/>
  <c r="J1050" i="15" l="1"/>
  <c r="J1051" i="15" l="1"/>
  <c r="J1052" i="15" l="1"/>
  <c r="J1053" i="15" l="1"/>
  <c r="J1054" i="15" l="1"/>
  <c r="J1055" i="15" l="1"/>
  <c r="J1056" i="15" l="1"/>
  <c r="J1057" i="15" l="1"/>
  <c r="J1058" i="15" l="1"/>
  <c r="J1059" i="15" l="1"/>
  <c r="J1060" i="15" l="1"/>
  <c r="J1061" i="15" l="1"/>
  <c r="J1062" i="15" l="1"/>
  <c r="J1063" i="15" l="1"/>
  <c r="J1064" i="15" l="1"/>
  <c r="J1065" i="15" l="1"/>
  <c r="J1066" i="15" l="1"/>
  <c r="J1067" i="15" l="1"/>
  <c r="J1068" i="15" l="1"/>
  <c r="J1069" i="15" l="1"/>
  <c r="J1070" i="15" l="1"/>
  <c r="J1071" i="15" l="1"/>
  <c r="J1072" i="15" l="1"/>
  <c r="J1073" i="15" l="1"/>
  <c r="J1074" i="15" l="1"/>
  <c r="J1075" i="15" l="1"/>
  <c r="J1076" i="15" l="1"/>
  <c r="J1077" i="15" l="1"/>
  <c r="J1078" i="15" l="1"/>
  <c r="J1079" i="15" l="1"/>
  <c r="J1080" i="15" l="1"/>
  <c r="J1081" i="15" l="1"/>
  <c r="J1082" i="15" l="1"/>
  <c r="J1083" i="15" l="1"/>
  <c r="J1084" i="15" l="1"/>
  <c r="J1085" i="15" l="1"/>
  <c r="J1086" i="15" l="1"/>
  <c r="J1087" i="15" l="1"/>
  <c r="J1088" i="15" l="1"/>
  <c r="J1089" i="15" l="1"/>
  <c r="J1090" i="15" l="1"/>
  <c r="J1091" i="15" l="1"/>
  <c r="J1092" i="15" l="1"/>
  <c r="J1093" i="15" l="1"/>
  <c r="J1094" i="15" l="1"/>
  <c r="J1095" i="15" l="1"/>
  <c r="J1096" i="15" l="1"/>
  <c r="J1097" i="15" l="1"/>
  <c r="J1098" i="15" l="1"/>
  <c r="J1099" i="15" l="1"/>
  <c r="J1100" i="15" l="1"/>
  <c r="J1101" i="15" l="1"/>
  <c r="J1102" i="15" l="1"/>
  <c r="J1103" i="15" l="1"/>
  <c r="J1104" i="15" l="1"/>
  <c r="J1105" i="15" l="1"/>
  <c r="J1106" i="15" l="1"/>
  <c r="J1107" i="15" l="1"/>
  <c r="J1108" i="15" l="1"/>
  <c r="J1109" i="15" l="1"/>
  <c r="J1110" i="15" l="1"/>
  <c r="J1111" i="15" l="1"/>
  <c r="J1112" i="15" l="1"/>
  <c r="J1113" i="15" l="1"/>
  <c r="J1114" i="15" l="1"/>
  <c r="J1115" i="15" l="1"/>
  <c r="J1116" i="15" l="1"/>
  <c r="J1117" i="15" l="1"/>
  <c r="J1118" i="15" l="1"/>
  <c r="J1119" i="15" l="1"/>
  <c r="J1120" i="15" l="1"/>
  <c r="J1121" i="15" l="1"/>
  <c r="J1122" i="15" l="1"/>
  <c r="J1123" i="15" l="1"/>
  <c r="J1124" i="15" l="1"/>
  <c r="J1125" i="15" l="1"/>
  <c r="J1126" i="15" l="1"/>
  <c r="J1127" i="15" l="1"/>
  <c r="J1128" i="15" l="1"/>
  <c r="J1129" i="15" l="1"/>
  <c r="J1130" i="15" l="1"/>
  <c r="J1131" i="15" l="1"/>
  <c r="J1132" i="15" l="1"/>
  <c r="J1133" i="15" l="1"/>
  <c r="J1134" i="15" l="1"/>
  <c r="J1135" i="15" l="1"/>
  <c r="J1136" i="15" l="1"/>
  <c r="J1137" i="15" l="1"/>
  <c r="J1138" i="15" l="1"/>
  <c r="J1139" i="15" l="1"/>
  <c r="J1140" i="15" l="1"/>
  <c r="J1141" i="15" l="1"/>
  <c r="J1142" i="15" l="1"/>
  <c r="J1143" i="15" l="1"/>
  <c r="J1144" i="15" l="1"/>
  <c r="J1145" i="15" l="1"/>
  <c r="J1146" i="15" l="1"/>
  <c r="J1147" i="15" l="1"/>
  <c r="J1148" i="15" l="1"/>
  <c r="J1149" i="15" l="1"/>
  <c r="J1150" i="15" l="1"/>
  <c r="J1151" i="15" l="1"/>
  <c r="J1152" i="15" l="1"/>
  <c r="J1153" i="15" l="1"/>
  <c r="J1154" i="15" l="1"/>
  <c r="J1155" i="15" l="1"/>
  <c r="J1156" i="15" l="1"/>
  <c r="J1157" i="15" l="1"/>
  <c r="J1158" i="15" l="1"/>
  <c r="J1159" i="15" l="1"/>
  <c r="J1160" i="15" l="1"/>
  <c r="J1161" i="15" l="1"/>
  <c r="J1162" i="15" l="1"/>
  <c r="J1163" i="15" l="1"/>
  <c r="J1164" i="15" l="1"/>
  <c r="J1165" i="15" l="1"/>
  <c r="J1166" i="15" l="1"/>
  <c r="J1167" i="15" l="1"/>
  <c r="J1168" i="15" l="1"/>
  <c r="J1169" i="15" l="1"/>
  <c r="J1170" i="15" l="1"/>
  <c r="J1171" i="15" l="1"/>
  <c r="J1172" i="15" l="1"/>
  <c r="J1173" i="15" l="1"/>
  <c r="J1174" i="15" l="1"/>
  <c r="J1175" i="15" l="1"/>
  <c r="J1176" i="15" l="1"/>
  <c r="J1177" i="15" l="1"/>
  <c r="J1178" i="15" l="1"/>
  <c r="J1179" i="15" l="1"/>
  <c r="J1180" i="15" l="1"/>
  <c r="J1181" i="15" l="1"/>
  <c r="J1182" i="15" l="1"/>
  <c r="J1183" i="15" l="1"/>
  <c r="J1184" i="15" l="1"/>
  <c r="J1185" i="15" l="1"/>
  <c r="J1186" i="15" l="1"/>
  <c r="J1187" i="15" l="1"/>
  <c r="J1188" i="15" l="1"/>
  <c r="J1189" i="15" l="1"/>
  <c r="J1190" i="15" l="1"/>
  <c r="J1191" i="15" l="1"/>
  <c r="J1192" i="15" l="1"/>
  <c r="J1193" i="15" l="1"/>
  <c r="J1194" i="15" l="1"/>
  <c r="J1195" i="15" l="1"/>
  <c r="J1196" i="15" l="1"/>
  <c r="J1197" i="15" l="1"/>
  <c r="J1198" i="15" l="1"/>
  <c r="J1199" i="15" l="1"/>
  <c r="J1200" i="15" l="1"/>
  <c r="J1201" i="15" l="1"/>
  <c r="J1202" i="15" l="1"/>
  <c r="J1203" i="15" l="1"/>
  <c r="J1204" i="15" l="1"/>
  <c r="J1205" i="15" l="1"/>
  <c r="J1206" i="15" l="1"/>
  <c r="J1207" i="15" l="1"/>
  <c r="J1208" i="15" l="1"/>
  <c r="J1209" i="15" l="1"/>
  <c r="J1210" i="15" l="1"/>
  <c r="J1211" i="15" l="1"/>
  <c r="J1212" i="15" l="1"/>
  <c r="J1213" i="15" l="1"/>
  <c r="J1214" i="15" l="1"/>
  <c r="J1215" i="15" l="1"/>
  <c r="J1216" i="15" l="1"/>
  <c r="J1217" i="15" l="1"/>
  <c r="J1218" i="15" l="1"/>
  <c r="J1219" i="15" l="1"/>
  <c r="J1220" i="15" l="1"/>
  <c r="J1221" i="15" l="1"/>
  <c r="J1222" i="15" l="1"/>
  <c r="J1223" i="15" l="1"/>
  <c r="J1224" i="15" l="1"/>
  <c r="J1225" i="15" l="1"/>
  <c r="J1226" i="15" l="1"/>
  <c r="J1227" i="15" l="1"/>
  <c r="J1228" i="15" l="1"/>
  <c r="J1229" i="15" l="1"/>
  <c r="J1230" i="15" l="1"/>
  <c r="J1231" i="15" l="1"/>
  <c r="J1232" i="15" l="1"/>
  <c r="J1233" i="15" l="1"/>
  <c r="J1234" i="15" l="1"/>
  <c r="J1235" i="15" l="1"/>
  <c r="J1236" i="15" l="1"/>
  <c r="J1237" i="15" l="1"/>
  <c r="J1238" i="15" l="1"/>
  <c r="J1239" i="15" l="1"/>
  <c r="J1240" i="15" l="1"/>
  <c r="J1241" i="15" l="1"/>
  <c r="J1242" i="15" l="1"/>
  <c r="J1243" i="15" l="1"/>
  <c r="J1244" i="15" l="1"/>
  <c r="J1245" i="15" l="1"/>
  <c r="J1246" i="15" l="1"/>
  <c r="J1247" i="15" l="1"/>
  <c r="J1248" i="15" l="1"/>
  <c r="J1249" i="15" l="1"/>
  <c r="J1250" i="15" l="1"/>
  <c r="J1251" i="15" l="1"/>
  <c r="J1252" i="15" l="1"/>
  <c r="J1253" i="15" l="1"/>
  <c r="J1254" i="15" l="1"/>
  <c r="J1255" i="15" l="1"/>
  <c r="J1256" i="15" l="1"/>
  <c r="J1257" i="15" l="1"/>
  <c r="J1258" i="15" l="1"/>
  <c r="J1259" i="15" l="1"/>
  <c r="J1260" i="15" l="1"/>
  <c r="J1261" i="15" l="1"/>
  <c r="J1262" i="15" l="1"/>
  <c r="J1263" i="15" l="1"/>
  <c r="J1264" i="15" l="1"/>
  <c r="J1265" i="15" l="1"/>
  <c r="J1266" i="15" l="1"/>
  <c r="J1267" i="15" l="1"/>
  <c r="J1268" i="15" l="1"/>
  <c r="J1269" i="15" l="1"/>
  <c r="J1270" i="15" l="1"/>
  <c r="J1271" i="15" l="1"/>
  <c r="J1272" i="15" l="1"/>
  <c r="J1273" i="15" l="1"/>
  <c r="J1274" i="15" l="1"/>
  <c r="J1275" i="15" l="1"/>
  <c r="J1276" i="15" l="1"/>
  <c r="J1277" i="15" l="1"/>
  <c r="J1278" i="15" l="1"/>
  <c r="J1279" i="15" l="1"/>
  <c r="J1280" i="15" l="1"/>
  <c r="J1281" i="15" l="1"/>
  <c r="J1282" i="15" l="1"/>
  <c r="J1283" i="15" l="1"/>
  <c r="J1284" i="15" l="1"/>
  <c r="J1285" i="15" l="1"/>
  <c r="J1286" i="15" l="1"/>
  <c r="J1287" i="15" l="1"/>
  <c r="J1288" i="15" l="1"/>
  <c r="J1289" i="15" l="1"/>
  <c r="J1290" i="15" l="1"/>
  <c r="J1291" i="15" l="1"/>
  <c r="J1292" i="15" l="1"/>
  <c r="J1293" i="15" l="1"/>
  <c r="J1294" i="15" l="1"/>
  <c r="J1295" i="15" l="1"/>
  <c r="J1296" i="15" l="1"/>
  <c r="J1297" i="15" l="1"/>
  <c r="J1298" i="15" l="1"/>
  <c r="J1299" i="15" l="1"/>
  <c r="J1300" i="15" l="1"/>
  <c r="J1301" i="15" l="1"/>
  <c r="J1302" i="15" l="1"/>
  <c r="J1303" i="15" l="1"/>
  <c r="J1304" i="15" l="1"/>
  <c r="J1305" i="15" l="1"/>
  <c r="J1306" i="15" l="1"/>
  <c r="J1307" i="15" l="1"/>
  <c r="J1308" i="15" l="1"/>
  <c r="J1309" i="15" l="1"/>
  <c r="J1310" i="15" l="1"/>
  <c r="J1311" i="15" l="1"/>
  <c r="J1312" i="15" l="1"/>
  <c r="J1313" i="15" l="1"/>
  <c r="J1314" i="15" l="1"/>
  <c r="J1315" i="15" l="1"/>
  <c r="J1316" i="15" l="1"/>
  <c r="J1317" i="15" l="1"/>
  <c r="J1319" i="15" l="1"/>
  <c r="J1318" i="15"/>
</calcChain>
</file>

<file path=xl/sharedStrings.xml><?xml version="1.0" encoding="utf-8"?>
<sst xmlns="http://schemas.openxmlformats.org/spreadsheetml/2006/main" count="1466" uniqueCount="121">
  <si>
    <t>date</t>
  </si>
  <si>
    <t>radiation</t>
  </si>
  <si>
    <t>machine_availability</t>
  </si>
  <si>
    <t>grid_availability</t>
  </si>
  <si>
    <t>CUF</t>
  </si>
  <si>
    <t>CUF till date W.o.C</t>
  </si>
  <si>
    <t>Days</t>
  </si>
  <si>
    <t>generation (In Kwh)</t>
  </si>
  <si>
    <t>cumulative(in KwH)</t>
  </si>
  <si>
    <t>SECI 10MW Badi Sid</t>
  </si>
  <si>
    <t>Radiation
POA
(Kwh/sq. m)</t>
  </si>
  <si>
    <t>Exported generation
(KWh)</t>
  </si>
  <si>
    <t>CUF
(%)</t>
  </si>
  <si>
    <t>Date</t>
  </si>
  <si>
    <t xml:space="preserve">WMS report not showing  due to WMS troubleshooting work was goning on
</t>
  </si>
  <si>
    <t>Generation Data for last 7 days</t>
  </si>
  <si>
    <t>SECI 100 Mw SPV with 40Mw/120MwH BESS Rajnandgaon</t>
  </si>
  <si>
    <t>Solar</t>
  </si>
  <si>
    <t>BESS</t>
  </si>
  <si>
    <t>Peak Power (In MW)</t>
  </si>
  <si>
    <t>Peak Power (in Mw)</t>
  </si>
  <si>
    <t>Daily CUF WORC</t>
  </si>
  <si>
    <t>CUF till date W.o.RC</t>
  </si>
  <si>
    <t>Plant Availability</t>
  </si>
  <si>
    <t>BESS Availibilty</t>
  </si>
  <si>
    <t/>
  </si>
  <si>
    <t>BESS Export (In MWh)</t>
  </si>
  <si>
    <t>generation (In Mwh)</t>
  </si>
  <si>
    <t>BESS import (In MWh)</t>
  </si>
  <si>
    <t>cumulative BESS Export(in MwH)</t>
  </si>
  <si>
    <t>0</t>
  </si>
  <si>
    <t>cumulative BESS Import(in MwH)</t>
  </si>
  <si>
    <t>*Data is without considering radiation correction</t>
  </si>
  <si>
    <t>As on Date*</t>
  </si>
  <si>
    <t>Year Till date*</t>
  </si>
  <si>
    <t>Last FY Performance^</t>
  </si>
  <si>
    <t>^Data is with radiation correction</t>
  </si>
  <si>
    <t>Net Energy Export
(MwH)</t>
  </si>
  <si>
    <t>Net Energy FED
(MwH)</t>
  </si>
  <si>
    <t>Date*</t>
  </si>
  <si>
    <t>Net Export
(MwH)</t>
  </si>
  <si>
    <t>Peak Power
(KwH)</t>
  </si>
  <si>
    <t>Peak Power (in Kw)</t>
  </si>
  <si>
    <t>Exported generation
(MU)</t>
  </si>
  <si>
    <t>GHI
(Kwh/sq. m)</t>
  </si>
  <si>
    <t>Peak Power
(Kw)</t>
  </si>
  <si>
    <t>SECI 10MW DRDO, Kolar</t>
  </si>
  <si>
    <t>Inverter/ Plant Availability (%)</t>
  </si>
  <si>
    <t>Grid Availability (%)</t>
  </si>
  <si>
    <t>10..3</t>
  </si>
  <si>
    <t>Weather Remark</t>
  </si>
  <si>
    <t>Mostly Cloudy and Rainy</t>
  </si>
  <si>
    <t>Cloudy</t>
  </si>
  <si>
    <t>Cloudy and Rainy</t>
  </si>
  <si>
    <t>Partially Cloudy</t>
  </si>
  <si>
    <t xml:space="preserve">Mostly Cloudy </t>
  </si>
  <si>
    <t>Mostly Cloudy</t>
  </si>
  <si>
    <t xml:space="preserve">Cloudy and Rainy </t>
  </si>
  <si>
    <t>cloudy&amp;light rain</t>
  </si>
  <si>
    <t>partially cloudy</t>
  </si>
  <si>
    <t>Partially cloudy</t>
  </si>
  <si>
    <t>Full day Rainy</t>
  </si>
  <si>
    <t>Mostly cloudy &amp;Partially Rainy</t>
  </si>
  <si>
    <t xml:space="preserve">Mostly cloudy </t>
  </si>
  <si>
    <t>Full Day Rainy</t>
  </si>
  <si>
    <t>Sunny</t>
  </si>
  <si>
    <t>Cloudy and Rainy (Heavy rain Started on 3:50 PM)</t>
  </si>
  <si>
    <t xml:space="preserve">Cloudy </t>
  </si>
  <si>
    <t>Partially Cloudy and Rainy</t>
  </si>
  <si>
    <t>Cloudy and Rainy (Rain Started on 3:58 PM and continued till Evening)</t>
  </si>
  <si>
    <t>Cloudy &amp; Rainy (Rain Started on 4:20 PM and Continued till evening)</t>
  </si>
  <si>
    <t>Partially Cloudy (Grid Off from 8:32AM to 8:45PM, Due to LC Taken by 220KV Substation for Quaterly Maintenance.)</t>
  </si>
  <si>
    <t>Rainy</t>
  </si>
  <si>
    <t>Mostly Cloudy and No Sunshine</t>
  </si>
  <si>
    <t>Partilly Cloudy</t>
  </si>
  <si>
    <t>Cloudy and KPTCL LC was there</t>
  </si>
  <si>
    <t>Mostly Rainy</t>
  </si>
  <si>
    <t xml:space="preserve"> Cloudy and Rainy</t>
  </si>
  <si>
    <t>Partially Cloudy and rainy</t>
  </si>
  <si>
    <t>sunny</t>
  </si>
  <si>
    <t>sunny and cloudy</t>
  </si>
  <si>
    <t>Radiation (Tilt), no normal GHI is there</t>
  </si>
  <si>
    <t>SECI 1.4 Mw SPV with 1.4 Mwh BESS Kaveratti, Lakshdweep</t>
  </si>
  <si>
    <t>SECI 10 MW DRDO, Kolar</t>
  </si>
  <si>
    <t>SOALR PERFORMANCE</t>
  </si>
  <si>
    <t>BESS PERFORMANCE</t>
  </si>
  <si>
    <t>O&amp;M Sites</t>
  </si>
  <si>
    <t>SECI 0.3 MW Agatti Lakshdweep</t>
  </si>
  <si>
    <t>SECI O&amp;M Generation Data</t>
  </si>
  <si>
    <t>Peak Power
(Mw)</t>
  </si>
  <si>
    <t>Year Till date* 
(FY 2025-26)</t>
  </si>
  <si>
    <t>Grid Failure 3.5 Hrs</t>
  </si>
  <si>
    <t>Rainy and cloudy weather</t>
  </si>
  <si>
    <t>Low SOC</t>
  </si>
  <si>
    <t>Net Energy Import
(MwH)</t>
  </si>
  <si>
    <t>^Data is from 21st October</t>
  </si>
  <si>
    <t xml:space="preserve">Remarks </t>
  </si>
  <si>
    <t>Weather-Cloudy</t>
  </si>
  <si>
    <t>Weather-Cloudy and Rainy</t>
  </si>
  <si>
    <t>REMARKS</t>
  </si>
  <si>
    <t>Weather Cloudy</t>
  </si>
  <si>
    <t>Weather-Cloudy 
Grid Failure for 5 hrs due to which BESS was not charged</t>
  </si>
  <si>
    <t>LEDA DG issue
Grid Failure - 5 Hr 17 Min</t>
  </si>
  <si>
    <t>Weather-Rainy</t>
  </si>
  <si>
    <t>LEDA DG issue
Grid Failure - 12 Hr</t>
  </si>
  <si>
    <t xml:space="preserve">Date </t>
  </si>
  <si>
    <t>Grid Failure 3 Hr 58 Min</t>
  </si>
  <si>
    <t>LEDA DG issue
Grid Failure - 5 Hr 30 min</t>
  </si>
  <si>
    <t>1 hr 07 min, 130 kW Breakdown
Reason - Grid doesn’t have enough connected  load</t>
  </si>
  <si>
    <t>40 min, 220 kW Breakdown
Reason - BESS Software issue</t>
  </si>
  <si>
    <t>1hr 46 min, 384 kW Breakdown
Reason - BESS Software issue</t>
  </si>
  <si>
    <t>SECI 1.4 MW SPV with 1.4 MWh BESS Kaveratti, Lakshdweep</t>
  </si>
  <si>
    <t>SECI 100 MW SPV with 40MW/120MWh BESS Rajnandgaon</t>
  </si>
  <si>
    <t>1 hr 30 min, 138 kW Breakdown
Reason - Grid doesn’t have enough connected  load</t>
  </si>
  <si>
    <t>No generation data due to internet issue</t>
  </si>
  <si>
    <t>Weather cloudy and rainy</t>
  </si>
  <si>
    <t>Weather- Moderate Cloudy</t>
  </si>
  <si>
    <t>AC supply was not available due to maintenance at grid end</t>
  </si>
  <si>
    <t>High Export as battery was discharged till 0% SOC for calibration purpose as directed by Battery OEM-Narada</t>
  </si>
  <si>
    <t>Weather - Foggy</t>
  </si>
  <si>
    <t>Inverter 2.2 - IGBT ribbon cable faulty
Now Repaired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</si>
</sst>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₹&quot;#,##0.00_);[Red]\(&quot;₹&quot;#,##0.00\)"/>
    <numFmt numFmtId="164" formatCode="d/m/yyyy"/>
    <numFmt numFmtId="165" formatCode="_ * #,##0.00_ ;_ * \-#,##0.00_ ;_ * &quot;-&quot;??_ ;_ @_ "/>
    <numFmt numFmtId="166" formatCode="0.0%"/>
    <numFmt numFmtId="167" formatCode="0.000000"/>
    <numFmt numFmtId="168" formatCode="0.000"/>
    <numFmt numFmtId="169" formatCode="[$-409]d/mmm/yyyy;@"/>
    <numFmt numFmtId="170" formatCode="[$-409]d\-mmm\-yyyy;@"/>
    <numFmt numFmtId="171" formatCode="[$-409]d\-mmm\-yy;@"/>
    <numFmt numFmtId="172" formatCode="dd\-mmmm"/>
    <numFmt numFmtId="173" formatCode="dd/mm/yyyy"/>
    <numFmt numFmtId="174" formatCode="0.0000"/>
    <numFmt numFmtId="175" formatCode="[$-409]d/mmm/yy;@"/>
    <numFmt numFmtId="176" formatCode="0.0"/>
    <numFmt numFmtId="177" formatCode="[$-409]mmmm\ d\,\ yyyy;@"/>
  </numFmts>
  <fonts count="54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i/>
      <sz val="22"/>
      <color theme="0"/>
      <name val="Calibri"/>
      <family val="1"/>
      <scheme val="major"/>
    </font>
    <font>
      <i/>
      <sz val="14"/>
      <color theme="1"/>
      <name val="Calibri"/>
      <family val="2"/>
      <scheme val="major"/>
    </font>
    <font>
      <i/>
      <sz val="14"/>
      <name val="Calibri"/>
      <family val="2"/>
      <scheme val="maj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20"/>
      <color theme="0"/>
      <name val="Calibri"/>
      <family val="1"/>
      <scheme val="major"/>
    </font>
    <font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2"/>
      <name val="Calibri"/>
      <family val="2"/>
      <scheme val="major"/>
    </font>
    <font>
      <b/>
      <i/>
      <sz val="11"/>
      <name val="Calibri"/>
      <family val="2"/>
      <scheme val="major"/>
    </font>
    <font>
      <b/>
      <i/>
      <sz val="12"/>
      <color theme="1"/>
      <name val="Calibri"/>
      <family val="2"/>
      <scheme val="minor"/>
    </font>
    <font>
      <b/>
      <i/>
      <sz val="16"/>
      <name val="Calibri"/>
      <family val="2"/>
      <scheme val="major"/>
    </font>
    <font>
      <b/>
      <i/>
      <sz val="22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sz val="9"/>
      <color theme="1"/>
      <name val="C"/>
      <charset val="134"/>
    </font>
    <font>
      <b/>
      <i/>
      <sz val="12"/>
      <color theme="6" tint="-0.249977111117893"/>
      <name val="Calibri"/>
      <family val="2"/>
      <scheme val="major"/>
    </font>
    <font>
      <b/>
      <i/>
      <sz val="24"/>
      <color theme="1"/>
      <name val="Calibri"/>
      <family val="2"/>
      <scheme val="minor"/>
    </font>
    <font>
      <b/>
      <i/>
      <sz val="26"/>
      <name val="Calibri"/>
      <family val="2"/>
      <scheme val="minor"/>
    </font>
    <font>
      <b/>
      <i/>
      <sz val="10"/>
      <color theme="6" tint="-0.249977111117893"/>
      <name val="Calibri"/>
      <family val="2"/>
      <scheme val="major"/>
    </font>
    <font>
      <sz val="14"/>
      <color rgb="FF000000"/>
      <name val="Calibri"/>
      <family val="2"/>
    </font>
    <font>
      <b/>
      <i/>
      <sz val="24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2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i/>
      <sz val="48"/>
      <color theme="1"/>
      <name val="Times New Roman"/>
      <family val="1"/>
    </font>
    <font>
      <b/>
      <i/>
      <sz val="28"/>
      <name val="Times New Roman"/>
      <family val="1"/>
    </font>
    <font>
      <b/>
      <i/>
      <sz val="24"/>
      <color theme="3" tint="4.9989318521683403E-2"/>
      <name val="Times New Roman"/>
      <family val="1"/>
    </font>
    <font>
      <b/>
      <i/>
      <sz val="16"/>
      <color theme="1"/>
      <name val="Times New Roman"/>
      <family val="1"/>
    </font>
    <font>
      <b/>
      <i/>
      <sz val="16"/>
      <name val="Times New Roman"/>
      <family val="1"/>
    </font>
    <font>
      <b/>
      <i/>
      <sz val="16"/>
      <color theme="0"/>
      <name val="Times New Roman"/>
      <family val="1"/>
    </font>
    <font>
      <sz val="14"/>
      <color theme="1"/>
      <name val="Times New Roman"/>
      <family val="1"/>
    </font>
    <font>
      <b/>
      <i/>
      <sz val="14"/>
      <color theme="6" tint="-0.249977111117893"/>
      <name val="Times New Roman"/>
      <family val="1"/>
    </font>
    <font>
      <sz val="14"/>
      <color theme="0"/>
      <name val="Times New Roman"/>
      <family val="1"/>
    </font>
    <font>
      <sz val="11"/>
      <color theme="0"/>
      <name val="Times New Roman"/>
      <family val="1"/>
    </font>
    <font>
      <i/>
      <sz val="16"/>
      <name val="Times New Roman"/>
      <family val="1"/>
    </font>
    <font>
      <i/>
      <sz val="16"/>
      <color theme="1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i/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4" fillId="0" borderId="0"/>
    <xf numFmtId="9" fontId="4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wrapText="1"/>
    </xf>
    <xf numFmtId="164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3" fillId="0" borderId="0" xfId="1" applyNumberFormat="1" applyFont="1" applyBorder="1" applyAlignment="1">
      <alignment horizontal="center"/>
    </xf>
    <xf numFmtId="1" fontId="5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71" fontId="0" fillId="2" borderId="0" xfId="0" applyNumberForma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0" fontId="14" fillId="2" borderId="0" xfId="1" applyNumberFormat="1" applyFont="1" applyFill="1" applyBorder="1" applyAlignment="1">
      <alignment horizontal="center" vertical="center"/>
    </xf>
    <xf numFmtId="168" fontId="17" fillId="5" borderId="2" xfId="0" applyNumberFormat="1" applyFont="1" applyFill="1" applyBorder="1" applyAlignment="1">
      <alignment horizontal="center" vertical="center" wrapText="1"/>
    </xf>
    <xf numFmtId="172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0" fontId="14" fillId="2" borderId="2" xfId="1" applyNumberFormat="1" applyFont="1" applyFill="1" applyBorder="1" applyAlignment="1">
      <alignment horizontal="center" vertical="center"/>
    </xf>
    <xf numFmtId="167" fontId="10" fillId="6" borderId="2" xfId="0" applyNumberFormat="1" applyFont="1" applyFill="1" applyBorder="1" applyAlignment="1">
      <alignment horizontal="center" vertical="center"/>
    </xf>
    <xf numFmtId="166" fontId="9" fillId="6" borderId="2" xfId="1" applyNumberFormat="1" applyFont="1" applyFill="1" applyBorder="1" applyAlignment="1" applyProtection="1">
      <alignment horizontal="center" vertical="center"/>
    </xf>
    <xf numFmtId="2" fontId="10" fillId="6" borderId="2" xfId="0" applyNumberFormat="1" applyFont="1" applyFill="1" applyBorder="1" applyAlignment="1">
      <alignment horizontal="center" vertical="center"/>
    </xf>
    <xf numFmtId="166" fontId="9" fillId="6" borderId="4" xfId="1" applyNumberFormat="1" applyFont="1" applyFill="1" applyBorder="1" applyAlignment="1" applyProtection="1">
      <alignment horizontal="center" vertical="center"/>
    </xf>
    <xf numFmtId="170" fontId="20" fillId="2" borderId="0" xfId="0" applyNumberFormat="1" applyFont="1" applyFill="1" applyAlignment="1">
      <alignment horizontal="center" vertical="center"/>
    </xf>
    <xf numFmtId="168" fontId="16" fillId="5" borderId="2" xfId="0" applyNumberFormat="1" applyFont="1" applyFill="1" applyBorder="1" applyAlignment="1">
      <alignment horizontal="center" vertical="center" wrapText="1"/>
    </xf>
    <xf numFmtId="168" fontId="16" fillId="8" borderId="2" xfId="0" applyNumberFormat="1" applyFont="1" applyFill="1" applyBorder="1" applyAlignment="1">
      <alignment horizontal="center" vertical="center" wrapText="1"/>
    </xf>
    <xf numFmtId="168" fontId="17" fillId="8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22" fillId="0" borderId="1" xfId="0" applyNumberFormat="1" applyFont="1" applyBorder="1" applyAlignment="1">
      <alignment horizontal="center" vertical="center"/>
    </xf>
    <xf numFmtId="173" fontId="22" fillId="0" borderId="1" xfId="0" applyNumberFormat="1" applyFont="1" applyBorder="1" applyAlignment="1">
      <alignment horizontal="center" vertical="center"/>
    </xf>
    <xf numFmtId="173" fontId="22" fillId="2" borderId="1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vertical="center"/>
    </xf>
    <xf numFmtId="0" fontId="15" fillId="2" borderId="9" xfId="0" applyFont="1" applyFill="1" applyBorder="1" applyAlignment="1">
      <alignment vertical="center"/>
    </xf>
    <xf numFmtId="0" fontId="15" fillId="2" borderId="11" xfId="0" applyFont="1" applyFill="1" applyBorder="1" applyAlignment="1">
      <alignment horizontal="center" vertical="center"/>
    </xf>
    <xf numFmtId="10" fontId="9" fillId="6" borderId="2" xfId="1" applyNumberFormat="1" applyFont="1" applyFill="1" applyBorder="1" applyAlignment="1" applyProtection="1">
      <alignment horizontal="center" vertical="center"/>
    </xf>
    <xf numFmtId="10" fontId="0" fillId="0" borderId="0" xfId="0" applyNumberFormat="1"/>
    <xf numFmtId="166" fontId="14" fillId="2" borderId="2" xfId="1" applyNumberFormat="1" applyFont="1" applyFill="1" applyBorder="1" applyAlignment="1">
      <alignment horizontal="center" vertical="center"/>
    </xf>
    <xf numFmtId="168" fontId="10" fillId="6" borderId="2" xfId="0" applyNumberFormat="1" applyFont="1" applyFill="1" applyBorder="1" applyAlignment="1">
      <alignment horizontal="center" vertical="center"/>
    </xf>
    <xf numFmtId="174" fontId="10" fillId="6" borderId="2" xfId="0" applyNumberFormat="1" applyFont="1" applyFill="1" applyBorder="1" applyAlignment="1">
      <alignment horizontal="center" vertical="center"/>
    </xf>
    <xf numFmtId="2" fontId="9" fillId="6" borderId="2" xfId="1" applyNumberFormat="1" applyFont="1" applyFill="1" applyBorder="1" applyAlignment="1" applyProtection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10" fontId="27" fillId="10" borderId="1" xfId="0" applyNumberFormat="1" applyFont="1" applyFill="1" applyBorder="1" applyAlignment="1">
      <alignment horizontal="center" vertical="top"/>
    </xf>
    <xf numFmtId="10" fontId="27" fillId="1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2" applyNumberFormat="1" applyFont="1" applyFill="1" applyBorder="1" applyAlignment="1">
      <alignment horizontal="center" vertical="center"/>
    </xf>
    <xf numFmtId="2" fontId="0" fillId="11" borderId="1" xfId="2" applyNumberFormat="1" applyFont="1" applyFill="1" applyBorder="1" applyAlignment="1">
      <alignment horizontal="center" vertical="center"/>
    </xf>
    <xf numFmtId="0" fontId="0" fillId="11" borderId="1" xfId="2" applyNumberFormat="1" applyFon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10" fillId="6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175" fontId="0" fillId="0" borderId="0" xfId="0" applyNumberFormat="1"/>
    <xf numFmtId="176" fontId="0" fillId="0" borderId="0" xfId="0" applyNumberFormat="1"/>
    <xf numFmtId="9" fontId="0" fillId="0" borderId="0" xfId="0" applyNumberFormat="1"/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3" fillId="0" borderId="0" xfId="1" applyFont="1" applyBorder="1" applyAlignment="1">
      <alignment horizontal="center"/>
    </xf>
    <xf numFmtId="168" fontId="30" fillId="2" borderId="0" xfId="0" applyNumberFormat="1" applyFont="1" applyFill="1" applyAlignment="1">
      <alignment horizontal="center" vertical="center" wrapText="1"/>
    </xf>
    <xf numFmtId="0" fontId="30" fillId="2" borderId="0" xfId="0" applyFont="1" applyFill="1" applyAlignment="1">
      <alignment vertical="center" wrapText="1"/>
    </xf>
    <xf numFmtId="2" fontId="33" fillId="2" borderId="0" xfId="0" applyNumberFormat="1" applyFont="1" applyFill="1" applyAlignment="1">
      <alignment horizontal="center" vertical="center"/>
    </xf>
    <xf numFmtId="174" fontId="33" fillId="2" borderId="0" xfId="0" applyNumberFormat="1" applyFont="1" applyFill="1" applyAlignment="1">
      <alignment horizontal="center" vertical="center"/>
    </xf>
    <xf numFmtId="10" fontId="33" fillId="2" borderId="0" xfId="1" applyNumberFormat="1" applyFont="1" applyFill="1" applyBorder="1" applyAlignment="1" applyProtection="1">
      <alignment horizontal="center" vertical="center"/>
    </xf>
    <xf numFmtId="2" fontId="33" fillId="2" borderId="0" xfId="1" applyNumberFormat="1" applyFont="1" applyFill="1" applyBorder="1" applyAlignment="1" applyProtection="1">
      <alignment horizontal="center" vertical="center"/>
    </xf>
    <xf numFmtId="168" fontId="33" fillId="2" borderId="0" xfId="0" applyNumberFormat="1" applyFont="1" applyFill="1" applyAlignment="1">
      <alignment horizontal="center" vertical="center"/>
    </xf>
    <xf numFmtId="2" fontId="29" fillId="2" borderId="0" xfId="0" applyNumberFormat="1" applyFont="1" applyFill="1"/>
    <xf numFmtId="176" fontId="10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10" fontId="4" fillId="0" borderId="0" xfId="1" applyNumberFormat="1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37" fillId="10" borderId="1" xfId="0" applyNumberFormat="1" applyFont="1" applyFill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8" fontId="0" fillId="2" borderId="0" xfId="0" applyNumberFormat="1" applyFill="1"/>
    <xf numFmtId="0" fontId="38" fillId="2" borderId="0" xfId="0" applyFont="1" applyFill="1"/>
    <xf numFmtId="0" fontId="39" fillId="0" borderId="0" xfId="0" applyFont="1" applyAlignment="1">
      <alignment vertical="center"/>
    </xf>
    <xf numFmtId="169" fontId="40" fillId="4" borderId="0" xfId="0" quotePrefix="1" applyNumberFormat="1" applyFont="1" applyFill="1" applyAlignment="1">
      <alignment horizontal="right" vertical="center" wrapText="1"/>
    </xf>
    <xf numFmtId="170" fontId="42" fillId="9" borderId="2" xfId="0" applyNumberFormat="1" applyFont="1" applyFill="1" applyBorder="1" applyAlignment="1">
      <alignment vertical="center"/>
    </xf>
    <xf numFmtId="168" fontId="43" fillId="5" borderId="9" xfId="0" applyNumberFormat="1" applyFont="1" applyFill="1" applyBorder="1" applyAlignment="1">
      <alignment horizontal="center" vertical="center" wrapText="1"/>
    </xf>
    <xf numFmtId="168" fontId="43" fillId="5" borderId="4" xfId="0" applyNumberFormat="1" applyFont="1" applyFill="1" applyBorder="1" applyAlignment="1">
      <alignment horizontal="center" vertical="center" wrapText="1"/>
    </xf>
    <xf numFmtId="168" fontId="43" fillId="5" borderId="2" xfId="0" applyNumberFormat="1" applyFont="1" applyFill="1" applyBorder="1" applyAlignment="1">
      <alignment horizontal="center" vertical="center" wrapText="1"/>
    </xf>
    <xf numFmtId="168" fontId="43" fillId="8" borderId="10" xfId="0" applyNumberFormat="1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vertical="center" wrapText="1"/>
    </xf>
    <xf numFmtId="0" fontId="44" fillId="3" borderId="2" xfId="0" applyFont="1" applyFill="1" applyBorder="1" applyAlignment="1">
      <alignment horizontal="left" vertical="center" wrapText="1"/>
    </xf>
    <xf numFmtId="0" fontId="45" fillId="2" borderId="0" xfId="0" applyFont="1" applyFill="1"/>
    <xf numFmtId="0" fontId="47" fillId="2" borderId="0" xfId="0" applyFont="1" applyFill="1"/>
    <xf numFmtId="0" fontId="48" fillId="2" borderId="0" xfId="0" applyFont="1" applyFill="1"/>
    <xf numFmtId="10" fontId="49" fillId="6" borderId="2" xfId="1" applyNumberFormat="1" applyFont="1" applyFill="1" applyBorder="1" applyAlignment="1">
      <alignment horizontal="center" vertical="center"/>
    </xf>
    <xf numFmtId="2" fontId="50" fillId="9" borderId="10" xfId="1" applyNumberFormat="1" applyFont="1" applyFill="1" applyBorder="1" applyAlignment="1" applyProtection="1">
      <alignment horizontal="center" vertical="center" wrapText="1"/>
    </xf>
    <xf numFmtId="10" fontId="49" fillId="6" borderId="0" xfId="1" applyNumberFormat="1" applyFont="1" applyFill="1" applyBorder="1" applyAlignment="1">
      <alignment horizontal="center" vertical="center"/>
    </xf>
    <xf numFmtId="10" fontId="49" fillId="6" borderId="10" xfId="1" applyNumberFormat="1" applyFont="1" applyFill="1" applyBorder="1" applyAlignment="1">
      <alignment horizontal="center" vertical="center"/>
    </xf>
    <xf numFmtId="10" fontId="49" fillId="6" borderId="9" xfId="1" applyNumberFormat="1" applyFont="1" applyFill="1" applyBorder="1" applyAlignment="1">
      <alignment horizontal="center" vertical="center"/>
    </xf>
    <xf numFmtId="10" fontId="49" fillId="6" borderId="3" xfId="1" applyNumberFormat="1" applyFont="1" applyFill="1" applyBorder="1" applyAlignment="1">
      <alignment horizontal="center" vertical="center"/>
    </xf>
    <xf numFmtId="2" fontId="50" fillId="9" borderId="2" xfId="1" applyNumberFormat="1" applyFont="1" applyFill="1" applyBorder="1" applyAlignment="1" applyProtection="1">
      <alignment horizontal="center" vertical="center" wrapText="1"/>
    </xf>
    <xf numFmtId="2" fontId="51" fillId="6" borderId="2" xfId="0" applyNumberFormat="1" applyFont="1" applyFill="1" applyBorder="1" applyAlignment="1">
      <alignment horizontal="center" vertical="center"/>
    </xf>
    <xf numFmtId="167" fontId="51" fillId="6" borderId="2" xfId="0" applyNumberFormat="1" applyFont="1" applyFill="1" applyBorder="1" applyAlignment="1">
      <alignment horizontal="center" vertical="center"/>
    </xf>
    <xf numFmtId="10" fontId="51" fillId="6" borderId="2" xfId="1" applyNumberFormat="1" applyFont="1" applyFill="1" applyBorder="1" applyAlignment="1">
      <alignment horizontal="center" vertical="center"/>
    </xf>
    <xf numFmtId="168" fontId="51" fillId="6" borderId="2" xfId="0" applyNumberFormat="1" applyFont="1" applyFill="1" applyBorder="1" applyAlignment="1">
      <alignment horizontal="center" vertical="center"/>
    </xf>
    <xf numFmtId="2" fontId="52" fillId="6" borderId="2" xfId="1" applyNumberFormat="1" applyFont="1" applyFill="1" applyBorder="1" applyAlignment="1" applyProtection="1">
      <alignment horizontal="center" vertical="center"/>
    </xf>
    <xf numFmtId="10" fontId="51" fillId="6" borderId="0" xfId="1" applyNumberFormat="1" applyFont="1" applyFill="1" applyBorder="1" applyAlignment="1">
      <alignment horizontal="center" vertical="center"/>
    </xf>
    <xf numFmtId="168" fontId="43" fillId="7" borderId="10" xfId="0" applyNumberFormat="1" applyFont="1" applyFill="1" applyBorder="1" applyAlignment="1">
      <alignment horizontal="center" vertical="center" wrapText="1"/>
    </xf>
    <xf numFmtId="168" fontId="43" fillId="12" borderId="9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9" fillId="2" borderId="0" xfId="0" applyFont="1" applyFill="1"/>
    <xf numFmtId="2" fontId="53" fillId="9" borderId="10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50" fillId="9" borderId="10" xfId="1" applyNumberFormat="1" applyFont="1" applyFill="1" applyBorder="1" applyAlignment="1" applyProtection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170" fontId="31" fillId="2" borderId="0" xfId="0" applyNumberFormat="1" applyFont="1" applyFill="1" applyAlignment="1">
      <alignment horizontal="left" vertical="center"/>
    </xf>
    <xf numFmtId="169" fontId="30" fillId="2" borderId="0" xfId="0" quotePrefix="1" applyNumberFormat="1" applyFont="1" applyFill="1" applyAlignment="1">
      <alignment horizontal="center" vertical="center" wrapText="1"/>
    </xf>
    <xf numFmtId="170" fontId="30" fillId="2" borderId="0" xfId="0" applyNumberFormat="1" applyFont="1" applyFill="1" applyAlignment="1">
      <alignment horizontal="center" vertical="center"/>
    </xf>
    <xf numFmtId="169" fontId="46" fillId="4" borderId="0" xfId="0" quotePrefix="1" applyNumberFormat="1" applyFont="1" applyFill="1" applyAlignment="1">
      <alignment horizontal="left" vertical="top" wrapText="1"/>
    </xf>
    <xf numFmtId="169" fontId="43" fillId="12" borderId="4" xfId="0" quotePrefix="1" applyNumberFormat="1" applyFont="1" applyFill="1" applyBorder="1" applyAlignment="1">
      <alignment horizontal="center" vertical="center" wrapText="1"/>
    </xf>
    <xf numFmtId="169" fontId="43" fillId="12" borderId="5" xfId="0" quotePrefix="1" applyNumberFormat="1" applyFont="1" applyFill="1" applyBorder="1" applyAlignment="1">
      <alignment horizontal="center" vertical="center" wrapText="1"/>
    </xf>
    <xf numFmtId="169" fontId="43" fillId="12" borderId="6" xfId="0" quotePrefix="1" applyNumberFormat="1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169" fontId="43" fillId="4" borderId="2" xfId="0" quotePrefix="1" applyNumberFormat="1" applyFont="1" applyFill="1" applyBorder="1" applyAlignment="1">
      <alignment horizontal="center" vertical="center" wrapText="1"/>
    </xf>
    <xf numFmtId="169" fontId="43" fillId="4" borderId="6" xfId="0" quotePrefix="1" applyNumberFormat="1" applyFont="1" applyFill="1" applyBorder="1" applyAlignment="1">
      <alignment horizontal="center" vertical="center" wrapText="1"/>
    </xf>
    <xf numFmtId="169" fontId="43" fillId="4" borderId="4" xfId="0" quotePrefix="1" applyNumberFormat="1" applyFont="1" applyFill="1" applyBorder="1" applyAlignment="1">
      <alignment horizontal="center" vertical="center" wrapText="1"/>
    </xf>
    <xf numFmtId="177" fontId="40" fillId="4" borderId="5" xfId="0" quotePrefix="1" applyNumberFormat="1" applyFont="1" applyFill="1" applyBorder="1" applyAlignment="1">
      <alignment horizontal="left" vertical="center" wrapText="1"/>
    </xf>
    <xf numFmtId="169" fontId="43" fillId="9" borderId="10" xfId="0" quotePrefix="1" applyNumberFormat="1" applyFont="1" applyFill="1" applyBorder="1" applyAlignment="1">
      <alignment horizontal="center" vertical="center" wrapText="1"/>
    </xf>
    <xf numFmtId="169" fontId="43" fillId="9" borderId="11" xfId="0" quotePrefix="1" applyNumberFormat="1" applyFont="1" applyFill="1" applyBorder="1" applyAlignment="1">
      <alignment horizontal="center" vertical="center" wrapText="1"/>
    </xf>
    <xf numFmtId="169" fontId="43" fillId="9" borderId="9" xfId="0" quotePrefix="1" applyNumberFormat="1" applyFont="1" applyFill="1" applyBorder="1" applyAlignment="1">
      <alignment horizontal="center" vertical="center" wrapText="1"/>
    </xf>
    <xf numFmtId="167" fontId="51" fillId="6" borderId="4" xfId="0" applyNumberFormat="1" applyFont="1" applyFill="1" applyBorder="1" applyAlignment="1">
      <alignment horizontal="center" vertical="center"/>
    </xf>
    <xf numFmtId="167" fontId="51" fillId="6" borderId="5" xfId="0" applyNumberFormat="1" applyFont="1" applyFill="1" applyBorder="1" applyAlignment="1">
      <alignment horizontal="center" vertical="center"/>
    </xf>
    <xf numFmtId="167" fontId="51" fillId="6" borderId="6" xfId="0" applyNumberFormat="1" applyFont="1" applyFill="1" applyBorder="1" applyAlignment="1">
      <alignment horizontal="center" vertical="center"/>
    </xf>
    <xf numFmtId="0" fontId="39" fillId="13" borderId="4" xfId="0" applyFont="1" applyFill="1" applyBorder="1" applyAlignment="1">
      <alignment horizontal="center" vertical="center"/>
    </xf>
    <xf numFmtId="0" fontId="39" fillId="13" borderId="5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169" fontId="43" fillId="4" borderId="5" xfId="0" quotePrefix="1" applyNumberFormat="1" applyFont="1" applyFill="1" applyBorder="1" applyAlignment="1">
      <alignment horizontal="center" vertical="center" wrapText="1"/>
    </xf>
    <xf numFmtId="170" fontId="42" fillId="9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wrapText="1"/>
    </xf>
    <xf numFmtId="0" fontId="18" fillId="7" borderId="2" xfId="0" applyFont="1" applyFill="1" applyBorder="1" applyAlignment="1">
      <alignment horizontal="center"/>
    </xf>
    <xf numFmtId="169" fontId="28" fillId="2" borderId="0" xfId="0" applyNumberFormat="1" applyFont="1" applyFill="1" applyAlignment="1">
      <alignment horizontal="right" vertical="center"/>
    </xf>
    <xf numFmtId="170" fontId="24" fillId="2" borderId="0" xfId="0" applyNumberFormat="1" applyFont="1" applyFill="1" applyAlignment="1">
      <alignment horizontal="left" vertical="center"/>
    </xf>
    <xf numFmtId="169" fontId="8" fillId="3" borderId="8" xfId="0" applyNumberFormat="1" applyFont="1" applyFill="1" applyBorder="1" applyAlignment="1" applyProtection="1">
      <alignment horizontal="center" vertical="center"/>
      <protection locked="0"/>
    </xf>
    <xf numFmtId="169" fontId="8" fillId="3" borderId="3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169" fontId="19" fillId="4" borderId="4" xfId="0" quotePrefix="1" applyNumberFormat="1" applyFont="1" applyFill="1" applyBorder="1" applyAlignment="1">
      <alignment horizontal="right" vertical="center" wrapText="1"/>
    </xf>
    <xf numFmtId="169" fontId="19" fillId="4" borderId="5" xfId="0" quotePrefix="1" applyNumberFormat="1" applyFont="1" applyFill="1" applyBorder="1" applyAlignment="1">
      <alignment horizontal="right" vertical="center" wrapText="1"/>
    </xf>
    <xf numFmtId="170" fontId="15" fillId="2" borderId="0" xfId="0" applyNumberFormat="1" applyFont="1" applyFill="1" applyAlignment="1">
      <alignment horizontal="left" vertical="center"/>
    </xf>
    <xf numFmtId="169" fontId="19" fillId="4" borderId="4" xfId="0" quotePrefix="1" applyNumberFormat="1" applyFont="1" applyFill="1" applyBorder="1" applyAlignment="1">
      <alignment horizontal="center" vertical="center" wrapText="1"/>
    </xf>
    <xf numFmtId="169" fontId="19" fillId="4" borderId="5" xfId="0" quotePrefix="1" applyNumberFormat="1" applyFont="1" applyFill="1" applyBorder="1" applyAlignment="1">
      <alignment horizontal="center" vertical="center" wrapText="1"/>
    </xf>
    <xf numFmtId="169" fontId="19" fillId="4" borderId="2" xfId="0" quotePrefix="1" applyNumberFormat="1" applyFont="1" applyFill="1" applyBorder="1" applyAlignment="1">
      <alignment horizontal="center" vertical="center" wrapText="1"/>
    </xf>
    <xf numFmtId="169" fontId="26" fillId="4" borderId="2" xfId="0" quotePrefix="1" applyNumberFormat="1" applyFont="1" applyFill="1" applyBorder="1" applyAlignment="1">
      <alignment horizontal="left" vertical="top" wrapText="1"/>
    </xf>
    <xf numFmtId="168" fontId="16" fillId="5" borderId="4" xfId="0" applyNumberFormat="1" applyFont="1" applyFill="1" applyBorder="1" applyAlignment="1">
      <alignment horizontal="center" vertical="center" wrapText="1"/>
    </xf>
    <xf numFmtId="168" fontId="16" fillId="5" borderId="6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9" fontId="13" fillId="3" borderId="2" xfId="0" applyNumberFormat="1" applyFont="1" applyFill="1" applyBorder="1" applyAlignment="1" applyProtection="1">
      <alignment horizontal="center" vertical="center"/>
      <protection locked="0"/>
    </xf>
    <xf numFmtId="169" fontId="25" fillId="2" borderId="0" xfId="0" applyNumberFormat="1" applyFont="1" applyFill="1" applyAlignment="1">
      <alignment horizontal="right" vertical="center"/>
    </xf>
    <xf numFmtId="169" fontId="23" fillId="4" borderId="2" xfId="0" quotePrefix="1" applyNumberFormat="1" applyFont="1" applyFill="1" applyBorder="1" applyAlignment="1">
      <alignment horizontal="left" vertical="center" wrapText="1"/>
    </xf>
    <xf numFmtId="169" fontId="23" fillId="4" borderId="2" xfId="0" quotePrefix="1" applyNumberFormat="1" applyFont="1" applyFill="1" applyBorder="1" applyAlignment="1">
      <alignment horizontal="center" vertical="center" wrapText="1"/>
    </xf>
    <xf numFmtId="170" fontId="15" fillId="9" borderId="2" xfId="0" applyNumberFormat="1" applyFont="1" applyFill="1" applyBorder="1" applyAlignment="1">
      <alignment horizontal="center" vertical="center"/>
    </xf>
    <xf numFmtId="168" fontId="17" fillId="5" borderId="2" xfId="0" applyNumberFormat="1" applyFont="1" applyFill="1" applyBorder="1" applyAlignment="1">
      <alignment horizontal="center" vertical="center" wrapText="1"/>
    </xf>
    <xf numFmtId="168" fontId="17" fillId="9" borderId="2" xfId="0" applyNumberFormat="1" applyFont="1" applyFill="1" applyBorder="1" applyAlignment="1">
      <alignment horizontal="center" vertical="center" wrapText="1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70" fontId="11" fillId="2" borderId="4" xfId="0" applyNumberFormat="1" applyFont="1" applyFill="1" applyBorder="1" applyAlignment="1">
      <alignment horizontal="right" vertical="center"/>
    </xf>
    <xf numFmtId="170" fontId="11" fillId="2" borderId="5" xfId="0" applyNumberFormat="1" applyFont="1" applyFill="1" applyBorder="1" applyAlignment="1">
      <alignment horizontal="right" vertical="center"/>
    </xf>
    <xf numFmtId="170" fontId="11" fillId="2" borderId="5" xfId="0" applyNumberFormat="1" applyFont="1" applyFill="1" applyBorder="1" applyAlignment="1">
      <alignment horizontal="left" vertical="center"/>
    </xf>
    <xf numFmtId="170" fontId="11" fillId="2" borderId="6" xfId="0" applyNumberFormat="1" applyFont="1" applyFill="1" applyBorder="1" applyAlignment="1">
      <alignment horizontal="left" vertical="center"/>
    </xf>
    <xf numFmtId="169" fontId="21" fillId="2" borderId="0" xfId="0" applyNumberFormat="1" applyFont="1" applyFill="1" applyAlignment="1">
      <alignment horizontal="right" vertical="center"/>
    </xf>
    <xf numFmtId="169" fontId="8" fillId="3" borderId="0" xfId="0" applyNumberFormat="1" applyFont="1" applyFill="1" applyAlignment="1" applyProtection="1">
      <alignment horizontal="center" vertical="center"/>
      <protection locked="0"/>
    </xf>
    <xf numFmtId="0" fontId="52" fillId="9" borderId="10" xfId="1" applyNumberFormat="1" applyFont="1" applyFill="1" applyBorder="1" applyAlignment="1" applyProtection="1">
      <alignment horizontal="center" vertical="center" wrapText="1"/>
    </xf>
  </cellXfs>
  <cellStyles count="6">
    <cellStyle name="Comma 2 2 3 2 5 2" xfId="2" xr:uid="{9E2E43D0-6FC1-4043-A85A-D110D8208180}"/>
    <cellStyle name="Comma 2 2 3 2 5 2 2" xfId="3" xr:uid="{F64760A3-5A65-3C40-BE8B-98DF2D7E977C}"/>
    <cellStyle name="Normal" xfId="0" builtinId="0"/>
    <cellStyle name="Normal 20" xfId="4" xr:uid="{D640D2FE-758B-E04E-B69F-B7BCCA1E1B29}"/>
    <cellStyle name="Per cent" xfId="1" builtinId="5"/>
    <cellStyle name="Percent 2" xfId="5" xr:uid="{A0D3AF23-6B08-2446-9672-4FE8C8E01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Daily Generation for last 7 days &amp; CUF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'DRDO Kolar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'DRDO Kolar Dashboard'!$D$14:$D$20</c:f>
              <c:numCache>
                <c:formatCode>General</c:formatCode>
                <c:ptCount val="7"/>
                <c:pt idx="0">
                  <c:v>57000</c:v>
                </c:pt>
                <c:pt idx="1">
                  <c:v>52800</c:v>
                </c:pt>
                <c:pt idx="2">
                  <c:v>43800</c:v>
                </c:pt>
                <c:pt idx="3">
                  <c:v>29739</c:v>
                </c:pt>
                <c:pt idx="4">
                  <c:v>46800</c:v>
                </c:pt>
                <c:pt idx="5">
                  <c:v>54000</c:v>
                </c:pt>
                <c:pt idx="6">
                  <c:v>59400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4-7942-A6DB-033DE76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72106336"/>
        <c:axId val="571571136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'DRDO Kolar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'DRDO Kolar Dashboard'!$E$14:$E$20</c:f>
              <c:numCache>
                <c:formatCode>0.0%</c:formatCode>
                <c:ptCount val="7"/>
                <c:pt idx="0">
                  <c:v>0.23749999999999999</c:v>
                </c:pt>
                <c:pt idx="1">
                  <c:v>0.22</c:v>
                </c:pt>
                <c:pt idx="2">
                  <c:v>0.1825</c:v>
                </c:pt>
                <c:pt idx="3">
                  <c:v>0.12391249999999999</c:v>
                </c:pt>
                <c:pt idx="4">
                  <c:v>0.19500000000000001</c:v>
                </c:pt>
                <c:pt idx="5">
                  <c:v>0.22500000000000001</c:v>
                </c:pt>
                <c:pt idx="6">
                  <c:v>0.2475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4-7942-A6DB-033DE76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54943"/>
        <c:axId val="666292239"/>
      </c:lineChart>
      <c:dateAx>
        <c:axId val="572106336"/>
        <c:scaling>
          <c:orientation val="minMax"/>
        </c:scaling>
        <c:delete val="0"/>
        <c:axPos val="b"/>
        <c:numFmt formatCode="dd\-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1136"/>
        <c:crosses val="autoZero"/>
        <c:auto val="1"/>
        <c:lblOffset val="100"/>
        <c:baseTimeUnit val="days"/>
      </c:dateAx>
      <c:valAx>
        <c:axId val="5715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Exported GEneration(KwH)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6336"/>
        <c:crosses val="autoZero"/>
        <c:crossBetween val="between"/>
      </c:valAx>
      <c:valAx>
        <c:axId val="6662922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CUF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54943"/>
        <c:crosses val="max"/>
        <c:crossBetween val="between"/>
      </c:valAx>
      <c:dateAx>
        <c:axId val="666454943"/>
        <c:scaling>
          <c:orientation val="minMax"/>
        </c:scaling>
        <c:delete val="1"/>
        <c:axPos val="b"/>
        <c:numFmt formatCode="dd\-mmmm" sourceLinked="1"/>
        <c:majorTickMark val="out"/>
        <c:minorTickMark val="none"/>
        <c:tickLblPos val="nextTo"/>
        <c:crossAx val="666292239"/>
        <c:crosses val="autoZero"/>
        <c:auto val="1"/>
        <c:lblOffset val="100"/>
        <c:baseTimeUnit val="day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Daily Generation for last 7 days &amp; CUF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'Agatti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'Agatti Dashboard'!$D$14:$D$20</c:f>
              <c:numCache>
                <c:formatCode>General</c:formatCode>
                <c:ptCount val="7"/>
                <c:pt idx="0">
                  <c:v>1233</c:v>
                </c:pt>
                <c:pt idx="1">
                  <c:v>1098</c:v>
                </c:pt>
                <c:pt idx="2">
                  <c:v>1193</c:v>
                </c:pt>
                <c:pt idx="3">
                  <c:v>973</c:v>
                </c:pt>
                <c:pt idx="4">
                  <c:v>932</c:v>
                </c:pt>
                <c:pt idx="5">
                  <c:v>1296</c:v>
                </c:pt>
                <c:pt idx="6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F-6B45-86B7-19868CD17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72106336"/>
        <c:axId val="571571136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'Agatti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'Agatti Dashboard'!$E$14:$E$20</c:f>
              <c:numCache>
                <c:formatCode>0.0%</c:formatCode>
                <c:ptCount val="7"/>
                <c:pt idx="0">
                  <c:v>0.17125000000000001</c:v>
                </c:pt>
                <c:pt idx="1">
                  <c:v>0.1525</c:v>
                </c:pt>
                <c:pt idx="2">
                  <c:v>0.16569444444444445</c:v>
                </c:pt>
                <c:pt idx="3">
                  <c:v>0.13513888888888889</c:v>
                </c:pt>
                <c:pt idx="4">
                  <c:v>0.12944444444444445</c:v>
                </c:pt>
                <c:pt idx="5">
                  <c:v>0.18</c:v>
                </c:pt>
                <c:pt idx="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F-6B45-86B7-19868CD17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54943"/>
        <c:axId val="666292239"/>
      </c:lineChart>
      <c:dateAx>
        <c:axId val="572106336"/>
        <c:scaling>
          <c:orientation val="minMax"/>
        </c:scaling>
        <c:delete val="0"/>
        <c:axPos val="b"/>
        <c:numFmt formatCode="dd\-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1136"/>
        <c:crosses val="autoZero"/>
        <c:auto val="1"/>
        <c:lblOffset val="100"/>
        <c:baseTimeUnit val="days"/>
      </c:dateAx>
      <c:valAx>
        <c:axId val="5715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Exported GEneration(KwH)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6336"/>
        <c:crosses val="autoZero"/>
        <c:crossBetween val="between"/>
      </c:valAx>
      <c:valAx>
        <c:axId val="6662922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CUF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54943"/>
        <c:crosses val="max"/>
        <c:crossBetween val="between"/>
      </c:valAx>
      <c:dateAx>
        <c:axId val="666454943"/>
        <c:scaling>
          <c:orientation val="minMax"/>
        </c:scaling>
        <c:delete val="1"/>
        <c:axPos val="b"/>
        <c:numFmt formatCode="dd\-mmmm" sourceLinked="1"/>
        <c:majorTickMark val="out"/>
        <c:minorTickMark val="none"/>
        <c:tickLblPos val="nextTo"/>
        <c:crossAx val="666292239"/>
        <c:crosses val="autoZero"/>
        <c:auto val="1"/>
        <c:lblOffset val="100"/>
        <c:baseTimeUnit val="day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Daily Generation for last 7 days &amp; CUF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'Kaveratti 1.4 MW Solar+BESS DB'!$B$16:$B$22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'Kaveratti 1.4 MW Solar+BESS DB'!$D$16:$D$22</c:f>
              <c:numCache>
                <c:formatCode>General</c:formatCode>
                <c:ptCount val="7"/>
                <c:pt idx="0">
                  <c:v>5621</c:v>
                </c:pt>
                <c:pt idx="1">
                  <c:v>4941</c:v>
                </c:pt>
                <c:pt idx="2">
                  <c:v>6537</c:v>
                </c:pt>
                <c:pt idx="3">
                  <c:v>5913</c:v>
                </c:pt>
                <c:pt idx="4">
                  <c:v>5248</c:v>
                </c:pt>
                <c:pt idx="5">
                  <c:v>6218</c:v>
                </c:pt>
                <c:pt idx="6">
                  <c:v>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2-EF40-9B71-98FE82787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71876144"/>
        <c:axId val="571877856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'Kaveratti 1.4 MW Solar+BESS DB'!$B$16:$B$22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'Kaveratti 1.4 MW Solar+BESS DB'!$E$16:$E$22</c:f>
              <c:numCache>
                <c:formatCode>0.00%</c:formatCode>
                <c:ptCount val="7"/>
                <c:pt idx="0">
                  <c:v>0.16729166666666667</c:v>
                </c:pt>
                <c:pt idx="1">
                  <c:v>0.14705357142857142</c:v>
                </c:pt>
                <c:pt idx="2">
                  <c:v>0.19455357142857144</c:v>
                </c:pt>
                <c:pt idx="3">
                  <c:v>0.17598214285714286</c:v>
                </c:pt>
                <c:pt idx="4">
                  <c:v>0.15619047619047619</c:v>
                </c:pt>
                <c:pt idx="5">
                  <c:v>0.18505952380952381</c:v>
                </c:pt>
                <c:pt idx="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2-EF40-9B71-98FE82787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46847"/>
        <c:axId val="594845119"/>
      </c:lineChart>
      <c:dateAx>
        <c:axId val="571876144"/>
        <c:scaling>
          <c:orientation val="minMax"/>
        </c:scaling>
        <c:delete val="0"/>
        <c:axPos val="b"/>
        <c:numFmt formatCode="dd\-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7856"/>
        <c:crosses val="autoZero"/>
        <c:auto val="1"/>
        <c:lblOffset val="100"/>
        <c:baseTimeUnit val="days"/>
      </c:dateAx>
      <c:valAx>
        <c:axId val="5718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Exported GEneration(KwH)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6144"/>
        <c:crosses val="autoZero"/>
        <c:crossBetween val="between"/>
      </c:valAx>
      <c:valAx>
        <c:axId val="5948451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CUF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46847"/>
        <c:crosses val="max"/>
        <c:crossBetween val="between"/>
      </c:valAx>
      <c:dateAx>
        <c:axId val="594846847"/>
        <c:scaling>
          <c:orientation val="minMax"/>
        </c:scaling>
        <c:delete val="1"/>
        <c:axPos val="b"/>
        <c:numFmt formatCode="dd\-mmmm" sourceLinked="1"/>
        <c:majorTickMark val="out"/>
        <c:minorTickMark val="none"/>
        <c:tickLblPos val="nextTo"/>
        <c:crossAx val="594845119"/>
        <c:crosses val="autoZero"/>
        <c:auto val="1"/>
        <c:lblOffset val="100"/>
        <c:baseTimeUnit val="day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Daily Generation for last 7 days &amp; CUF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'BADI SID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'BADI SID Dashboard'!$D$14:$D$20</c:f>
              <c:numCache>
                <c:formatCode>General</c:formatCode>
                <c:ptCount val="7"/>
                <c:pt idx="0">
                  <c:v>46231.5</c:v>
                </c:pt>
                <c:pt idx="1">
                  <c:v>45979</c:v>
                </c:pt>
                <c:pt idx="2">
                  <c:v>29151</c:v>
                </c:pt>
                <c:pt idx="3">
                  <c:v>30475.5</c:v>
                </c:pt>
                <c:pt idx="4">
                  <c:v>23433</c:v>
                </c:pt>
                <c:pt idx="5">
                  <c:v>45538.5</c:v>
                </c:pt>
                <c:pt idx="6">
                  <c:v>47043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4-5240-A2E9-EC5EBDB9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72106336"/>
        <c:axId val="571571136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'BADI SID Dashboard'!$B$14:$B$20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'BADI SID Dashboard'!$E$14:$E$20</c:f>
              <c:numCache>
                <c:formatCode>0.0%</c:formatCode>
                <c:ptCount val="7"/>
                <c:pt idx="0">
                  <c:v>0.19263125</c:v>
                </c:pt>
                <c:pt idx="1">
                  <c:v>0.19157916666666666</c:v>
                </c:pt>
                <c:pt idx="2">
                  <c:v>0.1214625</c:v>
                </c:pt>
                <c:pt idx="3">
                  <c:v>0.12698124999999999</c:v>
                </c:pt>
                <c:pt idx="4">
                  <c:v>9.7637500000000002E-2</c:v>
                </c:pt>
                <c:pt idx="5">
                  <c:v>0.18974374999999999</c:v>
                </c:pt>
                <c:pt idx="6">
                  <c:v>0.19601250000000001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4-5240-A2E9-EC5EBDB9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54943"/>
        <c:axId val="666292239"/>
      </c:lineChart>
      <c:dateAx>
        <c:axId val="572106336"/>
        <c:scaling>
          <c:orientation val="minMax"/>
        </c:scaling>
        <c:delete val="0"/>
        <c:axPos val="b"/>
        <c:numFmt formatCode="dd\-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1136"/>
        <c:crosses val="autoZero"/>
        <c:auto val="1"/>
        <c:lblOffset val="100"/>
        <c:baseTimeUnit val="days"/>
      </c:dateAx>
      <c:valAx>
        <c:axId val="5715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Exported GEneration(KwH)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06336"/>
        <c:crosses val="autoZero"/>
        <c:crossBetween val="between"/>
      </c:valAx>
      <c:valAx>
        <c:axId val="6662922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CUF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54943"/>
        <c:crosses val="max"/>
        <c:crossBetween val="between"/>
      </c:valAx>
      <c:dateAx>
        <c:axId val="666454943"/>
        <c:scaling>
          <c:orientation val="minMax"/>
        </c:scaling>
        <c:delete val="1"/>
        <c:axPos val="b"/>
        <c:numFmt formatCode="dd\-mmmm" sourceLinked="1"/>
        <c:majorTickMark val="out"/>
        <c:minorTickMark val="none"/>
        <c:tickLblPos val="nextTo"/>
        <c:crossAx val="666292239"/>
        <c:crosses val="autoZero"/>
        <c:auto val="1"/>
        <c:lblOffset val="100"/>
        <c:baseTimeUnit val="day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Daily Generation for last 7 days &amp; CUF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'Rajnandgaon Dashboard'!$B$16:$B$22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'Rajnandgaon Dashboard'!$D$16:$D$22</c:f>
              <c:numCache>
                <c:formatCode>General</c:formatCode>
                <c:ptCount val="7"/>
                <c:pt idx="0">
                  <c:v>462466.7</c:v>
                </c:pt>
                <c:pt idx="1">
                  <c:v>519109.7</c:v>
                </c:pt>
                <c:pt idx="2">
                  <c:v>574497.69999999995</c:v>
                </c:pt>
                <c:pt idx="3">
                  <c:v>632612.6</c:v>
                </c:pt>
                <c:pt idx="4">
                  <c:v>698038</c:v>
                </c:pt>
                <c:pt idx="5">
                  <c:v>658300</c:v>
                </c:pt>
                <c:pt idx="6">
                  <c:v>673557.9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5-A744-822B-0EF0A222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71876144"/>
        <c:axId val="571877856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'Rajnandgaon Dashboard'!$B$16:$B$22</c:f>
              <c:numCache>
                <c:formatCode>dd\-mmmm</c:formatCode>
                <c:ptCount val="7"/>
                <c:pt idx="0">
                  <c:v>46026</c:v>
                </c:pt>
                <c:pt idx="1">
                  <c:v>46025</c:v>
                </c:pt>
                <c:pt idx="2">
                  <c:v>46024</c:v>
                </c:pt>
                <c:pt idx="3">
                  <c:v>46023</c:v>
                </c:pt>
                <c:pt idx="4">
                  <c:v>46022</c:v>
                </c:pt>
                <c:pt idx="5">
                  <c:v>46021</c:v>
                </c:pt>
                <c:pt idx="6">
                  <c:v>46020</c:v>
                </c:pt>
              </c:numCache>
            </c:numRef>
          </c:cat>
          <c:val>
            <c:numRef>
              <c:f>'Rajnandgaon Dashboard'!$E$16:$E$22</c:f>
              <c:numCache>
                <c:formatCode>0.00%</c:formatCode>
                <c:ptCount val="7"/>
                <c:pt idx="0">
                  <c:v>0.19269445833333335</c:v>
                </c:pt>
                <c:pt idx="1">
                  <c:v>0.21629570833333334</c:v>
                </c:pt>
                <c:pt idx="2">
                  <c:v>0.23937404166666665</c:v>
                </c:pt>
                <c:pt idx="3">
                  <c:v>0.26358858333333335</c:v>
                </c:pt>
                <c:pt idx="4">
                  <c:v>0.29084916666666666</c:v>
                </c:pt>
                <c:pt idx="5">
                  <c:v>0.27429166666666666</c:v>
                </c:pt>
                <c:pt idx="6">
                  <c:v>0.280649125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5-A744-822B-0EF0A222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46847"/>
        <c:axId val="594845119"/>
      </c:lineChart>
      <c:dateAx>
        <c:axId val="571876144"/>
        <c:scaling>
          <c:orientation val="minMax"/>
        </c:scaling>
        <c:delete val="0"/>
        <c:axPos val="b"/>
        <c:numFmt formatCode="dd\-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7856"/>
        <c:crosses val="autoZero"/>
        <c:auto val="1"/>
        <c:lblOffset val="100"/>
        <c:baseTimeUnit val="days"/>
      </c:dateAx>
      <c:valAx>
        <c:axId val="5718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Exported GEneration(KwH)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76144"/>
        <c:crosses val="autoZero"/>
        <c:crossBetween val="between"/>
      </c:valAx>
      <c:valAx>
        <c:axId val="5948451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CUF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46847"/>
        <c:crosses val="max"/>
        <c:crossBetween val="between"/>
      </c:valAx>
      <c:dateAx>
        <c:axId val="594846847"/>
        <c:scaling>
          <c:orientation val="minMax"/>
        </c:scaling>
        <c:delete val="1"/>
        <c:axPos val="b"/>
        <c:numFmt formatCode="dd\-mmmm" sourceLinked="1"/>
        <c:majorTickMark val="out"/>
        <c:minorTickMark val="none"/>
        <c:tickLblPos val="nextTo"/>
        <c:crossAx val="594845119"/>
        <c:crosses val="autoZero"/>
        <c:auto val="1"/>
        <c:lblOffset val="100"/>
        <c:baseTimeUnit val="days"/>
      </c:date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802698</xdr:colOff>
      <xdr:row>0</xdr:row>
      <xdr:rowOff>152401</xdr:rowOff>
    </xdr:from>
    <xdr:to>
      <xdr:col>2</xdr:col>
      <xdr:colOff>778934</xdr:colOff>
      <xdr:row>2</xdr:row>
      <xdr:rowOff>802385</xdr:rowOff>
    </xdr:to>
    <xdr:pic>
      <xdr:nvPicPr>
        <xdr:cNvPr id="2" name="Picture 1" descr="Solar Energy Corporation of India Limited (SECI)">
          <a:extLst>
            <a:ext uri="{FF2B5EF4-FFF2-40B4-BE49-F238E27FC236}">
              <a16:creationId xmlns:a16="http://schemas.microsoft.com/office/drawing/2014/main" id="{827BFF12-3CEB-65A0-E56E-C33ECA6F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98" y="152401"/>
          <a:ext cx="2583969" cy="1581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4341</xdr:colOff>
      <xdr:row>21</xdr:row>
      <xdr:rowOff>126348</xdr:rowOff>
    </xdr:from>
    <xdr:to>
      <xdr:col>9</xdr:col>
      <xdr:colOff>738118</xdr:colOff>
      <xdr:row>35</xdr:row>
      <xdr:rowOff>134164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F8FA9-D776-4A49-B59A-5703A800F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4341</xdr:colOff>
      <xdr:row>21</xdr:row>
      <xdr:rowOff>126348</xdr:rowOff>
    </xdr:from>
    <xdr:to>
      <xdr:col>9</xdr:col>
      <xdr:colOff>738118</xdr:colOff>
      <xdr:row>35</xdr:row>
      <xdr:rowOff>134164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07234-FF75-5E44-A9FC-61D9D41CD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809451</xdr:colOff>
      <xdr:row>22</xdr:row>
      <xdr:rowOff>139560</xdr:rowOff>
    </xdr:from>
    <xdr:to>
      <xdr:col>13</xdr:col>
      <xdr:colOff>753626</xdr:colOff>
      <xdr:row>39</xdr:row>
      <xdr:rowOff>171380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6FF2F-B2D8-614F-9A5D-833A55FCB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4341</xdr:colOff>
      <xdr:row>21</xdr:row>
      <xdr:rowOff>126348</xdr:rowOff>
    </xdr:from>
    <xdr:to>
      <xdr:col>9</xdr:col>
      <xdr:colOff>738118</xdr:colOff>
      <xdr:row>35</xdr:row>
      <xdr:rowOff>134164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1239C-754B-12EB-CABF-2BF5BBD3D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809451</xdr:colOff>
      <xdr:row>22</xdr:row>
      <xdr:rowOff>139560</xdr:rowOff>
    </xdr:from>
    <xdr:to>
      <xdr:col>13</xdr:col>
      <xdr:colOff>753626</xdr:colOff>
      <xdr:row>39</xdr:row>
      <xdr:rowOff>171380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23BBF9-E1D7-7AE8-EE5D-674909404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C88A-098C-9F41-8E33-30E20DFB7605}">
  <sheetPr>
    <pageSetUpPr fitToPage="1"/>
  </sheetPr>
  <dimension ref="A2:T18"/>
  <sheetViews>
    <sheetView tabSelected="1" zoomScale="75" workbookViewId="0">
      <selection activeCell="M17" sqref="M17"/>
    </sheetView>
  </sheetViews>
  <sheetFormatPr baseColWidth="10" defaultRowHeight="15"/>
  <cols>
    <col min="1" max="1" width="10.83203125" style="15"/>
    <col min="2" max="2" width="23.33203125" style="15" customWidth="1"/>
    <col min="3" max="3" width="13" style="15" customWidth="1"/>
    <col min="4" max="4" width="18" style="15" customWidth="1"/>
    <col min="5" max="5" width="10.6640625" style="15" customWidth="1"/>
    <col min="6" max="6" width="10.33203125" style="15" customWidth="1"/>
    <col min="7" max="7" width="13.5" style="15" customWidth="1"/>
    <col min="8" max="8" width="9.6640625" style="15" customWidth="1"/>
    <col min="9" max="9" width="11.83203125" style="15" hidden="1" customWidth="1"/>
    <col min="10" max="10" width="12.6640625" style="15" hidden="1" customWidth="1"/>
    <col min="11" max="12" width="11" style="15" bestFit="1" customWidth="1"/>
    <col min="13" max="14" width="14.1640625" style="15" bestFit="1" customWidth="1"/>
    <col min="15" max="16" width="10.83203125" style="15" hidden="1" customWidth="1"/>
    <col min="17" max="17" width="12.1640625" style="15" bestFit="1" customWidth="1"/>
    <col min="18" max="16384" width="10.83203125" style="15"/>
  </cols>
  <sheetData>
    <row r="2" spans="1:20" ht="59">
      <c r="B2" s="100"/>
      <c r="C2" s="101"/>
      <c r="D2" s="154" t="s">
        <v>88</v>
      </c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6"/>
    </row>
    <row r="3" spans="1:20" ht="65" customHeight="1">
      <c r="A3"/>
      <c r="B3" s="100"/>
      <c r="C3" s="100"/>
      <c r="D3" s="102" t="s">
        <v>105</v>
      </c>
      <c r="E3" s="147">
        <f ca="1">TODAY()-1</f>
        <v>46027</v>
      </c>
      <c r="F3" s="147"/>
      <c r="G3" s="147"/>
      <c r="H3" s="147"/>
      <c r="I3" s="100"/>
      <c r="J3" s="100"/>
      <c r="K3" s="100"/>
      <c r="L3" s="100"/>
      <c r="M3" s="100"/>
      <c r="N3" s="100"/>
      <c r="O3" s="100"/>
      <c r="P3" s="100"/>
      <c r="Q3" s="100"/>
    </row>
    <row r="4" spans="1:20" ht="21" customHeight="1">
      <c r="B4" s="143" t="s">
        <v>86</v>
      </c>
      <c r="C4" s="140" t="s">
        <v>84</v>
      </c>
      <c r="D4" s="141"/>
      <c r="E4" s="141"/>
      <c r="F4" s="141"/>
      <c r="G4" s="141"/>
      <c r="H4" s="141"/>
      <c r="I4" s="141"/>
      <c r="J4" s="142"/>
      <c r="K4" s="158" t="s">
        <v>85</v>
      </c>
      <c r="L4" s="158"/>
      <c r="M4" s="158"/>
      <c r="N4" s="158"/>
      <c r="O4" s="103"/>
      <c r="P4" s="103"/>
      <c r="Q4" s="148" t="s">
        <v>96</v>
      </c>
    </row>
    <row r="5" spans="1:20" ht="41" customHeight="1">
      <c r="B5" s="143"/>
      <c r="C5" s="146" t="s">
        <v>33</v>
      </c>
      <c r="D5" s="157"/>
      <c r="E5" s="157"/>
      <c r="F5" s="145"/>
      <c r="G5" s="145" t="s">
        <v>90</v>
      </c>
      <c r="H5" s="144"/>
      <c r="I5" s="146" t="s">
        <v>35</v>
      </c>
      <c r="J5" s="145"/>
      <c r="K5" s="144" t="s">
        <v>33</v>
      </c>
      <c r="L5" s="144"/>
      <c r="M5" s="145" t="s">
        <v>90</v>
      </c>
      <c r="N5" s="144"/>
      <c r="O5" s="144" t="s">
        <v>35</v>
      </c>
      <c r="P5" s="144"/>
      <c r="Q5" s="149"/>
    </row>
    <row r="6" spans="1:20" ht="84">
      <c r="A6" s="45"/>
      <c r="B6" s="143"/>
      <c r="C6" s="104" t="s">
        <v>44</v>
      </c>
      <c r="D6" s="104" t="s">
        <v>43</v>
      </c>
      <c r="E6" s="104" t="s">
        <v>12</v>
      </c>
      <c r="F6" s="104" t="s">
        <v>89</v>
      </c>
      <c r="G6" s="127" t="s">
        <v>43</v>
      </c>
      <c r="H6" s="127" t="s">
        <v>12</v>
      </c>
      <c r="I6" s="105" t="s">
        <v>43</v>
      </c>
      <c r="J6" s="106" t="s">
        <v>12</v>
      </c>
      <c r="K6" s="107" t="s">
        <v>37</v>
      </c>
      <c r="L6" s="126" t="s">
        <v>94</v>
      </c>
      <c r="M6" s="107" t="s">
        <v>37</v>
      </c>
      <c r="N6" s="126" t="s">
        <v>94</v>
      </c>
      <c r="O6" s="107" t="s">
        <v>37</v>
      </c>
      <c r="P6" s="107" t="s">
        <v>38</v>
      </c>
      <c r="Q6" s="150"/>
    </row>
    <row r="7" spans="1:20" ht="105">
      <c r="B7" s="108" t="s">
        <v>112</v>
      </c>
      <c r="C7" s="120">
        <f ca="1">'Rajnandgaon Dashboard'!B9</f>
        <v>4.17</v>
      </c>
      <c r="D7" s="121">
        <f ca="1">'Rajnandgaon Dashboard'!C9</f>
        <v>0.58520759999999994</v>
      </c>
      <c r="E7" s="122">
        <f ca="1">'Rajnandgaon Dashboard'!D9</f>
        <v>0.24383649999999998</v>
      </c>
      <c r="F7" s="123">
        <f ca="1">'Rajnandgaon Dashboard'!E9</f>
        <v>69.69</v>
      </c>
      <c r="G7" s="123">
        <f ca="1">'Rajnandgaon Dashboard'!H9</f>
        <v>164.49503059999995</v>
      </c>
      <c r="H7" s="122">
        <f ca="1">'Rajnandgaon Dashboard'!I9</f>
        <v>0.24478427172619041</v>
      </c>
      <c r="I7" s="122"/>
      <c r="J7" s="122"/>
      <c r="K7" s="124">
        <f ca="1">'Rajnandgaon Dashboard'!F9</f>
        <v>116.5</v>
      </c>
      <c r="L7" s="124">
        <f ca="1">'Rajnandgaon Dashboard'!G9</f>
        <v>130.1</v>
      </c>
      <c r="M7" s="124">
        <f ca="1">'Rajnandgaon Dashboard'!J9</f>
        <v>30197.958000000013</v>
      </c>
      <c r="N7" s="124">
        <f ca="1">'Rajnandgaon Dashboard'!K9</f>
        <v>33501.12999999999</v>
      </c>
      <c r="O7" s="113"/>
      <c r="P7" s="113"/>
      <c r="Q7" s="114" t="str">
        <f ca="1">IF(VLOOKUP(E3,'Rajnandgaon Data'!A:P,16,0)=0,"-",VLOOKUP(E3,'Rajnandgaon Data'!A:P,16,0))</f>
        <v>-</v>
      </c>
    </row>
    <row r="8" spans="1:20" ht="42">
      <c r="B8" s="108" t="s">
        <v>9</v>
      </c>
      <c r="C8" s="120">
        <f ca="1">'BADI SID Dashboard'!B8</f>
        <v>3.41</v>
      </c>
      <c r="D8" s="121">
        <f ca="1">'BADI SID Dashboard'!C8</f>
        <v>4.0800000000000003E-2</v>
      </c>
      <c r="E8" s="122">
        <f ca="1">'BADI SID Dashboard'!D8</f>
        <v>0.17</v>
      </c>
      <c r="F8" s="123">
        <f ca="1">'BADI SID Dashboard'!E8/1000</f>
        <v>8.9499999999999993</v>
      </c>
      <c r="G8" s="123">
        <f ca="1">'BADI SID Dashboard'!F8</f>
        <v>13.079696199999999</v>
      </c>
      <c r="H8" s="122">
        <f ca="1">'BADI SID Dashboard'!G8</f>
        <v>0.19463833630952379</v>
      </c>
      <c r="I8" s="122"/>
      <c r="J8" s="122"/>
      <c r="K8" s="125"/>
      <c r="L8" s="125"/>
      <c r="M8" s="125"/>
      <c r="N8" s="125"/>
      <c r="O8" s="116"/>
      <c r="P8" s="115"/>
      <c r="Q8" s="194" t="str">
        <f ca="1">IF(VLOOKUP(E3,'BADI SID DATA'!A:K,11,0)=0,"-",VLOOKUP(E3,'BADI SID DATA'!A:K,11,0))</f>
        <v>-</v>
      </c>
    </row>
    <row r="9" spans="1:20" ht="42">
      <c r="B9" s="108" t="s">
        <v>83</v>
      </c>
      <c r="C9" s="120">
        <f ca="1">'DRDO Kolar Dashboard'!B8</f>
        <v>0</v>
      </c>
      <c r="D9" s="121">
        <f ca="1">'DRDO Kolar Dashboard'!C8</f>
        <v>6.2399999999999997E-2</v>
      </c>
      <c r="E9" s="122">
        <f ca="1">'DRDO Kolar Dashboard'!D8</f>
        <v>0.26</v>
      </c>
      <c r="F9" s="123">
        <f ca="1">('DRDO Kolar Dashboard'!E8)/1000</f>
        <v>8.98</v>
      </c>
      <c r="G9" s="123">
        <f ca="1">'DRDO Kolar Dashboard'!F8</f>
        <v>12.994907700000002</v>
      </c>
      <c r="H9" s="122">
        <f ca="1">'DRDO Kolar Dashboard'!G8</f>
        <v>0.19337660267857149</v>
      </c>
      <c r="I9" s="122"/>
      <c r="J9" s="122"/>
      <c r="K9" s="125"/>
      <c r="L9" s="125"/>
      <c r="M9" s="125"/>
      <c r="N9" s="125"/>
      <c r="O9" s="117"/>
      <c r="P9" s="115"/>
      <c r="Q9" s="134" t="str">
        <f ca="1">IF(VLOOKUP(E3,'DRDO Kolar Data'!A:K,11,0)=0,"-",VLOOKUP(E3,'DRDO Kolar Data'!A:K,11,0))</f>
        <v>-</v>
      </c>
    </row>
    <row r="10" spans="1:20" ht="84">
      <c r="B10" s="109" t="s">
        <v>111</v>
      </c>
      <c r="C10" s="120">
        <f ca="1">'Kaveratti 1.4 MW Solar+BESS DB'!B9</f>
        <v>4.3</v>
      </c>
      <c r="D10" s="121">
        <f ca="1">'Kaveratti 1.4 MW Solar+BESS DB'!C9</f>
        <v>5.5370000000000003E-3</v>
      </c>
      <c r="E10" s="122">
        <f ca="1">'Kaveratti 1.4 MW Solar+BESS DB'!D9</f>
        <v>0.16479166666666667</v>
      </c>
      <c r="F10" s="123">
        <f ca="1">'Kaveratti 1.4 MW Solar+BESS DB'!E9/1000</f>
        <v>0.93799999999999994</v>
      </c>
      <c r="G10" s="123">
        <f ca="1">'Kaveratti 1.4 MW Solar+BESS DB'!H9</f>
        <v>1.6155374000000002</v>
      </c>
      <c r="H10" s="122">
        <f ca="1">'Kaveratti 1.4 MW Solar+BESS DB'!I9</f>
        <v>0.17171953656462585</v>
      </c>
      <c r="I10" s="122"/>
      <c r="J10" s="122"/>
      <c r="K10" s="124">
        <f ca="1">'Kaveratti 1.4 MW Solar+BESS DB'!F9/1000</f>
        <v>1.2749999999999999</v>
      </c>
      <c r="L10" s="124">
        <f ca="1">'Kaveratti 1.4 MW Solar+BESS DB'!G9/1000</f>
        <v>1.4339999999999999</v>
      </c>
      <c r="M10" s="124" t="str">
        <f ca="1">'Kaveratti 1.4 MW Solar+BESS DB'!J9/1000&amp;"^"</f>
        <v>87.75261^</v>
      </c>
      <c r="N10" s="124" t="str">
        <f ca="1">'Kaveratti 1.4 MW Solar+BESS DB'!K9/1000&amp;"^"</f>
        <v>96.962^</v>
      </c>
      <c r="O10" s="113"/>
      <c r="P10" s="113"/>
      <c r="Q10" s="132" t="str">
        <f ca="1">IF(VLOOKUP(E3,'Kaveratti Data'!A:P,16,0)=0,"-",VLOOKUP(E3,'Kaveratti Data'!A:P,16,0))</f>
        <v>-</v>
      </c>
    </row>
    <row r="11" spans="1:20" ht="42">
      <c r="B11" s="108" t="s">
        <v>87</v>
      </c>
      <c r="C11" s="120">
        <f ca="1">'Agatti Dashboard'!B8</f>
        <v>3.96</v>
      </c>
      <c r="D11" s="121">
        <f ca="1">'Agatti Dashboard'!C8</f>
        <v>1.075E-3</v>
      </c>
      <c r="E11" s="122">
        <f ca="1">'Agatti Dashboard'!D8</f>
        <v>0.14930555555555555</v>
      </c>
      <c r="F11" s="123">
        <f ca="1">'Agatti Dashboard'!E8/1000</f>
        <v>0.19</v>
      </c>
      <c r="G11" s="123">
        <f ca="1">'Agatti Dashboard'!F8</f>
        <v>0.34595309999999996</v>
      </c>
      <c r="H11" s="122">
        <f ca="1">'Agatti Dashboard'!G8</f>
        <v>0.17160372023809523</v>
      </c>
      <c r="I11" s="122"/>
      <c r="J11" s="122"/>
      <c r="K11" s="151"/>
      <c r="L11" s="152"/>
      <c r="M11" s="152"/>
      <c r="N11" s="153"/>
      <c r="O11" s="118"/>
      <c r="P11" s="118"/>
      <c r="Q11" s="119" t="str">
        <f ca="1">IF(VLOOKUP(E3,'Agatti Data'!A:K,11,0)=0,"-",VLOOKUP(E3,'Agatti Data'!A:K,11,0))</f>
        <v>-</v>
      </c>
    </row>
    <row r="12" spans="1:20" ht="18">
      <c r="B12" s="110"/>
      <c r="C12" s="110"/>
      <c r="D12" s="110"/>
      <c r="E12" s="110"/>
      <c r="F12" s="110"/>
      <c r="G12" s="11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20" ht="18">
      <c r="B13" s="139" t="s">
        <v>32</v>
      </c>
      <c r="C13" s="139"/>
      <c r="D13" s="139"/>
      <c r="E13" s="139"/>
      <c r="F13" s="139"/>
      <c r="G13" s="139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4" spans="1:20" ht="18">
      <c r="B14" s="139" t="s">
        <v>95</v>
      </c>
      <c r="C14" s="139"/>
      <c r="D14" s="139"/>
      <c r="E14" s="111"/>
      <c r="F14" s="111"/>
      <c r="G14" s="111"/>
      <c r="H14" s="112"/>
      <c r="I14" s="112"/>
      <c r="J14" s="112"/>
      <c r="K14" s="112"/>
      <c r="L14" s="112"/>
      <c r="M14" s="112"/>
      <c r="N14" s="112"/>
      <c r="O14" s="112"/>
      <c r="P14" s="112"/>
      <c r="Q14" s="100"/>
      <c r="T14" s="99"/>
    </row>
    <row r="15" spans="1:20" ht="17" customHeight="1">
      <c r="B15" s="139"/>
      <c r="C15" s="139"/>
      <c r="D15" s="139"/>
      <c r="E15" s="131"/>
      <c r="F15" s="136"/>
      <c r="G15" s="136"/>
      <c r="H15" s="136"/>
      <c r="I15" s="137"/>
      <c r="J15" s="137"/>
      <c r="K15" s="137"/>
      <c r="L15" s="137"/>
      <c r="M15" s="137"/>
      <c r="N15" s="137"/>
      <c r="O15" s="137"/>
      <c r="P15" s="137"/>
    </row>
    <row r="16" spans="1:20" ht="21">
      <c r="B16" s="135"/>
      <c r="C16" s="137"/>
      <c r="D16" s="137"/>
      <c r="E16" s="137"/>
      <c r="F16" s="137"/>
      <c r="G16" s="138"/>
      <c r="H16" s="138"/>
      <c r="I16" s="137"/>
      <c r="J16" s="137"/>
      <c r="K16" s="138"/>
      <c r="L16" s="138"/>
      <c r="M16" s="137"/>
      <c r="N16" s="137"/>
      <c r="O16" s="138"/>
      <c r="P16" s="138"/>
    </row>
    <row r="17" spans="2:16" ht="21">
      <c r="B17" s="135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spans="2:16" ht="21">
      <c r="B18" s="67"/>
      <c r="C18" s="68"/>
      <c r="D18" s="69"/>
      <c r="E18" s="70"/>
      <c r="F18" s="68"/>
      <c r="G18" s="71"/>
      <c r="H18" s="71"/>
      <c r="I18" s="72"/>
      <c r="J18" s="70"/>
      <c r="K18" s="71"/>
      <c r="L18" s="71"/>
      <c r="M18" s="73"/>
      <c r="N18" s="73"/>
      <c r="O18" s="73"/>
      <c r="P18" s="73"/>
    </row>
  </sheetData>
  <mergeCells count="26">
    <mergeCell ref="E3:H3"/>
    <mergeCell ref="Q4:Q6"/>
    <mergeCell ref="K11:N11"/>
    <mergeCell ref="D2:Q2"/>
    <mergeCell ref="C5:F5"/>
    <mergeCell ref="K4:N4"/>
    <mergeCell ref="M5:N5"/>
    <mergeCell ref="O5:P5"/>
    <mergeCell ref="B14:D14"/>
    <mergeCell ref="C4:J4"/>
    <mergeCell ref="B4:B6"/>
    <mergeCell ref="K5:L5"/>
    <mergeCell ref="B13:G13"/>
    <mergeCell ref="G5:H5"/>
    <mergeCell ref="I5:J5"/>
    <mergeCell ref="B16:B17"/>
    <mergeCell ref="F15:H15"/>
    <mergeCell ref="I15:L15"/>
    <mergeCell ref="M15:P15"/>
    <mergeCell ref="C16:F16"/>
    <mergeCell ref="G16:H16"/>
    <mergeCell ref="I16:J16"/>
    <mergeCell ref="K16:L16"/>
    <mergeCell ref="M16:N16"/>
    <mergeCell ref="O16:P16"/>
    <mergeCell ref="B15:D15"/>
  </mergeCells>
  <pageMargins left="0.7" right="0.7" top="0.75" bottom="0.75" header="0.3" footer="0.3"/>
  <pageSetup paperSize="9" scale="65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B2E1-578F-7B4D-8EA3-BF04A5C57936}">
  <dimension ref="A1:M20"/>
  <sheetViews>
    <sheetView topLeftCell="A10" zoomScale="115" workbookViewId="0">
      <selection activeCell="D39" sqref="D39"/>
    </sheetView>
  </sheetViews>
  <sheetFormatPr baseColWidth="10" defaultRowHeight="15"/>
  <cols>
    <col min="1" max="1" width="10.83203125" style="15"/>
    <col min="2" max="2" width="12.83203125" style="15" bestFit="1" customWidth="1"/>
    <col min="3" max="3" width="11" style="15" bestFit="1" customWidth="1"/>
    <col min="4" max="4" width="18" style="15" bestFit="1" customWidth="1"/>
    <col min="5" max="5" width="11.6640625" style="15" customWidth="1"/>
    <col min="6" max="6" width="12.83203125" style="15" bestFit="1" customWidth="1"/>
    <col min="7" max="7" width="11" style="15" bestFit="1" customWidth="1"/>
    <col min="8" max="8" width="10.33203125" style="15" bestFit="1" customWidth="1"/>
    <col min="9" max="9" width="7.83203125" style="15" bestFit="1" customWidth="1"/>
    <col min="10" max="10" width="11.83203125" style="15" bestFit="1" customWidth="1"/>
    <col min="11" max="16384" width="10.83203125" style="15"/>
  </cols>
  <sheetData>
    <row r="1" spans="1:13" ht="15" customHeight="1">
      <c r="B1" s="164" t="s">
        <v>13</v>
      </c>
      <c r="C1" s="165">
        <f ca="1">'SECI O&amp;M Dashboard'!E3</f>
        <v>46027</v>
      </c>
      <c r="D1" s="165"/>
      <c r="E1" s="165"/>
    </row>
    <row r="2" spans="1:13" ht="15" customHeight="1">
      <c r="B2" s="164"/>
      <c r="C2" s="165"/>
      <c r="D2" s="165"/>
      <c r="E2" s="165"/>
    </row>
    <row r="3" spans="1:13" ht="15" customHeight="1">
      <c r="B3" s="164"/>
      <c r="C3" s="165"/>
      <c r="D3" s="165"/>
      <c r="E3" s="165"/>
      <c r="K3"/>
    </row>
    <row r="4" spans="1:13" ht="29">
      <c r="B4" s="166" t="s">
        <v>46</v>
      </c>
      <c r="C4" s="167"/>
      <c r="D4" s="167"/>
      <c r="E4" s="167"/>
      <c r="F4" s="167"/>
      <c r="G4" s="167"/>
      <c r="H4" s="167"/>
      <c r="I4" s="167"/>
      <c r="J4" s="168"/>
    </row>
    <row r="5" spans="1:13" ht="45" customHeight="1">
      <c r="B5" s="169" t="s">
        <v>39</v>
      </c>
      <c r="C5" s="170"/>
      <c r="D5" s="171">
        <f ca="1">C1</f>
        <v>46027</v>
      </c>
      <c r="E5" s="171"/>
      <c r="F5" s="172" t="s">
        <v>34</v>
      </c>
      <c r="G5" s="173"/>
      <c r="H5" s="174" t="s">
        <v>35</v>
      </c>
      <c r="I5" s="174"/>
      <c r="J5" s="174"/>
      <c r="M5" s="45"/>
    </row>
    <row r="6" spans="1:13" ht="14" customHeight="1">
      <c r="B6" s="175" t="s">
        <v>32</v>
      </c>
      <c r="C6" s="175"/>
      <c r="D6" s="175"/>
      <c r="E6" s="175"/>
      <c r="F6" s="175"/>
      <c r="G6" s="175"/>
      <c r="H6" s="175" t="s">
        <v>36</v>
      </c>
      <c r="I6" s="175"/>
      <c r="J6" s="175"/>
    </row>
    <row r="7" spans="1:13" ht="51">
      <c r="B7" s="26" t="s">
        <v>44</v>
      </c>
      <c r="C7" s="26" t="s">
        <v>43</v>
      </c>
      <c r="D7" s="26" t="s">
        <v>12</v>
      </c>
      <c r="E7" s="26" t="s">
        <v>45</v>
      </c>
      <c r="F7" s="26" t="s">
        <v>43</v>
      </c>
      <c r="G7" s="26" t="s">
        <v>12</v>
      </c>
      <c r="H7" s="176" t="s">
        <v>43</v>
      </c>
      <c r="I7" s="177"/>
      <c r="J7" s="26" t="s">
        <v>12</v>
      </c>
    </row>
    <row r="8" spans="1:13" s="44" customFormat="1" ht="19" customHeight="1">
      <c r="B8" s="23">
        <f ca="1">VLOOKUP(C1,'DRDO Kolar Data'!A:D,4,0)</f>
        <v>0</v>
      </c>
      <c r="C8" s="21">
        <f ca="1">VLOOKUP(C1,'DRDO Kolar Data'!A:C,3,FALSE)/10^6</f>
        <v>6.2399999999999997E-2</v>
      </c>
      <c r="D8" s="38">
        <f ca="1">VLOOKUP(C1,'DRDO Kolar Data'!A:I,9,0)</f>
        <v>0.26</v>
      </c>
      <c r="E8" s="57">
        <f ca="1">VLOOKUP(D5,'DRDO Kolar Data'!A:E,5,0)*1000</f>
        <v>8980</v>
      </c>
      <c r="F8" s="21">
        <f ca="1">VLOOKUP(C1,'DRDO Kolar Data'!A:H,8,0)/10^6</f>
        <v>12.994907700000002</v>
      </c>
      <c r="G8" s="24">
        <f ca="1">VLOOKUP(C1,'DRDO Kolar Data'!A:J,10,0)</f>
        <v>0.19337660267857149</v>
      </c>
      <c r="H8" s="178"/>
      <c r="I8" s="179"/>
      <c r="J8" s="22"/>
    </row>
    <row r="11" spans="1:13" ht="26">
      <c r="B11" s="180" t="s">
        <v>15</v>
      </c>
      <c r="C11" s="180"/>
      <c r="D11" s="180"/>
      <c r="E11" s="180"/>
      <c r="F11" s="180"/>
      <c r="G11" s="180"/>
      <c r="H11" s="180"/>
      <c r="I11" s="180"/>
      <c r="J11" s="180"/>
    </row>
    <row r="12" spans="1:13" ht="56" customHeight="1">
      <c r="A12" s="159"/>
      <c r="B12" s="160" t="s">
        <v>13</v>
      </c>
      <c r="C12" s="17" t="s">
        <v>10</v>
      </c>
      <c r="D12" s="17" t="s">
        <v>11</v>
      </c>
      <c r="E12" s="17" t="s">
        <v>12</v>
      </c>
      <c r="F12" s="17" t="s">
        <v>45</v>
      </c>
      <c r="G12" s="17" t="s">
        <v>10</v>
      </c>
      <c r="H12" s="17" t="s">
        <v>11</v>
      </c>
      <c r="I12" s="17" t="s">
        <v>12</v>
      </c>
      <c r="J12" s="17" t="s">
        <v>45</v>
      </c>
    </row>
    <row r="13" spans="1:13" ht="16" customHeight="1">
      <c r="A13" s="159"/>
      <c r="B13" s="161"/>
      <c r="C13" s="162">
        <f ca="1">YEAR(C1)</f>
        <v>2026</v>
      </c>
      <c r="D13" s="162"/>
      <c r="E13" s="162"/>
      <c r="F13" s="162"/>
      <c r="G13" s="163">
        <f ca="1">C13-1</f>
        <v>2025</v>
      </c>
      <c r="H13" s="163"/>
      <c r="I13" s="163"/>
      <c r="J13" s="163"/>
    </row>
    <row r="14" spans="1:13" ht="16">
      <c r="A14" s="159"/>
      <c r="B14" s="18">
        <f ca="1">C1-1</f>
        <v>46026</v>
      </c>
      <c r="C14" s="19">
        <f ca="1">VLOOKUP(B14,'DRDO Kolar Data'!A:D,4,0)</f>
        <v>0</v>
      </c>
      <c r="D14" s="19">
        <f ca="1">VLOOKUP(B14,'DRDO Kolar Data'!A:C,3,0)</f>
        <v>57000</v>
      </c>
      <c r="E14" s="40">
        <f ca="1">VLOOKUP('DRDO Kolar Dashboard'!B14,'DRDO Kolar Data'!A:I,9,0)</f>
        <v>0.23749999999999999</v>
      </c>
      <c r="F14" s="19">
        <f ca="1">VLOOKUP(B14,'DRDO Kolar Data'!A:E,5,0)*1000</f>
        <v>9770</v>
      </c>
      <c r="G14" s="19">
        <f ca="1">VLOOKUP(B14-365,'DRDO Kolar Data'!A:D,4,0)</f>
        <v>6.6</v>
      </c>
      <c r="H14" s="19">
        <f ca="1">VLOOKUP(B14-365,'DRDO Kolar Data'!A:C,3,0)</f>
        <v>61754.54999999702</v>
      </c>
      <c r="I14" s="20">
        <f ca="1">VLOOKUP(B14-365,'DRDO Kolar Data'!A:I,9,0)</f>
        <v>0.25731062499998758</v>
      </c>
      <c r="J14" s="19">
        <f ca="1">VLOOKUP(B14-365,'DRDO Kolar Data'!A:E,5,0)*1000</f>
        <v>10800</v>
      </c>
    </row>
    <row r="15" spans="1:13" ht="16">
      <c r="A15" s="159"/>
      <c r="B15" s="18">
        <f t="shared" ref="B15:B20" ca="1" si="0">B14-1</f>
        <v>46025</v>
      </c>
      <c r="C15" s="19">
        <f ca="1">VLOOKUP(B15,'DRDO Kolar Data'!A:D,4,0)</f>
        <v>0</v>
      </c>
      <c r="D15" s="19">
        <f ca="1">VLOOKUP(B15,'DRDO Kolar Data'!A:C,3,0)</f>
        <v>52800</v>
      </c>
      <c r="E15" s="40">
        <f ca="1">VLOOKUP('DRDO Kolar Dashboard'!B15,'DRDO Kolar Data'!A:I,9,0)</f>
        <v>0.22</v>
      </c>
      <c r="F15" s="19">
        <f ca="1">VLOOKUP(B15,'DRDO Kolar Data'!A:E,5,0)*1000</f>
        <v>9210</v>
      </c>
      <c r="G15" s="19">
        <f ca="1">VLOOKUP(B15-365,'DRDO Kolar Data'!A:D,4,0)</f>
        <v>6.7</v>
      </c>
      <c r="H15" s="19">
        <f ca="1">VLOOKUP(B15-365,'DRDO Kolar Data'!A:C,3,0)</f>
        <v>63048.70000000298</v>
      </c>
      <c r="I15" s="20">
        <f ca="1">VLOOKUP(B15-365,'DRDO Kolar Data'!A:I,9,0)</f>
        <v>0.26270291666667911</v>
      </c>
      <c r="J15" s="19">
        <f ca="1">VLOOKUP(B15-365,'DRDO Kolar Data'!A:E,5,0)*1000</f>
        <v>10300</v>
      </c>
    </row>
    <row r="16" spans="1:13" ht="16">
      <c r="A16" s="159"/>
      <c r="B16" s="18">
        <f t="shared" ca="1" si="0"/>
        <v>46024</v>
      </c>
      <c r="C16" s="19">
        <f ca="1">VLOOKUP(B16,'DRDO Kolar Data'!A:D,4,0)</f>
        <v>0</v>
      </c>
      <c r="D16" s="19">
        <f ca="1">VLOOKUP(B16,'DRDO Kolar Data'!A:C,3,0)</f>
        <v>43800</v>
      </c>
      <c r="E16" s="40">
        <f ca="1">VLOOKUP('DRDO Kolar Dashboard'!B16,'DRDO Kolar Data'!A:I,9,0)</f>
        <v>0.1825</v>
      </c>
      <c r="F16" s="19">
        <f ca="1">VLOOKUP(B16,'DRDO Kolar Data'!A:E,5,0)*1000</f>
        <v>5330</v>
      </c>
      <c r="G16" s="19">
        <f ca="1">VLOOKUP(B16-365,'DRDO Kolar Data'!A:D,4,0)</f>
        <v>6.62</v>
      </c>
      <c r="H16" s="19">
        <f ca="1">VLOOKUP(B16-365,'DRDO Kolar Data'!A:C,3,0)</f>
        <v>61746.75</v>
      </c>
      <c r="I16" s="20">
        <f ca="1">VLOOKUP(B16-365,'DRDO Kolar Data'!A:I,9,0)</f>
        <v>0.25727812500000002</v>
      </c>
      <c r="J16" s="19">
        <f ca="1">VLOOKUP(B16-365,'DRDO Kolar Data'!A:E,5,0)*1000</f>
        <v>10600</v>
      </c>
    </row>
    <row r="17" spans="1:10" ht="16">
      <c r="A17" s="159"/>
      <c r="B17" s="18">
        <f t="shared" ca="1" si="0"/>
        <v>46023</v>
      </c>
      <c r="C17" s="19">
        <f ca="1">VLOOKUP(B17,'DRDO Kolar Data'!A:D,4,0)</f>
        <v>0</v>
      </c>
      <c r="D17" s="19">
        <f ca="1">VLOOKUP(B17,'DRDO Kolar Data'!A:C,3,0)</f>
        <v>29739</v>
      </c>
      <c r="E17" s="40">
        <f ca="1">VLOOKUP('DRDO Kolar Dashboard'!B17,'DRDO Kolar Data'!A:I,9,0)</f>
        <v>0.12391249999999999</v>
      </c>
      <c r="F17" s="19">
        <f ca="1">VLOOKUP(B17,'DRDO Kolar Data'!A:E,5,0)*1000</f>
        <v>3600</v>
      </c>
      <c r="G17" s="19">
        <f ca="1">VLOOKUP(B17-365,'DRDO Kolar Data'!A:D,4,0)</f>
        <v>6.56</v>
      </c>
      <c r="H17" s="19">
        <f ca="1">VLOOKUP(B17-365,'DRDO Kolar Data'!A:C,3,0)</f>
        <v>61754.54999999702</v>
      </c>
      <c r="I17" s="20">
        <f ca="1">VLOOKUP(B17-365,'DRDO Kolar Data'!A:I,9,0)</f>
        <v>0.25731062499998758</v>
      </c>
      <c r="J17" s="19">
        <f ca="1">VLOOKUP(B17-365,'DRDO Kolar Data'!A:E,5,0)*1000</f>
        <v>10100</v>
      </c>
    </row>
    <row r="18" spans="1:10" ht="16">
      <c r="A18" s="159"/>
      <c r="B18" s="18">
        <f t="shared" ca="1" si="0"/>
        <v>46022</v>
      </c>
      <c r="C18" s="19">
        <f ca="1">VLOOKUP(B18,'DRDO Kolar Data'!A:D,4,0)</f>
        <v>0</v>
      </c>
      <c r="D18" s="19">
        <f ca="1">VLOOKUP(B18,'DRDO Kolar Data'!A:C,3,0)</f>
        <v>46800</v>
      </c>
      <c r="E18" s="40">
        <f ca="1">VLOOKUP('DRDO Kolar Dashboard'!B18,'DRDO Kolar Data'!A:I,9,0)</f>
        <v>0.19500000000000001</v>
      </c>
      <c r="F18" s="19">
        <f ca="1">VLOOKUP(B18,'DRDO Kolar Data'!A:E,5,0)*1000</f>
        <v>8720</v>
      </c>
      <c r="G18" s="19">
        <f ca="1">VLOOKUP(B18-365,'DRDO Kolar Data'!A:D,4,0)</f>
        <v>7.06</v>
      </c>
      <c r="H18" s="19">
        <f ca="1">VLOOKUP(B18-365,'DRDO Kolar Data'!A:C,3,0)</f>
        <v>65000</v>
      </c>
      <c r="I18" s="20">
        <f ca="1">VLOOKUP(B18-365,'DRDO Kolar Data'!A:I,9,0)</f>
        <v>0.27083333333333331</v>
      </c>
      <c r="J18" s="19">
        <f ca="1">VLOOKUP(B18-365,'DRDO Kolar Data'!A:E,5,0)*1000</f>
        <v>10900</v>
      </c>
    </row>
    <row r="19" spans="1:10" ht="16">
      <c r="A19" s="159"/>
      <c r="B19" s="18">
        <f t="shared" ca="1" si="0"/>
        <v>46021</v>
      </c>
      <c r="C19" s="19">
        <f ca="1">VLOOKUP(B19,'DRDO Kolar Data'!A:D,4,0)</f>
        <v>0</v>
      </c>
      <c r="D19" s="19">
        <f ca="1">VLOOKUP(B19,'DRDO Kolar Data'!A:C,3,0)</f>
        <v>54000</v>
      </c>
      <c r="E19" s="40">
        <f ca="1">VLOOKUP('DRDO Kolar Dashboard'!B19,'DRDO Kolar Data'!A:I,9,0)</f>
        <v>0.22500000000000001</v>
      </c>
      <c r="F19" s="19">
        <f ca="1">VLOOKUP(B19,'DRDO Kolar Data'!A:E,5,0)*1000</f>
        <v>9390</v>
      </c>
      <c r="G19" s="19">
        <f ca="1">VLOOKUP(B19-365,'DRDO Kolar Data'!A:D,4,0)</f>
        <v>3.65</v>
      </c>
      <c r="H19" s="19">
        <f ca="1">VLOOKUP(B19-365,'DRDO Kolar Data'!A:C,3,0)</f>
        <v>36396.100000008941</v>
      </c>
      <c r="I19" s="20">
        <f ca="1">VLOOKUP(B19-365,'DRDO Kolar Data'!A:I,9,0)</f>
        <v>0.15165041666670392</v>
      </c>
      <c r="J19" s="19">
        <f ca="1">VLOOKUP(B19-365,'DRDO Kolar Data'!A:E,5,0)*1000</f>
        <v>9100</v>
      </c>
    </row>
    <row r="20" spans="1:10" ht="16">
      <c r="A20" s="159"/>
      <c r="B20" s="18">
        <f t="shared" ca="1" si="0"/>
        <v>46020</v>
      </c>
      <c r="C20" s="19">
        <f ca="1">VLOOKUP(B20,'DRDO Kolar Data'!A:D,4,0)</f>
        <v>0</v>
      </c>
      <c r="D20" s="19">
        <f ca="1">VLOOKUP(B20,'DRDO Kolar Data'!A:C,3,0)</f>
        <v>59400</v>
      </c>
      <c r="E20" s="40">
        <f ca="1">VLOOKUP('DRDO Kolar Dashboard'!B20,'DRDO Kolar Data'!A:I,9,0)</f>
        <v>0.2475</v>
      </c>
      <c r="F20" s="19">
        <f ca="1">VLOOKUP(B20,'DRDO Kolar Data'!A:E,5,0)*1000</f>
        <v>8370</v>
      </c>
      <c r="G20" s="19">
        <f ca="1">VLOOKUP(B20-365,'DRDO Kolar Data'!A:D,4,0)</f>
        <v>5.78</v>
      </c>
      <c r="H20" s="19">
        <f ca="1">VLOOKUP(B20-365,'DRDO Kolar Data'!A:C,3,0)</f>
        <v>54605.199999988079</v>
      </c>
      <c r="I20" s="20">
        <f ca="1">VLOOKUP(B20-365,'DRDO Kolar Data'!A:I,9,0)</f>
        <v>0.227521666666617</v>
      </c>
      <c r="J20" s="19">
        <f ca="1">VLOOKUP(B20-365,'DRDO Kolar Data'!A:E,5,0)*1000</f>
        <v>10600</v>
      </c>
    </row>
  </sheetData>
  <mergeCells count="16">
    <mergeCell ref="A12:A20"/>
    <mergeCell ref="B12:B13"/>
    <mergeCell ref="C13:F13"/>
    <mergeCell ref="G13:J13"/>
    <mergeCell ref="B1:B3"/>
    <mergeCell ref="C1:E3"/>
    <mergeCell ref="B4:J4"/>
    <mergeCell ref="B5:C5"/>
    <mergeCell ref="D5:E5"/>
    <mergeCell ref="F5:G5"/>
    <mergeCell ref="H5:J5"/>
    <mergeCell ref="B6:G6"/>
    <mergeCell ref="H6:J6"/>
    <mergeCell ref="H7:I7"/>
    <mergeCell ref="H8:I8"/>
    <mergeCell ref="B11:J11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79BB-CEC5-4F46-9B4D-62BBCC1E10B6}">
  <dimension ref="A1:K1462"/>
  <sheetViews>
    <sheetView zoomScale="90" workbookViewId="0">
      <pane ySplit="1" topLeftCell="A1205" activePane="bottomLeft" state="frozen"/>
      <selection pane="bottomLeft" activeCell="C1225" sqref="C1225"/>
    </sheetView>
  </sheetViews>
  <sheetFormatPr baseColWidth="10" defaultColWidth="14.5" defaultRowHeight="15"/>
  <cols>
    <col min="1" max="1" width="13.5" bestFit="1" customWidth="1"/>
    <col min="2" max="2" width="12.1640625" style="11" customWidth="1"/>
    <col min="3" max="3" width="12.6640625" customWidth="1"/>
    <col min="4" max="4" width="17" style="5" bestFit="1" customWidth="1"/>
    <col min="5" max="5" width="8.5" style="5" customWidth="1"/>
    <col min="6" max="6" width="15.83203125" customWidth="1"/>
    <col min="7" max="7" width="12.5" customWidth="1"/>
    <col min="8" max="8" width="11.1640625" customWidth="1"/>
    <col min="9" max="9" width="8.6640625" customWidth="1"/>
    <col min="10" max="10" width="13.33203125" customWidth="1"/>
    <col min="11" max="11" width="8.6640625" style="31" customWidth="1"/>
    <col min="12" max="16" width="8.6640625" customWidth="1"/>
  </cols>
  <sheetData>
    <row r="1" spans="1:11" s="31" customFormat="1" ht="54">
      <c r="A1" s="87" t="s">
        <v>0</v>
      </c>
      <c r="B1" s="87" t="s">
        <v>6</v>
      </c>
      <c r="C1" s="88" t="s">
        <v>7</v>
      </c>
      <c r="D1" s="89" t="s">
        <v>81</v>
      </c>
      <c r="E1" s="89" t="s">
        <v>20</v>
      </c>
      <c r="F1" s="88" t="s">
        <v>2</v>
      </c>
      <c r="G1" s="88" t="s">
        <v>3</v>
      </c>
      <c r="H1" s="88" t="s">
        <v>8</v>
      </c>
      <c r="I1" s="88" t="s">
        <v>4</v>
      </c>
      <c r="J1" s="88" t="s">
        <v>5</v>
      </c>
      <c r="K1" s="88" t="s">
        <v>50</v>
      </c>
    </row>
    <row r="2" spans="1:11" ht="80">
      <c r="A2" s="14">
        <v>44805</v>
      </c>
      <c r="B2" s="83">
        <v>1</v>
      </c>
      <c r="C2" s="56">
        <v>45499.349999997765</v>
      </c>
      <c r="D2" s="50">
        <v>5.39</v>
      </c>
      <c r="E2" s="54">
        <v>11.1</v>
      </c>
      <c r="F2" s="46">
        <v>1</v>
      </c>
      <c r="G2" s="46">
        <v>0.97777777777777775</v>
      </c>
      <c r="H2" s="81">
        <f>C2</f>
        <v>45499.349999997765</v>
      </c>
      <c r="I2" s="84">
        <f t="shared" ref="I2:I45" si="0">C2/(10*24*1000)</f>
        <v>0.18958062499999068</v>
      </c>
      <c r="J2" s="84">
        <f t="shared" ref="J2:J46" si="1">H2/(24*B2*10*1000)</f>
        <v>0.18958062499999068</v>
      </c>
      <c r="K2" s="90" t="s">
        <v>51</v>
      </c>
    </row>
    <row r="3" spans="1:11" ht="20">
      <c r="A3" s="14">
        <v>44806</v>
      </c>
      <c r="B3" s="83">
        <v>2</v>
      </c>
      <c r="C3" s="56">
        <v>52649.35000000149</v>
      </c>
      <c r="D3" s="51">
        <v>6</v>
      </c>
      <c r="E3" s="54">
        <v>11.1</v>
      </c>
      <c r="F3" s="46">
        <v>1</v>
      </c>
      <c r="G3" s="46">
        <v>0.97986111111111107</v>
      </c>
      <c r="H3" s="81">
        <f t="shared" ref="H3:H41" si="2">H2+C3</f>
        <v>98148.699999999255</v>
      </c>
      <c r="I3" s="84">
        <f t="shared" si="0"/>
        <v>0.21937229166667288</v>
      </c>
      <c r="J3" s="84">
        <f t="shared" si="1"/>
        <v>0.20447645833333178</v>
      </c>
      <c r="K3" s="90" t="s">
        <v>52</v>
      </c>
    </row>
    <row r="4" spans="1:11" ht="60">
      <c r="A4" s="14">
        <v>44807</v>
      </c>
      <c r="B4" s="83">
        <v>3</v>
      </c>
      <c r="C4" s="56">
        <v>52650</v>
      </c>
      <c r="D4" s="51">
        <v>6</v>
      </c>
      <c r="E4" s="54">
        <v>11</v>
      </c>
      <c r="F4" s="46">
        <v>1</v>
      </c>
      <c r="G4" s="46">
        <v>1</v>
      </c>
      <c r="H4" s="81">
        <f t="shared" si="2"/>
        <v>150798.69999999925</v>
      </c>
      <c r="I4" s="84">
        <f t="shared" si="0"/>
        <v>0.21937499999999999</v>
      </c>
      <c r="J4" s="84">
        <f t="shared" si="1"/>
        <v>0.20944263888888787</v>
      </c>
      <c r="K4" s="90" t="s">
        <v>53</v>
      </c>
    </row>
    <row r="5" spans="1:11" ht="60">
      <c r="A5" s="14">
        <v>44808</v>
      </c>
      <c r="B5" s="83">
        <v>4</v>
      </c>
      <c r="C5" s="56">
        <v>42900.64999999851</v>
      </c>
      <c r="D5" s="52">
        <v>4.82</v>
      </c>
      <c r="E5" s="54">
        <v>11.1</v>
      </c>
      <c r="F5" s="46">
        <v>1</v>
      </c>
      <c r="G5" s="46">
        <v>1</v>
      </c>
      <c r="H5" s="81">
        <f t="shared" si="2"/>
        <v>193699.34999999776</v>
      </c>
      <c r="I5" s="84">
        <f t="shared" si="0"/>
        <v>0.17875270833332713</v>
      </c>
      <c r="J5" s="84">
        <f t="shared" si="1"/>
        <v>0.20177015624999767</v>
      </c>
      <c r="K5" s="90" t="s">
        <v>53</v>
      </c>
    </row>
    <row r="6" spans="1:11" ht="60">
      <c r="A6" s="14">
        <v>44809</v>
      </c>
      <c r="B6" s="83">
        <v>5</v>
      </c>
      <c r="C6" s="56">
        <v>65650</v>
      </c>
      <c r="D6" s="52">
        <v>6.99</v>
      </c>
      <c r="E6" s="54">
        <v>10</v>
      </c>
      <c r="F6" s="46">
        <v>1</v>
      </c>
      <c r="G6" s="46">
        <v>1</v>
      </c>
      <c r="H6" s="81">
        <f t="shared" si="2"/>
        <v>259349.34999999776</v>
      </c>
      <c r="I6" s="84">
        <f t="shared" si="0"/>
        <v>0.27354166666666668</v>
      </c>
      <c r="J6" s="84">
        <f t="shared" si="1"/>
        <v>0.21612445833333147</v>
      </c>
      <c r="K6" s="90" t="s">
        <v>54</v>
      </c>
    </row>
    <row r="7" spans="1:11" ht="60">
      <c r="A7" s="14">
        <v>44810</v>
      </c>
      <c r="B7" s="83">
        <v>6</v>
      </c>
      <c r="C7" s="56">
        <v>52650</v>
      </c>
      <c r="D7" s="52">
        <v>5.39</v>
      </c>
      <c r="E7" s="54">
        <v>10</v>
      </c>
      <c r="F7" s="46">
        <v>1</v>
      </c>
      <c r="G7" s="46">
        <v>1</v>
      </c>
      <c r="H7" s="81">
        <f t="shared" si="2"/>
        <v>311999.34999999776</v>
      </c>
      <c r="I7" s="84">
        <f t="shared" si="0"/>
        <v>0.21937499999999999</v>
      </c>
      <c r="J7" s="84">
        <f t="shared" si="1"/>
        <v>0.21666621527777621</v>
      </c>
      <c r="K7" s="90" t="s">
        <v>53</v>
      </c>
    </row>
    <row r="8" spans="1:11" ht="40">
      <c r="A8" s="14">
        <v>44811</v>
      </c>
      <c r="B8" s="83">
        <v>7</v>
      </c>
      <c r="C8" s="56">
        <v>29250.650000002235</v>
      </c>
      <c r="D8" s="52">
        <v>3.04</v>
      </c>
      <c r="E8" s="54">
        <v>10.3</v>
      </c>
      <c r="F8" s="46">
        <v>1</v>
      </c>
      <c r="G8" s="46">
        <v>1</v>
      </c>
      <c r="H8" s="81">
        <f t="shared" si="2"/>
        <v>341250</v>
      </c>
      <c r="I8" s="84">
        <f t="shared" si="0"/>
        <v>0.12187770833334265</v>
      </c>
      <c r="J8" s="84">
        <f t="shared" si="1"/>
        <v>0.203125</v>
      </c>
      <c r="K8" s="90" t="s">
        <v>55</v>
      </c>
    </row>
    <row r="9" spans="1:11" ht="80">
      <c r="A9" s="14">
        <v>44812</v>
      </c>
      <c r="B9" s="83">
        <v>8</v>
      </c>
      <c r="C9" s="56">
        <v>24698.699999999255</v>
      </c>
      <c r="D9" s="52">
        <v>2.64</v>
      </c>
      <c r="E9" s="54">
        <v>10.199999999999999</v>
      </c>
      <c r="F9" s="46">
        <v>1</v>
      </c>
      <c r="G9" s="46">
        <v>1</v>
      </c>
      <c r="H9" s="81">
        <f t="shared" si="2"/>
        <v>365948.69999999925</v>
      </c>
      <c r="I9" s="84">
        <f t="shared" si="0"/>
        <v>0.1029112499999969</v>
      </c>
      <c r="J9" s="84">
        <f t="shared" si="1"/>
        <v>0.19059828124999961</v>
      </c>
      <c r="K9" s="90" t="s">
        <v>51</v>
      </c>
    </row>
    <row r="10" spans="1:11" ht="40">
      <c r="A10" s="14">
        <v>44813</v>
      </c>
      <c r="B10" s="83">
        <v>9</v>
      </c>
      <c r="C10" s="56">
        <v>47450.64999999851</v>
      </c>
      <c r="D10" s="52">
        <v>4.9400000000000004</v>
      </c>
      <c r="E10" s="54">
        <v>10.6</v>
      </c>
      <c r="F10" s="46">
        <v>1</v>
      </c>
      <c r="G10" s="46">
        <v>1</v>
      </c>
      <c r="H10" s="81">
        <f t="shared" si="2"/>
        <v>413399.34999999776</v>
      </c>
      <c r="I10" s="84">
        <f t="shared" si="0"/>
        <v>0.19771104166666045</v>
      </c>
      <c r="J10" s="84">
        <f t="shared" si="1"/>
        <v>0.19138858796296193</v>
      </c>
      <c r="K10" s="90" t="s">
        <v>55</v>
      </c>
    </row>
    <row r="11" spans="1:11" ht="40">
      <c r="A11" s="14">
        <v>44814</v>
      </c>
      <c r="B11" s="83">
        <v>10</v>
      </c>
      <c r="C11" s="56">
        <v>43550.64999999851</v>
      </c>
      <c r="D11" s="52">
        <v>4.49</v>
      </c>
      <c r="E11" s="54">
        <v>10.1</v>
      </c>
      <c r="F11" s="46">
        <v>1</v>
      </c>
      <c r="G11" s="46">
        <v>1</v>
      </c>
      <c r="H11" s="81">
        <f t="shared" si="2"/>
        <v>456949.99999999627</v>
      </c>
      <c r="I11" s="84">
        <f t="shared" si="0"/>
        <v>0.18146104166666047</v>
      </c>
      <c r="J11" s="84">
        <f t="shared" si="1"/>
        <v>0.19039583333333179</v>
      </c>
      <c r="K11" s="90" t="s">
        <v>55</v>
      </c>
    </row>
    <row r="12" spans="1:11" ht="40">
      <c r="A12" s="14">
        <v>44815</v>
      </c>
      <c r="B12" s="83">
        <v>11</v>
      </c>
      <c r="C12" s="56">
        <v>38350.000000003725</v>
      </c>
      <c r="D12" s="52">
        <v>4.0199999999999996</v>
      </c>
      <c r="E12" s="54">
        <v>10.4</v>
      </c>
      <c r="F12" s="46">
        <v>1</v>
      </c>
      <c r="G12" s="46">
        <v>1</v>
      </c>
      <c r="H12" s="81">
        <f t="shared" si="2"/>
        <v>495300</v>
      </c>
      <c r="I12" s="84">
        <f t="shared" si="0"/>
        <v>0.15979166666668218</v>
      </c>
      <c r="J12" s="84">
        <f t="shared" si="1"/>
        <v>0.18761363636363637</v>
      </c>
      <c r="K12" s="90" t="s">
        <v>55</v>
      </c>
    </row>
    <row r="13" spans="1:11" ht="40">
      <c r="A13" s="14">
        <v>44816</v>
      </c>
      <c r="B13" s="83">
        <v>12</v>
      </c>
      <c r="C13" s="56">
        <v>49398.699999999255</v>
      </c>
      <c r="D13" s="52">
        <v>5.17</v>
      </c>
      <c r="E13" s="54">
        <v>10.8</v>
      </c>
      <c r="F13" s="46">
        <v>1</v>
      </c>
      <c r="G13" s="46">
        <v>1</v>
      </c>
      <c r="H13" s="81">
        <f t="shared" si="2"/>
        <v>544698.69999999925</v>
      </c>
      <c r="I13" s="84">
        <f t="shared" si="0"/>
        <v>0.20582791666666356</v>
      </c>
      <c r="J13" s="84">
        <f t="shared" si="1"/>
        <v>0.18913149305555529</v>
      </c>
      <c r="K13" s="90" t="s">
        <v>55</v>
      </c>
    </row>
    <row r="14" spans="1:11" ht="40">
      <c r="A14" s="14">
        <v>44817</v>
      </c>
      <c r="B14" s="83">
        <v>13</v>
      </c>
      <c r="C14" s="56">
        <v>49400.64999999851</v>
      </c>
      <c r="D14" s="52">
        <v>5.0999999999999996</v>
      </c>
      <c r="E14" s="54">
        <v>10.199999999999999</v>
      </c>
      <c r="F14" s="46">
        <v>1</v>
      </c>
      <c r="G14" s="46">
        <v>1</v>
      </c>
      <c r="H14" s="81">
        <f t="shared" si="2"/>
        <v>594099.34999999776</v>
      </c>
      <c r="I14" s="84">
        <f t="shared" si="0"/>
        <v>0.20583604166666045</v>
      </c>
      <c r="J14" s="84">
        <f t="shared" si="1"/>
        <v>0.19041645833333262</v>
      </c>
      <c r="K14" s="90" t="s">
        <v>55</v>
      </c>
    </row>
    <row r="15" spans="1:11" ht="20">
      <c r="A15" s="14">
        <v>44818</v>
      </c>
      <c r="B15" s="83">
        <v>14</v>
      </c>
      <c r="C15" s="56">
        <v>57850.64999999851</v>
      </c>
      <c r="D15" s="52">
        <v>5.99</v>
      </c>
      <c r="E15" s="54">
        <v>10.1</v>
      </c>
      <c r="F15" s="46">
        <v>1</v>
      </c>
      <c r="G15" s="46">
        <v>1</v>
      </c>
      <c r="H15" s="81">
        <f t="shared" si="2"/>
        <v>651949.99999999627</v>
      </c>
      <c r="I15" s="84">
        <f t="shared" si="0"/>
        <v>0.24104437499999379</v>
      </c>
      <c r="J15" s="84">
        <f t="shared" si="1"/>
        <v>0.194032738095237</v>
      </c>
      <c r="K15" s="90" t="s">
        <v>52</v>
      </c>
    </row>
    <row r="16" spans="1:11" ht="40">
      <c r="A16" s="14">
        <v>44819</v>
      </c>
      <c r="B16" s="83">
        <v>15</v>
      </c>
      <c r="C16" s="56">
        <v>33799.35000000149</v>
      </c>
      <c r="D16" s="52">
        <v>4.2699999999999996</v>
      </c>
      <c r="E16" s="54">
        <v>10</v>
      </c>
      <c r="F16" s="46">
        <v>1</v>
      </c>
      <c r="G16" s="46">
        <v>0.94097222222222221</v>
      </c>
      <c r="H16" s="81">
        <f t="shared" si="2"/>
        <v>685749.34999999776</v>
      </c>
      <c r="I16" s="84">
        <f t="shared" si="0"/>
        <v>0.1408306250000062</v>
      </c>
      <c r="J16" s="84">
        <f t="shared" si="1"/>
        <v>0.19048593055555493</v>
      </c>
      <c r="K16" s="90" t="s">
        <v>55</v>
      </c>
    </row>
    <row r="17" spans="1:11" ht="20">
      <c r="A17" s="14">
        <v>44820</v>
      </c>
      <c r="B17" s="83">
        <v>16</v>
      </c>
      <c r="C17" s="56">
        <v>55250.64999999851</v>
      </c>
      <c r="D17" s="52">
        <v>5.74</v>
      </c>
      <c r="E17" s="54">
        <v>10</v>
      </c>
      <c r="F17" s="46">
        <v>1</v>
      </c>
      <c r="G17" s="46">
        <v>1</v>
      </c>
      <c r="H17" s="81">
        <f t="shared" si="2"/>
        <v>740999.99999999627</v>
      </c>
      <c r="I17" s="84">
        <f t="shared" si="0"/>
        <v>0.23021104166666045</v>
      </c>
      <c r="J17" s="84">
        <f t="shared" si="1"/>
        <v>0.19296874999999902</v>
      </c>
      <c r="K17" s="90" t="s">
        <v>52</v>
      </c>
    </row>
    <row r="18" spans="1:11" ht="60">
      <c r="A18" s="14">
        <v>44821</v>
      </c>
      <c r="B18" s="83">
        <v>17</v>
      </c>
      <c r="C18" s="56">
        <v>61748.70000000298</v>
      </c>
      <c r="D18" s="52">
        <v>5.74</v>
      </c>
      <c r="E18" s="54">
        <v>10</v>
      </c>
      <c r="F18" s="46">
        <v>1</v>
      </c>
      <c r="G18" s="46">
        <v>1</v>
      </c>
      <c r="H18" s="81">
        <f t="shared" si="2"/>
        <v>802748.69999999925</v>
      </c>
      <c r="I18" s="84">
        <f t="shared" si="0"/>
        <v>0.25728625000001243</v>
      </c>
      <c r="J18" s="84">
        <f t="shared" si="1"/>
        <v>0.19675213235294101</v>
      </c>
      <c r="K18" s="90" t="s">
        <v>54</v>
      </c>
    </row>
    <row r="19" spans="1:11" ht="60">
      <c r="A19" s="14">
        <v>44822</v>
      </c>
      <c r="B19" s="83">
        <v>18</v>
      </c>
      <c r="C19" s="56">
        <v>57850.64999999851</v>
      </c>
      <c r="D19" s="52">
        <v>6.4</v>
      </c>
      <c r="E19" s="54">
        <v>10</v>
      </c>
      <c r="F19" s="46">
        <v>1</v>
      </c>
      <c r="G19" s="46">
        <v>1</v>
      </c>
      <c r="H19" s="81">
        <f t="shared" si="2"/>
        <v>860599.34999999776</v>
      </c>
      <c r="I19" s="84">
        <f t="shared" si="0"/>
        <v>0.24104437499999379</v>
      </c>
      <c r="J19" s="84">
        <f t="shared" si="1"/>
        <v>0.19921281249999948</v>
      </c>
      <c r="K19" s="90" t="s">
        <v>54</v>
      </c>
    </row>
    <row r="20" spans="1:11" ht="20">
      <c r="A20" s="14">
        <v>44823</v>
      </c>
      <c r="B20" s="83">
        <v>19</v>
      </c>
      <c r="C20" s="56">
        <v>50051.30000000447</v>
      </c>
      <c r="D20" s="52">
        <v>5.19</v>
      </c>
      <c r="E20" s="54">
        <v>10.9</v>
      </c>
      <c r="F20" s="46">
        <v>1</v>
      </c>
      <c r="G20" s="46">
        <v>1</v>
      </c>
      <c r="H20" s="81">
        <f t="shared" si="2"/>
        <v>910650.65000000224</v>
      </c>
      <c r="I20" s="84">
        <f t="shared" si="0"/>
        <v>0.20854708333335195</v>
      </c>
      <c r="J20" s="84">
        <f t="shared" si="1"/>
        <v>0.1997040899122812</v>
      </c>
      <c r="K20" s="90" t="s">
        <v>52</v>
      </c>
    </row>
    <row r="21" spans="1:11" ht="60">
      <c r="A21" s="14">
        <v>44824</v>
      </c>
      <c r="B21" s="83">
        <v>20</v>
      </c>
      <c r="C21" s="56">
        <v>65646.75</v>
      </c>
      <c r="D21" s="52">
        <v>6.7</v>
      </c>
      <c r="E21" s="54">
        <v>11.1</v>
      </c>
      <c r="F21" s="46">
        <v>1</v>
      </c>
      <c r="G21" s="46">
        <v>1</v>
      </c>
      <c r="H21" s="81">
        <f t="shared" si="2"/>
        <v>976297.40000000224</v>
      </c>
      <c r="I21" s="84">
        <f t="shared" si="0"/>
        <v>0.27352812500000001</v>
      </c>
      <c r="J21" s="84">
        <f t="shared" si="1"/>
        <v>0.20339529166666714</v>
      </c>
      <c r="K21" s="90" t="s">
        <v>54</v>
      </c>
    </row>
    <row r="22" spans="1:11" ht="60">
      <c r="A22" s="14">
        <v>44825</v>
      </c>
      <c r="B22" s="83">
        <v>21</v>
      </c>
      <c r="C22" s="56">
        <v>58501.949999991804</v>
      </c>
      <c r="D22" s="52">
        <v>6.02</v>
      </c>
      <c r="E22" s="54">
        <v>10.8</v>
      </c>
      <c r="F22" s="46">
        <v>1</v>
      </c>
      <c r="G22" s="46">
        <v>1</v>
      </c>
      <c r="H22" s="81">
        <f t="shared" si="2"/>
        <v>1034799.349999994</v>
      </c>
      <c r="I22" s="84">
        <f t="shared" si="0"/>
        <v>0.24375812499996585</v>
      </c>
      <c r="J22" s="84">
        <f t="shared" si="1"/>
        <v>0.20531733134920516</v>
      </c>
      <c r="K22" s="90" t="s">
        <v>54</v>
      </c>
    </row>
    <row r="23" spans="1:11" ht="60">
      <c r="A23" s="14">
        <v>44826</v>
      </c>
      <c r="B23" s="83">
        <v>22</v>
      </c>
      <c r="C23" s="56">
        <v>65650.650000002235</v>
      </c>
      <c r="D23" s="52">
        <v>6.75</v>
      </c>
      <c r="E23" s="54">
        <v>10.9</v>
      </c>
      <c r="F23" s="46">
        <v>1</v>
      </c>
      <c r="G23" s="46">
        <v>1</v>
      </c>
      <c r="H23" s="81">
        <f t="shared" si="2"/>
        <v>1100449.9999999963</v>
      </c>
      <c r="I23" s="84">
        <f t="shared" si="0"/>
        <v>0.27354437500000933</v>
      </c>
      <c r="J23" s="84">
        <f t="shared" si="1"/>
        <v>0.2084185606060599</v>
      </c>
      <c r="K23" s="90" t="s">
        <v>54</v>
      </c>
    </row>
    <row r="24" spans="1:11" ht="60">
      <c r="A24" s="14">
        <v>44827</v>
      </c>
      <c r="B24" s="83">
        <v>23</v>
      </c>
      <c r="C24" s="56">
        <v>67598.70000000298</v>
      </c>
      <c r="D24" s="52">
        <v>6.69</v>
      </c>
      <c r="E24" s="54">
        <v>11.1</v>
      </c>
      <c r="F24" s="46">
        <v>1</v>
      </c>
      <c r="G24" s="46">
        <v>1</v>
      </c>
      <c r="H24" s="81">
        <f t="shared" si="2"/>
        <v>1168048.6999999993</v>
      </c>
      <c r="I24" s="84">
        <f t="shared" si="0"/>
        <v>0.28166125000001241</v>
      </c>
      <c r="J24" s="84">
        <f t="shared" si="1"/>
        <v>0.2116030253623187</v>
      </c>
      <c r="K24" s="90" t="s">
        <v>54</v>
      </c>
    </row>
    <row r="25" spans="1:11" ht="60">
      <c r="A25" s="14">
        <v>44828</v>
      </c>
      <c r="B25" s="83">
        <v>24</v>
      </c>
      <c r="C25" s="56">
        <v>56549.34999999404</v>
      </c>
      <c r="D25" s="52">
        <v>5.88</v>
      </c>
      <c r="E25" s="54">
        <v>10.9</v>
      </c>
      <c r="F25" s="46">
        <v>1</v>
      </c>
      <c r="G25" s="46">
        <v>1</v>
      </c>
      <c r="H25" s="81">
        <f t="shared" si="2"/>
        <v>1224598.0499999933</v>
      </c>
      <c r="I25" s="84">
        <f t="shared" si="0"/>
        <v>0.23562229166664184</v>
      </c>
      <c r="J25" s="84">
        <f t="shared" si="1"/>
        <v>0.21260382812499884</v>
      </c>
      <c r="K25" s="90" t="s">
        <v>54</v>
      </c>
    </row>
    <row r="26" spans="1:11" ht="20">
      <c r="A26" s="14">
        <v>44829</v>
      </c>
      <c r="B26" s="83">
        <v>25</v>
      </c>
      <c r="C26" s="56">
        <v>53951.30000000447</v>
      </c>
      <c r="D26" s="52">
        <v>5.56</v>
      </c>
      <c r="E26" s="54">
        <v>10.8</v>
      </c>
      <c r="F26" s="46">
        <v>1</v>
      </c>
      <c r="G26" s="46">
        <v>1</v>
      </c>
      <c r="H26" s="81">
        <f t="shared" si="2"/>
        <v>1278549.3499999978</v>
      </c>
      <c r="I26" s="84">
        <f t="shared" si="0"/>
        <v>0.22479708333335197</v>
      </c>
      <c r="J26" s="84">
        <f t="shared" si="1"/>
        <v>0.21309155833333296</v>
      </c>
      <c r="K26" s="90" t="s">
        <v>52</v>
      </c>
    </row>
    <row r="27" spans="1:11" ht="40">
      <c r="A27" s="14">
        <v>44830</v>
      </c>
      <c r="B27" s="83">
        <v>26</v>
      </c>
      <c r="C27" s="56">
        <v>30551.95000000298</v>
      </c>
      <c r="D27" s="52">
        <v>3.18</v>
      </c>
      <c r="E27" s="54">
        <v>9.8000000000000007</v>
      </c>
      <c r="F27" s="46">
        <v>1</v>
      </c>
      <c r="G27" s="46">
        <v>1</v>
      </c>
      <c r="H27" s="81">
        <f t="shared" si="2"/>
        <v>1309101.3000000007</v>
      </c>
      <c r="I27" s="84">
        <f t="shared" si="0"/>
        <v>0.1272997916666791</v>
      </c>
      <c r="J27" s="84">
        <f t="shared" si="1"/>
        <v>0.20979187500000013</v>
      </c>
      <c r="K27" s="90" t="s">
        <v>55</v>
      </c>
    </row>
    <row r="28" spans="1:11" ht="40">
      <c r="A28" s="14">
        <v>44831</v>
      </c>
      <c r="B28" s="83">
        <v>27</v>
      </c>
      <c r="C28" s="56">
        <v>44199.34999999404</v>
      </c>
      <c r="D28" s="52">
        <v>4.38</v>
      </c>
      <c r="E28" s="54">
        <v>10.1</v>
      </c>
      <c r="F28" s="46">
        <v>1</v>
      </c>
      <c r="G28" s="46">
        <v>1</v>
      </c>
      <c r="H28" s="81">
        <f t="shared" si="2"/>
        <v>1353300.6499999948</v>
      </c>
      <c r="I28" s="84">
        <f t="shared" si="0"/>
        <v>0.18416395833330851</v>
      </c>
      <c r="J28" s="84">
        <f t="shared" si="1"/>
        <v>0.20884269290123375</v>
      </c>
      <c r="K28" s="90" t="s">
        <v>55</v>
      </c>
    </row>
    <row r="29" spans="1:11" ht="40">
      <c r="A29" s="14">
        <v>44832</v>
      </c>
      <c r="B29" s="83">
        <v>28</v>
      </c>
      <c r="C29" s="56">
        <v>35098.70000000298</v>
      </c>
      <c r="D29" s="52">
        <v>3.48</v>
      </c>
      <c r="E29" s="54">
        <v>9.6999999999999993</v>
      </c>
      <c r="F29" s="46">
        <v>1</v>
      </c>
      <c r="G29" s="46">
        <v>1</v>
      </c>
      <c r="H29" s="81">
        <f t="shared" si="2"/>
        <v>1388399.3499999978</v>
      </c>
      <c r="I29" s="84">
        <f t="shared" si="0"/>
        <v>0.14624458333334575</v>
      </c>
      <c r="J29" s="84">
        <f t="shared" si="1"/>
        <v>0.20660704613095204</v>
      </c>
      <c r="K29" s="90" t="s">
        <v>55</v>
      </c>
    </row>
    <row r="30" spans="1:11" ht="40">
      <c r="A30" s="14">
        <v>44833</v>
      </c>
      <c r="B30" s="83">
        <v>29</v>
      </c>
      <c r="C30" s="56">
        <v>44200</v>
      </c>
      <c r="D30" s="52">
        <v>4.55</v>
      </c>
      <c r="E30" s="54">
        <v>10.3</v>
      </c>
      <c r="F30" s="46">
        <v>1</v>
      </c>
      <c r="G30" s="46">
        <v>1</v>
      </c>
      <c r="H30" s="81">
        <f t="shared" si="2"/>
        <v>1432599.3499999978</v>
      </c>
      <c r="I30" s="84">
        <f t="shared" si="0"/>
        <v>0.18416666666666667</v>
      </c>
      <c r="J30" s="84">
        <f t="shared" si="1"/>
        <v>0.20583323994252842</v>
      </c>
      <c r="K30" s="90" t="s">
        <v>55</v>
      </c>
    </row>
    <row r="31" spans="1:11" ht="40">
      <c r="A31" s="14">
        <v>44834</v>
      </c>
      <c r="B31" s="83">
        <v>30</v>
      </c>
      <c r="C31" s="56">
        <v>29900.64999999851</v>
      </c>
      <c r="D31" s="52">
        <v>3.03</v>
      </c>
      <c r="E31" s="54">
        <v>9.6999999999999993</v>
      </c>
      <c r="F31" s="46">
        <v>1</v>
      </c>
      <c r="G31" s="46">
        <v>1</v>
      </c>
      <c r="H31" s="81">
        <f t="shared" si="2"/>
        <v>1462499.9999999963</v>
      </c>
      <c r="I31" s="84">
        <f t="shared" si="0"/>
        <v>0.12458604166666046</v>
      </c>
      <c r="J31" s="84">
        <f t="shared" si="1"/>
        <v>0.20312499999999947</v>
      </c>
      <c r="K31" s="90" t="s">
        <v>55</v>
      </c>
    </row>
    <row r="32" spans="1:11" ht="40">
      <c r="A32" s="14">
        <v>44835</v>
      </c>
      <c r="B32" s="83">
        <v>31</v>
      </c>
      <c r="C32" s="56">
        <v>33150.65000000596</v>
      </c>
      <c r="D32" s="50">
        <v>3.65</v>
      </c>
      <c r="E32" s="54">
        <v>7.4</v>
      </c>
      <c r="F32" s="46">
        <v>1</v>
      </c>
      <c r="G32" s="46">
        <v>1</v>
      </c>
      <c r="H32" s="81">
        <f t="shared" si="2"/>
        <v>1495650.6500000022</v>
      </c>
      <c r="I32" s="84">
        <f t="shared" si="0"/>
        <v>0.13812770833335816</v>
      </c>
      <c r="J32" s="84">
        <f t="shared" si="1"/>
        <v>0.20102831317204331</v>
      </c>
      <c r="K32" s="90" t="s">
        <v>56</v>
      </c>
    </row>
    <row r="33" spans="1:11" ht="40">
      <c r="A33" s="14">
        <v>44836</v>
      </c>
      <c r="B33" s="83">
        <v>32</v>
      </c>
      <c r="C33" s="56">
        <v>39649.34999999404</v>
      </c>
      <c r="D33" s="50">
        <v>4.08</v>
      </c>
      <c r="E33" s="54">
        <v>8.6</v>
      </c>
      <c r="F33" s="46">
        <v>1</v>
      </c>
      <c r="G33" s="46">
        <v>1</v>
      </c>
      <c r="H33" s="81">
        <f t="shared" si="2"/>
        <v>1535299.9999999963</v>
      </c>
      <c r="I33" s="84">
        <f t="shared" si="0"/>
        <v>0.16520562499997515</v>
      </c>
      <c r="J33" s="84">
        <f t="shared" si="1"/>
        <v>0.19990885416666618</v>
      </c>
      <c r="K33" s="90" t="s">
        <v>56</v>
      </c>
    </row>
    <row r="34" spans="1:11" ht="40">
      <c r="A34" s="14">
        <v>44837</v>
      </c>
      <c r="B34" s="83">
        <v>33</v>
      </c>
      <c r="C34" s="56">
        <v>35749.35000000149</v>
      </c>
      <c r="D34" s="50">
        <v>3.7</v>
      </c>
      <c r="E34" s="54">
        <v>9.1999999999999993</v>
      </c>
      <c r="F34" s="46">
        <v>1</v>
      </c>
      <c r="G34" s="46">
        <v>1</v>
      </c>
      <c r="H34" s="81">
        <f t="shared" si="2"/>
        <v>1571049.3499999978</v>
      </c>
      <c r="I34" s="84">
        <f t="shared" si="0"/>
        <v>0.1489556250000062</v>
      </c>
      <c r="J34" s="84">
        <f t="shared" si="1"/>
        <v>0.19836481691919164</v>
      </c>
      <c r="K34" s="90" t="s">
        <v>56</v>
      </c>
    </row>
    <row r="35" spans="1:11" ht="40">
      <c r="A35" s="14">
        <v>44838</v>
      </c>
      <c r="B35" s="83">
        <v>34</v>
      </c>
      <c r="C35" s="56">
        <v>42251.29999999702</v>
      </c>
      <c r="D35" s="50">
        <v>4.38</v>
      </c>
      <c r="E35" s="54">
        <v>9.6</v>
      </c>
      <c r="F35" s="46">
        <v>1</v>
      </c>
      <c r="G35" s="46">
        <v>1</v>
      </c>
      <c r="H35" s="81">
        <f t="shared" si="2"/>
        <v>1613300.6499999948</v>
      </c>
      <c r="I35" s="84">
        <f t="shared" si="0"/>
        <v>0.17604708333332092</v>
      </c>
      <c r="J35" s="84">
        <f t="shared" si="1"/>
        <v>0.19770841299019543</v>
      </c>
      <c r="K35" s="90" t="s">
        <v>56</v>
      </c>
    </row>
    <row r="36" spans="1:11" ht="40">
      <c r="A36" s="14">
        <v>44839</v>
      </c>
      <c r="B36" s="83">
        <v>35</v>
      </c>
      <c r="C36" s="56">
        <v>33797.39999999851</v>
      </c>
      <c r="D36" s="50">
        <v>3.45</v>
      </c>
      <c r="E36" s="54">
        <v>7.4</v>
      </c>
      <c r="F36" s="46">
        <v>1</v>
      </c>
      <c r="G36" s="46">
        <v>1</v>
      </c>
      <c r="H36" s="81">
        <f t="shared" si="2"/>
        <v>1647098.0499999933</v>
      </c>
      <c r="I36" s="84">
        <f t="shared" si="0"/>
        <v>0.1408224999999938</v>
      </c>
      <c r="J36" s="84">
        <f t="shared" si="1"/>
        <v>0.1960831011904754</v>
      </c>
      <c r="K36" s="90" t="s">
        <v>56</v>
      </c>
    </row>
    <row r="37" spans="1:11" ht="40">
      <c r="A37" s="14">
        <v>44840</v>
      </c>
      <c r="B37" s="83">
        <v>36</v>
      </c>
      <c r="C37" s="56">
        <v>29250.65000000596</v>
      </c>
      <c r="D37" s="50">
        <v>2.99</v>
      </c>
      <c r="E37" s="54">
        <v>8.3000000000000007</v>
      </c>
      <c r="F37" s="46">
        <v>1</v>
      </c>
      <c r="G37" s="46">
        <v>1</v>
      </c>
      <c r="H37" s="81">
        <f t="shared" si="2"/>
        <v>1676348.6999999993</v>
      </c>
      <c r="I37" s="84">
        <f t="shared" si="0"/>
        <v>0.12187770833335816</v>
      </c>
      <c r="J37" s="84">
        <f t="shared" si="1"/>
        <v>0.19402184027777769</v>
      </c>
      <c r="K37" s="90" t="s">
        <v>56</v>
      </c>
    </row>
    <row r="38" spans="1:11" ht="20">
      <c r="A38" s="14">
        <v>44841</v>
      </c>
      <c r="B38" s="83">
        <v>37</v>
      </c>
      <c r="C38" s="56">
        <v>48099.35000000149</v>
      </c>
      <c r="D38" s="50">
        <v>4.8600000000000003</v>
      </c>
      <c r="E38" s="54">
        <v>9.8000000000000007</v>
      </c>
      <c r="F38" s="46">
        <v>1</v>
      </c>
      <c r="G38" s="46">
        <v>1</v>
      </c>
      <c r="H38" s="81">
        <f t="shared" si="2"/>
        <v>1724448.0500000007</v>
      </c>
      <c r="I38" s="84">
        <f t="shared" si="0"/>
        <v>0.20041395833333955</v>
      </c>
      <c r="J38" s="84">
        <f t="shared" si="1"/>
        <v>0.19419460022522531</v>
      </c>
      <c r="K38" s="90" t="s">
        <v>52</v>
      </c>
    </row>
    <row r="39" spans="1:11" ht="20">
      <c r="A39" s="14">
        <v>44842</v>
      </c>
      <c r="B39" s="83">
        <v>38</v>
      </c>
      <c r="C39" s="56">
        <v>52649.999999992549</v>
      </c>
      <c r="D39" s="52">
        <v>5.4</v>
      </c>
      <c r="E39" s="54">
        <v>10.199999999999999</v>
      </c>
      <c r="F39" s="46">
        <v>1</v>
      </c>
      <c r="G39" s="46">
        <v>1</v>
      </c>
      <c r="H39" s="81">
        <f t="shared" si="2"/>
        <v>1777098.0499999933</v>
      </c>
      <c r="I39" s="84">
        <f t="shared" si="0"/>
        <v>0.21937499999996896</v>
      </c>
      <c r="J39" s="84">
        <f t="shared" si="1"/>
        <v>0.19485724232456067</v>
      </c>
      <c r="K39" s="90" t="s">
        <v>52</v>
      </c>
    </row>
    <row r="40" spans="1:11" ht="20">
      <c r="A40" s="14">
        <v>44843</v>
      </c>
      <c r="B40" s="83">
        <v>39</v>
      </c>
      <c r="C40" s="56">
        <v>21451.30000000447</v>
      </c>
      <c r="D40" s="52">
        <v>2.27</v>
      </c>
      <c r="E40" s="54">
        <v>8.1</v>
      </c>
      <c r="F40" s="46">
        <v>1</v>
      </c>
      <c r="G40" s="46">
        <v>1</v>
      </c>
      <c r="H40" s="81">
        <f t="shared" si="2"/>
        <v>1798549.3499999978</v>
      </c>
      <c r="I40" s="84">
        <f t="shared" si="0"/>
        <v>8.9380416666685295E-2</v>
      </c>
      <c r="J40" s="84">
        <f t="shared" si="1"/>
        <v>0.19215270833333309</v>
      </c>
      <c r="K40" s="90" t="s">
        <v>52</v>
      </c>
    </row>
    <row r="41" spans="1:11" ht="80">
      <c r="A41" s="14">
        <v>44844</v>
      </c>
      <c r="B41" s="83">
        <v>40</v>
      </c>
      <c r="C41" s="56">
        <v>38351.30000000447</v>
      </c>
      <c r="D41" s="52">
        <v>3.94</v>
      </c>
      <c r="E41" s="54">
        <v>8.6</v>
      </c>
      <c r="F41" s="46">
        <v>1</v>
      </c>
      <c r="G41" s="46">
        <v>1</v>
      </c>
      <c r="H41" s="81">
        <f t="shared" si="2"/>
        <v>1836900.6500000022</v>
      </c>
      <c r="I41" s="84">
        <f t="shared" si="0"/>
        <v>0.15979708333335196</v>
      </c>
      <c r="J41" s="84">
        <f t="shared" si="1"/>
        <v>0.19134381770833356</v>
      </c>
      <c r="K41" s="90" t="s">
        <v>51</v>
      </c>
    </row>
    <row r="42" spans="1:11" ht="80">
      <c r="A42" s="14">
        <v>44845</v>
      </c>
      <c r="B42" s="83">
        <v>41</v>
      </c>
      <c r="C42" s="56">
        <v>36399.999999992549</v>
      </c>
      <c r="D42" s="52">
        <v>3.8</v>
      </c>
      <c r="E42" s="54">
        <v>8.1999999999999993</v>
      </c>
      <c r="F42" s="46">
        <v>1</v>
      </c>
      <c r="G42" s="46">
        <v>1</v>
      </c>
      <c r="H42" s="81">
        <f t="shared" ref="H42:H105" si="3">H41+C42</f>
        <v>1873300.6499999948</v>
      </c>
      <c r="I42" s="84">
        <f t="shared" si="0"/>
        <v>0.15166666666663561</v>
      </c>
      <c r="J42" s="84">
        <f t="shared" si="1"/>
        <v>0.19037608231707265</v>
      </c>
      <c r="K42" s="90" t="s">
        <v>51</v>
      </c>
    </row>
    <row r="43" spans="1:11" ht="80">
      <c r="A43" s="14">
        <v>44846</v>
      </c>
      <c r="B43" s="83">
        <v>42</v>
      </c>
      <c r="C43" s="56">
        <v>29246.750000007451</v>
      </c>
      <c r="D43" s="52">
        <v>3.04</v>
      </c>
      <c r="E43" s="54">
        <v>7.8</v>
      </c>
      <c r="F43" s="46">
        <v>1</v>
      </c>
      <c r="G43" s="46">
        <v>1</v>
      </c>
      <c r="H43" s="81">
        <f t="shared" si="3"/>
        <v>1902547.4000000022</v>
      </c>
      <c r="I43" s="84">
        <f t="shared" si="0"/>
        <v>0.12186145833336438</v>
      </c>
      <c r="J43" s="84">
        <f t="shared" si="1"/>
        <v>0.18874478174603196</v>
      </c>
      <c r="K43" s="90" t="s">
        <v>51</v>
      </c>
    </row>
    <row r="44" spans="1:11" ht="60">
      <c r="A44" s="14">
        <v>44847</v>
      </c>
      <c r="B44" s="83">
        <v>43</v>
      </c>
      <c r="C44" s="56">
        <v>53300.649999991059</v>
      </c>
      <c r="D44" s="52">
        <v>5.46</v>
      </c>
      <c r="E44" s="54">
        <v>8</v>
      </c>
      <c r="F44" s="46">
        <v>1</v>
      </c>
      <c r="G44" s="46">
        <v>1</v>
      </c>
      <c r="H44" s="81">
        <f t="shared" si="3"/>
        <v>1955848.0499999933</v>
      </c>
      <c r="I44" s="84">
        <f t="shared" si="0"/>
        <v>0.2220860416666294</v>
      </c>
      <c r="J44" s="84">
        <f t="shared" si="1"/>
        <v>0.18952015988372028</v>
      </c>
      <c r="K44" s="90" t="s">
        <v>57</v>
      </c>
    </row>
    <row r="45" spans="1:11" ht="60">
      <c r="A45" s="14">
        <v>44848</v>
      </c>
      <c r="B45" s="83">
        <v>44</v>
      </c>
      <c r="C45" s="56">
        <v>49400.65000000596</v>
      </c>
      <c r="D45" s="52">
        <v>5.15</v>
      </c>
      <c r="E45" s="54">
        <v>8.1</v>
      </c>
      <c r="F45" s="46">
        <v>1</v>
      </c>
      <c r="G45" s="46">
        <v>1</v>
      </c>
      <c r="H45" s="81">
        <f t="shared" si="3"/>
        <v>2005248.6999999993</v>
      </c>
      <c r="I45" s="84">
        <f t="shared" si="0"/>
        <v>0.2058360416666915</v>
      </c>
      <c r="J45" s="84">
        <f t="shared" si="1"/>
        <v>0.1898909753787878</v>
      </c>
      <c r="K45" s="90" t="s">
        <v>58</v>
      </c>
    </row>
    <row r="46" spans="1:11" ht="60">
      <c r="A46" s="14">
        <v>44849</v>
      </c>
      <c r="B46" s="83">
        <v>45</v>
      </c>
      <c r="C46" s="56">
        <v>56550</v>
      </c>
      <c r="D46" s="52">
        <v>5.78</v>
      </c>
      <c r="E46" s="54">
        <v>9.1999999999999993</v>
      </c>
      <c r="F46" s="46">
        <v>1</v>
      </c>
      <c r="G46" s="46">
        <v>0.61944444444444446</v>
      </c>
      <c r="H46" s="81">
        <f t="shared" si="3"/>
        <v>2061798.6999999993</v>
      </c>
      <c r="I46" s="84">
        <f t="shared" ref="I46:I109" si="4">C46/(10*24*1000)</f>
        <v>0.235625</v>
      </c>
      <c r="J46" s="84">
        <f t="shared" si="1"/>
        <v>0.19090728703703697</v>
      </c>
      <c r="K46" s="90" t="s">
        <v>57</v>
      </c>
    </row>
    <row r="47" spans="1:11" ht="40">
      <c r="A47" s="14">
        <v>44850</v>
      </c>
      <c r="B47" s="83">
        <v>46</v>
      </c>
      <c r="C47" s="56">
        <v>13000.64999999851</v>
      </c>
      <c r="D47" s="52">
        <v>2.06</v>
      </c>
      <c r="E47" s="54">
        <v>7</v>
      </c>
      <c r="F47" s="46">
        <v>1</v>
      </c>
      <c r="G47" s="46">
        <v>1</v>
      </c>
      <c r="H47" s="81">
        <f t="shared" si="3"/>
        <v>2074799.3499999978</v>
      </c>
      <c r="I47" s="84">
        <f t="shared" si="4"/>
        <v>5.4169374999993788E-2</v>
      </c>
      <c r="J47" s="84">
        <f>H47/(24*B47*10*1000)</f>
        <v>0.18793472373188386</v>
      </c>
      <c r="K47" s="90" t="s">
        <v>59</v>
      </c>
    </row>
    <row r="48" spans="1:11" ht="60">
      <c r="A48" s="14">
        <v>44851</v>
      </c>
      <c r="B48" s="83">
        <v>47</v>
      </c>
      <c r="C48" s="56">
        <v>50051.29999999702</v>
      </c>
      <c r="D48" s="52">
        <v>5.08</v>
      </c>
      <c r="E48" s="54">
        <v>9.1</v>
      </c>
      <c r="F48" s="46">
        <v>1</v>
      </c>
      <c r="G48" s="46">
        <v>1</v>
      </c>
      <c r="H48" s="81">
        <f t="shared" si="3"/>
        <v>2124850.6499999948</v>
      </c>
      <c r="I48" s="84">
        <f t="shared" si="4"/>
        <v>0.20854708333332092</v>
      </c>
      <c r="J48" s="84">
        <f t="shared" ref="J48:J111" si="5">H48/(24*B48*10*1000)</f>
        <v>0.18837328457446761</v>
      </c>
      <c r="K48" s="90" t="s">
        <v>57</v>
      </c>
    </row>
    <row r="49" spans="1:11" ht="20">
      <c r="A49" s="14">
        <v>44852</v>
      </c>
      <c r="B49" s="83">
        <v>48</v>
      </c>
      <c r="C49" s="56">
        <v>45500.65000000596</v>
      </c>
      <c r="D49" s="52">
        <v>4.58</v>
      </c>
      <c r="E49" s="54">
        <v>8.6999999999999993</v>
      </c>
      <c r="F49" s="46">
        <v>1</v>
      </c>
      <c r="G49" s="46">
        <v>1</v>
      </c>
      <c r="H49" s="81">
        <f t="shared" si="3"/>
        <v>2170351.3000000007</v>
      </c>
      <c r="I49" s="84">
        <f t="shared" si="4"/>
        <v>0.18958604166669149</v>
      </c>
      <c r="J49" s="84">
        <f t="shared" si="5"/>
        <v>0.18839855034722228</v>
      </c>
      <c r="K49" s="90" t="s">
        <v>52</v>
      </c>
    </row>
    <row r="50" spans="1:11" ht="20">
      <c r="A50" s="14">
        <v>44853</v>
      </c>
      <c r="B50" s="83">
        <v>49</v>
      </c>
      <c r="C50" s="56">
        <v>49396.75</v>
      </c>
      <c r="D50" s="52">
        <v>5.01</v>
      </c>
      <c r="E50" s="54">
        <v>9.1999999999999993</v>
      </c>
      <c r="F50" s="46">
        <v>1</v>
      </c>
      <c r="G50" s="46">
        <v>1</v>
      </c>
      <c r="H50" s="81">
        <f t="shared" si="3"/>
        <v>2219748.0500000007</v>
      </c>
      <c r="I50" s="84">
        <f t="shared" si="4"/>
        <v>0.20581979166666667</v>
      </c>
      <c r="J50" s="84">
        <f t="shared" si="5"/>
        <v>0.1887540858843538</v>
      </c>
      <c r="K50" s="90" t="s">
        <v>52</v>
      </c>
    </row>
    <row r="51" spans="1:11" ht="20">
      <c r="A51" s="14">
        <v>44854</v>
      </c>
      <c r="B51" s="83">
        <v>50</v>
      </c>
      <c r="C51" s="56">
        <v>50701.94999999553</v>
      </c>
      <c r="D51" s="52">
        <v>5.17</v>
      </c>
      <c r="E51" s="54">
        <v>8.1999999999999993</v>
      </c>
      <c r="F51" s="46">
        <v>1</v>
      </c>
      <c r="G51" s="46">
        <v>1</v>
      </c>
      <c r="H51" s="81">
        <f t="shared" si="3"/>
        <v>2270449.9999999963</v>
      </c>
      <c r="I51" s="84">
        <f t="shared" si="4"/>
        <v>0.21125812499998137</v>
      </c>
      <c r="J51" s="84">
        <f t="shared" si="5"/>
        <v>0.18920416666666637</v>
      </c>
      <c r="K51" s="90" t="s">
        <v>52</v>
      </c>
    </row>
    <row r="52" spans="1:11" ht="20">
      <c r="A52" s="14">
        <v>44855</v>
      </c>
      <c r="B52" s="83">
        <v>51</v>
      </c>
      <c r="C52" s="56">
        <v>43548.70000000298</v>
      </c>
      <c r="D52" s="52">
        <v>4.51</v>
      </c>
      <c r="E52" s="54">
        <v>8.3000000000000007</v>
      </c>
      <c r="F52" s="46">
        <v>1</v>
      </c>
      <c r="G52" s="46">
        <v>1</v>
      </c>
      <c r="H52" s="81">
        <f t="shared" si="3"/>
        <v>2313998.6999999993</v>
      </c>
      <c r="I52" s="84">
        <f t="shared" si="4"/>
        <v>0.18145291666667909</v>
      </c>
      <c r="J52" s="84">
        <f t="shared" si="5"/>
        <v>0.18905218137254895</v>
      </c>
      <c r="K52" s="90" t="s">
        <v>52</v>
      </c>
    </row>
    <row r="53" spans="1:11" ht="20">
      <c r="A53" s="14">
        <v>44856</v>
      </c>
      <c r="B53" s="83">
        <v>52</v>
      </c>
      <c r="C53" s="56">
        <v>54601.94999999553</v>
      </c>
      <c r="D53" s="52">
        <v>5.58</v>
      </c>
      <c r="E53" s="54">
        <v>9</v>
      </c>
      <c r="F53" s="46">
        <v>1</v>
      </c>
      <c r="G53" s="46">
        <v>1</v>
      </c>
      <c r="H53" s="81">
        <f t="shared" si="3"/>
        <v>2368600.6499999948</v>
      </c>
      <c r="I53" s="84">
        <f t="shared" si="4"/>
        <v>0.22750812499998138</v>
      </c>
      <c r="J53" s="84">
        <f t="shared" si="5"/>
        <v>0.18979171874999959</v>
      </c>
      <c r="K53" s="90" t="s">
        <v>52</v>
      </c>
    </row>
    <row r="54" spans="1:11" ht="40">
      <c r="A54" s="14">
        <v>44857</v>
      </c>
      <c r="B54" s="83">
        <v>53</v>
      </c>
      <c r="C54" s="56">
        <v>57846.75</v>
      </c>
      <c r="D54" s="52">
        <v>5.96</v>
      </c>
      <c r="E54" s="54">
        <v>11</v>
      </c>
      <c r="F54" s="46">
        <v>1</v>
      </c>
      <c r="G54" s="46">
        <v>1</v>
      </c>
      <c r="H54" s="81">
        <f t="shared" si="3"/>
        <v>2426447.3999999948</v>
      </c>
      <c r="I54" s="84">
        <f t="shared" si="4"/>
        <v>0.24102812500000001</v>
      </c>
      <c r="J54" s="84">
        <f t="shared" si="5"/>
        <v>0.190758443396226</v>
      </c>
      <c r="K54" s="90" t="s">
        <v>60</v>
      </c>
    </row>
    <row r="55" spans="1:11" ht="40">
      <c r="A55" s="14">
        <v>44858</v>
      </c>
      <c r="B55" s="83">
        <v>54</v>
      </c>
      <c r="C55" s="56">
        <v>63056.5</v>
      </c>
      <c r="D55" s="52">
        <v>6.43</v>
      </c>
      <c r="E55" s="54">
        <v>11</v>
      </c>
      <c r="F55" s="46">
        <v>1</v>
      </c>
      <c r="G55" s="46">
        <v>1</v>
      </c>
      <c r="H55" s="81">
        <f t="shared" si="3"/>
        <v>2489503.8999999948</v>
      </c>
      <c r="I55" s="84">
        <f t="shared" si="4"/>
        <v>0.26273541666666667</v>
      </c>
      <c r="J55" s="84">
        <f t="shared" si="5"/>
        <v>0.19209135030864158</v>
      </c>
      <c r="K55" s="90" t="s">
        <v>60</v>
      </c>
    </row>
    <row r="56" spans="1:11" ht="40">
      <c r="A56" s="14">
        <v>44859</v>
      </c>
      <c r="B56" s="83">
        <v>55</v>
      </c>
      <c r="C56" s="56">
        <v>61100</v>
      </c>
      <c r="D56" s="52">
        <v>6.35</v>
      </c>
      <c r="E56" s="54">
        <v>10.8</v>
      </c>
      <c r="F56" s="46">
        <v>1</v>
      </c>
      <c r="G56" s="46">
        <v>1</v>
      </c>
      <c r="H56" s="81">
        <f t="shared" si="3"/>
        <v>2550603.8999999948</v>
      </c>
      <c r="I56" s="84">
        <f t="shared" si="4"/>
        <v>0.25458333333333333</v>
      </c>
      <c r="J56" s="84">
        <f t="shared" si="5"/>
        <v>0.1932275681818178</v>
      </c>
      <c r="K56" s="90" t="s">
        <v>60</v>
      </c>
    </row>
    <row r="57" spans="1:11" ht="40">
      <c r="A57" s="14">
        <v>44860</v>
      </c>
      <c r="B57" s="83">
        <v>56</v>
      </c>
      <c r="C57" s="56">
        <v>59148.70000000298</v>
      </c>
      <c r="D57" s="52">
        <v>6.07</v>
      </c>
      <c r="E57" s="54">
        <v>10.6</v>
      </c>
      <c r="F57" s="46">
        <v>1</v>
      </c>
      <c r="G57" s="46">
        <v>1</v>
      </c>
      <c r="H57" s="81">
        <f t="shared" si="3"/>
        <v>2609752.5999999978</v>
      </c>
      <c r="I57" s="84">
        <f t="shared" si="4"/>
        <v>0.24645291666667909</v>
      </c>
      <c r="J57" s="84">
        <f t="shared" si="5"/>
        <v>0.19417802083333316</v>
      </c>
      <c r="K57" s="90" t="s">
        <v>60</v>
      </c>
    </row>
    <row r="58" spans="1:11" ht="40">
      <c r="A58" s="14">
        <v>44861</v>
      </c>
      <c r="B58" s="83">
        <v>57</v>
      </c>
      <c r="C58" s="56">
        <v>57201.29999999702</v>
      </c>
      <c r="D58" s="52">
        <v>5.86</v>
      </c>
      <c r="E58" s="54">
        <v>10.9</v>
      </c>
      <c r="F58" s="46">
        <v>1</v>
      </c>
      <c r="G58" s="46">
        <v>1</v>
      </c>
      <c r="H58" s="81">
        <f t="shared" si="3"/>
        <v>2666953.8999999948</v>
      </c>
      <c r="I58" s="84">
        <f t="shared" si="4"/>
        <v>0.23833874999998758</v>
      </c>
      <c r="J58" s="84">
        <f t="shared" si="5"/>
        <v>0.19495277046783588</v>
      </c>
      <c r="K58" s="90" t="s">
        <v>60</v>
      </c>
    </row>
    <row r="59" spans="1:11" ht="40">
      <c r="A59" s="14">
        <v>44862</v>
      </c>
      <c r="B59" s="83">
        <v>58</v>
      </c>
      <c r="C59" s="56">
        <v>35101.29999999702</v>
      </c>
      <c r="D59" s="52">
        <v>3.6</v>
      </c>
      <c r="E59" s="54">
        <v>9.8000000000000007</v>
      </c>
      <c r="F59" s="46">
        <v>1</v>
      </c>
      <c r="G59" s="46">
        <v>1</v>
      </c>
      <c r="H59" s="81">
        <f t="shared" si="3"/>
        <v>2702055.1999999918</v>
      </c>
      <c r="I59" s="84">
        <f t="shared" si="4"/>
        <v>0.14625541666665426</v>
      </c>
      <c r="J59" s="84">
        <f t="shared" si="5"/>
        <v>0.19411316091953965</v>
      </c>
      <c r="K59" s="90" t="s">
        <v>56</v>
      </c>
    </row>
    <row r="60" spans="1:11" ht="80">
      <c r="A60" s="14">
        <v>44863</v>
      </c>
      <c r="B60" s="83">
        <v>59</v>
      </c>
      <c r="C60" s="56">
        <v>26648.70000000298</v>
      </c>
      <c r="D60" s="52">
        <v>2.9</v>
      </c>
      <c r="E60" s="54">
        <v>7.3</v>
      </c>
      <c r="F60" s="46">
        <v>1</v>
      </c>
      <c r="G60" s="46">
        <v>1</v>
      </c>
      <c r="H60" s="81">
        <f t="shared" si="3"/>
        <v>2728703.8999999948</v>
      </c>
      <c r="I60" s="84">
        <f t="shared" si="4"/>
        <v>0.11103625000001242</v>
      </c>
      <c r="J60" s="84">
        <f t="shared" si="5"/>
        <v>0.19270507768361544</v>
      </c>
      <c r="K60" s="90" t="s">
        <v>51</v>
      </c>
    </row>
    <row r="61" spans="1:11" ht="80">
      <c r="A61" s="14">
        <v>44864</v>
      </c>
      <c r="B61" s="83">
        <v>60</v>
      </c>
      <c r="C61" s="56">
        <v>29901.29999999702</v>
      </c>
      <c r="D61" s="52">
        <v>3.17</v>
      </c>
      <c r="E61" s="54">
        <v>8.1999999999999993</v>
      </c>
      <c r="F61" s="46">
        <v>1</v>
      </c>
      <c r="G61" s="46">
        <v>1</v>
      </c>
      <c r="H61" s="81">
        <f t="shared" si="3"/>
        <v>2758605.1999999918</v>
      </c>
      <c r="I61" s="84">
        <f t="shared" si="4"/>
        <v>0.12458874999998758</v>
      </c>
      <c r="J61" s="84">
        <f t="shared" si="5"/>
        <v>0.19156980555555497</v>
      </c>
      <c r="K61" s="90" t="s">
        <v>51</v>
      </c>
    </row>
    <row r="62" spans="1:11" ht="40">
      <c r="A62" s="14">
        <v>44865</v>
      </c>
      <c r="B62" s="83">
        <v>61</v>
      </c>
      <c r="C62" s="56">
        <v>58497.39999999851</v>
      </c>
      <c r="D62" s="52">
        <v>6</v>
      </c>
      <c r="E62" s="54">
        <v>10.1</v>
      </c>
      <c r="F62" s="46">
        <v>1</v>
      </c>
      <c r="G62" s="46">
        <v>0</v>
      </c>
      <c r="H62" s="81">
        <f t="shared" si="3"/>
        <v>2817102.5999999903</v>
      </c>
      <c r="I62" s="84">
        <f t="shared" si="4"/>
        <v>0.24373916666666046</v>
      </c>
      <c r="J62" s="84">
        <f t="shared" si="5"/>
        <v>0.19242504098360588</v>
      </c>
      <c r="K62" s="90" t="s">
        <v>60</v>
      </c>
    </row>
    <row r="63" spans="1:11" ht="40">
      <c r="A63" s="14">
        <v>44866</v>
      </c>
      <c r="B63" s="83">
        <v>62</v>
      </c>
      <c r="C63" s="56">
        <v>12350.000000007451</v>
      </c>
      <c r="D63" s="50">
        <v>1.88</v>
      </c>
      <c r="E63" s="54">
        <v>3.2</v>
      </c>
      <c r="F63" s="46">
        <v>1</v>
      </c>
      <c r="G63" s="46">
        <v>0.93958333333333333</v>
      </c>
      <c r="H63" s="81">
        <f t="shared" si="3"/>
        <v>2829452.5999999978</v>
      </c>
      <c r="I63" s="84">
        <f t="shared" si="4"/>
        <v>5.145833333336438E-2</v>
      </c>
      <c r="J63" s="84">
        <f t="shared" si="5"/>
        <v>0.19015138440860199</v>
      </c>
      <c r="K63" s="90" t="s">
        <v>61</v>
      </c>
    </row>
    <row r="64" spans="1:11" ht="40">
      <c r="A64" s="14">
        <v>44867</v>
      </c>
      <c r="B64" s="83">
        <v>63</v>
      </c>
      <c r="C64" s="56">
        <v>20149.999999992549</v>
      </c>
      <c r="D64" s="50">
        <v>2.13</v>
      </c>
      <c r="E64" s="54">
        <v>4.4000000000000004</v>
      </c>
      <c r="F64" s="46">
        <v>1</v>
      </c>
      <c r="G64" s="46">
        <v>1</v>
      </c>
      <c r="H64" s="81">
        <f t="shared" si="3"/>
        <v>2849602.5999999903</v>
      </c>
      <c r="I64" s="84">
        <f t="shared" si="4"/>
        <v>8.3958333333302285E-2</v>
      </c>
      <c r="J64" s="84">
        <f t="shared" si="5"/>
        <v>0.18846578042327977</v>
      </c>
      <c r="K64" s="90" t="s">
        <v>61</v>
      </c>
    </row>
    <row r="65" spans="1:11" ht="80">
      <c r="A65" s="14">
        <v>44868</v>
      </c>
      <c r="B65" s="83">
        <v>64</v>
      </c>
      <c r="C65" s="56">
        <v>35753.250000007451</v>
      </c>
      <c r="D65" s="50">
        <v>3.71</v>
      </c>
      <c r="E65" s="54">
        <v>5.2</v>
      </c>
      <c r="F65" s="46">
        <v>1</v>
      </c>
      <c r="G65" s="46">
        <v>1</v>
      </c>
      <c r="H65" s="81">
        <f t="shared" si="3"/>
        <v>2885355.8499999978</v>
      </c>
      <c r="I65" s="84">
        <f t="shared" si="4"/>
        <v>0.14897187500003103</v>
      </c>
      <c r="J65" s="84">
        <f t="shared" si="5"/>
        <v>0.18784868815104153</v>
      </c>
      <c r="K65" s="90" t="s">
        <v>51</v>
      </c>
    </row>
    <row r="66" spans="1:11" ht="80">
      <c r="A66" s="14">
        <v>44869</v>
      </c>
      <c r="B66" s="83">
        <v>65</v>
      </c>
      <c r="C66" s="56">
        <v>36399.999999992549</v>
      </c>
      <c r="D66" s="50">
        <v>3.78</v>
      </c>
      <c r="E66" s="54">
        <v>6.2</v>
      </c>
      <c r="F66" s="46">
        <v>1</v>
      </c>
      <c r="G66" s="46">
        <v>1</v>
      </c>
      <c r="H66" s="81">
        <f t="shared" si="3"/>
        <v>2921755.8499999903</v>
      </c>
      <c r="I66" s="84">
        <f t="shared" si="4"/>
        <v>0.15166666666663561</v>
      </c>
      <c r="J66" s="84">
        <f t="shared" si="5"/>
        <v>0.18729204166666605</v>
      </c>
      <c r="K66" s="90" t="s">
        <v>51</v>
      </c>
    </row>
    <row r="67" spans="1:11" ht="60">
      <c r="A67" s="14">
        <v>44870</v>
      </c>
      <c r="B67" s="83">
        <v>66</v>
      </c>
      <c r="C67" s="56">
        <v>53946.750000007451</v>
      </c>
      <c r="D67" s="50">
        <v>5.45</v>
      </c>
      <c r="E67" s="54">
        <v>9.1999999999999993</v>
      </c>
      <c r="F67" s="46">
        <v>1</v>
      </c>
      <c r="G67" s="46">
        <v>1</v>
      </c>
      <c r="H67" s="81">
        <f t="shared" si="3"/>
        <v>2975702.5999999978</v>
      </c>
      <c r="I67" s="84">
        <f t="shared" si="4"/>
        <v>0.22477812500003105</v>
      </c>
      <c r="J67" s="84">
        <f t="shared" si="5"/>
        <v>0.18786001262626248</v>
      </c>
      <c r="K67" s="90" t="s">
        <v>53</v>
      </c>
    </row>
    <row r="68" spans="1:11" ht="80">
      <c r="A68" s="14">
        <v>44871</v>
      </c>
      <c r="B68" s="83">
        <v>67</v>
      </c>
      <c r="C68" s="56">
        <v>31202.60000000149</v>
      </c>
      <c r="D68" s="50">
        <v>2.82</v>
      </c>
      <c r="E68" s="54">
        <v>6.1</v>
      </c>
      <c r="F68" s="46">
        <v>1</v>
      </c>
      <c r="G68" s="46">
        <v>1</v>
      </c>
      <c r="H68" s="81">
        <f t="shared" si="3"/>
        <v>3006905.1999999993</v>
      </c>
      <c r="I68" s="84">
        <f t="shared" si="4"/>
        <v>0.13001083333333954</v>
      </c>
      <c r="J68" s="84">
        <f t="shared" si="5"/>
        <v>0.18699659203980096</v>
      </c>
      <c r="K68" s="90" t="s">
        <v>51</v>
      </c>
    </row>
    <row r="69" spans="1:11" ht="60">
      <c r="A69" s="14">
        <v>44872</v>
      </c>
      <c r="B69" s="83">
        <v>68</v>
      </c>
      <c r="C69" s="56">
        <v>64349.34999999404</v>
      </c>
      <c r="D69" s="50">
        <v>6.35</v>
      </c>
      <c r="E69" s="54">
        <v>10.8</v>
      </c>
      <c r="F69" s="46">
        <v>1</v>
      </c>
      <c r="G69" s="46">
        <v>1</v>
      </c>
      <c r="H69" s="81">
        <f t="shared" si="3"/>
        <v>3071254.5499999933</v>
      </c>
      <c r="I69" s="84">
        <f t="shared" si="4"/>
        <v>0.26812229166664181</v>
      </c>
      <c r="J69" s="84">
        <f t="shared" si="5"/>
        <v>0.18818961703431331</v>
      </c>
      <c r="K69" s="90" t="s">
        <v>54</v>
      </c>
    </row>
    <row r="70" spans="1:11" ht="60">
      <c r="A70" s="14">
        <v>44873</v>
      </c>
      <c r="B70" s="83">
        <v>69</v>
      </c>
      <c r="C70" s="56">
        <v>61751.29999999702</v>
      </c>
      <c r="D70" s="52">
        <v>6.73</v>
      </c>
      <c r="E70" s="54">
        <v>10.6</v>
      </c>
      <c r="F70" s="46">
        <v>1</v>
      </c>
      <c r="G70" s="46">
        <v>1</v>
      </c>
      <c r="H70" s="81">
        <f t="shared" si="3"/>
        <v>3133005.8499999903</v>
      </c>
      <c r="I70" s="84">
        <f t="shared" si="4"/>
        <v>0.25729708333332091</v>
      </c>
      <c r="J70" s="84">
        <f t="shared" si="5"/>
        <v>0.18919117451690762</v>
      </c>
      <c r="K70" s="90" t="s">
        <v>54</v>
      </c>
    </row>
    <row r="71" spans="1:11" ht="60">
      <c r="A71" s="14">
        <v>44874</v>
      </c>
      <c r="B71" s="83">
        <v>70</v>
      </c>
      <c r="C71" s="56">
        <v>55898.70000000298</v>
      </c>
      <c r="D71" s="52">
        <v>5.72</v>
      </c>
      <c r="E71" s="54">
        <v>10.3</v>
      </c>
      <c r="F71" s="46">
        <v>1</v>
      </c>
      <c r="G71" s="46">
        <v>1</v>
      </c>
      <c r="H71" s="81">
        <f t="shared" si="3"/>
        <v>3188904.5499999933</v>
      </c>
      <c r="I71" s="84">
        <f t="shared" si="4"/>
        <v>0.23291125000001242</v>
      </c>
      <c r="J71" s="84">
        <f t="shared" si="5"/>
        <v>0.18981574702380913</v>
      </c>
      <c r="K71" s="90" t="s">
        <v>54</v>
      </c>
    </row>
    <row r="72" spans="1:11" ht="20">
      <c r="A72" s="14">
        <v>44875</v>
      </c>
      <c r="B72" s="83">
        <v>71</v>
      </c>
      <c r="C72" s="56">
        <v>46798.05000000447</v>
      </c>
      <c r="D72" s="52">
        <v>4.59</v>
      </c>
      <c r="E72" s="54">
        <v>9.6</v>
      </c>
      <c r="F72" s="46">
        <v>1</v>
      </c>
      <c r="G72" s="46">
        <v>1</v>
      </c>
      <c r="H72" s="81">
        <f t="shared" si="3"/>
        <v>3235702.5999999978</v>
      </c>
      <c r="I72" s="84">
        <f t="shared" si="4"/>
        <v>0.19499187500001863</v>
      </c>
      <c r="J72" s="84">
        <f t="shared" si="5"/>
        <v>0.18988865023474166</v>
      </c>
      <c r="K72" s="90" t="s">
        <v>52</v>
      </c>
    </row>
    <row r="73" spans="1:11" ht="40">
      <c r="A73" s="14">
        <v>44876</v>
      </c>
      <c r="B73" s="83">
        <v>72</v>
      </c>
      <c r="C73" s="56">
        <v>11699.999999992549</v>
      </c>
      <c r="D73" s="52">
        <v>1.2</v>
      </c>
      <c r="E73" s="54">
        <v>5.0999999999999996</v>
      </c>
      <c r="F73" s="46">
        <v>1</v>
      </c>
      <c r="G73" s="46">
        <v>1</v>
      </c>
      <c r="H73" s="81">
        <f t="shared" si="3"/>
        <v>3247402.5999999903</v>
      </c>
      <c r="I73" s="84">
        <f t="shared" si="4"/>
        <v>4.8749999999968957E-2</v>
      </c>
      <c r="J73" s="84">
        <f t="shared" si="5"/>
        <v>0.18792839120370314</v>
      </c>
      <c r="K73" s="90" t="s">
        <v>61</v>
      </c>
    </row>
    <row r="74" spans="1:11" ht="40">
      <c r="A74" s="14">
        <v>44877</v>
      </c>
      <c r="B74" s="83">
        <v>73</v>
      </c>
      <c r="C74" s="56">
        <v>7799.3500000014901</v>
      </c>
      <c r="D74" s="52">
        <v>0.89</v>
      </c>
      <c r="E74" s="54">
        <v>3.1</v>
      </c>
      <c r="F74" s="46">
        <v>1</v>
      </c>
      <c r="G74" s="46">
        <v>1</v>
      </c>
      <c r="H74" s="81">
        <f t="shared" si="3"/>
        <v>3255201.9499999918</v>
      </c>
      <c r="I74" s="84">
        <f t="shared" si="4"/>
        <v>3.2497291666672874E-2</v>
      </c>
      <c r="J74" s="84">
        <f t="shared" si="5"/>
        <v>0.18579919805936027</v>
      </c>
      <c r="K74" s="90" t="s">
        <v>61</v>
      </c>
    </row>
    <row r="75" spans="1:11" ht="40">
      <c r="A75" s="14">
        <v>44878</v>
      </c>
      <c r="B75" s="83">
        <v>74</v>
      </c>
      <c r="C75" s="56">
        <v>20153.90000000596</v>
      </c>
      <c r="D75" s="52">
        <v>2.33</v>
      </c>
      <c r="E75" s="54">
        <v>4.5</v>
      </c>
      <c r="F75" s="46">
        <v>1</v>
      </c>
      <c r="G75" s="46">
        <v>1</v>
      </c>
      <c r="H75" s="81">
        <f t="shared" si="3"/>
        <v>3275355.8499999978</v>
      </c>
      <c r="I75" s="84">
        <f t="shared" si="4"/>
        <v>8.3974583333358166E-2</v>
      </c>
      <c r="J75" s="84">
        <f t="shared" si="5"/>
        <v>0.18442318975225214</v>
      </c>
      <c r="K75" s="90" t="s">
        <v>61</v>
      </c>
    </row>
    <row r="76" spans="1:11" ht="80">
      <c r="A76" s="14">
        <v>44879</v>
      </c>
      <c r="B76" s="83">
        <v>75</v>
      </c>
      <c r="C76" s="56">
        <v>39648.69999999553</v>
      </c>
      <c r="D76" s="52">
        <v>4.68</v>
      </c>
      <c r="E76" s="54">
        <v>7.8</v>
      </c>
      <c r="F76" s="46">
        <v>1</v>
      </c>
      <c r="G76" s="46">
        <v>1</v>
      </c>
      <c r="H76" s="81">
        <f t="shared" si="3"/>
        <v>3315004.5499999933</v>
      </c>
      <c r="I76" s="84">
        <f t="shared" si="4"/>
        <v>0.16520291666664805</v>
      </c>
      <c r="J76" s="84">
        <f t="shared" si="5"/>
        <v>0.18416691944444408</v>
      </c>
      <c r="K76" s="90" t="s">
        <v>51</v>
      </c>
    </row>
    <row r="77" spans="1:11" ht="20">
      <c r="A77" s="14">
        <v>44880</v>
      </c>
      <c r="B77" s="83">
        <v>76</v>
      </c>
      <c r="C77" s="56">
        <v>41601.30000000447</v>
      </c>
      <c r="D77" s="52">
        <v>4.3600000000000003</v>
      </c>
      <c r="E77" s="54">
        <v>10.3</v>
      </c>
      <c r="F77" s="46">
        <v>1</v>
      </c>
      <c r="G77" s="46">
        <v>1</v>
      </c>
      <c r="H77" s="81">
        <f t="shared" si="3"/>
        <v>3356605.8499999978</v>
      </c>
      <c r="I77" s="84">
        <f t="shared" si="4"/>
        <v>0.17333875000001864</v>
      </c>
      <c r="J77" s="84">
        <f t="shared" si="5"/>
        <v>0.18402444353070163</v>
      </c>
      <c r="K77" s="90" t="s">
        <v>52</v>
      </c>
    </row>
    <row r="78" spans="1:11" ht="20">
      <c r="A78" s="14">
        <v>44881</v>
      </c>
      <c r="B78" s="83">
        <v>77</v>
      </c>
      <c r="C78" s="56">
        <v>53296.749999992549</v>
      </c>
      <c r="D78" s="52">
        <v>5.42</v>
      </c>
      <c r="E78" s="54">
        <v>10.3</v>
      </c>
      <c r="F78" s="46">
        <v>1</v>
      </c>
      <c r="G78" s="46">
        <v>1</v>
      </c>
      <c r="H78" s="81">
        <f t="shared" si="3"/>
        <v>3409902.5999999903</v>
      </c>
      <c r="I78" s="84">
        <f t="shared" si="4"/>
        <v>0.22206979166663562</v>
      </c>
      <c r="J78" s="84">
        <f t="shared" si="5"/>
        <v>0.18451853896103843</v>
      </c>
      <c r="K78" s="90" t="s">
        <v>52</v>
      </c>
    </row>
    <row r="79" spans="1:11" ht="60">
      <c r="A79" s="14">
        <v>44882</v>
      </c>
      <c r="B79" s="83">
        <v>78</v>
      </c>
      <c r="C79" s="56">
        <v>63051.95000000298</v>
      </c>
      <c r="D79" s="52">
        <v>6.27</v>
      </c>
      <c r="E79" s="54">
        <v>10.199999999999999</v>
      </c>
      <c r="F79" s="46">
        <v>1</v>
      </c>
      <c r="G79" s="46">
        <v>1</v>
      </c>
      <c r="H79" s="81">
        <f t="shared" si="3"/>
        <v>3472954.5499999933</v>
      </c>
      <c r="I79" s="84">
        <f t="shared" si="4"/>
        <v>0.26271645833334573</v>
      </c>
      <c r="J79" s="84">
        <f t="shared" si="5"/>
        <v>0.18552107638888854</v>
      </c>
      <c r="K79" s="90" t="s">
        <v>54</v>
      </c>
    </row>
    <row r="80" spans="1:11" ht="60">
      <c r="A80" s="14">
        <v>44883</v>
      </c>
      <c r="B80" s="83">
        <v>79</v>
      </c>
      <c r="C80" s="56">
        <v>62401.30000000447</v>
      </c>
      <c r="D80" s="52">
        <v>6.02</v>
      </c>
      <c r="E80" s="54">
        <v>10.7</v>
      </c>
      <c r="F80" s="46">
        <v>1</v>
      </c>
      <c r="G80" s="46">
        <v>1</v>
      </c>
      <c r="H80" s="81">
        <f t="shared" si="3"/>
        <v>3535355.8499999978</v>
      </c>
      <c r="I80" s="84">
        <f t="shared" si="4"/>
        <v>0.26000541666668531</v>
      </c>
      <c r="J80" s="84">
        <f t="shared" si="5"/>
        <v>0.18646391613924038</v>
      </c>
      <c r="K80" s="90" t="s">
        <v>54</v>
      </c>
    </row>
    <row r="81" spans="1:11" ht="20">
      <c r="A81" s="14">
        <v>44884</v>
      </c>
      <c r="B81" s="83">
        <v>80</v>
      </c>
      <c r="C81" s="56">
        <v>53296.749999992549</v>
      </c>
      <c r="D81" s="52">
        <v>5.18</v>
      </c>
      <c r="E81" s="54">
        <v>9.1999999999999993</v>
      </c>
      <c r="F81" s="46">
        <v>1</v>
      </c>
      <c r="G81" s="46">
        <v>1</v>
      </c>
      <c r="H81" s="81">
        <f t="shared" si="3"/>
        <v>3588652.5999999903</v>
      </c>
      <c r="I81" s="84">
        <f t="shared" si="4"/>
        <v>0.22206979166663562</v>
      </c>
      <c r="J81" s="84">
        <f t="shared" si="5"/>
        <v>0.18690898958333282</v>
      </c>
      <c r="K81" s="90" t="s">
        <v>52</v>
      </c>
    </row>
    <row r="82" spans="1:11" ht="40">
      <c r="A82" s="14">
        <v>44885</v>
      </c>
      <c r="B82" s="83">
        <v>81</v>
      </c>
      <c r="C82" s="56">
        <v>36399.350000008941</v>
      </c>
      <c r="D82" s="52">
        <v>3.54</v>
      </c>
      <c r="E82" s="54">
        <v>8.5</v>
      </c>
      <c r="F82" s="46">
        <v>1</v>
      </c>
      <c r="G82" s="46">
        <v>1</v>
      </c>
      <c r="H82" s="81">
        <f t="shared" si="3"/>
        <v>3625051.9499999993</v>
      </c>
      <c r="I82" s="84">
        <f t="shared" si="4"/>
        <v>0.1516639583333706</v>
      </c>
      <c r="J82" s="84">
        <f t="shared" si="5"/>
        <v>0.18647386574074071</v>
      </c>
      <c r="K82" s="90" t="s">
        <v>56</v>
      </c>
    </row>
    <row r="83" spans="1:11" ht="40">
      <c r="A83" s="14">
        <v>44886</v>
      </c>
      <c r="B83" s="83">
        <v>82</v>
      </c>
      <c r="C83" s="56">
        <v>35751.94999999553</v>
      </c>
      <c r="D83" s="52">
        <v>3.54</v>
      </c>
      <c r="E83" s="54">
        <v>10.3</v>
      </c>
      <c r="F83" s="46">
        <v>1</v>
      </c>
      <c r="G83" s="46">
        <v>1</v>
      </c>
      <c r="H83" s="81">
        <f t="shared" si="3"/>
        <v>3660803.8999999948</v>
      </c>
      <c r="I83" s="84">
        <f t="shared" si="4"/>
        <v>0.14896645833331471</v>
      </c>
      <c r="J83" s="84">
        <f t="shared" si="5"/>
        <v>0.18601645833333308</v>
      </c>
      <c r="K83" s="90" t="s">
        <v>56</v>
      </c>
    </row>
    <row r="84" spans="1:11" ht="40">
      <c r="A84" s="14">
        <v>44887</v>
      </c>
      <c r="B84" s="83">
        <v>83</v>
      </c>
      <c r="C84" s="56">
        <v>12996.750000007451</v>
      </c>
      <c r="D84" s="52">
        <v>1.53</v>
      </c>
      <c r="E84" s="54">
        <v>4.5999999999999996</v>
      </c>
      <c r="F84" s="46">
        <v>1</v>
      </c>
      <c r="G84" s="46">
        <v>0.86111111111111116</v>
      </c>
      <c r="H84" s="81">
        <f t="shared" si="3"/>
        <v>3673800.6500000022</v>
      </c>
      <c r="I84" s="84">
        <f t="shared" si="4"/>
        <v>5.4153125000031041E-2</v>
      </c>
      <c r="J84" s="84">
        <f t="shared" si="5"/>
        <v>0.18442774347389571</v>
      </c>
      <c r="K84" s="90" t="s">
        <v>61</v>
      </c>
    </row>
    <row r="85" spans="1:11" ht="40">
      <c r="A85" s="14">
        <v>44888</v>
      </c>
      <c r="B85" s="83">
        <v>84</v>
      </c>
      <c r="C85" s="56">
        <v>14952.59999999404</v>
      </c>
      <c r="D85" s="52">
        <v>1.51</v>
      </c>
      <c r="E85" s="54">
        <v>9.1999999999999993</v>
      </c>
      <c r="F85" s="46">
        <v>1</v>
      </c>
      <c r="G85" s="46">
        <v>1</v>
      </c>
      <c r="H85" s="81">
        <f t="shared" si="3"/>
        <v>3688753.2499999963</v>
      </c>
      <c r="I85" s="84">
        <f t="shared" si="4"/>
        <v>6.2302499999975162E-2</v>
      </c>
      <c r="J85" s="84">
        <f t="shared" si="5"/>
        <v>0.18297387152777758</v>
      </c>
      <c r="K85" s="90" t="s">
        <v>61</v>
      </c>
    </row>
    <row r="86" spans="1:11" ht="80">
      <c r="A86" s="14">
        <v>44889</v>
      </c>
      <c r="B86" s="83">
        <v>85</v>
      </c>
      <c r="C86" s="56">
        <v>28600.64999999851</v>
      </c>
      <c r="D86" s="52">
        <v>2.94</v>
      </c>
      <c r="E86" s="54">
        <v>10</v>
      </c>
      <c r="F86" s="46">
        <v>1</v>
      </c>
      <c r="G86" s="46">
        <v>1</v>
      </c>
      <c r="H86" s="81">
        <f t="shared" si="3"/>
        <v>3717353.8999999948</v>
      </c>
      <c r="I86" s="84">
        <f t="shared" si="4"/>
        <v>0.11916937499999379</v>
      </c>
      <c r="J86" s="84">
        <f t="shared" si="5"/>
        <v>0.1822232303921566</v>
      </c>
      <c r="K86" s="90" t="s">
        <v>51</v>
      </c>
    </row>
    <row r="87" spans="1:11" ht="20">
      <c r="A87" s="14">
        <v>44890</v>
      </c>
      <c r="B87" s="83">
        <v>86</v>
      </c>
      <c r="C87" s="56">
        <v>46798.05000000447</v>
      </c>
      <c r="D87" s="52">
        <v>4.62</v>
      </c>
      <c r="E87" s="54">
        <v>10.9</v>
      </c>
      <c r="F87" s="46">
        <v>1</v>
      </c>
      <c r="G87" s="46">
        <v>1</v>
      </c>
      <c r="H87" s="81">
        <f t="shared" si="3"/>
        <v>3764151.9499999993</v>
      </c>
      <c r="I87" s="84">
        <f t="shared" si="4"/>
        <v>0.19499187500001863</v>
      </c>
      <c r="J87" s="84">
        <f t="shared" si="5"/>
        <v>0.18237170300387592</v>
      </c>
      <c r="K87" s="90" t="s">
        <v>52</v>
      </c>
    </row>
    <row r="88" spans="1:11" ht="60">
      <c r="A88" s="14">
        <v>44891</v>
      </c>
      <c r="B88" s="83">
        <v>87</v>
      </c>
      <c r="C88" s="56">
        <v>53300.64999999851</v>
      </c>
      <c r="D88" s="52">
        <v>5.35</v>
      </c>
      <c r="E88" s="54">
        <v>11</v>
      </c>
      <c r="F88" s="46">
        <v>1</v>
      </c>
      <c r="G88" s="46">
        <v>1</v>
      </c>
      <c r="H88" s="81">
        <f t="shared" si="3"/>
        <v>3817452.5999999978</v>
      </c>
      <c r="I88" s="84">
        <f t="shared" si="4"/>
        <v>0.22208604166666046</v>
      </c>
      <c r="J88" s="84">
        <f t="shared" si="5"/>
        <v>0.18282818965517231</v>
      </c>
      <c r="K88" s="90" t="s">
        <v>54</v>
      </c>
    </row>
    <row r="89" spans="1:11" ht="20">
      <c r="A89" s="14">
        <v>44892</v>
      </c>
      <c r="B89" s="83">
        <v>88</v>
      </c>
      <c r="C89" s="56">
        <v>48750</v>
      </c>
      <c r="D89" s="52">
        <v>4.9800000000000004</v>
      </c>
      <c r="E89" s="54">
        <v>10</v>
      </c>
      <c r="F89" s="46">
        <v>1</v>
      </c>
      <c r="G89" s="46">
        <v>1</v>
      </c>
      <c r="H89" s="81">
        <f t="shared" si="3"/>
        <v>3866202.5999999978</v>
      </c>
      <c r="I89" s="84">
        <f t="shared" si="4"/>
        <v>0.203125</v>
      </c>
      <c r="J89" s="84">
        <f t="shared" si="5"/>
        <v>0.18305883522727262</v>
      </c>
      <c r="K89" s="90" t="s">
        <v>52</v>
      </c>
    </row>
    <row r="90" spans="1:11" ht="20">
      <c r="A90" s="14">
        <v>44893</v>
      </c>
      <c r="B90" s="83">
        <v>89</v>
      </c>
      <c r="C90" s="56">
        <v>44850</v>
      </c>
      <c r="D90" s="52">
        <v>4.5599999999999996</v>
      </c>
      <c r="E90" s="54">
        <v>8.8000000000000007</v>
      </c>
      <c r="F90" s="46">
        <v>1</v>
      </c>
      <c r="G90" s="46">
        <v>1</v>
      </c>
      <c r="H90" s="81">
        <f t="shared" si="3"/>
        <v>3911052.5999999978</v>
      </c>
      <c r="I90" s="84">
        <f t="shared" si="4"/>
        <v>0.18687500000000001</v>
      </c>
      <c r="J90" s="84">
        <f t="shared" si="5"/>
        <v>0.18310171348314597</v>
      </c>
      <c r="K90" s="90" t="s">
        <v>52</v>
      </c>
    </row>
    <row r="91" spans="1:11" ht="20">
      <c r="A91" s="14">
        <v>44894</v>
      </c>
      <c r="B91" s="83">
        <v>90</v>
      </c>
      <c r="C91" s="56">
        <v>50701.94999999553</v>
      </c>
      <c r="D91" s="52">
        <v>5.16</v>
      </c>
      <c r="E91" s="54">
        <v>9.1</v>
      </c>
      <c r="F91" s="46">
        <v>1</v>
      </c>
      <c r="G91" s="46">
        <v>1</v>
      </c>
      <c r="H91" s="81">
        <f t="shared" si="3"/>
        <v>3961754.5499999933</v>
      </c>
      <c r="I91" s="84">
        <f t="shared" si="4"/>
        <v>0.21125812499998137</v>
      </c>
      <c r="J91" s="84">
        <f t="shared" si="5"/>
        <v>0.18341456249999968</v>
      </c>
      <c r="K91" s="90" t="s">
        <v>52</v>
      </c>
    </row>
    <row r="92" spans="1:11" ht="60">
      <c r="A92" s="14">
        <v>44895</v>
      </c>
      <c r="B92" s="83">
        <v>91</v>
      </c>
      <c r="C92" s="56">
        <v>58497.40000000596</v>
      </c>
      <c r="D92" s="52">
        <v>5.72</v>
      </c>
      <c r="E92" s="54">
        <v>9.6</v>
      </c>
      <c r="F92" s="46">
        <v>1</v>
      </c>
      <c r="G92" s="46">
        <v>1</v>
      </c>
      <c r="H92" s="81">
        <f t="shared" si="3"/>
        <v>4020251.9499999993</v>
      </c>
      <c r="I92" s="84">
        <f t="shared" si="4"/>
        <v>0.24373916666669151</v>
      </c>
      <c r="J92" s="84">
        <f t="shared" si="5"/>
        <v>0.1840774702380952</v>
      </c>
      <c r="K92" s="90" t="s">
        <v>54</v>
      </c>
    </row>
    <row r="93" spans="1:11" ht="100">
      <c r="A93" s="14">
        <v>44896</v>
      </c>
      <c r="B93" s="83">
        <v>92</v>
      </c>
      <c r="C93" s="56">
        <v>21451.29999999702</v>
      </c>
      <c r="D93" s="53">
        <v>2.17</v>
      </c>
      <c r="E93" s="54">
        <v>6.2</v>
      </c>
      <c r="F93" s="47">
        <v>1</v>
      </c>
      <c r="G93" s="47">
        <v>1</v>
      </c>
      <c r="H93" s="81">
        <f t="shared" si="3"/>
        <v>4041703.2499999963</v>
      </c>
      <c r="I93" s="84">
        <f t="shared" si="4"/>
        <v>8.938041666665425E-2</v>
      </c>
      <c r="J93" s="84">
        <f t="shared" si="5"/>
        <v>0.18304815443840564</v>
      </c>
      <c r="K93" s="48" t="s">
        <v>62</v>
      </c>
    </row>
    <row r="94" spans="1:11" ht="20">
      <c r="A94" s="14">
        <v>44897</v>
      </c>
      <c r="B94" s="83">
        <v>93</v>
      </c>
      <c r="C94" s="56">
        <v>40950</v>
      </c>
      <c r="D94" s="53">
        <v>4.08</v>
      </c>
      <c r="E94" s="54">
        <v>11.1</v>
      </c>
      <c r="F94" s="47">
        <v>1</v>
      </c>
      <c r="G94" s="47">
        <v>1</v>
      </c>
      <c r="H94" s="81">
        <f t="shared" si="3"/>
        <v>4082653.2499999963</v>
      </c>
      <c r="I94" s="84">
        <f t="shared" si="4"/>
        <v>0.170625</v>
      </c>
      <c r="J94" s="84">
        <f t="shared" si="5"/>
        <v>0.18291457213261633</v>
      </c>
      <c r="K94" s="90" t="s">
        <v>52</v>
      </c>
    </row>
    <row r="95" spans="1:11" ht="20">
      <c r="A95" s="14">
        <v>44898</v>
      </c>
      <c r="B95" s="83">
        <v>94</v>
      </c>
      <c r="C95" s="56">
        <v>48099.35000000149</v>
      </c>
      <c r="D95" s="53">
        <v>4.7300000000000004</v>
      </c>
      <c r="E95" s="54">
        <v>11.1</v>
      </c>
      <c r="F95" s="47">
        <v>1</v>
      </c>
      <c r="G95" s="47">
        <v>1</v>
      </c>
      <c r="H95" s="81">
        <f t="shared" si="3"/>
        <v>4130752.5999999978</v>
      </c>
      <c r="I95" s="84">
        <f t="shared" si="4"/>
        <v>0.20041395833333955</v>
      </c>
      <c r="J95" s="84">
        <f t="shared" si="5"/>
        <v>0.18310073581560274</v>
      </c>
      <c r="K95" s="90" t="s">
        <v>52</v>
      </c>
    </row>
    <row r="96" spans="1:11" ht="40">
      <c r="A96" s="14">
        <v>44899</v>
      </c>
      <c r="B96" s="83">
        <v>95</v>
      </c>
      <c r="C96" s="56">
        <v>33800</v>
      </c>
      <c r="D96" s="53">
        <v>4.97</v>
      </c>
      <c r="E96" s="54">
        <v>10.9</v>
      </c>
      <c r="F96" s="47">
        <v>1</v>
      </c>
      <c r="G96" s="47">
        <v>0.88263888888888886</v>
      </c>
      <c r="H96" s="81">
        <f t="shared" si="3"/>
        <v>4164552.5999999978</v>
      </c>
      <c r="I96" s="84">
        <f t="shared" si="4"/>
        <v>0.14083333333333334</v>
      </c>
      <c r="J96" s="84">
        <f t="shared" si="5"/>
        <v>0.1826558157894736</v>
      </c>
      <c r="K96" s="90" t="s">
        <v>63</v>
      </c>
    </row>
    <row r="97" spans="1:11" ht="20">
      <c r="A97" s="14">
        <v>44900</v>
      </c>
      <c r="B97" s="83">
        <v>96</v>
      </c>
      <c r="C97" s="56">
        <v>49398.04999999702</v>
      </c>
      <c r="D97" s="53">
        <v>4.92</v>
      </c>
      <c r="E97" s="54">
        <v>10.3</v>
      </c>
      <c r="F97" s="47">
        <v>1</v>
      </c>
      <c r="G97" s="47">
        <v>1</v>
      </c>
      <c r="H97" s="81">
        <f t="shared" si="3"/>
        <v>4213950.6499999948</v>
      </c>
      <c r="I97" s="84">
        <f t="shared" si="4"/>
        <v>0.20582520833332091</v>
      </c>
      <c r="J97" s="84">
        <f t="shared" si="5"/>
        <v>0.182897163628472</v>
      </c>
      <c r="K97" s="90" t="s">
        <v>52</v>
      </c>
    </row>
    <row r="98" spans="1:11" ht="40">
      <c r="A98" s="14">
        <v>44901</v>
      </c>
      <c r="B98" s="83">
        <v>97</v>
      </c>
      <c r="C98" s="56">
        <v>39002.60000000149</v>
      </c>
      <c r="D98" s="53">
        <v>3.9</v>
      </c>
      <c r="E98" s="54">
        <v>10.1</v>
      </c>
      <c r="F98" s="47">
        <v>1</v>
      </c>
      <c r="G98" s="47">
        <v>1</v>
      </c>
      <c r="H98" s="81">
        <f t="shared" si="3"/>
        <v>4252953.2499999963</v>
      </c>
      <c r="I98" s="84">
        <f t="shared" si="4"/>
        <v>0.16251083333333954</v>
      </c>
      <c r="J98" s="84">
        <f t="shared" si="5"/>
        <v>0.18268699527491392</v>
      </c>
      <c r="K98" s="90" t="s">
        <v>56</v>
      </c>
    </row>
    <row r="99" spans="1:11" ht="20">
      <c r="A99" s="14">
        <v>44902</v>
      </c>
      <c r="B99" s="83">
        <v>98</v>
      </c>
      <c r="C99" s="56">
        <v>46798.05000000447</v>
      </c>
      <c r="D99" s="53">
        <v>4.54</v>
      </c>
      <c r="E99" s="54">
        <v>10.8</v>
      </c>
      <c r="F99" s="47">
        <v>1</v>
      </c>
      <c r="G99" s="47">
        <v>1</v>
      </c>
      <c r="H99" s="81">
        <f t="shared" si="3"/>
        <v>4299751.3000000007</v>
      </c>
      <c r="I99" s="84">
        <f t="shared" si="4"/>
        <v>0.19499187500001863</v>
      </c>
      <c r="J99" s="84">
        <f t="shared" si="5"/>
        <v>0.18281255527210888</v>
      </c>
      <c r="K99" s="90" t="s">
        <v>52</v>
      </c>
    </row>
    <row r="100" spans="1:11" ht="80">
      <c r="A100" s="14">
        <v>44903</v>
      </c>
      <c r="B100" s="83">
        <v>99</v>
      </c>
      <c r="C100" s="56">
        <v>42251.29999999702</v>
      </c>
      <c r="D100" s="51">
        <v>4.04</v>
      </c>
      <c r="E100" s="54">
        <v>10.1</v>
      </c>
      <c r="F100" s="47">
        <v>1</v>
      </c>
      <c r="G100" s="47">
        <v>1</v>
      </c>
      <c r="H100" s="81">
        <f t="shared" si="3"/>
        <v>4342002.5999999978</v>
      </c>
      <c r="I100" s="84">
        <f t="shared" si="4"/>
        <v>0.17604708333332092</v>
      </c>
      <c r="J100" s="84">
        <f t="shared" si="5"/>
        <v>0.18274421717171707</v>
      </c>
      <c r="K100" s="90" t="s">
        <v>51</v>
      </c>
    </row>
    <row r="101" spans="1:11" ht="40">
      <c r="A101" s="14">
        <v>44904</v>
      </c>
      <c r="B101" s="83">
        <v>100</v>
      </c>
      <c r="C101" s="56">
        <v>12350</v>
      </c>
      <c r="D101" s="51">
        <v>1.18</v>
      </c>
      <c r="E101" s="54">
        <v>5.5</v>
      </c>
      <c r="F101" s="47">
        <v>1</v>
      </c>
      <c r="G101" s="47">
        <v>1</v>
      </c>
      <c r="H101" s="81">
        <f t="shared" si="3"/>
        <v>4354352.5999999978</v>
      </c>
      <c r="I101" s="84">
        <f t="shared" si="4"/>
        <v>5.1458333333333335E-2</v>
      </c>
      <c r="J101" s="84">
        <f t="shared" si="5"/>
        <v>0.18143135833333324</v>
      </c>
      <c r="K101" s="90" t="s">
        <v>64</v>
      </c>
    </row>
    <row r="102" spans="1:11" ht="40">
      <c r="A102" s="14">
        <v>44905</v>
      </c>
      <c r="B102" s="83">
        <v>101</v>
      </c>
      <c r="C102" s="56">
        <v>4550.6499999985099</v>
      </c>
      <c r="D102" s="51">
        <v>0.48</v>
      </c>
      <c r="E102" s="54">
        <v>1.6</v>
      </c>
      <c r="F102" s="47">
        <v>1</v>
      </c>
      <c r="G102" s="47">
        <v>1</v>
      </c>
      <c r="H102" s="81">
        <f t="shared" si="3"/>
        <v>4358903.2499999963</v>
      </c>
      <c r="I102" s="84">
        <f t="shared" si="4"/>
        <v>1.8961041666660457E-2</v>
      </c>
      <c r="J102" s="84">
        <f t="shared" si="5"/>
        <v>0.17982274133663351</v>
      </c>
      <c r="K102" s="90" t="s">
        <v>64</v>
      </c>
    </row>
    <row r="103" spans="1:11" ht="40">
      <c r="A103" s="14">
        <v>44906</v>
      </c>
      <c r="B103" s="83">
        <v>102</v>
      </c>
      <c r="C103" s="56">
        <v>11049.35000000149</v>
      </c>
      <c r="D103" s="51">
        <v>1.1000000000000001</v>
      </c>
      <c r="E103" s="54">
        <v>5.0999999999999996</v>
      </c>
      <c r="F103" s="47">
        <v>1</v>
      </c>
      <c r="G103" s="47">
        <v>1</v>
      </c>
      <c r="H103" s="81">
        <f t="shared" si="3"/>
        <v>4369952.5999999978</v>
      </c>
      <c r="I103" s="84">
        <f t="shared" si="4"/>
        <v>4.6038958333339541E-2</v>
      </c>
      <c r="J103" s="84">
        <f t="shared" si="5"/>
        <v>0.17851113562091495</v>
      </c>
      <c r="K103" s="90" t="s">
        <v>64</v>
      </c>
    </row>
    <row r="104" spans="1:11" ht="40">
      <c r="A104" s="14">
        <v>44907</v>
      </c>
      <c r="B104" s="83">
        <v>103</v>
      </c>
      <c r="C104" s="56">
        <v>20800</v>
      </c>
      <c r="D104" s="51">
        <v>1.9</v>
      </c>
      <c r="E104" s="54">
        <v>8.9</v>
      </c>
      <c r="F104" s="47">
        <v>1</v>
      </c>
      <c r="G104" s="47">
        <v>1</v>
      </c>
      <c r="H104" s="81">
        <f t="shared" si="3"/>
        <v>4390752.5999999978</v>
      </c>
      <c r="I104" s="84">
        <f t="shared" si="4"/>
        <v>8.666666666666667E-2</v>
      </c>
      <c r="J104" s="84">
        <f t="shared" si="5"/>
        <v>0.17761944174757271</v>
      </c>
      <c r="K104" s="90" t="s">
        <v>64</v>
      </c>
    </row>
    <row r="105" spans="1:11" ht="40">
      <c r="A105" s="14">
        <v>44908</v>
      </c>
      <c r="B105" s="83">
        <v>104</v>
      </c>
      <c r="C105" s="56">
        <v>8450.6499999985099</v>
      </c>
      <c r="D105" s="51">
        <v>0.88</v>
      </c>
      <c r="E105" s="54">
        <v>5.4</v>
      </c>
      <c r="F105" s="47">
        <v>1</v>
      </c>
      <c r="G105" s="47">
        <v>1</v>
      </c>
      <c r="H105" s="81">
        <f t="shared" si="3"/>
        <v>4399203.2499999963</v>
      </c>
      <c r="I105" s="84">
        <f t="shared" si="4"/>
        <v>3.5211041666660454E-2</v>
      </c>
      <c r="J105" s="84">
        <f t="shared" si="5"/>
        <v>0.17625013020833319</v>
      </c>
      <c r="K105" s="90" t="s">
        <v>64</v>
      </c>
    </row>
    <row r="106" spans="1:11" ht="20">
      <c r="A106" s="14">
        <v>44909</v>
      </c>
      <c r="B106" s="83">
        <v>105</v>
      </c>
      <c r="C106" s="56">
        <v>46151.30000000447</v>
      </c>
      <c r="D106" s="51">
        <v>4.4400000000000004</v>
      </c>
      <c r="E106" s="54">
        <v>10.9</v>
      </c>
      <c r="F106" s="47">
        <v>1</v>
      </c>
      <c r="G106" s="47">
        <v>1</v>
      </c>
      <c r="H106" s="81">
        <f t="shared" ref="H106:H169" si="6">H105+C106</f>
        <v>4445354.5500000007</v>
      </c>
      <c r="I106" s="84">
        <f t="shared" si="4"/>
        <v>0.19229708333335196</v>
      </c>
      <c r="J106" s="84">
        <f t="shared" si="5"/>
        <v>0.17640295833333336</v>
      </c>
      <c r="K106" s="90" t="s">
        <v>52</v>
      </c>
    </row>
    <row r="107" spans="1:11" ht="20">
      <c r="A107" s="14">
        <v>44910</v>
      </c>
      <c r="B107" s="83">
        <v>106</v>
      </c>
      <c r="C107" s="56">
        <v>68261.04999999702</v>
      </c>
      <c r="D107" s="51">
        <v>6.48</v>
      </c>
      <c r="E107" s="54">
        <v>9.6999999999999993</v>
      </c>
      <c r="F107" s="47">
        <v>1</v>
      </c>
      <c r="G107" s="47">
        <v>1</v>
      </c>
      <c r="H107" s="81">
        <f t="shared" si="6"/>
        <v>4513615.5999999978</v>
      </c>
      <c r="I107" s="84">
        <f t="shared" si="4"/>
        <v>0.28442104166665427</v>
      </c>
      <c r="J107" s="84">
        <f t="shared" si="5"/>
        <v>0.17742199685534582</v>
      </c>
      <c r="K107" s="90" t="s">
        <v>65</v>
      </c>
    </row>
    <row r="108" spans="1:11" ht="20">
      <c r="A108" s="14">
        <v>44911</v>
      </c>
      <c r="B108" s="83">
        <v>107</v>
      </c>
      <c r="C108" s="56">
        <v>66285.69999999553</v>
      </c>
      <c r="D108" s="52">
        <v>6.32</v>
      </c>
      <c r="E108" s="54">
        <v>9.5</v>
      </c>
      <c r="F108" s="47">
        <v>1</v>
      </c>
      <c r="G108" s="47">
        <v>1</v>
      </c>
      <c r="H108" s="81">
        <f t="shared" si="6"/>
        <v>4579901.2999999933</v>
      </c>
      <c r="I108" s="84">
        <f t="shared" si="4"/>
        <v>0.27619041666664806</v>
      </c>
      <c r="J108" s="84">
        <f t="shared" si="5"/>
        <v>0.17834506619937668</v>
      </c>
      <c r="K108" s="90" t="s">
        <v>65</v>
      </c>
    </row>
    <row r="109" spans="1:11" ht="60">
      <c r="A109" s="14">
        <v>44912</v>
      </c>
      <c r="B109" s="83">
        <v>108</v>
      </c>
      <c r="C109" s="56">
        <v>61100.000000007451</v>
      </c>
      <c r="D109" s="52">
        <v>5.89</v>
      </c>
      <c r="E109" s="54">
        <v>10</v>
      </c>
      <c r="F109" s="47">
        <v>1</v>
      </c>
      <c r="G109" s="47">
        <v>1</v>
      </c>
      <c r="H109" s="81">
        <f t="shared" si="6"/>
        <v>4641001.3000000007</v>
      </c>
      <c r="I109" s="84">
        <f t="shared" si="4"/>
        <v>0.25458333333336436</v>
      </c>
      <c r="J109" s="84">
        <f t="shared" si="5"/>
        <v>0.17905097608024695</v>
      </c>
      <c r="K109" s="90" t="s">
        <v>54</v>
      </c>
    </row>
    <row r="110" spans="1:11" ht="20">
      <c r="A110" s="14">
        <v>44913</v>
      </c>
      <c r="B110" s="83">
        <v>109</v>
      </c>
      <c r="C110" s="56">
        <v>46801.94999999553</v>
      </c>
      <c r="D110" s="51">
        <v>4.5</v>
      </c>
      <c r="E110" s="54">
        <v>10.1</v>
      </c>
      <c r="F110" s="47">
        <v>1</v>
      </c>
      <c r="G110" s="47">
        <v>1</v>
      </c>
      <c r="H110" s="81">
        <f t="shared" si="6"/>
        <v>4687803.2499999963</v>
      </c>
      <c r="I110" s="84">
        <f t="shared" ref="I110:I173" si="7">C110/(10*24*1000)</f>
        <v>0.19500812499998138</v>
      </c>
      <c r="J110" s="84">
        <f t="shared" si="5"/>
        <v>0.17919737194189589</v>
      </c>
      <c r="K110" s="90" t="s">
        <v>52</v>
      </c>
    </row>
    <row r="111" spans="1:11" ht="60">
      <c r="A111" s="14">
        <v>44914</v>
      </c>
      <c r="B111" s="83">
        <v>110</v>
      </c>
      <c r="C111" s="56">
        <v>59148.05000000447</v>
      </c>
      <c r="D111" s="52">
        <v>5.61</v>
      </c>
      <c r="E111" s="54">
        <v>10.7</v>
      </c>
      <c r="F111" s="47">
        <v>1</v>
      </c>
      <c r="G111" s="47">
        <v>1</v>
      </c>
      <c r="H111" s="81">
        <f t="shared" si="6"/>
        <v>4746951.3000000007</v>
      </c>
      <c r="I111" s="84">
        <f t="shared" si="7"/>
        <v>0.24645020833335196</v>
      </c>
      <c r="J111" s="84">
        <f t="shared" si="5"/>
        <v>0.17980876136363638</v>
      </c>
      <c r="K111" s="90" t="s">
        <v>54</v>
      </c>
    </row>
    <row r="112" spans="1:11" ht="60">
      <c r="A112" s="14">
        <v>44915</v>
      </c>
      <c r="B112" s="83">
        <v>111</v>
      </c>
      <c r="C112" s="56">
        <v>53951.29999999702</v>
      </c>
      <c r="D112" s="52">
        <v>5.75</v>
      </c>
      <c r="E112" s="54">
        <v>10.4</v>
      </c>
      <c r="F112" s="47">
        <v>1</v>
      </c>
      <c r="G112" s="47">
        <v>0.95763888888888893</v>
      </c>
      <c r="H112" s="81">
        <f t="shared" si="6"/>
        <v>4800902.5999999978</v>
      </c>
      <c r="I112" s="84">
        <f t="shared" si="7"/>
        <v>0.22479708333332091</v>
      </c>
      <c r="J112" s="84">
        <f t="shared" ref="J112:J123" si="8">H112/(24*B112*10*1000)</f>
        <v>0.18021406156156147</v>
      </c>
      <c r="K112" s="90" t="s">
        <v>54</v>
      </c>
    </row>
    <row r="113" spans="1:11" ht="20">
      <c r="A113" s="14">
        <v>44916</v>
      </c>
      <c r="B113" s="83">
        <v>112</v>
      </c>
      <c r="C113" s="56">
        <v>45500.64999999851</v>
      </c>
      <c r="D113" s="52">
        <v>4.82</v>
      </c>
      <c r="E113" s="54">
        <v>11</v>
      </c>
      <c r="F113" s="47">
        <v>1</v>
      </c>
      <c r="G113" s="47">
        <v>0.97083333333333333</v>
      </c>
      <c r="H113" s="81">
        <f t="shared" si="6"/>
        <v>4846403.2499999963</v>
      </c>
      <c r="I113" s="84">
        <f t="shared" si="7"/>
        <v>0.18958604166666046</v>
      </c>
      <c r="J113" s="84">
        <f t="shared" si="8"/>
        <v>0.180297739955357</v>
      </c>
      <c r="K113" s="90" t="s">
        <v>52</v>
      </c>
    </row>
    <row r="114" spans="1:11" ht="20">
      <c r="A114" s="14">
        <v>44917</v>
      </c>
      <c r="B114" s="83">
        <v>113</v>
      </c>
      <c r="C114" s="56">
        <v>66297.39999999851</v>
      </c>
      <c r="D114" s="52">
        <v>6.26</v>
      </c>
      <c r="E114" s="54">
        <v>10</v>
      </c>
      <c r="F114" s="47">
        <v>1</v>
      </c>
      <c r="G114" s="47">
        <v>1</v>
      </c>
      <c r="H114" s="81">
        <f t="shared" si="6"/>
        <v>4912700.6499999948</v>
      </c>
      <c r="I114" s="84">
        <f t="shared" si="7"/>
        <v>0.27623916666666049</v>
      </c>
      <c r="J114" s="84">
        <f t="shared" si="8"/>
        <v>0.18114677912979332</v>
      </c>
      <c r="K114" s="90" t="s">
        <v>65</v>
      </c>
    </row>
    <row r="115" spans="1:11" ht="20">
      <c r="A115" s="14">
        <v>44918</v>
      </c>
      <c r="B115" s="83">
        <v>114</v>
      </c>
      <c r="C115" s="56">
        <v>65650.64999999851</v>
      </c>
      <c r="D115" s="52">
        <v>6.14</v>
      </c>
      <c r="E115" s="54">
        <v>10.1</v>
      </c>
      <c r="F115" s="47">
        <v>1</v>
      </c>
      <c r="G115" s="47">
        <v>1</v>
      </c>
      <c r="H115" s="81">
        <f t="shared" si="6"/>
        <v>4978351.2999999933</v>
      </c>
      <c r="I115" s="84">
        <f t="shared" si="7"/>
        <v>0.27354437499999379</v>
      </c>
      <c r="J115" s="84">
        <f t="shared" si="8"/>
        <v>0.1819572843567249</v>
      </c>
      <c r="K115" s="90" t="s">
        <v>65</v>
      </c>
    </row>
    <row r="116" spans="1:11" ht="60">
      <c r="A116" s="14">
        <v>44919</v>
      </c>
      <c r="B116" s="83">
        <v>115</v>
      </c>
      <c r="C116" s="56">
        <v>59151.95000000298</v>
      </c>
      <c r="D116" s="52">
        <v>5.74</v>
      </c>
      <c r="E116" s="54">
        <v>9.8000000000000007</v>
      </c>
      <c r="F116" s="47">
        <v>1</v>
      </c>
      <c r="G116" s="47">
        <v>1</v>
      </c>
      <c r="H116" s="81">
        <f t="shared" si="6"/>
        <v>5037503.2499999963</v>
      </c>
      <c r="I116" s="84">
        <f t="shared" si="7"/>
        <v>0.24646645833334574</v>
      </c>
      <c r="J116" s="84">
        <f t="shared" si="8"/>
        <v>0.18251823369565204</v>
      </c>
      <c r="K116" s="90" t="s">
        <v>54</v>
      </c>
    </row>
    <row r="117" spans="1:11" ht="80">
      <c r="A117" s="14">
        <v>44920</v>
      </c>
      <c r="B117" s="83">
        <v>116</v>
      </c>
      <c r="C117" s="56">
        <v>14949.35000000149</v>
      </c>
      <c r="D117" s="52">
        <v>1.49</v>
      </c>
      <c r="E117" s="54">
        <v>8.6999999999999993</v>
      </c>
      <c r="F117" s="47">
        <v>1</v>
      </c>
      <c r="G117" s="47">
        <v>1</v>
      </c>
      <c r="H117" s="81">
        <f t="shared" si="6"/>
        <v>5052452.5999999978</v>
      </c>
      <c r="I117" s="84">
        <f t="shared" si="7"/>
        <v>6.2288958333339542E-2</v>
      </c>
      <c r="J117" s="84">
        <f t="shared" si="8"/>
        <v>0.18148177442528726</v>
      </c>
      <c r="K117" s="90" t="s">
        <v>51</v>
      </c>
    </row>
    <row r="118" spans="1:11" ht="80">
      <c r="A118" s="14">
        <v>44921</v>
      </c>
      <c r="B118" s="83">
        <v>117</v>
      </c>
      <c r="C118" s="56">
        <v>22748.04999999702</v>
      </c>
      <c r="D118" s="52">
        <v>2.29</v>
      </c>
      <c r="E118" s="54">
        <v>10</v>
      </c>
      <c r="F118" s="47">
        <v>1</v>
      </c>
      <c r="G118" s="47">
        <v>1</v>
      </c>
      <c r="H118" s="81">
        <f t="shared" si="6"/>
        <v>5075200.6499999948</v>
      </c>
      <c r="I118" s="84">
        <f t="shared" si="7"/>
        <v>9.4783541666654245E-2</v>
      </c>
      <c r="J118" s="84">
        <f t="shared" si="8"/>
        <v>0.18074076388888871</v>
      </c>
      <c r="K118" s="90" t="s">
        <v>51</v>
      </c>
    </row>
    <row r="119" spans="1:11" ht="40">
      <c r="A119" s="14">
        <v>44922</v>
      </c>
      <c r="B119" s="83">
        <v>118</v>
      </c>
      <c r="C119" s="56">
        <v>19507.15000000596</v>
      </c>
      <c r="D119" s="52">
        <v>2.0699999999999998</v>
      </c>
      <c r="E119" s="54">
        <v>9.5</v>
      </c>
      <c r="F119" s="47">
        <v>1</v>
      </c>
      <c r="G119" s="47">
        <v>0.93333333333333335</v>
      </c>
      <c r="H119" s="81">
        <f t="shared" si="6"/>
        <v>5094707.8000000007</v>
      </c>
      <c r="I119" s="84">
        <f t="shared" si="7"/>
        <v>8.1279791666691498E-2</v>
      </c>
      <c r="J119" s="84">
        <f t="shared" si="8"/>
        <v>0.17989787429378534</v>
      </c>
      <c r="K119" s="90" t="s">
        <v>56</v>
      </c>
    </row>
    <row r="120" spans="1:11" ht="60">
      <c r="A120" s="14">
        <v>44923</v>
      </c>
      <c r="B120" s="83">
        <v>119</v>
      </c>
      <c r="C120" s="56">
        <v>58493.5</v>
      </c>
      <c r="D120" s="52">
        <v>5.58</v>
      </c>
      <c r="E120" s="54">
        <v>10.7</v>
      </c>
      <c r="F120" s="47">
        <v>1</v>
      </c>
      <c r="G120" s="47">
        <v>1</v>
      </c>
      <c r="H120" s="81">
        <f t="shared" si="6"/>
        <v>5153201.3000000007</v>
      </c>
      <c r="I120" s="84">
        <f t="shared" si="7"/>
        <v>0.24372291666666668</v>
      </c>
      <c r="J120" s="84">
        <f t="shared" si="8"/>
        <v>0.1804342191876751</v>
      </c>
      <c r="K120" s="90" t="s">
        <v>54</v>
      </c>
    </row>
    <row r="121" spans="1:11" ht="60">
      <c r="A121" s="14">
        <v>44924</v>
      </c>
      <c r="B121" s="83">
        <v>120</v>
      </c>
      <c r="C121" s="56">
        <v>60449.999999992549</v>
      </c>
      <c r="D121" s="52">
        <v>5.87</v>
      </c>
      <c r="E121" s="54">
        <v>11</v>
      </c>
      <c r="F121" s="47">
        <v>1</v>
      </c>
      <c r="G121" s="47">
        <v>1</v>
      </c>
      <c r="H121" s="81">
        <f t="shared" si="6"/>
        <v>5213651.2999999933</v>
      </c>
      <c r="I121" s="84">
        <f t="shared" si="7"/>
        <v>0.25187499999996893</v>
      </c>
      <c r="J121" s="84">
        <f t="shared" si="8"/>
        <v>0.18102955902777754</v>
      </c>
      <c r="K121" s="90" t="s">
        <v>54</v>
      </c>
    </row>
    <row r="122" spans="1:11" ht="60">
      <c r="A122" s="14">
        <v>44925</v>
      </c>
      <c r="B122" s="83">
        <v>121</v>
      </c>
      <c r="C122" s="56">
        <v>61100.000000007451</v>
      </c>
      <c r="D122" s="52">
        <v>5.74</v>
      </c>
      <c r="E122" s="54">
        <v>10</v>
      </c>
      <c r="F122" s="47">
        <v>1</v>
      </c>
      <c r="G122" s="47">
        <v>1</v>
      </c>
      <c r="H122" s="81">
        <f t="shared" si="6"/>
        <v>5274751.3000000007</v>
      </c>
      <c r="I122" s="84">
        <f t="shared" si="7"/>
        <v>0.25458333333336436</v>
      </c>
      <c r="J122" s="84">
        <f t="shared" si="8"/>
        <v>0.18163744146005512</v>
      </c>
      <c r="K122" s="90" t="s">
        <v>54</v>
      </c>
    </row>
    <row r="123" spans="1:11" ht="20">
      <c r="A123" s="14">
        <v>44926</v>
      </c>
      <c r="B123" s="83">
        <v>122</v>
      </c>
      <c r="C123" s="56">
        <v>64353.25</v>
      </c>
      <c r="D123" s="54">
        <v>6.07</v>
      </c>
      <c r="E123" s="54">
        <v>9.6</v>
      </c>
      <c r="F123" s="47">
        <v>1</v>
      </c>
      <c r="G123" s="47">
        <v>1</v>
      </c>
      <c r="H123" s="81">
        <f t="shared" si="6"/>
        <v>5339104.5500000007</v>
      </c>
      <c r="I123" s="84">
        <f t="shared" si="7"/>
        <v>0.26813854166666667</v>
      </c>
      <c r="J123" s="84">
        <f t="shared" si="8"/>
        <v>0.18234646687158473</v>
      </c>
      <c r="K123" s="90" t="s">
        <v>65</v>
      </c>
    </row>
    <row r="124" spans="1:11" ht="20">
      <c r="A124" s="14">
        <v>44927</v>
      </c>
      <c r="B124" s="83">
        <v>123</v>
      </c>
      <c r="C124" s="56">
        <v>63698.69999999553</v>
      </c>
      <c r="D124" s="50">
        <v>5.99</v>
      </c>
      <c r="E124" s="54">
        <v>9.6</v>
      </c>
      <c r="F124" s="46">
        <v>1</v>
      </c>
      <c r="G124" s="46">
        <v>1</v>
      </c>
      <c r="H124" s="81">
        <f t="shared" si="6"/>
        <v>5402803.2499999963</v>
      </c>
      <c r="I124" s="84">
        <f t="shared" si="7"/>
        <v>0.26541124999998139</v>
      </c>
      <c r="J124" s="84">
        <f>H124/(24*B124*10*1000)</f>
        <v>0.183021790311653</v>
      </c>
      <c r="K124" s="90" t="s">
        <v>65</v>
      </c>
    </row>
    <row r="125" spans="1:11" ht="60">
      <c r="A125" s="14">
        <v>44928</v>
      </c>
      <c r="B125" s="83">
        <v>124</v>
      </c>
      <c r="C125" s="56">
        <v>60449.35000000149</v>
      </c>
      <c r="D125" s="50">
        <v>5.72</v>
      </c>
      <c r="E125" s="54">
        <v>9.5</v>
      </c>
      <c r="F125" s="46">
        <v>1</v>
      </c>
      <c r="G125" s="46">
        <v>1</v>
      </c>
      <c r="H125" s="81">
        <f t="shared" si="6"/>
        <v>5463252.5999999978</v>
      </c>
      <c r="I125" s="84">
        <f t="shared" si="7"/>
        <v>0.25187229166667285</v>
      </c>
      <c r="J125" s="84">
        <f t="shared" ref="J125:J188" si="9">H125/(24*B125*10*1000)</f>
        <v>0.18357703629032252</v>
      </c>
      <c r="K125" s="90" t="s">
        <v>54</v>
      </c>
    </row>
    <row r="126" spans="1:11" ht="20">
      <c r="A126" s="14">
        <v>44929</v>
      </c>
      <c r="B126" s="83">
        <v>125</v>
      </c>
      <c r="C126" s="56">
        <v>50051.29999999702</v>
      </c>
      <c r="D126" s="50">
        <v>4.7699999999999996</v>
      </c>
      <c r="E126" s="54">
        <v>10.7</v>
      </c>
      <c r="F126" s="46">
        <v>1</v>
      </c>
      <c r="G126" s="46">
        <v>1</v>
      </c>
      <c r="H126" s="81">
        <f t="shared" si="6"/>
        <v>5513303.8999999948</v>
      </c>
      <c r="I126" s="84">
        <f t="shared" si="7"/>
        <v>0.20854708333332092</v>
      </c>
      <c r="J126" s="84">
        <f t="shared" si="9"/>
        <v>0.18377679666666649</v>
      </c>
      <c r="K126" s="90" t="s">
        <v>52</v>
      </c>
    </row>
    <row r="127" spans="1:11" ht="20">
      <c r="A127" s="14">
        <v>44930</v>
      </c>
      <c r="B127" s="83">
        <v>126</v>
      </c>
      <c r="C127" s="56">
        <v>48750</v>
      </c>
      <c r="D127" s="50">
        <v>4.82</v>
      </c>
      <c r="E127" s="54">
        <v>11.1</v>
      </c>
      <c r="F127" s="46">
        <v>1</v>
      </c>
      <c r="G127" s="46">
        <v>0.9868055555555556</v>
      </c>
      <c r="H127" s="81">
        <f t="shared" si="6"/>
        <v>5562053.8999999948</v>
      </c>
      <c r="I127" s="84">
        <f t="shared" si="7"/>
        <v>0.203125</v>
      </c>
      <c r="J127" s="84">
        <f t="shared" si="9"/>
        <v>0.18393035383597867</v>
      </c>
      <c r="K127" s="90" t="s">
        <v>52</v>
      </c>
    </row>
    <row r="128" spans="1:11" ht="20">
      <c r="A128" s="14">
        <v>44931</v>
      </c>
      <c r="B128" s="83">
        <v>127</v>
      </c>
      <c r="C128" s="56">
        <v>41597.39999999851</v>
      </c>
      <c r="D128" s="50">
        <v>3.89</v>
      </c>
      <c r="E128" s="54">
        <v>11.1</v>
      </c>
      <c r="F128" s="46">
        <v>1</v>
      </c>
      <c r="G128" s="46">
        <v>1</v>
      </c>
      <c r="H128" s="81">
        <f t="shared" si="6"/>
        <v>5603651.2999999933</v>
      </c>
      <c r="I128" s="84">
        <f t="shared" si="7"/>
        <v>0.1733224999999938</v>
      </c>
      <c r="J128" s="84">
        <f t="shared" si="9"/>
        <v>0.1838468274278213</v>
      </c>
      <c r="K128" s="90" t="s">
        <v>52</v>
      </c>
    </row>
    <row r="129" spans="1:11" ht="60">
      <c r="A129" s="14">
        <v>44932</v>
      </c>
      <c r="B129" s="83">
        <v>128</v>
      </c>
      <c r="C129" s="56">
        <v>55251.95000000298</v>
      </c>
      <c r="D129" s="50">
        <v>5.25</v>
      </c>
      <c r="E129" s="54">
        <v>10.199999999999999</v>
      </c>
      <c r="F129" s="46">
        <v>1</v>
      </c>
      <c r="G129" s="46">
        <v>1</v>
      </c>
      <c r="H129" s="81">
        <f t="shared" si="6"/>
        <v>5658903.2499999963</v>
      </c>
      <c r="I129" s="84">
        <f t="shared" si="7"/>
        <v>0.23021645833334575</v>
      </c>
      <c r="J129" s="84">
        <f t="shared" si="9"/>
        <v>0.1842090901692707</v>
      </c>
      <c r="K129" s="90" t="s">
        <v>54</v>
      </c>
    </row>
    <row r="130" spans="1:11" ht="40">
      <c r="A130" s="14">
        <v>44933</v>
      </c>
      <c r="B130" s="83">
        <v>129</v>
      </c>
      <c r="C130" s="56">
        <v>37050.65000000596</v>
      </c>
      <c r="D130" s="50">
        <v>3.52</v>
      </c>
      <c r="E130" s="54">
        <v>10.4</v>
      </c>
      <c r="F130" s="46">
        <v>1</v>
      </c>
      <c r="G130" s="46">
        <v>1</v>
      </c>
      <c r="H130" s="81">
        <f t="shared" si="6"/>
        <v>5695953.9000000022</v>
      </c>
      <c r="I130" s="84">
        <f t="shared" si="7"/>
        <v>0.15437770833335818</v>
      </c>
      <c r="J130" s="84">
        <f t="shared" si="9"/>
        <v>0.18397783914728688</v>
      </c>
      <c r="K130" s="90" t="s">
        <v>56</v>
      </c>
    </row>
    <row r="131" spans="1:11" ht="20">
      <c r="A131" s="14">
        <v>44934</v>
      </c>
      <c r="B131" s="83">
        <v>130</v>
      </c>
      <c r="C131" s="56">
        <v>45496.749999992549</v>
      </c>
      <c r="D131" s="52">
        <v>4.47</v>
      </c>
      <c r="E131" s="54">
        <v>10.4</v>
      </c>
      <c r="F131" s="46">
        <v>1</v>
      </c>
      <c r="G131" s="46">
        <v>1</v>
      </c>
      <c r="H131" s="81">
        <f t="shared" si="6"/>
        <v>5741450.6499999948</v>
      </c>
      <c r="I131" s="84">
        <f t="shared" si="7"/>
        <v>0.18956979166663562</v>
      </c>
      <c r="J131" s="84">
        <f t="shared" si="9"/>
        <v>0.1840208541666665</v>
      </c>
      <c r="K131" s="90" t="s">
        <v>52</v>
      </c>
    </row>
    <row r="132" spans="1:11" ht="20">
      <c r="A132" s="14">
        <v>44935</v>
      </c>
      <c r="B132" s="83">
        <v>131</v>
      </c>
      <c r="C132" s="56">
        <v>66301.30000000447</v>
      </c>
      <c r="D132" s="52">
        <v>6.22</v>
      </c>
      <c r="E132" s="54">
        <v>10</v>
      </c>
      <c r="F132" s="46">
        <v>1</v>
      </c>
      <c r="G132" s="46">
        <v>1</v>
      </c>
      <c r="H132" s="81">
        <f t="shared" si="6"/>
        <v>5807751.9499999993</v>
      </c>
      <c r="I132" s="84">
        <f t="shared" si="7"/>
        <v>0.27625541666668529</v>
      </c>
      <c r="J132" s="84">
        <f t="shared" si="9"/>
        <v>0.18472493479643765</v>
      </c>
      <c r="K132" s="90" t="s">
        <v>65</v>
      </c>
    </row>
    <row r="133" spans="1:11" ht="20">
      <c r="A133" s="14">
        <v>44936</v>
      </c>
      <c r="B133" s="83">
        <v>132</v>
      </c>
      <c r="C133" s="56">
        <v>68249.35000000149</v>
      </c>
      <c r="D133" s="52">
        <v>6.37</v>
      </c>
      <c r="E133" s="54">
        <v>9.9</v>
      </c>
      <c r="F133" s="46">
        <v>1</v>
      </c>
      <c r="G133" s="46">
        <v>1</v>
      </c>
      <c r="H133" s="81">
        <f t="shared" si="6"/>
        <v>5876001.3000000007</v>
      </c>
      <c r="I133" s="84">
        <f t="shared" si="7"/>
        <v>0.28437229166667288</v>
      </c>
      <c r="J133" s="84">
        <f t="shared" si="9"/>
        <v>0.18547983901515153</v>
      </c>
      <c r="K133" s="90" t="s">
        <v>65</v>
      </c>
    </row>
    <row r="134" spans="1:11" ht="20">
      <c r="A134" s="14">
        <v>44937</v>
      </c>
      <c r="B134" s="83">
        <v>133</v>
      </c>
      <c r="C134" s="56">
        <v>70201.29999999702</v>
      </c>
      <c r="D134" s="52">
        <v>6.74</v>
      </c>
      <c r="E134" s="54">
        <v>10</v>
      </c>
      <c r="F134" s="46">
        <v>1</v>
      </c>
      <c r="G134" s="46">
        <v>1</v>
      </c>
      <c r="H134" s="81">
        <f t="shared" si="6"/>
        <v>5946202.5999999978</v>
      </c>
      <c r="I134" s="84">
        <f t="shared" si="7"/>
        <v>0.29250541666665425</v>
      </c>
      <c r="J134" s="84">
        <f t="shared" si="9"/>
        <v>0.18628454260651622</v>
      </c>
      <c r="K134" s="90" t="s">
        <v>65</v>
      </c>
    </row>
    <row r="135" spans="1:11" ht="20">
      <c r="A135" s="14">
        <v>44938</v>
      </c>
      <c r="B135" s="83">
        <v>134</v>
      </c>
      <c r="C135" s="56">
        <v>66300.64999999851</v>
      </c>
      <c r="D135" s="52">
        <v>6.54</v>
      </c>
      <c r="E135" s="54">
        <v>9.9</v>
      </c>
      <c r="F135" s="46">
        <v>1</v>
      </c>
      <c r="G135" s="46">
        <v>0.92222222222222228</v>
      </c>
      <c r="H135" s="81">
        <f t="shared" si="6"/>
        <v>6012503.2499999963</v>
      </c>
      <c r="I135" s="84">
        <f t="shared" si="7"/>
        <v>0.2762527083333271</v>
      </c>
      <c r="J135" s="84">
        <f t="shared" si="9"/>
        <v>0.18695594682835809</v>
      </c>
      <c r="K135" s="90" t="s">
        <v>65</v>
      </c>
    </row>
    <row r="136" spans="1:11" ht="20">
      <c r="A136" s="14">
        <v>44939</v>
      </c>
      <c r="B136" s="83">
        <v>135</v>
      </c>
      <c r="C136" s="56">
        <v>62398.04999999702</v>
      </c>
      <c r="D136" s="52">
        <v>6.11</v>
      </c>
      <c r="E136" s="54">
        <v>10</v>
      </c>
      <c r="F136" s="46">
        <v>1</v>
      </c>
      <c r="G136" s="46">
        <v>1</v>
      </c>
      <c r="H136" s="81">
        <f t="shared" si="6"/>
        <v>6074901.2999999933</v>
      </c>
      <c r="I136" s="84">
        <f t="shared" si="7"/>
        <v>0.2599918749999876</v>
      </c>
      <c r="J136" s="84">
        <f t="shared" si="9"/>
        <v>0.18749695370370351</v>
      </c>
      <c r="K136" s="90" t="s">
        <v>65</v>
      </c>
    </row>
    <row r="137" spans="1:11" ht="20">
      <c r="A137" s="14">
        <v>44940</v>
      </c>
      <c r="B137" s="83">
        <v>136</v>
      </c>
      <c r="C137" s="56">
        <v>66301.30000000447</v>
      </c>
      <c r="D137" s="52">
        <v>6.34</v>
      </c>
      <c r="E137" s="54">
        <v>10</v>
      </c>
      <c r="F137" s="46">
        <v>1</v>
      </c>
      <c r="G137" s="46">
        <v>1</v>
      </c>
      <c r="H137" s="81">
        <f t="shared" si="6"/>
        <v>6141202.5999999978</v>
      </c>
      <c r="I137" s="84">
        <f t="shared" si="7"/>
        <v>0.27625541666668529</v>
      </c>
      <c r="J137" s="84">
        <f t="shared" si="9"/>
        <v>0.18814958946078425</v>
      </c>
      <c r="K137" s="90" t="s">
        <v>65</v>
      </c>
    </row>
    <row r="138" spans="1:11" ht="60">
      <c r="A138" s="14">
        <v>44941</v>
      </c>
      <c r="B138" s="83">
        <v>137</v>
      </c>
      <c r="C138" s="56">
        <v>58501.30000000447</v>
      </c>
      <c r="D138" s="52">
        <v>5.73</v>
      </c>
      <c r="E138" s="54">
        <v>10.5</v>
      </c>
      <c r="F138" s="46">
        <v>1</v>
      </c>
      <c r="G138" s="46">
        <v>1</v>
      </c>
      <c r="H138" s="81">
        <f t="shared" si="6"/>
        <v>6199703.9000000022</v>
      </c>
      <c r="I138" s="84">
        <f t="shared" si="7"/>
        <v>0.24375541666668529</v>
      </c>
      <c r="J138" s="84">
        <f t="shared" si="9"/>
        <v>0.18855547141119228</v>
      </c>
      <c r="K138" s="90" t="s">
        <v>54</v>
      </c>
    </row>
    <row r="139" spans="1:11" ht="20">
      <c r="A139" s="14">
        <v>44942</v>
      </c>
      <c r="B139" s="83">
        <v>138</v>
      </c>
      <c r="C139" s="56">
        <v>66297.39999999851</v>
      </c>
      <c r="D139" s="52">
        <v>6.37</v>
      </c>
      <c r="E139" s="54">
        <v>9.9</v>
      </c>
      <c r="F139" s="46">
        <v>1</v>
      </c>
      <c r="G139" s="46">
        <v>1</v>
      </c>
      <c r="H139" s="81">
        <f t="shared" si="6"/>
        <v>6266001.3000000007</v>
      </c>
      <c r="I139" s="84">
        <f t="shared" si="7"/>
        <v>0.27623916666666049</v>
      </c>
      <c r="J139" s="84">
        <f t="shared" si="9"/>
        <v>0.1891908605072464</v>
      </c>
      <c r="K139" s="90" t="s">
        <v>65</v>
      </c>
    </row>
    <row r="140" spans="1:11" ht="20">
      <c r="A140" s="14">
        <v>44943</v>
      </c>
      <c r="B140" s="83">
        <v>139</v>
      </c>
      <c r="C140" s="56">
        <v>63702.60000000149</v>
      </c>
      <c r="D140" s="52">
        <v>6.69</v>
      </c>
      <c r="E140" s="54">
        <v>9.8000000000000007</v>
      </c>
      <c r="F140" s="46">
        <v>1</v>
      </c>
      <c r="G140" s="46">
        <v>0.91874999999999996</v>
      </c>
      <c r="H140" s="81">
        <f t="shared" si="6"/>
        <v>6329703.9000000022</v>
      </c>
      <c r="I140" s="84">
        <f t="shared" si="7"/>
        <v>0.2654275000000062</v>
      </c>
      <c r="J140" s="84">
        <f t="shared" si="9"/>
        <v>0.1897393255395684</v>
      </c>
      <c r="K140" s="90" t="s">
        <v>65</v>
      </c>
    </row>
    <row r="141" spans="1:11" ht="20">
      <c r="A141" s="14">
        <v>44944</v>
      </c>
      <c r="B141" s="83">
        <v>140</v>
      </c>
      <c r="C141" s="56">
        <v>69550.649999991059</v>
      </c>
      <c r="D141" s="52">
        <v>6.08</v>
      </c>
      <c r="E141" s="54">
        <v>10</v>
      </c>
      <c r="F141" s="46">
        <v>1</v>
      </c>
      <c r="G141" s="46">
        <v>1</v>
      </c>
      <c r="H141" s="81">
        <f t="shared" si="6"/>
        <v>6399254.5499999933</v>
      </c>
      <c r="I141" s="84">
        <f t="shared" si="7"/>
        <v>0.28979437499996274</v>
      </c>
      <c r="J141" s="84">
        <f t="shared" si="9"/>
        <v>0.19045400446428551</v>
      </c>
      <c r="K141" s="90" t="s">
        <v>65</v>
      </c>
    </row>
    <row r="142" spans="1:11" ht="20">
      <c r="A142" s="14">
        <v>44945</v>
      </c>
      <c r="B142" s="83">
        <v>141</v>
      </c>
      <c r="C142" s="56">
        <v>67598.05000000447</v>
      </c>
      <c r="D142" s="52">
        <v>6.48</v>
      </c>
      <c r="E142" s="54">
        <v>9.9</v>
      </c>
      <c r="F142" s="46">
        <v>1</v>
      </c>
      <c r="G142" s="46">
        <v>1</v>
      </c>
      <c r="H142" s="81">
        <f t="shared" si="6"/>
        <v>6466852.5999999978</v>
      </c>
      <c r="I142" s="84">
        <f t="shared" si="7"/>
        <v>0.2816585416666853</v>
      </c>
      <c r="J142" s="84">
        <f t="shared" si="9"/>
        <v>0.19110084515366424</v>
      </c>
      <c r="K142" s="90" t="s">
        <v>65</v>
      </c>
    </row>
    <row r="143" spans="1:11" ht="20">
      <c r="A143" s="14">
        <v>44946</v>
      </c>
      <c r="B143" s="83">
        <v>142</v>
      </c>
      <c r="C143" s="56">
        <v>47449.35000000149</v>
      </c>
      <c r="D143" s="52">
        <v>4.62</v>
      </c>
      <c r="E143" s="54">
        <v>11.1</v>
      </c>
      <c r="F143" s="46">
        <v>1</v>
      </c>
      <c r="G143" s="46">
        <v>1</v>
      </c>
      <c r="H143" s="81">
        <f t="shared" si="6"/>
        <v>6514301.9499999993</v>
      </c>
      <c r="I143" s="84">
        <f t="shared" si="7"/>
        <v>0.19770562500000621</v>
      </c>
      <c r="J143" s="84">
        <f t="shared" si="9"/>
        <v>0.1911473576877934</v>
      </c>
      <c r="K143" s="90" t="s">
        <v>52</v>
      </c>
    </row>
    <row r="144" spans="1:11" ht="20">
      <c r="A144" s="14">
        <v>44947</v>
      </c>
      <c r="B144" s="83">
        <v>143</v>
      </c>
      <c r="C144" s="56">
        <v>50050.64999999851</v>
      </c>
      <c r="D144" s="51">
        <v>5</v>
      </c>
      <c r="E144" s="54">
        <v>11</v>
      </c>
      <c r="F144" s="46">
        <v>1</v>
      </c>
      <c r="G144" s="46">
        <v>1</v>
      </c>
      <c r="H144" s="81">
        <f t="shared" si="6"/>
        <v>6564352.5999999978</v>
      </c>
      <c r="I144" s="84">
        <f t="shared" si="7"/>
        <v>0.20854437499999379</v>
      </c>
      <c r="J144" s="84">
        <f t="shared" si="9"/>
        <v>0.19126901515151509</v>
      </c>
      <c r="K144" s="90" t="s">
        <v>52</v>
      </c>
    </row>
    <row r="145" spans="1:11" ht="60">
      <c r="A145" s="14">
        <v>44948</v>
      </c>
      <c r="B145" s="83">
        <v>144</v>
      </c>
      <c r="C145" s="56">
        <v>61100.64999999851</v>
      </c>
      <c r="D145" s="52">
        <v>5.89</v>
      </c>
      <c r="E145" s="54">
        <v>10.1</v>
      </c>
      <c r="F145" s="46">
        <v>1</v>
      </c>
      <c r="G145" s="46">
        <v>1</v>
      </c>
      <c r="H145" s="81">
        <f t="shared" si="6"/>
        <v>6625453.2499999963</v>
      </c>
      <c r="I145" s="84">
        <f t="shared" si="7"/>
        <v>0.25458604166666043</v>
      </c>
      <c r="J145" s="84">
        <f t="shared" si="9"/>
        <v>0.19170871672453693</v>
      </c>
      <c r="K145" s="90" t="s">
        <v>54</v>
      </c>
    </row>
    <row r="146" spans="1:11" ht="40">
      <c r="A146" s="14">
        <v>44949</v>
      </c>
      <c r="B146" s="83">
        <v>145</v>
      </c>
      <c r="C146" s="56">
        <v>18198.04999999702</v>
      </c>
      <c r="D146" s="52">
        <v>1.85</v>
      </c>
      <c r="E146" s="54">
        <v>3.8</v>
      </c>
      <c r="F146" s="46">
        <v>1</v>
      </c>
      <c r="G146" s="46">
        <v>1</v>
      </c>
      <c r="H146" s="81">
        <f t="shared" si="6"/>
        <v>6643651.2999999933</v>
      </c>
      <c r="I146" s="84">
        <f t="shared" si="7"/>
        <v>7.5825208333320918E-2</v>
      </c>
      <c r="J146" s="84">
        <f t="shared" si="9"/>
        <v>0.19090952011494233</v>
      </c>
      <c r="K146" s="90" t="s">
        <v>56</v>
      </c>
    </row>
    <row r="147" spans="1:11" ht="60">
      <c r="A147" s="14">
        <v>44950</v>
      </c>
      <c r="B147" s="83">
        <v>146</v>
      </c>
      <c r="C147" s="56">
        <v>57200</v>
      </c>
      <c r="D147" s="52">
        <v>5.44</v>
      </c>
      <c r="E147" s="54">
        <v>11</v>
      </c>
      <c r="F147" s="46">
        <v>1</v>
      </c>
      <c r="G147" s="46">
        <v>1</v>
      </c>
      <c r="H147" s="81">
        <f t="shared" si="6"/>
        <v>6700851.2999999933</v>
      </c>
      <c r="I147" s="84">
        <f t="shared" si="7"/>
        <v>0.23833333333333334</v>
      </c>
      <c r="J147" s="84">
        <f t="shared" si="9"/>
        <v>0.19123434075342446</v>
      </c>
      <c r="K147" s="90" t="s">
        <v>54</v>
      </c>
    </row>
    <row r="148" spans="1:11" ht="20">
      <c r="A148" s="14">
        <v>44951</v>
      </c>
      <c r="B148" s="83">
        <v>147</v>
      </c>
      <c r="C148" s="56">
        <v>64349.35000000149</v>
      </c>
      <c r="D148" s="52">
        <v>6.23</v>
      </c>
      <c r="E148" s="54">
        <v>9.8000000000000007</v>
      </c>
      <c r="F148" s="46">
        <v>1</v>
      </c>
      <c r="G148" s="46">
        <v>1</v>
      </c>
      <c r="H148" s="81">
        <f t="shared" si="6"/>
        <v>6765200.6499999948</v>
      </c>
      <c r="I148" s="84">
        <f t="shared" si="7"/>
        <v>0.2681222916666729</v>
      </c>
      <c r="J148" s="84">
        <f t="shared" si="9"/>
        <v>0.19175738803854861</v>
      </c>
      <c r="K148" s="90" t="s">
        <v>65</v>
      </c>
    </row>
    <row r="149" spans="1:11" ht="60">
      <c r="A149" s="14">
        <v>44952</v>
      </c>
      <c r="B149" s="83">
        <v>148</v>
      </c>
      <c r="C149" s="56">
        <v>63702.60000000149</v>
      </c>
      <c r="D149" s="52">
        <v>6.15</v>
      </c>
      <c r="E149" s="54">
        <v>9.8000000000000007</v>
      </c>
      <c r="F149" s="46">
        <v>1</v>
      </c>
      <c r="G149" s="46">
        <v>1</v>
      </c>
      <c r="H149" s="81">
        <f t="shared" si="6"/>
        <v>6828903.2499999963</v>
      </c>
      <c r="I149" s="84">
        <f t="shared" si="7"/>
        <v>0.2654275000000062</v>
      </c>
      <c r="J149" s="84">
        <f t="shared" si="9"/>
        <v>0.19225515906531521</v>
      </c>
      <c r="K149" s="90" t="s">
        <v>54</v>
      </c>
    </row>
    <row r="150" spans="1:11" ht="20">
      <c r="A150" s="14">
        <v>44953</v>
      </c>
      <c r="B150" s="83">
        <v>149</v>
      </c>
      <c r="C150" s="56">
        <v>66948.04999999702</v>
      </c>
      <c r="D150" s="52">
        <v>6.44</v>
      </c>
      <c r="E150" s="54">
        <v>9.9</v>
      </c>
      <c r="F150" s="46">
        <v>1</v>
      </c>
      <c r="G150" s="46">
        <v>1</v>
      </c>
      <c r="H150" s="81">
        <f t="shared" si="6"/>
        <v>6895851.2999999933</v>
      </c>
      <c r="I150" s="84">
        <f t="shared" si="7"/>
        <v>0.2789502083333209</v>
      </c>
      <c r="J150" s="84">
        <f t="shared" si="9"/>
        <v>0.19283700503355686</v>
      </c>
      <c r="K150" s="90" t="s">
        <v>65</v>
      </c>
    </row>
    <row r="151" spans="1:11" ht="20">
      <c r="A151" s="14">
        <v>44954</v>
      </c>
      <c r="B151" s="83">
        <v>150</v>
      </c>
      <c r="C151" s="56">
        <v>69550.65000000596</v>
      </c>
      <c r="D151" s="52">
        <v>6.61</v>
      </c>
      <c r="E151" s="54">
        <v>9.9</v>
      </c>
      <c r="F151" s="46">
        <v>1</v>
      </c>
      <c r="G151" s="46">
        <v>1</v>
      </c>
      <c r="H151" s="81">
        <f t="shared" si="6"/>
        <v>6965401.9499999993</v>
      </c>
      <c r="I151" s="84">
        <f t="shared" si="7"/>
        <v>0.28979437500002486</v>
      </c>
      <c r="J151" s="84">
        <f t="shared" si="9"/>
        <v>0.19348338749999999</v>
      </c>
      <c r="K151" s="90" t="s">
        <v>65</v>
      </c>
    </row>
    <row r="152" spans="1:11" ht="20">
      <c r="A152" s="14">
        <v>44955</v>
      </c>
      <c r="B152" s="83">
        <v>151</v>
      </c>
      <c r="C152" s="56">
        <v>67602.59999999404</v>
      </c>
      <c r="D152" s="52">
        <v>6.38</v>
      </c>
      <c r="E152" s="54">
        <v>9.8000000000000007</v>
      </c>
      <c r="F152" s="46">
        <v>1</v>
      </c>
      <c r="G152" s="46">
        <v>1</v>
      </c>
      <c r="H152" s="81">
        <f t="shared" si="6"/>
        <v>7033004.5499999933</v>
      </c>
      <c r="I152" s="84">
        <f t="shared" si="7"/>
        <v>0.28167749999997516</v>
      </c>
      <c r="J152" s="84">
        <f t="shared" si="9"/>
        <v>0.19406745447019849</v>
      </c>
      <c r="K152" s="90" t="s">
        <v>65</v>
      </c>
    </row>
    <row r="153" spans="1:11" ht="40">
      <c r="A153" s="14">
        <v>44956</v>
      </c>
      <c r="B153" s="83">
        <v>152</v>
      </c>
      <c r="C153" s="56">
        <v>38998.05000000447</v>
      </c>
      <c r="D153" s="52">
        <v>3.93</v>
      </c>
      <c r="E153" s="54">
        <v>10.9</v>
      </c>
      <c r="F153" s="46">
        <v>1</v>
      </c>
      <c r="G153" s="46">
        <v>1</v>
      </c>
      <c r="H153" s="81">
        <f t="shared" si="6"/>
        <v>7072002.5999999978</v>
      </c>
      <c r="I153" s="84">
        <f t="shared" si="7"/>
        <v>0.16249187500001863</v>
      </c>
      <c r="J153" s="84">
        <f t="shared" si="9"/>
        <v>0.19385972039473678</v>
      </c>
      <c r="K153" s="90" t="s">
        <v>56</v>
      </c>
    </row>
    <row r="154" spans="1:11" ht="40">
      <c r="A154" s="14">
        <v>44957</v>
      </c>
      <c r="B154" s="83">
        <v>153</v>
      </c>
      <c r="C154" s="56">
        <v>46798.05000000447</v>
      </c>
      <c r="D154" s="51">
        <v>4.5</v>
      </c>
      <c r="E154" s="54">
        <v>9.6</v>
      </c>
      <c r="F154" s="46">
        <v>1</v>
      </c>
      <c r="G154" s="46">
        <v>1</v>
      </c>
      <c r="H154" s="81">
        <f t="shared" si="6"/>
        <v>7118800.6500000022</v>
      </c>
      <c r="I154" s="84">
        <f t="shared" si="7"/>
        <v>0.19499187500001863</v>
      </c>
      <c r="J154" s="84">
        <f t="shared" si="9"/>
        <v>0.19386712009803928</v>
      </c>
      <c r="K154" s="90" t="s">
        <v>56</v>
      </c>
    </row>
    <row r="155" spans="1:11" ht="60">
      <c r="A155" s="14">
        <v>44958</v>
      </c>
      <c r="B155" s="83">
        <v>154</v>
      </c>
      <c r="C155" s="56">
        <v>57851.29999999702</v>
      </c>
      <c r="D155" s="50">
        <v>5.57</v>
      </c>
      <c r="E155" s="54">
        <v>10.3</v>
      </c>
      <c r="F155" s="46">
        <v>1</v>
      </c>
      <c r="G155" s="46">
        <v>1</v>
      </c>
      <c r="H155" s="81">
        <f t="shared" si="6"/>
        <v>7176651.9499999993</v>
      </c>
      <c r="I155" s="84">
        <f t="shared" si="7"/>
        <v>0.24104708333332092</v>
      </c>
      <c r="J155" s="84">
        <f t="shared" si="9"/>
        <v>0.19417348349567098</v>
      </c>
      <c r="K155" s="90" t="s">
        <v>54</v>
      </c>
    </row>
    <row r="156" spans="1:11" ht="20">
      <c r="A156" s="14">
        <v>44959</v>
      </c>
      <c r="B156" s="83">
        <v>155</v>
      </c>
      <c r="C156" s="56">
        <v>40950</v>
      </c>
      <c r="D156" s="50">
        <v>3.98</v>
      </c>
      <c r="E156" s="54">
        <v>11.1</v>
      </c>
      <c r="F156" s="46">
        <v>1</v>
      </c>
      <c r="G156" s="46">
        <v>1</v>
      </c>
      <c r="H156" s="81">
        <f t="shared" si="6"/>
        <v>7217601.9499999993</v>
      </c>
      <c r="I156" s="84">
        <f t="shared" si="7"/>
        <v>0.170625</v>
      </c>
      <c r="J156" s="84">
        <f t="shared" si="9"/>
        <v>0.19402155779569891</v>
      </c>
      <c r="K156" s="90" t="s">
        <v>52</v>
      </c>
    </row>
    <row r="157" spans="1:11" ht="20">
      <c r="A157" s="14">
        <v>44960</v>
      </c>
      <c r="B157" s="83">
        <v>156</v>
      </c>
      <c r="C157" s="56">
        <v>41601.29999999702</v>
      </c>
      <c r="D157" s="50">
        <v>4.13</v>
      </c>
      <c r="E157" s="54">
        <v>10.199999999999999</v>
      </c>
      <c r="F157" s="46">
        <v>1</v>
      </c>
      <c r="G157" s="46">
        <v>1</v>
      </c>
      <c r="H157" s="81">
        <f t="shared" si="6"/>
        <v>7259203.2499999963</v>
      </c>
      <c r="I157" s="84">
        <f t="shared" si="7"/>
        <v>0.17333874999998758</v>
      </c>
      <c r="J157" s="84">
        <f t="shared" si="9"/>
        <v>0.19388897569444435</v>
      </c>
      <c r="K157" s="90" t="s">
        <v>52</v>
      </c>
    </row>
    <row r="158" spans="1:11" ht="20">
      <c r="A158" s="14">
        <v>44961</v>
      </c>
      <c r="B158" s="83">
        <v>157</v>
      </c>
      <c r="C158" s="56">
        <v>67598.70000000298</v>
      </c>
      <c r="D158" s="53">
        <v>6.5</v>
      </c>
      <c r="E158" s="54">
        <v>9.6</v>
      </c>
      <c r="F158" s="46">
        <v>1</v>
      </c>
      <c r="G158" s="46">
        <v>1</v>
      </c>
      <c r="H158" s="81">
        <f t="shared" si="6"/>
        <v>7326801.9499999993</v>
      </c>
      <c r="I158" s="84">
        <f t="shared" si="7"/>
        <v>0.28166125000001241</v>
      </c>
      <c r="J158" s="84">
        <f t="shared" si="9"/>
        <v>0.19444803476645434</v>
      </c>
      <c r="K158" s="90" t="s">
        <v>65</v>
      </c>
    </row>
    <row r="159" spans="1:11" ht="20">
      <c r="A159" s="14">
        <v>44962</v>
      </c>
      <c r="B159" s="83">
        <v>158</v>
      </c>
      <c r="C159" s="56">
        <v>70200.64999999851</v>
      </c>
      <c r="D159" s="50">
        <v>6.78</v>
      </c>
      <c r="E159" s="54">
        <v>9.8000000000000007</v>
      </c>
      <c r="F159" s="46">
        <v>1</v>
      </c>
      <c r="G159" s="46">
        <v>1</v>
      </c>
      <c r="H159" s="81">
        <f t="shared" si="6"/>
        <v>7397002.5999999978</v>
      </c>
      <c r="I159" s="84">
        <f t="shared" si="7"/>
        <v>0.29250270833332714</v>
      </c>
      <c r="J159" s="84">
        <f t="shared" si="9"/>
        <v>0.19506863396624466</v>
      </c>
      <c r="K159" s="90" t="s">
        <v>65</v>
      </c>
    </row>
    <row r="160" spans="1:11" ht="60">
      <c r="A160" s="14">
        <v>44963</v>
      </c>
      <c r="B160" s="83">
        <v>159</v>
      </c>
      <c r="C160" s="56">
        <v>60450</v>
      </c>
      <c r="D160" s="50">
        <v>5.89</v>
      </c>
      <c r="E160" s="54">
        <v>9.4</v>
      </c>
      <c r="F160" s="46">
        <v>1</v>
      </c>
      <c r="G160" s="46">
        <v>1</v>
      </c>
      <c r="H160" s="81">
        <f t="shared" si="6"/>
        <v>7457452.5999999978</v>
      </c>
      <c r="I160" s="84">
        <f t="shared" si="7"/>
        <v>0.25187500000000002</v>
      </c>
      <c r="J160" s="84">
        <f t="shared" si="9"/>
        <v>0.19542590670859533</v>
      </c>
      <c r="K160" s="90" t="s">
        <v>54</v>
      </c>
    </row>
    <row r="161" spans="1:11" ht="20">
      <c r="A161" s="14">
        <v>44964</v>
      </c>
      <c r="B161" s="83">
        <v>160</v>
      </c>
      <c r="C161" s="56">
        <v>63698.69999999553</v>
      </c>
      <c r="D161" s="50">
        <v>6.28</v>
      </c>
      <c r="E161" s="54">
        <v>9</v>
      </c>
      <c r="F161" s="46">
        <v>1</v>
      </c>
      <c r="G161" s="46">
        <v>1</v>
      </c>
      <c r="H161" s="81">
        <f t="shared" si="6"/>
        <v>7521151.2999999933</v>
      </c>
      <c r="I161" s="84">
        <f t="shared" si="7"/>
        <v>0.26541124999998139</v>
      </c>
      <c r="J161" s="84">
        <f t="shared" si="9"/>
        <v>0.19586331510416649</v>
      </c>
      <c r="K161" s="90" t="s">
        <v>65</v>
      </c>
    </row>
    <row r="162" spans="1:11" ht="60">
      <c r="A162" s="14">
        <v>44965</v>
      </c>
      <c r="B162" s="83">
        <v>161</v>
      </c>
      <c r="C162" s="56">
        <v>50051.30000000447</v>
      </c>
      <c r="D162" s="52">
        <v>5.74</v>
      </c>
      <c r="E162" s="54">
        <v>9</v>
      </c>
      <c r="F162" s="46">
        <v>1</v>
      </c>
      <c r="G162" s="46">
        <v>0.77986111111111112</v>
      </c>
      <c r="H162" s="81">
        <f t="shared" si="6"/>
        <v>7571202.5999999978</v>
      </c>
      <c r="I162" s="84">
        <f t="shared" si="7"/>
        <v>0.20854708333335195</v>
      </c>
      <c r="J162" s="84">
        <f t="shared" si="9"/>
        <v>0.19594209627329187</v>
      </c>
      <c r="K162" s="90" t="s">
        <v>54</v>
      </c>
    </row>
    <row r="163" spans="1:11" ht="20">
      <c r="A163" s="14">
        <v>44966</v>
      </c>
      <c r="B163" s="83">
        <v>162</v>
      </c>
      <c r="C163" s="56">
        <v>64349.35000000149</v>
      </c>
      <c r="D163" s="52">
        <v>6.38</v>
      </c>
      <c r="E163" s="54">
        <v>9.3000000000000007</v>
      </c>
      <c r="F163" s="46">
        <v>1</v>
      </c>
      <c r="G163" s="46">
        <v>1</v>
      </c>
      <c r="H163" s="81">
        <f t="shared" si="6"/>
        <v>7635551.9499999993</v>
      </c>
      <c r="I163" s="84">
        <f t="shared" si="7"/>
        <v>0.2681222916666729</v>
      </c>
      <c r="J163" s="84">
        <f t="shared" si="9"/>
        <v>0.1963876530349794</v>
      </c>
      <c r="K163" s="90" t="s">
        <v>65</v>
      </c>
    </row>
    <row r="164" spans="1:11" ht="20">
      <c r="A164" s="14">
        <v>44967</v>
      </c>
      <c r="B164" s="83">
        <v>163</v>
      </c>
      <c r="C164" s="56">
        <v>68899.35000000149</v>
      </c>
      <c r="D164" s="52">
        <v>6.84</v>
      </c>
      <c r="E164" s="54">
        <v>10.1</v>
      </c>
      <c r="F164" s="46">
        <v>1</v>
      </c>
      <c r="G164" s="46">
        <v>1</v>
      </c>
      <c r="H164" s="81">
        <f t="shared" si="6"/>
        <v>7704451.3000000007</v>
      </c>
      <c r="I164" s="84">
        <f t="shared" si="7"/>
        <v>0.2870806250000062</v>
      </c>
      <c r="J164" s="84">
        <f t="shared" si="9"/>
        <v>0.19694405163599185</v>
      </c>
      <c r="K164" s="90" t="s">
        <v>65</v>
      </c>
    </row>
    <row r="165" spans="1:11" ht="60">
      <c r="A165" s="14">
        <v>44968</v>
      </c>
      <c r="B165" s="83">
        <v>164</v>
      </c>
      <c r="C165" s="56">
        <v>55903.25</v>
      </c>
      <c r="D165" s="52">
        <v>6.81</v>
      </c>
      <c r="E165" s="54">
        <v>10.199999999999999</v>
      </c>
      <c r="F165" s="46">
        <v>1</v>
      </c>
      <c r="G165" s="46">
        <v>0.94027777777777777</v>
      </c>
      <c r="H165" s="81">
        <f t="shared" si="6"/>
        <v>7760354.5500000007</v>
      </c>
      <c r="I165" s="84">
        <f t="shared" si="7"/>
        <v>0.23293020833333333</v>
      </c>
      <c r="J165" s="84">
        <f t="shared" si="9"/>
        <v>0.19716347942073173</v>
      </c>
      <c r="K165" s="90" t="s">
        <v>54</v>
      </c>
    </row>
    <row r="166" spans="1:11" ht="20">
      <c r="A166" s="14">
        <v>44969</v>
      </c>
      <c r="B166" s="83">
        <v>165</v>
      </c>
      <c r="C166" s="56">
        <v>70848.04999999702</v>
      </c>
      <c r="D166" s="52">
        <v>7.06</v>
      </c>
      <c r="E166" s="54">
        <v>10</v>
      </c>
      <c r="F166" s="46">
        <v>1</v>
      </c>
      <c r="G166" s="46">
        <v>1</v>
      </c>
      <c r="H166" s="81">
        <f t="shared" si="6"/>
        <v>7831202.5999999978</v>
      </c>
      <c r="I166" s="84">
        <f t="shared" si="7"/>
        <v>0.29520020833332089</v>
      </c>
      <c r="J166" s="84">
        <f t="shared" si="9"/>
        <v>0.19775764141414134</v>
      </c>
      <c r="K166" s="90" t="s">
        <v>65</v>
      </c>
    </row>
    <row r="167" spans="1:11" ht="20">
      <c r="A167" s="14">
        <v>44970</v>
      </c>
      <c r="B167" s="83">
        <v>166</v>
      </c>
      <c r="C167" s="56">
        <v>69550</v>
      </c>
      <c r="D167" s="51">
        <v>6.9</v>
      </c>
      <c r="E167" s="54">
        <v>9.9</v>
      </c>
      <c r="F167" s="46">
        <v>1</v>
      </c>
      <c r="G167" s="46">
        <v>1</v>
      </c>
      <c r="H167" s="81">
        <f t="shared" si="6"/>
        <v>7900752.5999999978</v>
      </c>
      <c r="I167" s="84">
        <f t="shared" si="7"/>
        <v>0.28979166666666667</v>
      </c>
      <c r="J167" s="84">
        <f t="shared" si="9"/>
        <v>0.19831206325301198</v>
      </c>
      <c r="K167" s="90" t="s">
        <v>65</v>
      </c>
    </row>
    <row r="168" spans="1:11" ht="20">
      <c r="A168" s="14">
        <v>44971</v>
      </c>
      <c r="B168" s="83">
        <v>167</v>
      </c>
      <c r="C168" s="56">
        <v>57200.64999999851</v>
      </c>
      <c r="D168" s="52">
        <v>7.17</v>
      </c>
      <c r="E168" s="54">
        <v>9.9</v>
      </c>
      <c r="F168" s="46">
        <v>1</v>
      </c>
      <c r="G168" s="46">
        <v>0.93472222222222223</v>
      </c>
      <c r="H168" s="81">
        <f t="shared" si="6"/>
        <v>7957953.2499999963</v>
      </c>
      <c r="I168" s="84">
        <f t="shared" si="7"/>
        <v>0.23833604166666045</v>
      </c>
      <c r="J168" s="84">
        <f t="shared" si="9"/>
        <v>0.19855172779441108</v>
      </c>
      <c r="K168" s="90" t="s">
        <v>65</v>
      </c>
    </row>
    <row r="169" spans="1:11" ht="20">
      <c r="A169" s="14">
        <v>44972</v>
      </c>
      <c r="B169" s="83">
        <v>168</v>
      </c>
      <c r="C169" s="56">
        <v>70200.65000000596</v>
      </c>
      <c r="D169" s="52">
        <v>6.68</v>
      </c>
      <c r="E169" s="54">
        <v>9.9</v>
      </c>
      <c r="F169" s="46">
        <v>1</v>
      </c>
      <c r="G169" s="46">
        <v>1</v>
      </c>
      <c r="H169" s="81">
        <f t="shared" si="6"/>
        <v>8028153.9000000022</v>
      </c>
      <c r="I169" s="84">
        <f t="shared" si="7"/>
        <v>0.29250270833335817</v>
      </c>
      <c r="J169" s="84">
        <f t="shared" si="9"/>
        <v>0.19911095982142862</v>
      </c>
      <c r="K169" s="90" t="s">
        <v>65</v>
      </c>
    </row>
    <row r="170" spans="1:11" ht="20">
      <c r="A170" s="14">
        <v>44973</v>
      </c>
      <c r="B170" s="83">
        <v>169</v>
      </c>
      <c r="C170" s="56">
        <v>71498.69999999553</v>
      </c>
      <c r="D170" s="51">
        <v>6.7</v>
      </c>
      <c r="E170" s="54">
        <v>10.1</v>
      </c>
      <c r="F170" s="46">
        <v>1</v>
      </c>
      <c r="G170" s="46">
        <v>1</v>
      </c>
      <c r="H170" s="81">
        <f t="shared" ref="H170:H213" si="10">H169+C170</f>
        <v>8099652.5999999978</v>
      </c>
      <c r="I170" s="84">
        <f t="shared" si="7"/>
        <v>0.29791124999998136</v>
      </c>
      <c r="J170" s="84">
        <f t="shared" si="9"/>
        <v>0.19969557692307688</v>
      </c>
      <c r="K170" s="90" t="s">
        <v>65</v>
      </c>
    </row>
    <row r="171" spans="1:11" ht="20">
      <c r="A171" s="14">
        <v>44974</v>
      </c>
      <c r="B171" s="83">
        <v>170</v>
      </c>
      <c r="C171" s="56">
        <v>70851.94999999553</v>
      </c>
      <c r="D171" s="52">
        <v>7.16</v>
      </c>
      <c r="E171" s="54">
        <v>9.9</v>
      </c>
      <c r="F171" s="46">
        <v>1</v>
      </c>
      <c r="G171" s="46">
        <v>1</v>
      </c>
      <c r="H171" s="81">
        <f t="shared" si="10"/>
        <v>8170504.5499999933</v>
      </c>
      <c r="I171" s="84">
        <f t="shared" si="7"/>
        <v>0.29521645833331472</v>
      </c>
      <c r="J171" s="84">
        <f t="shared" si="9"/>
        <v>0.20025746446078416</v>
      </c>
      <c r="K171" s="90" t="s">
        <v>65</v>
      </c>
    </row>
    <row r="172" spans="1:11" ht="20">
      <c r="A172" s="14">
        <v>44975</v>
      </c>
      <c r="B172" s="83">
        <v>171</v>
      </c>
      <c r="C172" s="56">
        <v>67598.05000000447</v>
      </c>
      <c r="D172" s="52">
        <v>6.83</v>
      </c>
      <c r="E172" s="54">
        <v>9.6</v>
      </c>
      <c r="F172" s="46">
        <v>1</v>
      </c>
      <c r="G172" s="46">
        <v>1</v>
      </c>
      <c r="H172" s="81">
        <f t="shared" si="10"/>
        <v>8238102.5999999978</v>
      </c>
      <c r="I172" s="84">
        <f t="shared" si="7"/>
        <v>0.2816585416666853</v>
      </c>
      <c r="J172" s="84">
        <f t="shared" si="9"/>
        <v>0.20073349415204672</v>
      </c>
      <c r="K172" s="90" t="s">
        <v>65</v>
      </c>
    </row>
    <row r="173" spans="1:11" ht="20">
      <c r="A173" s="14">
        <v>44976</v>
      </c>
      <c r="B173" s="83">
        <v>172</v>
      </c>
      <c r="C173" s="56">
        <v>67598.70000000298</v>
      </c>
      <c r="D173" s="52">
        <v>6.95</v>
      </c>
      <c r="E173" s="54">
        <v>9.6</v>
      </c>
      <c r="F173" s="46">
        <v>1</v>
      </c>
      <c r="G173" s="46">
        <v>1</v>
      </c>
      <c r="H173" s="81">
        <f t="shared" si="10"/>
        <v>8305701.3000000007</v>
      </c>
      <c r="I173" s="84">
        <f t="shared" si="7"/>
        <v>0.28166125000001241</v>
      </c>
      <c r="J173" s="84">
        <f t="shared" si="9"/>
        <v>0.20120400436046512</v>
      </c>
      <c r="K173" s="90" t="s">
        <v>65</v>
      </c>
    </row>
    <row r="174" spans="1:11" ht="60">
      <c r="A174" s="14">
        <v>44977</v>
      </c>
      <c r="B174" s="83">
        <v>173</v>
      </c>
      <c r="C174" s="56">
        <v>64349.35000000149</v>
      </c>
      <c r="D174" s="52">
        <v>6.57</v>
      </c>
      <c r="E174" s="54">
        <v>9.6999999999999993</v>
      </c>
      <c r="F174" s="46">
        <v>1</v>
      </c>
      <c r="G174" s="46">
        <v>1</v>
      </c>
      <c r="H174" s="81">
        <f t="shared" si="10"/>
        <v>8370050.6500000022</v>
      </c>
      <c r="I174" s="84">
        <f t="shared" ref="I174:I237" si="11">C174/(10*24*1000)</f>
        <v>0.2681222916666729</v>
      </c>
      <c r="J174" s="84">
        <f t="shared" si="9"/>
        <v>0.20159081526974956</v>
      </c>
      <c r="K174" s="90" t="s">
        <v>54</v>
      </c>
    </row>
    <row r="175" spans="1:11" ht="20">
      <c r="A175" s="14">
        <v>44978</v>
      </c>
      <c r="B175" s="83">
        <v>174</v>
      </c>
      <c r="C175" s="56">
        <v>69550.649999991059</v>
      </c>
      <c r="D175" s="51">
        <v>7.05</v>
      </c>
      <c r="E175" s="54">
        <v>9.8000000000000007</v>
      </c>
      <c r="F175" s="46">
        <v>1</v>
      </c>
      <c r="G175" s="46">
        <v>1</v>
      </c>
      <c r="H175" s="81">
        <f t="shared" si="10"/>
        <v>8439601.2999999933</v>
      </c>
      <c r="I175" s="84">
        <f t="shared" si="11"/>
        <v>0.28979437499996274</v>
      </c>
      <c r="J175" s="84">
        <f t="shared" si="9"/>
        <v>0.20209773227969333</v>
      </c>
      <c r="K175" s="90" t="s">
        <v>65</v>
      </c>
    </row>
    <row r="176" spans="1:11" ht="20">
      <c r="A176" s="14">
        <v>44979</v>
      </c>
      <c r="B176" s="83">
        <v>175</v>
      </c>
      <c r="C176" s="56">
        <v>68253.250000007451</v>
      </c>
      <c r="D176" s="51">
        <v>6.9</v>
      </c>
      <c r="E176" s="54">
        <v>9.6999999999999993</v>
      </c>
      <c r="F176" s="46">
        <v>1</v>
      </c>
      <c r="G176" s="46">
        <v>1</v>
      </c>
      <c r="H176" s="81">
        <f t="shared" si="10"/>
        <v>8507854.5500000007</v>
      </c>
      <c r="I176" s="84">
        <f t="shared" si="11"/>
        <v>0.28438854166669769</v>
      </c>
      <c r="J176" s="84">
        <f t="shared" si="9"/>
        <v>0.20256796547619049</v>
      </c>
      <c r="K176" s="90" t="s">
        <v>65</v>
      </c>
    </row>
    <row r="177" spans="1:11" ht="20">
      <c r="A177" s="14">
        <v>44980</v>
      </c>
      <c r="B177" s="83">
        <v>176</v>
      </c>
      <c r="C177" s="56">
        <v>72799.35000000149</v>
      </c>
      <c r="D177" s="52">
        <v>7.39</v>
      </c>
      <c r="E177" s="54">
        <v>10.1</v>
      </c>
      <c r="F177" s="46">
        <v>1</v>
      </c>
      <c r="G177" s="46">
        <v>0.95138888888888884</v>
      </c>
      <c r="H177" s="81">
        <f t="shared" si="10"/>
        <v>8580653.9000000022</v>
      </c>
      <c r="I177" s="84">
        <f t="shared" si="11"/>
        <v>0.30333062500000618</v>
      </c>
      <c r="J177" s="84">
        <f t="shared" si="9"/>
        <v>0.20314048058712125</v>
      </c>
      <c r="K177" s="90" t="s">
        <v>65</v>
      </c>
    </row>
    <row r="178" spans="1:11" ht="20">
      <c r="A178" s="14">
        <v>44981</v>
      </c>
      <c r="B178" s="83">
        <v>177</v>
      </c>
      <c r="C178" s="56">
        <v>68899.999999992549</v>
      </c>
      <c r="D178" s="52">
        <v>7.54</v>
      </c>
      <c r="E178" s="54">
        <v>9.9</v>
      </c>
      <c r="F178" s="46">
        <v>1</v>
      </c>
      <c r="G178" s="46">
        <v>0.96527777777777779</v>
      </c>
      <c r="H178" s="81">
        <f t="shared" si="10"/>
        <v>8649553.8999999948</v>
      </c>
      <c r="I178" s="84">
        <f t="shared" si="11"/>
        <v>0.28708333333330227</v>
      </c>
      <c r="J178" s="84">
        <f t="shared" si="9"/>
        <v>0.20361473399246693</v>
      </c>
      <c r="K178" s="90" t="s">
        <v>65</v>
      </c>
    </row>
    <row r="179" spans="1:11" ht="20">
      <c r="A179" s="14">
        <v>44982</v>
      </c>
      <c r="B179" s="83">
        <v>178</v>
      </c>
      <c r="C179" s="56">
        <v>70848.05000000447</v>
      </c>
      <c r="D179" s="52">
        <v>7.21</v>
      </c>
      <c r="E179" s="54">
        <v>9.9</v>
      </c>
      <c r="F179" s="46">
        <v>1</v>
      </c>
      <c r="G179" s="46">
        <v>1</v>
      </c>
      <c r="H179" s="81">
        <f t="shared" si="10"/>
        <v>8720401.9499999993</v>
      </c>
      <c r="I179" s="84">
        <f t="shared" si="11"/>
        <v>0.29520020833335198</v>
      </c>
      <c r="J179" s="84">
        <f t="shared" si="9"/>
        <v>0.20412925912921345</v>
      </c>
      <c r="K179" s="90" t="s">
        <v>65</v>
      </c>
    </row>
    <row r="180" spans="1:11" ht="20">
      <c r="A180" s="14">
        <v>44983</v>
      </c>
      <c r="B180" s="83">
        <v>179</v>
      </c>
      <c r="C180" s="56">
        <v>68249.34999999404</v>
      </c>
      <c r="D180" s="52">
        <v>6.95</v>
      </c>
      <c r="E180" s="54">
        <v>9.8000000000000007</v>
      </c>
      <c r="F180" s="46">
        <v>1</v>
      </c>
      <c r="G180" s="46">
        <v>1</v>
      </c>
      <c r="H180" s="81">
        <f t="shared" si="10"/>
        <v>8788651.2999999933</v>
      </c>
      <c r="I180" s="84">
        <f t="shared" si="11"/>
        <v>0.28437229166664185</v>
      </c>
      <c r="J180" s="84">
        <f t="shared" si="9"/>
        <v>0.20457754422718794</v>
      </c>
      <c r="K180" s="90" t="s">
        <v>65</v>
      </c>
    </row>
    <row r="181" spans="1:11" ht="20">
      <c r="A181" s="14">
        <v>44984</v>
      </c>
      <c r="B181" s="83">
        <v>180</v>
      </c>
      <c r="C181" s="56">
        <v>70851.30000000447</v>
      </c>
      <c r="D181" s="52">
        <v>7.27</v>
      </c>
      <c r="E181" s="54">
        <v>10.1</v>
      </c>
      <c r="F181" s="46">
        <v>1</v>
      </c>
      <c r="G181" s="46">
        <v>1</v>
      </c>
      <c r="H181" s="81">
        <f t="shared" si="10"/>
        <v>8859502.5999999978</v>
      </c>
      <c r="I181" s="84">
        <f t="shared" si="11"/>
        <v>0.29521375000001865</v>
      </c>
      <c r="J181" s="84">
        <f t="shared" si="9"/>
        <v>0.20508107870370365</v>
      </c>
      <c r="K181" s="90" t="s">
        <v>65</v>
      </c>
    </row>
    <row r="182" spans="1:11" ht="20">
      <c r="A182" s="14">
        <v>44985</v>
      </c>
      <c r="B182" s="83">
        <v>181</v>
      </c>
      <c r="C182" s="56">
        <v>67598.69999999553</v>
      </c>
      <c r="D182" s="52">
        <v>6.82</v>
      </c>
      <c r="E182" s="54">
        <v>9.6999999999999993</v>
      </c>
      <c r="F182" s="46">
        <v>1</v>
      </c>
      <c r="G182" s="46">
        <v>0.93402777777777779</v>
      </c>
      <c r="H182" s="81">
        <f t="shared" si="10"/>
        <v>8927101.2999999933</v>
      </c>
      <c r="I182" s="84">
        <f t="shared" si="11"/>
        <v>0.28166124999998138</v>
      </c>
      <c r="J182" s="84">
        <f t="shared" si="9"/>
        <v>0.20550417357274386</v>
      </c>
      <c r="K182" s="90" t="s">
        <v>65</v>
      </c>
    </row>
    <row r="183" spans="1:11" ht="60">
      <c r="A183" s="14">
        <v>44986</v>
      </c>
      <c r="B183" s="83">
        <v>182</v>
      </c>
      <c r="C183" s="56">
        <v>64349.35000000149</v>
      </c>
      <c r="D183" s="50">
        <v>6.59</v>
      </c>
      <c r="E183" s="54">
        <v>9.8000000000000007</v>
      </c>
      <c r="F183" s="46">
        <v>1</v>
      </c>
      <c r="G183" s="46">
        <v>1</v>
      </c>
      <c r="H183" s="81">
        <f t="shared" si="10"/>
        <v>8991450.6499999948</v>
      </c>
      <c r="I183" s="84">
        <f t="shared" si="11"/>
        <v>0.2681222916666729</v>
      </c>
      <c r="J183" s="84">
        <f t="shared" si="9"/>
        <v>0.20584822916666654</v>
      </c>
      <c r="K183" s="90" t="s">
        <v>54</v>
      </c>
    </row>
    <row r="184" spans="1:11" ht="20">
      <c r="A184" s="14">
        <v>44987</v>
      </c>
      <c r="B184" s="83">
        <v>183</v>
      </c>
      <c r="C184" s="56">
        <v>71502.60000000149</v>
      </c>
      <c r="D184" s="50">
        <v>7.22</v>
      </c>
      <c r="E184" s="54">
        <v>9.8000000000000007</v>
      </c>
      <c r="F184" s="46">
        <v>1</v>
      </c>
      <c r="G184" s="46">
        <v>1</v>
      </c>
      <c r="H184" s="81">
        <f t="shared" si="10"/>
        <v>9062953.2499999963</v>
      </c>
      <c r="I184" s="84">
        <f t="shared" si="11"/>
        <v>0.29792750000000623</v>
      </c>
      <c r="J184" s="84">
        <f t="shared" si="9"/>
        <v>0.20635139458105639</v>
      </c>
      <c r="K184" s="90" t="s">
        <v>65</v>
      </c>
    </row>
    <row r="185" spans="1:11" ht="20">
      <c r="A185" s="14">
        <v>44988</v>
      </c>
      <c r="B185" s="83">
        <v>184</v>
      </c>
      <c r="C185" s="56">
        <v>70200.65000000596</v>
      </c>
      <c r="D185" s="50">
        <v>7.16</v>
      </c>
      <c r="E185" s="54">
        <v>9.9</v>
      </c>
      <c r="F185" s="46">
        <v>1</v>
      </c>
      <c r="G185" s="46">
        <v>1</v>
      </c>
      <c r="H185" s="81">
        <f t="shared" si="10"/>
        <v>9133153.9000000022</v>
      </c>
      <c r="I185" s="84">
        <f t="shared" si="11"/>
        <v>0.29250270833335817</v>
      </c>
      <c r="J185" s="84">
        <f t="shared" si="9"/>
        <v>0.20681960824275367</v>
      </c>
      <c r="K185" s="90" t="s">
        <v>65</v>
      </c>
    </row>
    <row r="186" spans="1:11" ht="20">
      <c r="A186" s="14">
        <v>44989</v>
      </c>
      <c r="B186" s="83">
        <v>185</v>
      </c>
      <c r="C186" s="56">
        <v>69546.749999992549</v>
      </c>
      <c r="D186" s="53">
        <v>7.1</v>
      </c>
      <c r="E186" s="54">
        <v>10.1</v>
      </c>
      <c r="F186" s="46">
        <v>1</v>
      </c>
      <c r="G186" s="46">
        <v>1</v>
      </c>
      <c r="H186" s="81">
        <f t="shared" si="10"/>
        <v>9202700.6499999948</v>
      </c>
      <c r="I186" s="84">
        <f t="shared" si="11"/>
        <v>0.28977812499996897</v>
      </c>
      <c r="J186" s="84">
        <f t="shared" si="9"/>
        <v>0.20726803265765753</v>
      </c>
      <c r="K186" s="90" t="s">
        <v>65</v>
      </c>
    </row>
    <row r="187" spans="1:11" ht="20">
      <c r="A187" s="14">
        <v>44990</v>
      </c>
      <c r="B187" s="83">
        <v>186</v>
      </c>
      <c r="C187" s="56">
        <v>69550.65000000596</v>
      </c>
      <c r="D187" s="50">
        <v>7.11</v>
      </c>
      <c r="E187" s="54">
        <v>9.6999999999999993</v>
      </c>
      <c r="F187" s="46">
        <v>1</v>
      </c>
      <c r="G187" s="46">
        <v>1</v>
      </c>
      <c r="H187" s="81">
        <f t="shared" si="10"/>
        <v>9272251.3000000007</v>
      </c>
      <c r="I187" s="84">
        <f t="shared" si="11"/>
        <v>0.28979437500002486</v>
      </c>
      <c r="J187" s="84">
        <f t="shared" si="9"/>
        <v>0.20771172267025093</v>
      </c>
      <c r="K187" s="90" t="s">
        <v>65</v>
      </c>
    </row>
    <row r="188" spans="1:11" ht="20">
      <c r="A188" s="14">
        <v>44991</v>
      </c>
      <c r="B188" s="83">
        <v>187</v>
      </c>
      <c r="C188" s="56">
        <v>70851.29999999702</v>
      </c>
      <c r="D188" s="50">
        <v>7.23</v>
      </c>
      <c r="E188" s="54">
        <v>9.8000000000000007</v>
      </c>
      <c r="F188" s="46">
        <v>1</v>
      </c>
      <c r="G188" s="46">
        <v>1</v>
      </c>
      <c r="H188" s="81">
        <f t="shared" si="10"/>
        <v>9343102.5999999978</v>
      </c>
      <c r="I188" s="84">
        <f t="shared" si="11"/>
        <v>0.29521374999998756</v>
      </c>
      <c r="J188" s="84">
        <f t="shared" si="9"/>
        <v>0.20817964795008909</v>
      </c>
      <c r="K188" s="90" t="s">
        <v>65</v>
      </c>
    </row>
    <row r="189" spans="1:11" ht="60">
      <c r="A189" s="14">
        <v>44992</v>
      </c>
      <c r="B189" s="83">
        <v>188</v>
      </c>
      <c r="C189" s="56">
        <v>64350</v>
      </c>
      <c r="D189" s="50">
        <v>6.76</v>
      </c>
      <c r="E189" s="54">
        <v>11</v>
      </c>
      <c r="F189" s="46">
        <v>1</v>
      </c>
      <c r="G189" s="46">
        <v>1</v>
      </c>
      <c r="H189" s="81">
        <f t="shared" si="10"/>
        <v>9407452.5999999978</v>
      </c>
      <c r="I189" s="84">
        <f t="shared" si="11"/>
        <v>0.268125</v>
      </c>
      <c r="J189" s="84">
        <f t="shared" ref="J189:J252" si="12">H189/(24*B189*10*1000)</f>
        <v>0.2084985062056737</v>
      </c>
      <c r="K189" s="90" t="s">
        <v>54</v>
      </c>
    </row>
    <row r="190" spans="1:11" ht="20">
      <c r="A190" s="14">
        <v>44993</v>
      </c>
      <c r="B190" s="83">
        <v>189</v>
      </c>
      <c r="C190" s="56">
        <v>70200.64999999851</v>
      </c>
      <c r="D190" s="52">
        <v>7.24</v>
      </c>
      <c r="E190" s="54">
        <v>9.9</v>
      </c>
      <c r="F190" s="46">
        <v>1</v>
      </c>
      <c r="G190" s="46">
        <v>1</v>
      </c>
      <c r="H190" s="81">
        <f t="shared" si="10"/>
        <v>9477653.2499999963</v>
      </c>
      <c r="I190" s="84">
        <f t="shared" si="11"/>
        <v>0.29250270833332714</v>
      </c>
      <c r="J190" s="84">
        <f t="shared" si="12"/>
        <v>0.20894297288359781</v>
      </c>
      <c r="K190" s="90" t="s">
        <v>65</v>
      </c>
    </row>
    <row r="191" spans="1:11" ht="20">
      <c r="A191" s="14">
        <v>44994</v>
      </c>
      <c r="B191" s="83">
        <v>190</v>
      </c>
      <c r="C191" s="56">
        <v>56550</v>
      </c>
      <c r="D191" s="52">
        <v>5.81</v>
      </c>
      <c r="E191" s="54">
        <v>10.5</v>
      </c>
      <c r="F191" s="46">
        <v>1</v>
      </c>
      <c r="G191" s="46">
        <v>1</v>
      </c>
      <c r="H191" s="81">
        <f t="shared" si="10"/>
        <v>9534203.2499999963</v>
      </c>
      <c r="I191" s="84">
        <f t="shared" si="11"/>
        <v>0.235625</v>
      </c>
      <c r="J191" s="84">
        <f t="shared" si="12"/>
        <v>0.20908340460526306</v>
      </c>
      <c r="K191" s="90" t="s">
        <v>52</v>
      </c>
    </row>
    <row r="192" spans="1:11" ht="60">
      <c r="A192" s="14">
        <v>44995</v>
      </c>
      <c r="B192" s="83">
        <v>191</v>
      </c>
      <c r="C192" s="56">
        <v>62401.30000000447</v>
      </c>
      <c r="D192" s="52">
        <v>6.28</v>
      </c>
      <c r="E192" s="54">
        <v>11.1</v>
      </c>
      <c r="F192" s="46">
        <v>1</v>
      </c>
      <c r="G192" s="46">
        <v>1</v>
      </c>
      <c r="H192" s="81">
        <f t="shared" si="10"/>
        <v>9596604.5500000007</v>
      </c>
      <c r="I192" s="84">
        <f t="shared" si="11"/>
        <v>0.26000541666668531</v>
      </c>
      <c r="J192" s="84">
        <f t="shared" si="12"/>
        <v>0.20935001199825481</v>
      </c>
      <c r="K192" s="90" t="s">
        <v>54</v>
      </c>
    </row>
    <row r="193" spans="1:11" ht="20">
      <c r="A193" s="14">
        <v>44996</v>
      </c>
      <c r="B193" s="83">
        <v>192</v>
      </c>
      <c r="C193" s="56">
        <v>70197.39999999851</v>
      </c>
      <c r="D193" s="52">
        <v>7.32</v>
      </c>
      <c r="E193" s="54">
        <v>10</v>
      </c>
      <c r="F193" s="46">
        <v>1</v>
      </c>
      <c r="G193" s="46">
        <v>1</v>
      </c>
      <c r="H193" s="81">
        <f t="shared" si="10"/>
        <v>9666801.9499999993</v>
      </c>
      <c r="I193" s="84">
        <f t="shared" si="11"/>
        <v>0.29248916666666047</v>
      </c>
      <c r="J193" s="84">
        <f t="shared" si="12"/>
        <v>0.20978302842881943</v>
      </c>
      <c r="K193" s="90" t="s">
        <v>65</v>
      </c>
    </row>
    <row r="194" spans="1:11" ht="20">
      <c r="A194" s="14">
        <v>44997</v>
      </c>
      <c r="B194" s="83">
        <v>193</v>
      </c>
      <c r="C194" s="56">
        <v>68248.70000000298</v>
      </c>
      <c r="D194" s="52">
        <v>7.19</v>
      </c>
      <c r="E194" s="54">
        <v>9.8000000000000007</v>
      </c>
      <c r="F194" s="46">
        <v>1</v>
      </c>
      <c r="G194" s="46">
        <v>1</v>
      </c>
      <c r="H194" s="81">
        <f t="shared" si="10"/>
        <v>9735050.6500000022</v>
      </c>
      <c r="I194" s="84">
        <f t="shared" si="11"/>
        <v>0.28436958333334578</v>
      </c>
      <c r="J194" s="84">
        <f t="shared" si="12"/>
        <v>0.21016948726252163</v>
      </c>
      <c r="K194" s="90" t="s">
        <v>65</v>
      </c>
    </row>
    <row r="195" spans="1:11" ht="60">
      <c r="A195" s="14">
        <v>44998</v>
      </c>
      <c r="B195" s="83">
        <v>194</v>
      </c>
      <c r="C195" s="56">
        <v>61751.29999999702</v>
      </c>
      <c r="D195" s="51">
        <v>6.5</v>
      </c>
      <c r="E195" s="54">
        <v>9.6</v>
      </c>
      <c r="F195" s="46">
        <v>1</v>
      </c>
      <c r="G195" s="46">
        <v>1</v>
      </c>
      <c r="H195" s="81">
        <f t="shared" si="10"/>
        <v>9796801.9499999993</v>
      </c>
      <c r="I195" s="84">
        <f t="shared" si="11"/>
        <v>0.25729708333332091</v>
      </c>
      <c r="J195" s="84">
        <f t="shared" si="12"/>
        <v>0.2104124130154639</v>
      </c>
      <c r="K195" s="90" t="s">
        <v>54</v>
      </c>
    </row>
    <row r="196" spans="1:11" ht="60">
      <c r="A196" s="14">
        <v>44999</v>
      </c>
      <c r="B196" s="83">
        <v>195</v>
      </c>
      <c r="C196" s="56">
        <v>64349.34999999404</v>
      </c>
      <c r="D196" s="52">
        <v>6.89</v>
      </c>
      <c r="E196" s="54">
        <v>9.5</v>
      </c>
      <c r="F196" s="46">
        <v>1</v>
      </c>
      <c r="G196" s="46">
        <v>1</v>
      </c>
      <c r="H196" s="81">
        <f t="shared" si="10"/>
        <v>9861151.2999999933</v>
      </c>
      <c r="I196" s="84">
        <f t="shared" si="11"/>
        <v>0.26812229166664181</v>
      </c>
      <c r="J196" s="84">
        <f t="shared" si="12"/>
        <v>0.21070836111111096</v>
      </c>
      <c r="K196" s="90" t="s">
        <v>54</v>
      </c>
    </row>
    <row r="197" spans="1:11" ht="60">
      <c r="A197" s="14">
        <v>45000</v>
      </c>
      <c r="B197" s="83">
        <v>196</v>
      </c>
      <c r="C197" s="56">
        <v>57200</v>
      </c>
      <c r="D197" s="52">
        <v>6.26</v>
      </c>
      <c r="E197" s="54">
        <v>8.8000000000000007</v>
      </c>
      <c r="F197" s="46">
        <v>1</v>
      </c>
      <c r="G197" s="46">
        <v>1</v>
      </c>
      <c r="H197" s="81">
        <f t="shared" si="10"/>
        <v>9918351.2999999933</v>
      </c>
      <c r="I197" s="84">
        <f t="shared" si="11"/>
        <v>0.23833333333333334</v>
      </c>
      <c r="J197" s="84">
        <f t="shared" si="12"/>
        <v>0.21084930484693865</v>
      </c>
      <c r="K197" s="90" t="s">
        <v>54</v>
      </c>
    </row>
    <row r="198" spans="1:11" ht="160">
      <c r="A198" s="14">
        <v>45001</v>
      </c>
      <c r="B198" s="83">
        <v>197</v>
      </c>
      <c r="C198" s="56">
        <v>45500.65000000596</v>
      </c>
      <c r="D198" s="51">
        <v>5.22</v>
      </c>
      <c r="E198" s="54">
        <v>8.8000000000000007</v>
      </c>
      <c r="F198" s="47">
        <v>1</v>
      </c>
      <c r="G198" s="47">
        <v>0.89166666666666672</v>
      </c>
      <c r="H198" s="81">
        <f t="shared" si="10"/>
        <v>9963851.9499999993</v>
      </c>
      <c r="I198" s="84">
        <f t="shared" si="11"/>
        <v>0.18958604166669149</v>
      </c>
      <c r="J198" s="84">
        <f t="shared" si="12"/>
        <v>0.21074136950084602</v>
      </c>
      <c r="K198" s="48" t="s">
        <v>66</v>
      </c>
    </row>
    <row r="199" spans="1:11" ht="80">
      <c r="A199" s="14">
        <v>45002</v>
      </c>
      <c r="B199" s="83">
        <v>198</v>
      </c>
      <c r="C199" s="56">
        <v>42251.94999999553</v>
      </c>
      <c r="D199" s="52">
        <v>4.83</v>
      </c>
      <c r="E199" s="54">
        <v>9.9</v>
      </c>
      <c r="F199" s="46">
        <v>1</v>
      </c>
      <c r="G199" s="46">
        <v>0.99305555555555558</v>
      </c>
      <c r="H199" s="81">
        <f t="shared" si="10"/>
        <v>10006103.899999995</v>
      </c>
      <c r="I199" s="84">
        <f t="shared" si="11"/>
        <v>0.17604979166664805</v>
      </c>
      <c r="J199" s="84">
        <f t="shared" si="12"/>
        <v>0.2105661595117844</v>
      </c>
      <c r="K199" s="90" t="s">
        <v>51</v>
      </c>
    </row>
    <row r="200" spans="1:11" ht="20">
      <c r="A200" s="14">
        <v>45003</v>
      </c>
      <c r="B200" s="83">
        <v>199</v>
      </c>
      <c r="C200" s="56">
        <v>56549.35000000149</v>
      </c>
      <c r="D200" s="52">
        <v>5.96</v>
      </c>
      <c r="E200" s="54">
        <v>10.199999999999999</v>
      </c>
      <c r="F200" s="46">
        <v>1</v>
      </c>
      <c r="G200" s="46">
        <v>1</v>
      </c>
      <c r="H200" s="81">
        <f t="shared" si="10"/>
        <v>10062653.249999996</v>
      </c>
      <c r="I200" s="84">
        <f t="shared" si="11"/>
        <v>0.23562229166667287</v>
      </c>
      <c r="J200" s="84">
        <f t="shared" si="12"/>
        <v>0.21069206972361801</v>
      </c>
      <c r="K200" s="90" t="s">
        <v>67</v>
      </c>
    </row>
    <row r="201" spans="1:11" ht="20">
      <c r="A201" s="14">
        <v>45004</v>
      </c>
      <c r="B201" s="83">
        <v>200</v>
      </c>
      <c r="C201" s="56">
        <v>51999.35000000149</v>
      </c>
      <c r="D201" s="52">
        <v>5.31</v>
      </c>
      <c r="E201" s="54">
        <v>10.8</v>
      </c>
      <c r="F201" s="46">
        <v>1</v>
      </c>
      <c r="G201" s="46">
        <v>1</v>
      </c>
      <c r="H201" s="81">
        <f t="shared" si="10"/>
        <v>10114652.599999998</v>
      </c>
      <c r="I201" s="84">
        <f t="shared" si="11"/>
        <v>0.21666395833333954</v>
      </c>
      <c r="J201" s="84">
        <f t="shared" si="12"/>
        <v>0.21072192916666663</v>
      </c>
      <c r="K201" s="90" t="s">
        <v>52</v>
      </c>
    </row>
    <row r="202" spans="1:11" ht="60">
      <c r="A202" s="14">
        <v>45005</v>
      </c>
      <c r="B202" s="83">
        <v>201</v>
      </c>
      <c r="C202" s="56">
        <v>58501.30000000447</v>
      </c>
      <c r="D202" s="52">
        <v>4.6900000000000004</v>
      </c>
      <c r="E202" s="54">
        <v>10.6</v>
      </c>
      <c r="F202" s="46">
        <v>1</v>
      </c>
      <c r="G202" s="46">
        <v>0.99305555555555558</v>
      </c>
      <c r="H202" s="81">
        <f t="shared" si="10"/>
        <v>10173153.900000002</v>
      </c>
      <c r="I202" s="84">
        <f t="shared" si="11"/>
        <v>0.24375541666668529</v>
      </c>
      <c r="J202" s="84">
        <f t="shared" si="12"/>
        <v>0.21088627487562195</v>
      </c>
      <c r="K202" s="90" t="s">
        <v>54</v>
      </c>
    </row>
    <row r="203" spans="1:11" ht="20">
      <c r="A203" s="14">
        <v>45006</v>
      </c>
      <c r="B203" s="83">
        <v>202</v>
      </c>
      <c r="C203" s="56">
        <v>66948.04999999702</v>
      </c>
      <c r="D203" s="51">
        <v>7.23</v>
      </c>
      <c r="E203" s="54">
        <v>9.3000000000000007</v>
      </c>
      <c r="F203" s="46">
        <v>1</v>
      </c>
      <c r="G203" s="46">
        <v>1</v>
      </c>
      <c r="H203" s="81">
        <f t="shared" si="10"/>
        <v>10240101.949999999</v>
      </c>
      <c r="I203" s="84">
        <f t="shared" si="11"/>
        <v>0.2789502083333209</v>
      </c>
      <c r="J203" s="84">
        <f t="shared" si="12"/>
        <v>0.2112232250412541</v>
      </c>
      <c r="K203" s="90" t="s">
        <v>65</v>
      </c>
    </row>
    <row r="204" spans="1:11" ht="60">
      <c r="A204" s="14">
        <v>45007</v>
      </c>
      <c r="B204" s="83">
        <v>203</v>
      </c>
      <c r="C204" s="56">
        <v>59799.34999999404</v>
      </c>
      <c r="D204" s="51">
        <v>6.57</v>
      </c>
      <c r="E204" s="54">
        <v>9.1</v>
      </c>
      <c r="F204" s="46">
        <v>1</v>
      </c>
      <c r="G204" s="46">
        <v>1</v>
      </c>
      <c r="H204" s="81">
        <f t="shared" si="10"/>
        <v>10299901.299999993</v>
      </c>
      <c r="I204" s="84">
        <f t="shared" si="11"/>
        <v>0.24916395833330851</v>
      </c>
      <c r="J204" s="84">
        <f t="shared" si="12"/>
        <v>0.21141012520525437</v>
      </c>
      <c r="K204" s="90" t="s">
        <v>54</v>
      </c>
    </row>
    <row r="205" spans="1:11" ht="60">
      <c r="A205" s="14">
        <v>45008</v>
      </c>
      <c r="B205" s="83">
        <v>204</v>
      </c>
      <c r="C205" s="56">
        <v>53300.000000007451</v>
      </c>
      <c r="D205" s="52">
        <v>5.83</v>
      </c>
      <c r="E205" s="54">
        <v>8.8000000000000007</v>
      </c>
      <c r="F205" s="46">
        <v>1</v>
      </c>
      <c r="G205" s="46">
        <v>1</v>
      </c>
      <c r="H205" s="81">
        <f t="shared" si="10"/>
        <v>10353201.300000001</v>
      </c>
      <c r="I205" s="84">
        <f t="shared" si="11"/>
        <v>0.22208333333336439</v>
      </c>
      <c r="J205" s="84">
        <f t="shared" si="12"/>
        <v>0.21146244485294119</v>
      </c>
      <c r="K205" s="90" t="s">
        <v>54</v>
      </c>
    </row>
    <row r="206" spans="1:11" ht="60">
      <c r="A206" s="14">
        <v>45009</v>
      </c>
      <c r="B206" s="83">
        <v>205</v>
      </c>
      <c r="C206" s="56">
        <v>59803.249999992549</v>
      </c>
      <c r="D206" s="52">
        <v>6.77</v>
      </c>
      <c r="E206" s="54">
        <v>9.1</v>
      </c>
      <c r="F206" s="46">
        <v>1</v>
      </c>
      <c r="G206" s="46">
        <v>1</v>
      </c>
      <c r="H206" s="81">
        <f t="shared" si="10"/>
        <v>10413004.549999993</v>
      </c>
      <c r="I206" s="84">
        <f t="shared" si="11"/>
        <v>0.24918020833330229</v>
      </c>
      <c r="J206" s="84">
        <f t="shared" si="12"/>
        <v>0.2116464339430893</v>
      </c>
      <c r="K206" s="90" t="s">
        <v>54</v>
      </c>
    </row>
    <row r="207" spans="1:11" ht="60">
      <c r="A207" s="14">
        <v>45010</v>
      </c>
      <c r="B207" s="83">
        <v>206</v>
      </c>
      <c r="C207" s="56">
        <v>54597.40000000596</v>
      </c>
      <c r="D207" s="52">
        <v>6.06</v>
      </c>
      <c r="E207" s="54">
        <v>8.9</v>
      </c>
      <c r="F207" s="46">
        <v>1</v>
      </c>
      <c r="G207" s="46">
        <v>1</v>
      </c>
      <c r="H207" s="81">
        <f t="shared" si="10"/>
        <v>10467601.949999999</v>
      </c>
      <c r="I207" s="84">
        <f t="shared" si="11"/>
        <v>0.2274891666666915</v>
      </c>
      <c r="J207" s="84">
        <f t="shared" si="12"/>
        <v>0.21172334041262134</v>
      </c>
      <c r="K207" s="90" t="s">
        <v>54</v>
      </c>
    </row>
    <row r="208" spans="1:11" ht="20">
      <c r="A208" s="14">
        <v>45011</v>
      </c>
      <c r="B208" s="83">
        <v>207</v>
      </c>
      <c r="C208" s="56">
        <v>44850.64999999851</v>
      </c>
      <c r="D208" s="52">
        <v>4.95</v>
      </c>
      <c r="E208" s="54">
        <v>8.3000000000000007</v>
      </c>
      <c r="F208" s="46">
        <v>1</v>
      </c>
      <c r="G208" s="46">
        <v>1</v>
      </c>
      <c r="H208" s="81">
        <f t="shared" si="10"/>
        <v>10512452.599999998</v>
      </c>
      <c r="I208" s="84">
        <f t="shared" si="11"/>
        <v>0.18687770833332712</v>
      </c>
      <c r="J208" s="84">
        <f t="shared" si="12"/>
        <v>0.21160331320450881</v>
      </c>
      <c r="K208" s="90" t="s">
        <v>52</v>
      </c>
    </row>
    <row r="209" spans="1:11" ht="60">
      <c r="A209" s="14">
        <v>45012</v>
      </c>
      <c r="B209" s="83">
        <v>208</v>
      </c>
      <c r="C209" s="56">
        <v>63051.94999999553</v>
      </c>
      <c r="D209" s="52">
        <v>6.84</v>
      </c>
      <c r="E209" s="54">
        <v>9.3000000000000007</v>
      </c>
      <c r="F209" s="46">
        <v>1</v>
      </c>
      <c r="G209" s="46">
        <v>1</v>
      </c>
      <c r="H209" s="81">
        <f t="shared" si="10"/>
        <v>10575504.549999993</v>
      </c>
      <c r="I209" s="84">
        <f t="shared" si="11"/>
        <v>0.2627164583333147</v>
      </c>
      <c r="J209" s="84">
        <f t="shared" si="12"/>
        <v>0.21184904947916652</v>
      </c>
      <c r="K209" s="90" t="s">
        <v>54</v>
      </c>
    </row>
    <row r="210" spans="1:11" ht="60">
      <c r="A210" s="14">
        <v>45013</v>
      </c>
      <c r="B210" s="83">
        <v>209</v>
      </c>
      <c r="C210" s="56">
        <v>61746.750000007451</v>
      </c>
      <c r="D210" s="52">
        <v>7.07</v>
      </c>
      <c r="E210" s="54">
        <v>8.6999999999999993</v>
      </c>
      <c r="F210" s="46">
        <v>1</v>
      </c>
      <c r="G210" s="46">
        <v>0.99305555555555558</v>
      </c>
      <c r="H210" s="81">
        <f t="shared" si="10"/>
        <v>10637251.300000001</v>
      </c>
      <c r="I210" s="84">
        <f t="shared" si="11"/>
        <v>0.25727812500003105</v>
      </c>
      <c r="J210" s="84">
        <f t="shared" si="12"/>
        <v>0.21206641347687402</v>
      </c>
      <c r="K210" s="90" t="s">
        <v>54</v>
      </c>
    </row>
    <row r="211" spans="1:11" ht="60">
      <c r="A211" s="14">
        <v>45014</v>
      </c>
      <c r="B211" s="83">
        <v>210</v>
      </c>
      <c r="C211" s="56">
        <v>52003.249999992549</v>
      </c>
      <c r="D211" s="55">
        <v>6.74</v>
      </c>
      <c r="E211" s="54">
        <v>9</v>
      </c>
      <c r="F211" s="46">
        <v>1</v>
      </c>
      <c r="G211" s="46">
        <v>0.93333333333333335</v>
      </c>
      <c r="H211" s="81">
        <f t="shared" si="10"/>
        <v>10689254.549999993</v>
      </c>
      <c r="I211" s="84">
        <f t="shared" si="11"/>
        <v>0.21668020833330229</v>
      </c>
      <c r="J211" s="84">
        <f t="shared" si="12"/>
        <v>0.21208838392857129</v>
      </c>
      <c r="K211" s="90" t="s">
        <v>54</v>
      </c>
    </row>
    <row r="212" spans="1:11" ht="60">
      <c r="A212" s="14">
        <v>45015</v>
      </c>
      <c r="B212" s="83">
        <v>211</v>
      </c>
      <c r="C212" s="56">
        <v>52649.350000008941</v>
      </c>
      <c r="D212" s="54">
        <v>5.05</v>
      </c>
      <c r="E212" s="54">
        <v>9.6999999999999993</v>
      </c>
      <c r="F212" s="46">
        <v>1</v>
      </c>
      <c r="G212" s="46">
        <v>1</v>
      </c>
      <c r="H212" s="81">
        <f t="shared" si="10"/>
        <v>10741903.900000002</v>
      </c>
      <c r="I212" s="84">
        <f t="shared" si="11"/>
        <v>0.21937229166670391</v>
      </c>
      <c r="J212" s="84">
        <f t="shared" si="12"/>
        <v>0.21212290481832549</v>
      </c>
      <c r="K212" s="90" t="s">
        <v>54</v>
      </c>
    </row>
    <row r="213" spans="1:11" ht="20">
      <c r="A213" s="14">
        <v>45016</v>
      </c>
      <c r="B213" s="83">
        <v>212</v>
      </c>
      <c r="C213" s="56">
        <v>40950.64999999851</v>
      </c>
      <c r="D213" s="54">
        <v>5.41</v>
      </c>
      <c r="E213" s="54">
        <v>7.9</v>
      </c>
      <c r="F213" s="46">
        <v>1</v>
      </c>
      <c r="G213" s="46">
        <v>0.94374999999999998</v>
      </c>
      <c r="H213" s="81">
        <f t="shared" si="10"/>
        <v>10782854.550000001</v>
      </c>
      <c r="I213" s="84">
        <f t="shared" si="11"/>
        <v>0.17062770833332713</v>
      </c>
      <c r="J213" s="84">
        <f t="shared" si="12"/>
        <v>0.21192717275943398</v>
      </c>
      <c r="K213" s="90" t="s">
        <v>52</v>
      </c>
    </row>
    <row r="214" spans="1:11" ht="20">
      <c r="A214" s="14">
        <v>45017</v>
      </c>
      <c r="B214" s="83">
        <f>VLOOKUP(A214,'BADI SID DATA'!A:B,2,0)</f>
        <v>1</v>
      </c>
      <c r="C214" s="56">
        <v>44199.34999999404</v>
      </c>
      <c r="D214" s="50">
        <v>5.1100000000000003</v>
      </c>
      <c r="E214" s="54">
        <v>9.6999999999999993</v>
      </c>
      <c r="F214" s="46">
        <v>1</v>
      </c>
      <c r="G214" s="46">
        <v>1</v>
      </c>
      <c r="H214" s="81">
        <f>C214</f>
        <v>44199.34999999404</v>
      </c>
      <c r="I214" s="84">
        <f t="shared" si="11"/>
        <v>0.18416395833330851</v>
      </c>
      <c r="J214" s="84">
        <f t="shared" si="12"/>
        <v>0.18416395833330851</v>
      </c>
      <c r="K214" s="90" t="s">
        <v>52</v>
      </c>
    </row>
    <row r="215" spans="1:11" ht="40">
      <c r="A215" s="14">
        <v>45018</v>
      </c>
      <c r="B215" s="83">
        <f>VLOOKUP(A215,'BADI SID DATA'!A:B,2,0)</f>
        <v>2</v>
      </c>
      <c r="C215" s="56">
        <v>40300</v>
      </c>
      <c r="D215" s="50">
        <v>4.32</v>
      </c>
      <c r="E215" s="54">
        <v>10</v>
      </c>
      <c r="F215" s="46">
        <v>1</v>
      </c>
      <c r="G215" s="46">
        <v>1</v>
      </c>
      <c r="H215" s="81">
        <f t="shared" ref="H215:H278" si="13">C215+H214</f>
        <v>84499.34999999404</v>
      </c>
      <c r="I215" s="84">
        <f t="shared" si="11"/>
        <v>0.16791666666666666</v>
      </c>
      <c r="J215" s="84">
        <f t="shared" si="12"/>
        <v>0.17604031249998758</v>
      </c>
      <c r="K215" s="90" t="s">
        <v>56</v>
      </c>
    </row>
    <row r="216" spans="1:11" ht="20">
      <c r="A216" s="14">
        <v>45019</v>
      </c>
      <c r="B216" s="83">
        <f>VLOOKUP(A216,'BADI SID DATA'!A:B,2,0)</f>
        <v>3</v>
      </c>
      <c r="C216" s="56">
        <v>44850.000000007451</v>
      </c>
      <c r="D216" s="50">
        <v>5.04</v>
      </c>
      <c r="E216" s="54">
        <v>9.8000000000000007</v>
      </c>
      <c r="F216" s="46">
        <v>1</v>
      </c>
      <c r="G216" s="46">
        <v>1</v>
      </c>
      <c r="H216" s="81">
        <f t="shared" si="13"/>
        <v>129349.35000000149</v>
      </c>
      <c r="I216" s="84">
        <f t="shared" si="11"/>
        <v>0.18687500000003104</v>
      </c>
      <c r="J216" s="84">
        <f t="shared" si="12"/>
        <v>0.17965187500000207</v>
      </c>
      <c r="K216" s="90" t="s">
        <v>52</v>
      </c>
    </row>
    <row r="217" spans="1:11" ht="20">
      <c r="A217" s="14">
        <v>45020</v>
      </c>
      <c r="B217" s="83">
        <f>VLOOKUP(A217,'BADI SID DATA'!A:B,2,0)</f>
        <v>4</v>
      </c>
      <c r="C217" s="56">
        <v>47448.69999999553</v>
      </c>
      <c r="D217" s="53">
        <v>5.44</v>
      </c>
      <c r="E217" s="54">
        <v>9.6</v>
      </c>
      <c r="F217" s="46">
        <v>1</v>
      </c>
      <c r="G217" s="46">
        <v>1</v>
      </c>
      <c r="H217" s="81">
        <f t="shared" si="13"/>
        <v>176798.04999999702</v>
      </c>
      <c r="I217" s="84">
        <f t="shared" si="11"/>
        <v>0.19770291666664805</v>
      </c>
      <c r="J217" s="84">
        <f t="shared" si="12"/>
        <v>0.18416463541666356</v>
      </c>
      <c r="K217" s="90" t="s">
        <v>52</v>
      </c>
    </row>
    <row r="218" spans="1:11" ht="60">
      <c r="A218" s="14">
        <v>45021</v>
      </c>
      <c r="B218" s="83">
        <f>VLOOKUP(A218,'BADI SID DATA'!A:B,2,0)</f>
        <v>5</v>
      </c>
      <c r="C218" s="56">
        <v>55899.35000000149</v>
      </c>
      <c r="D218" s="50">
        <v>6.38</v>
      </c>
      <c r="E218" s="54">
        <v>8.9</v>
      </c>
      <c r="F218" s="46">
        <v>1</v>
      </c>
      <c r="G218" s="46">
        <v>1</v>
      </c>
      <c r="H218" s="81">
        <f t="shared" si="13"/>
        <v>232697.39999999851</v>
      </c>
      <c r="I218" s="84">
        <f t="shared" si="11"/>
        <v>0.23291395833333955</v>
      </c>
      <c r="J218" s="84">
        <f t="shared" si="12"/>
        <v>0.19391449999999877</v>
      </c>
      <c r="K218" s="90" t="s">
        <v>54</v>
      </c>
    </row>
    <row r="219" spans="1:11" ht="60">
      <c r="A219" s="14">
        <v>45022</v>
      </c>
      <c r="B219" s="83">
        <f>VLOOKUP(A219,'BADI SID DATA'!A:B,2,0)</f>
        <v>6</v>
      </c>
      <c r="C219" s="56">
        <v>57200</v>
      </c>
      <c r="D219" s="50">
        <v>6.01</v>
      </c>
      <c r="E219" s="54">
        <v>9.1999999999999993</v>
      </c>
      <c r="F219" s="46">
        <v>1</v>
      </c>
      <c r="G219" s="46">
        <v>1</v>
      </c>
      <c r="H219" s="81">
        <f t="shared" si="13"/>
        <v>289897.39999999851</v>
      </c>
      <c r="I219" s="84">
        <f t="shared" si="11"/>
        <v>0.23833333333333334</v>
      </c>
      <c r="J219" s="84">
        <f t="shared" si="12"/>
        <v>0.20131763888888785</v>
      </c>
      <c r="K219" s="90" t="s">
        <v>54</v>
      </c>
    </row>
    <row r="220" spans="1:11" ht="60">
      <c r="A220" s="14">
        <v>45023</v>
      </c>
      <c r="B220" s="83">
        <f>VLOOKUP(A220,'BADI SID DATA'!A:B,2,0)</f>
        <v>7</v>
      </c>
      <c r="C220" s="56">
        <v>60449.35000000149</v>
      </c>
      <c r="D220" s="50">
        <v>6.28</v>
      </c>
      <c r="E220" s="54">
        <v>9.1</v>
      </c>
      <c r="F220" s="46">
        <v>1</v>
      </c>
      <c r="G220" s="46">
        <v>1</v>
      </c>
      <c r="H220" s="81">
        <f t="shared" si="13"/>
        <v>350346.75</v>
      </c>
      <c r="I220" s="84">
        <f t="shared" si="11"/>
        <v>0.25187229166667285</v>
      </c>
      <c r="J220" s="84">
        <f t="shared" si="12"/>
        <v>0.20853973214285715</v>
      </c>
      <c r="K220" s="90" t="s">
        <v>54</v>
      </c>
    </row>
    <row r="221" spans="1:11" ht="60">
      <c r="A221" s="14">
        <v>45024</v>
      </c>
      <c r="B221" s="83">
        <f>VLOOKUP(A221,'BADI SID DATA'!A:B,2,0)</f>
        <v>8</v>
      </c>
      <c r="C221" s="56">
        <v>64349.35000000149</v>
      </c>
      <c r="D221" s="52">
        <v>6.89</v>
      </c>
      <c r="E221" s="54">
        <v>9.5</v>
      </c>
      <c r="F221" s="46">
        <v>1</v>
      </c>
      <c r="G221" s="46">
        <v>1</v>
      </c>
      <c r="H221" s="81">
        <f t="shared" si="13"/>
        <v>414696.10000000149</v>
      </c>
      <c r="I221" s="84">
        <f t="shared" si="11"/>
        <v>0.2681222916666729</v>
      </c>
      <c r="J221" s="84">
        <f t="shared" si="12"/>
        <v>0.21598755208333412</v>
      </c>
      <c r="K221" s="90" t="s">
        <v>54</v>
      </c>
    </row>
    <row r="222" spans="1:11" ht="20">
      <c r="A222" s="14">
        <v>45025</v>
      </c>
      <c r="B222" s="83">
        <f>VLOOKUP(A222,'BADI SID DATA'!A:B,2,0)</f>
        <v>9</v>
      </c>
      <c r="C222" s="56">
        <v>65000</v>
      </c>
      <c r="D222" s="52">
        <v>6.69</v>
      </c>
      <c r="E222" s="54">
        <v>9.1</v>
      </c>
      <c r="F222" s="46">
        <v>1</v>
      </c>
      <c r="G222" s="46">
        <v>1</v>
      </c>
      <c r="H222" s="81">
        <f t="shared" si="13"/>
        <v>479696.10000000149</v>
      </c>
      <c r="I222" s="84">
        <f t="shared" si="11"/>
        <v>0.27083333333333331</v>
      </c>
      <c r="J222" s="84">
        <f t="shared" si="12"/>
        <v>0.22208152777777848</v>
      </c>
      <c r="K222" s="90" t="s">
        <v>65</v>
      </c>
    </row>
    <row r="223" spans="1:11" ht="60">
      <c r="A223" s="14">
        <v>45026</v>
      </c>
      <c r="B223" s="83">
        <f>VLOOKUP(A223,'BADI SID DATA'!A:B,2,0)</f>
        <v>10</v>
      </c>
      <c r="C223" s="56">
        <v>63051.94999999553</v>
      </c>
      <c r="D223" s="51">
        <v>6.5</v>
      </c>
      <c r="E223" s="54">
        <v>9</v>
      </c>
      <c r="F223" s="46">
        <v>1</v>
      </c>
      <c r="G223" s="46">
        <v>1</v>
      </c>
      <c r="H223" s="81">
        <f t="shared" si="13"/>
        <v>542748.04999999702</v>
      </c>
      <c r="I223" s="84">
        <f t="shared" si="11"/>
        <v>0.2627164583333147</v>
      </c>
      <c r="J223" s="84">
        <f t="shared" si="12"/>
        <v>0.2261450208333321</v>
      </c>
      <c r="K223" s="90" t="s">
        <v>54</v>
      </c>
    </row>
    <row r="224" spans="1:11" ht="20">
      <c r="A224" s="14">
        <v>45027</v>
      </c>
      <c r="B224" s="83">
        <f>VLOOKUP(A224,'BADI SID DATA'!A:B,2,0)</f>
        <v>11</v>
      </c>
      <c r="C224" s="56">
        <v>63048.69999999553</v>
      </c>
      <c r="D224" s="51">
        <v>6.5</v>
      </c>
      <c r="E224" s="54">
        <v>8.9</v>
      </c>
      <c r="F224" s="46">
        <v>1</v>
      </c>
      <c r="G224" s="46">
        <v>1</v>
      </c>
      <c r="H224" s="81">
        <f t="shared" si="13"/>
        <v>605796.74999999255</v>
      </c>
      <c r="I224" s="84">
        <f t="shared" si="11"/>
        <v>0.26270291666664802</v>
      </c>
      <c r="J224" s="84">
        <f t="shared" si="12"/>
        <v>0.22946846590908809</v>
      </c>
      <c r="K224" s="90" t="s">
        <v>65</v>
      </c>
    </row>
    <row r="225" spans="1:11" ht="20">
      <c r="A225" s="14">
        <v>45028</v>
      </c>
      <c r="B225" s="83">
        <f>VLOOKUP(A225,'BADI SID DATA'!A:B,2,0)</f>
        <v>12</v>
      </c>
      <c r="C225" s="56">
        <v>65000</v>
      </c>
      <c r="D225" s="51">
        <v>6.8</v>
      </c>
      <c r="E225" s="54">
        <v>9</v>
      </c>
      <c r="F225" s="46">
        <v>1</v>
      </c>
      <c r="G225" s="46">
        <v>1</v>
      </c>
      <c r="H225" s="81">
        <f t="shared" si="13"/>
        <v>670796.74999999255</v>
      </c>
      <c r="I225" s="84">
        <f t="shared" si="11"/>
        <v>0.27083333333333331</v>
      </c>
      <c r="J225" s="84">
        <f t="shared" si="12"/>
        <v>0.23291553819444186</v>
      </c>
      <c r="K225" s="90" t="s">
        <v>65</v>
      </c>
    </row>
    <row r="226" spans="1:11" ht="20">
      <c r="A226" s="14">
        <v>45029</v>
      </c>
      <c r="B226" s="83">
        <f>VLOOKUP(A226,'BADI SID DATA'!A:B,2,0)</f>
        <v>13</v>
      </c>
      <c r="C226" s="56">
        <v>63051.95000000298</v>
      </c>
      <c r="D226" s="51">
        <v>6.6</v>
      </c>
      <c r="E226" s="54">
        <v>8.6999999999999993</v>
      </c>
      <c r="F226" s="46">
        <v>1</v>
      </c>
      <c r="G226" s="46">
        <v>1</v>
      </c>
      <c r="H226" s="81">
        <f t="shared" si="13"/>
        <v>733848.69999999553</v>
      </c>
      <c r="I226" s="84">
        <f t="shared" si="11"/>
        <v>0.26271645833334573</v>
      </c>
      <c r="J226" s="84">
        <f t="shared" si="12"/>
        <v>0.23520791666666524</v>
      </c>
      <c r="K226" s="90" t="s">
        <v>65</v>
      </c>
    </row>
    <row r="227" spans="1:11" ht="60">
      <c r="A227" s="14">
        <v>45030</v>
      </c>
      <c r="B227" s="83">
        <f>VLOOKUP(A227,'BADI SID DATA'!A:B,2,0)</f>
        <v>14</v>
      </c>
      <c r="C227" s="56">
        <v>61750.65000000596</v>
      </c>
      <c r="D227" s="52">
        <v>6.46</v>
      </c>
      <c r="E227" s="54">
        <v>8.6</v>
      </c>
      <c r="F227" s="46">
        <v>1</v>
      </c>
      <c r="G227" s="46">
        <v>1</v>
      </c>
      <c r="H227" s="81">
        <f t="shared" si="13"/>
        <v>795599.35000000149</v>
      </c>
      <c r="I227" s="84">
        <f t="shared" si="11"/>
        <v>0.25729437500002483</v>
      </c>
      <c r="J227" s="84">
        <f t="shared" si="12"/>
        <v>0.23678552083333379</v>
      </c>
      <c r="K227" s="90" t="s">
        <v>54</v>
      </c>
    </row>
    <row r="228" spans="1:11" ht="60">
      <c r="A228" s="14">
        <v>45031</v>
      </c>
      <c r="B228" s="83">
        <f>VLOOKUP(A228,'BADI SID DATA'!A:B,2,0)</f>
        <v>15</v>
      </c>
      <c r="C228" s="56">
        <v>53947.399999991059</v>
      </c>
      <c r="D228" s="52">
        <v>5.49</v>
      </c>
      <c r="E228" s="54">
        <v>9.4</v>
      </c>
      <c r="F228" s="46">
        <v>1</v>
      </c>
      <c r="G228" s="46">
        <v>1</v>
      </c>
      <c r="H228" s="81">
        <f t="shared" si="13"/>
        <v>849546.74999999255</v>
      </c>
      <c r="I228" s="84">
        <f t="shared" si="11"/>
        <v>0.22478083333329607</v>
      </c>
      <c r="J228" s="84">
        <f t="shared" si="12"/>
        <v>0.23598520833333125</v>
      </c>
      <c r="K228" s="90" t="s">
        <v>54</v>
      </c>
    </row>
    <row r="229" spans="1:11" ht="60">
      <c r="A229" s="14">
        <v>45032</v>
      </c>
      <c r="B229" s="83">
        <f>VLOOKUP(A229,'BADI SID DATA'!A:B,2,0)</f>
        <v>16</v>
      </c>
      <c r="C229" s="56">
        <v>61100.000000007451</v>
      </c>
      <c r="D229" s="51">
        <v>6.39</v>
      </c>
      <c r="E229" s="54">
        <v>8.5</v>
      </c>
      <c r="F229" s="46">
        <v>1</v>
      </c>
      <c r="G229" s="46">
        <v>1</v>
      </c>
      <c r="H229" s="81">
        <f t="shared" si="13"/>
        <v>910646.75</v>
      </c>
      <c r="I229" s="84">
        <f t="shared" si="11"/>
        <v>0.25458333333336436</v>
      </c>
      <c r="J229" s="84">
        <f t="shared" si="12"/>
        <v>0.23714759114583334</v>
      </c>
      <c r="K229" s="48" t="s">
        <v>54</v>
      </c>
    </row>
    <row r="230" spans="1:11" ht="20">
      <c r="A230" s="14">
        <v>45033</v>
      </c>
      <c r="B230" s="83">
        <f>VLOOKUP(A230,'BADI SID DATA'!A:B,2,0)</f>
        <v>17</v>
      </c>
      <c r="C230" s="56">
        <v>49400.64999999851</v>
      </c>
      <c r="D230" s="51">
        <v>6.3</v>
      </c>
      <c r="E230" s="54">
        <v>8.3000000000000007</v>
      </c>
      <c r="F230" s="46">
        <v>1</v>
      </c>
      <c r="G230" s="46">
        <v>0.94930555555555551</v>
      </c>
      <c r="H230" s="81">
        <f t="shared" si="13"/>
        <v>960047.39999999851</v>
      </c>
      <c r="I230" s="84">
        <f t="shared" si="11"/>
        <v>0.20583604166666045</v>
      </c>
      <c r="J230" s="84">
        <f t="shared" si="12"/>
        <v>0.23530573529411727</v>
      </c>
      <c r="K230" s="90" t="s">
        <v>65</v>
      </c>
    </row>
    <row r="231" spans="1:11" ht="60">
      <c r="A231" s="14">
        <v>45034</v>
      </c>
      <c r="B231" s="83">
        <f>VLOOKUP(A231,'BADI SID DATA'!A:B,2,0)</f>
        <v>18</v>
      </c>
      <c r="C231" s="56">
        <v>59798.69999999553</v>
      </c>
      <c r="D231" s="52">
        <v>6.33</v>
      </c>
      <c r="E231" s="54">
        <v>8.3000000000000007</v>
      </c>
      <c r="F231" s="46">
        <v>1</v>
      </c>
      <c r="G231" s="46">
        <v>1</v>
      </c>
      <c r="H231" s="81">
        <f t="shared" si="13"/>
        <v>1019846.099999994</v>
      </c>
      <c r="I231" s="84">
        <f t="shared" si="11"/>
        <v>0.24916124999998138</v>
      </c>
      <c r="J231" s="84">
        <f t="shared" si="12"/>
        <v>0.23607548611110973</v>
      </c>
      <c r="K231" s="90" t="s">
        <v>54</v>
      </c>
    </row>
    <row r="232" spans="1:11" ht="20">
      <c r="A232" s="14">
        <v>45035</v>
      </c>
      <c r="B232" s="83">
        <f>VLOOKUP(A232,'BADI SID DATA'!A:B,2,0)</f>
        <v>19</v>
      </c>
      <c r="C232" s="56">
        <v>56553.89999999851</v>
      </c>
      <c r="D232" s="52">
        <v>5.89</v>
      </c>
      <c r="E232" s="54">
        <v>8</v>
      </c>
      <c r="F232" s="46">
        <v>1</v>
      </c>
      <c r="G232" s="46">
        <v>1</v>
      </c>
      <c r="H232" s="81">
        <f t="shared" si="13"/>
        <v>1076399.9999999925</v>
      </c>
      <c r="I232" s="84">
        <f t="shared" si="11"/>
        <v>0.23564124999999378</v>
      </c>
      <c r="J232" s="84">
        <f t="shared" si="12"/>
        <v>0.23605263157894574</v>
      </c>
      <c r="K232" s="90" t="s">
        <v>52</v>
      </c>
    </row>
    <row r="233" spans="1:11" ht="60">
      <c r="A233" s="14">
        <v>45036</v>
      </c>
      <c r="B233" s="83">
        <f>VLOOKUP(A233,'BADI SID DATA'!A:B,2,0)</f>
        <v>20</v>
      </c>
      <c r="C233" s="56">
        <v>53946.750000007451</v>
      </c>
      <c r="D233" s="52">
        <v>5.76</v>
      </c>
      <c r="E233" s="54">
        <v>8.1999999999999993</v>
      </c>
      <c r="F233" s="46">
        <v>1</v>
      </c>
      <c r="G233" s="46">
        <v>1</v>
      </c>
      <c r="H233" s="81">
        <f t="shared" si="13"/>
        <v>1130346.75</v>
      </c>
      <c r="I233" s="84">
        <f t="shared" si="11"/>
        <v>0.22477812500003105</v>
      </c>
      <c r="J233" s="84">
        <f t="shared" si="12"/>
        <v>0.23548890624999999</v>
      </c>
      <c r="K233" s="90" t="s">
        <v>54</v>
      </c>
    </row>
    <row r="234" spans="1:11" ht="20">
      <c r="A234" s="14">
        <v>45037</v>
      </c>
      <c r="B234" s="83">
        <f>VLOOKUP(A234,'BADI SID DATA'!A:B,2,0)</f>
        <v>21</v>
      </c>
      <c r="C234" s="56">
        <v>40950.64999999851</v>
      </c>
      <c r="D234" s="51">
        <v>4.2300000000000004</v>
      </c>
      <c r="E234" s="54">
        <v>8.6</v>
      </c>
      <c r="F234" s="46">
        <v>1</v>
      </c>
      <c r="G234" s="46">
        <v>1</v>
      </c>
      <c r="H234" s="81">
        <f t="shared" si="13"/>
        <v>1171297.3999999985</v>
      </c>
      <c r="I234" s="84">
        <f t="shared" si="11"/>
        <v>0.17062770833332713</v>
      </c>
      <c r="J234" s="84">
        <f t="shared" si="12"/>
        <v>0.23240027777777747</v>
      </c>
      <c r="K234" s="90" t="s">
        <v>52</v>
      </c>
    </row>
    <row r="235" spans="1:11" ht="20">
      <c r="A235" s="14">
        <v>45038</v>
      </c>
      <c r="B235" s="83">
        <f>VLOOKUP(A235,'BADI SID DATA'!A:B,2,0)</f>
        <v>22</v>
      </c>
      <c r="C235" s="56">
        <v>47452.60000000149</v>
      </c>
      <c r="D235" s="51">
        <v>4.4800000000000004</v>
      </c>
      <c r="E235" s="54">
        <v>8.4</v>
      </c>
      <c r="F235" s="46">
        <v>1</v>
      </c>
      <c r="G235" s="46">
        <v>1</v>
      </c>
      <c r="H235" s="81">
        <f t="shared" si="13"/>
        <v>1218750</v>
      </c>
      <c r="I235" s="84">
        <f t="shared" si="11"/>
        <v>0.19771916666667289</v>
      </c>
      <c r="J235" s="84">
        <f t="shared" si="12"/>
        <v>0.23082386363636365</v>
      </c>
      <c r="K235" s="90" t="s">
        <v>52</v>
      </c>
    </row>
    <row r="236" spans="1:11" ht="20">
      <c r="A236" s="14">
        <v>45039</v>
      </c>
      <c r="B236" s="83">
        <f>VLOOKUP(A236,'BADI SID DATA'!A:B,2,0)</f>
        <v>23</v>
      </c>
      <c r="C236" s="56">
        <v>48099.35000000149</v>
      </c>
      <c r="D236" s="51">
        <v>4.9000000000000004</v>
      </c>
      <c r="E236" s="54">
        <v>9.3000000000000007</v>
      </c>
      <c r="F236" s="46">
        <v>1</v>
      </c>
      <c r="G236" s="46">
        <v>1</v>
      </c>
      <c r="H236" s="81">
        <f t="shared" si="13"/>
        <v>1266849.3500000015</v>
      </c>
      <c r="I236" s="84">
        <f t="shared" si="11"/>
        <v>0.20041395833333955</v>
      </c>
      <c r="J236" s="84">
        <f t="shared" si="12"/>
        <v>0.22950169384057997</v>
      </c>
      <c r="K236" s="90" t="s">
        <v>52</v>
      </c>
    </row>
    <row r="237" spans="1:11" ht="20">
      <c r="A237" s="14">
        <v>45040</v>
      </c>
      <c r="B237" s="83">
        <f>VLOOKUP(A237,'BADI SID DATA'!A:B,2,0)</f>
        <v>24</v>
      </c>
      <c r="C237" s="56">
        <v>53947.399999991059</v>
      </c>
      <c r="D237" s="52">
        <v>5.68</v>
      </c>
      <c r="E237" s="54">
        <v>8.9</v>
      </c>
      <c r="F237" s="46">
        <v>1</v>
      </c>
      <c r="G237" s="46">
        <v>1</v>
      </c>
      <c r="H237" s="81">
        <f t="shared" si="13"/>
        <v>1320796.7499999925</v>
      </c>
      <c r="I237" s="84">
        <f t="shared" si="11"/>
        <v>0.22478083333329607</v>
      </c>
      <c r="J237" s="84">
        <f t="shared" si="12"/>
        <v>0.22930499131944315</v>
      </c>
      <c r="K237" s="90" t="s">
        <v>52</v>
      </c>
    </row>
    <row r="238" spans="1:11" ht="20">
      <c r="A238" s="14">
        <v>45041</v>
      </c>
      <c r="B238" s="83">
        <f>VLOOKUP(A238,'BADI SID DATA'!A:B,2,0)</f>
        <v>25</v>
      </c>
      <c r="C238" s="56">
        <v>53950.65000000596</v>
      </c>
      <c r="D238" s="52">
        <v>5.47</v>
      </c>
      <c r="E238" s="54">
        <v>9.9</v>
      </c>
      <c r="F238" s="46">
        <v>1</v>
      </c>
      <c r="G238" s="46">
        <v>1</v>
      </c>
      <c r="H238" s="81">
        <f t="shared" si="13"/>
        <v>1374747.3999999985</v>
      </c>
      <c r="I238" s="84">
        <f t="shared" ref="I238:I301" si="14">C238/(10*24*1000)</f>
        <v>0.22479437500002483</v>
      </c>
      <c r="J238" s="84">
        <f t="shared" si="12"/>
        <v>0.22912456666666642</v>
      </c>
      <c r="K238" s="90" t="s">
        <v>52</v>
      </c>
    </row>
    <row r="239" spans="1:11" ht="20">
      <c r="A239" s="14">
        <v>45042</v>
      </c>
      <c r="B239" s="83">
        <f>VLOOKUP(A239,'BADI SID DATA'!A:B,2,0)</f>
        <v>26</v>
      </c>
      <c r="C239" s="56">
        <v>50701.94999999553</v>
      </c>
      <c r="D239" s="52">
        <v>5.41</v>
      </c>
      <c r="E239" s="54">
        <v>9.1</v>
      </c>
      <c r="F239" s="46">
        <v>1</v>
      </c>
      <c r="G239" s="46">
        <v>1</v>
      </c>
      <c r="H239" s="81">
        <f t="shared" si="13"/>
        <v>1425449.349999994</v>
      </c>
      <c r="I239" s="84">
        <f t="shared" si="14"/>
        <v>0.21125812499998137</v>
      </c>
      <c r="J239" s="84">
        <f t="shared" si="12"/>
        <v>0.22843739583333239</v>
      </c>
      <c r="K239" s="90" t="s">
        <v>52</v>
      </c>
    </row>
    <row r="240" spans="1:11" ht="60">
      <c r="A240" s="14">
        <v>45043</v>
      </c>
      <c r="B240" s="83">
        <f>VLOOKUP(A240,'BADI SID DATA'!A:B,2,0)</f>
        <v>27</v>
      </c>
      <c r="C240" s="56">
        <v>56550</v>
      </c>
      <c r="D240" s="52">
        <v>5.94</v>
      </c>
      <c r="E240" s="54">
        <v>9.1</v>
      </c>
      <c r="F240" s="46">
        <v>1</v>
      </c>
      <c r="G240" s="46">
        <v>1</v>
      </c>
      <c r="H240" s="81">
        <f t="shared" si="13"/>
        <v>1481999.349999994</v>
      </c>
      <c r="I240" s="84">
        <f t="shared" si="14"/>
        <v>0.235625</v>
      </c>
      <c r="J240" s="84">
        <f t="shared" si="12"/>
        <v>0.22870360339506079</v>
      </c>
      <c r="K240" s="90" t="s">
        <v>54</v>
      </c>
    </row>
    <row r="241" spans="1:11" ht="60">
      <c r="A241" s="14">
        <v>45044</v>
      </c>
      <c r="B241" s="83">
        <f>VLOOKUP(A241,'BADI SID DATA'!A:B,2,0)</f>
        <v>28</v>
      </c>
      <c r="C241" s="56">
        <v>58497.39999999851</v>
      </c>
      <c r="D241" s="52">
        <v>6.12</v>
      </c>
      <c r="E241" s="54">
        <v>9</v>
      </c>
      <c r="F241" s="46">
        <v>1</v>
      </c>
      <c r="G241" s="46">
        <v>1</v>
      </c>
      <c r="H241" s="81">
        <f t="shared" si="13"/>
        <v>1540496.7499999925</v>
      </c>
      <c r="I241" s="84">
        <f t="shared" si="14"/>
        <v>0.24373916666666046</v>
      </c>
      <c r="J241" s="84">
        <f t="shared" si="12"/>
        <v>0.22924058779761794</v>
      </c>
      <c r="K241" s="90" t="s">
        <v>54</v>
      </c>
    </row>
    <row r="242" spans="1:11" ht="20">
      <c r="A242" s="14">
        <v>45045</v>
      </c>
      <c r="B242" s="83">
        <f>VLOOKUP(A242,'BADI SID DATA'!A:B,2,0)</f>
        <v>29</v>
      </c>
      <c r="C242" s="56">
        <v>48099.35000000149</v>
      </c>
      <c r="D242" s="55">
        <v>4.92</v>
      </c>
      <c r="E242" s="54">
        <v>9.6</v>
      </c>
      <c r="F242" s="46">
        <v>1</v>
      </c>
      <c r="G242" s="46">
        <v>1</v>
      </c>
      <c r="H242" s="81">
        <f t="shared" si="13"/>
        <v>1588596.099999994</v>
      </c>
      <c r="I242" s="84">
        <f t="shared" si="14"/>
        <v>0.20041395833333955</v>
      </c>
      <c r="J242" s="84">
        <f t="shared" si="12"/>
        <v>0.22824656609195318</v>
      </c>
      <c r="K242" s="90" t="s">
        <v>52</v>
      </c>
    </row>
    <row r="243" spans="1:11" ht="20">
      <c r="A243" s="14">
        <v>45046</v>
      </c>
      <c r="B243" s="83">
        <f>VLOOKUP(A243,'BADI SID DATA'!A:B,2,0)</f>
        <v>30</v>
      </c>
      <c r="C243" s="56">
        <v>52003.250000007451</v>
      </c>
      <c r="D243" s="54">
        <v>5.28</v>
      </c>
      <c r="E243" s="54">
        <v>10.199999999999999</v>
      </c>
      <c r="F243" s="46">
        <v>1</v>
      </c>
      <c r="G243" s="46">
        <v>1</v>
      </c>
      <c r="H243" s="81">
        <f t="shared" si="13"/>
        <v>1640599.3500000015</v>
      </c>
      <c r="I243" s="84">
        <f t="shared" si="14"/>
        <v>0.21668020833336438</v>
      </c>
      <c r="J243" s="84">
        <f t="shared" si="12"/>
        <v>0.22786102083333354</v>
      </c>
      <c r="K243" s="90" t="s">
        <v>52</v>
      </c>
    </row>
    <row r="244" spans="1:11" ht="80">
      <c r="A244" s="14">
        <v>45047</v>
      </c>
      <c r="B244" s="83">
        <f>VLOOKUP(A244,'BADI SID DATA'!A:B,2,0)</f>
        <v>31</v>
      </c>
      <c r="C244" s="56">
        <v>40950</v>
      </c>
      <c r="D244" s="50">
        <v>4.09</v>
      </c>
      <c r="E244" s="54">
        <v>10.4</v>
      </c>
      <c r="F244" s="46">
        <v>1</v>
      </c>
      <c r="G244" s="46">
        <v>1</v>
      </c>
      <c r="H244" s="81">
        <f t="shared" si="13"/>
        <v>1681549.3500000015</v>
      </c>
      <c r="I244" s="84">
        <f t="shared" si="14"/>
        <v>0.170625</v>
      </c>
      <c r="J244" s="84">
        <f t="shared" si="12"/>
        <v>0.22601469758064535</v>
      </c>
      <c r="K244" s="90" t="s">
        <v>51</v>
      </c>
    </row>
    <row r="245" spans="1:11" ht="80">
      <c r="A245" s="14">
        <v>45048</v>
      </c>
      <c r="B245" s="83">
        <f>VLOOKUP(A245,'BADI SID DATA'!A:B,2,0)</f>
        <v>32</v>
      </c>
      <c r="C245" s="56">
        <v>36399.999999992549</v>
      </c>
      <c r="D245" s="50">
        <v>4.37</v>
      </c>
      <c r="E245" s="54">
        <v>10.9</v>
      </c>
      <c r="F245" s="46">
        <v>1</v>
      </c>
      <c r="G245" s="46">
        <v>0.87847222222222221</v>
      </c>
      <c r="H245" s="81">
        <f t="shared" si="13"/>
        <v>1717949.349999994</v>
      </c>
      <c r="I245" s="84">
        <f t="shared" si="14"/>
        <v>0.15166666666663561</v>
      </c>
      <c r="J245" s="84">
        <f t="shared" si="12"/>
        <v>0.22369132161458255</v>
      </c>
      <c r="K245" s="90" t="s">
        <v>51</v>
      </c>
    </row>
    <row r="246" spans="1:11" ht="80">
      <c r="A246" s="14">
        <v>45049</v>
      </c>
      <c r="B246" s="83">
        <f>VLOOKUP(A246,'BADI SID DATA'!A:B,2,0)</f>
        <v>33</v>
      </c>
      <c r="C246" s="56">
        <v>37050.65000000596</v>
      </c>
      <c r="D246" s="50">
        <v>3.45</v>
      </c>
      <c r="E246" s="54">
        <v>10.9</v>
      </c>
      <c r="F246" s="46">
        <v>1</v>
      </c>
      <c r="G246" s="46">
        <v>1</v>
      </c>
      <c r="H246" s="81">
        <f t="shared" si="13"/>
        <v>1755000</v>
      </c>
      <c r="I246" s="84">
        <f t="shared" si="14"/>
        <v>0.15437770833335818</v>
      </c>
      <c r="J246" s="84">
        <f t="shared" si="12"/>
        <v>0.22159090909090909</v>
      </c>
      <c r="K246" s="90" t="s">
        <v>51</v>
      </c>
    </row>
    <row r="247" spans="1:11" ht="80">
      <c r="A247" s="14">
        <v>45050</v>
      </c>
      <c r="B247" s="83">
        <f>VLOOKUP(A247,'BADI SID DATA'!A:B,2,0)</f>
        <v>34</v>
      </c>
      <c r="C247" s="56">
        <v>31849.35000000149</v>
      </c>
      <c r="D247" s="53">
        <v>3.28</v>
      </c>
      <c r="E247" s="54">
        <v>10.7</v>
      </c>
      <c r="F247" s="46">
        <v>1</v>
      </c>
      <c r="G247" s="46">
        <v>0.79652777777777772</v>
      </c>
      <c r="H247" s="81">
        <f t="shared" si="13"/>
        <v>1786849.3500000015</v>
      </c>
      <c r="I247" s="84">
        <f t="shared" si="14"/>
        <v>0.13270562500000621</v>
      </c>
      <c r="J247" s="84">
        <f t="shared" si="12"/>
        <v>0.21897663602941195</v>
      </c>
      <c r="K247" s="90" t="s">
        <v>51</v>
      </c>
    </row>
    <row r="248" spans="1:11" ht="80">
      <c r="A248" s="14">
        <v>45051</v>
      </c>
      <c r="B248" s="83">
        <f>VLOOKUP(A248,'BADI SID DATA'!A:B,2,0)</f>
        <v>35</v>
      </c>
      <c r="C248" s="56">
        <v>45496.749999992549</v>
      </c>
      <c r="D248" s="50">
        <v>4.41</v>
      </c>
      <c r="E248" s="54">
        <v>9.3000000000000007</v>
      </c>
      <c r="F248" s="46">
        <v>1</v>
      </c>
      <c r="G248" s="46">
        <v>1</v>
      </c>
      <c r="H248" s="81">
        <f t="shared" si="13"/>
        <v>1832346.099999994</v>
      </c>
      <c r="I248" s="84">
        <f t="shared" si="14"/>
        <v>0.18956979166663562</v>
      </c>
      <c r="J248" s="84">
        <f t="shared" si="12"/>
        <v>0.21813644047618977</v>
      </c>
      <c r="K248" s="90" t="s">
        <v>51</v>
      </c>
    </row>
    <row r="249" spans="1:11" ht="80">
      <c r="A249" s="14">
        <v>45052</v>
      </c>
      <c r="B249" s="83">
        <f>VLOOKUP(A249,'BADI SID DATA'!A:B,2,0)</f>
        <v>36</v>
      </c>
      <c r="C249" s="56">
        <v>28600.000000007451</v>
      </c>
      <c r="D249" s="50">
        <v>2.79</v>
      </c>
      <c r="E249" s="54">
        <v>10.3</v>
      </c>
      <c r="F249" s="46">
        <v>1</v>
      </c>
      <c r="G249" s="46">
        <v>0.8930555555555556</v>
      </c>
      <c r="H249" s="81">
        <f t="shared" si="13"/>
        <v>1860946.1000000015</v>
      </c>
      <c r="I249" s="84">
        <f t="shared" si="14"/>
        <v>0.11916666666669772</v>
      </c>
      <c r="J249" s="84">
        <f t="shared" si="12"/>
        <v>0.21538728009259275</v>
      </c>
      <c r="K249" s="90" t="s">
        <v>51</v>
      </c>
    </row>
    <row r="250" spans="1:11" ht="20">
      <c r="A250" s="14">
        <v>45053</v>
      </c>
      <c r="B250" s="83">
        <f>VLOOKUP(A250,'BADI SID DATA'!A:B,2,0)</f>
        <v>37</v>
      </c>
      <c r="C250" s="56">
        <v>52649.999999992549</v>
      </c>
      <c r="D250" s="50">
        <v>5.16</v>
      </c>
      <c r="E250" s="54">
        <v>10.6</v>
      </c>
      <c r="F250" s="46">
        <v>1</v>
      </c>
      <c r="G250" s="46">
        <v>1</v>
      </c>
      <c r="H250" s="81">
        <f t="shared" si="13"/>
        <v>1913596.099999994</v>
      </c>
      <c r="I250" s="84">
        <f t="shared" si="14"/>
        <v>0.21937499999996896</v>
      </c>
      <c r="J250" s="84">
        <f t="shared" si="12"/>
        <v>0.21549505630630564</v>
      </c>
      <c r="K250" s="90" t="s">
        <v>52</v>
      </c>
    </row>
    <row r="251" spans="1:11" ht="80">
      <c r="A251" s="14">
        <v>45054</v>
      </c>
      <c r="B251" s="83">
        <f>VLOOKUP(A251,'BADI SID DATA'!A:B,2,0)</f>
        <v>38</v>
      </c>
      <c r="C251" s="56">
        <v>37701.30000000447</v>
      </c>
      <c r="D251" s="50">
        <f>8.7-5.16</f>
        <v>3.5399999999999991</v>
      </c>
      <c r="E251" s="54">
        <v>10.6</v>
      </c>
      <c r="F251" s="46">
        <v>1</v>
      </c>
      <c r="G251" s="46">
        <v>1</v>
      </c>
      <c r="H251" s="81">
        <f t="shared" si="13"/>
        <v>1951297.3999999985</v>
      </c>
      <c r="I251" s="84">
        <f t="shared" si="14"/>
        <v>0.15708875000001862</v>
      </c>
      <c r="J251" s="84">
        <f t="shared" si="12"/>
        <v>0.21395804824561387</v>
      </c>
      <c r="K251" s="90" t="s">
        <v>51</v>
      </c>
    </row>
    <row r="252" spans="1:11" ht="60">
      <c r="A252" s="14">
        <v>45055</v>
      </c>
      <c r="B252" s="83">
        <f>VLOOKUP(A252,'BADI SID DATA'!A:B,2,0)</f>
        <v>39</v>
      </c>
      <c r="C252" s="56">
        <v>44850</v>
      </c>
      <c r="D252" s="52">
        <v>5.28</v>
      </c>
      <c r="E252" s="54">
        <v>9.8000000000000007</v>
      </c>
      <c r="F252" s="46">
        <v>1</v>
      </c>
      <c r="G252" s="46">
        <v>0.96527777777777779</v>
      </c>
      <c r="H252" s="81">
        <f t="shared" si="13"/>
        <v>1996147.3999999985</v>
      </c>
      <c r="I252" s="84">
        <f t="shared" si="14"/>
        <v>0.18687500000000001</v>
      </c>
      <c r="J252" s="84">
        <f t="shared" si="12"/>
        <v>0.21326361111111095</v>
      </c>
      <c r="K252" s="90" t="s">
        <v>53</v>
      </c>
    </row>
    <row r="253" spans="1:11" ht="60">
      <c r="A253" s="14">
        <v>45056</v>
      </c>
      <c r="B253" s="83">
        <f>VLOOKUP(A253,'BADI SID DATA'!A:B,2,0)</f>
        <v>40</v>
      </c>
      <c r="C253" s="56">
        <v>58501.29999999702</v>
      </c>
      <c r="D253" s="52">
        <v>5.87</v>
      </c>
      <c r="E253" s="54">
        <v>9.3000000000000007</v>
      </c>
      <c r="F253" s="46">
        <v>1</v>
      </c>
      <c r="G253" s="46">
        <v>1</v>
      </c>
      <c r="H253" s="81">
        <f t="shared" si="13"/>
        <v>2054648.6999999955</v>
      </c>
      <c r="I253" s="84">
        <f t="shared" si="14"/>
        <v>0.24375541666665426</v>
      </c>
      <c r="J253" s="84">
        <f t="shared" ref="J253:J316" si="15">H253/(24*B253*10*1000)</f>
        <v>0.21402590624999954</v>
      </c>
      <c r="K253" s="90" t="s">
        <v>54</v>
      </c>
    </row>
    <row r="254" spans="1:11" ht="20">
      <c r="A254" s="14">
        <v>45057</v>
      </c>
      <c r="B254" s="83">
        <f>VLOOKUP(A254,'BADI SID DATA'!A:B,2,0)</f>
        <v>41</v>
      </c>
      <c r="C254" s="56">
        <v>48099.35000000149</v>
      </c>
      <c r="D254" s="51">
        <v>5.31</v>
      </c>
      <c r="E254" s="54">
        <v>8.9</v>
      </c>
      <c r="F254" s="46">
        <v>1</v>
      </c>
      <c r="G254" s="46">
        <v>0.97361111111111109</v>
      </c>
      <c r="H254" s="81">
        <f t="shared" si="13"/>
        <v>2102748.049999997</v>
      </c>
      <c r="I254" s="84">
        <f t="shared" si="14"/>
        <v>0.20041395833333955</v>
      </c>
      <c r="J254" s="84">
        <f t="shared" si="15"/>
        <v>0.21369390752032491</v>
      </c>
      <c r="K254" s="90" t="s">
        <v>52</v>
      </c>
    </row>
    <row r="255" spans="1:11" ht="60">
      <c r="A255" s="14">
        <v>45058</v>
      </c>
      <c r="B255" s="83">
        <f>VLOOKUP(A255,'BADI SID DATA'!A:B,2,0)</f>
        <v>42</v>
      </c>
      <c r="C255" s="56">
        <v>52650</v>
      </c>
      <c r="D255" s="51">
        <v>5.26</v>
      </c>
      <c r="E255" s="54">
        <v>9.1</v>
      </c>
      <c r="F255" s="46">
        <v>1</v>
      </c>
      <c r="G255" s="46">
        <v>1</v>
      </c>
      <c r="H255" s="81">
        <f t="shared" si="13"/>
        <v>2155398.049999997</v>
      </c>
      <c r="I255" s="84">
        <f t="shared" si="14"/>
        <v>0.21937499999999999</v>
      </c>
      <c r="J255" s="84">
        <f t="shared" si="15"/>
        <v>0.21382917162698384</v>
      </c>
      <c r="K255" s="90" t="s">
        <v>54</v>
      </c>
    </row>
    <row r="256" spans="1:11" ht="20">
      <c r="A256" s="14">
        <v>45059</v>
      </c>
      <c r="B256" s="83">
        <f>VLOOKUP(A256,'BADI SID DATA'!A:B,2,0)</f>
        <v>43</v>
      </c>
      <c r="C256" s="56">
        <v>44850</v>
      </c>
      <c r="D256" s="51">
        <v>5.04</v>
      </c>
      <c r="E256" s="54">
        <v>8.1999999999999993</v>
      </c>
      <c r="F256" s="46">
        <v>1</v>
      </c>
      <c r="G256" s="46">
        <v>1</v>
      </c>
      <c r="H256" s="81">
        <f t="shared" si="13"/>
        <v>2200248.049999997</v>
      </c>
      <c r="I256" s="84">
        <f t="shared" si="14"/>
        <v>0.18687500000000001</v>
      </c>
      <c r="J256" s="84">
        <f t="shared" si="15"/>
        <v>0.21320233042635631</v>
      </c>
      <c r="K256" s="90" t="s">
        <v>52</v>
      </c>
    </row>
    <row r="257" spans="1:11" ht="60">
      <c r="A257" s="14">
        <v>45060</v>
      </c>
      <c r="B257" s="83">
        <f>VLOOKUP(A257,'BADI SID DATA'!A:B,2,0)</f>
        <v>44</v>
      </c>
      <c r="C257" s="56">
        <v>58501.95000000298</v>
      </c>
      <c r="D257" s="51">
        <v>6.12</v>
      </c>
      <c r="E257" s="54">
        <v>9.6</v>
      </c>
      <c r="F257" s="46">
        <v>1</v>
      </c>
      <c r="G257" s="46">
        <v>1</v>
      </c>
      <c r="H257" s="81">
        <f t="shared" si="13"/>
        <v>2258750</v>
      </c>
      <c r="I257" s="84">
        <f t="shared" si="14"/>
        <v>0.24375812500001243</v>
      </c>
      <c r="J257" s="84">
        <f t="shared" si="15"/>
        <v>0.2138967803030303</v>
      </c>
      <c r="K257" s="90" t="s">
        <v>54</v>
      </c>
    </row>
    <row r="258" spans="1:11" ht="60">
      <c r="A258" s="14">
        <v>45061</v>
      </c>
      <c r="B258" s="83">
        <f>VLOOKUP(A258,'BADI SID DATA'!A:B,2,0)</f>
        <v>45</v>
      </c>
      <c r="C258" s="56">
        <v>40946.10000000149</v>
      </c>
      <c r="D258" s="52">
        <v>4.2300000000000004</v>
      </c>
      <c r="E258" s="54">
        <v>8</v>
      </c>
      <c r="F258" s="46">
        <v>1</v>
      </c>
      <c r="G258" s="46">
        <v>0.90416666666666667</v>
      </c>
      <c r="H258" s="81">
        <f t="shared" si="13"/>
        <v>2299696.1000000015</v>
      </c>
      <c r="I258" s="84">
        <f t="shared" si="14"/>
        <v>0.17060875000000622</v>
      </c>
      <c r="J258" s="84">
        <f t="shared" si="15"/>
        <v>0.21293482407407421</v>
      </c>
      <c r="K258" s="90" t="s">
        <v>54</v>
      </c>
    </row>
    <row r="259" spans="1:11" ht="60">
      <c r="A259" s="14">
        <v>45062</v>
      </c>
      <c r="B259" s="83">
        <f>VLOOKUP(A259,'BADI SID DATA'!A:B,2,0)</f>
        <v>46</v>
      </c>
      <c r="C259" s="56">
        <v>52649.999999992549</v>
      </c>
      <c r="D259" s="52">
        <v>5.16</v>
      </c>
      <c r="E259" s="54">
        <v>9.1999999999999993</v>
      </c>
      <c r="F259" s="46">
        <v>1</v>
      </c>
      <c r="G259" s="46">
        <v>0.98124999999999996</v>
      </c>
      <c r="H259" s="81">
        <f t="shared" si="13"/>
        <v>2352346.099999994</v>
      </c>
      <c r="I259" s="84">
        <f t="shared" si="14"/>
        <v>0.21937499999996896</v>
      </c>
      <c r="J259" s="84">
        <f t="shared" si="15"/>
        <v>0.21307482789855017</v>
      </c>
      <c r="K259" s="48" t="s">
        <v>54</v>
      </c>
    </row>
    <row r="260" spans="1:11" ht="60">
      <c r="A260" s="14">
        <v>45063</v>
      </c>
      <c r="B260" s="83">
        <f>VLOOKUP(A260,'BADI SID DATA'!A:B,2,0)</f>
        <v>47</v>
      </c>
      <c r="C260" s="56">
        <v>52653.90000000596</v>
      </c>
      <c r="D260" s="51">
        <v>5.16</v>
      </c>
      <c r="E260" s="54">
        <v>9.1</v>
      </c>
      <c r="F260" s="46">
        <v>1</v>
      </c>
      <c r="G260" s="46">
        <v>1</v>
      </c>
      <c r="H260" s="81">
        <f t="shared" si="13"/>
        <v>2405000</v>
      </c>
      <c r="I260" s="84">
        <f t="shared" si="14"/>
        <v>0.21939125000002482</v>
      </c>
      <c r="J260" s="84">
        <f t="shared" si="15"/>
        <v>0.21320921985815602</v>
      </c>
      <c r="K260" s="90" t="s">
        <v>54</v>
      </c>
    </row>
    <row r="261" spans="1:11" ht="20">
      <c r="A261" s="14">
        <v>45064</v>
      </c>
      <c r="B261" s="83">
        <f>VLOOKUP(A261,'BADI SID DATA'!A:B,2,0)</f>
        <v>48</v>
      </c>
      <c r="C261" s="56">
        <v>44199.34999999404</v>
      </c>
      <c r="D261" s="51">
        <v>5.1100000000000003</v>
      </c>
      <c r="E261" s="54">
        <v>8.1</v>
      </c>
      <c r="F261" s="46">
        <v>1</v>
      </c>
      <c r="G261" s="46">
        <v>1</v>
      </c>
      <c r="H261" s="81">
        <f t="shared" si="13"/>
        <v>2449199.349999994</v>
      </c>
      <c r="I261" s="84">
        <f t="shared" si="14"/>
        <v>0.18416395833330851</v>
      </c>
      <c r="J261" s="84">
        <f t="shared" si="15"/>
        <v>0.21260411024305503</v>
      </c>
      <c r="K261" s="90" t="s">
        <v>52</v>
      </c>
    </row>
    <row r="262" spans="1:11" ht="60">
      <c r="A262" s="14">
        <v>45065</v>
      </c>
      <c r="B262" s="83">
        <f>VLOOKUP(A262,'BADI SID DATA'!A:B,2,0)</f>
        <v>49</v>
      </c>
      <c r="C262" s="56">
        <v>51999.35000000149</v>
      </c>
      <c r="D262" s="52">
        <v>5.07</v>
      </c>
      <c r="E262" s="54">
        <v>9.6</v>
      </c>
      <c r="F262" s="46">
        <v>1</v>
      </c>
      <c r="G262" s="46">
        <v>1</v>
      </c>
      <c r="H262" s="81">
        <f t="shared" si="13"/>
        <v>2501198.6999999955</v>
      </c>
      <c r="I262" s="84">
        <f t="shared" si="14"/>
        <v>0.21666395833333954</v>
      </c>
      <c r="J262" s="84">
        <f t="shared" si="15"/>
        <v>0.2126869642857139</v>
      </c>
      <c r="K262" s="90" t="s">
        <v>54</v>
      </c>
    </row>
    <row r="263" spans="1:11" ht="60">
      <c r="A263" s="14">
        <v>45066</v>
      </c>
      <c r="B263" s="83">
        <f>VLOOKUP(A263,'BADI SID DATA'!A:B,2,0)</f>
        <v>50</v>
      </c>
      <c r="C263" s="56">
        <v>54598.04999999702</v>
      </c>
      <c r="D263" s="52">
        <v>6.06</v>
      </c>
      <c r="E263" s="54">
        <v>9.1999999999999993</v>
      </c>
      <c r="F263" s="46">
        <v>1</v>
      </c>
      <c r="G263" s="46">
        <v>1</v>
      </c>
      <c r="H263" s="81">
        <f t="shared" si="13"/>
        <v>2555796.7499999925</v>
      </c>
      <c r="I263" s="84">
        <f t="shared" si="14"/>
        <v>0.22749187499998758</v>
      </c>
      <c r="J263" s="84">
        <f t="shared" si="15"/>
        <v>0.21298306249999938</v>
      </c>
      <c r="K263" s="90" t="s">
        <v>54</v>
      </c>
    </row>
    <row r="264" spans="1:11" ht="80">
      <c r="A264" s="14">
        <v>45067</v>
      </c>
      <c r="B264" s="83">
        <f>VLOOKUP(A264,'BADI SID DATA'!A:B,2,0)</f>
        <v>51</v>
      </c>
      <c r="C264" s="56">
        <v>34451.30000000447</v>
      </c>
      <c r="D264" s="52">
        <v>3.11</v>
      </c>
      <c r="E264" s="54">
        <v>8.1</v>
      </c>
      <c r="F264" s="46">
        <v>1</v>
      </c>
      <c r="G264" s="46">
        <v>0.98750000000000004</v>
      </c>
      <c r="H264" s="81">
        <f t="shared" si="13"/>
        <v>2590248.049999997</v>
      </c>
      <c r="I264" s="84">
        <f t="shared" si="14"/>
        <v>0.14354708333335195</v>
      </c>
      <c r="J264" s="84">
        <f t="shared" si="15"/>
        <v>0.21162157271241805</v>
      </c>
      <c r="K264" s="90" t="s">
        <v>51</v>
      </c>
    </row>
    <row r="265" spans="1:11" ht="60">
      <c r="A265" s="14">
        <v>45068</v>
      </c>
      <c r="B265" s="83">
        <f>VLOOKUP(A265,'BADI SID DATA'!A:B,2,0)</f>
        <v>52</v>
      </c>
      <c r="C265" s="56">
        <v>61751.29999999702</v>
      </c>
      <c r="D265" s="51">
        <v>6.46</v>
      </c>
      <c r="E265" s="54">
        <v>10.7</v>
      </c>
      <c r="F265" s="46">
        <v>1</v>
      </c>
      <c r="G265" s="46">
        <v>1</v>
      </c>
      <c r="H265" s="81">
        <f t="shared" si="13"/>
        <v>2651999.349999994</v>
      </c>
      <c r="I265" s="84">
        <f t="shared" si="14"/>
        <v>0.25729708333332091</v>
      </c>
      <c r="J265" s="84">
        <f t="shared" si="15"/>
        <v>0.21249994791666618</v>
      </c>
      <c r="K265" s="90" t="s">
        <v>54</v>
      </c>
    </row>
    <row r="266" spans="1:11" ht="20">
      <c r="A266" s="14">
        <v>45069</v>
      </c>
      <c r="B266" s="83">
        <f>VLOOKUP(A266,'BADI SID DATA'!A:B,2,0)</f>
        <v>53</v>
      </c>
      <c r="C266" s="56">
        <v>52649.35000000149</v>
      </c>
      <c r="D266" s="51">
        <v>5.16</v>
      </c>
      <c r="E266" s="54">
        <v>9.3000000000000007</v>
      </c>
      <c r="F266" s="46">
        <v>1</v>
      </c>
      <c r="G266" s="46">
        <v>1</v>
      </c>
      <c r="H266" s="81">
        <f t="shared" si="13"/>
        <v>2704648.6999999955</v>
      </c>
      <c r="I266" s="84">
        <f t="shared" si="14"/>
        <v>0.21937229166667288</v>
      </c>
      <c r="J266" s="84">
        <f t="shared" si="15"/>
        <v>0.21262961477987385</v>
      </c>
      <c r="K266" s="90" t="s">
        <v>52</v>
      </c>
    </row>
    <row r="267" spans="1:11" ht="60">
      <c r="A267" s="14">
        <v>45070</v>
      </c>
      <c r="B267" s="83">
        <f>VLOOKUP(A267,'BADI SID DATA'!A:B,2,0)</f>
        <v>54</v>
      </c>
      <c r="C267" s="56">
        <v>58498.05000000447</v>
      </c>
      <c r="D267" s="51">
        <v>6.12</v>
      </c>
      <c r="E267" s="54">
        <v>10.6</v>
      </c>
      <c r="F267" s="46">
        <v>1</v>
      </c>
      <c r="G267" s="46">
        <v>1</v>
      </c>
      <c r="H267" s="81">
        <f t="shared" si="13"/>
        <v>2763146.75</v>
      </c>
      <c r="I267" s="84">
        <f t="shared" si="14"/>
        <v>0.24374187500001862</v>
      </c>
      <c r="J267" s="84">
        <f t="shared" si="15"/>
        <v>0.21320576774691358</v>
      </c>
      <c r="K267" s="90" t="s">
        <v>54</v>
      </c>
    </row>
    <row r="268" spans="1:11" ht="60">
      <c r="A268" s="14">
        <v>45071</v>
      </c>
      <c r="B268" s="83">
        <f>VLOOKUP(A268,'BADI SID DATA'!A:B,2,0)</f>
        <v>55</v>
      </c>
      <c r="C268" s="56">
        <v>51352.59999999404</v>
      </c>
      <c r="D268" s="52">
        <v>5.05</v>
      </c>
      <c r="E268" s="54">
        <v>9.9</v>
      </c>
      <c r="F268" s="46">
        <v>1</v>
      </c>
      <c r="G268" s="46">
        <v>1</v>
      </c>
      <c r="H268" s="81">
        <f t="shared" si="13"/>
        <v>2814499.349999994</v>
      </c>
      <c r="I268" s="84">
        <f t="shared" si="14"/>
        <v>0.21396916666664184</v>
      </c>
      <c r="J268" s="84">
        <f t="shared" si="15"/>
        <v>0.21321964772727228</v>
      </c>
      <c r="K268" s="90" t="s">
        <v>54</v>
      </c>
    </row>
    <row r="269" spans="1:11" ht="60">
      <c r="A269" s="14">
        <v>45072</v>
      </c>
      <c r="B269" s="83">
        <f>VLOOKUP(A269,'BADI SID DATA'!A:B,2,0)</f>
        <v>56</v>
      </c>
      <c r="C269" s="56">
        <v>63698.70000000298</v>
      </c>
      <c r="D269" s="52">
        <v>6.28</v>
      </c>
      <c r="E269" s="54">
        <v>10.6</v>
      </c>
      <c r="F269" s="46">
        <v>1</v>
      </c>
      <c r="G269" s="46">
        <v>1</v>
      </c>
      <c r="H269" s="81">
        <f t="shared" si="13"/>
        <v>2878198.049999997</v>
      </c>
      <c r="I269" s="84">
        <f t="shared" si="14"/>
        <v>0.26541125000001242</v>
      </c>
      <c r="J269" s="84">
        <f t="shared" si="15"/>
        <v>0.21415164062499978</v>
      </c>
      <c r="K269" s="90" t="s">
        <v>54</v>
      </c>
    </row>
    <row r="270" spans="1:11" ht="60">
      <c r="A270" s="14">
        <v>45073</v>
      </c>
      <c r="B270" s="83">
        <f>VLOOKUP(A270,'BADI SID DATA'!A:B,2,0)</f>
        <v>57</v>
      </c>
      <c r="C270" s="56">
        <v>61750.64999999851</v>
      </c>
      <c r="D270" s="52">
        <v>6.46</v>
      </c>
      <c r="E270" s="54">
        <v>10.3</v>
      </c>
      <c r="F270" s="46">
        <v>1</v>
      </c>
      <c r="G270" s="46">
        <v>1</v>
      </c>
      <c r="H270" s="81">
        <f t="shared" si="13"/>
        <v>2939948.6999999955</v>
      </c>
      <c r="I270" s="84">
        <f t="shared" si="14"/>
        <v>0.2572943749999938</v>
      </c>
      <c r="J270" s="84">
        <f t="shared" si="15"/>
        <v>0.21490853070175406</v>
      </c>
      <c r="K270" s="90" t="s">
        <v>54</v>
      </c>
    </row>
    <row r="271" spans="1:11" ht="60">
      <c r="A271" s="14">
        <v>45074</v>
      </c>
      <c r="B271" s="83">
        <f>VLOOKUP(A271,'BADI SID DATA'!A:B,2,0)</f>
        <v>58</v>
      </c>
      <c r="C271" s="56">
        <v>63698.70000000298</v>
      </c>
      <c r="D271" s="52">
        <v>6.28</v>
      </c>
      <c r="E271" s="54">
        <v>10.8</v>
      </c>
      <c r="F271" s="46">
        <v>1</v>
      </c>
      <c r="G271" s="46">
        <v>1</v>
      </c>
      <c r="H271" s="81">
        <f t="shared" si="13"/>
        <v>3003647.3999999985</v>
      </c>
      <c r="I271" s="84">
        <f t="shared" si="14"/>
        <v>0.26541125000001242</v>
      </c>
      <c r="J271" s="84">
        <f t="shared" si="15"/>
        <v>0.21577926724137919</v>
      </c>
      <c r="K271" s="90" t="s">
        <v>54</v>
      </c>
    </row>
    <row r="272" spans="1:11" ht="100">
      <c r="A272" s="14">
        <v>45075</v>
      </c>
      <c r="B272" s="83">
        <f>VLOOKUP(A272,'BADI SID DATA'!A:B,2,0)</f>
        <v>59</v>
      </c>
      <c r="C272" s="56">
        <v>50701.95000000298</v>
      </c>
      <c r="D272" s="52">
        <v>5.41</v>
      </c>
      <c r="E272" s="54">
        <v>9.9</v>
      </c>
      <c r="F272" s="46">
        <v>1</v>
      </c>
      <c r="G272" s="46">
        <v>1</v>
      </c>
      <c r="H272" s="81">
        <f t="shared" si="13"/>
        <v>3054349.3500000015</v>
      </c>
      <c r="I272" s="84">
        <f t="shared" si="14"/>
        <v>0.21125812500001243</v>
      </c>
      <c r="J272" s="84">
        <f t="shared" si="15"/>
        <v>0.21570263771186451</v>
      </c>
      <c r="K272" s="90" t="s">
        <v>68</v>
      </c>
    </row>
    <row r="273" spans="1:11" ht="220">
      <c r="A273" s="14">
        <v>45076</v>
      </c>
      <c r="B273" s="83">
        <f>VLOOKUP(A273,'BADI SID DATA'!A:B,2,0)</f>
        <v>60</v>
      </c>
      <c r="C273" s="56">
        <v>44849.999999992549</v>
      </c>
      <c r="D273" s="55">
        <v>5.04</v>
      </c>
      <c r="E273" s="54">
        <v>8.9</v>
      </c>
      <c r="F273" s="47">
        <v>1</v>
      </c>
      <c r="G273" s="47">
        <v>0.96458333333333335</v>
      </c>
      <c r="H273" s="81">
        <f t="shared" si="13"/>
        <v>3099199.349999994</v>
      </c>
      <c r="I273" s="84">
        <f t="shared" si="14"/>
        <v>0.18687499999996895</v>
      </c>
      <c r="J273" s="84">
        <f t="shared" si="15"/>
        <v>0.21522217708333291</v>
      </c>
      <c r="K273" s="49" t="s">
        <v>69</v>
      </c>
    </row>
    <row r="274" spans="1:11" ht="60">
      <c r="A274" s="14">
        <v>45077</v>
      </c>
      <c r="B274" s="83">
        <f>VLOOKUP(A274,'BADI SID DATA'!A:B,2,0)</f>
        <v>61</v>
      </c>
      <c r="C274" s="56">
        <v>57847.39999999851</v>
      </c>
      <c r="D274" s="54">
        <v>5.57</v>
      </c>
      <c r="E274" s="54">
        <v>10.3</v>
      </c>
      <c r="F274" s="46">
        <v>1</v>
      </c>
      <c r="G274" s="46">
        <v>0.99444444444444446</v>
      </c>
      <c r="H274" s="81">
        <f t="shared" si="13"/>
        <v>3157046.7499999925</v>
      </c>
      <c r="I274" s="84">
        <f t="shared" si="14"/>
        <v>0.24103083333332712</v>
      </c>
      <c r="J274" s="84">
        <f t="shared" si="15"/>
        <v>0.21564526980874266</v>
      </c>
      <c r="K274" s="90" t="s">
        <v>54</v>
      </c>
    </row>
    <row r="275" spans="1:11" ht="60">
      <c r="A275" s="14">
        <v>45078</v>
      </c>
      <c r="B275" s="83">
        <f>VLOOKUP(A275,'BADI SID DATA'!A:B,2,0)</f>
        <v>62</v>
      </c>
      <c r="C275" s="56">
        <v>59802.600000008941</v>
      </c>
      <c r="D275" s="50">
        <v>6.77</v>
      </c>
      <c r="E275" s="54">
        <v>10.4</v>
      </c>
      <c r="F275" s="46">
        <v>1</v>
      </c>
      <c r="G275" s="46">
        <v>1</v>
      </c>
      <c r="H275" s="81">
        <f t="shared" si="13"/>
        <v>3216849.3500000015</v>
      </c>
      <c r="I275" s="84">
        <f t="shared" si="14"/>
        <v>0.24917750000003724</v>
      </c>
      <c r="J275" s="84">
        <f t="shared" si="15"/>
        <v>0.21618611223118289</v>
      </c>
      <c r="K275" s="90" t="s">
        <v>54</v>
      </c>
    </row>
    <row r="276" spans="1:11" ht="60">
      <c r="A276" s="14">
        <v>45079</v>
      </c>
      <c r="B276" s="83">
        <f>VLOOKUP(A276,'BADI SID DATA'!A:B,2,0)</f>
        <v>63</v>
      </c>
      <c r="C276" s="56">
        <v>57846.75</v>
      </c>
      <c r="D276" s="50">
        <v>5.57</v>
      </c>
      <c r="E276" s="54">
        <v>10.1</v>
      </c>
      <c r="F276" s="46">
        <v>1</v>
      </c>
      <c r="G276" s="46">
        <v>1</v>
      </c>
      <c r="H276" s="81">
        <f t="shared" si="13"/>
        <v>3274696.1000000015</v>
      </c>
      <c r="I276" s="84">
        <f t="shared" si="14"/>
        <v>0.24102812500000001</v>
      </c>
      <c r="J276" s="84">
        <f t="shared" si="15"/>
        <v>0.21658042989418</v>
      </c>
      <c r="K276" s="90" t="s">
        <v>54</v>
      </c>
    </row>
    <row r="277" spans="1:11" ht="20">
      <c r="A277" s="14">
        <v>45080</v>
      </c>
      <c r="B277" s="83">
        <f>VLOOKUP(A277,'BADI SID DATA'!A:B,2,0)</f>
        <v>64</v>
      </c>
      <c r="C277" s="56">
        <v>50051.29999999702</v>
      </c>
      <c r="D277" s="50">
        <v>5.74</v>
      </c>
      <c r="E277" s="54">
        <v>9.6</v>
      </c>
      <c r="F277" s="46">
        <v>1</v>
      </c>
      <c r="G277" s="46">
        <v>1</v>
      </c>
      <c r="H277" s="81">
        <f t="shared" si="13"/>
        <v>3324747.3999999985</v>
      </c>
      <c r="I277" s="84">
        <f t="shared" si="14"/>
        <v>0.20854708333332092</v>
      </c>
      <c r="J277" s="84">
        <f t="shared" si="15"/>
        <v>0.21645490885416657</v>
      </c>
      <c r="K277" s="90" t="s">
        <v>52</v>
      </c>
    </row>
    <row r="278" spans="1:11" ht="40">
      <c r="A278" s="14">
        <v>45081</v>
      </c>
      <c r="B278" s="83">
        <f>VLOOKUP(A278,'BADI SID DATA'!A:B,2,0)</f>
        <v>65</v>
      </c>
      <c r="C278" s="56">
        <v>40950.64999999851</v>
      </c>
      <c r="D278" s="53">
        <v>4.2300000000000004</v>
      </c>
      <c r="E278" s="54">
        <v>8.9</v>
      </c>
      <c r="F278" s="46">
        <v>1</v>
      </c>
      <c r="G278" s="46">
        <v>1</v>
      </c>
      <c r="H278" s="81">
        <f t="shared" si="13"/>
        <v>3365698.049999997</v>
      </c>
      <c r="I278" s="84">
        <f t="shared" si="14"/>
        <v>0.17062770833332713</v>
      </c>
      <c r="J278" s="84">
        <f t="shared" si="15"/>
        <v>0.21574987499999981</v>
      </c>
      <c r="K278" s="90" t="s">
        <v>56</v>
      </c>
    </row>
    <row r="279" spans="1:11" ht="60">
      <c r="A279" s="14">
        <v>45082</v>
      </c>
      <c r="B279" s="83">
        <f>VLOOKUP(A279,'BADI SID DATA'!A:B,2,0)</f>
        <v>66</v>
      </c>
      <c r="C279" s="56">
        <v>57850.64999999851</v>
      </c>
      <c r="D279" s="50">
        <v>5.57</v>
      </c>
      <c r="E279" s="54">
        <v>9.9</v>
      </c>
      <c r="F279" s="46">
        <v>1</v>
      </c>
      <c r="G279" s="46">
        <v>1</v>
      </c>
      <c r="H279" s="81">
        <f t="shared" ref="H279:H342" si="16">C279+H278</f>
        <v>3423548.6999999955</v>
      </c>
      <c r="I279" s="84">
        <f t="shared" si="14"/>
        <v>0.24104437499999379</v>
      </c>
      <c r="J279" s="84">
        <f t="shared" si="15"/>
        <v>0.2161331249999997</v>
      </c>
      <c r="K279" s="90" t="s">
        <v>54</v>
      </c>
    </row>
    <row r="280" spans="1:11" ht="60">
      <c r="A280" s="14">
        <v>45083</v>
      </c>
      <c r="B280" s="83">
        <f>VLOOKUP(A280,'BADI SID DATA'!A:B,2,0)</f>
        <v>67</v>
      </c>
      <c r="C280" s="56">
        <v>59799.35000000149</v>
      </c>
      <c r="D280" s="50">
        <v>6.33</v>
      </c>
      <c r="E280" s="54">
        <v>10.6</v>
      </c>
      <c r="F280" s="46">
        <v>1</v>
      </c>
      <c r="G280" s="46">
        <v>1</v>
      </c>
      <c r="H280" s="81">
        <f t="shared" si="16"/>
        <v>3483348.049999997</v>
      </c>
      <c r="I280" s="84">
        <f t="shared" si="14"/>
        <v>0.24916395833333954</v>
      </c>
      <c r="J280" s="84">
        <f t="shared" si="15"/>
        <v>0.21662612251243762</v>
      </c>
      <c r="K280" s="90" t="s">
        <v>54</v>
      </c>
    </row>
    <row r="281" spans="1:11" ht="20">
      <c r="A281" s="14">
        <v>45084</v>
      </c>
      <c r="B281" s="83">
        <f>VLOOKUP(A281,'BADI SID DATA'!A:B,2,0)</f>
        <v>68</v>
      </c>
      <c r="C281" s="56">
        <v>48750</v>
      </c>
      <c r="D281" s="50">
        <v>4.82</v>
      </c>
      <c r="E281" s="54">
        <v>9.8000000000000007</v>
      </c>
      <c r="F281" s="46">
        <v>1</v>
      </c>
      <c r="G281" s="46">
        <v>0.90069444444444446</v>
      </c>
      <c r="H281" s="81">
        <f t="shared" si="16"/>
        <v>3532098.049999997</v>
      </c>
      <c r="I281" s="84">
        <f t="shared" si="14"/>
        <v>0.203125</v>
      </c>
      <c r="J281" s="84">
        <f t="shared" si="15"/>
        <v>0.21642757659313708</v>
      </c>
      <c r="K281" s="90" t="s">
        <v>52</v>
      </c>
    </row>
    <row r="282" spans="1:11" ht="20">
      <c r="A282" s="14">
        <v>45085</v>
      </c>
      <c r="B282" s="83">
        <f>VLOOKUP(A282,'BADI SID DATA'!A:B,2,0)</f>
        <v>69</v>
      </c>
      <c r="C282" s="56">
        <v>50701.30000000447</v>
      </c>
      <c r="D282" s="50">
        <v>4.99</v>
      </c>
      <c r="E282" s="54">
        <v>9.6</v>
      </c>
      <c r="F282" s="46">
        <v>1</v>
      </c>
      <c r="G282" s="46">
        <v>1</v>
      </c>
      <c r="H282" s="81">
        <f t="shared" si="16"/>
        <v>3582799.3500000015</v>
      </c>
      <c r="I282" s="84">
        <f t="shared" si="14"/>
        <v>0.21125541666668529</v>
      </c>
      <c r="J282" s="84">
        <f t="shared" si="15"/>
        <v>0.21635261775362327</v>
      </c>
      <c r="K282" s="90" t="s">
        <v>52</v>
      </c>
    </row>
    <row r="283" spans="1:11" ht="60">
      <c r="A283" s="14">
        <v>45086</v>
      </c>
      <c r="B283" s="83">
        <f>VLOOKUP(A283,'BADI SID DATA'!A:B,2,0)</f>
        <v>70</v>
      </c>
      <c r="C283" s="56">
        <v>63048.69999999553</v>
      </c>
      <c r="D283" s="52">
        <v>6.5</v>
      </c>
      <c r="E283" s="54">
        <v>10.6</v>
      </c>
      <c r="F283" s="46">
        <v>1</v>
      </c>
      <c r="G283" s="46">
        <v>1</v>
      </c>
      <c r="H283" s="81">
        <f t="shared" si="16"/>
        <v>3645848.049999997</v>
      </c>
      <c r="I283" s="84">
        <f t="shared" si="14"/>
        <v>0.26270291666664802</v>
      </c>
      <c r="J283" s="84">
        <f t="shared" si="15"/>
        <v>0.2170147648809522</v>
      </c>
      <c r="K283" s="90" t="s">
        <v>54</v>
      </c>
    </row>
    <row r="284" spans="1:11" ht="20">
      <c r="A284" s="14">
        <v>45087</v>
      </c>
      <c r="B284" s="83">
        <f>VLOOKUP(A284,'BADI SID DATA'!A:B,2,0)</f>
        <v>71</v>
      </c>
      <c r="C284" s="56">
        <v>66300.64999999851</v>
      </c>
      <c r="D284" s="52">
        <v>6.34</v>
      </c>
      <c r="E284" s="54">
        <v>10.8</v>
      </c>
      <c r="F284" s="46">
        <v>1</v>
      </c>
      <c r="G284" s="46">
        <v>1</v>
      </c>
      <c r="H284" s="81">
        <f t="shared" si="16"/>
        <v>3712148.6999999955</v>
      </c>
      <c r="I284" s="84">
        <f t="shared" si="14"/>
        <v>0.2762527083333271</v>
      </c>
      <c r="J284" s="84">
        <f t="shared" si="15"/>
        <v>0.2178491021126758</v>
      </c>
      <c r="K284" s="90" t="s">
        <v>65</v>
      </c>
    </row>
    <row r="285" spans="1:11" ht="20">
      <c r="A285" s="14">
        <v>45088</v>
      </c>
      <c r="B285" s="83">
        <f>VLOOKUP(A285,'BADI SID DATA'!A:B,2,0)</f>
        <v>72</v>
      </c>
      <c r="C285" s="56">
        <v>7149.3500000014901</v>
      </c>
      <c r="D285" s="51">
        <v>6.33</v>
      </c>
      <c r="E285" s="54">
        <v>10.199999999999999</v>
      </c>
      <c r="F285" s="46">
        <v>1</v>
      </c>
      <c r="G285" s="46">
        <v>0.5756944444444444</v>
      </c>
      <c r="H285" s="81">
        <f t="shared" si="16"/>
        <v>3719298.049999997</v>
      </c>
      <c r="I285" s="84">
        <f t="shared" si="14"/>
        <v>2.9788958333339541E-2</v>
      </c>
      <c r="J285" s="84">
        <f t="shared" si="15"/>
        <v>0.21523715567129612</v>
      </c>
      <c r="K285" s="90" t="s">
        <v>65</v>
      </c>
    </row>
    <row r="286" spans="1:11" ht="60">
      <c r="A286" s="14">
        <v>45089</v>
      </c>
      <c r="B286" s="83">
        <f>VLOOKUP(A286,'BADI SID DATA'!A:B,2,0)</f>
        <v>73</v>
      </c>
      <c r="C286" s="56">
        <v>57850.64999999851</v>
      </c>
      <c r="D286" s="51">
        <v>5.57</v>
      </c>
      <c r="E286" s="54">
        <v>9.9</v>
      </c>
      <c r="F286" s="46">
        <v>1</v>
      </c>
      <c r="G286" s="46">
        <v>1</v>
      </c>
      <c r="H286" s="81">
        <f t="shared" si="16"/>
        <v>3777148.6999999955</v>
      </c>
      <c r="I286" s="84">
        <f t="shared" si="14"/>
        <v>0.24104437499999379</v>
      </c>
      <c r="J286" s="84">
        <f t="shared" si="15"/>
        <v>0.21559067922374403</v>
      </c>
      <c r="K286" s="90" t="s">
        <v>54</v>
      </c>
    </row>
    <row r="287" spans="1:11" ht="60">
      <c r="A287" s="14">
        <v>45090</v>
      </c>
      <c r="B287" s="83">
        <f>VLOOKUP(A287,'BADI SID DATA'!A:B,2,0)</f>
        <v>74</v>
      </c>
      <c r="C287" s="56">
        <v>63699.35000000149</v>
      </c>
      <c r="D287" s="51">
        <v>6.28</v>
      </c>
      <c r="E287" s="54">
        <v>10.3</v>
      </c>
      <c r="F287" s="46">
        <v>1</v>
      </c>
      <c r="G287" s="46">
        <v>1</v>
      </c>
      <c r="H287" s="81">
        <f t="shared" si="16"/>
        <v>3840848.049999997</v>
      </c>
      <c r="I287" s="84">
        <f t="shared" si="14"/>
        <v>0.26541395833333953</v>
      </c>
      <c r="J287" s="84">
        <f t="shared" si="15"/>
        <v>0.21626396677927912</v>
      </c>
      <c r="K287" s="90" t="s">
        <v>54</v>
      </c>
    </row>
    <row r="288" spans="1:11" ht="60">
      <c r="A288" s="14">
        <v>45091</v>
      </c>
      <c r="B288" s="83">
        <f>VLOOKUP(A288,'BADI SID DATA'!A:B,2,0)</f>
        <v>75</v>
      </c>
      <c r="C288" s="56">
        <v>63051.94999999553</v>
      </c>
      <c r="D288" s="51">
        <v>6.6</v>
      </c>
      <c r="E288" s="54">
        <v>10.1</v>
      </c>
      <c r="F288" s="46">
        <v>1</v>
      </c>
      <c r="G288" s="46">
        <v>1</v>
      </c>
      <c r="H288" s="81">
        <f t="shared" si="16"/>
        <v>3903899.9999999925</v>
      </c>
      <c r="I288" s="84">
        <f t="shared" si="14"/>
        <v>0.2627164583333147</v>
      </c>
      <c r="J288" s="84">
        <f t="shared" si="15"/>
        <v>0.21688333333333293</v>
      </c>
      <c r="K288" s="90" t="s">
        <v>54</v>
      </c>
    </row>
    <row r="289" spans="1:11" ht="60">
      <c r="A289" s="14">
        <v>45092</v>
      </c>
      <c r="B289" s="83">
        <f>VLOOKUP(A289,'BADI SID DATA'!A:B,2,0)</f>
        <v>76</v>
      </c>
      <c r="C289" s="56">
        <v>61100.000000007451</v>
      </c>
      <c r="D289" s="52">
        <v>6.39</v>
      </c>
      <c r="E289" s="54">
        <v>10.199999999999999</v>
      </c>
      <c r="F289" s="46">
        <v>1</v>
      </c>
      <c r="G289" s="46">
        <v>1</v>
      </c>
      <c r="H289" s="81">
        <f t="shared" si="16"/>
        <v>3965000</v>
      </c>
      <c r="I289" s="84">
        <f t="shared" si="14"/>
        <v>0.25458333333336436</v>
      </c>
      <c r="J289" s="84">
        <f t="shared" si="15"/>
        <v>0.21737938596491227</v>
      </c>
      <c r="K289" s="90" t="s">
        <v>54</v>
      </c>
    </row>
    <row r="290" spans="1:11" ht="60">
      <c r="A290" s="14">
        <v>45093</v>
      </c>
      <c r="B290" s="83">
        <f>VLOOKUP(A290,'BADI SID DATA'!A:B,2,0)</f>
        <v>77</v>
      </c>
      <c r="C290" s="56">
        <v>63698.69999999553</v>
      </c>
      <c r="D290" s="52">
        <v>6.28</v>
      </c>
      <c r="E290" s="54">
        <v>10.4</v>
      </c>
      <c r="F290" s="46">
        <v>1</v>
      </c>
      <c r="G290" s="46">
        <v>1</v>
      </c>
      <c r="H290" s="81">
        <f t="shared" si="16"/>
        <v>4028698.6999999955</v>
      </c>
      <c r="I290" s="84">
        <f t="shared" si="14"/>
        <v>0.26541124999998139</v>
      </c>
      <c r="J290" s="84">
        <f t="shared" si="15"/>
        <v>0.21800317640692615</v>
      </c>
      <c r="K290" s="90" t="s">
        <v>54</v>
      </c>
    </row>
    <row r="291" spans="1:11" ht="200">
      <c r="A291" s="14">
        <v>45094</v>
      </c>
      <c r="B291" s="83">
        <f>VLOOKUP(A291,'BADI SID DATA'!A:B,2,0)</f>
        <v>78</v>
      </c>
      <c r="C291" s="56">
        <v>47448.70000000298</v>
      </c>
      <c r="D291" s="51">
        <v>9.93</v>
      </c>
      <c r="E291" s="54">
        <v>9.6</v>
      </c>
      <c r="F291" s="47">
        <v>1</v>
      </c>
      <c r="G291" s="47">
        <v>1</v>
      </c>
      <c r="H291" s="81">
        <f t="shared" si="16"/>
        <v>4076147.3999999985</v>
      </c>
      <c r="I291" s="84">
        <f t="shared" si="14"/>
        <v>0.19770291666667908</v>
      </c>
      <c r="J291" s="84">
        <f t="shared" si="15"/>
        <v>0.21774291666666659</v>
      </c>
      <c r="K291" s="48" t="s">
        <v>70</v>
      </c>
    </row>
    <row r="292" spans="1:11" ht="40">
      <c r="A292" s="14">
        <v>45095</v>
      </c>
      <c r="B292" s="83">
        <f>VLOOKUP(A292,'BADI SID DATA'!A:B,2,0)</f>
        <v>79</v>
      </c>
      <c r="C292" s="56">
        <v>31198.69999999553</v>
      </c>
      <c r="D292" s="51">
        <v>3</v>
      </c>
      <c r="E292" s="54">
        <v>8.1</v>
      </c>
      <c r="F292" s="46">
        <v>1</v>
      </c>
      <c r="G292" s="46">
        <v>1</v>
      </c>
      <c r="H292" s="81">
        <f t="shared" si="16"/>
        <v>4107346.099999994</v>
      </c>
      <c r="I292" s="84">
        <f t="shared" si="14"/>
        <v>0.12999458333331471</v>
      </c>
      <c r="J292" s="84">
        <f t="shared" si="15"/>
        <v>0.21663217827004189</v>
      </c>
      <c r="K292" s="90" t="s">
        <v>56</v>
      </c>
    </row>
    <row r="293" spans="1:11" ht="40">
      <c r="A293" s="14">
        <v>45096</v>
      </c>
      <c r="B293" s="83">
        <f>VLOOKUP(A293,'BADI SID DATA'!A:B,2,0)</f>
        <v>80</v>
      </c>
      <c r="C293" s="56">
        <v>28600.000000007451</v>
      </c>
      <c r="D293" s="52">
        <v>2.29</v>
      </c>
      <c r="E293" s="54">
        <v>7.8</v>
      </c>
      <c r="F293" s="46">
        <v>1</v>
      </c>
      <c r="G293" s="46">
        <v>1</v>
      </c>
      <c r="H293" s="81">
        <f t="shared" si="16"/>
        <v>4135946.1000000015</v>
      </c>
      <c r="I293" s="84">
        <f t="shared" si="14"/>
        <v>0.11916666666669772</v>
      </c>
      <c r="J293" s="84">
        <f t="shared" si="15"/>
        <v>0.21541385937500007</v>
      </c>
      <c r="K293" s="90" t="s">
        <v>56</v>
      </c>
    </row>
    <row r="294" spans="1:11" ht="40">
      <c r="A294" s="14">
        <v>45097</v>
      </c>
      <c r="B294" s="83">
        <f>VLOOKUP(A294,'BADI SID DATA'!A:B,2,0)</f>
        <v>81</v>
      </c>
      <c r="C294" s="56">
        <v>32500</v>
      </c>
      <c r="D294" s="52">
        <v>2.88</v>
      </c>
      <c r="E294" s="54">
        <v>6.6</v>
      </c>
      <c r="F294" s="46">
        <v>1</v>
      </c>
      <c r="G294" s="46">
        <v>0.92847222222222225</v>
      </c>
      <c r="H294" s="81">
        <f t="shared" si="16"/>
        <v>4168446.1000000015</v>
      </c>
      <c r="I294" s="84">
        <f t="shared" si="14"/>
        <v>0.13541666666666666</v>
      </c>
      <c r="J294" s="84">
        <f t="shared" si="15"/>
        <v>0.21442623971193422</v>
      </c>
      <c r="K294" s="90" t="s">
        <v>64</v>
      </c>
    </row>
    <row r="295" spans="1:11" ht="40">
      <c r="A295" s="14">
        <v>45098</v>
      </c>
      <c r="B295" s="83">
        <f>VLOOKUP(A295,'BADI SID DATA'!A:B,2,0)</f>
        <v>82</v>
      </c>
      <c r="C295" s="56">
        <v>38351.94999999553</v>
      </c>
      <c r="D295" s="52">
        <v>3.34</v>
      </c>
      <c r="E295" s="54">
        <v>7.2</v>
      </c>
      <c r="F295" s="46">
        <v>1</v>
      </c>
      <c r="G295" s="46">
        <v>1</v>
      </c>
      <c r="H295" s="81">
        <f t="shared" si="16"/>
        <v>4206798.049999997</v>
      </c>
      <c r="I295" s="84">
        <f t="shared" si="14"/>
        <v>0.15979979166664804</v>
      </c>
      <c r="J295" s="84">
        <f t="shared" si="15"/>
        <v>0.21376006351626001</v>
      </c>
      <c r="K295" s="90" t="s">
        <v>56</v>
      </c>
    </row>
    <row r="296" spans="1:11" ht="40">
      <c r="A296" s="14">
        <v>45099</v>
      </c>
      <c r="B296" s="83">
        <f>VLOOKUP(A296,'BADI SID DATA'!A:B,2,0)</f>
        <v>83</v>
      </c>
      <c r="C296" s="56">
        <v>46151.29999999702</v>
      </c>
      <c r="D296" s="51">
        <v>4.3899999999999997</v>
      </c>
      <c r="E296" s="54">
        <v>9.3000000000000007</v>
      </c>
      <c r="F296" s="46">
        <v>1</v>
      </c>
      <c r="G296" s="46">
        <v>1</v>
      </c>
      <c r="H296" s="81">
        <f t="shared" si="16"/>
        <v>4252949.349999994</v>
      </c>
      <c r="I296" s="84">
        <f t="shared" si="14"/>
        <v>0.19229708333332091</v>
      </c>
      <c r="J296" s="84">
        <f t="shared" si="15"/>
        <v>0.213501473393574</v>
      </c>
      <c r="K296" s="90" t="s">
        <v>56</v>
      </c>
    </row>
    <row r="297" spans="1:11" ht="40">
      <c r="A297" s="14">
        <v>45100</v>
      </c>
      <c r="B297" s="83">
        <f>VLOOKUP(A297,'BADI SID DATA'!A:B,2,0)</f>
        <v>84</v>
      </c>
      <c r="C297" s="56">
        <v>44199.35000000149</v>
      </c>
      <c r="D297" s="51">
        <v>4.13</v>
      </c>
      <c r="E297" s="54">
        <v>8.9</v>
      </c>
      <c r="F297" s="46">
        <v>1</v>
      </c>
      <c r="G297" s="46">
        <v>1</v>
      </c>
      <c r="H297" s="81">
        <f t="shared" si="16"/>
        <v>4297148.6999999955</v>
      </c>
      <c r="I297" s="84">
        <f t="shared" si="14"/>
        <v>0.18416395833333954</v>
      </c>
      <c r="J297" s="84">
        <f t="shared" si="15"/>
        <v>0.21315221726190453</v>
      </c>
      <c r="K297" s="90" t="s">
        <v>56</v>
      </c>
    </row>
    <row r="298" spans="1:11" ht="40">
      <c r="A298" s="14">
        <v>45101</v>
      </c>
      <c r="B298" s="83">
        <f>VLOOKUP(A298,'BADI SID DATA'!A:B,2,0)</f>
        <v>85</v>
      </c>
      <c r="C298" s="56">
        <v>46148.04999999702</v>
      </c>
      <c r="D298" s="51">
        <v>4.3899999999999997</v>
      </c>
      <c r="E298" s="54">
        <v>8.6</v>
      </c>
      <c r="F298" s="46">
        <v>1</v>
      </c>
      <c r="G298" s="46">
        <v>1</v>
      </c>
      <c r="H298" s="81">
        <f t="shared" si="16"/>
        <v>4343296.7499999925</v>
      </c>
      <c r="I298" s="84">
        <f t="shared" si="14"/>
        <v>0.19228354166665426</v>
      </c>
      <c r="J298" s="84">
        <f t="shared" si="15"/>
        <v>0.21290670343137219</v>
      </c>
      <c r="K298" s="90" t="s">
        <v>56</v>
      </c>
    </row>
    <row r="299" spans="1:11" ht="40">
      <c r="A299" s="14">
        <v>45102</v>
      </c>
      <c r="B299" s="83">
        <f>VLOOKUP(A299,'BADI SID DATA'!A:B,2,0)</f>
        <v>86</v>
      </c>
      <c r="C299" s="56">
        <v>48103.25</v>
      </c>
      <c r="D299" s="52">
        <v>4.54</v>
      </c>
      <c r="E299" s="54">
        <v>8.9</v>
      </c>
      <c r="F299" s="46">
        <v>1</v>
      </c>
      <c r="G299" s="46">
        <v>0.99236111111111114</v>
      </c>
      <c r="H299" s="81">
        <f t="shared" si="16"/>
        <v>4391399.9999999925</v>
      </c>
      <c r="I299" s="84">
        <f t="shared" si="14"/>
        <v>0.20043020833333333</v>
      </c>
      <c r="J299" s="84">
        <f t="shared" si="15"/>
        <v>0.21276162790697639</v>
      </c>
      <c r="K299" s="90" t="s">
        <v>56</v>
      </c>
    </row>
    <row r="300" spans="1:11" ht="20">
      <c r="A300" s="14">
        <v>45103</v>
      </c>
      <c r="B300" s="83">
        <f>VLOOKUP(A300,'BADI SID DATA'!A:B,2,0)</f>
        <v>87</v>
      </c>
      <c r="C300" s="56">
        <v>48099.35000000149</v>
      </c>
      <c r="D300" s="52">
        <v>4.5199999999999996</v>
      </c>
      <c r="E300" s="54">
        <v>9.1</v>
      </c>
      <c r="F300" s="46">
        <v>1</v>
      </c>
      <c r="G300" s="46">
        <v>1</v>
      </c>
      <c r="H300" s="81">
        <f t="shared" si="16"/>
        <v>4439499.349999994</v>
      </c>
      <c r="I300" s="84">
        <f t="shared" si="14"/>
        <v>0.20041395833333955</v>
      </c>
      <c r="J300" s="84">
        <f t="shared" si="15"/>
        <v>0.21261970067049779</v>
      </c>
      <c r="K300" s="90" t="s">
        <v>52</v>
      </c>
    </row>
    <row r="301" spans="1:11" ht="60">
      <c r="A301" s="14">
        <v>45104</v>
      </c>
      <c r="B301" s="83">
        <f>VLOOKUP(A301,'BADI SID DATA'!A:B,2,0)</f>
        <v>88</v>
      </c>
      <c r="C301" s="56">
        <v>58497.39999999851</v>
      </c>
      <c r="D301" s="52">
        <v>6.12</v>
      </c>
      <c r="E301" s="54">
        <v>9.6</v>
      </c>
      <c r="F301" s="46">
        <v>1</v>
      </c>
      <c r="G301" s="46">
        <v>1</v>
      </c>
      <c r="H301" s="81">
        <f t="shared" si="16"/>
        <v>4497996.7499999925</v>
      </c>
      <c r="I301" s="84">
        <f t="shared" si="14"/>
        <v>0.24373916666666046</v>
      </c>
      <c r="J301" s="84">
        <f t="shared" si="15"/>
        <v>0.21297333096590873</v>
      </c>
      <c r="K301" s="90" t="s">
        <v>54</v>
      </c>
    </row>
    <row r="302" spans="1:11" ht="60">
      <c r="A302" s="14">
        <v>45105</v>
      </c>
      <c r="B302" s="83">
        <f>VLOOKUP(A302,'BADI SID DATA'!A:B,2,0)</f>
        <v>89</v>
      </c>
      <c r="C302" s="56">
        <v>53300.65000000596</v>
      </c>
      <c r="D302" s="52">
        <v>5.32</v>
      </c>
      <c r="E302" s="54">
        <v>9.1999999999999993</v>
      </c>
      <c r="F302" s="46">
        <v>1</v>
      </c>
      <c r="G302" s="46">
        <v>1</v>
      </c>
      <c r="H302" s="81">
        <f t="shared" si="16"/>
        <v>4551297.3999999985</v>
      </c>
      <c r="I302" s="84">
        <f t="shared" ref="I302:I365" si="17">C302/(10*24*1000)</f>
        <v>0.22208604166669149</v>
      </c>
      <c r="J302" s="84">
        <f t="shared" si="15"/>
        <v>0.21307572097378269</v>
      </c>
      <c r="K302" s="90" t="s">
        <v>54</v>
      </c>
    </row>
    <row r="303" spans="1:11" ht="60">
      <c r="A303" s="14">
        <v>45106</v>
      </c>
      <c r="B303" s="83">
        <f>VLOOKUP(A303,'BADI SID DATA'!A:B,2,0)</f>
        <v>90</v>
      </c>
      <c r="C303" s="56">
        <v>55251.95000000298</v>
      </c>
      <c r="D303" s="52">
        <v>5.82</v>
      </c>
      <c r="E303" s="54">
        <v>9.6</v>
      </c>
      <c r="F303" s="46">
        <v>1</v>
      </c>
      <c r="G303" s="46">
        <v>1</v>
      </c>
      <c r="H303" s="81">
        <f t="shared" si="16"/>
        <v>4606549.3500000015</v>
      </c>
      <c r="I303" s="84">
        <f t="shared" si="17"/>
        <v>0.23021645833334575</v>
      </c>
      <c r="J303" s="84">
        <f t="shared" si="15"/>
        <v>0.21326617361111119</v>
      </c>
      <c r="K303" s="90" t="s">
        <v>54</v>
      </c>
    </row>
    <row r="304" spans="1:11" ht="60">
      <c r="A304" s="14">
        <v>45107</v>
      </c>
      <c r="B304" s="83">
        <f>VLOOKUP(A304,'BADI SID DATA'!A:B,2,0)</f>
        <v>91</v>
      </c>
      <c r="C304" s="56">
        <v>59148.69999999553</v>
      </c>
      <c r="D304" s="55">
        <v>5.82</v>
      </c>
      <c r="E304" s="54">
        <v>10.199999999999999</v>
      </c>
      <c r="F304" s="46">
        <v>1</v>
      </c>
      <c r="G304" s="46">
        <v>1</v>
      </c>
      <c r="H304" s="81">
        <f t="shared" si="16"/>
        <v>4665698.049999997</v>
      </c>
      <c r="I304" s="84">
        <f t="shared" si="17"/>
        <v>0.24645291666664804</v>
      </c>
      <c r="J304" s="84">
        <f t="shared" si="15"/>
        <v>0.21363086309523796</v>
      </c>
      <c r="K304" s="90" t="s">
        <v>54</v>
      </c>
    </row>
    <row r="305" spans="1:11" ht="20">
      <c r="A305" s="14">
        <v>45108</v>
      </c>
      <c r="B305" s="83">
        <f>VLOOKUP(A305,'BADI SID DATA'!A:B,2,0)</f>
        <v>92</v>
      </c>
      <c r="C305" s="56">
        <v>55248.05000000447</v>
      </c>
      <c r="D305" s="50">
        <v>4.66</v>
      </c>
      <c r="E305" s="54">
        <v>10.1</v>
      </c>
      <c r="F305" s="46">
        <v>1</v>
      </c>
      <c r="G305" s="46">
        <v>1</v>
      </c>
      <c r="H305" s="81">
        <f t="shared" si="16"/>
        <v>4720946.1000000015</v>
      </c>
      <c r="I305" s="84">
        <f t="shared" si="17"/>
        <v>0.23020020833335195</v>
      </c>
      <c r="J305" s="84">
        <f t="shared" si="15"/>
        <v>0.21381096467391311</v>
      </c>
      <c r="K305" s="90" t="s">
        <v>52</v>
      </c>
    </row>
    <row r="306" spans="1:11" ht="40">
      <c r="A306" s="14">
        <v>45109</v>
      </c>
      <c r="B306" s="83">
        <f>VLOOKUP(A306,'BADI SID DATA'!A:B,2,0)</f>
        <v>93</v>
      </c>
      <c r="C306" s="56">
        <v>37050.649999991059</v>
      </c>
      <c r="D306" s="50">
        <v>2.99</v>
      </c>
      <c r="E306" s="54">
        <v>8.1999999999999993</v>
      </c>
      <c r="F306" s="46">
        <v>1</v>
      </c>
      <c r="G306" s="46">
        <v>1</v>
      </c>
      <c r="H306" s="81">
        <f t="shared" si="16"/>
        <v>4757996.7499999925</v>
      </c>
      <c r="I306" s="84">
        <f t="shared" si="17"/>
        <v>0.15437770833329609</v>
      </c>
      <c r="J306" s="84">
        <f t="shared" si="15"/>
        <v>0.21317189740143336</v>
      </c>
      <c r="K306" s="90" t="s">
        <v>56</v>
      </c>
    </row>
    <row r="307" spans="1:11" ht="20">
      <c r="A307" s="14">
        <v>45110</v>
      </c>
      <c r="B307" s="83">
        <f>VLOOKUP(A307,'BADI SID DATA'!A:B,2,0)</f>
        <v>94</v>
      </c>
      <c r="C307" s="56">
        <v>50701.95000000298</v>
      </c>
      <c r="D307" s="50">
        <v>4.49</v>
      </c>
      <c r="E307" s="54">
        <v>8.9</v>
      </c>
      <c r="F307" s="46">
        <v>1</v>
      </c>
      <c r="G307" s="46">
        <v>1</v>
      </c>
      <c r="H307" s="81">
        <f t="shared" si="16"/>
        <v>4808698.6999999955</v>
      </c>
      <c r="I307" s="84">
        <f t="shared" si="17"/>
        <v>0.21125812500001243</v>
      </c>
      <c r="J307" s="84">
        <f t="shared" si="15"/>
        <v>0.21315153812056717</v>
      </c>
      <c r="K307" s="90" t="s">
        <v>52</v>
      </c>
    </row>
    <row r="308" spans="1:11" ht="20">
      <c r="A308" s="14">
        <v>45111</v>
      </c>
      <c r="B308" s="83">
        <f>VLOOKUP(A308,'BADI SID DATA'!A:B,2,0)</f>
        <v>95</v>
      </c>
      <c r="C308" s="56">
        <v>50051.30000000447</v>
      </c>
      <c r="D308" s="53">
        <v>4.26</v>
      </c>
      <c r="E308" s="54">
        <v>9.1999999999999993</v>
      </c>
      <c r="F308" s="46">
        <v>1</v>
      </c>
      <c r="G308" s="46">
        <v>1</v>
      </c>
      <c r="H308" s="81">
        <f t="shared" si="16"/>
        <v>4858750</v>
      </c>
      <c r="I308" s="84">
        <f t="shared" si="17"/>
        <v>0.20854708333335195</v>
      </c>
      <c r="J308" s="84">
        <f t="shared" si="15"/>
        <v>0.21310307017543859</v>
      </c>
      <c r="K308" s="90" t="s">
        <v>52</v>
      </c>
    </row>
    <row r="309" spans="1:11" ht="80">
      <c r="A309" s="14">
        <v>45112</v>
      </c>
      <c r="B309" s="83">
        <f>VLOOKUP(A309,'BADI SID DATA'!A:B,2,0)</f>
        <v>96</v>
      </c>
      <c r="C309" s="56">
        <v>37697.39999999851</v>
      </c>
      <c r="D309" s="53">
        <v>3.15</v>
      </c>
      <c r="E309" s="54">
        <v>7.9</v>
      </c>
      <c r="F309" s="46">
        <v>1</v>
      </c>
      <c r="G309" s="46">
        <v>1</v>
      </c>
      <c r="H309" s="81">
        <f t="shared" si="16"/>
        <v>4896447.3999999985</v>
      </c>
      <c r="I309" s="84">
        <f t="shared" si="17"/>
        <v>0.15707249999999379</v>
      </c>
      <c r="J309" s="84">
        <f t="shared" si="15"/>
        <v>0.21251941840277772</v>
      </c>
      <c r="K309" s="90" t="s">
        <v>51</v>
      </c>
    </row>
    <row r="310" spans="1:11" ht="20">
      <c r="A310" s="14">
        <v>45113</v>
      </c>
      <c r="B310" s="83">
        <f>VLOOKUP(A310,'BADI SID DATA'!A:B,2,0)</f>
        <v>97</v>
      </c>
      <c r="C310" s="56">
        <v>46151.29999999702</v>
      </c>
      <c r="D310" s="50">
        <v>4.01</v>
      </c>
      <c r="E310" s="54">
        <v>8.3000000000000007</v>
      </c>
      <c r="F310" s="46">
        <v>1</v>
      </c>
      <c r="G310" s="46">
        <v>1</v>
      </c>
      <c r="H310" s="81">
        <f t="shared" si="16"/>
        <v>4942598.6999999955</v>
      </c>
      <c r="I310" s="84">
        <f t="shared" si="17"/>
        <v>0.19229708333332091</v>
      </c>
      <c r="J310" s="84">
        <f t="shared" si="15"/>
        <v>0.2123109407216493</v>
      </c>
      <c r="K310" s="90" t="s">
        <v>52</v>
      </c>
    </row>
    <row r="311" spans="1:11" ht="80">
      <c r="A311" s="14">
        <v>45114</v>
      </c>
      <c r="B311" s="83">
        <f>VLOOKUP(A311,'BADI SID DATA'!A:B,2,0)</f>
        <v>98</v>
      </c>
      <c r="C311" s="56">
        <v>35749.35000000149</v>
      </c>
      <c r="D311" s="50">
        <v>2.92</v>
      </c>
      <c r="E311" s="54">
        <v>6.9</v>
      </c>
      <c r="F311" s="46">
        <v>1</v>
      </c>
      <c r="G311" s="46">
        <v>1</v>
      </c>
      <c r="H311" s="81">
        <f t="shared" si="16"/>
        <v>4978348.049999997</v>
      </c>
      <c r="I311" s="84">
        <f t="shared" si="17"/>
        <v>0.1489556250000062</v>
      </c>
      <c r="J311" s="84">
        <f t="shared" si="15"/>
        <v>0.21166445790816313</v>
      </c>
      <c r="K311" s="90" t="s">
        <v>51</v>
      </c>
    </row>
    <row r="312" spans="1:11" ht="40">
      <c r="A312" s="14">
        <v>45115</v>
      </c>
      <c r="B312" s="83">
        <f>VLOOKUP(A312,'BADI SID DATA'!A:B,2,0)</f>
        <v>99</v>
      </c>
      <c r="C312" s="56">
        <v>38998.04999999702</v>
      </c>
      <c r="D312" s="50">
        <v>3.21</v>
      </c>
      <c r="E312" s="54">
        <v>10.4</v>
      </c>
      <c r="F312" s="46">
        <v>1</v>
      </c>
      <c r="G312" s="46">
        <v>1</v>
      </c>
      <c r="H312" s="81">
        <f t="shared" si="16"/>
        <v>5017346.099999994</v>
      </c>
      <c r="I312" s="84">
        <f t="shared" si="17"/>
        <v>0.16249187499998757</v>
      </c>
      <c r="J312" s="84">
        <f t="shared" si="15"/>
        <v>0.21116776515151489</v>
      </c>
      <c r="K312" s="90" t="s">
        <v>56</v>
      </c>
    </row>
    <row r="313" spans="1:11" ht="60">
      <c r="A313" s="14">
        <v>45116</v>
      </c>
      <c r="B313" s="83">
        <f>VLOOKUP(A313,'BADI SID DATA'!A:B,2,0)</f>
        <v>100</v>
      </c>
      <c r="C313" s="56">
        <v>52653.90000000596</v>
      </c>
      <c r="D313" s="50">
        <v>4.17</v>
      </c>
      <c r="E313" s="54">
        <v>10.1</v>
      </c>
      <c r="F313" s="46">
        <v>1</v>
      </c>
      <c r="G313" s="46">
        <v>1</v>
      </c>
      <c r="H313" s="81">
        <f t="shared" si="16"/>
        <v>5070000</v>
      </c>
      <c r="I313" s="84">
        <f t="shared" si="17"/>
        <v>0.21939125000002482</v>
      </c>
      <c r="J313" s="84">
        <f t="shared" si="15"/>
        <v>0.21124999999999999</v>
      </c>
      <c r="K313" s="90" t="s">
        <v>54</v>
      </c>
    </row>
    <row r="314" spans="1:11" ht="40">
      <c r="A314" s="14">
        <v>45117</v>
      </c>
      <c r="B314" s="83">
        <f>VLOOKUP(A314,'BADI SID DATA'!A:B,2,0)</f>
        <v>101</v>
      </c>
      <c r="C314" s="56">
        <v>37697.39999999851</v>
      </c>
      <c r="D314" s="52">
        <v>3.12</v>
      </c>
      <c r="E314" s="54">
        <v>9.6</v>
      </c>
      <c r="F314" s="46">
        <v>1</v>
      </c>
      <c r="G314" s="46">
        <v>1</v>
      </c>
      <c r="H314" s="81">
        <f t="shared" si="16"/>
        <v>5107697.3999999985</v>
      </c>
      <c r="I314" s="84">
        <f t="shared" si="17"/>
        <v>0.15707249999999379</v>
      </c>
      <c r="J314" s="84">
        <f t="shared" si="15"/>
        <v>0.21071358910891083</v>
      </c>
      <c r="K314" s="90" t="s">
        <v>56</v>
      </c>
    </row>
    <row r="315" spans="1:11" ht="40">
      <c r="A315" s="14">
        <v>45118</v>
      </c>
      <c r="B315" s="83">
        <f>VLOOKUP(A315,'BADI SID DATA'!A:B,2,0)</f>
        <v>102</v>
      </c>
      <c r="C315" s="56">
        <v>30551.94999999553</v>
      </c>
      <c r="D315" s="52">
        <v>3.08</v>
      </c>
      <c r="E315" s="54">
        <v>10.199999999999999</v>
      </c>
      <c r="F315" s="46">
        <v>1</v>
      </c>
      <c r="G315" s="46">
        <v>1</v>
      </c>
      <c r="H315" s="81">
        <f t="shared" si="16"/>
        <v>5138249.349999994</v>
      </c>
      <c r="I315" s="84">
        <f t="shared" si="17"/>
        <v>0.12729979166664804</v>
      </c>
      <c r="J315" s="84">
        <f t="shared" si="15"/>
        <v>0.2098958067810455</v>
      </c>
      <c r="K315" s="90" t="s">
        <v>56</v>
      </c>
    </row>
    <row r="316" spans="1:11" ht="60">
      <c r="A316" s="14">
        <v>45119</v>
      </c>
      <c r="B316" s="83">
        <f>VLOOKUP(A316,'BADI SID DATA'!A:B,2,0)</f>
        <v>103</v>
      </c>
      <c r="C316" s="56">
        <v>57200</v>
      </c>
      <c r="D316" s="51">
        <v>4.12</v>
      </c>
      <c r="E316" s="54">
        <v>10.6</v>
      </c>
      <c r="F316" s="46">
        <v>1</v>
      </c>
      <c r="G316" s="46">
        <v>1</v>
      </c>
      <c r="H316" s="81">
        <f t="shared" si="16"/>
        <v>5195449.349999994</v>
      </c>
      <c r="I316" s="84">
        <f t="shared" si="17"/>
        <v>0.23833333333333334</v>
      </c>
      <c r="J316" s="84">
        <f t="shared" si="15"/>
        <v>0.21017189927184443</v>
      </c>
      <c r="K316" s="90" t="s">
        <v>54</v>
      </c>
    </row>
    <row r="317" spans="1:11" ht="20">
      <c r="A317" s="14">
        <v>45120</v>
      </c>
      <c r="B317" s="83">
        <f>VLOOKUP(A317,'BADI SID DATA'!A:B,2,0)</f>
        <v>104</v>
      </c>
      <c r="C317" s="56">
        <v>51348.70000000298</v>
      </c>
      <c r="D317" s="51">
        <v>4.87</v>
      </c>
      <c r="E317" s="54">
        <v>9.9</v>
      </c>
      <c r="F317" s="46">
        <v>1</v>
      </c>
      <c r="G317" s="46">
        <v>1</v>
      </c>
      <c r="H317" s="81">
        <f t="shared" si="16"/>
        <v>5246798.049999997</v>
      </c>
      <c r="I317" s="84">
        <f t="shared" si="17"/>
        <v>0.21395291666667909</v>
      </c>
      <c r="J317" s="84">
        <f t="shared" ref="J317:J380" si="18">H317/(24*B317*10*1000)</f>
        <v>0.21020825520833322</v>
      </c>
      <c r="K317" s="90" t="s">
        <v>52</v>
      </c>
    </row>
    <row r="318" spans="1:11" ht="20">
      <c r="A318" s="14">
        <v>45121</v>
      </c>
      <c r="B318" s="83">
        <f>VLOOKUP(A318,'BADI SID DATA'!A:B,2,0)</f>
        <v>105</v>
      </c>
      <c r="C318" s="56">
        <v>48750</v>
      </c>
      <c r="D318" s="51">
        <v>4.6900000000000004</v>
      </c>
      <c r="E318" s="54">
        <v>10.199999999999999</v>
      </c>
      <c r="F318" s="46">
        <v>1</v>
      </c>
      <c r="G318" s="46">
        <v>1</v>
      </c>
      <c r="H318" s="81">
        <f t="shared" si="16"/>
        <v>5295548.049999997</v>
      </c>
      <c r="I318" s="84">
        <f t="shared" si="17"/>
        <v>0.203125</v>
      </c>
      <c r="J318" s="84">
        <f t="shared" si="18"/>
        <v>0.21014079563492052</v>
      </c>
      <c r="K318" s="90" t="s">
        <v>52</v>
      </c>
    </row>
    <row r="319" spans="1:11" ht="60">
      <c r="A319" s="14">
        <v>45122</v>
      </c>
      <c r="B319" s="83">
        <f>VLOOKUP(A319,'BADI SID DATA'!A:B,2,0)</f>
        <v>106</v>
      </c>
      <c r="C319" s="56">
        <v>61750.64999999851</v>
      </c>
      <c r="D319" s="51">
        <v>6.08</v>
      </c>
      <c r="E319" s="54">
        <v>10.6</v>
      </c>
      <c r="F319" s="46">
        <v>1</v>
      </c>
      <c r="G319" s="46">
        <v>1</v>
      </c>
      <c r="H319" s="81">
        <f t="shared" si="16"/>
        <v>5357298.6999999955</v>
      </c>
      <c r="I319" s="84">
        <f t="shared" si="17"/>
        <v>0.2572943749999938</v>
      </c>
      <c r="J319" s="84">
        <f t="shared" si="18"/>
        <v>0.21058564072327027</v>
      </c>
      <c r="K319" s="90" t="s">
        <v>54</v>
      </c>
    </row>
    <row r="320" spans="1:11" ht="20">
      <c r="A320" s="14">
        <v>45123</v>
      </c>
      <c r="B320" s="83">
        <f>VLOOKUP(A320,'BADI SID DATA'!A:B,2,0)</f>
        <v>107</v>
      </c>
      <c r="C320" s="56">
        <v>40300</v>
      </c>
      <c r="D320" s="52">
        <v>4.01</v>
      </c>
      <c r="E320" s="54">
        <v>9.6</v>
      </c>
      <c r="F320" s="46">
        <v>1</v>
      </c>
      <c r="G320" s="46">
        <v>1</v>
      </c>
      <c r="H320" s="81">
        <f t="shared" si="16"/>
        <v>5397598.6999999955</v>
      </c>
      <c r="I320" s="84">
        <f t="shared" si="17"/>
        <v>0.16791666666666666</v>
      </c>
      <c r="J320" s="84">
        <f t="shared" si="18"/>
        <v>0.21018686526479732</v>
      </c>
      <c r="K320" s="90" t="s">
        <v>52</v>
      </c>
    </row>
    <row r="321" spans="1:11" ht="20">
      <c r="A321" s="14">
        <v>45124</v>
      </c>
      <c r="B321" s="83">
        <f>VLOOKUP(A321,'BADI SID DATA'!A:B,2,0)</f>
        <v>108</v>
      </c>
      <c r="C321" s="56">
        <v>54597.40000000596</v>
      </c>
      <c r="D321" s="51">
        <v>5.2</v>
      </c>
      <c r="E321" s="54">
        <v>10.1</v>
      </c>
      <c r="F321" s="46">
        <v>1</v>
      </c>
      <c r="G321" s="46">
        <v>1</v>
      </c>
      <c r="H321" s="81">
        <f t="shared" si="16"/>
        <v>5452196.1000000015</v>
      </c>
      <c r="I321" s="84">
        <f t="shared" si="17"/>
        <v>0.2274891666666915</v>
      </c>
      <c r="J321" s="84">
        <f t="shared" si="18"/>
        <v>0.21034707175925932</v>
      </c>
      <c r="K321" s="48" t="s">
        <v>52</v>
      </c>
    </row>
    <row r="322" spans="1:11" ht="60">
      <c r="A322" s="14">
        <v>45125</v>
      </c>
      <c r="B322" s="83">
        <f>VLOOKUP(A322,'BADI SID DATA'!A:B,2,0)</f>
        <v>109</v>
      </c>
      <c r="C322" s="56">
        <v>57200.64999999851</v>
      </c>
      <c r="D322" s="51">
        <v>5.63</v>
      </c>
      <c r="E322" s="54">
        <v>10.3</v>
      </c>
      <c r="F322" s="46">
        <v>1</v>
      </c>
      <c r="G322" s="46">
        <v>1</v>
      </c>
      <c r="H322" s="81">
        <f t="shared" si="16"/>
        <v>5509396.75</v>
      </c>
      <c r="I322" s="84">
        <f t="shared" si="17"/>
        <v>0.23833604166666045</v>
      </c>
      <c r="J322" s="84">
        <f t="shared" si="18"/>
        <v>0.21060385129969419</v>
      </c>
      <c r="K322" s="90" t="s">
        <v>54</v>
      </c>
    </row>
    <row r="323" spans="1:11" ht="40">
      <c r="A323" s="14">
        <v>45126</v>
      </c>
      <c r="B323" s="83">
        <f>VLOOKUP(A323,'BADI SID DATA'!A:B,2,0)</f>
        <v>110</v>
      </c>
      <c r="C323" s="56">
        <v>37050.64999999851</v>
      </c>
      <c r="D323" s="51">
        <v>3.26</v>
      </c>
      <c r="E323" s="54">
        <v>9.9</v>
      </c>
      <c r="F323" s="46">
        <v>1</v>
      </c>
      <c r="G323" s="46">
        <v>1</v>
      </c>
      <c r="H323" s="81">
        <f t="shared" si="16"/>
        <v>5546447.3999999985</v>
      </c>
      <c r="I323" s="84">
        <f t="shared" si="17"/>
        <v>0.15437770833332712</v>
      </c>
      <c r="J323" s="84">
        <f t="shared" si="18"/>
        <v>0.21009270454545448</v>
      </c>
      <c r="K323" s="90" t="s">
        <v>56</v>
      </c>
    </row>
    <row r="324" spans="1:11" ht="20">
      <c r="A324" s="14">
        <v>45127</v>
      </c>
      <c r="B324" s="83">
        <f>VLOOKUP(A324,'BADI SID DATA'!A:B,2,0)</f>
        <v>111</v>
      </c>
      <c r="C324" s="56">
        <v>45500.64999999851</v>
      </c>
      <c r="D324" s="52">
        <v>4.22</v>
      </c>
      <c r="E324" s="54">
        <v>9.8000000000000007</v>
      </c>
      <c r="F324" s="46">
        <v>1</v>
      </c>
      <c r="G324" s="46">
        <v>1</v>
      </c>
      <c r="H324" s="81">
        <f t="shared" si="16"/>
        <v>5591948.049999997</v>
      </c>
      <c r="I324" s="84">
        <f t="shared" si="17"/>
        <v>0.18958604166666046</v>
      </c>
      <c r="J324" s="84">
        <f t="shared" si="18"/>
        <v>0.20990795983483473</v>
      </c>
      <c r="K324" s="90" t="s">
        <v>52</v>
      </c>
    </row>
    <row r="325" spans="1:11" ht="80">
      <c r="A325" s="14">
        <v>45128</v>
      </c>
      <c r="B325" s="83">
        <f>VLOOKUP(A325,'BADI SID DATA'!A:B,2,0)</f>
        <v>112</v>
      </c>
      <c r="C325" s="56">
        <v>38351.30000000447</v>
      </c>
      <c r="D325" s="52">
        <v>3.34</v>
      </c>
      <c r="E325" s="54">
        <v>8.6</v>
      </c>
      <c r="F325" s="46">
        <v>1</v>
      </c>
      <c r="G325" s="46">
        <v>1</v>
      </c>
      <c r="H325" s="81">
        <f t="shared" si="16"/>
        <v>5630299.3500000015</v>
      </c>
      <c r="I325" s="84">
        <f t="shared" si="17"/>
        <v>0.15979708333335196</v>
      </c>
      <c r="J325" s="84">
        <f t="shared" si="18"/>
        <v>0.20946054129464292</v>
      </c>
      <c r="K325" s="90" t="s">
        <v>51</v>
      </c>
    </row>
    <row r="326" spans="1:11" ht="80">
      <c r="A326" s="14">
        <v>45129</v>
      </c>
      <c r="B326" s="83">
        <f>VLOOKUP(A326,'BADI SID DATA'!A:B,2,0)</f>
        <v>113</v>
      </c>
      <c r="C326" s="56">
        <v>28600.649999991059</v>
      </c>
      <c r="D326" s="52">
        <v>2.29</v>
      </c>
      <c r="E326" s="54">
        <v>6.9</v>
      </c>
      <c r="F326" s="46">
        <v>1</v>
      </c>
      <c r="G326" s="46">
        <v>1</v>
      </c>
      <c r="H326" s="81">
        <f t="shared" si="16"/>
        <v>5658899.9999999925</v>
      </c>
      <c r="I326" s="84">
        <f t="shared" si="17"/>
        <v>0.11916937499996275</v>
      </c>
      <c r="J326" s="84">
        <f t="shared" si="18"/>
        <v>0.20866150442477849</v>
      </c>
      <c r="K326" s="90" t="s">
        <v>51</v>
      </c>
    </row>
    <row r="327" spans="1:11" ht="80">
      <c r="A327" s="14">
        <v>45130</v>
      </c>
      <c r="B327" s="83">
        <f>VLOOKUP(A327,'BADI SID DATA'!A:B,2,0)</f>
        <v>114</v>
      </c>
      <c r="C327" s="56">
        <v>22748.05000000447</v>
      </c>
      <c r="D327" s="51">
        <v>1.78</v>
      </c>
      <c r="E327" s="54">
        <v>6.6</v>
      </c>
      <c r="F327" s="46">
        <v>1</v>
      </c>
      <c r="G327" s="46">
        <v>1</v>
      </c>
      <c r="H327" s="81">
        <f t="shared" si="16"/>
        <v>5681648.049999997</v>
      </c>
      <c r="I327" s="84">
        <f t="shared" si="17"/>
        <v>9.4783541666685289E-2</v>
      </c>
      <c r="J327" s="84">
        <f t="shared" si="18"/>
        <v>0.20766257492690049</v>
      </c>
      <c r="K327" s="90" t="s">
        <v>51</v>
      </c>
    </row>
    <row r="328" spans="1:11" ht="40">
      <c r="A328" s="14">
        <v>45131</v>
      </c>
      <c r="B328" s="83">
        <f>VLOOKUP(A328,'BADI SID DATA'!A:B,2,0)</f>
        <v>115</v>
      </c>
      <c r="C328" s="56">
        <v>27299.35000000149</v>
      </c>
      <c r="D328" s="51">
        <v>2.27</v>
      </c>
      <c r="E328" s="54">
        <v>5.6</v>
      </c>
      <c r="F328" s="46">
        <v>1</v>
      </c>
      <c r="G328" s="46">
        <v>0.91249999999999998</v>
      </c>
      <c r="H328" s="81">
        <f t="shared" si="16"/>
        <v>5708947.3999999985</v>
      </c>
      <c r="I328" s="84">
        <f t="shared" si="17"/>
        <v>0.11374729166667287</v>
      </c>
      <c r="J328" s="84">
        <f t="shared" si="18"/>
        <v>0.20684592028985502</v>
      </c>
      <c r="K328" s="90" t="s">
        <v>64</v>
      </c>
    </row>
    <row r="329" spans="1:11" ht="40">
      <c r="A329" s="14">
        <v>45132</v>
      </c>
      <c r="B329" s="83">
        <f>VLOOKUP(A329,'BADI SID DATA'!A:B,2,0)</f>
        <v>116</v>
      </c>
      <c r="C329" s="56">
        <v>27949.35000000149</v>
      </c>
      <c r="D329" s="51">
        <v>2.2599999999999998</v>
      </c>
      <c r="E329" s="54">
        <v>5.8</v>
      </c>
      <c r="F329" s="46">
        <v>1</v>
      </c>
      <c r="G329" s="46">
        <v>1</v>
      </c>
      <c r="H329" s="81">
        <f t="shared" si="16"/>
        <v>5736896.75</v>
      </c>
      <c r="I329" s="84">
        <f t="shared" si="17"/>
        <v>0.11645562500000621</v>
      </c>
      <c r="J329" s="84">
        <f t="shared" si="18"/>
        <v>0.20606669360632185</v>
      </c>
      <c r="K329" s="90" t="s">
        <v>64</v>
      </c>
    </row>
    <row r="330" spans="1:11" ht="40">
      <c r="A330" s="14">
        <v>45133</v>
      </c>
      <c r="B330" s="83">
        <f>VLOOKUP(A330,'BADI SID DATA'!A:B,2,0)</f>
        <v>117</v>
      </c>
      <c r="C330" s="56">
        <v>24049.35000000149</v>
      </c>
      <c r="D330" s="52">
        <v>1.86</v>
      </c>
      <c r="E330" s="54">
        <v>5.0999999999999996</v>
      </c>
      <c r="F330" s="46">
        <v>1</v>
      </c>
      <c r="G330" s="46">
        <v>0.92638888888888893</v>
      </c>
      <c r="H330" s="81">
        <f t="shared" si="16"/>
        <v>5760946.1000000015</v>
      </c>
      <c r="I330" s="84">
        <f t="shared" si="17"/>
        <v>0.10020562500000621</v>
      </c>
      <c r="J330" s="84">
        <f t="shared" si="18"/>
        <v>0.2051618981481482</v>
      </c>
      <c r="K330" s="90" t="s">
        <v>64</v>
      </c>
    </row>
    <row r="331" spans="1:11" ht="40">
      <c r="A331" s="14">
        <v>45134</v>
      </c>
      <c r="B331" s="83">
        <f>VLOOKUP(A331,'BADI SID DATA'!A:B,2,0)</f>
        <v>118</v>
      </c>
      <c r="C331" s="56">
        <v>39653.25</v>
      </c>
      <c r="D331" s="52">
        <v>3.68</v>
      </c>
      <c r="E331" s="54">
        <v>8.6</v>
      </c>
      <c r="F331" s="46">
        <v>1</v>
      </c>
      <c r="G331" s="46">
        <v>1</v>
      </c>
      <c r="H331" s="81">
        <f t="shared" si="16"/>
        <v>5800599.3500000015</v>
      </c>
      <c r="I331" s="84">
        <f t="shared" si="17"/>
        <v>0.16522187499999999</v>
      </c>
      <c r="J331" s="84">
        <f t="shared" si="18"/>
        <v>0.20482342337570628</v>
      </c>
      <c r="K331" s="90" t="s">
        <v>56</v>
      </c>
    </row>
    <row r="332" spans="1:11" ht="20">
      <c r="A332" s="14">
        <v>45135</v>
      </c>
      <c r="B332" s="83">
        <f>VLOOKUP(A332,'BADI SID DATA'!A:B,2,0)</f>
        <v>119</v>
      </c>
      <c r="C332" s="56">
        <v>50698.04999999702</v>
      </c>
      <c r="D332" s="52">
        <v>4.7699999999999996</v>
      </c>
      <c r="E332" s="54">
        <v>9.3000000000000007</v>
      </c>
      <c r="F332" s="46">
        <v>1</v>
      </c>
      <c r="G332" s="46">
        <v>1</v>
      </c>
      <c r="H332" s="81">
        <f t="shared" si="16"/>
        <v>5851297.3999999985</v>
      </c>
      <c r="I332" s="84">
        <f t="shared" si="17"/>
        <v>0.21124187499998759</v>
      </c>
      <c r="J332" s="84">
        <f t="shared" si="18"/>
        <v>0.20487735994397754</v>
      </c>
      <c r="K332" s="90" t="s">
        <v>52</v>
      </c>
    </row>
    <row r="333" spans="1:11" ht="20">
      <c r="A333" s="14">
        <v>45136</v>
      </c>
      <c r="B333" s="83">
        <f>VLOOKUP(A333,'BADI SID DATA'!A:B,2,0)</f>
        <v>120</v>
      </c>
      <c r="C333" s="56">
        <v>45500.64999999851</v>
      </c>
      <c r="D333" s="51">
        <v>4.2</v>
      </c>
      <c r="E333" s="54">
        <v>8.9</v>
      </c>
      <c r="F333" s="46">
        <v>1</v>
      </c>
      <c r="G333" s="46">
        <v>1</v>
      </c>
      <c r="H333" s="81">
        <f t="shared" si="16"/>
        <v>5896798.049999997</v>
      </c>
      <c r="I333" s="84">
        <f t="shared" si="17"/>
        <v>0.18958604166666046</v>
      </c>
      <c r="J333" s="84">
        <f t="shared" si="18"/>
        <v>0.20474993229166658</v>
      </c>
      <c r="K333" s="90" t="s">
        <v>52</v>
      </c>
    </row>
    <row r="334" spans="1:11" ht="60">
      <c r="A334" s="14">
        <v>45137</v>
      </c>
      <c r="B334" s="83">
        <f>VLOOKUP(A334,'BADI SID DATA'!A:B,2,0)</f>
        <v>121</v>
      </c>
      <c r="C334" s="56">
        <v>58501.30000000447</v>
      </c>
      <c r="D334" s="52">
        <v>5.78</v>
      </c>
      <c r="E334" s="54">
        <v>10.6</v>
      </c>
      <c r="F334" s="46">
        <v>1</v>
      </c>
      <c r="G334" s="46">
        <v>1</v>
      </c>
      <c r="H334" s="81">
        <f t="shared" si="16"/>
        <v>5955299.3500000015</v>
      </c>
      <c r="I334" s="84">
        <f t="shared" si="17"/>
        <v>0.24375541666668529</v>
      </c>
      <c r="J334" s="84">
        <f t="shared" si="18"/>
        <v>0.20507229166666671</v>
      </c>
      <c r="K334" s="90" t="s">
        <v>54</v>
      </c>
    </row>
    <row r="335" spans="1:11" ht="20">
      <c r="A335" s="14">
        <v>45138</v>
      </c>
      <c r="B335" s="83">
        <f>VLOOKUP(A335,'BADI SID DATA'!A:B,2,0)</f>
        <v>122</v>
      </c>
      <c r="C335" s="56">
        <v>54598.04999999702</v>
      </c>
      <c r="D335" s="55">
        <v>5.1100000000000003</v>
      </c>
      <c r="E335" s="54">
        <v>10.1</v>
      </c>
      <c r="F335" s="46">
        <v>1</v>
      </c>
      <c r="G335" s="46">
        <v>0.94930555555555551</v>
      </c>
      <c r="H335" s="81">
        <f t="shared" si="16"/>
        <v>6009897.3999999985</v>
      </c>
      <c r="I335" s="84">
        <f t="shared" si="17"/>
        <v>0.22749187499998758</v>
      </c>
      <c r="J335" s="84">
        <f t="shared" si="18"/>
        <v>0.20525605874316935</v>
      </c>
      <c r="K335" s="90" t="s">
        <v>52</v>
      </c>
    </row>
    <row r="336" spans="1:11" ht="20">
      <c r="A336" s="14">
        <v>45139</v>
      </c>
      <c r="B336" s="83">
        <f>VLOOKUP(A336,'BADI SID DATA'!A:B,2,0)</f>
        <v>123</v>
      </c>
      <c r="C336" s="56">
        <v>45500.64999999851</v>
      </c>
      <c r="D336" s="50">
        <v>4.4000000000000004</v>
      </c>
      <c r="E336" s="54">
        <v>9.8000000000000007</v>
      </c>
      <c r="F336" s="46">
        <v>1</v>
      </c>
      <c r="G336" s="46">
        <v>1</v>
      </c>
      <c r="H336" s="81">
        <f t="shared" si="16"/>
        <v>6055398.049999997</v>
      </c>
      <c r="I336" s="84">
        <f t="shared" si="17"/>
        <v>0.18958604166666046</v>
      </c>
      <c r="J336" s="84">
        <f t="shared" si="18"/>
        <v>0.2051286602303522</v>
      </c>
      <c r="K336" s="90" t="s">
        <v>52</v>
      </c>
    </row>
    <row r="337" spans="1:11" ht="60">
      <c r="A337" s="14">
        <v>45140</v>
      </c>
      <c r="B337" s="83">
        <f>VLOOKUP(A337,'BADI SID DATA'!A:B,2,0)</f>
        <v>124</v>
      </c>
      <c r="C337" s="56">
        <v>57200.64999999851</v>
      </c>
      <c r="D337" s="50">
        <v>5.43</v>
      </c>
      <c r="E337" s="54">
        <v>10.1</v>
      </c>
      <c r="F337" s="46">
        <v>1</v>
      </c>
      <c r="G337" s="46">
        <v>1</v>
      </c>
      <c r="H337" s="81">
        <f t="shared" si="16"/>
        <v>6112598.6999999955</v>
      </c>
      <c r="I337" s="84">
        <f t="shared" si="17"/>
        <v>0.23833604166666045</v>
      </c>
      <c r="J337" s="84">
        <f t="shared" si="18"/>
        <v>0.20539646169354825</v>
      </c>
      <c r="K337" s="90" t="s">
        <v>54</v>
      </c>
    </row>
    <row r="338" spans="1:11" ht="20">
      <c r="A338" s="14">
        <v>45141</v>
      </c>
      <c r="B338" s="83">
        <f>VLOOKUP(A338,'BADI SID DATA'!A:B,2,0)</f>
        <v>125</v>
      </c>
      <c r="C338" s="56">
        <v>52649.35000000149</v>
      </c>
      <c r="D338" s="50">
        <v>5.16</v>
      </c>
      <c r="E338" s="54">
        <v>10.199999999999999</v>
      </c>
      <c r="F338" s="46">
        <v>1</v>
      </c>
      <c r="G338" s="46">
        <v>1</v>
      </c>
      <c r="H338" s="81">
        <f t="shared" si="16"/>
        <v>6165248.049999997</v>
      </c>
      <c r="I338" s="84">
        <f t="shared" si="17"/>
        <v>0.21937229166667288</v>
      </c>
      <c r="J338" s="84">
        <f t="shared" si="18"/>
        <v>0.20550826833333324</v>
      </c>
      <c r="K338" s="90" t="s">
        <v>52</v>
      </c>
    </row>
    <row r="339" spans="1:11" ht="20">
      <c r="A339" s="14">
        <v>45142</v>
      </c>
      <c r="B339" s="83">
        <f>VLOOKUP(A339,'BADI SID DATA'!A:B,2,0)</f>
        <v>126</v>
      </c>
      <c r="C339" s="56">
        <v>45501.29999999702</v>
      </c>
      <c r="D339" s="53">
        <v>4.21</v>
      </c>
      <c r="E339" s="54">
        <v>9.6</v>
      </c>
      <c r="F339" s="46">
        <v>1</v>
      </c>
      <c r="G339" s="46">
        <v>1</v>
      </c>
      <c r="H339" s="81">
        <f t="shared" si="16"/>
        <v>6210749.349999994</v>
      </c>
      <c r="I339" s="84">
        <f t="shared" si="17"/>
        <v>0.18958874999998759</v>
      </c>
      <c r="J339" s="84">
        <f t="shared" si="18"/>
        <v>0.20538192294973526</v>
      </c>
      <c r="K339" s="90" t="s">
        <v>52</v>
      </c>
    </row>
    <row r="340" spans="1:11" ht="60">
      <c r="A340" s="14">
        <v>45143</v>
      </c>
      <c r="B340" s="83">
        <f>VLOOKUP(A340,'BADI SID DATA'!A:B,2,0)</f>
        <v>127</v>
      </c>
      <c r="C340" s="56">
        <v>56549.35000000149</v>
      </c>
      <c r="D340" s="53">
        <v>5.6</v>
      </c>
      <c r="E340" s="54">
        <v>10.199999999999999</v>
      </c>
      <c r="F340" s="46">
        <v>1</v>
      </c>
      <c r="G340" s="46">
        <v>1</v>
      </c>
      <c r="H340" s="81">
        <f t="shared" si="16"/>
        <v>6267298.6999999955</v>
      </c>
      <c r="I340" s="84">
        <f t="shared" si="17"/>
        <v>0.23562229166667287</v>
      </c>
      <c r="J340" s="84">
        <f t="shared" si="18"/>
        <v>0.20562003608923871</v>
      </c>
      <c r="K340" s="90" t="s">
        <v>54</v>
      </c>
    </row>
    <row r="341" spans="1:11" ht="20">
      <c r="A341" s="14">
        <v>45144</v>
      </c>
      <c r="B341" s="83">
        <f>VLOOKUP(A341,'BADI SID DATA'!A:B,2,0)</f>
        <v>128</v>
      </c>
      <c r="C341" s="56">
        <v>51348.70000000298</v>
      </c>
      <c r="D341" s="50">
        <v>5.0599999999999996</v>
      </c>
      <c r="E341" s="54">
        <v>9.9</v>
      </c>
      <c r="F341" s="46">
        <v>1</v>
      </c>
      <c r="G341" s="46">
        <v>1</v>
      </c>
      <c r="H341" s="81">
        <f t="shared" si="16"/>
        <v>6318647.3999999985</v>
      </c>
      <c r="I341" s="84">
        <f t="shared" si="17"/>
        <v>0.21395291666667909</v>
      </c>
      <c r="J341" s="84">
        <f t="shared" si="18"/>
        <v>0.20568513671874994</v>
      </c>
      <c r="K341" s="90" t="s">
        <v>52</v>
      </c>
    </row>
    <row r="342" spans="1:11" ht="60">
      <c r="A342" s="14">
        <v>45145</v>
      </c>
      <c r="B342" s="83">
        <f>VLOOKUP(A342,'BADI SID DATA'!A:B,2,0)</f>
        <v>129</v>
      </c>
      <c r="C342" s="56">
        <v>57200.64999999851</v>
      </c>
      <c r="D342" s="50">
        <v>5.55</v>
      </c>
      <c r="E342" s="54">
        <v>10.3</v>
      </c>
      <c r="F342" s="46">
        <v>1</v>
      </c>
      <c r="G342" s="46">
        <v>1</v>
      </c>
      <c r="H342" s="81">
        <f t="shared" si="16"/>
        <v>6375848.049999997</v>
      </c>
      <c r="I342" s="84">
        <f t="shared" si="17"/>
        <v>0.23833604166666045</v>
      </c>
      <c r="J342" s="84">
        <f t="shared" si="18"/>
        <v>0.20593824450904383</v>
      </c>
      <c r="K342" s="90" t="s">
        <v>54</v>
      </c>
    </row>
    <row r="343" spans="1:11" ht="20">
      <c r="A343" s="14">
        <v>45146</v>
      </c>
      <c r="B343" s="83">
        <f>VLOOKUP(A343,'BADI SID DATA'!A:B,2,0)</f>
        <v>130</v>
      </c>
      <c r="C343" s="56">
        <v>48099.35000000149</v>
      </c>
      <c r="D343" s="50">
        <v>4.5199999999999996</v>
      </c>
      <c r="E343" s="54">
        <v>9.9</v>
      </c>
      <c r="F343" s="46">
        <v>1</v>
      </c>
      <c r="G343" s="46">
        <v>1</v>
      </c>
      <c r="H343" s="81">
        <f t="shared" ref="H343:H406" si="19">C343+H342</f>
        <v>6423947.3999999985</v>
      </c>
      <c r="I343" s="84">
        <f t="shared" si="17"/>
        <v>0.20041395833333955</v>
      </c>
      <c r="J343" s="84">
        <f t="shared" si="18"/>
        <v>0.20589574999999996</v>
      </c>
      <c r="K343" s="90" t="s">
        <v>52</v>
      </c>
    </row>
    <row r="344" spans="1:11" ht="20">
      <c r="A344" s="14">
        <v>45147</v>
      </c>
      <c r="B344" s="83">
        <f>VLOOKUP(A344,'BADI SID DATA'!A:B,2,0)</f>
        <v>131</v>
      </c>
      <c r="C344" s="56">
        <v>52649.35000000149</v>
      </c>
      <c r="D344" s="50">
        <v>5.12</v>
      </c>
      <c r="E344" s="54">
        <v>10.1</v>
      </c>
      <c r="F344" s="46">
        <v>1</v>
      </c>
      <c r="G344" s="46">
        <v>1</v>
      </c>
      <c r="H344" s="81">
        <f t="shared" si="19"/>
        <v>6476596.75</v>
      </c>
      <c r="I344" s="84">
        <f t="shared" si="17"/>
        <v>0.21937229166667288</v>
      </c>
      <c r="J344" s="84">
        <f t="shared" si="18"/>
        <v>0.20599862436386768</v>
      </c>
      <c r="K344" s="90" t="s">
        <v>52</v>
      </c>
    </row>
    <row r="345" spans="1:11" ht="20">
      <c r="A345" s="14">
        <v>45148</v>
      </c>
      <c r="B345" s="83">
        <f>VLOOKUP(A345,'BADI SID DATA'!A:B,2,0)</f>
        <v>132</v>
      </c>
      <c r="C345" s="56">
        <v>49400.64999999851</v>
      </c>
      <c r="D345" s="52">
        <v>4.76</v>
      </c>
      <c r="E345" s="54">
        <v>9.6</v>
      </c>
      <c r="F345" s="46">
        <v>1</v>
      </c>
      <c r="G345" s="46">
        <v>1</v>
      </c>
      <c r="H345" s="81">
        <f t="shared" si="19"/>
        <v>6525997.3999999985</v>
      </c>
      <c r="I345" s="84">
        <f t="shared" si="17"/>
        <v>0.20583604166666045</v>
      </c>
      <c r="J345" s="84">
        <f t="shared" si="18"/>
        <v>0.20599739267676764</v>
      </c>
      <c r="K345" s="90" t="s">
        <v>52</v>
      </c>
    </row>
    <row r="346" spans="1:11" ht="20">
      <c r="A346" s="14">
        <v>45149</v>
      </c>
      <c r="B346" s="83">
        <f>VLOOKUP(A346,'BADI SID DATA'!A:B,2,0)</f>
        <v>133</v>
      </c>
      <c r="C346" s="56">
        <v>43549.34999999404</v>
      </c>
      <c r="D346" s="52">
        <v>4.03</v>
      </c>
      <c r="E346" s="54">
        <v>9.9</v>
      </c>
      <c r="F346" s="46">
        <v>1</v>
      </c>
      <c r="G346" s="46">
        <v>1</v>
      </c>
      <c r="H346" s="81">
        <f t="shared" si="19"/>
        <v>6569546.7499999925</v>
      </c>
      <c r="I346" s="84">
        <f t="shared" si="17"/>
        <v>0.18145562499997517</v>
      </c>
      <c r="J346" s="84">
        <f t="shared" si="18"/>
        <v>0.20581286810776919</v>
      </c>
      <c r="K346" s="90" t="s">
        <v>52</v>
      </c>
    </row>
    <row r="347" spans="1:11" ht="20">
      <c r="A347" s="14">
        <v>45150</v>
      </c>
      <c r="B347" s="83">
        <f>VLOOKUP(A347,'BADI SID DATA'!A:B,2,0)</f>
        <v>134</v>
      </c>
      <c r="C347" s="56">
        <v>47452.60000000149</v>
      </c>
      <c r="D347" s="51">
        <v>4.47</v>
      </c>
      <c r="E347" s="54">
        <v>10.199999999999999</v>
      </c>
      <c r="F347" s="46">
        <v>1</v>
      </c>
      <c r="G347" s="46">
        <v>1</v>
      </c>
      <c r="H347" s="81">
        <f t="shared" si="19"/>
        <v>6616999.349999994</v>
      </c>
      <c r="I347" s="84">
        <f t="shared" si="17"/>
        <v>0.19771916666667289</v>
      </c>
      <c r="J347" s="84">
        <f t="shared" si="18"/>
        <v>0.20575246735074609</v>
      </c>
      <c r="K347" s="90" t="s">
        <v>52</v>
      </c>
    </row>
    <row r="348" spans="1:11" ht="20">
      <c r="A348" s="14">
        <v>45151</v>
      </c>
      <c r="B348" s="83">
        <f>VLOOKUP(A348,'BADI SID DATA'!A:B,2,0)</f>
        <v>135</v>
      </c>
      <c r="C348" s="56">
        <v>52649.35000000149</v>
      </c>
      <c r="D348" s="51">
        <v>5.1100000000000003</v>
      </c>
      <c r="E348" s="54">
        <v>10.5</v>
      </c>
      <c r="F348" s="46">
        <v>1</v>
      </c>
      <c r="G348" s="46">
        <v>1</v>
      </c>
      <c r="H348" s="81">
        <f t="shared" si="19"/>
        <v>6669648.6999999955</v>
      </c>
      <c r="I348" s="84">
        <f t="shared" si="17"/>
        <v>0.21937229166667288</v>
      </c>
      <c r="J348" s="84">
        <f t="shared" si="18"/>
        <v>0.20585335493827148</v>
      </c>
      <c r="K348" s="90" t="s">
        <v>52</v>
      </c>
    </row>
    <row r="349" spans="1:11" ht="60">
      <c r="A349" s="14">
        <v>45152</v>
      </c>
      <c r="B349" s="83">
        <f>VLOOKUP(A349,'BADI SID DATA'!A:B,2,0)</f>
        <v>136</v>
      </c>
      <c r="C349" s="56">
        <v>55248.70000000298</v>
      </c>
      <c r="D349" s="51">
        <v>5.63</v>
      </c>
      <c r="E349" s="54">
        <v>10.1</v>
      </c>
      <c r="F349" s="46">
        <v>1</v>
      </c>
      <c r="G349" s="46">
        <v>1</v>
      </c>
      <c r="H349" s="81">
        <f t="shared" si="19"/>
        <v>6724897.3999999985</v>
      </c>
      <c r="I349" s="84">
        <f t="shared" si="17"/>
        <v>0.23020291666667908</v>
      </c>
      <c r="J349" s="84">
        <f t="shared" si="18"/>
        <v>0.2060323958333333</v>
      </c>
      <c r="K349" s="90" t="s">
        <v>54</v>
      </c>
    </row>
    <row r="350" spans="1:11" ht="60">
      <c r="A350" s="14">
        <v>45153</v>
      </c>
      <c r="B350" s="83">
        <f>VLOOKUP(A350,'BADI SID DATA'!A:B,2,0)</f>
        <v>137</v>
      </c>
      <c r="C350" s="56">
        <v>62401.29999999702</v>
      </c>
      <c r="D350" s="51">
        <v>6.55</v>
      </c>
      <c r="E350" s="54">
        <v>10.6</v>
      </c>
      <c r="F350" s="46">
        <v>1</v>
      </c>
      <c r="G350" s="46">
        <v>1</v>
      </c>
      <c r="H350" s="81">
        <f t="shared" si="19"/>
        <v>6787298.6999999955</v>
      </c>
      <c r="I350" s="84">
        <f t="shared" si="17"/>
        <v>0.26000541666665428</v>
      </c>
      <c r="J350" s="84">
        <f t="shared" si="18"/>
        <v>0.20642635948905097</v>
      </c>
      <c r="K350" s="90" t="s">
        <v>54</v>
      </c>
    </row>
    <row r="351" spans="1:11" ht="60">
      <c r="A351" s="14">
        <v>45154</v>
      </c>
      <c r="B351" s="83">
        <f>VLOOKUP(A351,'BADI SID DATA'!A:B,2,0)</f>
        <v>138</v>
      </c>
      <c r="C351" s="56">
        <v>57200.64999999851</v>
      </c>
      <c r="D351" s="52">
        <v>5.43</v>
      </c>
      <c r="E351" s="54">
        <v>10.199999999999999</v>
      </c>
      <c r="F351" s="46">
        <v>1</v>
      </c>
      <c r="G351" s="46">
        <v>1</v>
      </c>
      <c r="H351" s="81">
        <f t="shared" si="19"/>
        <v>6844499.349999994</v>
      </c>
      <c r="I351" s="84">
        <f t="shared" si="17"/>
        <v>0.23833604166666045</v>
      </c>
      <c r="J351" s="84">
        <f t="shared" si="18"/>
        <v>0.20665758907004814</v>
      </c>
      <c r="K351" s="90" t="s">
        <v>54</v>
      </c>
    </row>
    <row r="352" spans="1:11" ht="60">
      <c r="A352" s="14">
        <v>45155</v>
      </c>
      <c r="B352" s="83">
        <f>VLOOKUP(A352,'BADI SID DATA'!A:B,2,0)</f>
        <v>139</v>
      </c>
      <c r="C352" s="56">
        <v>61100.000000007451</v>
      </c>
      <c r="D352" s="51">
        <v>6.26</v>
      </c>
      <c r="E352" s="54">
        <v>10.8</v>
      </c>
      <c r="F352" s="46">
        <v>1</v>
      </c>
      <c r="G352" s="46">
        <v>1</v>
      </c>
      <c r="H352" s="81">
        <f t="shared" si="19"/>
        <v>6905599.3500000015</v>
      </c>
      <c r="I352" s="84">
        <f t="shared" si="17"/>
        <v>0.25458333333336436</v>
      </c>
      <c r="J352" s="84">
        <f t="shared" si="18"/>
        <v>0.20700237859712234</v>
      </c>
      <c r="K352" s="90" t="s">
        <v>54</v>
      </c>
    </row>
    <row r="353" spans="1:11" ht="20">
      <c r="A353" s="14">
        <v>45156</v>
      </c>
      <c r="B353" s="83">
        <f>VLOOKUP(A353,'BADI SID DATA'!A:B,2,0)</f>
        <v>140</v>
      </c>
      <c r="C353" s="56">
        <v>50698.04999999702</v>
      </c>
      <c r="D353" s="51">
        <v>4.99</v>
      </c>
      <c r="E353" s="54">
        <v>10.3</v>
      </c>
      <c r="F353" s="46">
        <v>1</v>
      </c>
      <c r="G353" s="46">
        <v>1</v>
      </c>
      <c r="H353" s="81">
        <f t="shared" si="19"/>
        <v>6956297.3999999985</v>
      </c>
      <c r="I353" s="84">
        <f t="shared" si="17"/>
        <v>0.21124187499998759</v>
      </c>
      <c r="J353" s="84">
        <f t="shared" si="18"/>
        <v>0.20703266071428567</v>
      </c>
      <c r="K353" s="90" t="s">
        <v>52</v>
      </c>
    </row>
    <row r="354" spans="1:11" ht="80">
      <c r="A354" s="14">
        <v>45157</v>
      </c>
      <c r="B354" s="83">
        <f>VLOOKUP(A354,'BADI SID DATA'!A:B,2,0)</f>
        <v>141</v>
      </c>
      <c r="C354" s="56">
        <v>37700.64999999851</v>
      </c>
      <c r="D354" s="51">
        <v>3.6</v>
      </c>
      <c r="E354" s="54">
        <v>8.9</v>
      </c>
      <c r="F354" s="46">
        <v>1</v>
      </c>
      <c r="G354" s="46">
        <v>1</v>
      </c>
      <c r="H354" s="81">
        <f t="shared" si="19"/>
        <v>6993998.049999997</v>
      </c>
      <c r="I354" s="84">
        <f t="shared" si="17"/>
        <v>0.15708604166666046</v>
      </c>
      <c r="J354" s="84">
        <f t="shared" si="18"/>
        <v>0.20667842937352238</v>
      </c>
      <c r="K354" s="90" t="s">
        <v>51</v>
      </c>
    </row>
    <row r="355" spans="1:11" ht="60">
      <c r="A355" s="14">
        <v>45158</v>
      </c>
      <c r="B355" s="83">
        <f>VLOOKUP(A355,'BADI SID DATA'!A:B,2,0)</f>
        <v>142</v>
      </c>
      <c r="C355" s="56">
        <v>58501.95000000298</v>
      </c>
      <c r="D355" s="52">
        <v>5.66</v>
      </c>
      <c r="E355" s="54">
        <v>10.5</v>
      </c>
      <c r="F355" s="46">
        <v>1</v>
      </c>
      <c r="G355" s="46">
        <v>1</v>
      </c>
      <c r="H355" s="81">
        <f t="shared" si="19"/>
        <v>7052500</v>
      </c>
      <c r="I355" s="84">
        <f t="shared" si="17"/>
        <v>0.24375812500001243</v>
      </c>
      <c r="J355" s="84">
        <f t="shared" si="18"/>
        <v>0.20693955399061034</v>
      </c>
      <c r="K355" s="90" t="s">
        <v>54</v>
      </c>
    </row>
    <row r="356" spans="1:11" ht="20">
      <c r="A356" s="14">
        <v>45159</v>
      </c>
      <c r="B356" s="83">
        <f>VLOOKUP(A356,'BADI SID DATA'!A:B,2,0)</f>
        <v>143</v>
      </c>
      <c r="C356" s="56">
        <v>51348.69999999553</v>
      </c>
      <c r="D356" s="52">
        <v>6.03</v>
      </c>
      <c r="E356" s="54">
        <v>10.3</v>
      </c>
      <c r="F356" s="46">
        <v>1</v>
      </c>
      <c r="G356" s="46">
        <v>0.93402777777777779</v>
      </c>
      <c r="H356" s="81">
        <f t="shared" si="19"/>
        <v>7103848.6999999955</v>
      </c>
      <c r="I356" s="84">
        <f t="shared" si="17"/>
        <v>0.21395291666664804</v>
      </c>
      <c r="J356" s="84">
        <f t="shared" si="18"/>
        <v>0.20698859848484835</v>
      </c>
      <c r="K356" s="90" t="s">
        <v>52</v>
      </c>
    </row>
    <row r="357" spans="1:11" ht="60">
      <c r="A357" s="14">
        <v>45160</v>
      </c>
      <c r="B357" s="83">
        <f>VLOOKUP(A357,'BADI SID DATA'!A:B,2,0)</f>
        <v>144</v>
      </c>
      <c r="C357" s="56">
        <v>55898.70000000298</v>
      </c>
      <c r="D357" s="52">
        <v>5.76</v>
      </c>
      <c r="E357" s="54">
        <v>10.6</v>
      </c>
      <c r="F357" s="46">
        <v>1</v>
      </c>
      <c r="G357" s="46">
        <v>1</v>
      </c>
      <c r="H357" s="81">
        <f t="shared" si="19"/>
        <v>7159747.3999999985</v>
      </c>
      <c r="I357" s="84">
        <f t="shared" si="17"/>
        <v>0.23291125000001242</v>
      </c>
      <c r="J357" s="84">
        <f t="shared" si="18"/>
        <v>0.20716861689814811</v>
      </c>
      <c r="K357" s="90" t="s">
        <v>54</v>
      </c>
    </row>
    <row r="358" spans="1:11" ht="60">
      <c r="A358" s="14">
        <v>45161</v>
      </c>
      <c r="B358" s="83">
        <f>VLOOKUP(A358,'BADI SID DATA'!A:B,2,0)</f>
        <v>145</v>
      </c>
      <c r="C358" s="56">
        <v>55252.60000000149</v>
      </c>
      <c r="D358" s="51">
        <v>5.82</v>
      </c>
      <c r="E358" s="54">
        <v>10.4</v>
      </c>
      <c r="F358" s="46">
        <v>1</v>
      </c>
      <c r="G358" s="46">
        <v>0.90972222222222221</v>
      </c>
      <c r="H358" s="81">
        <f t="shared" si="19"/>
        <v>7215000</v>
      </c>
      <c r="I358" s="84">
        <f t="shared" si="17"/>
        <v>0.23021916666667289</v>
      </c>
      <c r="J358" s="84">
        <f t="shared" si="18"/>
        <v>0.20732758620689656</v>
      </c>
      <c r="K358" s="90" t="s">
        <v>54</v>
      </c>
    </row>
    <row r="359" spans="1:11" ht="60">
      <c r="A359" s="14">
        <v>45162</v>
      </c>
      <c r="B359" s="83">
        <f>VLOOKUP(A359,'BADI SID DATA'!A:B,2,0)</f>
        <v>146</v>
      </c>
      <c r="C359" s="56">
        <v>55898.69999999553</v>
      </c>
      <c r="D359" s="51">
        <v>5.71</v>
      </c>
      <c r="E359" s="54">
        <v>10.3</v>
      </c>
      <c r="F359" s="46">
        <v>1</v>
      </c>
      <c r="G359" s="46">
        <v>1</v>
      </c>
      <c r="H359" s="81">
        <f t="shared" si="19"/>
        <v>7270898.6999999955</v>
      </c>
      <c r="I359" s="84">
        <f t="shared" si="17"/>
        <v>0.23291124999998136</v>
      </c>
      <c r="J359" s="84">
        <f t="shared" si="18"/>
        <v>0.2075028167808218</v>
      </c>
      <c r="K359" s="90" t="s">
        <v>54</v>
      </c>
    </row>
    <row r="360" spans="1:11" ht="60">
      <c r="A360" s="14">
        <v>45163</v>
      </c>
      <c r="B360" s="83">
        <f>VLOOKUP(A360,'BADI SID DATA'!A:B,2,0)</f>
        <v>147</v>
      </c>
      <c r="C360" s="56">
        <v>60450</v>
      </c>
      <c r="D360" s="51">
        <v>6.06</v>
      </c>
      <c r="E360" s="54">
        <v>10</v>
      </c>
      <c r="F360" s="46">
        <v>1</v>
      </c>
      <c r="G360" s="46">
        <v>1</v>
      </c>
      <c r="H360" s="81">
        <f t="shared" si="19"/>
        <v>7331348.6999999955</v>
      </c>
      <c r="I360" s="84">
        <f t="shared" si="17"/>
        <v>0.25187500000000002</v>
      </c>
      <c r="J360" s="84">
        <f t="shared" si="18"/>
        <v>0.20780466836734682</v>
      </c>
      <c r="K360" s="90" t="s">
        <v>54</v>
      </c>
    </row>
    <row r="361" spans="1:11" ht="20">
      <c r="A361" s="14">
        <v>45164</v>
      </c>
      <c r="B361" s="83">
        <f>VLOOKUP(A361,'BADI SID DATA'!A:B,2,0)</f>
        <v>148</v>
      </c>
      <c r="C361" s="56">
        <v>45500.65000000596</v>
      </c>
      <c r="D361" s="52">
        <v>4.34</v>
      </c>
      <c r="E361" s="54">
        <v>9.9</v>
      </c>
      <c r="F361" s="46">
        <v>1</v>
      </c>
      <c r="G361" s="46">
        <v>1</v>
      </c>
      <c r="H361" s="81">
        <f t="shared" si="19"/>
        <v>7376849.3500000015</v>
      </c>
      <c r="I361" s="84">
        <f t="shared" si="17"/>
        <v>0.18958604166669149</v>
      </c>
      <c r="J361" s="84">
        <f t="shared" si="18"/>
        <v>0.20768156953828834</v>
      </c>
      <c r="K361" s="90" t="s">
        <v>52</v>
      </c>
    </row>
    <row r="362" spans="1:11" ht="20">
      <c r="A362" s="14">
        <v>45165</v>
      </c>
      <c r="B362" s="83">
        <f>VLOOKUP(A362,'BADI SID DATA'!A:B,2,0)</f>
        <v>149</v>
      </c>
      <c r="C362" s="56">
        <v>46147.399999991059</v>
      </c>
      <c r="D362" s="52">
        <v>4.3899999999999997</v>
      </c>
      <c r="E362" s="54">
        <v>10.199999999999999</v>
      </c>
      <c r="F362" s="46">
        <v>1</v>
      </c>
      <c r="G362" s="46">
        <v>1</v>
      </c>
      <c r="H362" s="81">
        <f t="shared" si="19"/>
        <v>7422996.7499999925</v>
      </c>
      <c r="I362" s="84">
        <f t="shared" si="17"/>
        <v>0.19228083333329607</v>
      </c>
      <c r="J362" s="84">
        <f t="shared" si="18"/>
        <v>0.20757820889261724</v>
      </c>
      <c r="K362" s="90" t="s">
        <v>52</v>
      </c>
    </row>
    <row r="363" spans="1:11" ht="60">
      <c r="A363" s="14">
        <v>45166</v>
      </c>
      <c r="B363" s="83">
        <f>VLOOKUP(A363,'BADI SID DATA'!A:B,2,0)</f>
        <v>150</v>
      </c>
      <c r="C363" s="56">
        <v>58501.30000000447</v>
      </c>
      <c r="D363" s="52">
        <v>5.78</v>
      </c>
      <c r="E363" s="54">
        <v>10.8</v>
      </c>
      <c r="F363" s="46">
        <v>1</v>
      </c>
      <c r="G363" s="46">
        <v>0.91874999999999996</v>
      </c>
      <c r="H363" s="81">
        <f t="shared" si="19"/>
        <v>7481498.049999997</v>
      </c>
      <c r="I363" s="84">
        <f t="shared" si="17"/>
        <v>0.24375541666668529</v>
      </c>
      <c r="J363" s="84">
        <f t="shared" si="18"/>
        <v>0.20781939027777768</v>
      </c>
      <c r="K363" s="90" t="s">
        <v>54</v>
      </c>
    </row>
    <row r="364" spans="1:11" ht="20">
      <c r="A364" s="14">
        <v>45167</v>
      </c>
      <c r="B364" s="83">
        <f>VLOOKUP(A364,'BADI SID DATA'!A:B,2,0)</f>
        <v>151</v>
      </c>
      <c r="C364" s="56">
        <v>53300.64999999851</v>
      </c>
      <c r="D364" s="51">
        <v>5.32</v>
      </c>
      <c r="E364" s="54">
        <v>10.6</v>
      </c>
      <c r="F364" s="46">
        <v>1</v>
      </c>
      <c r="G364" s="46">
        <v>1</v>
      </c>
      <c r="H364" s="81">
        <f t="shared" si="19"/>
        <v>7534798.6999999955</v>
      </c>
      <c r="I364" s="84">
        <f t="shared" si="17"/>
        <v>0.22208604166666046</v>
      </c>
      <c r="J364" s="84">
        <f t="shared" si="18"/>
        <v>0.2079138714128034</v>
      </c>
      <c r="K364" s="90" t="s">
        <v>52</v>
      </c>
    </row>
    <row r="365" spans="1:11" ht="60">
      <c r="A365" s="14">
        <v>45168</v>
      </c>
      <c r="B365" s="83">
        <f>VLOOKUP(A365,'BADI SID DATA'!A:B,2,0)</f>
        <v>152</v>
      </c>
      <c r="C365" s="56">
        <v>56550</v>
      </c>
      <c r="D365" s="52">
        <v>5.95</v>
      </c>
      <c r="E365" s="54">
        <v>10.4</v>
      </c>
      <c r="F365" s="46">
        <v>1</v>
      </c>
      <c r="G365" s="46">
        <v>0.91597222222222219</v>
      </c>
      <c r="H365" s="81">
        <f t="shared" si="19"/>
        <v>7591348.6999999955</v>
      </c>
      <c r="I365" s="84">
        <f t="shared" si="17"/>
        <v>0.235625</v>
      </c>
      <c r="J365" s="84">
        <f t="shared" si="18"/>
        <v>0.20809618146929812</v>
      </c>
      <c r="K365" s="90" t="s">
        <v>54</v>
      </c>
    </row>
    <row r="366" spans="1:11" ht="80">
      <c r="A366" s="14">
        <v>45169</v>
      </c>
      <c r="B366" s="83">
        <f>VLOOKUP(A366,'BADI SID DATA'!A:B,2,0)</f>
        <v>153</v>
      </c>
      <c r="C366" s="56">
        <v>22097.40000000596</v>
      </c>
      <c r="D366" s="55">
        <v>1.82</v>
      </c>
      <c r="E366" s="54">
        <v>8.9</v>
      </c>
      <c r="F366" s="46">
        <v>1</v>
      </c>
      <c r="G366" s="46">
        <v>0.89861111111111114</v>
      </c>
      <c r="H366" s="81">
        <f t="shared" si="19"/>
        <v>7613446.1000000015</v>
      </c>
      <c r="I366" s="84">
        <f t="shared" ref="I366:I429" si="20">C366/(10*24*1000)</f>
        <v>9.2072500000024829E-2</v>
      </c>
      <c r="J366" s="84">
        <f t="shared" si="18"/>
        <v>0.20733785675381267</v>
      </c>
      <c r="K366" s="90" t="s">
        <v>51</v>
      </c>
    </row>
    <row r="367" spans="1:11" ht="80">
      <c r="A367" s="14">
        <v>45170</v>
      </c>
      <c r="B367" s="83">
        <f>VLOOKUP(A367,'BADI SID DATA'!A:B,2,0)</f>
        <v>154</v>
      </c>
      <c r="C367" s="56">
        <v>37050.649999991059</v>
      </c>
      <c r="D367" s="53">
        <v>3.6</v>
      </c>
      <c r="E367" s="54">
        <v>10.3</v>
      </c>
      <c r="F367" s="46">
        <v>1</v>
      </c>
      <c r="G367" s="46">
        <v>0.82986111111111116</v>
      </c>
      <c r="H367" s="81">
        <f>C367</f>
        <v>37050.649999991059</v>
      </c>
      <c r="I367" s="84">
        <f t="shared" si="20"/>
        <v>0.15437770833329609</v>
      </c>
      <c r="J367" s="84">
        <f t="shared" si="18"/>
        <v>1.0024526515149095E-3</v>
      </c>
      <c r="K367" s="90" t="s">
        <v>51</v>
      </c>
    </row>
    <row r="368" spans="1:11" ht="80">
      <c r="A368" s="14">
        <v>45171</v>
      </c>
      <c r="B368" s="83">
        <f>VLOOKUP(A368,'BADI SID DATA'!A:B,2,0)</f>
        <v>155</v>
      </c>
      <c r="C368" s="56">
        <v>29901.30000000447</v>
      </c>
      <c r="D368" s="50">
        <v>2.84</v>
      </c>
      <c r="E368" s="54">
        <v>9.9</v>
      </c>
      <c r="F368" s="46">
        <v>1</v>
      </c>
      <c r="G368" s="46">
        <v>0.87152777777777779</v>
      </c>
      <c r="H368" s="81">
        <f>C368+H367</f>
        <v>66951.94999999553</v>
      </c>
      <c r="I368" s="84">
        <f t="shared" si="20"/>
        <v>0.12458875000001862</v>
      </c>
      <c r="J368" s="84">
        <f t="shared" si="18"/>
        <v>1.7997836021504175E-3</v>
      </c>
      <c r="K368" s="90" t="s">
        <v>51</v>
      </c>
    </row>
    <row r="369" spans="1:11" ht="20">
      <c r="A369" s="14">
        <v>45172</v>
      </c>
      <c r="B369" s="83">
        <f>VLOOKUP(A369,'BADI SID DATA'!A:B,2,0)</f>
        <v>156</v>
      </c>
      <c r="C369" s="56">
        <v>53300.64999999851</v>
      </c>
      <c r="D369" s="50">
        <v>5.0599999999999996</v>
      </c>
      <c r="E369" s="54">
        <v>10.1</v>
      </c>
      <c r="F369" s="46">
        <v>1</v>
      </c>
      <c r="G369" s="46">
        <v>1</v>
      </c>
      <c r="H369" s="81">
        <f t="shared" si="19"/>
        <v>120252.59999999404</v>
      </c>
      <c r="I369" s="84">
        <f t="shared" si="20"/>
        <v>0.22208604166666046</v>
      </c>
      <c r="J369" s="84">
        <f t="shared" si="18"/>
        <v>3.2118749999998407E-3</v>
      </c>
      <c r="K369" s="90" t="s">
        <v>52</v>
      </c>
    </row>
    <row r="370" spans="1:11" ht="80">
      <c r="A370" s="14">
        <v>45173</v>
      </c>
      <c r="B370" s="83">
        <f>VLOOKUP(A370,'BADI SID DATA'!A:B,2,0)</f>
        <v>157</v>
      </c>
      <c r="C370" s="56">
        <v>23399.35000000149</v>
      </c>
      <c r="D370" s="53">
        <v>1.91</v>
      </c>
      <c r="E370" s="54">
        <v>9.6</v>
      </c>
      <c r="F370" s="46">
        <v>1</v>
      </c>
      <c r="G370" s="46">
        <v>0.94444444444444442</v>
      </c>
      <c r="H370" s="81">
        <f t="shared" si="19"/>
        <v>143651.94999999553</v>
      </c>
      <c r="I370" s="84">
        <f t="shared" si="20"/>
        <v>9.749729166667287E-2</v>
      </c>
      <c r="J370" s="84">
        <f t="shared" si="18"/>
        <v>3.8124190552015799E-3</v>
      </c>
      <c r="K370" s="90" t="s">
        <v>51</v>
      </c>
    </row>
    <row r="371" spans="1:11" ht="80">
      <c r="A371" s="14">
        <v>45174</v>
      </c>
      <c r="B371" s="83">
        <f>VLOOKUP(A371,'BADI SID DATA'!A:B,2,0)</f>
        <v>158</v>
      </c>
      <c r="C371" s="56">
        <v>37700.64999999851</v>
      </c>
      <c r="D371" s="50">
        <v>3.23</v>
      </c>
      <c r="E371" s="54">
        <v>10.3</v>
      </c>
      <c r="F371" s="46">
        <v>1</v>
      </c>
      <c r="G371" s="46">
        <v>0.91249999999999998</v>
      </c>
      <c r="H371" s="81">
        <f t="shared" si="19"/>
        <v>181352.59999999404</v>
      </c>
      <c r="I371" s="84">
        <f t="shared" si="20"/>
        <v>0.15708604166666046</v>
      </c>
      <c r="J371" s="84">
        <f t="shared" si="18"/>
        <v>4.7825052742614463E-3</v>
      </c>
      <c r="K371" s="90" t="s">
        <v>51</v>
      </c>
    </row>
    <row r="372" spans="1:11" ht="20">
      <c r="A372" s="14">
        <v>45175</v>
      </c>
      <c r="B372" s="83">
        <f>VLOOKUP(A372,'BADI SID DATA'!A:B,2,0)</f>
        <v>159</v>
      </c>
      <c r="C372" s="56">
        <v>51348.70000000298</v>
      </c>
      <c r="D372" s="50">
        <v>5.05</v>
      </c>
      <c r="E372" s="54">
        <v>10.1</v>
      </c>
      <c r="F372" s="46">
        <v>1</v>
      </c>
      <c r="G372" s="46">
        <v>1</v>
      </c>
      <c r="H372" s="81">
        <f t="shared" si="19"/>
        <v>232701.29999999702</v>
      </c>
      <c r="I372" s="84">
        <f t="shared" si="20"/>
        <v>0.21395291666667909</v>
      </c>
      <c r="J372" s="84">
        <f t="shared" si="18"/>
        <v>6.0980424528301108E-3</v>
      </c>
      <c r="K372" s="90" t="s">
        <v>52</v>
      </c>
    </row>
    <row r="373" spans="1:11" ht="60">
      <c r="A373" s="14">
        <v>45176</v>
      </c>
      <c r="B373" s="83">
        <f>VLOOKUP(A373,'BADI SID DATA'!A:B,2,0)</f>
        <v>160</v>
      </c>
      <c r="C373" s="56">
        <v>55252.59999999404</v>
      </c>
      <c r="D373" s="50">
        <v>5.33</v>
      </c>
      <c r="E373" s="54">
        <v>10.5</v>
      </c>
      <c r="F373" s="46">
        <v>1</v>
      </c>
      <c r="G373" s="46">
        <v>1</v>
      </c>
      <c r="H373" s="81">
        <f t="shared" si="19"/>
        <v>287953.89999999106</v>
      </c>
      <c r="I373" s="84">
        <f t="shared" si="20"/>
        <v>0.23021916666664183</v>
      </c>
      <c r="J373" s="84">
        <f t="shared" si="18"/>
        <v>7.4987994791664335E-3</v>
      </c>
      <c r="K373" s="90" t="s">
        <v>54</v>
      </c>
    </row>
    <row r="374" spans="1:11" ht="20">
      <c r="A374" s="14">
        <v>45177</v>
      </c>
      <c r="B374" s="83">
        <f>VLOOKUP(A374,'BADI SID DATA'!A:B,2,0)</f>
        <v>161</v>
      </c>
      <c r="C374" s="56">
        <v>46798.05000000447</v>
      </c>
      <c r="D374" s="50">
        <v>4.51</v>
      </c>
      <c r="E374" s="54">
        <v>9.1999999999999993</v>
      </c>
      <c r="F374" s="46">
        <v>1</v>
      </c>
      <c r="G374" s="46">
        <v>1</v>
      </c>
      <c r="H374" s="81">
        <f t="shared" si="19"/>
        <v>334751.94999999553</v>
      </c>
      <c r="I374" s="84">
        <f t="shared" si="20"/>
        <v>0.19499187500001863</v>
      </c>
      <c r="J374" s="84">
        <f t="shared" si="18"/>
        <v>8.6633527432711053E-3</v>
      </c>
      <c r="K374" s="90" t="s">
        <v>52</v>
      </c>
    </row>
    <row r="375" spans="1:11" ht="60">
      <c r="A375" s="14">
        <v>45178</v>
      </c>
      <c r="B375" s="83">
        <f>VLOOKUP(A375,'BADI SID DATA'!A:B,2,0)</f>
        <v>162</v>
      </c>
      <c r="C375" s="56">
        <v>60449.35000000149</v>
      </c>
      <c r="D375" s="51">
        <v>6.1</v>
      </c>
      <c r="E375" s="54">
        <v>10.1</v>
      </c>
      <c r="F375" s="46">
        <v>1</v>
      </c>
      <c r="G375" s="46">
        <v>0.92708333333333337</v>
      </c>
      <c r="H375" s="81">
        <f t="shared" si="19"/>
        <v>395201.29999999702</v>
      </c>
      <c r="I375" s="84">
        <f t="shared" si="20"/>
        <v>0.25187229166667285</v>
      </c>
      <c r="J375" s="84">
        <f t="shared" si="18"/>
        <v>1.0164642489711858E-2</v>
      </c>
      <c r="K375" s="90" t="s">
        <v>54</v>
      </c>
    </row>
    <row r="376" spans="1:11" ht="20">
      <c r="A376" s="14">
        <v>45179</v>
      </c>
      <c r="B376" s="83">
        <f>VLOOKUP(A376,'BADI SID DATA'!A:B,2,0)</f>
        <v>163</v>
      </c>
      <c r="C376" s="56">
        <v>43548.70000000298</v>
      </c>
      <c r="D376" s="52">
        <v>4.04</v>
      </c>
      <c r="E376" s="54">
        <v>9.9</v>
      </c>
      <c r="F376" s="46">
        <v>1</v>
      </c>
      <c r="G376" s="46">
        <v>1</v>
      </c>
      <c r="H376" s="81">
        <f t="shared" si="19"/>
        <v>438750</v>
      </c>
      <c r="I376" s="84">
        <f t="shared" si="20"/>
        <v>0.18145291666667909</v>
      </c>
      <c r="J376" s="84">
        <f t="shared" si="18"/>
        <v>1.1215490797546012E-2</v>
      </c>
      <c r="K376" s="90" t="s">
        <v>52</v>
      </c>
    </row>
    <row r="377" spans="1:11" ht="20">
      <c r="A377" s="14">
        <v>45180</v>
      </c>
      <c r="B377" s="83">
        <f>VLOOKUP(A377,'BADI SID DATA'!A:B,2,0)</f>
        <v>164</v>
      </c>
      <c r="C377" s="56">
        <v>48103.25</v>
      </c>
      <c r="D377" s="51">
        <v>4.54</v>
      </c>
      <c r="E377" s="54">
        <v>10.3</v>
      </c>
      <c r="F377" s="46">
        <v>1</v>
      </c>
      <c r="G377" s="46">
        <v>1</v>
      </c>
      <c r="H377" s="81">
        <f t="shared" si="19"/>
        <v>486853.25</v>
      </c>
      <c r="I377" s="84">
        <f t="shared" si="20"/>
        <v>0.20043020833333333</v>
      </c>
      <c r="J377" s="84">
        <f t="shared" si="18"/>
        <v>1.2369239075203252E-2</v>
      </c>
      <c r="K377" s="90" t="s">
        <v>52</v>
      </c>
    </row>
    <row r="378" spans="1:11" ht="60">
      <c r="A378" s="14">
        <v>45181</v>
      </c>
      <c r="B378" s="83">
        <f>VLOOKUP(A378,'BADI SID DATA'!A:B,2,0)</f>
        <v>165</v>
      </c>
      <c r="C378" s="56">
        <v>54598.04999999702</v>
      </c>
      <c r="D378" s="51">
        <v>5.25</v>
      </c>
      <c r="E378" s="54">
        <v>10.5</v>
      </c>
      <c r="F378" s="46">
        <v>1</v>
      </c>
      <c r="G378" s="46">
        <v>1</v>
      </c>
      <c r="H378" s="81">
        <f t="shared" si="19"/>
        <v>541451.29999999702</v>
      </c>
      <c r="I378" s="84">
        <f t="shared" si="20"/>
        <v>0.22749187499998758</v>
      </c>
      <c r="J378" s="84">
        <f t="shared" si="18"/>
        <v>1.3673012626262551E-2</v>
      </c>
      <c r="K378" s="90" t="s">
        <v>54</v>
      </c>
    </row>
    <row r="379" spans="1:11" ht="60">
      <c r="A379" s="14">
        <v>45182</v>
      </c>
      <c r="B379" s="83">
        <f>VLOOKUP(A379,'BADI SID DATA'!A:B,2,0)</f>
        <v>166</v>
      </c>
      <c r="C379" s="56">
        <v>57200.64999999851</v>
      </c>
      <c r="D379" s="51">
        <v>5.64</v>
      </c>
      <c r="E379" s="54">
        <v>9.9</v>
      </c>
      <c r="F379" s="46">
        <v>1</v>
      </c>
      <c r="G379" s="46">
        <v>1</v>
      </c>
      <c r="H379" s="81">
        <f t="shared" si="19"/>
        <v>598651.94999999553</v>
      </c>
      <c r="I379" s="84">
        <f t="shared" si="20"/>
        <v>0.23833604166666045</v>
      </c>
      <c r="J379" s="84">
        <f t="shared" si="18"/>
        <v>1.5026404367469767E-2</v>
      </c>
      <c r="K379" s="90" t="s">
        <v>54</v>
      </c>
    </row>
    <row r="380" spans="1:11" ht="20">
      <c r="A380" s="14">
        <v>45183</v>
      </c>
      <c r="B380" s="83">
        <f>VLOOKUP(A380,'BADI SID DATA'!A:B,2,0)</f>
        <v>167</v>
      </c>
      <c r="C380" s="56">
        <v>49400</v>
      </c>
      <c r="D380" s="51">
        <v>4.6900000000000004</v>
      </c>
      <c r="E380" s="54">
        <v>10</v>
      </c>
      <c r="F380" s="46">
        <v>1</v>
      </c>
      <c r="G380" s="46">
        <v>1</v>
      </c>
      <c r="H380" s="81">
        <f t="shared" si="19"/>
        <v>648051.94999999553</v>
      </c>
      <c r="I380" s="84">
        <f t="shared" si="20"/>
        <v>0.20583333333333334</v>
      </c>
      <c r="J380" s="84">
        <f t="shared" si="18"/>
        <v>1.6168960828343203E-2</v>
      </c>
      <c r="K380" s="90" t="s">
        <v>52</v>
      </c>
    </row>
    <row r="381" spans="1:11" ht="60">
      <c r="A381" s="14">
        <v>45184</v>
      </c>
      <c r="B381" s="83">
        <f>VLOOKUP(A381,'BADI SID DATA'!A:B,2,0)</f>
        <v>168</v>
      </c>
      <c r="C381" s="56">
        <v>55899.35000000149</v>
      </c>
      <c r="D381" s="52">
        <v>5.49</v>
      </c>
      <c r="E381" s="54">
        <v>10.199999999999999</v>
      </c>
      <c r="F381" s="46">
        <v>1</v>
      </c>
      <c r="G381" s="46">
        <v>1</v>
      </c>
      <c r="H381" s="81">
        <f t="shared" si="19"/>
        <v>703951.29999999702</v>
      </c>
      <c r="I381" s="84">
        <f t="shared" si="20"/>
        <v>0.23291395833333955</v>
      </c>
      <c r="J381" s="84">
        <f t="shared" ref="J381:J444" si="21">H381/(24*B381*10*1000)</f>
        <v>1.7459109623015799E-2</v>
      </c>
      <c r="K381" s="90" t="s">
        <v>54</v>
      </c>
    </row>
    <row r="382" spans="1:11" ht="80">
      <c r="A382" s="14">
        <v>45185</v>
      </c>
      <c r="B382" s="83">
        <f>VLOOKUP(A382,'BADI SID DATA'!A:B,2,0)</f>
        <v>169</v>
      </c>
      <c r="C382" s="56">
        <v>36400</v>
      </c>
      <c r="D382" s="51">
        <v>3.37</v>
      </c>
      <c r="E382" s="54">
        <v>10.6</v>
      </c>
      <c r="F382" s="46">
        <v>1</v>
      </c>
      <c r="G382" s="46">
        <v>1</v>
      </c>
      <c r="H382" s="81">
        <f t="shared" si="19"/>
        <v>740351.29999999702</v>
      </c>
      <c r="I382" s="84">
        <f t="shared" si="20"/>
        <v>0.15166666666666667</v>
      </c>
      <c r="J382" s="84">
        <f t="shared" si="21"/>
        <v>1.8253237179487104E-2</v>
      </c>
      <c r="K382" s="90" t="s">
        <v>51</v>
      </c>
    </row>
    <row r="383" spans="1:11" ht="20">
      <c r="A383" s="14">
        <v>45186</v>
      </c>
      <c r="B383" s="83">
        <f>VLOOKUP(A383,'BADI SID DATA'!A:B,2,0)</f>
        <v>170</v>
      </c>
      <c r="C383" s="56">
        <v>48099.35000000149</v>
      </c>
      <c r="D383" s="51">
        <v>4.45</v>
      </c>
      <c r="E383" s="54">
        <v>9.1</v>
      </c>
      <c r="F383" s="46">
        <v>1</v>
      </c>
      <c r="G383" s="46">
        <v>1</v>
      </c>
      <c r="H383" s="81">
        <f t="shared" si="19"/>
        <v>788450.64999999851</v>
      </c>
      <c r="I383" s="84">
        <f t="shared" si="20"/>
        <v>0.20041395833333955</v>
      </c>
      <c r="J383" s="84">
        <f t="shared" si="21"/>
        <v>1.9324770833333296E-2</v>
      </c>
      <c r="K383" s="90" t="s">
        <v>52</v>
      </c>
    </row>
    <row r="384" spans="1:11" ht="60">
      <c r="A384" s="14">
        <v>45187</v>
      </c>
      <c r="B384" s="83">
        <f>VLOOKUP(A384,'BADI SID DATA'!A:B,2,0)</f>
        <v>171</v>
      </c>
      <c r="C384" s="56">
        <v>57850.64999999851</v>
      </c>
      <c r="D384" s="51">
        <v>5.52</v>
      </c>
      <c r="E384" s="54">
        <v>10.5</v>
      </c>
      <c r="F384" s="46">
        <v>1</v>
      </c>
      <c r="G384" s="46">
        <v>1</v>
      </c>
      <c r="H384" s="81">
        <f t="shared" si="19"/>
        <v>846301.29999999702</v>
      </c>
      <c r="I384" s="84">
        <f t="shared" si="20"/>
        <v>0.24104437499999379</v>
      </c>
      <c r="J384" s="84">
        <f t="shared" si="21"/>
        <v>2.062137670565295E-2</v>
      </c>
      <c r="K384" s="90" t="s">
        <v>54</v>
      </c>
    </row>
    <row r="385" spans="1:11" ht="60">
      <c r="A385" s="14">
        <v>45188</v>
      </c>
      <c r="B385" s="83">
        <f>VLOOKUP(A385,'BADI SID DATA'!A:B,2,0)</f>
        <v>172</v>
      </c>
      <c r="C385" s="56">
        <v>61750.64999999851</v>
      </c>
      <c r="D385" s="52">
        <v>6.04</v>
      </c>
      <c r="E385" s="54">
        <v>10.4</v>
      </c>
      <c r="F385" s="46">
        <v>1</v>
      </c>
      <c r="G385" s="46">
        <v>1</v>
      </c>
      <c r="H385" s="81">
        <f t="shared" si="19"/>
        <v>908051.94999999553</v>
      </c>
      <c r="I385" s="84">
        <f t="shared" si="20"/>
        <v>0.2572943749999938</v>
      </c>
      <c r="J385" s="84">
        <f t="shared" si="21"/>
        <v>2.1997382509689814E-2</v>
      </c>
      <c r="K385" s="90" t="s">
        <v>54</v>
      </c>
    </row>
    <row r="386" spans="1:11" ht="20">
      <c r="A386" s="14">
        <v>45189</v>
      </c>
      <c r="B386" s="83">
        <f>VLOOKUP(A386,'BADI SID DATA'!A:B,2,0)</f>
        <v>173</v>
      </c>
      <c r="C386" s="56">
        <v>54598.04999999702</v>
      </c>
      <c r="D386" s="52">
        <v>5.31</v>
      </c>
      <c r="E386" s="54">
        <v>10.5</v>
      </c>
      <c r="F386" s="46">
        <v>1</v>
      </c>
      <c r="G386" s="46">
        <v>0.92361111111111116</v>
      </c>
      <c r="H386" s="81">
        <f t="shared" si="19"/>
        <v>962649.99999999255</v>
      </c>
      <c r="I386" s="84">
        <f t="shared" si="20"/>
        <v>0.22749187499998758</v>
      </c>
      <c r="J386" s="84">
        <f t="shared" si="21"/>
        <v>2.3185211946049916E-2</v>
      </c>
      <c r="K386" s="90" t="s">
        <v>52</v>
      </c>
    </row>
    <row r="387" spans="1:11" ht="80">
      <c r="A387" s="14">
        <v>45190</v>
      </c>
      <c r="B387" s="83">
        <f>VLOOKUP(A387,'BADI SID DATA'!A:B,2,0)</f>
        <v>174</v>
      </c>
      <c r="C387" s="56">
        <v>39002.60000000149</v>
      </c>
      <c r="D387" s="51">
        <v>3.5</v>
      </c>
      <c r="E387" s="54">
        <v>9.9</v>
      </c>
      <c r="F387" s="46">
        <v>1</v>
      </c>
      <c r="G387" s="46">
        <v>1</v>
      </c>
      <c r="H387" s="81">
        <f t="shared" si="19"/>
        <v>1001652.599999994</v>
      </c>
      <c r="I387" s="84">
        <f t="shared" si="20"/>
        <v>0.16251083333333954</v>
      </c>
      <c r="J387" s="84">
        <f t="shared" si="21"/>
        <v>2.3985933908045834E-2</v>
      </c>
      <c r="K387" s="90" t="s">
        <v>51</v>
      </c>
    </row>
    <row r="388" spans="1:11" ht="20">
      <c r="A388" s="14">
        <v>45191</v>
      </c>
      <c r="B388" s="83">
        <f>VLOOKUP(A388,'BADI SID DATA'!A:B,2,0)</f>
        <v>175</v>
      </c>
      <c r="C388" s="56">
        <v>50051.29999999702</v>
      </c>
      <c r="D388" s="51">
        <v>4.97</v>
      </c>
      <c r="E388" s="54">
        <v>10.4</v>
      </c>
      <c r="F388" s="46">
        <v>1</v>
      </c>
      <c r="G388" s="46">
        <v>1</v>
      </c>
      <c r="H388" s="81">
        <f t="shared" si="19"/>
        <v>1051703.8999999911</v>
      </c>
      <c r="I388" s="84">
        <f t="shared" si="20"/>
        <v>0.20854708333332092</v>
      </c>
      <c r="J388" s="84">
        <f t="shared" si="21"/>
        <v>2.5040569047618835E-2</v>
      </c>
      <c r="K388" s="90" t="s">
        <v>52</v>
      </c>
    </row>
    <row r="389" spans="1:11" ht="20">
      <c r="A389" s="14">
        <v>45192</v>
      </c>
      <c r="B389" s="83">
        <f>VLOOKUP(A389,'BADI SID DATA'!A:B,2,0)</f>
        <v>176</v>
      </c>
      <c r="C389" s="56">
        <v>55898.70000000298</v>
      </c>
      <c r="D389" s="51">
        <v>5.54</v>
      </c>
      <c r="E389" s="54">
        <v>10.5</v>
      </c>
      <c r="F389" s="46">
        <v>1</v>
      </c>
      <c r="G389" s="46">
        <v>1</v>
      </c>
      <c r="H389" s="81">
        <f t="shared" si="19"/>
        <v>1107602.599999994</v>
      </c>
      <c r="I389" s="84">
        <f t="shared" si="20"/>
        <v>0.23291125000001242</v>
      </c>
      <c r="J389" s="84">
        <f t="shared" si="21"/>
        <v>2.6221652462121072E-2</v>
      </c>
      <c r="K389" s="90" t="s">
        <v>52</v>
      </c>
    </row>
    <row r="390" spans="1:11" ht="20">
      <c r="A390" s="14">
        <v>45193</v>
      </c>
      <c r="B390" s="83">
        <f>VLOOKUP(A390,'BADI SID DATA'!A:B,2,0)</f>
        <v>177</v>
      </c>
      <c r="C390" s="56">
        <v>48750</v>
      </c>
      <c r="D390" s="51">
        <v>4.91</v>
      </c>
      <c r="E390" s="54">
        <v>10.4</v>
      </c>
      <c r="F390" s="46">
        <v>1</v>
      </c>
      <c r="G390" s="46">
        <v>1</v>
      </c>
      <c r="H390" s="81">
        <f t="shared" si="19"/>
        <v>1156352.599999994</v>
      </c>
      <c r="I390" s="84">
        <f t="shared" si="20"/>
        <v>0.203125</v>
      </c>
      <c r="J390" s="84">
        <f t="shared" si="21"/>
        <v>2.7221106403013041E-2</v>
      </c>
      <c r="K390" s="90" t="s">
        <v>52</v>
      </c>
    </row>
    <row r="391" spans="1:11" ht="60">
      <c r="A391" s="14">
        <v>45194</v>
      </c>
      <c r="B391" s="83">
        <f>VLOOKUP(A391,'BADI SID DATA'!A:B,2,0)</f>
        <v>178</v>
      </c>
      <c r="C391" s="56">
        <v>46147.40000000596</v>
      </c>
      <c r="D391" s="52">
        <v>4.63</v>
      </c>
      <c r="E391" s="54">
        <v>10.7</v>
      </c>
      <c r="F391" s="46">
        <v>1</v>
      </c>
      <c r="G391" s="46">
        <v>1</v>
      </c>
      <c r="H391" s="81">
        <f t="shared" si="19"/>
        <v>1202500</v>
      </c>
      <c r="I391" s="84">
        <f t="shared" si="20"/>
        <v>0.19228083333335816</v>
      </c>
      <c r="J391" s="84">
        <f t="shared" si="21"/>
        <v>2.8148408239700374E-2</v>
      </c>
      <c r="K391" s="90" t="s">
        <v>53</v>
      </c>
    </row>
    <row r="392" spans="1:11" ht="60">
      <c r="A392" s="14">
        <v>45195</v>
      </c>
      <c r="B392" s="83">
        <f>VLOOKUP(A392,'BADI SID DATA'!A:B,2,0)</f>
        <v>179</v>
      </c>
      <c r="C392" s="56">
        <v>56553.89999999851</v>
      </c>
      <c r="D392" s="52">
        <v>5.87</v>
      </c>
      <c r="E392" s="54">
        <v>10.199999999999999</v>
      </c>
      <c r="F392" s="46">
        <v>1</v>
      </c>
      <c r="G392" s="46">
        <v>1</v>
      </c>
      <c r="H392" s="81">
        <f t="shared" si="19"/>
        <v>1259053.8999999985</v>
      </c>
      <c r="I392" s="84">
        <f t="shared" si="20"/>
        <v>0.23564124999999378</v>
      </c>
      <c r="J392" s="84">
        <f t="shared" si="21"/>
        <v>2.9307586126629388E-2</v>
      </c>
      <c r="K392" s="90" t="s">
        <v>54</v>
      </c>
    </row>
    <row r="393" spans="1:11" ht="100">
      <c r="A393" s="14">
        <v>45196</v>
      </c>
      <c r="B393" s="83">
        <f>VLOOKUP(A393,'BADI SID DATA'!A:B,2,0)</f>
        <v>180</v>
      </c>
      <c r="C393" s="56">
        <v>55898.69999999553</v>
      </c>
      <c r="D393" s="52">
        <v>5.37</v>
      </c>
      <c r="E393" s="54">
        <v>10.8</v>
      </c>
      <c r="F393" s="46">
        <v>1</v>
      </c>
      <c r="G393" s="46">
        <v>1</v>
      </c>
      <c r="H393" s="81">
        <f t="shared" si="19"/>
        <v>1314952.599999994</v>
      </c>
      <c r="I393" s="84">
        <f t="shared" si="20"/>
        <v>0.23291124999998136</v>
      </c>
      <c r="J393" s="84">
        <f t="shared" si="21"/>
        <v>3.0438717592592455E-2</v>
      </c>
      <c r="K393" s="90" t="s">
        <v>68</v>
      </c>
    </row>
    <row r="394" spans="1:11" ht="20">
      <c r="A394" s="14">
        <v>45197</v>
      </c>
      <c r="B394" s="83">
        <f>VLOOKUP(A394,'BADI SID DATA'!A:B,2,0)</f>
        <v>181</v>
      </c>
      <c r="C394" s="56">
        <v>46798.70000000298</v>
      </c>
      <c r="D394" s="51">
        <v>4.58</v>
      </c>
      <c r="E394" s="54">
        <v>10.6</v>
      </c>
      <c r="F394" s="46">
        <v>1</v>
      </c>
      <c r="G394" s="46">
        <v>0.63055555555555554</v>
      </c>
      <c r="H394" s="81">
        <f t="shared" si="19"/>
        <v>1361751.299999997</v>
      </c>
      <c r="I394" s="84">
        <f t="shared" si="20"/>
        <v>0.19499458333334574</v>
      </c>
      <c r="J394" s="84">
        <f t="shared" si="21"/>
        <v>3.134786602209938E-2</v>
      </c>
      <c r="K394" s="90" t="s">
        <v>52</v>
      </c>
    </row>
    <row r="395" spans="1:11" ht="20">
      <c r="A395" s="14">
        <v>45198</v>
      </c>
      <c r="B395" s="83">
        <f>VLOOKUP(A395,'BADI SID DATA'!A:B,2,0)</f>
        <v>182</v>
      </c>
      <c r="C395" s="56">
        <v>47452.59999999404</v>
      </c>
      <c r="D395" s="51">
        <v>4.7</v>
      </c>
      <c r="E395" s="54">
        <v>10.7</v>
      </c>
      <c r="F395" s="46">
        <v>1</v>
      </c>
      <c r="G395" s="46">
        <v>1</v>
      </c>
      <c r="H395" s="81">
        <f t="shared" si="19"/>
        <v>1409203.8999999911</v>
      </c>
      <c r="I395" s="84">
        <f t="shared" si="20"/>
        <v>0.19771916666664183</v>
      </c>
      <c r="J395" s="84">
        <f t="shared" si="21"/>
        <v>3.2261994047618842E-2</v>
      </c>
      <c r="K395" s="90" t="s">
        <v>52</v>
      </c>
    </row>
    <row r="396" spans="1:11" ht="20">
      <c r="A396" s="14">
        <v>45199</v>
      </c>
      <c r="B396" s="83">
        <f>VLOOKUP(A396,'BADI SID DATA'!A:B,2,0)</f>
        <v>183</v>
      </c>
      <c r="C396" s="56">
        <v>41596.75</v>
      </c>
      <c r="D396" s="55">
        <v>3.91</v>
      </c>
      <c r="E396" s="54">
        <v>10.9</v>
      </c>
      <c r="F396" s="46">
        <v>1</v>
      </c>
      <c r="G396" s="46">
        <v>1</v>
      </c>
      <c r="H396" s="81">
        <f t="shared" si="19"/>
        <v>1450800.6499999911</v>
      </c>
      <c r="I396" s="84">
        <f t="shared" si="20"/>
        <v>0.17331979166666667</v>
      </c>
      <c r="J396" s="84">
        <f t="shared" si="21"/>
        <v>3.3032801684881402E-2</v>
      </c>
      <c r="K396" s="90" t="s">
        <v>52</v>
      </c>
    </row>
    <row r="397" spans="1:11" ht="20">
      <c r="A397" s="14">
        <v>45200</v>
      </c>
      <c r="B397" s="83">
        <f>VLOOKUP(A397,'BADI SID DATA'!A:B,2,0)</f>
        <v>184</v>
      </c>
      <c r="C397" s="56">
        <v>46801.95000000298</v>
      </c>
      <c r="D397" s="53">
        <v>4.72</v>
      </c>
      <c r="E397" s="54">
        <v>10.7</v>
      </c>
      <c r="F397" s="46">
        <v>1</v>
      </c>
      <c r="G397" s="46">
        <v>1</v>
      </c>
      <c r="H397" s="81">
        <f t="shared" si="19"/>
        <v>1497602.599999994</v>
      </c>
      <c r="I397" s="84">
        <f t="shared" si="20"/>
        <v>0.19500812500001241</v>
      </c>
      <c r="J397" s="84">
        <f t="shared" si="21"/>
        <v>3.3913102355072326E-2</v>
      </c>
      <c r="K397" s="90" t="s">
        <v>52</v>
      </c>
    </row>
    <row r="398" spans="1:11" ht="60">
      <c r="A398" s="14">
        <v>45201</v>
      </c>
      <c r="B398" s="83">
        <f>VLOOKUP(A398,'BADI SID DATA'!A:B,2,0)</f>
        <v>185</v>
      </c>
      <c r="C398" s="56">
        <v>62397.40000000596</v>
      </c>
      <c r="D398" s="50">
        <v>6.47</v>
      </c>
      <c r="E398" s="54">
        <v>10.6</v>
      </c>
      <c r="F398" s="46">
        <v>1</v>
      </c>
      <c r="G398" s="46">
        <v>1</v>
      </c>
      <c r="H398" s="81">
        <f t="shared" si="19"/>
        <v>1560000</v>
      </c>
      <c r="I398" s="84">
        <f t="shared" si="20"/>
        <v>0.25998916666669153</v>
      </c>
      <c r="J398" s="84">
        <f t="shared" si="21"/>
        <v>3.5135135135135137E-2</v>
      </c>
      <c r="K398" s="90" t="s">
        <v>54</v>
      </c>
    </row>
    <row r="399" spans="1:11" ht="60">
      <c r="A399" s="14">
        <v>45202</v>
      </c>
      <c r="B399" s="83">
        <f>VLOOKUP(A399,'BADI SID DATA'!A:B,2,0)</f>
        <v>186</v>
      </c>
      <c r="C399" s="56">
        <v>61751.29999999702</v>
      </c>
      <c r="D399" s="50">
        <v>6.29</v>
      </c>
      <c r="E399" s="54">
        <v>10.8</v>
      </c>
      <c r="F399" s="46">
        <v>1</v>
      </c>
      <c r="G399" s="46">
        <v>1</v>
      </c>
      <c r="H399" s="81">
        <f t="shared" si="19"/>
        <v>1621751.299999997</v>
      </c>
      <c r="I399" s="84">
        <f t="shared" si="20"/>
        <v>0.25729708333332091</v>
      </c>
      <c r="J399" s="84">
        <f t="shared" si="21"/>
        <v>3.6329554211469467E-2</v>
      </c>
      <c r="K399" s="90" t="s">
        <v>54</v>
      </c>
    </row>
    <row r="400" spans="1:11" ht="20">
      <c r="A400" s="14">
        <v>45203</v>
      </c>
      <c r="B400" s="83">
        <f>VLOOKUP(A400,'BADI SID DATA'!A:B,2,0)</f>
        <v>187</v>
      </c>
      <c r="C400" s="56">
        <v>47452.59999999404</v>
      </c>
      <c r="D400" s="53">
        <v>4.72</v>
      </c>
      <c r="E400" s="54">
        <v>10.199999999999999</v>
      </c>
      <c r="F400" s="46">
        <v>1</v>
      </c>
      <c r="G400" s="46">
        <v>1</v>
      </c>
      <c r="H400" s="81">
        <f t="shared" si="19"/>
        <v>1669203.8999999911</v>
      </c>
      <c r="I400" s="84">
        <f t="shared" si="20"/>
        <v>0.19771916666664183</v>
      </c>
      <c r="J400" s="84">
        <f t="shared" si="21"/>
        <v>3.7192600267379479E-2</v>
      </c>
      <c r="K400" s="90" t="s">
        <v>52</v>
      </c>
    </row>
    <row r="401" spans="1:11" ht="20">
      <c r="A401" s="14">
        <v>45204</v>
      </c>
      <c r="B401" s="83">
        <f>VLOOKUP(A401,'BADI SID DATA'!A:B,2,0)</f>
        <v>188</v>
      </c>
      <c r="C401" s="56">
        <v>47448.70000000298</v>
      </c>
      <c r="D401" s="50">
        <v>5.1100000000000003</v>
      </c>
      <c r="E401" s="54">
        <v>10.5</v>
      </c>
      <c r="F401" s="46">
        <v>1</v>
      </c>
      <c r="G401" s="46">
        <v>0.97916666666666663</v>
      </c>
      <c r="H401" s="81">
        <f t="shared" si="19"/>
        <v>1716652.599999994</v>
      </c>
      <c r="I401" s="84">
        <f t="shared" si="20"/>
        <v>0.19770291666667908</v>
      </c>
      <c r="J401" s="84">
        <f t="shared" si="21"/>
        <v>3.8046378546099158E-2</v>
      </c>
      <c r="K401" s="90" t="s">
        <v>52</v>
      </c>
    </row>
    <row r="402" spans="1:11" ht="40">
      <c r="A402" s="14">
        <v>45205</v>
      </c>
      <c r="B402" s="83">
        <f>VLOOKUP(A402,'BADI SID DATA'!A:B,2,0)</f>
        <v>189</v>
      </c>
      <c r="C402" s="56">
        <v>40950</v>
      </c>
      <c r="D402" s="50">
        <v>3.89</v>
      </c>
      <c r="E402" s="54">
        <v>10.3</v>
      </c>
      <c r="F402" s="46">
        <v>1</v>
      </c>
      <c r="G402" s="46">
        <v>1</v>
      </c>
      <c r="H402" s="81">
        <f t="shared" si="19"/>
        <v>1757602.599999994</v>
      </c>
      <c r="I402" s="84">
        <f t="shared" si="20"/>
        <v>0.170625</v>
      </c>
      <c r="J402" s="84">
        <f t="shared" si="21"/>
        <v>3.8747852733685938E-2</v>
      </c>
      <c r="K402" s="90" t="s">
        <v>56</v>
      </c>
    </row>
    <row r="403" spans="1:11" ht="20">
      <c r="A403" s="14">
        <v>45206</v>
      </c>
      <c r="B403" s="83">
        <f>VLOOKUP(A403,'BADI SID DATA'!A:B,2,0)</f>
        <v>190</v>
      </c>
      <c r="C403" s="56">
        <v>48099.35000000149</v>
      </c>
      <c r="D403" s="50">
        <v>4.78</v>
      </c>
      <c r="E403" s="54">
        <v>10.1</v>
      </c>
      <c r="F403" s="46">
        <v>1</v>
      </c>
      <c r="G403" s="46">
        <v>1</v>
      </c>
      <c r="H403" s="81">
        <f t="shared" si="19"/>
        <v>1805701.9499999955</v>
      </c>
      <c r="I403" s="84">
        <f t="shared" si="20"/>
        <v>0.20041395833333955</v>
      </c>
      <c r="J403" s="84">
        <f t="shared" si="21"/>
        <v>3.9598726973684113E-2</v>
      </c>
      <c r="K403" s="90" t="s">
        <v>52</v>
      </c>
    </row>
    <row r="404" spans="1:11" ht="400">
      <c r="A404" s="14">
        <v>45207</v>
      </c>
      <c r="B404" s="83">
        <f>VLOOKUP(A404,'BADI SID DATA'!A:B,2,0)</f>
        <v>191</v>
      </c>
      <c r="C404" s="56">
        <v>650.64999999850988</v>
      </c>
      <c r="D404" s="50">
        <v>6.47</v>
      </c>
      <c r="E404" s="54">
        <v>4.5</v>
      </c>
      <c r="F404" s="47">
        <v>1</v>
      </c>
      <c r="G404" s="47">
        <v>0.4909722222222222</v>
      </c>
      <c r="H404" s="81">
        <f t="shared" si="19"/>
        <v>1806352.599999994</v>
      </c>
      <c r="I404" s="84">
        <f t="shared" si="20"/>
        <v>2.7110416666604577E-3</v>
      </c>
      <c r="J404" s="84">
        <f t="shared" si="21"/>
        <v>3.9405597731238966E-2</v>
      </c>
      <c r="K404" s="48" t="s">
        <v>71</v>
      </c>
    </row>
    <row r="405" spans="1:11" ht="60">
      <c r="A405" s="14">
        <v>45208</v>
      </c>
      <c r="B405" s="83">
        <f>VLOOKUP(A405,'BADI SID DATA'!A:B,2,0)</f>
        <v>192</v>
      </c>
      <c r="C405" s="56">
        <v>45500.65000000596</v>
      </c>
      <c r="D405" s="51">
        <v>4.6399999999999997</v>
      </c>
      <c r="E405" s="54">
        <v>10</v>
      </c>
      <c r="F405" s="46">
        <v>1</v>
      </c>
      <c r="G405" s="46">
        <v>0.92361111111111116</v>
      </c>
      <c r="H405" s="81">
        <f t="shared" si="19"/>
        <v>1851853.25</v>
      </c>
      <c r="I405" s="84">
        <f t="shared" si="20"/>
        <v>0.18958604166669149</v>
      </c>
      <c r="J405" s="84">
        <f t="shared" si="21"/>
        <v>4.0187787543402777E-2</v>
      </c>
      <c r="K405" s="90" t="s">
        <v>53</v>
      </c>
    </row>
    <row r="406" spans="1:11" ht="60">
      <c r="A406" s="14">
        <v>45209</v>
      </c>
      <c r="B406" s="83">
        <f>VLOOKUP(A406,'BADI SID DATA'!A:B,2,0)</f>
        <v>193</v>
      </c>
      <c r="C406" s="56">
        <v>40300</v>
      </c>
      <c r="D406" s="52">
        <v>3.94</v>
      </c>
      <c r="E406" s="54">
        <v>10.199999999999999</v>
      </c>
      <c r="F406" s="46">
        <v>1</v>
      </c>
      <c r="G406" s="46">
        <v>1</v>
      </c>
      <c r="H406" s="81">
        <f t="shared" si="19"/>
        <v>1892153.25</v>
      </c>
      <c r="I406" s="84">
        <f t="shared" si="20"/>
        <v>0.16791666666666666</v>
      </c>
      <c r="J406" s="84">
        <f t="shared" si="21"/>
        <v>4.0849595207253883E-2</v>
      </c>
      <c r="K406" s="90" t="s">
        <v>53</v>
      </c>
    </row>
    <row r="407" spans="1:11" ht="60">
      <c r="A407" s="14">
        <v>45210</v>
      </c>
      <c r="B407" s="83">
        <f>VLOOKUP(A407,'BADI SID DATA'!A:B,2,0)</f>
        <v>194</v>
      </c>
      <c r="C407" s="56">
        <v>40299.34999999404</v>
      </c>
      <c r="D407" s="51">
        <v>3.98</v>
      </c>
      <c r="E407" s="54">
        <v>9.9</v>
      </c>
      <c r="F407" s="46">
        <v>1</v>
      </c>
      <c r="G407" s="46">
        <v>1</v>
      </c>
      <c r="H407" s="81">
        <f t="shared" ref="H407:H470" si="22">C407+H406</f>
        <v>1932452.599999994</v>
      </c>
      <c r="I407" s="84">
        <f t="shared" si="20"/>
        <v>0.16791395833330849</v>
      </c>
      <c r="J407" s="84">
        <f t="shared" si="21"/>
        <v>4.150456615120262E-2</v>
      </c>
      <c r="K407" s="90" t="s">
        <v>53</v>
      </c>
    </row>
    <row r="408" spans="1:11" ht="20">
      <c r="A408" s="14">
        <v>45211</v>
      </c>
      <c r="B408" s="83">
        <f>VLOOKUP(A408,'BADI SID DATA'!A:B,2,0)</f>
        <v>195</v>
      </c>
      <c r="C408" s="56">
        <v>52650</v>
      </c>
      <c r="D408" s="51">
        <v>5.37</v>
      </c>
      <c r="E408" s="54">
        <v>10.3</v>
      </c>
      <c r="F408" s="46">
        <v>1</v>
      </c>
      <c r="G408" s="46">
        <v>1</v>
      </c>
      <c r="H408" s="81">
        <f t="shared" si="22"/>
        <v>1985102.599999994</v>
      </c>
      <c r="I408" s="84">
        <f t="shared" si="20"/>
        <v>0.21937499999999999</v>
      </c>
      <c r="J408" s="84">
        <f t="shared" si="21"/>
        <v>4.2416722222222092E-2</v>
      </c>
      <c r="K408" s="90" t="s">
        <v>52</v>
      </c>
    </row>
    <row r="409" spans="1:11" ht="20">
      <c r="A409" s="14">
        <v>45212</v>
      </c>
      <c r="B409" s="83">
        <f>VLOOKUP(A409,'BADI SID DATA'!A:B,2,0)</f>
        <v>196</v>
      </c>
      <c r="C409" s="56">
        <v>68900</v>
      </c>
      <c r="D409" s="51">
        <v>6.8</v>
      </c>
      <c r="E409" s="54">
        <v>10.4</v>
      </c>
      <c r="F409" s="46">
        <v>1</v>
      </c>
      <c r="G409" s="46">
        <v>1</v>
      </c>
      <c r="H409" s="81">
        <f t="shared" si="22"/>
        <v>2054002.599999994</v>
      </c>
      <c r="I409" s="84">
        <f t="shared" si="20"/>
        <v>0.28708333333333336</v>
      </c>
      <c r="J409" s="84">
        <f t="shared" si="21"/>
        <v>4.3665021258503273E-2</v>
      </c>
      <c r="K409" s="90" t="s">
        <v>65</v>
      </c>
    </row>
    <row r="410" spans="1:11" ht="60">
      <c r="A410" s="14">
        <v>45213</v>
      </c>
      <c r="B410" s="83">
        <f>VLOOKUP(A410,'BADI SID DATA'!A:B,2,0)</f>
        <v>197</v>
      </c>
      <c r="C410" s="56">
        <v>55248.70000000298</v>
      </c>
      <c r="D410" s="51">
        <v>5.78</v>
      </c>
      <c r="E410" s="54">
        <v>10.5</v>
      </c>
      <c r="F410" s="46">
        <v>1</v>
      </c>
      <c r="G410" s="46">
        <v>1</v>
      </c>
      <c r="H410" s="81">
        <f t="shared" si="22"/>
        <v>2109251.299999997</v>
      </c>
      <c r="I410" s="84">
        <f t="shared" si="20"/>
        <v>0.23020291666667908</v>
      </c>
      <c r="J410" s="84">
        <f t="shared" si="21"/>
        <v>4.461191412859554E-2</v>
      </c>
      <c r="K410" s="90" t="s">
        <v>54</v>
      </c>
    </row>
    <row r="411" spans="1:11" ht="60">
      <c r="A411" s="14">
        <v>45214</v>
      </c>
      <c r="B411" s="83">
        <f>VLOOKUP(A411,'BADI SID DATA'!A:B,2,0)</f>
        <v>198</v>
      </c>
      <c r="C411" s="56">
        <v>64349.34999999404</v>
      </c>
      <c r="D411" s="52">
        <v>6.56</v>
      </c>
      <c r="E411" s="54">
        <v>9.9</v>
      </c>
      <c r="F411" s="46">
        <v>1</v>
      </c>
      <c r="G411" s="46">
        <v>1</v>
      </c>
      <c r="H411" s="81">
        <f t="shared" si="22"/>
        <v>2173600.6499999911</v>
      </c>
      <c r="I411" s="84">
        <f t="shared" si="20"/>
        <v>0.26812229166664181</v>
      </c>
      <c r="J411" s="84">
        <f t="shared" si="21"/>
        <v>4.5740754419191731E-2</v>
      </c>
      <c r="K411" s="90" t="s">
        <v>54</v>
      </c>
    </row>
    <row r="412" spans="1:11" ht="20">
      <c r="A412" s="14">
        <v>45215</v>
      </c>
      <c r="B412" s="83">
        <f>VLOOKUP(A412,'BADI SID DATA'!A:B,2,0)</f>
        <v>199</v>
      </c>
      <c r="C412" s="56">
        <v>47452.60000000149</v>
      </c>
      <c r="D412" s="51">
        <v>4.82</v>
      </c>
      <c r="E412" s="54">
        <v>10.1</v>
      </c>
      <c r="F412" s="46">
        <v>1</v>
      </c>
      <c r="G412" s="46">
        <v>1</v>
      </c>
      <c r="H412" s="81">
        <f t="shared" si="22"/>
        <v>2221053.2499999925</v>
      </c>
      <c r="I412" s="84">
        <f t="shared" si="20"/>
        <v>0.19771916666667289</v>
      </c>
      <c r="J412" s="84">
        <f t="shared" si="21"/>
        <v>4.6504465033500683E-2</v>
      </c>
      <c r="K412" s="90" t="s">
        <v>52</v>
      </c>
    </row>
    <row r="413" spans="1:11" ht="60">
      <c r="A413" s="14">
        <v>45216</v>
      </c>
      <c r="B413" s="83">
        <f>VLOOKUP(A413,'BADI SID DATA'!A:B,2,0)</f>
        <v>200</v>
      </c>
      <c r="C413" s="56">
        <v>55898.70000000298</v>
      </c>
      <c r="D413" s="51">
        <v>5.52</v>
      </c>
      <c r="E413" s="54">
        <v>9.9</v>
      </c>
      <c r="F413" s="46">
        <v>1</v>
      </c>
      <c r="G413" s="46">
        <v>1</v>
      </c>
      <c r="H413" s="81">
        <f t="shared" si="22"/>
        <v>2276951.9499999955</v>
      </c>
      <c r="I413" s="84">
        <f t="shared" si="20"/>
        <v>0.23291125000001242</v>
      </c>
      <c r="J413" s="84">
        <f t="shared" si="21"/>
        <v>4.743649895833324E-2</v>
      </c>
      <c r="K413" s="90" t="s">
        <v>54</v>
      </c>
    </row>
    <row r="414" spans="1:11" ht="60">
      <c r="A414" s="14">
        <v>45217</v>
      </c>
      <c r="B414" s="83">
        <f>VLOOKUP(A414,'BADI SID DATA'!A:B,2,0)</f>
        <v>201</v>
      </c>
      <c r="C414" s="56">
        <v>60450</v>
      </c>
      <c r="D414" s="51">
        <v>6.01</v>
      </c>
      <c r="E414" s="54">
        <v>10.199999999999999</v>
      </c>
      <c r="F414" s="46">
        <v>1</v>
      </c>
      <c r="G414" s="46">
        <v>1</v>
      </c>
      <c r="H414" s="81">
        <f t="shared" si="22"/>
        <v>2337401.9499999955</v>
      </c>
      <c r="I414" s="84">
        <f t="shared" si="20"/>
        <v>0.25187500000000002</v>
      </c>
      <c r="J414" s="84">
        <f t="shared" si="21"/>
        <v>4.8453605928689789E-2</v>
      </c>
      <c r="K414" s="90" t="s">
        <v>54</v>
      </c>
    </row>
    <row r="415" spans="1:11" ht="60">
      <c r="A415" s="14">
        <v>45218</v>
      </c>
      <c r="B415" s="83">
        <f>VLOOKUP(A415,'BADI SID DATA'!A:B,2,0)</f>
        <v>202</v>
      </c>
      <c r="C415" s="56">
        <v>58501.30000000447</v>
      </c>
      <c r="D415" s="51">
        <v>5.74</v>
      </c>
      <c r="E415" s="54">
        <v>10.1</v>
      </c>
      <c r="F415" s="46">
        <v>1</v>
      </c>
      <c r="G415" s="46">
        <v>1</v>
      </c>
      <c r="H415" s="81">
        <f t="shared" si="22"/>
        <v>2395903.25</v>
      </c>
      <c r="I415" s="84">
        <f t="shared" si="20"/>
        <v>0.24375541666668529</v>
      </c>
      <c r="J415" s="84">
        <f t="shared" si="21"/>
        <v>4.9420446575907592E-2</v>
      </c>
      <c r="K415" s="90" t="s">
        <v>54</v>
      </c>
    </row>
    <row r="416" spans="1:11" ht="60">
      <c r="A416" s="14">
        <v>45219</v>
      </c>
      <c r="B416" s="83">
        <f>VLOOKUP(A416,'BADI SID DATA'!A:B,2,0)</f>
        <v>203</v>
      </c>
      <c r="C416" s="56">
        <v>59148.04999999702</v>
      </c>
      <c r="D416" s="52">
        <v>5.82</v>
      </c>
      <c r="E416" s="54">
        <v>10</v>
      </c>
      <c r="F416" s="46">
        <v>1</v>
      </c>
      <c r="G416" s="46">
        <v>1</v>
      </c>
      <c r="H416" s="81">
        <f t="shared" si="22"/>
        <v>2455051.299999997</v>
      </c>
      <c r="I416" s="84">
        <f t="shared" si="20"/>
        <v>0.2464502083333209</v>
      </c>
      <c r="J416" s="84">
        <f t="shared" si="21"/>
        <v>5.0391036535303718E-2</v>
      </c>
      <c r="K416" s="90" t="s">
        <v>54</v>
      </c>
    </row>
    <row r="417" spans="1:11" ht="20">
      <c r="A417" s="14">
        <v>45220</v>
      </c>
      <c r="B417" s="83">
        <f>VLOOKUP(A417,'BADI SID DATA'!A:B,2,0)</f>
        <v>204</v>
      </c>
      <c r="C417" s="56">
        <v>54601.95000000298</v>
      </c>
      <c r="D417" s="51">
        <v>5.4</v>
      </c>
      <c r="E417" s="54">
        <v>10.5</v>
      </c>
      <c r="F417" s="46">
        <v>1</v>
      </c>
      <c r="G417" s="46">
        <v>0.90208333333333335</v>
      </c>
      <c r="H417" s="81">
        <f t="shared" si="22"/>
        <v>2509653.25</v>
      </c>
      <c r="I417" s="84">
        <f t="shared" si="20"/>
        <v>0.22750812500001241</v>
      </c>
      <c r="J417" s="84">
        <f t="shared" si="21"/>
        <v>5.125925755718954E-2</v>
      </c>
      <c r="K417" s="90" t="s">
        <v>52</v>
      </c>
    </row>
    <row r="418" spans="1:11" ht="60">
      <c r="A418" s="14">
        <v>45221</v>
      </c>
      <c r="B418" s="83">
        <f>VLOOKUP(A418,'BADI SID DATA'!A:B,2,0)</f>
        <v>205</v>
      </c>
      <c r="C418" s="56">
        <v>60449.34999999404</v>
      </c>
      <c r="D418" s="51">
        <v>6.02</v>
      </c>
      <c r="E418" s="54">
        <v>10.4</v>
      </c>
      <c r="F418" s="46">
        <v>1</v>
      </c>
      <c r="G418" s="46">
        <v>0.89513888888888893</v>
      </c>
      <c r="H418" s="81">
        <f t="shared" si="22"/>
        <v>2570102.599999994</v>
      </c>
      <c r="I418" s="84">
        <f t="shared" si="20"/>
        <v>0.25187229166664182</v>
      </c>
      <c r="J418" s="84">
        <f t="shared" si="21"/>
        <v>5.2237857723577114E-2</v>
      </c>
      <c r="K418" s="90" t="s">
        <v>54</v>
      </c>
    </row>
    <row r="419" spans="1:11" ht="20">
      <c r="A419" s="14">
        <v>45222</v>
      </c>
      <c r="B419" s="83">
        <f>VLOOKUP(A419,'BADI SID DATA'!A:B,2,0)</f>
        <v>206</v>
      </c>
      <c r="C419" s="56">
        <v>65650.64999999851</v>
      </c>
      <c r="D419" s="51">
        <v>6.48</v>
      </c>
      <c r="E419" s="54">
        <v>10.1</v>
      </c>
      <c r="F419" s="46">
        <v>1</v>
      </c>
      <c r="G419" s="46">
        <v>1</v>
      </c>
      <c r="H419" s="81">
        <f t="shared" si="22"/>
        <v>2635753.2499999925</v>
      </c>
      <c r="I419" s="84">
        <f t="shared" si="20"/>
        <v>0.27354437499999379</v>
      </c>
      <c r="J419" s="84">
        <f t="shared" si="21"/>
        <v>5.3312161205501467E-2</v>
      </c>
      <c r="K419" s="90" t="s">
        <v>65</v>
      </c>
    </row>
    <row r="420" spans="1:11" ht="20">
      <c r="A420" s="14">
        <v>45223</v>
      </c>
      <c r="B420" s="83">
        <f>VLOOKUP(A420,'BADI SID DATA'!A:B,2,0)</f>
        <v>207</v>
      </c>
      <c r="C420" s="56">
        <v>66948.05000000447</v>
      </c>
      <c r="D420" s="51">
        <v>6.66</v>
      </c>
      <c r="E420" s="54">
        <v>10.5</v>
      </c>
      <c r="F420" s="46">
        <v>1</v>
      </c>
      <c r="G420" s="46">
        <v>1</v>
      </c>
      <c r="H420" s="81">
        <f t="shared" si="22"/>
        <v>2702701.299999997</v>
      </c>
      <c r="I420" s="84">
        <f t="shared" si="20"/>
        <v>0.27895020833335193</v>
      </c>
      <c r="J420" s="84">
        <f t="shared" si="21"/>
        <v>5.4402200080515238E-2</v>
      </c>
      <c r="K420" s="90" t="s">
        <v>65</v>
      </c>
    </row>
    <row r="421" spans="1:11" ht="20">
      <c r="A421" s="14">
        <v>45224</v>
      </c>
      <c r="B421" s="83">
        <f>VLOOKUP(A421,'BADI SID DATA'!A:B,2,0)</f>
        <v>208</v>
      </c>
      <c r="C421" s="56">
        <v>65650.64999999851</v>
      </c>
      <c r="D421" s="51">
        <v>6.64</v>
      </c>
      <c r="E421" s="54">
        <v>10.5</v>
      </c>
      <c r="F421" s="46">
        <v>1</v>
      </c>
      <c r="G421" s="46">
        <v>1</v>
      </c>
      <c r="H421" s="81">
        <f t="shared" si="22"/>
        <v>2768351.9499999955</v>
      </c>
      <c r="I421" s="84">
        <f t="shared" si="20"/>
        <v>0.27354437499999379</v>
      </c>
      <c r="J421" s="84">
        <f t="shared" si="21"/>
        <v>5.5455768229166577E-2</v>
      </c>
      <c r="K421" s="90" t="s">
        <v>65</v>
      </c>
    </row>
    <row r="422" spans="1:11" ht="60">
      <c r="A422" s="14">
        <v>45225</v>
      </c>
      <c r="B422" s="83">
        <f>VLOOKUP(A422,'BADI SID DATA'!A:B,2,0)</f>
        <v>209</v>
      </c>
      <c r="C422" s="56">
        <v>58501.30000000447</v>
      </c>
      <c r="D422" s="52">
        <v>5.79</v>
      </c>
      <c r="E422" s="54">
        <v>9.9</v>
      </c>
      <c r="F422" s="46">
        <v>1</v>
      </c>
      <c r="G422" s="46">
        <v>1</v>
      </c>
      <c r="H422" s="81">
        <f t="shared" si="22"/>
        <v>2826853.25</v>
      </c>
      <c r="I422" s="84">
        <f t="shared" si="20"/>
        <v>0.24375541666668529</v>
      </c>
      <c r="J422" s="84">
        <f t="shared" si="21"/>
        <v>5.6356723484848485E-2</v>
      </c>
      <c r="K422" s="90" t="s">
        <v>54</v>
      </c>
    </row>
    <row r="423" spans="1:11" ht="60">
      <c r="A423" s="14">
        <v>45226</v>
      </c>
      <c r="B423" s="83">
        <f>VLOOKUP(A423,'BADI SID DATA'!A:B,2,0)</f>
        <v>210</v>
      </c>
      <c r="C423" s="56">
        <v>60449.999999992549</v>
      </c>
      <c r="D423" s="52">
        <v>5.93</v>
      </c>
      <c r="E423" s="54">
        <v>10.4</v>
      </c>
      <c r="F423" s="46">
        <v>1</v>
      </c>
      <c r="G423" s="46">
        <v>1</v>
      </c>
      <c r="H423" s="81">
        <f t="shared" si="22"/>
        <v>2887303.2499999925</v>
      </c>
      <c r="I423" s="84">
        <f t="shared" si="20"/>
        <v>0.25187499999996893</v>
      </c>
      <c r="J423" s="84">
        <f t="shared" si="21"/>
        <v>5.7287762896825252E-2</v>
      </c>
      <c r="K423" s="90" t="s">
        <v>54</v>
      </c>
    </row>
    <row r="424" spans="1:11" ht="20">
      <c r="A424" s="14">
        <v>45227</v>
      </c>
      <c r="B424" s="83">
        <f>VLOOKUP(A424,'BADI SID DATA'!A:B,2,0)</f>
        <v>211</v>
      </c>
      <c r="C424" s="56">
        <v>46798.05000000447</v>
      </c>
      <c r="D424" s="51">
        <v>4.7</v>
      </c>
      <c r="E424" s="54">
        <v>10.5</v>
      </c>
      <c r="F424" s="46">
        <v>1</v>
      </c>
      <c r="G424" s="46">
        <v>1</v>
      </c>
      <c r="H424" s="81">
        <f t="shared" si="22"/>
        <v>2934101.299999997</v>
      </c>
      <c r="I424" s="84">
        <f t="shared" si="20"/>
        <v>0.19499187500001863</v>
      </c>
      <c r="J424" s="84">
        <f t="shared" si="21"/>
        <v>5.7940389020537067E-2</v>
      </c>
      <c r="K424" s="90" t="s">
        <v>52</v>
      </c>
    </row>
    <row r="425" spans="1:11" ht="20">
      <c r="A425" s="14">
        <v>45228</v>
      </c>
      <c r="B425" s="83">
        <f>VLOOKUP(A425,'BADI SID DATA'!A:B,2,0)</f>
        <v>212</v>
      </c>
      <c r="C425" s="56">
        <v>53300.64999999851</v>
      </c>
      <c r="D425" s="51">
        <v>5.27</v>
      </c>
      <c r="E425" s="54">
        <v>10.5</v>
      </c>
      <c r="F425" s="46">
        <v>1</v>
      </c>
      <c r="G425" s="46">
        <v>1</v>
      </c>
      <c r="H425" s="81">
        <f t="shared" si="22"/>
        <v>2987401.9499999955</v>
      </c>
      <c r="I425" s="84">
        <f t="shared" si="20"/>
        <v>0.22208604166666046</v>
      </c>
      <c r="J425" s="84">
        <f t="shared" si="21"/>
        <v>5.8714660966981046E-2</v>
      </c>
      <c r="K425" s="90" t="s">
        <v>52</v>
      </c>
    </row>
    <row r="426" spans="1:11" ht="20">
      <c r="A426" s="14">
        <v>45229</v>
      </c>
      <c r="B426" s="83">
        <f>VLOOKUP(A426,'BADI SID DATA'!A:B,2,0)</f>
        <v>213</v>
      </c>
      <c r="C426" s="56">
        <v>42901.95000000298</v>
      </c>
      <c r="D426" s="51">
        <v>4.26</v>
      </c>
      <c r="E426" s="54">
        <v>10</v>
      </c>
      <c r="F426" s="46">
        <v>1</v>
      </c>
      <c r="G426" s="46">
        <v>1</v>
      </c>
      <c r="H426" s="81">
        <f t="shared" si="22"/>
        <v>3030303.8999999985</v>
      </c>
      <c r="I426" s="84">
        <f t="shared" si="20"/>
        <v>0.17875812500001242</v>
      </c>
      <c r="J426" s="84">
        <f t="shared" si="21"/>
        <v>5.927824530516429E-2</v>
      </c>
      <c r="K426" s="90" t="s">
        <v>52</v>
      </c>
    </row>
    <row r="427" spans="1:11" ht="20">
      <c r="A427" s="14">
        <v>45230</v>
      </c>
      <c r="B427" s="83">
        <f>VLOOKUP(A427,'BADI SID DATA'!A:B,2,0)</f>
        <v>214</v>
      </c>
      <c r="C427" s="56">
        <v>40946.10000000149</v>
      </c>
      <c r="D427" s="55">
        <v>3.89</v>
      </c>
      <c r="E427" s="54">
        <v>8.1</v>
      </c>
      <c r="F427" s="46">
        <v>1</v>
      </c>
      <c r="G427" s="46">
        <v>0.9194444444444444</v>
      </c>
      <c r="H427" s="81">
        <f t="shared" si="22"/>
        <v>3071250</v>
      </c>
      <c r="I427" s="84">
        <f t="shared" si="20"/>
        <v>0.17060875000000622</v>
      </c>
      <c r="J427" s="84">
        <f t="shared" si="21"/>
        <v>5.9798481308411214E-2</v>
      </c>
      <c r="K427" s="90" t="s">
        <v>52</v>
      </c>
    </row>
    <row r="428" spans="1:11" ht="20">
      <c r="A428" s="14">
        <v>45231</v>
      </c>
      <c r="B428" s="83">
        <f>VLOOKUP(A428,'BADI SID DATA'!A:B,2,0)</f>
        <v>215</v>
      </c>
      <c r="C428" s="56">
        <v>46151.94999999553</v>
      </c>
      <c r="D428" s="53">
        <v>4.4400000000000004</v>
      </c>
      <c r="E428" s="54">
        <v>10.3</v>
      </c>
      <c r="F428" s="46">
        <v>1</v>
      </c>
      <c r="G428" s="46">
        <v>1</v>
      </c>
      <c r="H428" s="81">
        <f t="shared" si="22"/>
        <v>3117401.9499999955</v>
      </c>
      <c r="I428" s="84">
        <f t="shared" si="20"/>
        <v>0.19229979166664804</v>
      </c>
      <c r="J428" s="84">
        <f t="shared" si="21"/>
        <v>6.0414766472868128E-2</v>
      </c>
      <c r="K428" s="90" t="s">
        <v>52</v>
      </c>
    </row>
    <row r="429" spans="1:11" ht="80">
      <c r="A429" s="14">
        <v>45232</v>
      </c>
      <c r="B429" s="83">
        <f>VLOOKUP(A429,'BADI SID DATA'!A:B,2,0)</f>
        <v>216</v>
      </c>
      <c r="C429" s="56">
        <v>38351.29999999702</v>
      </c>
      <c r="D429" s="50">
        <v>3.71</v>
      </c>
      <c r="E429" s="54">
        <v>9.9</v>
      </c>
      <c r="F429" s="46">
        <v>1</v>
      </c>
      <c r="G429" s="46">
        <v>1</v>
      </c>
      <c r="H429" s="81">
        <f t="shared" si="22"/>
        <v>3155753.2499999925</v>
      </c>
      <c r="I429" s="84">
        <f t="shared" si="20"/>
        <v>0.15979708333332091</v>
      </c>
      <c r="J429" s="84">
        <f t="shared" si="21"/>
        <v>6.0874869791666522E-2</v>
      </c>
      <c r="K429" s="90" t="s">
        <v>51</v>
      </c>
    </row>
    <row r="430" spans="1:11" ht="80">
      <c r="A430" s="14">
        <v>45233</v>
      </c>
      <c r="B430" s="83">
        <f>VLOOKUP(A430,'BADI SID DATA'!A:B,2,0)</f>
        <v>217</v>
      </c>
      <c r="C430" s="56">
        <v>44199.35000000149</v>
      </c>
      <c r="D430" s="50">
        <v>4.13</v>
      </c>
      <c r="E430" s="54">
        <v>10.4</v>
      </c>
      <c r="F430" s="46">
        <v>1</v>
      </c>
      <c r="G430" s="46">
        <v>1</v>
      </c>
      <c r="H430" s="81">
        <f t="shared" si="22"/>
        <v>3199952.599999994</v>
      </c>
      <c r="I430" s="84">
        <f t="shared" ref="I430:I493" si="23">C430/(10*24*1000)</f>
        <v>0.18416395833333954</v>
      </c>
      <c r="J430" s="84">
        <f t="shared" si="21"/>
        <v>6.1443022273425386E-2</v>
      </c>
      <c r="K430" s="90" t="s">
        <v>51</v>
      </c>
    </row>
    <row r="431" spans="1:11" ht="80">
      <c r="A431" s="14">
        <v>45234</v>
      </c>
      <c r="B431" s="83">
        <f>VLOOKUP(A431,'BADI SID DATA'!A:B,2,0)</f>
        <v>218</v>
      </c>
      <c r="C431" s="56">
        <v>35098.70000000298</v>
      </c>
      <c r="D431" s="53">
        <v>3.34</v>
      </c>
      <c r="E431" s="54">
        <v>10.1</v>
      </c>
      <c r="F431" s="46">
        <v>1</v>
      </c>
      <c r="G431" s="46">
        <v>0.83194444444444449</v>
      </c>
      <c r="H431" s="81">
        <f t="shared" si="22"/>
        <v>3235051.299999997</v>
      </c>
      <c r="I431" s="84">
        <f t="shared" si="23"/>
        <v>0.14624458333334575</v>
      </c>
      <c r="J431" s="84">
        <f t="shared" si="21"/>
        <v>6.183202025993878E-2</v>
      </c>
      <c r="K431" s="90" t="s">
        <v>51</v>
      </c>
    </row>
    <row r="432" spans="1:11" ht="80">
      <c r="A432" s="14">
        <v>45235</v>
      </c>
      <c r="B432" s="83">
        <f>VLOOKUP(A432,'BADI SID DATA'!A:B,2,0)</f>
        <v>219</v>
      </c>
      <c r="C432" s="56">
        <v>40300</v>
      </c>
      <c r="D432" s="50">
        <v>3.89</v>
      </c>
      <c r="E432" s="54">
        <v>10.199999999999999</v>
      </c>
      <c r="F432" s="46">
        <v>1</v>
      </c>
      <c r="G432" s="46">
        <v>0.97222222222222221</v>
      </c>
      <c r="H432" s="81">
        <f t="shared" si="22"/>
        <v>3275351.299999997</v>
      </c>
      <c r="I432" s="84">
        <f t="shared" si="23"/>
        <v>0.16791666666666666</v>
      </c>
      <c r="J432" s="84">
        <f t="shared" si="21"/>
        <v>6.2316425038051695E-2</v>
      </c>
      <c r="K432" s="90" t="s">
        <v>51</v>
      </c>
    </row>
    <row r="433" spans="1:11" ht="80">
      <c r="A433" s="14">
        <v>45236</v>
      </c>
      <c r="B433" s="83">
        <f>VLOOKUP(A433,'BADI SID DATA'!A:B,2,0)</f>
        <v>220</v>
      </c>
      <c r="C433" s="56">
        <v>39001.95000000298</v>
      </c>
      <c r="D433" s="50">
        <v>3.54</v>
      </c>
      <c r="E433" s="54">
        <v>9.6</v>
      </c>
      <c r="F433" s="46">
        <v>1</v>
      </c>
      <c r="G433" s="46">
        <v>1</v>
      </c>
      <c r="H433" s="81">
        <f t="shared" si="22"/>
        <v>3314353.25</v>
      </c>
      <c r="I433" s="84">
        <f t="shared" si="23"/>
        <v>0.16250812500001241</v>
      </c>
      <c r="J433" s="84">
        <f t="shared" si="21"/>
        <v>6.2771841856060606E-2</v>
      </c>
      <c r="K433" s="90" t="s">
        <v>51</v>
      </c>
    </row>
    <row r="434" spans="1:11" ht="80">
      <c r="A434" s="14">
        <v>45237</v>
      </c>
      <c r="B434" s="83">
        <f>VLOOKUP(A434,'BADI SID DATA'!A:B,2,0)</f>
        <v>221</v>
      </c>
      <c r="C434" s="56">
        <v>30548.69999999553</v>
      </c>
      <c r="D434" s="50">
        <v>2.96</v>
      </c>
      <c r="E434" s="54">
        <v>10</v>
      </c>
      <c r="F434" s="46">
        <v>1</v>
      </c>
      <c r="G434" s="46">
        <v>0.89652777777777781</v>
      </c>
      <c r="H434" s="81">
        <f t="shared" si="22"/>
        <v>3344901.9499999955</v>
      </c>
      <c r="I434" s="84">
        <f t="shared" si="23"/>
        <v>0.12728624999998137</v>
      </c>
      <c r="J434" s="84">
        <f t="shared" si="21"/>
        <v>6.3063762254901873E-2</v>
      </c>
      <c r="K434" s="90" t="s">
        <v>51</v>
      </c>
    </row>
    <row r="435" spans="1:11" ht="80">
      <c r="A435" s="14">
        <v>45238</v>
      </c>
      <c r="B435" s="83">
        <f>VLOOKUP(A435,'BADI SID DATA'!A:B,2,0)</f>
        <v>222</v>
      </c>
      <c r="C435" s="56">
        <v>42251.30000000447</v>
      </c>
      <c r="D435" s="50">
        <v>4.3899999999999997</v>
      </c>
      <c r="E435" s="54">
        <v>10.1</v>
      </c>
      <c r="F435" s="46">
        <v>1</v>
      </c>
      <c r="G435" s="46">
        <v>1</v>
      </c>
      <c r="H435" s="81">
        <f t="shared" si="22"/>
        <v>3387153.25</v>
      </c>
      <c r="I435" s="84">
        <f t="shared" si="23"/>
        <v>0.17604708333335195</v>
      </c>
      <c r="J435" s="84">
        <f t="shared" si="21"/>
        <v>6.357269613363363E-2</v>
      </c>
      <c r="K435" s="90" t="s">
        <v>51</v>
      </c>
    </row>
    <row r="436" spans="1:11" ht="80">
      <c r="A436" s="14">
        <v>45239</v>
      </c>
      <c r="B436" s="83">
        <f>VLOOKUP(A436,'BADI SID DATA'!A:B,2,0)</f>
        <v>223</v>
      </c>
      <c r="C436" s="56">
        <v>27298.69999999553</v>
      </c>
      <c r="D436" s="51">
        <v>2.46</v>
      </c>
      <c r="E436" s="54">
        <v>9.9</v>
      </c>
      <c r="F436" s="46">
        <v>1</v>
      </c>
      <c r="G436" s="46">
        <v>0.89583333333333337</v>
      </c>
      <c r="H436" s="81">
        <f t="shared" si="22"/>
        <v>3414451.9499999955</v>
      </c>
      <c r="I436" s="84">
        <f t="shared" si="23"/>
        <v>0.11374458333331471</v>
      </c>
      <c r="J436" s="84">
        <f t="shared" si="21"/>
        <v>6.3797682174887807E-2</v>
      </c>
      <c r="K436" s="90" t="s">
        <v>51</v>
      </c>
    </row>
    <row r="437" spans="1:11" ht="60">
      <c r="A437" s="14">
        <v>45240</v>
      </c>
      <c r="B437" s="83">
        <f>VLOOKUP(A437,'BADI SID DATA'!A:B,2,0)</f>
        <v>224</v>
      </c>
      <c r="C437" s="56">
        <v>50698.04999999702</v>
      </c>
      <c r="D437" s="52">
        <v>4.91</v>
      </c>
      <c r="E437" s="54">
        <v>9.8000000000000007</v>
      </c>
      <c r="F437" s="46">
        <v>1</v>
      </c>
      <c r="G437" s="46">
        <v>1</v>
      </c>
      <c r="H437" s="81">
        <f t="shared" si="22"/>
        <v>3465149.9999999925</v>
      </c>
      <c r="I437" s="84">
        <f t="shared" si="23"/>
        <v>0.21124187499998759</v>
      </c>
      <c r="J437" s="84">
        <f t="shared" si="21"/>
        <v>6.4455915178571285E-2</v>
      </c>
      <c r="K437" s="90" t="s">
        <v>53</v>
      </c>
    </row>
    <row r="438" spans="1:11" ht="20">
      <c r="A438" s="14">
        <v>45241</v>
      </c>
      <c r="B438" s="83">
        <f>VLOOKUP(A438,'BADI SID DATA'!A:B,2,0)</f>
        <v>225</v>
      </c>
      <c r="C438" s="56">
        <v>65650.64999999851</v>
      </c>
      <c r="D438" s="51">
        <v>6.21</v>
      </c>
      <c r="E438" s="54">
        <v>9.9</v>
      </c>
      <c r="F438" s="46">
        <v>1</v>
      </c>
      <c r="G438" s="46">
        <v>1</v>
      </c>
      <c r="H438" s="81">
        <f t="shared" si="22"/>
        <v>3530800.6499999911</v>
      </c>
      <c r="I438" s="84">
        <f t="shared" si="23"/>
        <v>0.27354437499999379</v>
      </c>
      <c r="J438" s="84">
        <f t="shared" si="21"/>
        <v>6.5385197222222052E-2</v>
      </c>
      <c r="K438" s="90" t="s">
        <v>65</v>
      </c>
    </row>
    <row r="439" spans="1:11" ht="60">
      <c r="A439" s="14">
        <v>45242</v>
      </c>
      <c r="B439" s="83">
        <f>VLOOKUP(A439,'BADI SID DATA'!A:B,2,0)</f>
        <v>226</v>
      </c>
      <c r="C439" s="56">
        <v>57200.65000000596</v>
      </c>
      <c r="D439" s="51">
        <v>5.45</v>
      </c>
      <c r="E439" s="54">
        <v>9.6999999999999993</v>
      </c>
      <c r="F439" s="46">
        <v>1</v>
      </c>
      <c r="G439" s="46">
        <v>1</v>
      </c>
      <c r="H439" s="81">
        <f t="shared" si="22"/>
        <v>3588001.299999997</v>
      </c>
      <c r="I439" s="84">
        <f t="shared" si="23"/>
        <v>0.23833604166669151</v>
      </c>
      <c r="J439" s="84">
        <f t="shared" si="21"/>
        <v>6.6150466445427672E-2</v>
      </c>
      <c r="K439" s="90" t="s">
        <v>54</v>
      </c>
    </row>
    <row r="440" spans="1:11" ht="60">
      <c r="A440" s="14">
        <v>45243</v>
      </c>
      <c r="B440" s="83">
        <f>VLOOKUP(A440,'BADI SID DATA'!A:B,2,0)</f>
        <v>227</v>
      </c>
      <c r="C440" s="56">
        <v>56549.34999999404</v>
      </c>
      <c r="D440" s="51">
        <v>5.29</v>
      </c>
      <c r="E440" s="54">
        <v>10</v>
      </c>
      <c r="F440" s="46">
        <v>1</v>
      </c>
      <c r="G440" s="46">
        <v>1</v>
      </c>
      <c r="H440" s="81">
        <f t="shared" si="22"/>
        <v>3644550.6499999911</v>
      </c>
      <c r="I440" s="84">
        <f t="shared" si="23"/>
        <v>0.23562229166664184</v>
      </c>
      <c r="J440" s="84">
        <f t="shared" si="21"/>
        <v>6.689703836270175E-2</v>
      </c>
      <c r="K440" s="90" t="s">
        <v>54</v>
      </c>
    </row>
    <row r="441" spans="1:11" ht="80">
      <c r="A441" s="14">
        <v>45244</v>
      </c>
      <c r="B441" s="83">
        <f>VLOOKUP(A441,'BADI SID DATA'!A:B,2,0)</f>
        <v>228</v>
      </c>
      <c r="C441" s="56">
        <v>16900.65000000596</v>
      </c>
      <c r="D441" s="51">
        <v>1.4</v>
      </c>
      <c r="E441" s="54">
        <v>3.9</v>
      </c>
      <c r="F441" s="46">
        <v>1</v>
      </c>
      <c r="G441" s="46">
        <v>0.875</v>
      </c>
      <c r="H441" s="81">
        <f t="shared" si="22"/>
        <v>3661451.299999997</v>
      </c>
      <c r="I441" s="84">
        <f t="shared" si="23"/>
        <v>7.0419375000024834E-2</v>
      </c>
      <c r="J441" s="84">
        <f t="shared" si="21"/>
        <v>6.6912487207602289E-2</v>
      </c>
      <c r="K441" s="90" t="s">
        <v>51</v>
      </c>
    </row>
    <row r="442" spans="1:11" ht="20">
      <c r="A442" s="14">
        <v>45245</v>
      </c>
      <c r="B442" s="83">
        <f>VLOOKUP(A442,'BADI SID DATA'!A:B,2,0)</f>
        <v>229</v>
      </c>
      <c r="C442" s="56">
        <v>45500.64999999851</v>
      </c>
      <c r="D442" s="52">
        <v>4.33</v>
      </c>
      <c r="E442" s="54">
        <v>10.5</v>
      </c>
      <c r="F442" s="46">
        <v>1</v>
      </c>
      <c r="G442" s="46">
        <v>1</v>
      </c>
      <c r="H442" s="81">
        <f t="shared" si="22"/>
        <v>3706951.9499999955</v>
      </c>
      <c r="I442" s="84">
        <f t="shared" si="23"/>
        <v>0.18958604166666046</v>
      </c>
      <c r="J442" s="84">
        <f t="shared" si="21"/>
        <v>6.7448179585152757E-2</v>
      </c>
      <c r="K442" s="90" t="s">
        <v>52</v>
      </c>
    </row>
    <row r="443" spans="1:11" ht="60">
      <c r="A443" s="14">
        <v>45246</v>
      </c>
      <c r="B443" s="83">
        <f>VLOOKUP(A443,'BADI SID DATA'!A:B,2,0)</f>
        <v>230</v>
      </c>
      <c r="C443" s="56">
        <v>59799.35000000149</v>
      </c>
      <c r="D443" s="51">
        <v>5.72</v>
      </c>
      <c r="E443" s="54">
        <v>9.9</v>
      </c>
      <c r="F443" s="46">
        <v>1</v>
      </c>
      <c r="G443" s="46">
        <v>0.90972222222222221</v>
      </c>
      <c r="H443" s="81">
        <f t="shared" si="22"/>
        <v>3766751.299999997</v>
      </c>
      <c r="I443" s="84">
        <f t="shared" si="23"/>
        <v>0.24916395833333954</v>
      </c>
      <c r="J443" s="84">
        <f t="shared" si="21"/>
        <v>6.8238248188405737E-2</v>
      </c>
      <c r="K443" s="90" t="s">
        <v>54</v>
      </c>
    </row>
    <row r="444" spans="1:11" ht="60">
      <c r="A444" s="14">
        <v>45247</v>
      </c>
      <c r="B444" s="83">
        <f>VLOOKUP(A444,'BADI SID DATA'!A:B,2,0)</f>
        <v>231</v>
      </c>
      <c r="C444" s="56">
        <v>55251.94999999553</v>
      </c>
      <c r="D444" s="51">
        <v>5.18</v>
      </c>
      <c r="E444" s="54">
        <v>10</v>
      </c>
      <c r="F444" s="46">
        <v>1</v>
      </c>
      <c r="G444" s="46">
        <v>1</v>
      </c>
      <c r="H444" s="81">
        <f t="shared" si="22"/>
        <v>3822003.2499999925</v>
      </c>
      <c r="I444" s="84">
        <f t="shared" si="23"/>
        <v>0.23021645833331469</v>
      </c>
      <c r="J444" s="84">
        <f t="shared" si="21"/>
        <v>6.8939452561327427E-2</v>
      </c>
      <c r="K444" s="90" t="s">
        <v>54</v>
      </c>
    </row>
    <row r="445" spans="1:11" ht="60">
      <c r="A445" s="14">
        <v>45248</v>
      </c>
      <c r="B445" s="83">
        <f>VLOOKUP(A445,'BADI SID DATA'!A:B,2,0)</f>
        <v>232</v>
      </c>
      <c r="C445" s="56">
        <v>60449.35000000149</v>
      </c>
      <c r="D445" s="51">
        <v>5.84</v>
      </c>
      <c r="E445" s="54">
        <v>10</v>
      </c>
      <c r="F445" s="46">
        <v>1</v>
      </c>
      <c r="G445" s="46">
        <v>1</v>
      </c>
      <c r="H445" s="81">
        <f t="shared" si="22"/>
        <v>3882452.599999994</v>
      </c>
      <c r="I445" s="84">
        <f t="shared" si="23"/>
        <v>0.25187229166667285</v>
      </c>
      <c r="J445" s="84">
        <f t="shared" ref="J445:J508" si="24">H445/(24*B445*10*1000)</f>
        <v>6.9727956178160813E-2</v>
      </c>
      <c r="K445" s="90" t="s">
        <v>54</v>
      </c>
    </row>
    <row r="446" spans="1:11" ht="20">
      <c r="A446" s="14">
        <v>45249</v>
      </c>
      <c r="B446" s="83">
        <f>VLOOKUP(A446,'BADI SID DATA'!A:B,2,0)</f>
        <v>233</v>
      </c>
      <c r="C446" s="56">
        <v>64349.35000000149</v>
      </c>
      <c r="D446" s="51">
        <v>5.98</v>
      </c>
      <c r="E446" s="54">
        <v>9.8000000000000007</v>
      </c>
      <c r="F446" s="46">
        <v>1</v>
      </c>
      <c r="G446" s="46">
        <v>1</v>
      </c>
      <c r="H446" s="81">
        <f t="shared" si="22"/>
        <v>3946801.9499999955</v>
      </c>
      <c r="I446" s="84">
        <f t="shared" si="23"/>
        <v>0.2681222916666729</v>
      </c>
      <c r="J446" s="84">
        <f t="shared" si="24"/>
        <v>7.0579434012875461E-2</v>
      </c>
      <c r="K446" s="90" t="s">
        <v>65</v>
      </c>
    </row>
    <row r="447" spans="1:11" ht="80">
      <c r="A447" s="14">
        <v>45250</v>
      </c>
      <c r="B447" s="83">
        <f>VLOOKUP(A447,'BADI SID DATA'!A:B,2,0)</f>
        <v>234</v>
      </c>
      <c r="C447" s="56">
        <v>38348.04999999702</v>
      </c>
      <c r="D447" s="52">
        <v>3.35</v>
      </c>
      <c r="E447" s="54">
        <v>9.6</v>
      </c>
      <c r="F447" s="46">
        <v>1</v>
      </c>
      <c r="G447" s="46">
        <v>1</v>
      </c>
      <c r="H447" s="81">
        <f t="shared" si="22"/>
        <v>3985149.9999999925</v>
      </c>
      <c r="I447" s="84">
        <f t="shared" si="23"/>
        <v>0.15978354166665426</v>
      </c>
      <c r="J447" s="84">
        <f t="shared" si="24"/>
        <v>7.0960648148148009E-2</v>
      </c>
      <c r="K447" s="90" t="s">
        <v>51</v>
      </c>
    </row>
    <row r="448" spans="1:11" ht="20">
      <c r="A448" s="14">
        <v>45251</v>
      </c>
      <c r="B448" s="83">
        <f>VLOOKUP(A448,'BADI SID DATA'!A:B,2,0)</f>
        <v>235</v>
      </c>
      <c r="C448" s="56">
        <v>21451.30000000447</v>
      </c>
      <c r="D448" s="51">
        <v>1.82</v>
      </c>
      <c r="E448" s="54">
        <v>9.1</v>
      </c>
      <c r="F448" s="46">
        <v>1</v>
      </c>
      <c r="G448" s="46">
        <v>1</v>
      </c>
      <c r="H448" s="81">
        <f t="shared" si="22"/>
        <v>4006601.299999997</v>
      </c>
      <c r="I448" s="84">
        <f t="shared" si="23"/>
        <v>8.9380416666685295E-2</v>
      </c>
      <c r="J448" s="84">
        <f t="shared" si="24"/>
        <v>7.1039030141843915E-2</v>
      </c>
      <c r="K448" s="90" t="s">
        <v>72</v>
      </c>
    </row>
    <row r="449" spans="1:11" ht="80">
      <c r="A449" s="14">
        <v>45252</v>
      </c>
      <c r="B449" s="83">
        <f>VLOOKUP(A449,'BADI SID DATA'!A:B,2,0)</f>
        <v>236</v>
      </c>
      <c r="C449" s="56">
        <v>35749.34999999404</v>
      </c>
      <c r="D449" s="51">
        <v>3.35</v>
      </c>
      <c r="E449" s="54">
        <v>10</v>
      </c>
      <c r="F449" s="46">
        <v>1</v>
      </c>
      <c r="G449" s="46">
        <v>1</v>
      </c>
      <c r="H449" s="81">
        <f t="shared" si="22"/>
        <v>4042350.6499999911</v>
      </c>
      <c r="I449" s="84">
        <f t="shared" si="23"/>
        <v>0.14895562499997517</v>
      </c>
      <c r="J449" s="84">
        <f t="shared" si="24"/>
        <v>7.1369185204802107E-2</v>
      </c>
      <c r="K449" s="90" t="s">
        <v>51</v>
      </c>
    </row>
    <row r="450" spans="1:11" ht="80">
      <c r="A450" s="14">
        <v>45253</v>
      </c>
      <c r="B450" s="83">
        <f>VLOOKUP(A450,'BADI SID DATA'!A:B,2,0)</f>
        <v>237</v>
      </c>
      <c r="C450" s="56">
        <v>24700</v>
      </c>
      <c r="D450" s="51">
        <v>2.29</v>
      </c>
      <c r="E450" s="54">
        <v>10.6</v>
      </c>
      <c r="F450" s="46">
        <v>1</v>
      </c>
      <c r="G450" s="46">
        <v>0.60486111111111107</v>
      </c>
      <c r="H450" s="81">
        <f t="shared" si="22"/>
        <v>4067050.6499999911</v>
      </c>
      <c r="I450" s="84">
        <f t="shared" si="23"/>
        <v>0.10291666666666667</v>
      </c>
      <c r="J450" s="84">
        <f t="shared" si="24"/>
        <v>7.1502296940928106E-2</v>
      </c>
      <c r="K450" s="90" t="s">
        <v>51</v>
      </c>
    </row>
    <row r="451" spans="1:11" ht="80">
      <c r="A451" s="14">
        <v>45254</v>
      </c>
      <c r="B451" s="83">
        <f>VLOOKUP(A451,'BADI SID DATA'!A:B,2,0)</f>
        <v>238</v>
      </c>
      <c r="C451" s="56">
        <v>31849.35000000149</v>
      </c>
      <c r="D451" s="51">
        <v>5.44</v>
      </c>
      <c r="E451" s="54">
        <v>9.9</v>
      </c>
      <c r="F451" s="46">
        <v>1</v>
      </c>
      <c r="G451" s="46">
        <v>1</v>
      </c>
      <c r="H451" s="81">
        <f t="shared" si="22"/>
        <v>4098899.9999999925</v>
      </c>
      <c r="I451" s="84">
        <f t="shared" si="23"/>
        <v>0.13270562500000621</v>
      </c>
      <c r="J451" s="84">
        <f t="shared" si="24"/>
        <v>7.1759453781512481E-2</v>
      </c>
      <c r="K451" s="90" t="s">
        <v>51</v>
      </c>
    </row>
    <row r="452" spans="1:11" ht="80">
      <c r="A452" s="14">
        <v>45255</v>
      </c>
      <c r="B452" s="83">
        <f>VLOOKUP(A452,'BADI SID DATA'!A:B,2,0)</f>
        <v>239</v>
      </c>
      <c r="C452" s="56">
        <v>17551.30000000447</v>
      </c>
      <c r="D452" s="51">
        <v>1.49</v>
      </c>
      <c r="E452" s="54">
        <v>9</v>
      </c>
      <c r="F452" s="46">
        <v>1</v>
      </c>
      <c r="G452" s="46">
        <v>1</v>
      </c>
      <c r="H452" s="81">
        <f t="shared" si="22"/>
        <v>4116451.299999997</v>
      </c>
      <c r="I452" s="84">
        <f t="shared" si="23"/>
        <v>7.3130416666685294E-2</v>
      </c>
      <c r="J452" s="84">
        <f t="shared" si="24"/>
        <v>7.1765190027893958E-2</v>
      </c>
      <c r="K452" s="90" t="s">
        <v>51</v>
      </c>
    </row>
    <row r="453" spans="1:11" ht="20">
      <c r="A453" s="14">
        <v>45256</v>
      </c>
      <c r="B453" s="83">
        <f>VLOOKUP(A453,'BADI SID DATA'!A:B,2,0)</f>
        <v>240</v>
      </c>
      <c r="C453" s="56">
        <v>47448.69999999553</v>
      </c>
      <c r="D453" s="52">
        <v>4.41</v>
      </c>
      <c r="E453" s="54">
        <v>10</v>
      </c>
      <c r="F453" s="46">
        <v>1</v>
      </c>
      <c r="G453" s="46">
        <v>1</v>
      </c>
      <c r="H453" s="81">
        <f t="shared" si="22"/>
        <v>4163899.9999999925</v>
      </c>
      <c r="I453" s="84">
        <f t="shared" si="23"/>
        <v>0.19770291666664805</v>
      </c>
      <c r="J453" s="84">
        <f t="shared" si="24"/>
        <v>7.2289930555555423E-2</v>
      </c>
      <c r="K453" s="90" t="s">
        <v>52</v>
      </c>
    </row>
    <row r="454" spans="1:11" ht="80">
      <c r="A454" s="14">
        <v>45257</v>
      </c>
      <c r="B454" s="83">
        <f>VLOOKUP(A454,'BADI SID DATA'!A:B,2,0)</f>
        <v>241</v>
      </c>
      <c r="C454" s="56">
        <v>31202.60000000149</v>
      </c>
      <c r="D454" s="51">
        <v>3</v>
      </c>
      <c r="E454" s="54">
        <v>10.5</v>
      </c>
      <c r="F454" s="46">
        <v>1</v>
      </c>
      <c r="G454" s="46">
        <v>1</v>
      </c>
      <c r="H454" s="81">
        <f t="shared" si="22"/>
        <v>4195102.599999994</v>
      </c>
      <c r="I454" s="84">
        <f t="shared" si="23"/>
        <v>0.13001083333333954</v>
      </c>
      <c r="J454" s="84">
        <f t="shared" si="24"/>
        <v>7.2529436376210135E-2</v>
      </c>
      <c r="K454" s="90" t="s">
        <v>51</v>
      </c>
    </row>
    <row r="455" spans="1:11" ht="80">
      <c r="A455" s="14">
        <v>45258</v>
      </c>
      <c r="B455" s="83">
        <f>VLOOKUP(A455,'BADI SID DATA'!A:B,2,0)</f>
        <v>242</v>
      </c>
      <c r="C455" s="56">
        <v>29250.65000000596</v>
      </c>
      <c r="D455" s="51">
        <v>2.76</v>
      </c>
      <c r="E455" s="54">
        <v>8.9</v>
      </c>
      <c r="F455" s="46">
        <v>1</v>
      </c>
      <c r="G455" s="46">
        <v>1</v>
      </c>
      <c r="H455" s="81">
        <f t="shared" si="22"/>
        <v>4224353.25</v>
      </c>
      <c r="I455" s="84">
        <f t="shared" si="23"/>
        <v>0.12187770833335816</v>
      </c>
      <c r="J455" s="84">
        <f t="shared" si="24"/>
        <v>7.2733354855371898E-2</v>
      </c>
      <c r="K455" s="90" t="s">
        <v>51</v>
      </c>
    </row>
    <row r="456" spans="1:11" ht="80">
      <c r="A456" s="14">
        <v>45259</v>
      </c>
      <c r="B456" s="83">
        <f>VLOOKUP(A456,'BADI SID DATA'!A:B,2,0)</f>
        <v>243</v>
      </c>
      <c r="C456" s="56">
        <v>32500</v>
      </c>
      <c r="D456" s="51">
        <v>3</v>
      </c>
      <c r="E456" s="54">
        <v>9.9</v>
      </c>
      <c r="F456" s="46">
        <v>1</v>
      </c>
      <c r="G456" s="46">
        <v>1</v>
      </c>
      <c r="H456" s="81">
        <f t="shared" si="22"/>
        <v>4256853.25</v>
      </c>
      <c r="I456" s="84">
        <f t="shared" si="23"/>
        <v>0.13541666666666666</v>
      </c>
      <c r="J456" s="84">
        <f t="shared" si="24"/>
        <v>7.2991310871056245E-2</v>
      </c>
      <c r="K456" s="90" t="s">
        <v>51</v>
      </c>
    </row>
    <row r="457" spans="1:11" ht="80">
      <c r="A457" s="14">
        <v>45260</v>
      </c>
      <c r="B457" s="83">
        <f>VLOOKUP(A457,'BADI SID DATA'!A:B,2,0)</f>
        <v>244</v>
      </c>
      <c r="C457" s="56">
        <v>34448.04999999702</v>
      </c>
      <c r="D457" s="55">
        <v>3.11</v>
      </c>
      <c r="E457" s="54">
        <v>10</v>
      </c>
      <c r="F457" s="46">
        <v>1</v>
      </c>
      <c r="G457" s="46">
        <v>1</v>
      </c>
      <c r="H457" s="81">
        <f t="shared" si="22"/>
        <v>4291301.299999997</v>
      </c>
      <c r="I457" s="84">
        <f t="shared" si="23"/>
        <v>0.14353354166665425</v>
      </c>
      <c r="J457" s="84">
        <f t="shared" si="24"/>
        <v>7.3280418374316883E-2</v>
      </c>
      <c r="K457" s="90" t="s">
        <v>51</v>
      </c>
    </row>
    <row r="458" spans="1:11" ht="80">
      <c r="A458" s="14">
        <v>45261</v>
      </c>
      <c r="B458" s="83">
        <f>VLOOKUP(A458,'BADI SID DATA'!A:B,2,0)</f>
        <v>245</v>
      </c>
      <c r="C458" s="56">
        <v>28600.64999999851</v>
      </c>
      <c r="D458" s="53">
        <v>2.5299999999999998</v>
      </c>
      <c r="E458" s="54">
        <v>10.5</v>
      </c>
      <c r="F458" s="46">
        <v>1</v>
      </c>
      <c r="G458" s="46">
        <v>1</v>
      </c>
      <c r="H458" s="81">
        <f t="shared" si="22"/>
        <v>4319901.9499999955</v>
      </c>
      <c r="I458" s="84">
        <f t="shared" si="23"/>
        <v>0.11916937499999379</v>
      </c>
      <c r="J458" s="84">
        <f t="shared" si="24"/>
        <v>7.3467720238095169E-2</v>
      </c>
      <c r="K458" s="90" t="s">
        <v>51</v>
      </c>
    </row>
    <row r="459" spans="1:11" ht="80">
      <c r="A459" s="14">
        <v>45262</v>
      </c>
      <c r="B459" s="83">
        <f>VLOOKUP(A459,'BADI SID DATA'!A:B,2,0)</f>
        <v>246</v>
      </c>
      <c r="C459" s="56">
        <v>32500</v>
      </c>
      <c r="D459" s="50">
        <v>2.88</v>
      </c>
      <c r="E459" s="54">
        <v>9.9</v>
      </c>
      <c r="F459" s="46">
        <v>1</v>
      </c>
      <c r="G459" s="46">
        <v>0.95416666666666672</v>
      </c>
      <c r="H459" s="81">
        <f t="shared" si="22"/>
        <v>4352401.9499999955</v>
      </c>
      <c r="I459" s="84">
        <f t="shared" si="23"/>
        <v>0.13541666666666666</v>
      </c>
      <c r="J459" s="84">
        <f t="shared" si="24"/>
        <v>7.3719545223577154E-2</v>
      </c>
      <c r="K459" s="90" t="s">
        <v>51</v>
      </c>
    </row>
    <row r="460" spans="1:11" ht="80">
      <c r="A460" s="14">
        <v>45263</v>
      </c>
      <c r="B460" s="83">
        <f>VLOOKUP(A460,'BADI SID DATA'!A:B,2,0)</f>
        <v>247</v>
      </c>
      <c r="C460" s="56">
        <v>16900</v>
      </c>
      <c r="D460" s="50">
        <v>1.39</v>
      </c>
      <c r="E460" s="54">
        <v>3.9</v>
      </c>
      <c r="F460" s="46">
        <v>1</v>
      </c>
      <c r="G460" s="46">
        <v>1</v>
      </c>
      <c r="H460" s="81">
        <f t="shared" si="22"/>
        <v>4369301.9499999955</v>
      </c>
      <c r="I460" s="84">
        <f t="shared" si="23"/>
        <v>7.0416666666666669E-2</v>
      </c>
      <c r="J460" s="84">
        <f t="shared" si="24"/>
        <v>7.370617324561396E-2</v>
      </c>
      <c r="K460" s="90" t="s">
        <v>51</v>
      </c>
    </row>
    <row r="461" spans="1:11" ht="80">
      <c r="A461" s="14">
        <v>45264</v>
      </c>
      <c r="B461" s="83">
        <f>VLOOKUP(A461,'BADI SID DATA'!A:B,2,0)</f>
        <v>248</v>
      </c>
      <c r="C461" s="56">
        <v>5848.0499999970198</v>
      </c>
      <c r="D461" s="53">
        <v>0.36</v>
      </c>
      <c r="E461" s="54">
        <v>2.1</v>
      </c>
      <c r="F461" s="46">
        <v>1</v>
      </c>
      <c r="G461" s="46">
        <v>1</v>
      </c>
      <c r="H461" s="81">
        <f t="shared" si="22"/>
        <v>4375149.9999999925</v>
      </c>
      <c r="I461" s="84">
        <f t="shared" si="23"/>
        <v>2.4366874999987582E-2</v>
      </c>
      <c r="J461" s="84">
        <f t="shared" si="24"/>
        <v>7.3507224462365461E-2</v>
      </c>
      <c r="K461" s="90" t="s">
        <v>51</v>
      </c>
    </row>
    <row r="462" spans="1:11" ht="80">
      <c r="A462" s="14">
        <v>45265</v>
      </c>
      <c r="B462" s="83">
        <f>VLOOKUP(A462,'BADI SID DATA'!A:B,2,0)</f>
        <v>249</v>
      </c>
      <c r="C462" s="56">
        <v>31853.25</v>
      </c>
      <c r="D462" s="53">
        <v>2.94</v>
      </c>
      <c r="E462" s="54">
        <v>10.9</v>
      </c>
      <c r="F462" s="46">
        <v>1</v>
      </c>
      <c r="G462" s="46">
        <v>1</v>
      </c>
      <c r="H462" s="81">
        <f t="shared" si="22"/>
        <v>4407003.2499999925</v>
      </c>
      <c r="I462" s="84">
        <f t="shared" si="23"/>
        <v>0.13272187499999999</v>
      </c>
      <c r="J462" s="84">
        <f t="shared" si="24"/>
        <v>7.3745034303882073E-2</v>
      </c>
      <c r="K462" s="90" t="s">
        <v>51</v>
      </c>
    </row>
    <row r="463" spans="1:11" ht="20">
      <c r="A463" s="14">
        <v>45266</v>
      </c>
      <c r="B463" s="83">
        <f>VLOOKUP(A463,'BADI SID DATA'!A:B,2,0)</f>
        <v>250</v>
      </c>
      <c r="C463" s="56">
        <v>48099.35000000149</v>
      </c>
      <c r="D463" s="50">
        <v>4.6500000000000004</v>
      </c>
      <c r="E463" s="54">
        <v>10.199999999999999</v>
      </c>
      <c r="F463" s="46">
        <v>1</v>
      </c>
      <c r="G463" s="46">
        <v>1</v>
      </c>
      <c r="H463" s="81">
        <f t="shared" si="22"/>
        <v>4455102.599999994</v>
      </c>
      <c r="I463" s="84">
        <f t="shared" si="23"/>
        <v>0.20041395833333955</v>
      </c>
      <c r="J463" s="84">
        <f t="shared" si="24"/>
        <v>7.4251709999999901E-2</v>
      </c>
      <c r="K463" s="90" t="s">
        <v>52</v>
      </c>
    </row>
    <row r="464" spans="1:11" ht="20">
      <c r="A464" s="14">
        <v>45267</v>
      </c>
      <c r="B464" s="83">
        <f>VLOOKUP(A464,'BADI SID DATA'!A:B,2,0)</f>
        <v>251</v>
      </c>
      <c r="C464" s="56">
        <v>31849.35000000149</v>
      </c>
      <c r="D464" s="50">
        <v>3.04</v>
      </c>
      <c r="E464" s="54">
        <v>10.3</v>
      </c>
      <c r="F464" s="46">
        <v>1</v>
      </c>
      <c r="G464" s="46">
        <v>1</v>
      </c>
      <c r="H464" s="81">
        <f t="shared" si="22"/>
        <v>4486951.9499999955</v>
      </c>
      <c r="I464" s="84">
        <f t="shared" si="23"/>
        <v>0.13270562500000621</v>
      </c>
      <c r="J464" s="84">
        <f t="shared" si="24"/>
        <v>7.4484594123505901E-2</v>
      </c>
      <c r="K464" s="90" t="s">
        <v>52</v>
      </c>
    </row>
    <row r="465" spans="1:11" ht="20">
      <c r="A465" s="14">
        <v>45268</v>
      </c>
      <c r="B465" s="83">
        <f>VLOOKUP(A465,'BADI SID DATA'!A:B,2,0)</f>
        <v>252</v>
      </c>
      <c r="C465" s="56">
        <v>29901.30000000447</v>
      </c>
      <c r="D465" s="50">
        <v>2.74</v>
      </c>
      <c r="E465" s="54">
        <v>10.5</v>
      </c>
      <c r="F465" s="46">
        <v>1</v>
      </c>
      <c r="G465" s="46">
        <v>1</v>
      </c>
      <c r="H465" s="81">
        <f t="shared" si="22"/>
        <v>4516853.25</v>
      </c>
      <c r="I465" s="84">
        <f t="shared" si="23"/>
        <v>0.12458875000001862</v>
      </c>
      <c r="J465" s="84">
        <f t="shared" si="24"/>
        <v>7.4683420138888887E-2</v>
      </c>
      <c r="K465" s="90" t="s">
        <v>52</v>
      </c>
    </row>
    <row r="466" spans="1:11" ht="20">
      <c r="A466" s="14">
        <v>45269</v>
      </c>
      <c r="B466" s="83">
        <f>VLOOKUP(A466,'BADI SID DATA'!A:B,2,0)</f>
        <v>253</v>
      </c>
      <c r="C466" s="56">
        <v>29247.399999991059</v>
      </c>
      <c r="D466" s="50">
        <v>2.67</v>
      </c>
      <c r="E466" s="54">
        <v>10</v>
      </c>
      <c r="F466" s="46">
        <v>1</v>
      </c>
      <c r="G466" s="46">
        <v>1</v>
      </c>
      <c r="H466" s="81">
        <f t="shared" si="22"/>
        <v>4546100.6499999911</v>
      </c>
      <c r="I466" s="84">
        <f t="shared" si="23"/>
        <v>0.12186416666662941</v>
      </c>
      <c r="J466" s="84">
        <f t="shared" si="24"/>
        <v>7.4869905303030157E-2</v>
      </c>
      <c r="K466" s="90" t="s">
        <v>52</v>
      </c>
    </row>
    <row r="467" spans="1:11" ht="20">
      <c r="A467" s="14">
        <v>45270</v>
      </c>
      <c r="B467" s="83">
        <f>VLOOKUP(A467,'BADI SID DATA'!A:B,2,0)</f>
        <v>254</v>
      </c>
      <c r="C467" s="56">
        <v>47452.60000000149</v>
      </c>
      <c r="D467" s="51">
        <v>4.38</v>
      </c>
      <c r="E467" s="54">
        <v>10</v>
      </c>
      <c r="F467" s="46">
        <v>1</v>
      </c>
      <c r="G467" s="46">
        <v>1</v>
      </c>
      <c r="H467" s="81">
        <f t="shared" si="22"/>
        <v>4593553.2499999925</v>
      </c>
      <c r="I467" s="84">
        <f t="shared" si="23"/>
        <v>0.19771916666667289</v>
      </c>
      <c r="J467" s="84">
        <f t="shared" si="24"/>
        <v>7.5353563812335836E-2</v>
      </c>
      <c r="K467" s="90" t="s">
        <v>52</v>
      </c>
    </row>
    <row r="468" spans="1:11" ht="20">
      <c r="A468" s="14">
        <v>45271</v>
      </c>
      <c r="B468" s="83">
        <f>VLOOKUP(A468,'BADI SID DATA'!A:B,2,0)</f>
        <v>255</v>
      </c>
      <c r="C468" s="56">
        <v>43548.70000000298</v>
      </c>
      <c r="D468" s="52">
        <v>3.96</v>
      </c>
      <c r="E468" s="54">
        <v>9.9</v>
      </c>
      <c r="F468" s="46">
        <v>1</v>
      </c>
      <c r="G468" s="46">
        <v>1</v>
      </c>
      <c r="H468" s="81">
        <f t="shared" si="22"/>
        <v>4637101.9499999955</v>
      </c>
      <c r="I468" s="84">
        <f t="shared" si="23"/>
        <v>0.18145291666667909</v>
      </c>
      <c r="J468" s="84">
        <f t="shared" si="24"/>
        <v>7.5769639705882283E-2</v>
      </c>
      <c r="K468" s="90" t="s">
        <v>52</v>
      </c>
    </row>
    <row r="469" spans="1:11" ht="20">
      <c r="A469" s="14">
        <v>45272</v>
      </c>
      <c r="B469" s="83">
        <f>VLOOKUP(A469,'BADI SID DATA'!A:B,2,0)</f>
        <v>256</v>
      </c>
      <c r="C469" s="56">
        <v>42251.30000000447</v>
      </c>
      <c r="D469" s="51">
        <v>3.93</v>
      </c>
      <c r="E469" s="54">
        <v>9.6999999999999993</v>
      </c>
      <c r="F469" s="46">
        <v>1</v>
      </c>
      <c r="G469" s="46">
        <v>1</v>
      </c>
      <c r="H469" s="81">
        <f t="shared" si="22"/>
        <v>4679353.25</v>
      </c>
      <c r="I469" s="84">
        <f t="shared" si="23"/>
        <v>0.17604708333335195</v>
      </c>
      <c r="J469" s="84">
        <f t="shared" si="24"/>
        <v>7.6161348470052084E-2</v>
      </c>
      <c r="K469" s="90" t="s">
        <v>52</v>
      </c>
    </row>
    <row r="470" spans="1:11" ht="20">
      <c r="A470" s="14">
        <v>45273</v>
      </c>
      <c r="B470" s="83">
        <f>VLOOKUP(A470,'BADI SID DATA'!A:B,2,0)</f>
        <v>257</v>
      </c>
      <c r="C470" s="56">
        <v>50047.39999999851</v>
      </c>
      <c r="D470" s="51">
        <v>4.7699999999999996</v>
      </c>
      <c r="E470" s="54">
        <v>10</v>
      </c>
      <c r="F470" s="46">
        <v>1</v>
      </c>
      <c r="G470" s="46">
        <v>1</v>
      </c>
      <c r="H470" s="81">
        <f t="shared" si="22"/>
        <v>4729400.6499999985</v>
      </c>
      <c r="I470" s="84">
        <f t="shared" si="23"/>
        <v>0.20853083333332711</v>
      </c>
      <c r="J470" s="84">
        <f t="shared" si="24"/>
        <v>7.6676404831387782E-2</v>
      </c>
      <c r="K470" s="90" t="s">
        <v>52</v>
      </c>
    </row>
    <row r="471" spans="1:11" ht="20">
      <c r="A471" s="14">
        <v>45274</v>
      </c>
      <c r="B471" s="83">
        <f>VLOOKUP(A471,'BADI SID DATA'!A:B,2,0)</f>
        <v>258</v>
      </c>
      <c r="C471" s="56">
        <v>48750</v>
      </c>
      <c r="D471" s="51">
        <v>4.68</v>
      </c>
      <c r="E471" s="54">
        <v>10</v>
      </c>
      <c r="F471" s="46">
        <v>1</v>
      </c>
      <c r="G471" s="46">
        <v>1</v>
      </c>
      <c r="H471" s="81">
        <f t="shared" ref="H471:H534" si="25">C471+H470</f>
        <v>4778150.6499999985</v>
      </c>
      <c r="I471" s="84">
        <f t="shared" si="23"/>
        <v>0.203125</v>
      </c>
      <c r="J471" s="84">
        <f t="shared" si="24"/>
        <v>7.7166515665374649E-2</v>
      </c>
      <c r="K471" s="90" t="s">
        <v>52</v>
      </c>
    </row>
    <row r="472" spans="1:11" ht="100">
      <c r="A472" s="14">
        <v>45275</v>
      </c>
      <c r="B472" s="83">
        <f>VLOOKUP(A472,'BADI SID DATA'!A:B,2,0)</f>
        <v>259</v>
      </c>
      <c r="C472" s="56">
        <v>22752.60000000149</v>
      </c>
      <c r="D472" s="51">
        <v>2.06</v>
      </c>
      <c r="E472" s="54">
        <v>9.1</v>
      </c>
      <c r="F472" s="46">
        <v>1</v>
      </c>
      <c r="G472" s="46">
        <v>1</v>
      </c>
      <c r="H472" s="81">
        <f t="shared" si="25"/>
        <v>4800903.25</v>
      </c>
      <c r="I472" s="84">
        <f t="shared" si="23"/>
        <v>9.4802500000006215E-2</v>
      </c>
      <c r="J472" s="84">
        <f t="shared" si="24"/>
        <v>7.7234608268983262E-2</v>
      </c>
      <c r="K472" s="90" t="s">
        <v>73</v>
      </c>
    </row>
    <row r="473" spans="1:11" ht="100">
      <c r="A473" s="14">
        <v>45276</v>
      </c>
      <c r="B473" s="83">
        <f>VLOOKUP(A473,'BADI SID DATA'!A:B,2,0)</f>
        <v>260</v>
      </c>
      <c r="C473" s="56">
        <v>19499.34999999404</v>
      </c>
      <c r="D473" s="52">
        <v>1.77</v>
      </c>
      <c r="E473" s="54">
        <v>10.5</v>
      </c>
      <c r="F473" s="46">
        <v>1</v>
      </c>
      <c r="G473" s="46">
        <v>1</v>
      </c>
      <c r="H473" s="81">
        <f t="shared" si="25"/>
        <v>4820402.599999994</v>
      </c>
      <c r="I473" s="84">
        <f t="shared" si="23"/>
        <v>8.1247291666641838E-2</v>
      </c>
      <c r="J473" s="84">
        <f t="shared" si="24"/>
        <v>7.7250041666666575E-2</v>
      </c>
      <c r="K473" s="90" t="s">
        <v>73</v>
      </c>
    </row>
    <row r="474" spans="1:11" ht="100">
      <c r="A474" s="14">
        <v>45277</v>
      </c>
      <c r="B474" s="83">
        <f>VLOOKUP(A474,'BADI SID DATA'!A:B,2,0)</f>
        <v>261</v>
      </c>
      <c r="C474" s="56">
        <v>20800</v>
      </c>
      <c r="D474" s="51">
        <v>1.91</v>
      </c>
      <c r="E474" s="54">
        <v>4</v>
      </c>
      <c r="F474" s="46">
        <v>1</v>
      </c>
      <c r="G474" s="46">
        <v>1</v>
      </c>
      <c r="H474" s="81">
        <f t="shared" si="25"/>
        <v>4841202.599999994</v>
      </c>
      <c r="I474" s="84">
        <f t="shared" si="23"/>
        <v>8.666666666666667E-2</v>
      </c>
      <c r="J474" s="84">
        <f t="shared" si="24"/>
        <v>7.7286120689655083E-2</v>
      </c>
      <c r="K474" s="90" t="s">
        <v>73</v>
      </c>
    </row>
    <row r="475" spans="1:11" ht="100">
      <c r="A475" s="14">
        <v>45278</v>
      </c>
      <c r="B475" s="83">
        <f>VLOOKUP(A475,'BADI SID DATA'!A:B,2,0)</f>
        <v>262</v>
      </c>
      <c r="C475" s="56">
        <v>18198.05000000447</v>
      </c>
      <c r="D475" s="51">
        <v>1.63</v>
      </c>
      <c r="E475" s="54">
        <v>10</v>
      </c>
      <c r="F475" s="46">
        <v>1</v>
      </c>
      <c r="G475" s="46">
        <v>1</v>
      </c>
      <c r="H475" s="81">
        <f t="shared" si="25"/>
        <v>4859400.6499999985</v>
      </c>
      <c r="I475" s="84">
        <f t="shared" si="23"/>
        <v>7.5825208333351962E-2</v>
      </c>
      <c r="J475" s="84">
        <f t="shared" si="24"/>
        <v>7.7280544688295136E-2</v>
      </c>
      <c r="K475" s="90" t="s">
        <v>73</v>
      </c>
    </row>
    <row r="476" spans="1:11" ht="20">
      <c r="A476" s="14">
        <v>45279</v>
      </c>
      <c r="B476" s="83">
        <f>VLOOKUP(A476,'BADI SID DATA'!A:B,2,0)</f>
        <v>263</v>
      </c>
      <c r="C476" s="56">
        <v>44850.64999999851</v>
      </c>
      <c r="D476" s="51">
        <v>4.3099999999999996</v>
      </c>
      <c r="E476" s="54">
        <v>10.1</v>
      </c>
      <c r="F476" s="46">
        <v>1</v>
      </c>
      <c r="G476" s="46">
        <v>1</v>
      </c>
      <c r="H476" s="81">
        <f t="shared" si="25"/>
        <v>4904251.299999997</v>
      </c>
      <c r="I476" s="84">
        <f t="shared" si="23"/>
        <v>0.18687770833332712</v>
      </c>
      <c r="J476" s="84">
        <f t="shared" si="24"/>
        <v>7.7697263941698305E-2</v>
      </c>
      <c r="K476" s="90" t="s">
        <v>52</v>
      </c>
    </row>
    <row r="477" spans="1:11" ht="20">
      <c r="A477" s="14">
        <v>45280</v>
      </c>
      <c r="B477" s="83">
        <f>VLOOKUP(A477,'BADI SID DATA'!A:B,2,0)</f>
        <v>264</v>
      </c>
      <c r="C477" s="56">
        <v>48099.34999999404</v>
      </c>
      <c r="D477" s="51">
        <v>4.5999999999999996</v>
      </c>
      <c r="E477" s="54">
        <v>10.4</v>
      </c>
      <c r="F477" s="46">
        <v>1</v>
      </c>
      <c r="G477" s="46">
        <v>1</v>
      </c>
      <c r="H477" s="81">
        <f t="shared" si="25"/>
        <v>4952350.6499999911</v>
      </c>
      <c r="I477" s="84">
        <f t="shared" si="23"/>
        <v>0.2004139583333085</v>
      </c>
      <c r="J477" s="84">
        <f t="shared" si="24"/>
        <v>7.8162099905302887E-2</v>
      </c>
      <c r="K477" s="90" t="s">
        <v>52</v>
      </c>
    </row>
    <row r="478" spans="1:11" ht="100">
      <c r="A478" s="14">
        <v>45281</v>
      </c>
      <c r="B478" s="83">
        <f>VLOOKUP(A478,'BADI SID DATA'!A:B,2,0)</f>
        <v>265</v>
      </c>
      <c r="C478" s="56">
        <v>37050.000000007451</v>
      </c>
      <c r="D478" s="52">
        <v>3.66</v>
      </c>
      <c r="E478" s="54">
        <v>10.199999999999999</v>
      </c>
      <c r="F478" s="46">
        <v>1</v>
      </c>
      <c r="G478" s="46">
        <v>1</v>
      </c>
      <c r="H478" s="81">
        <f t="shared" si="25"/>
        <v>4989400.6499999985</v>
      </c>
      <c r="I478" s="84">
        <f t="shared" si="23"/>
        <v>0.15437500000003104</v>
      </c>
      <c r="J478" s="84">
        <f t="shared" si="24"/>
        <v>7.8449695754716955E-2</v>
      </c>
      <c r="K478" s="90" t="s">
        <v>73</v>
      </c>
    </row>
    <row r="479" spans="1:11" ht="20">
      <c r="A479" s="14">
        <v>45282</v>
      </c>
      <c r="B479" s="83">
        <f>VLOOKUP(A479,'BADI SID DATA'!A:B,2,0)</f>
        <v>266</v>
      </c>
      <c r="C479" s="56">
        <v>51999.34999999404</v>
      </c>
      <c r="D479" s="51">
        <v>5.1100000000000003</v>
      </c>
      <c r="E479" s="54">
        <v>10</v>
      </c>
      <c r="F479" s="46">
        <v>1</v>
      </c>
      <c r="G479" s="46">
        <v>0.90902777777777777</v>
      </c>
      <c r="H479" s="81">
        <f t="shared" si="25"/>
        <v>5041399.9999999925</v>
      </c>
      <c r="I479" s="84">
        <f t="shared" si="23"/>
        <v>0.21666395833330851</v>
      </c>
      <c r="J479" s="84">
        <f t="shared" si="24"/>
        <v>7.8969298245613925E-2</v>
      </c>
      <c r="K479" s="90" t="s">
        <v>52</v>
      </c>
    </row>
    <row r="480" spans="1:11" ht="60">
      <c r="A480" s="14">
        <v>45283</v>
      </c>
      <c r="B480" s="83">
        <f>VLOOKUP(A480,'BADI SID DATA'!A:B,2,0)</f>
        <v>267</v>
      </c>
      <c r="C480" s="56">
        <v>60453.250000007451</v>
      </c>
      <c r="D480" s="51">
        <v>5.81</v>
      </c>
      <c r="E480" s="54">
        <v>9.9</v>
      </c>
      <c r="F480" s="46">
        <v>1</v>
      </c>
      <c r="G480" s="46">
        <v>1</v>
      </c>
      <c r="H480" s="81">
        <f t="shared" si="25"/>
        <v>5101853.25</v>
      </c>
      <c r="I480" s="84">
        <f t="shared" si="23"/>
        <v>0.25188854166669772</v>
      </c>
      <c r="J480" s="84">
        <f t="shared" si="24"/>
        <v>7.9616935861423224E-2</v>
      </c>
      <c r="K480" s="90" t="s">
        <v>54</v>
      </c>
    </row>
    <row r="481" spans="1:11" ht="60">
      <c r="A481" s="14">
        <v>45284</v>
      </c>
      <c r="B481" s="83">
        <f>VLOOKUP(A481,'BADI SID DATA'!A:B,2,0)</f>
        <v>268</v>
      </c>
      <c r="C481" s="56">
        <v>57200.64999999851</v>
      </c>
      <c r="D481" s="51">
        <v>5.39</v>
      </c>
      <c r="E481" s="54">
        <v>10</v>
      </c>
      <c r="F481" s="46">
        <v>1</v>
      </c>
      <c r="G481" s="46">
        <v>0.49236111111111114</v>
      </c>
      <c r="H481" s="81">
        <f t="shared" si="25"/>
        <v>5159053.8999999985</v>
      </c>
      <c r="I481" s="84">
        <f t="shared" si="23"/>
        <v>0.23833604166666045</v>
      </c>
      <c r="J481" s="84">
        <f t="shared" si="24"/>
        <v>8.0209171330845749E-2</v>
      </c>
      <c r="K481" s="90" t="s">
        <v>54</v>
      </c>
    </row>
    <row r="482" spans="1:11" ht="40">
      <c r="A482" s="14">
        <v>45285</v>
      </c>
      <c r="B482" s="83">
        <f>VLOOKUP(A482,'BADI SID DATA'!A:B,2,0)</f>
        <v>269</v>
      </c>
      <c r="C482" s="56">
        <v>34448.04999999702</v>
      </c>
      <c r="D482" s="51">
        <v>3.36</v>
      </c>
      <c r="E482" s="54">
        <v>10.6</v>
      </c>
      <c r="F482" s="46">
        <v>1</v>
      </c>
      <c r="G482" s="46">
        <v>1</v>
      </c>
      <c r="H482" s="81">
        <f t="shared" si="25"/>
        <v>5193501.9499999955</v>
      </c>
      <c r="I482" s="84">
        <f t="shared" si="23"/>
        <v>0.14353354166665425</v>
      </c>
      <c r="J482" s="84">
        <f t="shared" si="24"/>
        <v>8.0444577912019755E-2</v>
      </c>
      <c r="K482" s="90" t="s">
        <v>56</v>
      </c>
    </row>
    <row r="483" spans="1:11" ht="20">
      <c r="A483" s="14">
        <v>45286</v>
      </c>
      <c r="B483" s="83">
        <f>VLOOKUP(A483,'BADI SID DATA'!A:B,2,0)</f>
        <v>270</v>
      </c>
      <c r="C483" s="56">
        <v>65650.64999999851</v>
      </c>
      <c r="D483" s="51">
        <v>6.12</v>
      </c>
      <c r="E483" s="54">
        <v>10.8</v>
      </c>
      <c r="F483" s="46">
        <v>1</v>
      </c>
      <c r="G483" s="46">
        <v>0.97430555555555554</v>
      </c>
      <c r="H483" s="81">
        <f t="shared" si="25"/>
        <v>5259152.599999994</v>
      </c>
      <c r="I483" s="84">
        <f t="shared" si="23"/>
        <v>0.27354437499999379</v>
      </c>
      <c r="J483" s="84">
        <f t="shared" si="24"/>
        <v>8.1159762345678926E-2</v>
      </c>
      <c r="K483" s="90" t="s">
        <v>65</v>
      </c>
    </row>
    <row r="484" spans="1:11" ht="20">
      <c r="A484" s="14">
        <v>45287</v>
      </c>
      <c r="B484" s="83">
        <f>VLOOKUP(A484,'BADI SID DATA'!A:B,2,0)</f>
        <v>271</v>
      </c>
      <c r="C484" s="56">
        <v>65650.64999999851</v>
      </c>
      <c r="D484" s="52">
        <v>6.12</v>
      </c>
      <c r="E484" s="54">
        <v>10.1</v>
      </c>
      <c r="F484" s="46">
        <v>1</v>
      </c>
      <c r="G484" s="46">
        <v>1</v>
      </c>
      <c r="H484" s="81">
        <f t="shared" si="25"/>
        <v>5324803.2499999925</v>
      </c>
      <c r="I484" s="84">
        <f t="shared" si="23"/>
        <v>0.27354437499999379</v>
      </c>
      <c r="J484" s="84">
        <f t="shared" si="24"/>
        <v>8.1869668665436546E-2</v>
      </c>
      <c r="K484" s="90" t="s">
        <v>65</v>
      </c>
    </row>
    <row r="485" spans="1:11" ht="60">
      <c r="A485" s="14">
        <v>45288</v>
      </c>
      <c r="B485" s="83">
        <f>VLOOKUP(A485,'BADI SID DATA'!A:B,2,0)</f>
        <v>272</v>
      </c>
      <c r="C485" s="56">
        <v>57200</v>
      </c>
      <c r="D485" s="51">
        <v>5.38</v>
      </c>
      <c r="E485" s="54">
        <v>10.199999999999999</v>
      </c>
      <c r="F485" s="46">
        <v>1</v>
      </c>
      <c r="G485" s="46">
        <v>1</v>
      </c>
      <c r="H485" s="81">
        <f t="shared" si="25"/>
        <v>5382003.2499999925</v>
      </c>
      <c r="I485" s="84">
        <f t="shared" si="23"/>
        <v>0.23833333333333334</v>
      </c>
      <c r="J485" s="84">
        <f t="shared" si="24"/>
        <v>8.2444902726715577E-2</v>
      </c>
      <c r="K485" s="90" t="s">
        <v>54</v>
      </c>
    </row>
    <row r="486" spans="1:11" ht="20">
      <c r="A486" s="14">
        <v>45289</v>
      </c>
      <c r="B486" s="83">
        <f>VLOOKUP(A486,'BADI SID DATA'!A:B,2,0)</f>
        <v>273</v>
      </c>
      <c r="C486" s="56">
        <v>44199.35000000149</v>
      </c>
      <c r="D486" s="51">
        <v>4.12</v>
      </c>
      <c r="E486" s="54">
        <v>10.1</v>
      </c>
      <c r="F486" s="46">
        <v>1</v>
      </c>
      <c r="G486" s="46">
        <v>1</v>
      </c>
      <c r="H486" s="81">
        <f t="shared" si="25"/>
        <v>5426202.599999994</v>
      </c>
      <c r="I486" s="84">
        <f t="shared" si="23"/>
        <v>0.18416395833333954</v>
      </c>
      <c r="J486" s="84">
        <f t="shared" si="24"/>
        <v>8.2817499999999905E-2</v>
      </c>
      <c r="K486" s="90" t="s">
        <v>52</v>
      </c>
    </row>
    <row r="487" spans="1:11" ht="60">
      <c r="A487" s="14">
        <v>45290</v>
      </c>
      <c r="B487" s="83">
        <f>VLOOKUP(A487,'BADI SID DATA'!A:B,2,0)</f>
        <v>274</v>
      </c>
      <c r="C487" s="56">
        <v>57200.65000000596</v>
      </c>
      <c r="D487" s="51">
        <v>5.69</v>
      </c>
      <c r="E487" s="54">
        <v>9.9</v>
      </c>
      <c r="F487" s="46">
        <v>1</v>
      </c>
      <c r="G487" s="46">
        <v>1</v>
      </c>
      <c r="H487" s="81">
        <f t="shared" si="25"/>
        <v>5483403.25</v>
      </c>
      <c r="I487" s="84">
        <f t="shared" si="23"/>
        <v>0.23833604166669151</v>
      </c>
      <c r="J487" s="84">
        <f t="shared" si="24"/>
        <v>8.3385085918491489E-2</v>
      </c>
      <c r="K487" s="90" t="s">
        <v>54</v>
      </c>
    </row>
    <row r="488" spans="1:11" ht="20">
      <c r="A488" s="14">
        <v>45291</v>
      </c>
      <c r="B488" s="83">
        <f>VLOOKUP(A488,'BADI SID DATA'!A:B,2,0)</f>
        <v>275</v>
      </c>
      <c r="C488" s="56">
        <v>48750</v>
      </c>
      <c r="D488" s="55">
        <v>4.76</v>
      </c>
      <c r="E488" s="54">
        <v>10.5</v>
      </c>
      <c r="F488" s="46">
        <v>1</v>
      </c>
      <c r="G488" s="46">
        <v>0.91319444444444442</v>
      </c>
      <c r="H488" s="81">
        <f t="shared" si="25"/>
        <v>5532153.25</v>
      </c>
      <c r="I488" s="84">
        <f t="shared" si="23"/>
        <v>0.203125</v>
      </c>
      <c r="J488" s="84">
        <f t="shared" si="24"/>
        <v>8.3820503787878795E-2</v>
      </c>
      <c r="K488" s="90" t="s">
        <v>52</v>
      </c>
    </row>
    <row r="489" spans="1:11" ht="60">
      <c r="A489" s="14">
        <v>45292</v>
      </c>
      <c r="B489" s="83">
        <f>VLOOKUP(A489,'BADI SID DATA'!A:B,2,0)</f>
        <v>276</v>
      </c>
      <c r="C489" s="56">
        <v>59148.04999999702</v>
      </c>
      <c r="D489" s="53">
        <v>5.56</v>
      </c>
      <c r="E489" s="54">
        <v>9.9</v>
      </c>
      <c r="F489" s="46">
        <v>1</v>
      </c>
      <c r="G489" s="46">
        <v>0.94791666666666663</v>
      </c>
      <c r="H489" s="81">
        <f t="shared" si="25"/>
        <v>5591301.299999997</v>
      </c>
      <c r="I489" s="84">
        <f t="shared" si="23"/>
        <v>0.2464502083333209</v>
      </c>
      <c r="J489" s="84">
        <f t="shared" si="24"/>
        <v>8.4409741847826042E-2</v>
      </c>
      <c r="K489" s="90" t="s">
        <v>54</v>
      </c>
    </row>
    <row r="490" spans="1:11" ht="20">
      <c r="A490" s="14">
        <v>45293</v>
      </c>
      <c r="B490" s="83">
        <f>VLOOKUP(A490,'BADI SID DATA'!A:B,2,0)</f>
        <v>277</v>
      </c>
      <c r="C490" s="56">
        <v>48099.35000000149</v>
      </c>
      <c r="D490" s="50">
        <v>4.6500000000000004</v>
      </c>
      <c r="E490" s="54">
        <v>10.8</v>
      </c>
      <c r="F490" s="46">
        <v>1</v>
      </c>
      <c r="G490" s="46">
        <v>1</v>
      </c>
      <c r="H490" s="81">
        <f t="shared" si="25"/>
        <v>5639400.6499999985</v>
      </c>
      <c r="I490" s="84">
        <f t="shared" si="23"/>
        <v>0.20041395833333955</v>
      </c>
      <c r="J490" s="84">
        <f t="shared" si="24"/>
        <v>8.4828529632972299E-2</v>
      </c>
      <c r="K490" s="90" t="s">
        <v>52</v>
      </c>
    </row>
    <row r="491" spans="1:11" ht="20">
      <c r="A491" s="14">
        <v>45294</v>
      </c>
      <c r="B491" s="83">
        <f>VLOOKUP(A491,'BADI SID DATA'!A:B,2,0)</f>
        <v>278</v>
      </c>
      <c r="C491" s="56">
        <v>40300</v>
      </c>
      <c r="D491" s="50">
        <v>3.73</v>
      </c>
      <c r="E491" s="54">
        <v>10.199999999999999</v>
      </c>
      <c r="F491" s="46">
        <v>1</v>
      </c>
      <c r="G491" s="46">
        <v>1</v>
      </c>
      <c r="H491" s="81">
        <f t="shared" si="25"/>
        <v>5679700.6499999985</v>
      </c>
      <c r="I491" s="84">
        <f t="shared" si="23"/>
        <v>0.16791666666666666</v>
      </c>
      <c r="J491" s="84">
        <f t="shared" si="24"/>
        <v>8.512740782374098E-2</v>
      </c>
      <c r="K491" s="90" t="s">
        <v>52</v>
      </c>
    </row>
    <row r="492" spans="1:11" ht="40">
      <c r="A492" s="14">
        <v>45295</v>
      </c>
      <c r="B492" s="83">
        <f>VLOOKUP(A492,'BADI SID DATA'!A:B,2,0)</f>
        <v>279</v>
      </c>
      <c r="C492" s="56">
        <v>32500</v>
      </c>
      <c r="D492" s="53">
        <v>2.98</v>
      </c>
      <c r="E492" s="54">
        <v>10.9</v>
      </c>
      <c r="F492" s="46">
        <v>1</v>
      </c>
      <c r="G492" s="46">
        <v>1</v>
      </c>
      <c r="H492" s="81">
        <f t="shared" si="25"/>
        <v>5712200.6499999985</v>
      </c>
      <c r="I492" s="84">
        <f t="shared" si="23"/>
        <v>0.13541666666666666</v>
      </c>
      <c r="J492" s="84">
        <f t="shared" si="24"/>
        <v>8.5307656063321358E-2</v>
      </c>
      <c r="K492" s="90" t="s">
        <v>56</v>
      </c>
    </row>
    <row r="493" spans="1:11" ht="40">
      <c r="A493" s="14">
        <v>45296</v>
      </c>
      <c r="B493" s="83">
        <f>VLOOKUP(A493,'BADI SID DATA'!A:B,2,0)</f>
        <v>280</v>
      </c>
      <c r="C493" s="56">
        <v>23402.60000000149</v>
      </c>
      <c r="D493" s="53">
        <v>2.1800000000000002</v>
      </c>
      <c r="E493" s="54">
        <v>10.3</v>
      </c>
      <c r="F493" s="46">
        <v>1</v>
      </c>
      <c r="G493" s="46">
        <v>1</v>
      </c>
      <c r="H493" s="81">
        <f t="shared" si="25"/>
        <v>5735603.25</v>
      </c>
      <c r="I493" s="84">
        <f t="shared" si="23"/>
        <v>9.7510833333339542E-2</v>
      </c>
      <c r="J493" s="84">
        <f t="shared" si="24"/>
        <v>8.535123883928572E-2</v>
      </c>
      <c r="K493" s="90" t="s">
        <v>56</v>
      </c>
    </row>
    <row r="494" spans="1:11" ht="20">
      <c r="A494" s="14">
        <v>45297</v>
      </c>
      <c r="B494" s="83">
        <f>VLOOKUP(A494,'BADI SID DATA'!A:B,2,0)</f>
        <v>281</v>
      </c>
      <c r="C494" s="56">
        <v>46148.04999999702</v>
      </c>
      <c r="D494" s="50">
        <v>4.26</v>
      </c>
      <c r="E494" s="54">
        <v>9.9</v>
      </c>
      <c r="F494" s="46">
        <v>1</v>
      </c>
      <c r="G494" s="46">
        <v>1</v>
      </c>
      <c r="H494" s="81">
        <f t="shared" si="25"/>
        <v>5781751.299999997</v>
      </c>
      <c r="I494" s="84">
        <f t="shared" ref="I494:I557" si="26">C494/(10*24*1000)</f>
        <v>0.19228354166665426</v>
      </c>
      <c r="J494" s="84">
        <f t="shared" si="24"/>
        <v>8.5731780842230085E-2</v>
      </c>
      <c r="K494" s="90" t="s">
        <v>52</v>
      </c>
    </row>
    <row r="495" spans="1:11" ht="20">
      <c r="A495" s="14">
        <v>45298</v>
      </c>
      <c r="B495" s="83">
        <f>VLOOKUP(A495,'BADI SID DATA'!A:B,2,0)</f>
        <v>282</v>
      </c>
      <c r="C495" s="56">
        <v>50050.64999999851</v>
      </c>
      <c r="D495" s="50">
        <v>4.68</v>
      </c>
      <c r="E495" s="54">
        <v>10.3</v>
      </c>
      <c r="F495" s="46">
        <v>1</v>
      </c>
      <c r="G495" s="46">
        <v>1</v>
      </c>
      <c r="H495" s="81">
        <f t="shared" si="25"/>
        <v>5831801.9499999955</v>
      </c>
      <c r="I495" s="84">
        <f t="shared" si="26"/>
        <v>0.20854437499999379</v>
      </c>
      <c r="J495" s="84">
        <f t="shared" si="24"/>
        <v>8.6167286495271805E-2</v>
      </c>
      <c r="K495" s="90" t="s">
        <v>52</v>
      </c>
    </row>
    <row r="496" spans="1:11" ht="80">
      <c r="A496" s="14">
        <v>45299</v>
      </c>
      <c r="B496" s="83">
        <f>VLOOKUP(A496,'BADI SID DATA'!A:B,2,0)</f>
        <v>283</v>
      </c>
      <c r="C496" s="56">
        <v>14298.69999999553</v>
      </c>
      <c r="D496" s="50">
        <v>1.08</v>
      </c>
      <c r="E496" s="54">
        <v>2.1</v>
      </c>
      <c r="F496" s="46">
        <v>1</v>
      </c>
      <c r="G496" s="46">
        <v>1</v>
      </c>
      <c r="H496" s="81">
        <f t="shared" si="25"/>
        <v>5846100.6499999911</v>
      </c>
      <c r="I496" s="84">
        <f t="shared" si="26"/>
        <v>5.9577916666648037E-2</v>
      </c>
      <c r="J496" s="84">
        <f t="shared" si="24"/>
        <v>8.6073331124852631E-2</v>
      </c>
      <c r="K496" s="90" t="s">
        <v>51</v>
      </c>
    </row>
    <row r="497" spans="1:11" ht="20">
      <c r="A497" s="14">
        <v>45300</v>
      </c>
      <c r="B497" s="83">
        <f>VLOOKUP(A497,'BADI SID DATA'!A:B,2,0)</f>
        <v>284</v>
      </c>
      <c r="C497" s="56">
        <v>42251.30000000447</v>
      </c>
      <c r="D497" s="50">
        <v>3.93</v>
      </c>
      <c r="E497" s="54">
        <v>11</v>
      </c>
      <c r="F497" s="46">
        <v>1</v>
      </c>
      <c r="G497" s="46">
        <v>1</v>
      </c>
      <c r="H497" s="81">
        <f t="shared" si="25"/>
        <v>5888351.9499999955</v>
      </c>
      <c r="I497" s="84">
        <f t="shared" si="26"/>
        <v>0.17604708333335195</v>
      </c>
      <c r="J497" s="84">
        <f t="shared" si="24"/>
        <v>8.6390140111502284E-2</v>
      </c>
      <c r="K497" s="90" t="s">
        <v>52</v>
      </c>
    </row>
    <row r="498" spans="1:11" ht="20">
      <c r="A498" s="14">
        <v>45301</v>
      </c>
      <c r="B498" s="83">
        <f>VLOOKUP(A498,'BADI SID DATA'!A:B,2,0)</f>
        <v>285</v>
      </c>
      <c r="C498" s="56">
        <v>50701.95000000298</v>
      </c>
      <c r="D498" s="51">
        <v>4.57</v>
      </c>
      <c r="E498" s="54">
        <v>11</v>
      </c>
      <c r="F498" s="46">
        <v>1</v>
      </c>
      <c r="G498" s="46">
        <v>1</v>
      </c>
      <c r="H498" s="81">
        <f t="shared" si="25"/>
        <v>5939053.8999999985</v>
      </c>
      <c r="I498" s="84">
        <f t="shared" si="26"/>
        <v>0.21125812500001243</v>
      </c>
      <c r="J498" s="84">
        <f t="shared" si="24"/>
        <v>8.6828273391812844E-2</v>
      </c>
      <c r="K498" s="90" t="s">
        <v>52</v>
      </c>
    </row>
    <row r="499" spans="1:11" ht="60">
      <c r="A499" s="14">
        <v>45302</v>
      </c>
      <c r="B499" s="83">
        <f>VLOOKUP(A499,'BADI SID DATA'!A:B,2,0)</f>
        <v>286</v>
      </c>
      <c r="C499" s="56">
        <v>62397.39999999851</v>
      </c>
      <c r="D499" s="52">
        <v>5.79</v>
      </c>
      <c r="E499" s="54">
        <v>9.9</v>
      </c>
      <c r="F499" s="46">
        <v>1</v>
      </c>
      <c r="G499" s="46">
        <v>1</v>
      </c>
      <c r="H499" s="81">
        <f t="shared" si="25"/>
        <v>6001451.299999997</v>
      </c>
      <c r="I499" s="84">
        <f t="shared" si="26"/>
        <v>0.25998916666666044</v>
      </c>
      <c r="J499" s="84">
        <f t="shared" si="24"/>
        <v>8.7433731060606021E-2</v>
      </c>
      <c r="K499" s="90" t="s">
        <v>54</v>
      </c>
    </row>
    <row r="500" spans="1:11" ht="60">
      <c r="A500" s="14">
        <v>45303</v>
      </c>
      <c r="B500" s="83">
        <f>VLOOKUP(A500,'BADI SID DATA'!A:B,2,0)</f>
        <v>287</v>
      </c>
      <c r="C500" s="56">
        <v>62401.29999999702</v>
      </c>
      <c r="D500" s="51">
        <v>5.86</v>
      </c>
      <c r="E500" s="54">
        <v>9.8000000000000007</v>
      </c>
      <c r="F500" s="46">
        <v>1</v>
      </c>
      <c r="G500" s="46">
        <v>0.98750000000000004</v>
      </c>
      <c r="H500" s="81">
        <f t="shared" si="25"/>
        <v>6063852.599999994</v>
      </c>
      <c r="I500" s="84">
        <f t="shared" si="26"/>
        <v>0.26000541666665428</v>
      </c>
      <c r="J500" s="84">
        <f t="shared" si="24"/>
        <v>8.803502613240409E-2</v>
      </c>
      <c r="K500" s="90" t="s">
        <v>54</v>
      </c>
    </row>
    <row r="501" spans="1:11" ht="20">
      <c r="A501" s="14">
        <v>45304</v>
      </c>
      <c r="B501" s="83">
        <f>VLOOKUP(A501,'BADI SID DATA'!A:B,2,0)</f>
        <v>288</v>
      </c>
      <c r="C501" s="56">
        <v>46792.85000000149</v>
      </c>
      <c r="D501" s="51">
        <v>4.59</v>
      </c>
      <c r="E501" s="54">
        <v>10.5</v>
      </c>
      <c r="F501" s="46">
        <v>1</v>
      </c>
      <c r="G501" s="46">
        <v>1</v>
      </c>
      <c r="H501" s="81">
        <f t="shared" si="25"/>
        <v>6110645.4499999955</v>
      </c>
      <c r="I501" s="84">
        <f t="shared" si="26"/>
        <v>0.19497020833333953</v>
      </c>
      <c r="J501" s="84">
        <f t="shared" si="24"/>
        <v>8.8406328848379567E-2</v>
      </c>
      <c r="K501" s="90" t="s">
        <v>52</v>
      </c>
    </row>
    <row r="502" spans="1:11" ht="60">
      <c r="A502" s="14">
        <v>45305</v>
      </c>
      <c r="B502" s="83">
        <f>VLOOKUP(A502,'BADI SID DATA'!A:B,2,0)</f>
        <v>289</v>
      </c>
      <c r="C502" s="56">
        <v>57851.29999999702</v>
      </c>
      <c r="D502" s="51">
        <v>5.49</v>
      </c>
      <c r="E502" s="54">
        <v>10.8</v>
      </c>
      <c r="F502" s="46">
        <v>1</v>
      </c>
      <c r="G502" s="46">
        <v>1</v>
      </c>
      <c r="H502" s="81">
        <f t="shared" si="25"/>
        <v>6168496.7499999925</v>
      </c>
      <c r="I502" s="84">
        <f t="shared" si="26"/>
        <v>0.24104708333332092</v>
      </c>
      <c r="J502" s="84">
        <f t="shared" si="24"/>
        <v>8.8934497549019498E-2</v>
      </c>
      <c r="K502" s="90" t="s">
        <v>54</v>
      </c>
    </row>
    <row r="503" spans="1:11" ht="60">
      <c r="A503" s="14">
        <v>45306</v>
      </c>
      <c r="B503" s="83">
        <f>VLOOKUP(A503,'BADI SID DATA'!A:B,2,0)</f>
        <v>290</v>
      </c>
      <c r="C503" s="56">
        <v>62401.30000000447</v>
      </c>
      <c r="D503" s="51">
        <v>5.93</v>
      </c>
      <c r="E503" s="54">
        <v>10.9</v>
      </c>
      <c r="F503" s="46">
        <v>1</v>
      </c>
      <c r="G503" s="46">
        <v>1</v>
      </c>
      <c r="H503" s="81">
        <f t="shared" si="25"/>
        <v>6230898.049999997</v>
      </c>
      <c r="I503" s="84">
        <f t="shared" si="26"/>
        <v>0.26000541666668531</v>
      </c>
      <c r="J503" s="84">
        <f t="shared" si="24"/>
        <v>8.9524397270114894E-2</v>
      </c>
      <c r="K503" s="90" t="s">
        <v>54</v>
      </c>
    </row>
    <row r="504" spans="1:11" ht="60">
      <c r="A504" s="14">
        <v>45307</v>
      </c>
      <c r="B504" s="83">
        <f>VLOOKUP(A504,'BADI SID DATA'!A:B,2,0)</f>
        <v>291</v>
      </c>
      <c r="C504" s="56">
        <v>59148.04999999702</v>
      </c>
      <c r="D504" s="51">
        <v>5.7</v>
      </c>
      <c r="E504" s="54">
        <v>9.9</v>
      </c>
      <c r="F504" s="46">
        <v>1</v>
      </c>
      <c r="G504" s="46">
        <v>0.4777777777777778</v>
      </c>
      <c r="H504" s="81">
        <f t="shared" si="25"/>
        <v>6290046.099999994</v>
      </c>
      <c r="I504" s="84">
        <f t="shared" si="26"/>
        <v>0.2464502083333209</v>
      </c>
      <c r="J504" s="84">
        <f t="shared" si="24"/>
        <v>9.0063661225658564E-2</v>
      </c>
      <c r="K504" s="90" t="s">
        <v>54</v>
      </c>
    </row>
    <row r="505" spans="1:11" ht="60">
      <c r="A505" s="14">
        <v>45308</v>
      </c>
      <c r="B505" s="83">
        <f>VLOOKUP(A505,'BADI SID DATA'!A:B,2,0)</f>
        <v>292</v>
      </c>
      <c r="C505" s="56">
        <v>60450</v>
      </c>
      <c r="D505" s="51">
        <v>5.87</v>
      </c>
      <c r="E505" s="54">
        <v>10</v>
      </c>
      <c r="F505" s="46">
        <v>1</v>
      </c>
      <c r="G505" s="46">
        <v>1</v>
      </c>
      <c r="H505" s="81">
        <f t="shared" si="25"/>
        <v>6350496.099999994</v>
      </c>
      <c r="I505" s="84">
        <f t="shared" si="26"/>
        <v>0.25187500000000002</v>
      </c>
      <c r="J505" s="84">
        <f t="shared" si="24"/>
        <v>9.0617809646118638E-2</v>
      </c>
      <c r="K505" s="90" t="s">
        <v>54</v>
      </c>
    </row>
    <row r="506" spans="1:11" ht="60">
      <c r="A506" s="14">
        <v>45309</v>
      </c>
      <c r="B506" s="83">
        <f>VLOOKUP(A506,'BADI SID DATA'!A:B,2,0)</f>
        <v>293</v>
      </c>
      <c r="C506" s="56">
        <v>56549.34999999404</v>
      </c>
      <c r="D506" s="51">
        <v>5.55</v>
      </c>
      <c r="E506" s="54">
        <v>9.9</v>
      </c>
      <c r="F506" s="46">
        <v>1</v>
      </c>
      <c r="G506" s="46">
        <v>1</v>
      </c>
      <c r="H506" s="81">
        <f t="shared" si="25"/>
        <v>6407045.4499999881</v>
      </c>
      <c r="I506" s="84">
        <f t="shared" si="26"/>
        <v>0.23562229166664184</v>
      </c>
      <c r="J506" s="84">
        <f t="shared" si="24"/>
        <v>9.1112705489192092E-2</v>
      </c>
      <c r="K506" s="90" t="s">
        <v>54</v>
      </c>
    </row>
    <row r="507" spans="1:11" ht="20">
      <c r="A507" s="14">
        <v>45310</v>
      </c>
      <c r="B507" s="83">
        <f>VLOOKUP(A507,'BADI SID DATA'!A:B,2,0)</f>
        <v>294</v>
      </c>
      <c r="C507" s="56">
        <v>52003.250000007451</v>
      </c>
      <c r="D507" s="51">
        <v>4.9800000000000004</v>
      </c>
      <c r="E507" s="54">
        <v>10</v>
      </c>
      <c r="F507" s="46">
        <v>1</v>
      </c>
      <c r="G507" s="46">
        <v>1</v>
      </c>
      <c r="H507" s="81">
        <f t="shared" si="25"/>
        <v>6459048.6999999955</v>
      </c>
      <c r="I507" s="84">
        <f t="shared" si="26"/>
        <v>0.21668020833336438</v>
      </c>
      <c r="J507" s="84">
        <f t="shared" si="24"/>
        <v>9.1539805839002203E-2</v>
      </c>
      <c r="K507" s="90" t="s">
        <v>52</v>
      </c>
    </row>
    <row r="508" spans="1:11" ht="20">
      <c r="A508" s="14">
        <v>45311</v>
      </c>
      <c r="B508" s="83">
        <f>VLOOKUP(A508,'BADI SID DATA'!A:B,2,0)</f>
        <v>295</v>
      </c>
      <c r="C508" s="56">
        <v>57846.75</v>
      </c>
      <c r="D508" s="51">
        <v>5.68</v>
      </c>
      <c r="E508" s="54">
        <v>9.8000000000000007</v>
      </c>
      <c r="F508" s="46">
        <v>1</v>
      </c>
      <c r="G508" s="46">
        <v>1</v>
      </c>
      <c r="H508" s="81">
        <f t="shared" si="25"/>
        <v>6516895.4499999955</v>
      </c>
      <c r="I508" s="84">
        <f t="shared" si="26"/>
        <v>0.24102812500000001</v>
      </c>
      <c r="J508" s="84">
        <f t="shared" si="24"/>
        <v>9.2046545903954738E-2</v>
      </c>
      <c r="K508" s="90" t="s">
        <v>65</v>
      </c>
    </row>
    <row r="509" spans="1:11" ht="20">
      <c r="A509" s="14">
        <v>45312</v>
      </c>
      <c r="B509" s="83">
        <f>VLOOKUP(A509,'BADI SID DATA'!A:B,2,0)</f>
        <v>296</v>
      </c>
      <c r="C509" s="56">
        <v>61751.29999999702</v>
      </c>
      <c r="D509" s="51">
        <v>6</v>
      </c>
      <c r="E509" s="54">
        <v>9.9</v>
      </c>
      <c r="F509" s="46">
        <v>1</v>
      </c>
      <c r="G509" s="46">
        <v>1</v>
      </c>
      <c r="H509" s="81">
        <f t="shared" si="25"/>
        <v>6578646.7499999925</v>
      </c>
      <c r="I509" s="84">
        <f t="shared" si="26"/>
        <v>0.25729708333332091</v>
      </c>
      <c r="J509" s="84">
        <f t="shared" ref="J509:J572" si="27">H509/(24*B509*10*1000)</f>
        <v>9.2604824746621517E-2</v>
      </c>
      <c r="K509" s="90" t="s">
        <v>65</v>
      </c>
    </row>
    <row r="510" spans="1:11" ht="20">
      <c r="A510" s="14">
        <v>45313</v>
      </c>
      <c r="B510" s="83">
        <f>VLOOKUP(A510,'BADI SID DATA'!A:B,2,0)</f>
        <v>297</v>
      </c>
      <c r="C510" s="56">
        <v>62401.29999999702</v>
      </c>
      <c r="D510" s="51">
        <v>6.02</v>
      </c>
      <c r="E510" s="54">
        <v>10</v>
      </c>
      <c r="F510" s="46">
        <v>1</v>
      </c>
      <c r="G510" s="46">
        <v>1</v>
      </c>
      <c r="H510" s="81">
        <f t="shared" si="25"/>
        <v>6641048.0499999896</v>
      </c>
      <c r="I510" s="84">
        <f t="shared" si="26"/>
        <v>0.26000541666665428</v>
      </c>
      <c r="J510" s="84">
        <f t="shared" si="27"/>
        <v>9.316846310325462E-2</v>
      </c>
      <c r="K510" s="90" t="s">
        <v>65</v>
      </c>
    </row>
    <row r="511" spans="1:11" ht="20">
      <c r="A511" s="14">
        <v>45314</v>
      </c>
      <c r="B511" s="83">
        <f>VLOOKUP(A511,'BADI SID DATA'!A:B,2,0)</f>
        <v>298</v>
      </c>
      <c r="C511" s="56">
        <v>63048.05000000447</v>
      </c>
      <c r="D511" s="51">
        <v>6.07</v>
      </c>
      <c r="E511" s="54">
        <v>10</v>
      </c>
      <c r="F511" s="46">
        <v>1</v>
      </c>
      <c r="G511" s="46">
        <v>0.86805555555555558</v>
      </c>
      <c r="H511" s="81">
        <f t="shared" si="25"/>
        <v>6704096.099999994</v>
      </c>
      <c r="I511" s="84">
        <f t="shared" si="26"/>
        <v>0.26270020833335195</v>
      </c>
      <c r="J511" s="84">
        <f t="shared" si="27"/>
        <v>9.3737361577181127E-2</v>
      </c>
      <c r="K511" s="90" t="s">
        <v>65</v>
      </c>
    </row>
    <row r="512" spans="1:11" ht="20">
      <c r="A512" s="14">
        <v>45315</v>
      </c>
      <c r="B512" s="83">
        <f>VLOOKUP(A512,'BADI SID DATA'!A:B,2,0)</f>
        <v>299</v>
      </c>
      <c r="C512" s="56">
        <v>53300.64999999851</v>
      </c>
      <c r="D512" s="51">
        <v>5.0199999999999996</v>
      </c>
      <c r="E512" s="54">
        <v>10.199999999999999</v>
      </c>
      <c r="F512" s="46">
        <v>1</v>
      </c>
      <c r="G512" s="46">
        <v>0.90625</v>
      </c>
      <c r="H512" s="81">
        <f t="shared" si="25"/>
        <v>6757396.7499999925</v>
      </c>
      <c r="I512" s="84">
        <f t="shared" si="26"/>
        <v>0.22208604166666046</v>
      </c>
      <c r="J512" s="84">
        <f t="shared" si="27"/>
        <v>9.4166621376811491E-2</v>
      </c>
      <c r="K512" s="90" t="s">
        <v>52</v>
      </c>
    </row>
    <row r="513" spans="1:11" ht="60">
      <c r="A513" s="14">
        <v>45316</v>
      </c>
      <c r="B513" s="83">
        <f>VLOOKUP(A513,'BADI SID DATA'!A:B,2,0)</f>
        <v>300</v>
      </c>
      <c r="C513" s="56">
        <v>59798.70000000298</v>
      </c>
      <c r="D513" s="51">
        <v>5.86</v>
      </c>
      <c r="E513" s="54">
        <v>10.1</v>
      </c>
      <c r="F513" s="46">
        <v>1</v>
      </c>
      <c r="G513" s="46">
        <v>1</v>
      </c>
      <c r="H513" s="81">
        <f t="shared" si="25"/>
        <v>6817195.4499999955</v>
      </c>
      <c r="I513" s="84">
        <f t="shared" si="26"/>
        <v>0.24916125000001241</v>
      </c>
      <c r="J513" s="84">
        <f t="shared" si="27"/>
        <v>9.4683270138888831E-2</v>
      </c>
      <c r="K513" s="90" t="s">
        <v>54</v>
      </c>
    </row>
    <row r="514" spans="1:11" ht="20">
      <c r="A514" s="14">
        <v>45317</v>
      </c>
      <c r="B514" s="83">
        <f>VLOOKUP(A514,'BADI SID DATA'!A:B,2,0)</f>
        <v>301</v>
      </c>
      <c r="C514" s="56">
        <v>65650.64999999851</v>
      </c>
      <c r="D514" s="51">
        <v>6.26</v>
      </c>
      <c r="E514" s="54">
        <v>9.9</v>
      </c>
      <c r="F514" s="46">
        <v>1</v>
      </c>
      <c r="G514" s="46">
        <v>0.89236111111111116</v>
      </c>
      <c r="H514" s="81">
        <f t="shared" si="25"/>
        <v>6882846.099999994</v>
      </c>
      <c r="I514" s="84">
        <f t="shared" si="26"/>
        <v>0.27354437499999379</v>
      </c>
      <c r="J514" s="84">
        <f t="shared" si="27"/>
        <v>9.5277493078626721E-2</v>
      </c>
      <c r="K514" s="90" t="s">
        <v>65</v>
      </c>
    </row>
    <row r="515" spans="1:11" ht="20">
      <c r="A515" s="14">
        <v>45318</v>
      </c>
      <c r="B515" s="83">
        <f>VLOOKUP(A515,'BADI SID DATA'!A:B,2,0)</f>
        <v>302</v>
      </c>
      <c r="C515" s="56">
        <v>65000</v>
      </c>
      <c r="D515" s="52">
        <v>6.29</v>
      </c>
      <c r="E515" s="54">
        <v>10.3</v>
      </c>
      <c r="F515" s="46">
        <v>1</v>
      </c>
      <c r="G515" s="46">
        <v>1</v>
      </c>
      <c r="H515" s="81">
        <f t="shared" si="25"/>
        <v>6947846.099999994</v>
      </c>
      <c r="I515" s="84">
        <f t="shared" si="26"/>
        <v>0.27083333333333331</v>
      </c>
      <c r="J515" s="84">
        <f t="shared" si="27"/>
        <v>9.5858803807946938E-2</v>
      </c>
      <c r="K515" s="90" t="s">
        <v>65</v>
      </c>
    </row>
    <row r="516" spans="1:11" ht="20">
      <c r="A516" s="14">
        <v>45319</v>
      </c>
      <c r="B516" s="83">
        <f>VLOOKUP(A516,'BADI SID DATA'!A:B,2,0)</f>
        <v>303</v>
      </c>
      <c r="C516" s="56">
        <v>52650</v>
      </c>
      <c r="D516" s="51">
        <v>5.12</v>
      </c>
      <c r="E516" s="54">
        <v>10.5</v>
      </c>
      <c r="F516" s="46">
        <v>1</v>
      </c>
      <c r="G516" s="46">
        <v>1</v>
      </c>
      <c r="H516" s="81">
        <f t="shared" si="25"/>
        <v>7000496.099999994</v>
      </c>
      <c r="I516" s="84">
        <f t="shared" si="26"/>
        <v>0.21937499999999999</v>
      </c>
      <c r="J516" s="84">
        <f t="shared" si="27"/>
        <v>9.6266448019801901E-2</v>
      </c>
      <c r="K516" s="90" t="s">
        <v>52</v>
      </c>
    </row>
    <row r="517" spans="1:11" ht="60">
      <c r="A517" s="14">
        <v>45320</v>
      </c>
      <c r="B517" s="83">
        <f>VLOOKUP(A517,'BADI SID DATA'!A:B,2,0)</f>
        <v>304</v>
      </c>
      <c r="C517" s="56">
        <v>61100</v>
      </c>
      <c r="D517" s="51">
        <v>6.03</v>
      </c>
      <c r="E517" s="54">
        <v>10.199999999999999</v>
      </c>
      <c r="F517" s="46">
        <v>1</v>
      </c>
      <c r="G517" s="46">
        <v>0.91388888888888886</v>
      </c>
      <c r="H517" s="81">
        <f t="shared" si="25"/>
        <v>7061596.099999994</v>
      </c>
      <c r="I517" s="84">
        <f t="shared" si="26"/>
        <v>0.25458333333333333</v>
      </c>
      <c r="J517" s="84">
        <f t="shared" si="27"/>
        <v>9.6787227247806931E-2</v>
      </c>
      <c r="K517" s="90" t="s">
        <v>54</v>
      </c>
    </row>
    <row r="518" spans="1:11" ht="20">
      <c r="A518" s="14">
        <v>45321</v>
      </c>
      <c r="B518" s="83">
        <f>VLOOKUP(A518,'BADI SID DATA'!A:B,2,0)</f>
        <v>305</v>
      </c>
      <c r="C518" s="56">
        <v>63051.95000000298</v>
      </c>
      <c r="D518" s="51">
        <v>6.15</v>
      </c>
      <c r="E518" s="54">
        <v>10.5</v>
      </c>
      <c r="F518" s="46">
        <v>1</v>
      </c>
      <c r="G518" s="46">
        <v>1</v>
      </c>
      <c r="H518" s="81">
        <f t="shared" si="25"/>
        <v>7124648.049999997</v>
      </c>
      <c r="I518" s="84">
        <f t="shared" si="26"/>
        <v>0.26271645833334573</v>
      </c>
      <c r="J518" s="84">
        <f t="shared" si="27"/>
        <v>9.733125751366116E-2</v>
      </c>
      <c r="K518" s="90" t="s">
        <v>65</v>
      </c>
    </row>
    <row r="519" spans="1:11" ht="60">
      <c r="A519" s="14">
        <v>45322</v>
      </c>
      <c r="B519" s="83">
        <f>VLOOKUP(A519,'BADI SID DATA'!A:B,2,0)</f>
        <v>306</v>
      </c>
      <c r="C519" s="56">
        <v>54598.04999999702</v>
      </c>
      <c r="D519" s="55">
        <v>5.5</v>
      </c>
      <c r="E519" s="54">
        <v>10.4</v>
      </c>
      <c r="F519" s="46">
        <v>1</v>
      </c>
      <c r="G519" s="46">
        <v>1</v>
      </c>
      <c r="H519" s="81">
        <f t="shared" si="25"/>
        <v>7179246.099999994</v>
      </c>
      <c r="I519" s="84">
        <f t="shared" si="26"/>
        <v>0.22749187499998758</v>
      </c>
      <c r="J519" s="84">
        <f t="shared" si="27"/>
        <v>9.7756619008714518E-2</v>
      </c>
      <c r="K519" s="90" t="s">
        <v>54</v>
      </c>
    </row>
    <row r="520" spans="1:11" ht="60">
      <c r="A520" s="14">
        <v>45323</v>
      </c>
      <c r="B520" s="83">
        <f>VLOOKUP(A520,'BADI SID DATA'!A:B,2,0)</f>
        <v>307</v>
      </c>
      <c r="C520" s="56">
        <v>54601.29999999702</v>
      </c>
      <c r="D520" s="53">
        <v>5.44</v>
      </c>
      <c r="E520" s="54">
        <v>10.5</v>
      </c>
      <c r="F520" s="46">
        <v>1</v>
      </c>
      <c r="G520" s="46">
        <v>1</v>
      </c>
      <c r="H520" s="81">
        <f t="shared" si="25"/>
        <v>7233847.3999999911</v>
      </c>
      <c r="I520" s="84">
        <f t="shared" si="26"/>
        <v>0.22750541666665425</v>
      </c>
      <c r="J520" s="84">
        <f t="shared" si="27"/>
        <v>9.817925352877295E-2</v>
      </c>
      <c r="K520" s="90" t="s">
        <v>54</v>
      </c>
    </row>
    <row r="521" spans="1:11" ht="20">
      <c r="A521" s="14">
        <v>45324</v>
      </c>
      <c r="B521" s="83">
        <f>VLOOKUP(A521,'BADI SID DATA'!A:B,2,0)</f>
        <v>308</v>
      </c>
      <c r="C521" s="56">
        <v>50047.39999999851</v>
      </c>
      <c r="D521" s="50">
        <v>5.08</v>
      </c>
      <c r="E521" s="54">
        <v>10.5</v>
      </c>
      <c r="F521" s="46">
        <v>1</v>
      </c>
      <c r="G521" s="46">
        <v>1</v>
      </c>
      <c r="H521" s="81">
        <f t="shared" si="25"/>
        <v>7283894.7999999896</v>
      </c>
      <c r="I521" s="84">
        <f t="shared" si="26"/>
        <v>0.20853083333332711</v>
      </c>
      <c r="J521" s="84">
        <f t="shared" si="27"/>
        <v>9.8537537878787732E-2</v>
      </c>
      <c r="K521" s="90" t="s">
        <v>52</v>
      </c>
    </row>
    <row r="522" spans="1:11" ht="20">
      <c r="A522" s="14">
        <v>45325</v>
      </c>
      <c r="B522" s="83">
        <f>VLOOKUP(A522,'BADI SID DATA'!A:B,2,0)</f>
        <v>309</v>
      </c>
      <c r="C522" s="56">
        <v>48103.25</v>
      </c>
      <c r="D522" s="50">
        <v>4.7300000000000004</v>
      </c>
      <c r="E522" s="54">
        <v>10.1</v>
      </c>
      <c r="F522" s="46">
        <v>1</v>
      </c>
      <c r="G522" s="46">
        <v>1</v>
      </c>
      <c r="H522" s="81">
        <f t="shared" si="25"/>
        <v>7331998.0499999896</v>
      </c>
      <c r="I522" s="84">
        <f t="shared" si="26"/>
        <v>0.20043020833333333</v>
      </c>
      <c r="J522" s="84">
        <f t="shared" si="27"/>
        <v>9.8867287621359087E-2</v>
      </c>
      <c r="K522" s="90" t="s">
        <v>52</v>
      </c>
    </row>
    <row r="523" spans="1:11" ht="20">
      <c r="A523" s="14">
        <v>45326</v>
      </c>
      <c r="B523" s="83">
        <f>VLOOKUP(A523,'BADI SID DATA'!A:B,2,0)</f>
        <v>310</v>
      </c>
      <c r="C523" s="56">
        <v>64349.35000000149</v>
      </c>
      <c r="D523" s="53">
        <v>6.3</v>
      </c>
      <c r="E523" s="54">
        <v>10.3</v>
      </c>
      <c r="F523" s="46">
        <v>1</v>
      </c>
      <c r="G523" s="46">
        <v>1</v>
      </c>
      <c r="H523" s="81">
        <f t="shared" si="25"/>
        <v>7396347.3999999911</v>
      </c>
      <c r="I523" s="84">
        <f t="shared" si="26"/>
        <v>0.2681222916666729</v>
      </c>
      <c r="J523" s="84">
        <f t="shared" si="27"/>
        <v>9.9413271505376224E-2</v>
      </c>
      <c r="K523" s="90" t="s">
        <v>65</v>
      </c>
    </row>
    <row r="524" spans="1:11" ht="20">
      <c r="A524" s="14">
        <v>45327</v>
      </c>
      <c r="B524" s="83">
        <f>VLOOKUP(A524,'BADI SID DATA'!A:B,2,0)</f>
        <v>311</v>
      </c>
      <c r="C524" s="56">
        <v>66297.39999999851</v>
      </c>
      <c r="D524" s="53">
        <v>6.46</v>
      </c>
      <c r="E524" s="54">
        <v>10</v>
      </c>
      <c r="F524" s="46">
        <v>1</v>
      </c>
      <c r="G524" s="46">
        <v>1</v>
      </c>
      <c r="H524" s="81">
        <f t="shared" si="25"/>
        <v>7462644.7999999896</v>
      </c>
      <c r="I524" s="84">
        <f t="shared" si="26"/>
        <v>0.27623916666666049</v>
      </c>
      <c r="J524" s="84">
        <f t="shared" si="27"/>
        <v>9.9981843515541124E-2</v>
      </c>
      <c r="K524" s="90" t="s">
        <v>65</v>
      </c>
    </row>
    <row r="525" spans="1:11" ht="20">
      <c r="A525" s="14">
        <v>45328</v>
      </c>
      <c r="B525" s="83">
        <f>VLOOKUP(A525,'BADI SID DATA'!A:B,2,0)</f>
        <v>312</v>
      </c>
      <c r="C525" s="56">
        <v>63702.60000000149</v>
      </c>
      <c r="D525" s="50">
        <v>6.36</v>
      </c>
      <c r="E525" s="54">
        <v>10</v>
      </c>
      <c r="F525" s="46">
        <v>1</v>
      </c>
      <c r="G525" s="46">
        <v>1</v>
      </c>
      <c r="H525" s="81">
        <f t="shared" si="25"/>
        <v>7526347.3999999911</v>
      </c>
      <c r="I525" s="84">
        <f t="shared" si="26"/>
        <v>0.2654275000000062</v>
      </c>
      <c r="J525" s="84">
        <f t="shared" si="27"/>
        <v>0.10051211805555543</v>
      </c>
      <c r="K525" s="90" t="s">
        <v>65</v>
      </c>
    </row>
    <row r="526" spans="1:11" ht="20">
      <c r="A526" s="14">
        <v>45329</v>
      </c>
      <c r="B526" s="83">
        <f>VLOOKUP(A526,'BADI SID DATA'!A:B,2,0)</f>
        <v>313</v>
      </c>
      <c r="C526" s="56">
        <v>66948.04999999702</v>
      </c>
      <c r="D526" s="50">
        <v>6.58</v>
      </c>
      <c r="E526" s="54">
        <v>9.9</v>
      </c>
      <c r="F526" s="46">
        <v>1</v>
      </c>
      <c r="G526" s="46">
        <v>1</v>
      </c>
      <c r="H526" s="81">
        <f t="shared" si="25"/>
        <v>7593295.4499999881</v>
      </c>
      <c r="I526" s="84">
        <f t="shared" si="26"/>
        <v>0.2789502083333209</v>
      </c>
      <c r="J526" s="84">
        <f t="shared" si="27"/>
        <v>0.10108220780085181</v>
      </c>
      <c r="K526" s="90" t="s">
        <v>65</v>
      </c>
    </row>
    <row r="527" spans="1:11" ht="20">
      <c r="A527" s="14">
        <v>45330</v>
      </c>
      <c r="B527" s="83">
        <f>VLOOKUP(A527,'BADI SID DATA'!A:B,2,0)</f>
        <v>314</v>
      </c>
      <c r="C527" s="56">
        <v>63051.95000000298</v>
      </c>
      <c r="D527" s="53">
        <v>6.2</v>
      </c>
      <c r="E527" s="54">
        <v>10.199999999999999</v>
      </c>
      <c r="F527" s="46">
        <v>1</v>
      </c>
      <c r="G527" s="46">
        <v>1</v>
      </c>
      <c r="H527" s="81">
        <f t="shared" si="25"/>
        <v>7656347.3999999911</v>
      </c>
      <c r="I527" s="84">
        <f t="shared" si="26"/>
        <v>0.26271645833334573</v>
      </c>
      <c r="J527" s="84">
        <f t="shared" si="27"/>
        <v>0.10159696656050944</v>
      </c>
      <c r="K527" s="90" t="s">
        <v>65</v>
      </c>
    </row>
    <row r="528" spans="1:11" ht="20">
      <c r="A528" s="14">
        <v>45331</v>
      </c>
      <c r="B528" s="83">
        <f>VLOOKUP(A528,'BADI SID DATA'!A:B,2,0)</f>
        <v>315</v>
      </c>
      <c r="C528" s="56">
        <v>66948.04999999702</v>
      </c>
      <c r="D528" s="50">
        <v>6.59</v>
      </c>
      <c r="E528" s="54">
        <v>10</v>
      </c>
      <c r="F528" s="46">
        <v>1</v>
      </c>
      <c r="G528" s="46">
        <v>1</v>
      </c>
      <c r="H528" s="81">
        <f t="shared" si="25"/>
        <v>7723295.4499999881</v>
      </c>
      <c r="I528" s="84">
        <f t="shared" si="26"/>
        <v>0.2789502083333209</v>
      </c>
      <c r="J528" s="84">
        <f t="shared" si="27"/>
        <v>0.10215999272486757</v>
      </c>
      <c r="K528" s="90" t="s">
        <v>65</v>
      </c>
    </row>
    <row r="529" spans="1:11" ht="20">
      <c r="A529" s="14">
        <v>45332</v>
      </c>
      <c r="B529" s="83">
        <f>VLOOKUP(A529,'BADI SID DATA'!A:B,2,0)</f>
        <v>316</v>
      </c>
      <c r="C529" s="56">
        <v>63702.60000000149</v>
      </c>
      <c r="D529" s="51">
        <v>6.29</v>
      </c>
      <c r="E529" s="54">
        <v>10.1</v>
      </c>
      <c r="F529" s="46">
        <v>1</v>
      </c>
      <c r="G529" s="46">
        <v>1</v>
      </c>
      <c r="H529" s="81">
        <f t="shared" si="25"/>
        <v>7786998.0499999896</v>
      </c>
      <c r="I529" s="84">
        <f t="shared" si="26"/>
        <v>0.2654275000000062</v>
      </c>
      <c r="J529" s="84">
        <f t="shared" si="27"/>
        <v>0.10267666205168763</v>
      </c>
      <c r="K529" s="90" t="s">
        <v>65</v>
      </c>
    </row>
    <row r="530" spans="1:11" ht="20">
      <c r="A530" s="14">
        <v>45333</v>
      </c>
      <c r="B530" s="83">
        <f>VLOOKUP(A530,'BADI SID DATA'!A:B,2,0)</f>
        <v>317</v>
      </c>
      <c r="C530" s="56">
        <v>65000</v>
      </c>
      <c r="D530" s="52">
        <v>6.42</v>
      </c>
      <c r="E530" s="54">
        <v>10.199999999999999</v>
      </c>
      <c r="F530" s="46">
        <v>1</v>
      </c>
      <c r="G530" s="46">
        <v>1</v>
      </c>
      <c r="H530" s="81">
        <f t="shared" si="25"/>
        <v>7851998.0499999896</v>
      </c>
      <c r="I530" s="84">
        <f t="shared" si="26"/>
        <v>0.27083333333333331</v>
      </c>
      <c r="J530" s="84">
        <f t="shared" si="27"/>
        <v>0.10320712473711868</v>
      </c>
      <c r="K530" s="90" t="s">
        <v>65</v>
      </c>
    </row>
    <row r="531" spans="1:11" ht="20">
      <c r="A531" s="14">
        <v>45334</v>
      </c>
      <c r="B531" s="83">
        <f>VLOOKUP(A531,'BADI SID DATA'!A:B,2,0)</f>
        <v>318</v>
      </c>
      <c r="C531" s="56">
        <v>68900.000000007451</v>
      </c>
      <c r="D531" s="51">
        <v>6.8</v>
      </c>
      <c r="E531" s="54">
        <v>10</v>
      </c>
      <c r="F531" s="46">
        <v>1</v>
      </c>
      <c r="G531" s="46">
        <v>0.87361111111111112</v>
      </c>
      <c r="H531" s="81">
        <f t="shared" si="25"/>
        <v>7920898.049999997</v>
      </c>
      <c r="I531" s="84">
        <f t="shared" si="26"/>
        <v>0.28708333333336439</v>
      </c>
      <c r="J531" s="84">
        <f t="shared" si="27"/>
        <v>0.10378535180817607</v>
      </c>
      <c r="K531" s="90" t="s">
        <v>65</v>
      </c>
    </row>
    <row r="532" spans="1:11" ht="60">
      <c r="A532" s="14">
        <v>45335</v>
      </c>
      <c r="B532" s="83">
        <f>VLOOKUP(A532,'BADI SID DATA'!A:B,2,0)</f>
        <v>319</v>
      </c>
      <c r="C532" s="56">
        <v>64349.34999999404</v>
      </c>
      <c r="D532" s="51">
        <v>6.42</v>
      </c>
      <c r="E532" s="54">
        <v>10.1</v>
      </c>
      <c r="F532" s="46">
        <v>1</v>
      </c>
      <c r="G532" s="46">
        <v>1</v>
      </c>
      <c r="H532" s="81">
        <f t="shared" si="25"/>
        <v>7985247.3999999911</v>
      </c>
      <c r="I532" s="84">
        <f t="shared" si="26"/>
        <v>0.26812229166664181</v>
      </c>
      <c r="J532" s="84">
        <f t="shared" si="27"/>
        <v>0.10430051462904899</v>
      </c>
      <c r="K532" s="90" t="s">
        <v>54</v>
      </c>
    </row>
    <row r="533" spans="1:11" ht="60">
      <c r="A533" s="14">
        <v>45336</v>
      </c>
      <c r="B533" s="83">
        <f>VLOOKUP(A533,'BADI SID DATA'!A:B,2,0)</f>
        <v>320</v>
      </c>
      <c r="C533" s="56">
        <v>59798.70000000298</v>
      </c>
      <c r="D533" s="51">
        <v>5.99</v>
      </c>
      <c r="E533" s="54">
        <v>10.199999999999999</v>
      </c>
      <c r="F533" s="46">
        <v>1</v>
      </c>
      <c r="G533" s="46">
        <v>1</v>
      </c>
      <c r="H533" s="81">
        <f t="shared" si="25"/>
        <v>8045046.099999994</v>
      </c>
      <c r="I533" s="84">
        <f t="shared" si="26"/>
        <v>0.24916125000001241</v>
      </c>
      <c r="J533" s="84">
        <f t="shared" si="27"/>
        <v>0.10475320442708326</v>
      </c>
      <c r="K533" s="90" t="s">
        <v>54</v>
      </c>
    </row>
    <row r="534" spans="1:11" ht="20">
      <c r="A534" s="14">
        <v>45337</v>
      </c>
      <c r="B534" s="83">
        <f>VLOOKUP(A534,'BADI SID DATA'!A:B,2,0)</f>
        <v>321</v>
      </c>
      <c r="C534" s="56">
        <v>67598.69999999553</v>
      </c>
      <c r="D534" s="51">
        <v>6.6</v>
      </c>
      <c r="E534" s="54">
        <v>10</v>
      </c>
      <c r="F534" s="46">
        <v>1</v>
      </c>
      <c r="G534" s="46">
        <v>1</v>
      </c>
      <c r="H534" s="81">
        <f t="shared" si="25"/>
        <v>8112644.7999999896</v>
      </c>
      <c r="I534" s="84">
        <f t="shared" si="26"/>
        <v>0.28166124999998138</v>
      </c>
      <c r="J534" s="84">
        <f t="shared" si="27"/>
        <v>0.10530431983385241</v>
      </c>
      <c r="K534" s="90" t="s">
        <v>65</v>
      </c>
    </row>
    <row r="535" spans="1:11" ht="20">
      <c r="A535" s="14">
        <v>45338</v>
      </c>
      <c r="B535" s="83">
        <f>VLOOKUP(A535,'BADI SID DATA'!A:B,2,0)</f>
        <v>322</v>
      </c>
      <c r="C535" s="56">
        <v>67602.60000000149</v>
      </c>
      <c r="D535" s="51">
        <v>6.56</v>
      </c>
      <c r="E535" s="54">
        <v>9.8000000000000007</v>
      </c>
      <c r="F535" s="46">
        <v>1</v>
      </c>
      <c r="G535" s="46">
        <v>1</v>
      </c>
      <c r="H535" s="81">
        <f t="shared" ref="H535:H579" si="28">C535+H534</f>
        <v>8180247.3999999911</v>
      </c>
      <c r="I535" s="84">
        <f t="shared" si="26"/>
        <v>0.28167750000000619</v>
      </c>
      <c r="J535" s="84">
        <f t="shared" si="27"/>
        <v>0.10585206262939947</v>
      </c>
      <c r="K535" s="90" t="s">
        <v>65</v>
      </c>
    </row>
    <row r="536" spans="1:11" ht="20">
      <c r="A536" s="14">
        <v>45339</v>
      </c>
      <c r="B536" s="83">
        <f>VLOOKUP(A536,'BADI SID DATA'!A:B,2,0)</f>
        <v>323</v>
      </c>
      <c r="C536" s="56">
        <v>68249.35000000149</v>
      </c>
      <c r="D536" s="51">
        <v>6.78</v>
      </c>
      <c r="E536" s="54">
        <v>10.1</v>
      </c>
      <c r="F536" s="46">
        <v>1</v>
      </c>
      <c r="G536" s="46">
        <v>0.53402777777777777</v>
      </c>
      <c r="H536" s="81">
        <f t="shared" si="28"/>
        <v>8248496.7499999925</v>
      </c>
      <c r="I536" s="84">
        <f t="shared" si="26"/>
        <v>0.28437229166667288</v>
      </c>
      <c r="J536" s="84">
        <f t="shared" si="27"/>
        <v>0.10640475683694521</v>
      </c>
      <c r="K536" s="90" t="s">
        <v>65</v>
      </c>
    </row>
    <row r="537" spans="1:11" ht="20">
      <c r="A537" s="14">
        <v>45340</v>
      </c>
      <c r="B537" s="83">
        <f>VLOOKUP(A537,'BADI SID DATA'!A:B,2,0)</f>
        <v>324</v>
      </c>
      <c r="C537" s="56">
        <v>66301.29999999702</v>
      </c>
      <c r="D537" s="51">
        <v>6.64</v>
      </c>
      <c r="E537" s="54">
        <v>10</v>
      </c>
      <c r="F537" s="46">
        <v>1</v>
      </c>
      <c r="G537" s="46">
        <v>1</v>
      </c>
      <c r="H537" s="81">
        <f t="shared" si="28"/>
        <v>8314798.0499999896</v>
      </c>
      <c r="I537" s="84">
        <f t="shared" si="26"/>
        <v>0.27625541666665426</v>
      </c>
      <c r="J537" s="84">
        <f t="shared" si="27"/>
        <v>0.10692898726851839</v>
      </c>
      <c r="K537" s="90" t="s">
        <v>65</v>
      </c>
    </row>
    <row r="538" spans="1:11" ht="20">
      <c r="A538" s="14">
        <v>45341</v>
      </c>
      <c r="B538" s="83">
        <f>VLOOKUP(A538,'BADI SID DATA'!A:B,2,0)</f>
        <v>325</v>
      </c>
      <c r="C538" s="56">
        <v>67598.70000000298</v>
      </c>
      <c r="D538" s="51">
        <v>6.78</v>
      </c>
      <c r="E538" s="54">
        <v>10.199999999999999</v>
      </c>
      <c r="F538" s="46">
        <v>1</v>
      </c>
      <c r="G538" s="46">
        <v>1</v>
      </c>
      <c r="H538" s="81">
        <f t="shared" si="28"/>
        <v>8382396.7499999925</v>
      </c>
      <c r="I538" s="84">
        <f t="shared" si="26"/>
        <v>0.28166125000001241</v>
      </c>
      <c r="J538" s="84">
        <f t="shared" si="27"/>
        <v>0.1074666249999999</v>
      </c>
      <c r="K538" s="90" t="s">
        <v>65</v>
      </c>
    </row>
    <row r="539" spans="1:11" ht="60">
      <c r="A539" s="14">
        <v>45342</v>
      </c>
      <c r="B539" s="83">
        <f>VLOOKUP(A539,'BADI SID DATA'!A:B,2,0)</f>
        <v>326</v>
      </c>
      <c r="C539" s="56">
        <v>63698.69999999553</v>
      </c>
      <c r="D539" s="51">
        <v>6.43</v>
      </c>
      <c r="E539" s="54">
        <v>10.1</v>
      </c>
      <c r="F539" s="46">
        <v>1</v>
      </c>
      <c r="G539" s="46">
        <v>0.91111111111111109</v>
      </c>
      <c r="H539" s="81">
        <f t="shared" si="28"/>
        <v>8446095.4499999881</v>
      </c>
      <c r="I539" s="84">
        <f t="shared" si="26"/>
        <v>0.26541124999998139</v>
      </c>
      <c r="J539" s="84">
        <f t="shared" si="27"/>
        <v>0.10795111771472378</v>
      </c>
      <c r="K539" s="90" t="s">
        <v>54</v>
      </c>
    </row>
    <row r="540" spans="1:11" ht="20">
      <c r="A540" s="14">
        <v>45343</v>
      </c>
      <c r="B540" s="83">
        <f>VLOOKUP(A540,'BADI SID DATA'!A:B,2,0)</f>
        <v>327</v>
      </c>
      <c r="C540" s="56">
        <v>46151.30000000447</v>
      </c>
      <c r="D540" s="51">
        <v>4.43</v>
      </c>
      <c r="E540" s="54">
        <v>10.5</v>
      </c>
      <c r="F540" s="46">
        <v>1</v>
      </c>
      <c r="G540" s="46">
        <v>1</v>
      </c>
      <c r="H540" s="81">
        <f t="shared" si="28"/>
        <v>8492246.7499999925</v>
      </c>
      <c r="I540" s="84">
        <f t="shared" si="26"/>
        <v>0.19229708333335196</v>
      </c>
      <c r="J540" s="84">
        <f t="shared" si="27"/>
        <v>0.10820905644750245</v>
      </c>
      <c r="K540" s="90" t="s">
        <v>52</v>
      </c>
    </row>
    <row r="541" spans="1:11" ht="60">
      <c r="A541" s="14">
        <v>45344</v>
      </c>
      <c r="B541" s="83">
        <f>VLOOKUP(A541,'BADI SID DATA'!A:B,2,0)</f>
        <v>328</v>
      </c>
      <c r="C541" s="56">
        <v>55898.70000000298</v>
      </c>
      <c r="D541" s="51">
        <v>5.73</v>
      </c>
      <c r="E541" s="54">
        <v>10</v>
      </c>
      <c r="F541" s="46">
        <v>1</v>
      </c>
      <c r="G541" s="46">
        <v>1</v>
      </c>
      <c r="H541" s="81">
        <f t="shared" si="28"/>
        <v>8548145.4499999955</v>
      </c>
      <c r="I541" s="84">
        <f t="shared" si="26"/>
        <v>0.23291125000001242</v>
      </c>
      <c r="J541" s="84">
        <f t="shared" si="27"/>
        <v>0.10858924606199181</v>
      </c>
      <c r="K541" s="90" t="s">
        <v>54</v>
      </c>
    </row>
    <row r="542" spans="1:11" ht="60">
      <c r="A542" s="14">
        <v>45345</v>
      </c>
      <c r="B542" s="83">
        <f>VLOOKUP(A542,'BADI SID DATA'!A:B,2,0)</f>
        <v>329</v>
      </c>
      <c r="C542" s="56">
        <v>62401.29999999702</v>
      </c>
      <c r="D542" s="51">
        <v>6.38</v>
      </c>
      <c r="E542" s="54">
        <v>10.5</v>
      </c>
      <c r="F542" s="46">
        <v>1</v>
      </c>
      <c r="G542" s="46">
        <v>1</v>
      </c>
      <c r="H542" s="81">
        <f t="shared" si="28"/>
        <v>8610546.7499999925</v>
      </c>
      <c r="I542" s="84">
        <f t="shared" si="26"/>
        <v>0.26000541666665428</v>
      </c>
      <c r="J542" s="84">
        <f t="shared" si="27"/>
        <v>0.10904947758358653</v>
      </c>
      <c r="K542" s="90" t="s">
        <v>54</v>
      </c>
    </row>
    <row r="543" spans="1:11" ht="20">
      <c r="A543" s="14">
        <v>45346</v>
      </c>
      <c r="B543" s="83">
        <f>VLOOKUP(A543,'BADI SID DATA'!A:B,2,0)</f>
        <v>330</v>
      </c>
      <c r="C543" s="56">
        <v>45501.29999999702</v>
      </c>
      <c r="D543" s="51">
        <v>4.74</v>
      </c>
      <c r="E543" s="54">
        <v>10.1</v>
      </c>
      <c r="F543" s="46">
        <v>1</v>
      </c>
      <c r="G543" s="46">
        <v>1</v>
      </c>
      <c r="H543" s="81">
        <f t="shared" si="28"/>
        <v>8656048.0499999896</v>
      </c>
      <c r="I543" s="84">
        <f t="shared" si="26"/>
        <v>0.18958874999998759</v>
      </c>
      <c r="J543" s="84">
        <f t="shared" si="27"/>
        <v>0.10929353598484835</v>
      </c>
      <c r="K543" s="90" t="s">
        <v>52</v>
      </c>
    </row>
    <row r="544" spans="1:11" ht="60">
      <c r="A544" s="14">
        <v>45347</v>
      </c>
      <c r="B544" s="83">
        <f>VLOOKUP(A544,'BADI SID DATA'!A:B,2,0)</f>
        <v>331</v>
      </c>
      <c r="C544" s="56">
        <v>56549.35000000149</v>
      </c>
      <c r="D544" s="52">
        <v>5.71</v>
      </c>
      <c r="E544" s="54">
        <v>9.8000000000000007</v>
      </c>
      <c r="F544" s="46">
        <v>1</v>
      </c>
      <c r="G544" s="46">
        <v>1</v>
      </c>
      <c r="H544" s="81">
        <f t="shared" si="28"/>
        <v>8712597.3999999911</v>
      </c>
      <c r="I544" s="84">
        <f t="shared" si="26"/>
        <v>0.23562229166667287</v>
      </c>
      <c r="J544" s="84">
        <f t="shared" si="27"/>
        <v>0.10967519385699888</v>
      </c>
      <c r="K544" s="90" t="s">
        <v>54</v>
      </c>
    </row>
    <row r="545" spans="1:11" ht="60">
      <c r="A545" s="14">
        <v>45348</v>
      </c>
      <c r="B545" s="83">
        <f>VLOOKUP(A545,'BADI SID DATA'!A:B,2,0)</f>
        <v>332</v>
      </c>
      <c r="C545" s="56">
        <v>59799.35000000149</v>
      </c>
      <c r="D545" s="51">
        <v>6.12</v>
      </c>
      <c r="E545" s="54">
        <v>10</v>
      </c>
      <c r="F545" s="46">
        <v>1</v>
      </c>
      <c r="G545" s="46">
        <v>1</v>
      </c>
      <c r="H545" s="81">
        <f t="shared" si="28"/>
        <v>8772396.7499999925</v>
      </c>
      <c r="I545" s="84">
        <f t="shared" si="26"/>
        <v>0.24916395833333954</v>
      </c>
      <c r="J545" s="84">
        <f t="shared" si="27"/>
        <v>0.11009534073795171</v>
      </c>
      <c r="K545" s="90" t="s">
        <v>54</v>
      </c>
    </row>
    <row r="546" spans="1:11" ht="60">
      <c r="A546" s="14">
        <v>45349</v>
      </c>
      <c r="B546" s="83">
        <f>VLOOKUP(A546,'BADI SID DATA'!A:B,2,0)</f>
        <v>333</v>
      </c>
      <c r="C546" s="56">
        <v>61100</v>
      </c>
      <c r="D546" s="51">
        <v>6.3</v>
      </c>
      <c r="E546" s="54">
        <v>9.9</v>
      </c>
      <c r="F546" s="46">
        <v>1</v>
      </c>
      <c r="G546" s="46">
        <v>1</v>
      </c>
      <c r="H546" s="81">
        <f t="shared" si="28"/>
        <v>8833496.7499999925</v>
      </c>
      <c r="I546" s="84">
        <f t="shared" si="26"/>
        <v>0.25458333333333333</v>
      </c>
      <c r="J546" s="84">
        <f t="shared" si="27"/>
        <v>0.11052923861361352</v>
      </c>
      <c r="K546" s="90" t="s">
        <v>54</v>
      </c>
    </row>
    <row r="547" spans="1:11" ht="20">
      <c r="A547" s="14">
        <v>45350</v>
      </c>
      <c r="B547" s="83">
        <f>VLOOKUP(A547,'BADI SID DATA'!A:B,2,0)</f>
        <v>334</v>
      </c>
      <c r="C547" s="56">
        <v>68249.35000000149</v>
      </c>
      <c r="D547" s="51">
        <v>7</v>
      </c>
      <c r="E547" s="54">
        <v>10.8</v>
      </c>
      <c r="F547" s="46">
        <v>1</v>
      </c>
      <c r="G547" s="46">
        <v>1</v>
      </c>
      <c r="H547" s="81">
        <f t="shared" si="28"/>
        <v>8901746.099999994</v>
      </c>
      <c r="I547" s="84">
        <f t="shared" si="26"/>
        <v>0.28437229166667288</v>
      </c>
      <c r="J547" s="84">
        <f t="shared" si="27"/>
        <v>0.11104972679640711</v>
      </c>
      <c r="K547" s="90" t="s">
        <v>65</v>
      </c>
    </row>
    <row r="548" spans="1:11" ht="20">
      <c r="A548" s="14">
        <v>45351</v>
      </c>
      <c r="B548" s="83">
        <f>VLOOKUP(A548,'BADI SID DATA'!A:B,2,0)</f>
        <v>335</v>
      </c>
      <c r="C548" s="56">
        <v>70200.64999999851</v>
      </c>
      <c r="D548" s="55">
        <v>7.17</v>
      </c>
      <c r="E548" s="54">
        <v>10.9</v>
      </c>
      <c r="F548" s="46">
        <v>1</v>
      </c>
      <c r="G548" s="46">
        <v>1</v>
      </c>
      <c r="H548" s="81">
        <f t="shared" si="28"/>
        <v>8971946.7499999925</v>
      </c>
      <c r="I548" s="84">
        <f t="shared" si="26"/>
        <v>0.29250270833332714</v>
      </c>
      <c r="J548" s="84">
        <f t="shared" si="27"/>
        <v>0.11159137748756209</v>
      </c>
      <c r="K548" s="90" t="s">
        <v>65</v>
      </c>
    </row>
    <row r="549" spans="1:11" ht="20">
      <c r="A549" s="14">
        <v>45352</v>
      </c>
      <c r="B549" s="83">
        <f>VLOOKUP(A549,'BADI SID DATA'!A:B,2,0)</f>
        <v>336</v>
      </c>
      <c r="C549" s="56">
        <v>67598.69999999553</v>
      </c>
      <c r="D549" s="53">
        <v>6.86</v>
      </c>
      <c r="E549" s="54">
        <v>10.6</v>
      </c>
      <c r="F549" s="46">
        <v>1</v>
      </c>
      <c r="G549" s="46">
        <v>1</v>
      </c>
      <c r="H549" s="81">
        <f t="shared" si="28"/>
        <v>9039545.4499999881</v>
      </c>
      <c r="I549" s="84">
        <f t="shared" si="26"/>
        <v>0.28166124999998138</v>
      </c>
      <c r="J549" s="84">
        <f t="shared" si="27"/>
        <v>0.11209753782242049</v>
      </c>
      <c r="K549" s="90" t="s">
        <v>65</v>
      </c>
    </row>
    <row r="550" spans="1:11" ht="60">
      <c r="A550" s="14">
        <v>45353</v>
      </c>
      <c r="B550" s="83">
        <f>VLOOKUP(A550,'BADI SID DATA'!A:B,2,0)</f>
        <v>337</v>
      </c>
      <c r="C550" s="56">
        <v>61100.000000007451</v>
      </c>
      <c r="D550" s="50">
        <v>6.17</v>
      </c>
      <c r="E550" s="54">
        <v>10.8</v>
      </c>
      <c r="F550" s="46">
        <v>1</v>
      </c>
      <c r="G550" s="46">
        <v>0.93680555555555556</v>
      </c>
      <c r="H550" s="81">
        <f t="shared" si="28"/>
        <v>9100645.4499999955</v>
      </c>
      <c r="I550" s="84">
        <f t="shared" si="26"/>
        <v>0.25458333333336436</v>
      </c>
      <c r="J550" s="84">
        <f t="shared" si="27"/>
        <v>0.11252034433728976</v>
      </c>
      <c r="K550" s="90" t="s">
        <v>54</v>
      </c>
    </row>
    <row r="551" spans="1:11" ht="60">
      <c r="A551" s="14">
        <v>45354</v>
      </c>
      <c r="B551" s="83">
        <f>VLOOKUP(A551,'BADI SID DATA'!A:B,2,0)</f>
        <v>338</v>
      </c>
      <c r="C551" s="56">
        <v>63702.60000000149</v>
      </c>
      <c r="D551" s="50">
        <v>6.59</v>
      </c>
      <c r="E551" s="54">
        <v>10.1</v>
      </c>
      <c r="F551" s="46">
        <v>1</v>
      </c>
      <c r="G551" s="46">
        <v>1</v>
      </c>
      <c r="H551" s="81">
        <f t="shared" si="28"/>
        <v>9164348.049999997</v>
      </c>
      <c r="I551" s="84">
        <f t="shared" si="26"/>
        <v>0.2654275000000062</v>
      </c>
      <c r="J551" s="84">
        <f t="shared" si="27"/>
        <v>0.11297273237179484</v>
      </c>
      <c r="K551" s="90" t="s">
        <v>54</v>
      </c>
    </row>
    <row r="552" spans="1:11" ht="60">
      <c r="A552" s="14">
        <v>45355</v>
      </c>
      <c r="B552" s="83">
        <f>VLOOKUP(A552,'BADI SID DATA'!A:B,2,0)</f>
        <v>339</v>
      </c>
      <c r="C552" s="56">
        <v>62398.04999999702</v>
      </c>
      <c r="D552" s="53">
        <v>6.57</v>
      </c>
      <c r="E552" s="54">
        <v>10</v>
      </c>
      <c r="F552" s="46">
        <v>1</v>
      </c>
      <c r="G552" s="46">
        <v>1</v>
      </c>
      <c r="H552" s="81">
        <f t="shared" si="28"/>
        <v>9226746.099999994</v>
      </c>
      <c r="I552" s="84">
        <f t="shared" si="26"/>
        <v>0.2599918749999876</v>
      </c>
      <c r="J552" s="84">
        <f t="shared" si="27"/>
        <v>0.11340641715830868</v>
      </c>
      <c r="K552" s="90" t="s">
        <v>54</v>
      </c>
    </row>
    <row r="553" spans="1:11" ht="20">
      <c r="A553" s="14">
        <v>45356</v>
      </c>
      <c r="B553" s="83">
        <f>VLOOKUP(A553,'BADI SID DATA'!A:B,2,0)</f>
        <v>340</v>
      </c>
      <c r="C553" s="56">
        <v>65000</v>
      </c>
      <c r="D553" s="53">
        <v>6.86</v>
      </c>
      <c r="E553" s="54">
        <v>10</v>
      </c>
      <c r="F553" s="46">
        <v>1</v>
      </c>
      <c r="G553" s="46">
        <v>1</v>
      </c>
      <c r="H553" s="81">
        <f t="shared" si="28"/>
        <v>9291746.099999994</v>
      </c>
      <c r="I553" s="84">
        <f t="shared" si="26"/>
        <v>0.27083333333333331</v>
      </c>
      <c r="J553" s="84">
        <f t="shared" si="27"/>
        <v>0.11386943749999992</v>
      </c>
      <c r="K553" s="90" t="s">
        <v>65</v>
      </c>
    </row>
    <row r="554" spans="1:11" ht="60">
      <c r="A554" s="14">
        <v>45357</v>
      </c>
      <c r="B554" s="83">
        <f>VLOOKUP(A554,'BADI SID DATA'!A:B,2,0)</f>
        <v>341</v>
      </c>
      <c r="C554" s="56">
        <v>62401.29999999702</v>
      </c>
      <c r="D554" s="50">
        <v>6.56</v>
      </c>
      <c r="E554" s="54">
        <v>10.199999999999999</v>
      </c>
      <c r="F554" s="46">
        <v>1</v>
      </c>
      <c r="G554" s="46">
        <v>1</v>
      </c>
      <c r="H554" s="81">
        <f t="shared" si="28"/>
        <v>9354147.3999999911</v>
      </c>
      <c r="I554" s="84">
        <f t="shared" si="26"/>
        <v>0.26000541666665428</v>
      </c>
      <c r="J554" s="84">
        <f t="shared" si="27"/>
        <v>0.11429798875855317</v>
      </c>
      <c r="K554" s="90" t="s">
        <v>54</v>
      </c>
    </row>
    <row r="555" spans="1:11" ht="60">
      <c r="A555" s="14">
        <v>45358</v>
      </c>
      <c r="B555" s="83">
        <f>VLOOKUP(A555,'BADI SID DATA'!A:B,2,0)</f>
        <v>342</v>
      </c>
      <c r="C555" s="56">
        <v>61750.65000000596</v>
      </c>
      <c r="D555" s="50">
        <v>6.63</v>
      </c>
      <c r="E555" s="54">
        <v>10.1</v>
      </c>
      <c r="F555" s="46">
        <v>1</v>
      </c>
      <c r="G555" s="46">
        <v>0.98472222222222228</v>
      </c>
      <c r="H555" s="81">
        <f t="shared" si="28"/>
        <v>9415898.049999997</v>
      </c>
      <c r="I555" s="84">
        <f t="shared" si="26"/>
        <v>0.25729437500002483</v>
      </c>
      <c r="J555" s="84">
        <f t="shared" si="27"/>
        <v>0.11471610684697853</v>
      </c>
      <c r="K555" s="90" t="s">
        <v>54</v>
      </c>
    </row>
    <row r="556" spans="1:11" ht="60">
      <c r="A556" s="14">
        <v>45359</v>
      </c>
      <c r="B556" s="83">
        <f>VLOOKUP(A556,'BADI SID DATA'!A:B,2,0)</f>
        <v>343</v>
      </c>
      <c r="C556" s="56">
        <v>61099.999999992549</v>
      </c>
      <c r="D556" s="53">
        <v>6.51</v>
      </c>
      <c r="E556" s="54">
        <v>10</v>
      </c>
      <c r="F556" s="46">
        <v>1</v>
      </c>
      <c r="G556" s="46">
        <v>1</v>
      </c>
      <c r="H556" s="81">
        <f t="shared" si="28"/>
        <v>9476998.0499999896</v>
      </c>
      <c r="I556" s="84">
        <f t="shared" si="26"/>
        <v>0.2545833333333023</v>
      </c>
      <c r="J556" s="84">
        <f t="shared" si="27"/>
        <v>0.11512388301749259</v>
      </c>
      <c r="K556" s="90" t="s">
        <v>54</v>
      </c>
    </row>
    <row r="557" spans="1:11" ht="60">
      <c r="A557" s="14">
        <v>45360</v>
      </c>
      <c r="B557" s="83">
        <f>VLOOKUP(A557,'BADI SID DATA'!A:B,2,0)</f>
        <v>344</v>
      </c>
      <c r="C557" s="56">
        <v>59798.70000000298</v>
      </c>
      <c r="D557" s="50">
        <v>6.25</v>
      </c>
      <c r="E557" s="54">
        <v>9.8000000000000007</v>
      </c>
      <c r="F557" s="46">
        <v>1</v>
      </c>
      <c r="G557" s="46">
        <v>1</v>
      </c>
      <c r="H557" s="81">
        <f t="shared" si="28"/>
        <v>9536796.7499999925</v>
      </c>
      <c r="I557" s="84">
        <f t="shared" si="26"/>
        <v>0.24916125000001241</v>
      </c>
      <c r="J557" s="84">
        <f t="shared" si="27"/>
        <v>0.1155135265261627</v>
      </c>
      <c r="K557" s="90" t="s">
        <v>54</v>
      </c>
    </row>
    <row r="558" spans="1:11" ht="20">
      <c r="A558" s="14">
        <v>45361</v>
      </c>
      <c r="B558" s="83">
        <f>VLOOKUP(A558,'BADI SID DATA'!A:B,2,0)</f>
        <v>345</v>
      </c>
      <c r="C558" s="56">
        <v>54598.04999999702</v>
      </c>
      <c r="D558" s="51">
        <v>5.66</v>
      </c>
      <c r="E558" s="54">
        <v>10</v>
      </c>
      <c r="F558" s="46">
        <v>1</v>
      </c>
      <c r="G558" s="46">
        <v>1</v>
      </c>
      <c r="H558" s="81">
        <f t="shared" si="28"/>
        <v>9591394.7999999896</v>
      </c>
      <c r="I558" s="84">
        <f t="shared" ref="I558:I621" si="29">C558/(10*24*1000)</f>
        <v>0.22749187499998758</v>
      </c>
      <c r="J558" s="84">
        <f t="shared" si="27"/>
        <v>0.11583810144927524</v>
      </c>
      <c r="K558" s="90" t="s">
        <v>52</v>
      </c>
    </row>
    <row r="559" spans="1:11" ht="20">
      <c r="A559" s="14">
        <v>45362</v>
      </c>
      <c r="B559" s="83">
        <f>VLOOKUP(A559,'BADI SID DATA'!A:B,2,0)</f>
        <v>346</v>
      </c>
      <c r="C559" s="56">
        <v>56553.89999999851</v>
      </c>
      <c r="D559" s="52">
        <v>5.88</v>
      </c>
      <c r="E559" s="54">
        <v>10.199999999999999</v>
      </c>
      <c r="F559" s="46">
        <v>1</v>
      </c>
      <c r="G559" s="46">
        <v>1</v>
      </c>
      <c r="H559" s="81">
        <f t="shared" si="28"/>
        <v>9647948.6999999881</v>
      </c>
      <c r="I559" s="84">
        <f t="shared" si="29"/>
        <v>0.23564124999999378</v>
      </c>
      <c r="J559" s="84">
        <f t="shared" si="27"/>
        <v>0.11618435332369928</v>
      </c>
      <c r="K559" s="90" t="s">
        <v>52</v>
      </c>
    </row>
    <row r="560" spans="1:11" ht="60">
      <c r="A560" s="14">
        <v>45363</v>
      </c>
      <c r="B560" s="83">
        <f>VLOOKUP(A560,'BADI SID DATA'!A:B,2,0)</f>
        <v>347</v>
      </c>
      <c r="C560" s="56">
        <v>59798.70000000298</v>
      </c>
      <c r="D560" s="51">
        <v>6.27</v>
      </c>
      <c r="E560" s="54">
        <v>10.1</v>
      </c>
      <c r="F560" s="46">
        <v>1</v>
      </c>
      <c r="G560" s="46">
        <v>0.76388888888888884</v>
      </c>
      <c r="H560" s="81">
        <f t="shared" si="28"/>
        <v>9707747.3999999911</v>
      </c>
      <c r="I560" s="84">
        <f t="shared" si="29"/>
        <v>0.24916125000001241</v>
      </c>
      <c r="J560" s="84">
        <f t="shared" si="27"/>
        <v>0.1165675720461094</v>
      </c>
      <c r="K560" s="90" t="s">
        <v>54</v>
      </c>
    </row>
    <row r="561" spans="1:11" ht="60">
      <c r="A561" s="14">
        <v>45364</v>
      </c>
      <c r="B561" s="83">
        <f>VLOOKUP(A561,'BADI SID DATA'!A:B,2,0)</f>
        <v>348</v>
      </c>
      <c r="C561" s="56">
        <v>55248.70000000298</v>
      </c>
      <c r="D561" s="51">
        <v>5.7</v>
      </c>
      <c r="E561" s="54">
        <v>9.9</v>
      </c>
      <c r="F561" s="46">
        <v>1</v>
      </c>
      <c r="G561" s="46">
        <v>0.64930555555555558</v>
      </c>
      <c r="H561" s="81">
        <f t="shared" si="28"/>
        <v>9762996.099999994</v>
      </c>
      <c r="I561" s="84">
        <f t="shared" si="29"/>
        <v>0.23020291666667908</v>
      </c>
      <c r="J561" s="84">
        <f t="shared" si="27"/>
        <v>0.11689411039272024</v>
      </c>
      <c r="K561" s="90" t="s">
        <v>54</v>
      </c>
    </row>
    <row r="562" spans="1:11" ht="20">
      <c r="A562" s="14">
        <v>45365</v>
      </c>
      <c r="B562" s="83">
        <f>VLOOKUP(A562,'BADI SID DATA'!A:B,2,0)</f>
        <v>349</v>
      </c>
      <c r="C562" s="56">
        <v>46801.94999999553</v>
      </c>
      <c r="D562" s="51">
        <v>4.91</v>
      </c>
      <c r="E562" s="54">
        <v>10</v>
      </c>
      <c r="F562" s="46">
        <v>1</v>
      </c>
      <c r="G562" s="46">
        <v>1</v>
      </c>
      <c r="H562" s="81">
        <f t="shared" si="28"/>
        <v>9809798.0499999896</v>
      </c>
      <c r="I562" s="84">
        <f t="shared" si="29"/>
        <v>0.19500812499998138</v>
      </c>
      <c r="J562" s="84">
        <f t="shared" si="27"/>
        <v>0.11711793278414505</v>
      </c>
      <c r="K562" s="90" t="s">
        <v>52</v>
      </c>
    </row>
    <row r="563" spans="1:11" ht="20">
      <c r="A563" s="14">
        <v>45366</v>
      </c>
      <c r="B563" s="83">
        <f>VLOOKUP(A563,'BADI SID DATA'!A:B,2,0)</f>
        <v>350</v>
      </c>
      <c r="C563" s="56">
        <v>52649.35000000149</v>
      </c>
      <c r="D563" s="51">
        <v>5.55</v>
      </c>
      <c r="E563" s="54">
        <v>9.9</v>
      </c>
      <c r="F563" s="46">
        <v>1</v>
      </c>
      <c r="G563" s="46">
        <v>1</v>
      </c>
      <c r="H563" s="81">
        <f t="shared" si="28"/>
        <v>9862447.3999999911</v>
      </c>
      <c r="I563" s="84">
        <f t="shared" si="29"/>
        <v>0.21937229166667288</v>
      </c>
      <c r="J563" s="84">
        <f t="shared" si="27"/>
        <v>0.11741008809523799</v>
      </c>
      <c r="K563" s="90" t="s">
        <v>52</v>
      </c>
    </row>
    <row r="564" spans="1:11" ht="60">
      <c r="A564" s="14">
        <v>45367</v>
      </c>
      <c r="B564" s="83">
        <f>VLOOKUP(A564,'BADI SID DATA'!A:B,2,0)</f>
        <v>351</v>
      </c>
      <c r="C564" s="56">
        <v>58498.05000000447</v>
      </c>
      <c r="D564" s="51">
        <v>6.1</v>
      </c>
      <c r="E564" s="54">
        <v>9.9</v>
      </c>
      <c r="F564" s="46">
        <v>1</v>
      </c>
      <c r="G564" s="46">
        <v>1</v>
      </c>
      <c r="H564" s="81">
        <f t="shared" si="28"/>
        <v>9920945.4499999955</v>
      </c>
      <c r="I564" s="84">
        <f t="shared" si="29"/>
        <v>0.24374187500001862</v>
      </c>
      <c r="J564" s="84">
        <f t="shared" si="27"/>
        <v>0.11777000771604933</v>
      </c>
      <c r="K564" s="90" t="s">
        <v>54</v>
      </c>
    </row>
    <row r="565" spans="1:11" ht="60">
      <c r="A565" s="14">
        <v>45368</v>
      </c>
      <c r="B565" s="83">
        <f>VLOOKUP(A565,'BADI SID DATA'!A:B,2,0)</f>
        <v>352</v>
      </c>
      <c r="C565" s="56">
        <v>59802.59999999404</v>
      </c>
      <c r="D565" s="51">
        <v>6.33</v>
      </c>
      <c r="E565" s="54">
        <v>10</v>
      </c>
      <c r="F565" s="46">
        <v>1</v>
      </c>
      <c r="G565" s="46">
        <v>1</v>
      </c>
      <c r="H565" s="81">
        <f t="shared" si="28"/>
        <v>9980748.0499999896</v>
      </c>
      <c r="I565" s="84">
        <f t="shared" si="29"/>
        <v>0.24917749999997515</v>
      </c>
      <c r="J565" s="84">
        <f t="shared" si="27"/>
        <v>0.1181433244554923</v>
      </c>
      <c r="K565" s="90" t="s">
        <v>54</v>
      </c>
    </row>
    <row r="566" spans="1:11" ht="60">
      <c r="A566" s="14">
        <v>45369</v>
      </c>
      <c r="B566" s="83">
        <f>VLOOKUP(A566,'BADI SID DATA'!A:B,2,0)</f>
        <v>353</v>
      </c>
      <c r="C566" s="56">
        <v>60449.35000000149</v>
      </c>
      <c r="D566" s="51">
        <v>6.35</v>
      </c>
      <c r="E566" s="54">
        <v>10.3</v>
      </c>
      <c r="F566" s="46">
        <v>1</v>
      </c>
      <c r="G566" s="46">
        <v>1</v>
      </c>
      <c r="H566" s="81">
        <f t="shared" si="28"/>
        <v>10041197.399999991</v>
      </c>
      <c r="I566" s="84">
        <f t="shared" si="29"/>
        <v>0.25187229166667285</v>
      </c>
      <c r="J566" s="84">
        <f t="shared" si="27"/>
        <v>0.11852216005665712</v>
      </c>
      <c r="K566" s="90" t="s">
        <v>54</v>
      </c>
    </row>
    <row r="567" spans="1:11" ht="60">
      <c r="A567" s="14">
        <v>45370</v>
      </c>
      <c r="B567" s="83">
        <f>VLOOKUP(A567,'BADI SID DATA'!A:B,2,0)</f>
        <v>354</v>
      </c>
      <c r="C567" s="56">
        <v>60450</v>
      </c>
      <c r="D567" s="51">
        <v>6.39</v>
      </c>
      <c r="E567" s="54">
        <v>9.9</v>
      </c>
      <c r="F567" s="46">
        <v>1</v>
      </c>
      <c r="G567" s="46">
        <v>1</v>
      </c>
      <c r="H567" s="81">
        <f t="shared" si="28"/>
        <v>10101647.399999991</v>
      </c>
      <c r="I567" s="84">
        <f t="shared" si="29"/>
        <v>0.25187500000000002</v>
      </c>
      <c r="J567" s="84">
        <f t="shared" si="27"/>
        <v>0.11889886299435018</v>
      </c>
      <c r="K567" s="90" t="s">
        <v>54</v>
      </c>
    </row>
    <row r="568" spans="1:11" ht="60">
      <c r="A568" s="14">
        <v>45371</v>
      </c>
      <c r="B568" s="83">
        <f>VLOOKUP(A568,'BADI SID DATA'!A:B,2,0)</f>
        <v>355</v>
      </c>
      <c r="C568" s="56">
        <v>61750.65000000596</v>
      </c>
      <c r="D568" s="51">
        <v>6.46</v>
      </c>
      <c r="E568" s="54">
        <v>10.1</v>
      </c>
      <c r="F568" s="46">
        <v>1</v>
      </c>
      <c r="G568" s="46">
        <v>1</v>
      </c>
      <c r="H568" s="81">
        <f t="shared" si="28"/>
        <v>10163398.049999997</v>
      </c>
      <c r="I568" s="84">
        <f t="shared" si="29"/>
        <v>0.25729437500002483</v>
      </c>
      <c r="J568" s="84">
        <f t="shared" si="27"/>
        <v>0.11928870950704222</v>
      </c>
      <c r="K568" s="90" t="s">
        <v>54</v>
      </c>
    </row>
    <row r="569" spans="1:11" ht="20">
      <c r="A569" s="14">
        <v>45372</v>
      </c>
      <c r="B569" s="83">
        <f>VLOOKUP(A569,'BADI SID DATA'!A:B,2,0)</f>
        <v>356</v>
      </c>
      <c r="C569" s="56">
        <v>51999.34999999404</v>
      </c>
      <c r="D569" s="51">
        <v>5.33</v>
      </c>
      <c r="E569" s="54">
        <v>10.3</v>
      </c>
      <c r="F569" s="46">
        <v>1</v>
      </c>
      <c r="G569" s="46">
        <v>1</v>
      </c>
      <c r="H569" s="81">
        <f t="shared" si="28"/>
        <v>10215397.399999991</v>
      </c>
      <c r="I569" s="84">
        <f t="shared" si="29"/>
        <v>0.21666395833330851</v>
      </c>
      <c r="J569" s="84">
        <f t="shared" si="27"/>
        <v>0.11956223548689128</v>
      </c>
      <c r="K569" s="90" t="s">
        <v>52</v>
      </c>
    </row>
    <row r="570" spans="1:11" ht="60">
      <c r="A570" s="14">
        <v>45373</v>
      </c>
      <c r="B570" s="83">
        <f>VLOOKUP(A570,'BADI SID DATA'!A:B,2,0)</f>
        <v>357</v>
      </c>
      <c r="C570" s="56">
        <v>54597.40000000596</v>
      </c>
      <c r="D570" s="51">
        <v>5.91</v>
      </c>
      <c r="E570" s="54">
        <v>10.4</v>
      </c>
      <c r="F570" s="46">
        <v>1</v>
      </c>
      <c r="G570" s="46">
        <v>0.98263888888888884</v>
      </c>
      <c r="H570" s="81">
        <f t="shared" si="28"/>
        <v>10269994.799999997</v>
      </c>
      <c r="I570" s="84">
        <f t="shared" si="29"/>
        <v>0.2274891666666915</v>
      </c>
      <c r="J570" s="84">
        <f t="shared" si="27"/>
        <v>0.11986455182072826</v>
      </c>
      <c r="K570" s="90" t="s">
        <v>54</v>
      </c>
    </row>
    <row r="571" spans="1:11" ht="60">
      <c r="A571" s="14">
        <v>45374</v>
      </c>
      <c r="B571" s="83">
        <f>VLOOKUP(A571,'BADI SID DATA'!A:B,2,0)</f>
        <v>358</v>
      </c>
      <c r="C571" s="56">
        <v>61100.649999991059</v>
      </c>
      <c r="D571" s="51">
        <v>6.32</v>
      </c>
      <c r="E571" s="54">
        <v>10.1</v>
      </c>
      <c r="F571" s="46">
        <v>1</v>
      </c>
      <c r="G571" s="46">
        <v>1</v>
      </c>
      <c r="H571" s="81">
        <f t="shared" si="28"/>
        <v>10331095.449999988</v>
      </c>
      <c r="I571" s="84">
        <f t="shared" si="29"/>
        <v>0.2545860416666294</v>
      </c>
      <c r="J571" s="84">
        <f t="shared" si="27"/>
        <v>0.120240868831471</v>
      </c>
      <c r="K571" s="90" t="s">
        <v>54</v>
      </c>
    </row>
    <row r="572" spans="1:11" ht="60">
      <c r="A572" s="14">
        <v>45375</v>
      </c>
      <c r="B572" s="83">
        <f>VLOOKUP(A572,'BADI SID DATA'!A:B,2,0)</f>
        <v>359</v>
      </c>
      <c r="C572" s="56">
        <v>64353.25</v>
      </c>
      <c r="D572" s="51">
        <v>6.84</v>
      </c>
      <c r="E572" s="54">
        <v>10.199999999999999</v>
      </c>
      <c r="F572" s="46">
        <v>1</v>
      </c>
      <c r="G572" s="46">
        <v>1</v>
      </c>
      <c r="H572" s="81">
        <f t="shared" si="28"/>
        <v>10395448.699999988</v>
      </c>
      <c r="I572" s="84">
        <f t="shared" si="29"/>
        <v>0.26813854166666667</v>
      </c>
      <c r="J572" s="84">
        <f t="shared" si="27"/>
        <v>0.12065284006499521</v>
      </c>
      <c r="K572" s="90" t="s">
        <v>54</v>
      </c>
    </row>
    <row r="573" spans="1:11" ht="60">
      <c r="A573" s="14">
        <v>45376</v>
      </c>
      <c r="B573" s="83">
        <f>VLOOKUP(A573,'BADI SID DATA'!A:B,2,0)</f>
        <v>360</v>
      </c>
      <c r="C573" s="56">
        <v>61100.000000007451</v>
      </c>
      <c r="D573" s="52">
        <v>6.39</v>
      </c>
      <c r="E573" s="54">
        <v>10.1</v>
      </c>
      <c r="F573" s="46">
        <v>1</v>
      </c>
      <c r="G573" s="46">
        <v>1</v>
      </c>
      <c r="H573" s="81">
        <f t="shared" si="28"/>
        <v>10456548.699999996</v>
      </c>
      <c r="I573" s="84">
        <f t="shared" si="29"/>
        <v>0.25458333333336436</v>
      </c>
      <c r="J573" s="84">
        <f t="shared" ref="J573:J636" si="30">H573/(24*B573*10*1000)</f>
        <v>0.1210248692129629</v>
      </c>
      <c r="K573" s="90" t="s">
        <v>54</v>
      </c>
    </row>
    <row r="574" spans="1:11" ht="60">
      <c r="A574" s="14">
        <v>45377</v>
      </c>
      <c r="B574" s="83">
        <f>VLOOKUP(A574,'BADI SID DATA'!A:B,2,0)</f>
        <v>361</v>
      </c>
      <c r="C574" s="56">
        <v>62397.39999999851</v>
      </c>
      <c r="D574" s="52">
        <v>6.61</v>
      </c>
      <c r="E574" s="54">
        <v>10</v>
      </c>
      <c r="F574" s="46">
        <v>1</v>
      </c>
      <c r="G574" s="46">
        <v>1</v>
      </c>
      <c r="H574" s="81">
        <f t="shared" si="28"/>
        <v>10518946.099999994</v>
      </c>
      <c r="I574" s="84">
        <f t="shared" si="29"/>
        <v>0.25998916666666044</v>
      </c>
      <c r="J574" s="84">
        <f t="shared" si="30"/>
        <v>0.12140981186518922</v>
      </c>
      <c r="K574" s="90" t="s">
        <v>54</v>
      </c>
    </row>
    <row r="575" spans="1:11" ht="20">
      <c r="A575" s="14">
        <v>45378</v>
      </c>
      <c r="B575" s="83">
        <f>VLOOKUP(A575,'BADI SID DATA'!A:B,2,0)</f>
        <v>362</v>
      </c>
      <c r="C575" s="56">
        <v>66301.29999999702</v>
      </c>
      <c r="D575" s="52">
        <v>7.08</v>
      </c>
      <c r="E575" s="54">
        <v>10</v>
      </c>
      <c r="F575" s="46">
        <v>1</v>
      </c>
      <c r="G575" s="46">
        <v>0.9375</v>
      </c>
      <c r="H575" s="81">
        <f t="shared" si="28"/>
        <v>10585247.399999991</v>
      </c>
      <c r="I575" s="84">
        <f t="shared" si="29"/>
        <v>0.27625541666665426</v>
      </c>
      <c r="J575" s="84">
        <f t="shared" si="30"/>
        <v>0.12183756215469603</v>
      </c>
      <c r="K575" s="90" t="s">
        <v>65</v>
      </c>
    </row>
    <row r="576" spans="1:11" ht="60">
      <c r="A576" s="14">
        <v>45379</v>
      </c>
      <c r="B576" s="83">
        <f>VLOOKUP(A576,'BADI SID DATA'!A:B,2,0)</f>
        <v>363</v>
      </c>
      <c r="C576" s="56">
        <v>64349.35000000149</v>
      </c>
      <c r="D576" s="52">
        <v>6.98</v>
      </c>
      <c r="E576" s="54">
        <v>10.199999999999999</v>
      </c>
      <c r="F576" s="46">
        <v>1</v>
      </c>
      <c r="G576" s="46">
        <v>1</v>
      </c>
      <c r="H576" s="81">
        <f t="shared" si="28"/>
        <v>10649596.749999993</v>
      </c>
      <c r="I576" s="84">
        <f t="shared" si="29"/>
        <v>0.2681222916666729</v>
      </c>
      <c r="J576" s="84">
        <f t="shared" si="30"/>
        <v>0.12224055039026621</v>
      </c>
      <c r="K576" s="90" t="s">
        <v>54</v>
      </c>
    </row>
    <row r="577" spans="1:11" ht="60">
      <c r="A577" s="14">
        <v>45380</v>
      </c>
      <c r="B577" s="83">
        <f>VLOOKUP(A577,'BADI SID DATA'!A:B,2,0)</f>
        <v>364</v>
      </c>
      <c r="C577" s="56">
        <v>59148.05000000447</v>
      </c>
      <c r="D577" s="51">
        <v>6.4</v>
      </c>
      <c r="E577" s="54">
        <v>9.9</v>
      </c>
      <c r="F577" s="46">
        <v>1</v>
      </c>
      <c r="G577" s="46">
        <v>1</v>
      </c>
      <c r="H577" s="81">
        <f t="shared" si="28"/>
        <v>10708744.799999997</v>
      </c>
      <c r="I577" s="84">
        <f t="shared" si="29"/>
        <v>0.24645020833335196</v>
      </c>
      <c r="J577" s="84">
        <f t="shared" si="30"/>
        <v>0.12258178571428568</v>
      </c>
      <c r="K577" s="90" t="s">
        <v>54</v>
      </c>
    </row>
    <row r="578" spans="1:11" ht="60">
      <c r="A578" s="14">
        <v>45381</v>
      </c>
      <c r="B578" s="83">
        <f>VLOOKUP(A578,'BADI SID DATA'!A:B,2,0)</f>
        <v>365</v>
      </c>
      <c r="C578" s="56">
        <v>63702.59999999404</v>
      </c>
      <c r="D578" s="52">
        <v>6.92</v>
      </c>
      <c r="E578" s="54">
        <v>10.1</v>
      </c>
      <c r="F578" s="46">
        <v>1</v>
      </c>
      <c r="G578" s="46">
        <v>1</v>
      </c>
      <c r="H578" s="81">
        <f t="shared" si="28"/>
        <v>10772447.399999991</v>
      </c>
      <c r="I578" s="84">
        <f t="shared" si="29"/>
        <v>0.26542749999997517</v>
      </c>
      <c r="J578" s="84">
        <f t="shared" si="30"/>
        <v>0.12297314383561633</v>
      </c>
      <c r="K578" s="90" t="s">
        <v>54</v>
      </c>
    </row>
    <row r="579" spans="1:11" ht="60">
      <c r="A579" s="14">
        <v>45382</v>
      </c>
      <c r="B579" s="83">
        <f>VLOOKUP(A579,'BADI SID DATA'!A:B,2,0)</f>
        <v>366</v>
      </c>
      <c r="C579" s="56">
        <v>63048.70000000298</v>
      </c>
      <c r="D579" s="55">
        <v>6.92</v>
      </c>
      <c r="E579" s="54">
        <v>10.199999999999999</v>
      </c>
      <c r="F579" s="46">
        <v>1</v>
      </c>
      <c r="G579" s="46">
        <v>0.54166666666666663</v>
      </c>
      <c r="H579" s="81">
        <f t="shared" si="28"/>
        <v>10835496.099999994</v>
      </c>
      <c r="I579" s="84">
        <f t="shared" si="29"/>
        <v>0.26270291666667911</v>
      </c>
      <c r="J579" s="84">
        <f t="shared" si="30"/>
        <v>0.12335491917122034</v>
      </c>
      <c r="K579" s="90" t="s">
        <v>54</v>
      </c>
    </row>
    <row r="580" spans="1:11" ht="60">
      <c r="A580" s="14">
        <v>45383</v>
      </c>
      <c r="B580" s="83">
        <f>VLOOKUP(A580,'BADI SID DATA'!A:B,2,0)</f>
        <v>1</v>
      </c>
      <c r="C580" s="85">
        <v>59802.60000000149</v>
      </c>
      <c r="D580" s="53">
        <v>6.53</v>
      </c>
      <c r="E580" s="82">
        <v>10</v>
      </c>
      <c r="F580" s="46">
        <v>1</v>
      </c>
      <c r="G580" s="46">
        <v>1</v>
      </c>
      <c r="H580" s="81">
        <f>C580</f>
        <v>59802.60000000149</v>
      </c>
      <c r="I580" s="84">
        <f t="shared" si="29"/>
        <v>0.24917750000000621</v>
      </c>
      <c r="J580" s="84">
        <f t="shared" si="30"/>
        <v>0.24917750000000621</v>
      </c>
      <c r="K580" s="90" t="s">
        <v>54</v>
      </c>
    </row>
    <row r="581" spans="1:11" ht="20">
      <c r="A581" s="14">
        <v>45384</v>
      </c>
      <c r="B581" s="83">
        <f>VLOOKUP(A581,'BADI SID DATA'!A:B,2,0)</f>
        <v>2</v>
      </c>
      <c r="C581" s="85">
        <v>63698.69999999553</v>
      </c>
      <c r="D581" s="50">
        <v>6.97</v>
      </c>
      <c r="E581" s="82">
        <v>10.1</v>
      </c>
      <c r="F581" s="46">
        <v>1</v>
      </c>
      <c r="G581" s="46">
        <v>1</v>
      </c>
      <c r="H581" s="81">
        <f t="shared" ref="H581:H644" si="31">C581+H580</f>
        <v>123501.29999999702</v>
      </c>
      <c r="I581" s="84">
        <f t="shared" si="29"/>
        <v>0.26541124999998139</v>
      </c>
      <c r="J581" s="84">
        <f t="shared" si="30"/>
        <v>0.2572943749999938</v>
      </c>
      <c r="K581" s="90" t="s">
        <v>65</v>
      </c>
    </row>
    <row r="582" spans="1:11" ht="60">
      <c r="A582" s="14">
        <v>45385</v>
      </c>
      <c r="B582" s="83">
        <f>VLOOKUP(A582,'BADI SID DATA'!A:B,2,0)</f>
        <v>3</v>
      </c>
      <c r="C582" s="85">
        <v>61100</v>
      </c>
      <c r="D582" s="50">
        <v>6.72</v>
      </c>
      <c r="E582" s="82">
        <v>9.9</v>
      </c>
      <c r="F582" s="46">
        <v>1</v>
      </c>
      <c r="G582" s="46">
        <v>0.90138888888888891</v>
      </c>
      <c r="H582" s="81">
        <f t="shared" si="31"/>
        <v>184601.29999999702</v>
      </c>
      <c r="I582" s="84">
        <f t="shared" si="29"/>
        <v>0.25458333333333333</v>
      </c>
      <c r="J582" s="84">
        <f t="shared" si="30"/>
        <v>0.25639069444444029</v>
      </c>
      <c r="K582" s="90" t="s">
        <v>54</v>
      </c>
    </row>
    <row r="583" spans="1:11" ht="20">
      <c r="A583" s="14">
        <v>45386</v>
      </c>
      <c r="B583" s="83">
        <f>VLOOKUP(A583,'BADI SID DATA'!A:B,2,0)</f>
        <v>4</v>
      </c>
      <c r="C583" s="85">
        <v>64349.35000000149</v>
      </c>
      <c r="D583" s="53">
        <v>7.17</v>
      </c>
      <c r="E583" s="82">
        <v>10.199999999999999</v>
      </c>
      <c r="F583" s="46">
        <v>1</v>
      </c>
      <c r="G583" s="46">
        <v>1</v>
      </c>
      <c r="H583" s="81">
        <f t="shared" si="31"/>
        <v>248950.64999999851</v>
      </c>
      <c r="I583" s="84">
        <f t="shared" si="29"/>
        <v>0.2681222916666729</v>
      </c>
      <c r="J583" s="84">
        <f t="shared" si="30"/>
        <v>0.25932359374999847</v>
      </c>
      <c r="K583" s="90" t="s">
        <v>65</v>
      </c>
    </row>
    <row r="584" spans="1:11" ht="60">
      <c r="A584" s="14">
        <v>45387</v>
      </c>
      <c r="B584" s="83">
        <f>VLOOKUP(A584,'BADI SID DATA'!A:B,2,0)</f>
        <v>5</v>
      </c>
      <c r="C584" s="85">
        <v>58501.94999999553</v>
      </c>
      <c r="D584" s="53">
        <v>6.53</v>
      </c>
      <c r="E584" s="82">
        <v>10.1</v>
      </c>
      <c r="F584" s="46">
        <v>1</v>
      </c>
      <c r="G584" s="46">
        <v>0.9819444444444444</v>
      </c>
      <c r="H584" s="81">
        <f t="shared" si="31"/>
        <v>307452.59999999404</v>
      </c>
      <c r="I584" s="84">
        <f t="shared" si="29"/>
        <v>0.24375812499998137</v>
      </c>
      <c r="J584" s="84">
        <f t="shared" si="30"/>
        <v>0.25621049999999501</v>
      </c>
      <c r="K584" s="90" t="s">
        <v>54</v>
      </c>
    </row>
    <row r="585" spans="1:11" ht="60">
      <c r="A585" s="14">
        <v>45388</v>
      </c>
      <c r="B585" s="83">
        <f>VLOOKUP(A585,'BADI SID DATA'!A:B,2,0)</f>
        <v>6</v>
      </c>
      <c r="C585" s="85">
        <v>57196.10000000149</v>
      </c>
      <c r="D585" s="50">
        <v>6.44</v>
      </c>
      <c r="E585" s="82">
        <v>10</v>
      </c>
      <c r="F585" s="46">
        <v>1</v>
      </c>
      <c r="G585" s="46">
        <v>0.9868055555555556</v>
      </c>
      <c r="H585" s="81">
        <f t="shared" si="31"/>
        <v>364648.69999999553</v>
      </c>
      <c r="I585" s="84">
        <f t="shared" si="29"/>
        <v>0.23831708333333954</v>
      </c>
      <c r="J585" s="84">
        <f t="shared" si="30"/>
        <v>0.25322826388888581</v>
      </c>
      <c r="K585" s="90" t="s">
        <v>54</v>
      </c>
    </row>
    <row r="586" spans="1:11" ht="20">
      <c r="A586" s="14">
        <v>45389</v>
      </c>
      <c r="B586" s="83">
        <f>VLOOKUP(A586,'BADI SID DATA'!A:B,2,0)</f>
        <v>7</v>
      </c>
      <c r="C586" s="85">
        <v>61100.000000007451</v>
      </c>
      <c r="D586" s="50">
        <v>6.75</v>
      </c>
      <c r="E586" s="82">
        <v>10.1</v>
      </c>
      <c r="F586" s="46">
        <v>1</v>
      </c>
      <c r="G586" s="46">
        <v>1</v>
      </c>
      <c r="H586" s="81">
        <f t="shared" si="31"/>
        <v>425748.70000000298</v>
      </c>
      <c r="I586" s="84">
        <f t="shared" si="29"/>
        <v>0.25458333333336436</v>
      </c>
      <c r="J586" s="84">
        <f t="shared" si="30"/>
        <v>0.25342184523809702</v>
      </c>
      <c r="K586" s="90" t="s">
        <v>65</v>
      </c>
    </row>
    <row r="587" spans="1:11" ht="20">
      <c r="A587" s="14">
        <v>45390</v>
      </c>
      <c r="B587" s="83">
        <f>VLOOKUP(A587,'BADI SID DATA'!A:B,2,0)</f>
        <v>8</v>
      </c>
      <c r="C587" s="85">
        <v>61751.29999999702</v>
      </c>
      <c r="D587" s="53">
        <v>6.86</v>
      </c>
      <c r="E587" s="82">
        <v>10.1</v>
      </c>
      <c r="F587" s="46">
        <v>1</v>
      </c>
      <c r="G587" s="46">
        <v>1</v>
      </c>
      <c r="H587" s="81">
        <f t="shared" si="31"/>
        <v>487500</v>
      </c>
      <c r="I587" s="84">
        <f t="shared" si="29"/>
        <v>0.25729708333332091</v>
      </c>
      <c r="J587" s="84">
        <f t="shared" si="30"/>
        <v>0.25390625</v>
      </c>
      <c r="K587" s="90" t="s">
        <v>65</v>
      </c>
    </row>
    <row r="588" spans="1:11" ht="20">
      <c r="A588" s="14">
        <v>45391</v>
      </c>
      <c r="B588" s="83">
        <f>VLOOKUP(A588,'BADI SID DATA'!A:B,2,0)</f>
        <v>9</v>
      </c>
      <c r="C588" s="85">
        <v>62401.29999999702</v>
      </c>
      <c r="D588" s="50">
        <v>6.82</v>
      </c>
      <c r="E588" s="82">
        <v>10</v>
      </c>
      <c r="F588" s="46">
        <v>1</v>
      </c>
      <c r="G588" s="46">
        <v>1</v>
      </c>
      <c r="H588" s="81">
        <f t="shared" si="31"/>
        <v>549901.29999999702</v>
      </c>
      <c r="I588" s="84">
        <f t="shared" si="29"/>
        <v>0.26000541666665428</v>
      </c>
      <c r="J588" s="84">
        <f t="shared" si="30"/>
        <v>0.2545839351851838</v>
      </c>
      <c r="K588" s="90" t="s">
        <v>65</v>
      </c>
    </row>
    <row r="589" spans="1:11" ht="20">
      <c r="A589" s="14">
        <v>45392</v>
      </c>
      <c r="B589" s="83">
        <f>VLOOKUP(A589,'BADI SID DATA'!A:B,2,0)</f>
        <v>10</v>
      </c>
      <c r="C589" s="85">
        <v>63048.05000000447</v>
      </c>
      <c r="D589" s="51">
        <v>6.84</v>
      </c>
      <c r="E589" s="82">
        <v>10</v>
      </c>
      <c r="F589" s="46">
        <v>1</v>
      </c>
      <c r="G589" s="46">
        <v>1</v>
      </c>
      <c r="H589" s="81">
        <f t="shared" si="31"/>
        <v>612949.35000000149</v>
      </c>
      <c r="I589" s="84">
        <f t="shared" si="29"/>
        <v>0.26270020833335195</v>
      </c>
      <c r="J589" s="84">
        <f t="shared" si="30"/>
        <v>0.25539556250000062</v>
      </c>
      <c r="K589" s="90" t="s">
        <v>65</v>
      </c>
    </row>
    <row r="590" spans="1:11" ht="20">
      <c r="A590" s="14">
        <v>45393</v>
      </c>
      <c r="B590" s="83">
        <f>VLOOKUP(A590,'BADI SID DATA'!A:B,2,0)</f>
        <v>11</v>
      </c>
      <c r="C590" s="85">
        <v>63051.94999999553</v>
      </c>
      <c r="D590" s="52">
        <v>6.99</v>
      </c>
      <c r="E590" s="82">
        <v>10.1</v>
      </c>
      <c r="F590" s="46">
        <v>1</v>
      </c>
      <c r="G590" s="46">
        <v>1</v>
      </c>
      <c r="H590" s="81">
        <f t="shared" si="31"/>
        <v>676001.29999999702</v>
      </c>
      <c r="I590" s="84">
        <f t="shared" si="29"/>
        <v>0.2627164583333147</v>
      </c>
      <c r="J590" s="84">
        <f t="shared" si="30"/>
        <v>0.25606109848484737</v>
      </c>
      <c r="K590" s="90" t="s">
        <v>65</v>
      </c>
    </row>
    <row r="591" spans="1:11" ht="60">
      <c r="A591" s="14">
        <v>45394</v>
      </c>
      <c r="B591" s="83">
        <f>VLOOKUP(A591,'BADI SID DATA'!A:B,2,0)</f>
        <v>12</v>
      </c>
      <c r="C591" s="85">
        <v>54598.04999999702</v>
      </c>
      <c r="D591" s="51">
        <v>6.18</v>
      </c>
      <c r="E591" s="82">
        <v>10.4</v>
      </c>
      <c r="F591" s="46">
        <v>1</v>
      </c>
      <c r="G591" s="46">
        <v>1</v>
      </c>
      <c r="H591" s="81">
        <f t="shared" si="31"/>
        <v>730599.34999999404</v>
      </c>
      <c r="I591" s="84">
        <f t="shared" si="29"/>
        <v>0.22749187499998758</v>
      </c>
      <c r="J591" s="84">
        <f t="shared" si="30"/>
        <v>0.25368032986110906</v>
      </c>
      <c r="K591" s="90" t="s">
        <v>54</v>
      </c>
    </row>
    <row r="592" spans="1:11" ht="60">
      <c r="A592" s="14">
        <v>45395</v>
      </c>
      <c r="B592" s="83">
        <f>VLOOKUP(A592,'BADI SID DATA'!A:B,2,0)</f>
        <v>13</v>
      </c>
      <c r="C592" s="85">
        <v>55251.95000000298</v>
      </c>
      <c r="D592" s="51">
        <v>5.91</v>
      </c>
      <c r="E592" s="82">
        <v>10.5</v>
      </c>
      <c r="F592" s="46">
        <v>1</v>
      </c>
      <c r="G592" s="46">
        <v>1</v>
      </c>
      <c r="H592" s="81">
        <f t="shared" si="31"/>
        <v>785851.29999999702</v>
      </c>
      <c r="I592" s="84">
        <f t="shared" si="29"/>
        <v>0.23021645833334575</v>
      </c>
      <c r="J592" s="84">
        <f t="shared" si="30"/>
        <v>0.25187541666666569</v>
      </c>
      <c r="K592" s="90" t="s">
        <v>54</v>
      </c>
    </row>
    <row r="593" spans="1:11" ht="60">
      <c r="A593" s="14">
        <v>45396</v>
      </c>
      <c r="B593" s="83">
        <f>VLOOKUP(A593,'BADI SID DATA'!A:B,2,0)</f>
        <v>14</v>
      </c>
      <c r="C593" s="85">
        <v>59148.70000000298</v>
      </c>
      <c r="D593" s="51">
        <v>6.38</v>
      </c>
      <c r="E593" s="82">
        <v>10.1</v>
      </c>
      <c r="F593" s="46">
        <v>1</v>
      </c>
      <c r="G593" s="46">
        <v>1</v>
      </c>
      <c r="H593" s="81">
        <f t="shared" si="31"/>
        <v>845000</v>
      </c>
      <c r="I593" s="84">
        <f t="shared" si="29"/>
        <v>0.24645291666667909</v>
      </c>
      <c r="J593" s="84">
        <f t="shared" si="30"/>
        <v>0.25148809523809523</v>
      </c>
      <c r="K593" s="90" t="s">
        <v>54</v>
      </c>
    </row>
    <row r="594" spans="1:11" ht="20">
      <c r="A594" s="14">
        <v>45397</v>
      </c>
      <c r="B594" s="83">
        <f>VLOOKUP(A594,'BADI SID DATA'!A:B,2,0)</f>
        <v>15</v>
      </c>
      <c r="C594" s="85">
        <v>63051.94999999553</v>
      </c>
      <c r="D594" s="51">
        <v>6.95</v>
      </c>
      <c r="E594" s="82">
        <v>10</v>
      </c>
      <c r="F594" s="46">
        <v>1</v>
      </c>
      <c r="G594" s="46">
        <v>1</v>
      </c>
      <c r="H594" s="81">
        <f t="shared" si="31"/>
        <v>908051.94999999553</v>
      </c>
      <c r="I594" s="84">
        <f t="shared" si="29"/>
        <v>0.2627164583333147</v>
      </c>
      <c r="J594" s="84">
        <f t="shared" si="30"/>
        <v>0.25223665277777652</v>
      </c>
      <c r="K594" s="90" t="s">
        <v>65</v>
      </c>
    </row>
    <row r="595" spans="1:11" ht="20">
      <c r="A595" s="14">
        <v>45398</v>
      </c>
      <c r="B595" s="83">
        <f>VLOOKUP(A595,'BADI SID DATA'!A:B,2,0)</f>
        <v>16</v>
      </c>
      <c r="C595" s="85">
        <v>61750.65000000596</v>
      </c>
      <c r="D595" s="51">
        <v>6.9</v>
      </c>
      <c r="E595" s="82">
        <v>10</v>
      </c>
      <c r="F595" s="46">
        <v>1</v>
      </c>
      <c r="G595" s="46">
        <v>0.55347222222222225</v>
      </c>
      <c r="H595" s="81">
        <f t="shared" si="31"/>
        <v>969802.60000000149</v>
      </c>
      <c r="I595" s="84">
        <f t="shared" si="29"/>
        <v>0.25729437500002483</v>
      </c>
      <c r="J595" s="84">
        <f t="shared" si="30"/>
        <v>0.25255276041666708</v>
      </c>
      <c r="K595" s="90" t="s">
        <v>65</v>
      </c>
    </row>
    <row r="596" spans="1:11" ht="60">
      <c r="A596" s="14">
        <v>45399</v>
      </c>
      <c r="B596" s="83">
        <f>VLOOKUP(A596,'BADI SID DATA'!A:B,2,0)</f>
        <v>17</v>
      </c>
      <c r="C596" s="85">
        <v>51999.34999999404</v>
      </c>
      <c r="D596" s="51">
        <v>5.51</v>
      </c>
      <c r="E596" s="82">
        <v>9.9</v>
      </c>
      <c r="F596" s="46">
        <v>1</v>
      </c>
      <c r="G596" s="46">
        <v>1</v>
      </c>
      <c r="H596" s="81">
        <f t="shared" si="31"/>
        <v>1021801.9499999955</v>
      </c>
      <c r="I596" s="84">
        <f t="shared" si="29"/>
        <v>0.21666395833330851</v>
      </c>
      <c r="J596" s="84">
        <f t="shared" si="30"/>
        <v>0.25044165441176364</v>
      </c>
      <c r="K596" s="90" t="s">
        <v>54</v>
      </c>
    </row>
    <row r="597" spans="1:11" ht="60">
      <c r="A597" s="14">
        <v>45400</v>
      </c>
      <c r="B597" s="83">
        <f>VLOOKUP(A597,'BADI SID DATA'!A:B,2,0)</f>
        <v>18</v>
      </c>
      <c r="C597" s="85">
        <v>53300.000000007451</v>
      </c>
      <c r="D597" s="51">
        <v>5.76</v>
      </c>
      <c r="E597" s="82">
        <v>10.199999999999999</v>
      </c>
      <c r="F597" s="46">
        <v>1</v>
      </c>
      <c r="G597" s="46">
        <v>1</v>
      </c>
      <c r="H597" s="81">
        <f t="shared" si="31"/>
        <v>1075101.950000003</v>
      </c>
      <c r="I597" s="84">
        <f t="shared" si="29"/>
        <v>0.22208333333336439</v>
      </c>
      <c r="J597" s="84">
        <f t="shared" si="30"/>
        <v>0.24886619212963032</v>
      </c>
      <c r="K597" s="90" t="s">
        <v>54</v>
      </c>
    </row>
    <row r="598" spans="1:11" ht="60">
      <c r="A598" s="14">
        <v>45401</v>
      </c>
      <c r="B598" s="83">
        <f>VLOOKUP(A598,'BADI SID DATA'!A:B,2,0)</f>
        <v>19</v>
      </c>
      <c r="C598" s="85">
        <v>49396.75</v>
      </c>
      <c r="D598" s="51">
        <v>5.57</v>
      </c>
      <c r="E598" s="82">
        <v>10</v>
      </c>
      <c r="F598" s="46">
        <v>1</v>
      </c>
      <c r="G598" s="46">
        <v>1</v>
      </c>
      <c r="H598" s="81">
        <f t="shared" si="31"/>
        <v>1124498.700000003</v>
      </c>
      <c r="I598" s="84">
        <f t="shared" si="29"/>
        <v>0.20581979166666667</v>
      </c>
      <c r="J598" s="84">
        <f t="shared" si="30"/>
        <v>0.24660059210526381</v>
      </c>
      <c r="K598" s="90" t="s">
        <v>54</v>
      </c>
    </row>
    <row r="599" spans="1:11" ht="20">
      <c r="A599" s="14">
        <v>45402</v>
      </c>
      <c r="B599" s="83">
        <f>VLOOKUP(A599,'BADI SID DATA'!A:B,2,0)</f>
        <v>20</v>
      </c>
      <c r="C599" s="85">
        <v>42902.59999999404</v>
      </c>
      <c r="D599" s="51">
        <v>4.9800000000000004</v>
      </c>
      <c r="E599" s="82">
        <v>10.1</v>
      </c>
      <c r="F599" s="46">
        <v>1</v>
      </c>
      <c r="G599" s="46">
        <v>0.96736111111111112</v>
      </c>
      <c r="H599" s="81">
        <f t="shared" si="31"/>
        <v>1167401.299999997</v>
      </c>
      <c r="I599" s="84">
        <f t="shared" si="29"/>
        <v>0.1787608333333085</v>
      </c>
      <c r="J599" s="84">
        <f t="shared" si="30"/>
        <v>0.24320860416666604</v>
      </c>
      <c r="K599" s="90" t="s">
        <v>52</v>
      </c>
    </row>
    <row r="600" spans="1:11" ht="60">
      <c r="A600" s="14">
        <v>45403</v>
      </c>
      <c r="B600" s="83">
        <f>VLOOKUP(A600,'BADI SID DATA'!A:B,2,0)</f>
        <v>21</v>
      </c>
      <c r="C600" s="85">
        <v>57850.64999999851</v>
      </c>
      <c r="D600" s="51">
        <v>6.7</v>
      </c>
      <c r="E600" s="82">
        <v>10.1</v>
      </c>
      <c r="F600" s="46">
        <v>1</v>
      </c>
      <c r="G600" s="46">
        <v>0.97569444444444442</v>
      </c>
      <c r="H600" s="81">
        <f t="shared" si="31"/>
        <v>1225251.9499999955</v>
      </c>
      <c r="I600" s="84">
        <f t="shared" si="29"/>
        <v>0.24104437499999379</v>
      </c>
      <c r="J600" s="84">
        <f t="shared" si="30"/>
        <v>0.24310554563491973</v>
      </c>
      <c r="K600" s="90" t="s">
        <v>54</v>
      </c>
    </row>
    <row r="601" spans="1:11" ht="60">
      <c r="A601" s="14">
        <v>45404</v>
      </c>
      <c r="B601" s="83">
        <f>VLOOKUP(A601,'BADI SID DATA'!A:B,2,0)</f>
        <v>22</v>
      </c>
      <c r="C601" s="85">
        <v>59148.70000000298</v>
      </c>
      <c r="D601" s="51">
        <v>7.08</v>
      </c>
      <c r="E601" s="82">
        <v>10</v>
      </c>
      <c r="F601" s="46">
        <v>1</v>
      </c>
      <c r="G601" s="46">
        <v>0.91319444444444442</v>
      </c>
      <c r="H601" s="81">
        <f t="shared" si="31"/>
        <v>1284400.6499999985</v>
      </c>
      <c r="I601" s="84">
        <f t="shared" si="29"/>
        <v>0.24645291666667909</v>
      </c>
      <c r="J601" s="84">
        <f t="shared" si="30"/>
        <v>0.24325769886363607</v>
      </c>
      <c r="K601" s="90" t="s">
        <v>54</v>
      </c>
    </row>
    <row r="602" spans="1:11" ht="60">
      <c r="A602" s="14">
        <v>45405</v>
      </c>
      <c r="B602" s="83">
        <f>VLOOKUP(A602,'BADI SID DATA'!A:B,2,0)</f>
        <v>23</v>
      </c>
      <c r="C602" s="85">
        <v>61100</v>
      </c>
      <c r="D602" s="51">
        <v>7.18</v>
      </c>
      <c r="E602" s="82">
        <v>10.199999999999999</v>
      </c>
      <c r="F602" s="46">
        <v>1</v>
      </c>
      <c r="G602" s="46">
        <v>0.50763888888888886</v>
      </c>
      <c r="H602" s="81">
        <f t="shared" si="31"/>
        <v>1345500.6499999985</v>
      </c>
      <c r="I602" s="84">
        <f t="shared" si="29"/>
        <v>0.25458333333333333</v>
      </c>
      <c r="J602" s="84">
        <f t="shared" si="30"/>
        <v>0.24375011775362293</v>
      </c>
      <c r="K602" s="90" t="s">
        <v>54</v>
      </c>
    </row>
    <row r="603" spans="1:11" ht="60">
      <c r="A603" s="14">
        <v>45406</v>
      </c>
      <c r="B603" s="83">
        <f>VLOOKUP(A603,'BADI SID DATA'!A:B,2,0)</f>
        <v>24</v>
      </c>
      <c r="C603" s="85">
        <v>59148.04999999702</v>
      </c>
      <c r="D603" s="51">
        <v>6.81</v>
      </c>
      <c r="E603" s="82">
        <v>10</v>
      </c>
      <c r="F603" s="46">
        <v>1</v>
      </c>
      <c r="G603" s="46">
        <v>1</v>
      </c>
      <c r="H603" s="81">
        <f t="shared" si="31"/>
        <v>1404648.6999999955</v>
      </c>
      <c r="I603" s="84">
        <f t="shared" si="29"/>
        <v>0.2464502083333209</v>
      </c>
      <c r="J603" s="84">
        <f t="shared" si="30"/>
        <v>0.24386262152777699</v>
      </c>
      <c r="K603" s="90" t="s">
        <v>54</v>
      </c>
    </row>
    <row r="604" spans="1:11" ht="60">
      <c r="A604" s="14">
        <v>45407</v>
      </c>
      <c r="B604" s="83">
        <f>VLOOKUP(A604,'BADI SID DATA'!A:B,2,0)</f>
        <v>25</v>
      </c>
      <c r="C604" s="85">
        <v>55252.60000000149</v>
      </c>
      <c r="D604" s="52">
        <v>5.77</v>
      </c>
      <c r="E604" s="82">
        <v>9.9</v>
      </c>
      <c r="F604" s="46">
        <v>1</v>
      </c>
      <c r="G604" s="46">
        <v>1</v>
      </c>
      <c r="H604" s="81">
        <f t="shared" si="31"/>
        <v>1459901.299999997</v>
      </c>
      <c r="I604" s="84">
        <f t="shared" si="29"/>
        <v>0.23021916666667289</v>
      </c>
      <c r="J604" s="84">
        <f t="shared" si="30"/>
        <v>0.24331688333333285</v>
      </c>
      <c r="K604" s="90" t="s">
        <v>54</v>
      </c>
    </row>
    <row r="605" spans="1:11" ht="60">
      <c r="A605" s="14">
        <v>45408</v>
      </c>
      <c r="B605" s="83">
        <f>VLOOKUP(A605,'BADI SID DATA'!A:B,2,0)</f>
        <v>26</v>
      </c>
      <c r="C605" s="85">
        <v>58497.39999999851</v>
      </c>
      <c r="D605" s="51">
        <v>6.2</v>
      </c>
      <c r="E605" s="82">
        <v>10.199999999999999</v>
      </c>
      <c r="F605" s="46">
        <v>1</v>
      </c>
      <c r="G605" s="46">
        <v>1</v>
      </c>
      <c r="H605" s="81">
        <f t="shared" si="31"/>
        <v>1518398.6999999955</v>
      </c>
      <c r="I605" s="84">
        <f t="shared" si="29"/>
        <v>0.24373916666666046</v>
      </c>
      <c r="J605" s="84">
        <f t="shared" si="30"/>
        <v>0.24333312499999929</v>
      </c>
      <c r="K605" s="90" t="s">
        <v>54</v>
      </c>
    </row>
    <row r="606" spans="1:11" ht="20">
      <c r="A606" s="14">
        <v>45409</v>
      </c>
      <c r="B606" s="83">
        <f>VLOOKUP(A606,'BADI SID DATA'!A:B,2,0)</f>
        <v>27</v>
      </c>
      <c r="C606" s="85">
        <v>60453.250000007451</v>
      </c>
      <c r="D606" s="52">
        <v>6.42</v>
      </c>
      <c r="E606" s="82">
        <v>10.1</v>
      </c>
      <c r="F606" s="46">
        <v>1</v>
      </c>
      <c r="G606" s="46">
        <v>1</v>
      </c>
      <c r="H606" s="81">
        <f t="shared" si="31"/>
        <v>1578851.950000003</v>
      </c>
      <c r="I606" s="84">
        <f t="shared" si="29"/>
        <v>0.25188854166669772</v>
      </c>
      <c r="J606" s="84">
        <f t="shared" si="30"/>
        <v>0.24364999228395107</v>
      </c>
      <c r="K606" s="90" t="s">
        <v>65</v>
      </c>
    </row>
    <row r="607" spans="1:11" ht="20">
      <c r="A607" s="14">
        <v>45410</v>
      </c>
      <c r="B607" s="83">
        <f>VLOOKUP(A607,'BADI SID DATA'!A:B,2,0)</f>
        <v>28</v>
      </c>
      <c r="C607" s="85">
        <v>58498.04999999702</v>
      </c>
      <c r="D607" s="51">
        <v>6.3</v>
      </c>
      <c r="E607" s="82">
        <v>9.9</v>
      </c>
      <c r="F607" s="46">
        <v>1</v>
      </c>
      <c r="G607" s="46">
        <v>1</v>
      </c>
      <c r="H607" s="81">
        <f t="shared" si="31"/>
        <v>1637350</v>
      </c>
      <c r="I607" s="84">
        <f t="shared" si="29"/>
        <v>0.24374187499998759</v>
      </c>
      <c r="J607" s="84">
        <f t="shared" si="30"/>
        <v>0.24365327380952381</v>
      </c>
      <c r="K607" s="90" t="s">
        <v>65</v>
      </c>
    </row>
    <row r="608" spans="1:11" ht="20">
      <c r="A608" s="14">
        <v>45411</v>
      </c>
      <c r="B608" s="83">
        <f>VLOOKUP(A608,'BADI SID DATA'!A:B,2,0)</f>
        <v>29</v>
      </c>
      <c r="C608" s="85">
        <v>58501.29999999702</v>
      </c>
      <c r="D608" s="52">
        <v>6.25</v>
      </c>
      <c r="E608" s="82">
        <v>10</v>
      </c>
      <c r="F608" s="46">
        <v>1</v>
      </c>
      <c r="G608" s="46">
        <v>0.86805555555555558</v>
      </c>
      <c r="H608" s="81">
        <f t="shared" si="31"/>
        <v>1695851.299999997</v>
      </c>
      <c r="I608" s="84">
        <f t="shared" si="29"/>
        <v>0.24375541666665426</v>
      </c>
      <c r="J608" s="84">
        <f t="shared" si="30"/>
        <v>0.24365679597701106</v>
      </c>
      <c r="K608" s="90" t="s">
        <v>65</v>
      </c>
    </row>
    <row r="609" spans="1:11" ht="20">
      <c r="A609" s="14">
        <v>45412</v>
      </c>
      <c r="B609" s="83">
        <f>VLOOKUP(A609,'BADI SID DATA'!A:B,2,0)</f>
        <v>30</v>
      </c>
      <c r="C609" s="85">
        <v>57851.29999999702</v>
      </c>
      <c r="D609" s="51">
        <v>6.23</v>
      </c>
      <c r="E609" s="82">
        <v>10.1</v>
      </c>
      <c r="F609" s="46">
        <v>1</v>
      </c>
      <c r="G609" s="46">
        <v>1</v>
      </c>
      <c r="H609" s="81">
        <f t="shared" si="31"/>
        <v>1753702.599999994</v>
      </c>
      <c r="I609" s="84">
        <f t="shared" si="29"/>
        <v>0.24104708333332092</v>
      </c>
      <c r="J609" s="84">
        <f t="shared" si="30"/>
        <v>0.24356980555555474</v>
      </c>
      <c r="K609" s="90" t="s">
        <v>65</v>
      </c>
    </row>
    <row r="610" spans="1:11" ht="20">
      <c r="A610" s="14">
        <v>45413</v>
      </c>
      <c r="B610" s="83">
        <f>VLOOKUP(A610,'BADI SID DATA'!A:B,2,0)</f>
        <v>31</v>
      </c>
      <c r="C610" s="85">
        <v>50698.05000000447</v>
      </c>
      <c r="D610" s="53">
        <v>5.59</v>
      </c>
      <c r="E610" s="82">
        <v>9.8000000000000007</v>
      </c>
      <c r="F610" s="46">
        <v>1</v>
      </c>
      <c r="G610" s="46">
        <v>0.98263888888888884</v>
      </c>
      <c r="H610" s="81">
        <f t="shared" si="31"/>
        <v>1804400.6499999985</v>
      </c>
      <c r="I610" s="84">
        <f t="shared" si="29"/>
        <v>0.21124187500001862</v>
      </c>
      <c r="J610" s="84">
        <f t="shared" si="30"/>
        <v>0.24252696908602131</v>
      </c>
      <c r="K610" s="90" t="s">
        <v>52</v>
      </c>
    </row>
    <row r="611" spans="1:11" ht="20">
      <c r="A611" s="14">
        <v>45414</v>
      </c>
      <c r="B611" s="83">
        <f>VLOOKUP(A611,'BADI SID DATA'!A:B,2,0)</f>
        <v>32</v>
      </c>
      <c r="C611" s="85">
        <v>49400</v>
      </c>
      <c r="D611" s="50">
        <v>5.25</v>
      </c>
      <c r="E611" s="82">
        <v>9.9</v>
      </c>
      <c r="F611" s="46">
        <v>1</v>
      </c>
      <c r="G611" s="46">
        <v>1</v>
      </c>
      <c r="H611" s="81">
        <f t="shared" si="31"/>
        <v>1853800.6499999985</v>
      </c>
      <c r="I611" s="84">
        <f t="shared" si="29"/>
        <v>0.20583333333333334</v>
      </c>
      <c r="J611" s="84">
        <f t="shared" si="30"/>
        <v>0.2413802929687498</v>
      </c>
      <c r="K611" s="90" t="s">
        <v>52</v>
      </c>
    </row>
    <row r="612" spans="1:11" ht="60">
      <c r="A612" s="14">
        <v>45415</v>
      </c>
      <c r="B612" s="83">
        <f>VLOOKUP(A612,'BADI SID DATA'!A:B,2,0)</f>
        <v>33</v>
      </c>
      <c r="C612" s="85">
        <v>31199.35000000149</v>
      </c>
      <c r="D612" s="50">
        <v>3.05</v>
      </c>
      <c r="E612" s="82">
        <v>10</v>
      </c>
      <c r="F612" s="46">
        <v>1</v>
      </c>
      <c r="G612" s="46">
        <v>1</v>
      </c>
      <c r="H612" s="81">
        <f t="shared" si="31"/>
        <v>1885000</v>
      </c>
      <c r="I612" s="84">
        <f t="shared" si="29"/>
        <v>0.12999729166667287</v>
      </c>
      <c r="J612" s="84">
        <f t="shared" si="30"/>
        <v>0.2380050505050505</v>
      </c>
      <c r="K612" s="90" t="s">
        <v>53</v>
      </c>
    </row>
    <row r="613" spans="1:11" ht="60">
      <c r="A613" s="14">
        <v>45416</v>
      </c>
      <c r="B613" s="83">
        <f>VLOOKUP(A613,'BADI SID DATA'!A:B,2,0)</f>
        <v>34</v>
      </c>
      <c r="C613" s="85">
        <v>53300</v>
      </c>
      <c r="D613" s="53">
        <v>5.78</v>
      </c>
      <c r="E613" s="82">
        <v>9.8000000000000007</v>
      </c>
      <c r="F613" s="46">
        <v>1</v>
      </c>
      <c r="G613" s="46">
        <v>0.98611111111111116</v>
      </c>
      <c r="H613" s="81">
        <f t="shared" si="31"/>
        <v>1938300</v>
      </c>
      <c r="I613" s="84">
        <f t="shared" si="29"/>
        <v>0.22208333333333333</v>
      </c>
      <c r="J613" s="84">
        <f t="shared" si="30"/>
        <v>0.23753676470588236</v>
      </c>
      <c r="K613" s="90" t="s">
        <v>54</v>
      </c>
    </row>
    <row r="614" spans="1:11" ht="60">
      <c r="A614" s="14">
        <v>45417</v>
      </c>
      <c r="B614" s="83">
        <f>VLOOKUP(A614,'BADI SID DATA'!A:B,2,0)</f>
        <v>35</v>
      </c>
      <c r="C614" s="85">
        <v>51999.34999999404</v>
      </c>
      <c r="D614" s="53">
        <v>5.86</v>
      </c>
      <c r="E614" s="82">
        <v>9.5</v>
      </c>
      <c r="F614" s="46">
        <v>1</v>
      </c>
      <c r="G614" s="46">
        <v>0.93333333333333335</v>
      </c>
      <c r="H614" s="81">
        <f t="shared" si="31"/>
        <v>1990299.349999994</v>
      </c>
      <c r="I614" s="84">
        <f t="shared" si="29"/>
        <v>0.21666395833330851</v>
      </c>
      <c r="J614" s="84">
        <f t="shared" si="30"/>
        <v>0.23694039880952311</v>
      </c>
      <c r="K614" s="90" t="s">
        <v>54</v>
      </c>
    </row>
    <row r="615" spans="1:11" ht="20">
      <c r="A615" s="14">
        <v>45418</v>
      </c>
      <c r="B615" s="83">
        <f>VLOOKUP(A615,'BADI SID DATA'!A:B,2,0)</f>
        <v>36</v>
      </c>
      <c r="C615" s="85">
        <v>44199.350000008941</v>
      </c>
      <c r="D615" s="50">
        <v>4.6900000000000004</v>
      </c>
      <c r="E615" s="82">
        <v>9.8000000000000007</v>
      </c>
      <c r="F615" s="46">
        <v>1</v>
      </c>
      <c r="G615" s="46">
        <v>0.93055555555555558</v>
      </c>
      <c r="H615" s="81">
        <f t="shared" si="31"/>
        <v>2034498.700000003</v>
      </c>
      <c r="I615" s="84">
        <f t="shared" si="29"/>
        <v>0.1841639583333706</v>
      </c>
      <c r="J615" s="84">
        <f t="shared" si="30"/>
        <v>0.23547438657407441</v>
      </c>
      <c r="K615" s="90" t="s">
        <v>52</v>
      </c>
    </row>
    <row r="616" spans="1:11" ht="20">
      <c r="A616" s="14">
        <v>45419</v>
      </c>
      <c r="B616" s="83">
        <f>VLOOKUP(A616,'BADI SID DATA'!A:B,2,0)</f>
        <v>37</v>
      </c>
      <c r="C616" s="85">
        <v>57851.29999999702</v>
      </c>
      <c r="D616" s="50">
        <v>5.96</v>
      </c>
      <c r="E616" s="82">
        <v>10.1</v>
      </c>
      <c r="F616" s="46">
        <v>1</v>
      </c>
      <c r="G616" s="46">
        <v>0.67013888888888884</v>
      </c>
      <c r="H616" s="81">
        <f t="shared" si="31"/>
        <v>2092350</v>
      </c>
      <c r="I616" s="84">
        <f t="shared" si="29"/>
        <v>0.24104708333332092</v>
      </c>
      <c r="J616" s="84">
        <f t="shared" si="30"/>
        <v>0.235625</v>
      </c>
      <c r="K616" s="90" t="s">
        <v>65</v>
      </c>
    </row>
    <row r="617" spans="1:11" ht="20">
      <c r="A617" s="14">
        <v>45420</v>
      </c>
      <c r="B617" s="83">
        <f>VLOOKUP(A617,'BADI SID DATA'!A:B,2,0)</f>
        <v>38</v>
      </c>
      <c r="C617" s="85">
        <v>40299.35000000149</v>
      </c>
      <c r="D617" s="53">
        <v>3.95</v>
      </c>
      <c r="E617" s="82">
        <v>10</v>
      </c>
      <c r="F617" s="46">
        <v>1</v>
      </c>
      <c r="G617" s="46">
        <v>1</v>
      </c>
      <c r="H617" s="81">
        <f t="shared" si="31"/>
        <v>2132649.3500000015</v>
      </c>
      <c r="I617" s="84">
        <f t="shared" si="29"/>
        <v>0.16791395833333955</v>
      </c>
      <c r="J617" s="84">
        <f t="shared" si="30"/>
        <v>0.23384313048245631</v>
      </c>
      <c r="K617" s="90" t="s">
        <v>52</v>
      </c>
    </row>
    <row r="618" spans="1:11" ht="60">
      <c r="A618" s="14">
        <v>45421</v>
      </c>
      <c r="B618" s="83">
        <f>VLOOKUP(A618,'BADI SID DATA'!A:B,2,0)</f>
        <v>39</v>
      </c>
      <c r="C618" s="85">
        <v>50051.29999999702</v>
      </c>
      <c r="D618" s="50">
        <v>5.74</v>
      </c>
      <c r="E618" s="82">
        <v>9.9</v>
      </c>
      <c r="F618" s="46">
        <v>1</v>
      </c>
      <c r="G618" s="46">
        <v>0.96458333333333335</v>
      </c>
      <c r="H618" s="81">
        <f t="shared" si="31"/>
        <v>2182700.6499999985</v>
      </c>
      <c r="I618" s="84">
        <f t="shared" si="29"/>
        <v>0.20854708333332092</v>
      </c>
      <c r="J618" s="84">
        <f t="shared" si="30"/>
        <v>0.23319451388888873</v>
      </c>
      <c r="K618" s="90" t="s">
        <v>53</v>
      </c>
    </row>
    <row r="619" spans="1:11" ht="60">
      <c r="A619" s="14">
        <v>45422</v>
      </c>
      <c r="B619" s="83">
        <f>VLOOKUP(A619,'BADI SID DATA'!A:B,2,0)</f>
        <v>40</v>
      </c>
      <c r="C619" s="85">
        <v>35098.69999999553</v>
      </c>
      <c r="D619" s="51">
        <v>3.61</v>
      </c>
      <c r="E619" s="82">
        <v>9.9</v>
      </c>
      <c r="F619" s="46">
        <v>1</v>
      </c>
      <c r="G619" s="46">
        <v>1</v>
      </c>
      <c r="H619" s="81">
        <f t="shared" si="31"/>
        <v>2217799.349999994</v>
      </c>
      <c r="I619" s="84">
        <f t="shared" si="29"/>
        <v>0.14624458333331472</v>
      </c>
      <c r="J619" s="84">
        <f t="shared" si="30"/>
        <v>0.23102076562499937</v>
      </c>
      <c r="K619" s="90" t="s">
        <v>53</v>
      </c>
    </row>
    <row r="620" spans="1:11" ht="40">
      <c r="A620" s="14">
        <v>45423</v>
      </c>
      <c r="B620" s="83">
        <f>VLOOKUP(A620,'BADI SID DATA'!A:B,2,0)</f>
        <v>41</v>
      </c>
      <c r="C620" s="85">
        <v>33150.65000000596</v>
      </c>
      <c r="D620" s="51">
        <v>4.67</v>
      </c>
      <c r="E620" s="82">
        <v>10.1</v>
      </c>
      <c r="F620" s="46">
        <v>1</v>
      </c>
      <c r="G620" s="46">
        <v>0.91874999999999996</v>
      </c>
      <c r="H620" s="81">
        <f t="shared" si="31"/>
        <v>2250950</v>
      </c>
      <c r="I620" s="84">
        <f t="shared" si="29"/>
        <v>0.13812770833335816</v>
      </c>
      <c r="J620" s="84">
        <f t="shared" si="30"/>
        <v>0.22875508130081301</v>
      </c>
      <c r="K620" s="90" t="s">
        <v>56</v>
      </c>
    </row>
    <row r="621" spans="1:11" ht="40">
      <c r="A621" s="14">
        <v>45424</v>
      </c>
      <c r="B621" s="83">
        <f>VLOOKUP(A621,'BADI SID DATA'!A:B,2,0)</f>
        <v>42</v>
      </c>
      <c r="C621" s="85">
        <v>35102.60000000149</v>
      </c>
      <c r="D621" s="51">
        <v>3.5</v>
      </c>
      <c r="E621" s="82">
        <v>9.9</v>
      </c>
      <c r="F621" s="46">
        <v>1</v>
      </c>
      <c r="G621" s="46">
        <v>1</v>
      </c>
      <c r="H621" s="81">
        <f t="shared" si="31"/>
        <v>2286052.6000000015</v>
      </c>
      <c r="I621" s="84">
        <f t="shared" si="29"/>
        <v>0.14626083333333953</v>
      </c>
      <c r="J621" s="84">
        <f t="shared" si="30"/>
        <v>0.22679093253968269</v>
      </c>
      <c r="K621" s="90" t="s">
        <v>56</v>
      </c>
    </row>
    <row r="622" spans="1:11" ht="20">
      <c r="A622" s="14">
        <v>45425</v>
      </c>
      <c r="B622" s="83">
        <f>VLOOKUP(A622,'BADI SID DATA'!A:B,2,0)</f>
        <v>43</v>
      </c>
      <c r="C622" s="85">
        <v>50698.04999999702</v>
      </c>
      <c r="D622" s="51">
        <v>5.3</v>
      </c>
      <c r="E622" s="82">
        <v>10.5</v>
      </c>
      <c r="F622" s="46">
        <v>1</v>
      </c>
      <c r="G622" s="46">
        <v>1</v>
      </c>
      <c r="H622" s="81">
        <f t="shared" si="31"/>
        <v>2336750.6499999985</v>
      </c>
      <c r="I622" s="84">
        <f t="shared" ref="I622:I685" si="32">C622/(10*24*1000)</f>
        <v>0.21124187499998759</v>
      </c>
      <c r="J622" s="84">
        <f t="shared" si="30"/>
        <v>0.22642932655038744</v>
      </c>
      <c r="K622" s="90" t="s">
        <v>52</v>
      </c>
    </row>
    <row r="623" spans="1:11" ht="20">
      <c r="A623" s="14">
        <v>45426</v>
      </c>
      <c r="B623" s="83">
        <f>VLOOKUP(A623,'BADI SID DATA'!A:B,2,0)</f>
        <v>44</v>
      </c>
      <c r="C623" s="85">
        <v>51999.35000000149</v>
      </c>
      <c r="D623" s="51">
        <v>5.3</v>
      </c>
      <c r="E623" s="82">
        <v>10.7</v>
      </c>
      <c r="F623" s="46">
        <v>1</v>
      </c>
      <c r="G623" s="46">
        <v>1</v>
      </c>
      <c r="H623" s="81">
        <f t="shared" si="31"/>
        <v>2388750</v>
      </c>
      <c r="I623" s="84">
        <f t="shared" si="32"/>
        <v>0.21666395833333954</v>
      </c>
      <c r="J623" s="84">
        <f t="shared" si="30"/>
        <v>0.22620738636363635</v>
      </c>
      <c r="K623" s="90" t="s">
        <v>52</v>
      </c>
    </row>
    <row r="624" spans="1:11" ht="40">
      <c r="A624" s="14">
        <v>45427</v>
      </c>
      <c r="B624" s="83">
        <f>VLOOKUP(A624,'BADI SID DATA'!A:B,2,0)</f>
        <v>45</v>
      </c>
      <c r="C624" s="85">
        <v>42251.29999999702</v>
      </c>
      <c r="D624" s="51">
        <v>4.1100000000000003</v>
      </c>
      <c r="E624" s="82">
        <v>10.199999999999999</v>
      </c>
      <c r="F624" s="46">
        <v>1</v>
      </c>
      <c r="G624" s="46">
        <v>1</v>
      </c>
      <c r="H624" s="81">
        <f t="shared" si="31"/>
        <v>2431001.299999997</v>
      </c>
      <c r="I624" s="84">
        <f t="shared" si="32"/>
        <v>0.17604708333332092</v>
      </c>
      <c r="J624" s="84">
        <f t="shared" si="30"/>
        <v>0.22509271296296268</v>
      </c>
      <c r="K624" s="90" t="s">
        <v>56</v>
      </c>
    </row>
    <row r="625" spans="1:11" ht="40">
      <c r="A625" s="14">
        <v>45428</v>
      </c>
      <c r="B625" s="83">
        <f>VLOOKUP(A625,'BADI SID DATA'!A:B,2,0)</f>
        <v>46</v>
      </c>
      <c r="C625" s="85">
        <v>41600.65000000596</v>
      </c>
      <c r="D625" s="51">
        <v>3.95</v>
      </c>
      <c r="E625" s="82">
        <v>8.5</v>
      </c>
      <c r="F625" s="46">
        <v>1</v>
      </c>
      <c r="G625" s="46">
        <v>1</v>
      </c>
      <c r="H625" s="81">
        <f t="shared" si="31"/>
        <v>2472601.950000003</v>
      </c>
      <c r="I625" s="84">
        <f t="shared" si="32"/>
        <v>0.1733360416666915</v>
      </c>
      <c r="J625" s="84">
        <f t="shared" si="30"/>
        <v>0.22396756793478287</v>
      </c>
      <c r="K625" s="90" t="s">
        <v>56</v>
      </c>
    </row>
    <row r="626" spans="1:11" ht="80">
      <c r="A626" s="14">
        <v>45429</v>
      </c>
      <c r="B626" s="83">
        <f>VLOOKUP(A626,'BADI SID DATA'!A:B,2,0)</f>
        <v>47</v>
      </c>
      <c r="C626" s="85">
        <v>18848.69999999553</v>
      </c>
      <c r="D626" s="51">
        <v>1.54</v>
      </c>
      <c r="E626" s="82">
        <v>4.5</v>
      </c>
      <c r="F626" s="46">
        <v>1</v>
      </c>
      <c r="G626" s="46">
        <v>1</v>
      </c>
      <c r="H626" s="81">
        <f t="shared" si="31"/>
        <v>2491450.6499999985</v>
      </c>
      <c r="I626" s="84">
        <f t="shared" si="32"/>
        <v>7.8536249999981378E-2</v>
      </c>
      <c r="J626" s="84">
        <f t="shared" si="30"/>
        <v>0.22087328457446795</v>
      </c>
      <c r="K626" s="90" t="s">
        <v>51</v>
      </c>
    </row>
    <row r="627" spans="1:11" ht="20">
      <c r="A627" s="14">
        <v>45430</v>
      </c>
      <c r="B627" s="83">
        <f>VLOOKUP(A627,'BADI SID DATA'!A:B,2,0)</f>
        <v>48</v>
      </c>
      <c r="C627" s="85">
        <v>42898.69999999553</v>
      </c>
      <c r="D627" s="51">
        <v>4.24</v>
      </c>
      <c r="E627" s="82">
        <v>10</v>
      </c>
      <c r="F627" s="46">
        <v>1</v>
      </c>
      <c r="G627" s="46">
        <v>1</v>
      </c>
      <c r="H627" s="81">
        <f t="shared" si="31"/>
        <v>2534349.349999994</v>
      </c>
      <c r="I627" s="84">
        <f t="shared" si="32"/>
        <v>0.17874458333331469</v>
      </c>
      <c r="J627" s="84">
        <f t="shared" si="30"/>
        <v>0.21999560329861059</v>
      </c>
      <c r="K627" s="90" t="s">
        <v>52</v>
      </c>
    </row>
    <row r="628" spans="1:11" ht="80">
      <c r="A628" s="14">
        <v>45431</v>
      </c>
      <c r="B628" s="83">
        <f>VLOOKUP(A628,'BADI SID DATA'!A:B,2,0)</f>
        <v>49</v>
      </c>
      <c r="C628" s="85">
        <v>39001.95000000298</v>
      </c>
      <c r="D628" s="51">
        <v>3.88</v>
      </c>
      <c r="E628" s="82">
        <v>10.5</v>
      </c>
      <c r="F628" s="46">
        <v>1</v>
      </c>
      <c r="G628" s="46">
        <v>1</v>
      </c>
      <c r="H628" s="81">
        <f t="shared" si="31"/>
        <v>2573351.299999997</v>
      </c>
      <c r="I628" s="84">
        <f t="shared" si="32"/>
        <v>0.16250812500001241</v>
      </c>
      <c r="J628" s="84">
        <f t="shared" si="30"/>
        <v>0.21882238945578206</v>
      </c>
      <c r="K628" s="90" t="s">
        <v>51</v>
      </c>
    </row>
    <row r="629" spans="1:11" ht="80">
      <c r="A629" s="14">
        <v>45432</v>
      </c>
      <c r="B629" s="83">
        <f>VLOOKUP(A629,'BADI SID DATA'!A:B,2,0)</f>
        <v>50</v>
      </c>
      <c r="C629" s="85">
        <v>38348.05000000447</v>
      </c>
      <c r="D629" s="51">
        <v>3.65</v>
      </c>
      <c r="E629" s="82">
        <v>10.4</v>
      </c>
      <c r="F629" s="46">
        <v>1</v>
      </c>
      <c r="G629" s="46">
        <v>1</v>
      </c>
      <c r="H629" s="81">
        <f t="shared" si="31"/>
        <v>2611699.3500000015</v>
      </c>
      <c r="I629" s="84">
        <f t="shared" si="32"/>
        <v>0.15978354166668529</v>
      </c>
      <c r="J629" s="84">
        <f t="shared" si="30"/>
        <v>0.21764161250000014</v>
      </c>
      <c r="K629" s="90" t="s">
        <v>51</v>
      </c>
    </row>
    <row r="630" spans="1:11" ht="60">
      <c r="A630" s="14">
        <v>45433</v>
      </c>
      <c r="B630" s="83">
        <f>VLOOKUP(A630,'BADI SID DATA'!A:B,2,0)</f>
        <v>51</v>
      </c>
      <c r="C630" s="85">
        <v>46801.94999999553</v>
      </c>
      <c r="D630" s="51">
        <v>4.66</v>
      </c>
      <c r="E630" s="82">
        <v>10.8</v>
      </c>
      <c r="F630" s="46">
        <v>1</v>
      </c>
      <c r="G630" s="46">
        <v>1</v>
      </c>
      <c r="H630" s="81">
        <f t="shared" si="31"/>
        <v>2658501.299999997</v>
      </c>
      <c r="I630" s="84">
        <f t="shared" si="32"/>
        <v>0.19500812499998138</v>
      </c>
      <c r="J630" s="84">
        <f t="shared" si="30"/>
        <v>0.21719781862745074</v>
      </c>
      <c r="K630" s="90" t="s">
        <v>53</v>
      </c>
    </row>
    <row r="631" spans="1:11" ht="20">
      <c r="A631" s="14">
        <v>45434</v>
      </c>
      <c r="B631" s="83">
        <f>VLOOKUP(A631,'BADI SID DATA'!A:B,2,0)</f>
        <v>52</v>
      </c>
      <c r="C631" s="85">
        <v>42247.40000000596</v>
      </c>
      <c r="D631" s="51">
        <v>4.0599999999999996</v>
      </c>
      <c r="E631" s="82">
        <v>10.5</v>
      </c>
      <c r="F631" s="46">
        <v>1</v>
      </c>
      <c r="G631" s="46">
        <v>1</v>
      </c>
      <c r="H631" s="81">
        <f t="shared" si="31"/>
        <v>2700748.700000003</v>
      </c>
      <c r="I631" s="84">
        <f t="shared" si="32"/>
        <v>0.17603083333335817</v>
      </c>
      <c r="J631" s="84">
        <f t="shared" si="30"/>
        <v>0.21640614583333356</v>
      </c>
      <c r="K631" s="90" t="s">
        <v>52</v>
      </c>
    </row>
    <row r="632" spans="1:11" ht="20">
      <c r="A632" s="14">
        <v>45435</v>
      </c>
      <c r="B632" s="83">
        <f>VLOOKUP(A632,'BADI SID DATA'!A:B,2,0)</f>
        <v>53</v>
      </c>
      <c r="C632" s="85">
        <v>52003.249999992549</v>
      </c>
      <c r="D632" s="51">
        <v>5.21</v>
      </c>
      <c r="E632" s="82">
        <v>10</v>
      </c>
      <c r="F632" s="46">
        <v>1</v>
      </c>
      <c r="G632" s="46">
        <v>1</v>
      </c>
      <c r="H632" s="81">
        <f t="shared" si="31"/>
        <v>2752751.9499999955</v>
      </c>
      <c r="I632" s="84">
        <f t="shared" si="32"/>
        <v>0.21668020833330229</v>
      </c>
      <c r="J632" s="84">
        <f t="shared" si="30"/>
        <v>0.21641131682389902</v>
      </c>
      <c r="K632" s="90" t="s">
        <v>52</v>
      </c>
    </row>
    <row r="633" spans="1:11" ht="40">
      <c r="A633" s="14">
        <v>45436</v>
      </c>
      <c r="B633" s="83">
        <f>VLOOKUP(A633,'BADI SID DATA'!A:B,2,0)</f>
        <v>54</v>
      </c>
      <c r="C633" s="85">
        <v>37697.40000000596</v>
      </c>
      <c r="D633" s="51">
        <v>3.49</v>
      </c>
      <c r="E633" s="82">
        <v>9.1999999999999993</v>
      </c>
      <c r="F633" s="46">
        <v>1</v>
      </c>
      <c r="G633" s="46">
        <v>1</v>
      </c>
      <c r="H633" s="81">
        <f t="shared" si="31"/>
        <v>2790449.3500000015</v>
      </c>
      <c r="I633" s="84">
        <f t="shared" si="32"/>
        <v>0.15707250000002485</v>
      </c>
      <c r="J633" s="84">
        <f t="shared" si="30"/>
        <v>0.21531244984567913</v>
      </c>
      <c r="K633" s="90" t="s">
        <v>56</v>
      </c>
    </row>
    <row r="634" spans="1:11" ht="40">
      <c r="A634" s="14">
        <v>45437</v>
      </c>
      <c r="B634" s="83">
        <f>VLOOKUP(A634,'BADI SID DATA'!A:B,2,0)</f>
        <v>55</v>
      </c>
      <c r="C634" s="85">
        <v>35102.59999999404</v>
      </c>
      <c r="D634" s="51">
        <v>3.22</v>
      </c>
      <c r="E634" s="82">
        <v>9.5</v>
      </c>
      <c r="F634" s="46">
        <v>1</v>
      </c>
      <c r="G634" s="46">
        <v>1</v>
      </c>
      <c r="H634" s="81">
        <f t="shared" si="31"/>
        <v>2825551.9499999955</v>
      </c>
      <c r="I634" s="84">
        <f t="shared" si="32"/>
        <v>0.1462608333333085</v>
      </c>
      <c r="J634" s="84">
        <f t="shared" si="30"/>
        <v>0.21405696590909057</v>
      </c>
      <c r="K634" s="90" t="s">
        <v>56</v>
      </c>
    </row>
    <row r="635" spans="1:11" ht="20">
      <c r="A635" s="14">
        <v>45438</v>
      </c>
      <c r="B635" s="83">
        <f>VLOOKUP(A635,'BADI SID DATA'!A:B,2,0)</f>
        <v>56</v>
      </c>
      <c r="C635" s="85">
        <v>48750</v>
      </c>
      <c r="D635" s="52">
        <v>4.6500000000000004</v>
      </c>
      <c r="E635" s="82">
        <v>8.1999999999999993</v>
      </c>
      <c r="F635" s="46">
        <v>1</v>
      </c>
      <c r="G635" s="46">
        <v>1</v>
      </c>
      <c r="H635" s="81">
        <f t="shared" si="31"/>
        <v>2874301.9499999955</v>
      </c>
      <c r="I635" s="84">
        <f t="shared" si="32"/>
        <v>0.203125</v>
      </c>
      <c r="J635" s="84">
        <f t="shared" si="30"/>
        <v>0.21386175223214252</v>
      </c>
      <c r="K635" s="90" t="s">
        <v>52</v>
      </c>
    </row>
    <row r="636" spans="1:11" ht="20">
      <c r="A636" s="14">
        <v>45439</v>
      </c>
      <c r="B636" s="83">
        <f>VLOOKUP(A636,'BADI SID DATA'!A:B,2,0)</f>
        <v>57</v>
      </c>
      <c r="C636" s="85">
        <v>48750</v>
      </c>
      <c r="D636" s="51">
        <v>4.7</v>
      </c>
      <c r="E636" s="82">
        <v>7.2</v>
      </c>
      <c r="F636" s="46">
        <v>1</v>
      </c>
      <c r="G636" s="46">
        <v>1</v>
      </c>
      <c r="H636" s="81">
        <f t="shared" si="31"/>
        <v>2923051.9499999955</v>
      </c>
      <c r="I636" s="84">
        <f t="shared" si="32"/>
        <v>0.203125</v>
      </c>
      <c r="J636" s="84">
        <f t="shared" si="30"/>
        <v>0.21367338815789441</v>
      </c>
      <c r="K636" s="90" t="s">
        <v>52</v>
      </c>
    </row>
    <row r="637" spans="1:11" ht="20">
      <c r="A637" s="14">
        <v>45440</v>
      </c>
      <c r="B637" s="83">
        <f>VLOOKUP(A637,'BADI SID DATA'!A:B,2,0)</f>
        <v>58</v>
      </c>
      <c r="C637" s="85">
        <v>51348.70000000298</v>
      </c>
      <c r="D637" s="52">
        <v>4.8899999999999997</v>
      </c>
      <c r="E637" s="82">
        <v>8.6</v>
      </c>
      <c r="F637" s="46">
        <v>1</v>
      </c>
      <c r="G637" s="46">
        <v>0.92361111111111116</v>
      </c>
      <c r="H637" s="81">
        <f t="shared" si="31"/>
        <v>2974400.6499999985</v>
      </c>
      <c r="I637" s="84">
        <f t="shared" si="32"/>
        <v>0.21395291666667909</v>
      </c>
      <c r="J637" s="84">
        <f t="shared" ref="J637:J700" si="33">H637/(24*B637*10*1000)</f>
        <v>0.21367820761494241</v>
      </c>
      <c r="K637" s="90" t="s">
        <v>52</v>
      </c>
    </row>
    <row r="638" spans="1:11" ht="20">
      <c r="A638" s="14">
        <v>45441</v>
      </c>
      <c r="B638" s="83">
        <f>VLOOKUP(A638,'BADI SID DATA'!A:B,2,0)</f>
        <v>59</v>
      </c>
      <c r="C638" s="85">
        <v>46801.94999999553</v>
      </c>
      <c r="D638" s="51">
        <v>4.46</v>
      </c>
      <c r="E638" s="82">
        <v>8.9</v>
      </c>
      <c r="F638" s="46">
        <v>1</v>
      </c>
      <c r="G638" s="46">
        <v>1</v>
      </c>
      <c r="H638" s="81">
        <f t="shared" si="31"/>
        <v>3021202.599999994</v>
      </c>
      <c r="I638" s="84">
        <f t="shared" si="32"/>
        <v>0.19500812499998138</v>
      </c>
      <c r="J638" s="84">
        <f t="shared" si="33"/>
        <v>0.21336176553672273</v>
      </c>
      <c r="K638" s="90" t="s">
        <v>52</v>
      </c>
    </row>
    <row r="639" spans="1:11" ht="20">
      <c r="A639" s="14">
        <v>45442</v>
      </c>
      <c r="B639" s="83">
        <f>VLOOKUP(A639,'BADI SID DATA'!A:B,2,0)</f>
        <v>60</v>
      </c>
      <c r="C639" s="85">
        <v>52649.350000008941</v>
      </c>
      <c r="D639" s="52">
        <v>5.33</v>
      </c>
      <c r="E639" s="82">
        <v>9.9</v>
      </c>
      <c r="F639" s="46">
        <v>1</v>
      </c>
      <c r="G639" s="46">
        <v>0.9</v>
      </c>
      <c r="H639" s="81">
        <f t="shared" si="31"/>
        <v>3073851.950000003</v>
      </c>
      <c r="I639" s="84">
        <f t="shared" si="32"/>
        <v>0.21937229166670391</v>
      </c>
      <c r="J639" s="84">
        <f t="shared" si="33"/>
        <v>0.21346194097222243</v>
      </c>
      <c r="K639" s="90" t="s">
        <v>52</v>
      </c>
    </row>
    <row r="640" spans="1:11" ht="20">
      <c r="A640" s="14">
        <v>45443</v>
      </c>
      <c r="B640" s="83">
        <f>VLOOKUP(A640,'BADI SID DATA'!A:B,2,0)</f>
        <v>61</v>
      </c>
      <c r="C640" s="85">
        <v>52649.999999992549</v>
      </c>
      <c r="D640" s="51">
        <v>5.21</v>
      </c>
      <c r="E640" s="82">
        <v>10.1</v>
      </c>
      <c r="F640" s="46">
        <v>1</v>
      </c>
      <c r="G640" s="46">
        <v>1</v>
      </c>
      <c r="H640" s="81">
        <f t="shared" si="31"/>
        <v>3126501.9499999955</v>
      </c>
      <c r="I640" s="84">
        <f t="shared" si="32"/>
        <v>0.21937499999996896</v>
      </c>
      <c r="J640" s="84">
        <f t="shared" si="33"/>
        <v>0.21355887636611992</v>
      </c>
      <c r="K640" s="90" t="s">
        <v>52</v>
      </c>
    </row>
    <row r="641" spans="1:11" ht="20">
      <c r="A641" s="14">
        <v>45444</v>
      </c>
      <c r="B641" s="83">
        <f>VLOOKUP(A641,'BADI SID DATA'!A:B,2,0)</f>
        <v>62</v>
      </c>
      <c r="C641" s="85">
        <v>46147.40000000596</v>
      </c>
      <c r="D641" s="53">
        <v>4.5199999999999996</v>
      </c>
      <c r="E641" s="82">
        <v>10.199999999999999</v>
      </c>
      <c r="F641" s="46">
        <v>1</v>
      </c>
      <c r="G641" s="46">
        <v>1</v>
      </c>
      <c r="H641" s="81">
        <f t="shared" si="31"/>
        <v>3172649.3500000015</v>
      </c>
      <c r="I641" s="84">
        <f t="shared" si="32"/>
        <v>0.19228083333335816</v>
      </c>
      <c r="J641" s="84">
        <f t="shared" si="33"/>
        <v>0.21321568212365602</v>
      </c>
      <c r="K641" s="90" t="s">
        <v>52</v>
      </c>
    </row>
    <row r="642" spans="1:11" ht="20">
      <c r="A642" s="14">
        <v>45445</v>
      </c>
      <c r="B642" s="83">
        <f>VLOOKUP(A642,'BADI SID DATA'!A:B,2,0)</f>
        <v>63</v>
      </c>
      <c r="C642" s="85">
        <v>44199.999999992549</v>
      </c>
      <c r="D642" s="53">
        <v>4.4000000000000004</v>
      </c>
      <c r="E642" s="82">
        <v>10</v>
      </c>
      <c r="F642" s="46">
        <v>1</v>
      </c>
      <c r="G642" s="46">
        <v>1</v>
      </c>
      <c r="H642" s="81">
        <f t="shared" si="31"/>
        <v>3216849.349999994</v>
      </c>
      <c r="I642" s="84">
        <f t="shared" si="32"/>
        <v>0.18416666666663561</v>
      </c>
      <c r="J642" s="84">
        <f t="shared" si="33"/>
        <v>0.21275458664021124</v>
      </c>
      <c r="K642" s="90" t="s">
        <v>52</v>
      </c>
    </row>
    <row r="643" spans="1:11" ht="20">
      <c r="A643" s="14">
        <v>45446</v>
      </c>
      <c r="B643" s="83">
        <f>VLOOKUP(A643,'BADI SID DATA'!A:B,2,0)</f>
        <v>64</v>
      </c>
      <c r="C643" s="85">
        <v>43552.600000008941</v>
      </c>
      <c r="D643" s="50">
        <v>4.1399999999999997</v>
      </c>
      <c r="E643" s="82">
        <v>10.199999999999999</v>
      </c>
      <c r="F643" s="46">
        <v>1</v>
      </c>
      <c r="G643" s="46">
        <v>1</v>
      </c>
      <c r="H643" s="81">
        <f t="shared" si="31"/>
        <v>3260401.950000003</v>
      </c>
      <c r="I643" s="84">
        <f t="shared" si="32"/>
        <v>0.18146916666670393</v>
      </c>
      <c r="J643" s="84">
        <f t="shared" si="33"/>
        <v>0.21226575195312519</v>
      </c>
      <c r="K643" s="90" t="s">
        <v>52</v>
      </c>
    </row>
    <row r="644" spans="1:11" ht="20">
      <c r="A644" s="14">
        <v>45447</v>
      </c>
      <c r="B644" s="83">
        <f>VLOOKUP(A644,'BADI SID DATA'!A:B,2,0)</f>
        <v>65</v>
      </c>
      <c r="C644" s="85">
        <v>40950</v>
      </c>
      <c r="D644" s="53">
        <v>3.92</v>
      </c>
      <c r="E644" s="82">
        <v>10.1</v>
      </c>
      <c r="F644" s="46">
        <v>1</v>
      </c>
      <c r="G644" s="46">
        <v>1</v>
      </c>
      <c r="H644" s="81">
        <f t="shared" si="31"/>
        <v>3301351.950000003</v>
      </c>
      <c r="I644" s="84">
        <f t="shared" si="32"/>
        <v>0.170625</v>
      </c>
      <c r="J644" s="84">
        <f t="shared" si="33"/>
        <v>0.21162512500000019</v>
      </c>
      <c r="K644" s="90" t="s">
        <v>52</v>
      </c>
    </row>
    <row r="645" spans="1:11" ht="80">
      <c r="A645" s="14">
        <v>45448</v>
      </c>
      <c r="B645" s="83">
        <f>VLOOKUP(A645,'BADI SID DATA'!A:B,2,0)</f>
        <v>66</v>
      </c>
      <c r="C645" s="85">
        <v>25998.04999999702</v>
      </c>
      <c r="D645" s="53">
        <v>2.39</v>
      </c>
      <c r="E645" s="82">
        <v>10.5</v>
      </c>
      <c r="F645" s="46">
        <v>1</v>
      </c>
      <c r="G645" s="46">
        <v>0.97986111111111107</v>
      </c>
      <c r="H645" s="81">
        <f t="shared" ref="H645:H708" si="34">C645+H644</f>
        <v>3327350</v>
      </c>
      <c r="I645" s="84">
        <f t="shared" si="32"/>
        <v>0.10832520833332092</v>
      </c>
      <c r="J645" s="84">
        <f t="shared" si="33"/>
        <v>0.21005997474747476</v>
      </c>
      <c r="K645" s="90" t="s">
        <v>51</v>
      </c>
    </row>
    <row r="646" spans="1:11" ht="40">
      <c r="A646" s="14">
        <v>45449</v>
      </c>
      <c r="B646" s="83">
        <f>VLOOKUP(A646,'BADI SID DATA'!A:B,2,0)</f>
        <v>67</v>
      </c>
      <c r="C646" s="85">
        <v>40299.35000000149</v>
      </c>
      <c r="D646" s="50">
        <v>3.93</v>
      </c>
      <c r="E646" s="82">
        <v>9</v>
      </c>
      <c r="F646" s="46">
        <v>1</v>
      </c>
      <c r="G646" s="46">
        <v>1</v>
      </c>
      <c r="H646" s="81">
        <f t="shared" si="34"/>
        <v>3367649.3500000015</v>
      </c>
      <c r="I646" s="84">
        <f t="shared" si="32"/>
        <v>0.16791395833333955</v>
      </c>
      <c r="J646" s="84">
        <f t="shared" si="33"/>
        <v>0.20943092972636826</v>
      </c>
      <c r="K646" s="90" t="s">
        <v>56</v>
      </c>
    </row>
    <row r="647" spans="1:11" ht="40">
      <c r="A647" s="14">
        <v>45450</v>
      </c>
      <c r="B647" s="83">
        <f>VLOOKUP(A647,'BADI SID DATA'!A:B,2,0)</f>
        <v>68</v>
      </c>
      <c r="C647" s="85">
        <v>35749.34999999404</v>
      </c>
      <c r="D647" s="50">
        <v>3.28</v>
      </c>
      <c r="E647" s="82">
        <v>9.1</v>
      </c>
      <c r="F647" s="46">
        <v>1</v>
      </c>
      <c r="G647" s="46">
        <v>1</v>
      </c>
      <c r="H647" s="81">
        <f t="shared" si="34"/>
        <v>3403398.6999999955</v>
      </c>
      <c r="I647" s="84">
        <f t="shared" si="32"/>
        <v>0.14895562499997517</v>
      </c>
      <c r="J647" s="84">
        <f t="shared" si="33"/>
        <v>0.20854158700980366</v>
      </c>
      <c r="K647" s="90" t="s">
        <v>56</v>
      </c>
    </row>
    <row r="648" spans="1:11" ht="20">
      <c r="A648" s="14">
        <v>45451</v>
      </c>
      <c r="B648" s="83">
        <f>VLOOKUP(A648,'BADI SID DATA'!A:B,2,0)</f>
        <v>69</v>
      </c>
      <c r="C648" s="85">
        <v>48750</v>
      </c>
      <c r="D648" s="53">
        <v>4.72</v>
      </c>
      <c r="E648" s="82">
        <v>10.4</v>
      </c>
      <c r="F648" s="46">
        <v>1</v>
      </c>
      <c r="G648" s="46">
        <v>1</v>
      </c>
      <c r="H648" s="81">
        <f t="shared" si="34"/>
        <v>3452148.6999999955</v>
      </c>
      <c r="I648" s="84">
        <f t="shared" si="32"/>
        <v>0.203125</v>
      </c>
      <c r="J648" s="84">
        <f t="shared" si="33"/>
        <v>0.20846308574879199</v>
      </c>
      <c r="K648" s="90" t="s">
        <v>52</v>
      </c>
    </row>
    <row r="649" spans="1:11" ht="20">
      <c r="A649" s="14">
        <v>45452</v>
      </c>
      <c r="B649" s="83">
        <f>VLOOKUP(A649,'BADI SID DATA'!A:B,2,0)</f>
        <v>70</v>
      </c>
      <c r="C649" s="85">
        <v>49400.64999999851</v>
      </c>
      <c r="D649" s="50">
        <v>4.82</v>
      </c>
      <c r="E649" s="82">
        <v>10.8</v>
      </c>
      <c r="F649" s="46">
        <v>1</v>
      </c>
      <c r="G649" s="46">
        <v>1</v>
      </c>
      <c r="H649" s="81">
        <f t="shared" si="34"/>
        <v>3501549.349999994</v>
      </c>
      <c r="I649" s="84">
        <f t="shared" si="32"/>
        <v>0.20583604166666045</v>
      </c>
      <c r="J649" s="84">
        <f t="shared" si="33"/>
        <v>0.20842555654761868</v>
      </c>
      <c r="K649" s="90" t="s">
        <v>52</v>
      </c>
    </row>
    <row r="650" spans="1:11" ht="20">
      <c r="A650" s="14">
        <v>45453</v>
      </c>
      <c r="B650" s="83">
        <f>VLOOKUP(A650,'BADI SID DATA'!A:B,2,0)</f>
        <v>71</v>
      </c>
      <c r="C650" s="85">
        <v>42251.30000000447</v>
      </c>
      <c r="D650" s="51">
        <v>4</v>
      </c>
      <c r="E650" s="82">
        <v>10.9</v>
      </c>
      <c r="F650" s="46">
        <v>1</v>
      </c>
      <c r="G650" s="46">
        <v>1</v>
      </c>
      <c r="H650" s="81">
        <f t="shared" si="34"/>
        <v>3543800.6499999985</v>
      </c>
      <c r="I650" s="84">
        <f t="shared" si="32"/>
        <v>0.17604708333335195</v>
      </c>
      <c r="J650" s="84">
        <f t="shared" si="33"/>
        <v>0.20796952171361494</v>
      </c>
      <c r="K650" s="90" t="s">
        <v>52</v>
      </c>
    </row>
    <row r="651" spans="1:11" ht="20">
      <c r="A651" s="14">
        <v>45454</v>
      </c>
      <c r="B651" s="83">
        <f>VLOOKUP(A651,'BADI SID DATA'!A:B,2,0)</f>
        <v>72</v>
      </c>
      <c r="C651" s="85">
        <v>43549.35000000149</v>
      </c>
      <c r="D651" s="51">
        <v>4.08</v>
      </c>
      <c r="E651" s="82">
        <v>10</v>
      </c>
      <c r="F651" s="46">
        <v>1</v>
      </c>
      <c r="G651" s="46">
        <v>1</v>
      </c>
      <c r="H651" s="81">
        <f t="shared" si="34"/>
        <v>3587350</v>
      </c>
      <c r="I651" s="84">
        <f t="shared" si="32"/>
        <v>0.1814556250000062</v>
      </c>
      <c r="J651" s="84">
        <f t="shared" si="33"/>
        <v>0.20760127314814814</v>
      </c>
      <c r="K651" s="90" t="s">
        <v>52</v>
      </c>
    </row>
    <row r="652" spans="1:11" ht="80">
      <c r="A652" s="14">
        <v>45455</v>
      </c>
      <c r="B652" s="83">
        <f>VLOOKUP(A652,'BADI SID DATA'!A:B,2,0)</f>
        <v>73</v>
      </c>
      <c r="C652" s="85">
        <v>37050.64999999851</v>
      </c>
      <c r="D652" s="51">
        <v>3.4</v>
      </c>
      <c r="E652" s="82">
        <v>10.199999999999999</v>
      </c>
      <c r="F652" s="46">
        <v>1</v>
      </c>
      <c r="G652" s="46">
        <v>1</v>
      </c>
      <c r="H652" s="81">
        <f t="shared" si="34"/>
        <v>3624400.6499999985</v>
      </c>
      <c r="I652" s="84">
        <f t="shared" si="32"/>
        <v>0.15437770833332712</v>
      </c>
      <c r="J652" s="84">
        <f t="shared" si="33"/>
        <v>0.206872183219178</v>
      </c>
      <c r="K652" s="90" t="s">
        <v>51</v>
      </c>
    </row>
    <row r="653" spans="1:11" ht="20">
      <c r="A653" s="14">
        <v>45456</v>
      </c>
      <c r="B653" s="83">
        <f>VLOOKUP(A653,'BADI SID DATA'!A:B,2,0)</f>
        <v>74</v>
      </c>
      <c r="C653" s="85">
        <v>44850</v>
      </c>
      <c r="D653" s="51">
        <v>4.26</v>
      </c>
      <c r="E653" s="82">
        <v>10.5</v>
      </c>
      <c r="F653" s="46">
        <v>1</v>
      </c>
      <c r="G653" s="46">
        <v>1</v>
      </c>
      <c r="H653" s="81">
        <f t="shared" si="34"/>
        <v>3669250.6499999985</v>
      </c>
      <c r="I653" s="84">
        <f t="shared" si="32"/>
        <v>0.18687500000000001</v>
      </c>
      <c r="J653" s="84">
        <f t="shared" si="33"/>
        <v>0.20660195101351342</v>
      </c>
      <c r="K653" s="90" t="s">
        <v>52</v>
      </c>
    </row>
    <row r="654" spans="1:11" ht="20">
      <c r="A654" s="14">
        <v>45457</v>
      </c>
      <c r="B654" s="83">
        <f>VLOOKUP(A654,'BADI SID DATA'!A:B,2,0)</f>
        <v>75</v>
      </c>
      <c r="C654" s="85">
        <v>45500.64999999851</v>
      </c>
      <c r="D654" s="51">
        <v>4.3899999999999997</v>
      </c>
      <c r="E654" s="82">
        <v>10.7</v>
      </c>
      <c r="F654" s="46">
        <v>1</v>
      </c>
      <c r="G654" s="46">
        <v>0.62430555555555556</v>
      </c>
      <c r="H654" s="81">
        <f t="shared" si="34"/>
        <v>3714751.299999997</v>
      </c>
      <c r="I654" s="84">
        <f t="shared" si="32"/>
        <v>0.18958604166666046</v>
      </c>
      <c r="J654" s="84">
        <f t="shared" si="33"/>
        <v>0.20637507222222207</v>
      </c>
      <c r="K654" s="90" t="s">
        <v>52</v>
      </c>
    </row>
    <row r="655" spans="1:11" ht="20">
      <c r="A655" s="14">
        <v>45458</v>
      </c>
      <c r="B655" s="83">
        <f>VLOOKUP(A655,'BADI SID DATA'!A:B,2,0)</f>
        <v>76</v>
      </c>
      <c r="C655" s="85">
        <v>43548.70000000298</v>
      </c>
      <c r="D655" s="51">
        <v>4.41</v>
      </c>
      <c r="E655" s="82">
        <v>9.5</v>
      </c>
      <c r="F655" s="46">
        <v>1</v>
      </c>
      <c r="G655" s="46">
        <v>0.9770833333333333</v>
      </c>
      <c r="H655" s="81">
        <f t="shared" si="34"/>
        <v>3758300</v>
      </c>
      <c r="I655" s="84">
        <f t="shared" si="32"/>
        <v>0.18145291666667909</v>
      </c>
      <c r="J655" s="84">
        <f t="shared" si="33"/>
        <v>0.20604714912280703</v>
      </c>
      <c r="K655" s="90" t="s">
        <v>52</v>
      </c>
    </row>
    <row r="656" spans="1:11" ht="20">
      <c r="A656" s="14">
        <v>45459</v>
      </c>
      <c r="B656" s="83">
        <f>VLOOKUP(A656,'BADI SID DATA'!A:B,2,0)</f>
        <v>77</v>
      </c>
      <c r="C656" s="85">
        <v>46151.29999999702</v>
      </c>
      <c r="D656" s="51">
        <v>4.3899999999999997</v>
      </c>
      <c r="E656" s="82">
        <v>10.3</v>
      </c>
      <c r="F656" s="46">
        <v>1</v>
      </c>
      <c r="G656" s="46">
        <v>1</v>
      </c>
      <c r="H656" s="81">
        <f t="shared" si="34"/>
        <v>3804451.299999997</v>
      </c>
      <c r="I656" s="84">
        <f t="shared" si="32"/>
        <v>0.19229708333332091</v>
      </c>
      <c r="J656" s="84">
        <f t="shared" si="33"/>
        <v>0.20586857683982668</v>
      </c>
      <c r="K656" s="90" t="s">
        <v>52</v>
      </c>
    </row>
    <row r="657" spans="1:11" ht="20">
      <c r="A657" s="14">
        <v>45460</v>
      </c>
      <c r="B657" s="83">
        <f>VLOOKUP(A657,'BADI SID DATA'!A:B,2,0)</f>
        <v>78</v>
      </c>
      <c r="C657" s="85">
        <v>53947.39999999851</v>
      </c>
      <c r="D657" s="51">
        <v>5.37</v>
      </c>
      <c r="E657" s="82">
        <v>10.199999999999999</v>
      </c>
      <c r="F657" s="46">
        <v>1</v>
      </c>
      <c r="G657" s="46">
        <v>1</v>
      </c>
      <c r="H657" s="81">
        <f t="shared" si="34"/>
        <v>3858398.6999999955</v>
      </c>
      <c r="I657" s="84">
        <f t="shared" si="32"/>
        <v>0.22478083333332713</v>
      </c>
      <c r="J657" s="84">
        <f t="shared" si="33"/>
        <v>0.20611104166666644</v>
      </c>
      <c r="K657" s="90" t="s">
        <v>52</v>
      </c>
    </row>
    <row r="658" spans="1:11" ht="20">
      <c r="A658" s="14">
        <v>45461</v>
      </c>
      <c r="B658" s="83">
        <f>VLOOKUP(A658,'BADI SID DATA'!A:B,2,0)</f>
        <v>79</v>
      </c>
      <c r="C658" s="85">
        <v>41601.30000000447</v>
      </c>
      <c r="D658" s="51">
        <v>3.93</v>
      </c>
      <c r="E658" s="82">
        <v>10.1</v>
      </c>
      <c r="F658" s="46">
        <v>1</v>
      </c>
      <c r="G658" s="46">
        <v>1</v>
      </c>
      <c r="H658" s="81">
        <f t="shared" si="34"/>
        <v>3900000</v>
      </c>
      <c r="I658" s="84">
        <f t="shared" si="32"/>
        <v>0.17333875000001864</v>
      </c>
      <c r="J658" s="84">
        <f t="shared" si="33"/>
        <v>0.20569620253164558</v>
      </c>
      <c r="K658" s="90" t="s">
        <v>52</v>
      </c>
    </row>
    <row r="659" spans="1:11" ht="20">
      <c r="A659" s="14">
        <v>45462</v>
      </c>
      <c r="B659" s="83">
        <f>VLOOKUP(A659,'BADI SID DATA'!A:B,2,0)</f>
        <v>80</v>
      </c>
      <c r="C659" s="85">
        <v>42251.29999999702</v>
      </c>
      <c r="D659" s="51">
        <v>3.93</v>
      </c>
      <c r="E659" s="82">
        <v>7.5</v>
      </c>
      <c r="F659" s="46">
        <v>1</v>
      </c>
      <c r="G659" s="46">
        <v>1</v>
      </c>
      <c r="H659" s="81">
        <f t="shared" si="34"/>
        <v>3942251.299999997</v>
      </c>
      <c r="I659" s="84">
        <f t="shared" si="32"/>
        <v>0.17604708333332092</v>
      </c>
      <c r="J659" s="84">
        <f t="shared" si="33"/>
        <v>0.20532558854166652</v>
      </c>
      <c r="K659" s="90" t="s">
        <v>52</v>
      </c>
    </row>
    <row r="660" spans="1:11" ht="20">
      <c r="A660" s="14">
        <v>45463</v>
      </c>
      <c r="B660" s="83">
        <f>VLOOKUP(A660,'BADI SID DATA'!A:B,2,0)</f>
        <v>81</v>
      </c>
      <c r="C660" s="85">
        <v>48750</v>
      </c>
      <c r="D660" s="51">
        <v>4.5999999999999996</v>
      </c>
      <c r="E660" s="82">
        <v>9</v>
      </c>
      <c r="F660" s="46">
        <v>1</v>
      </c>
      <c r="G660" s="46">
        <v>1</v>
      </c>
      <c r="H660" s="81">
        <f t="shared" si="34"/>
        <v>3991001.299999997</v>
      </c>
      <c r="I660" s="84">
        <f t="shared" si="32"/>
        <v>0.203125</v>
      </c>
      <c r="J660" s="84">
        <f t="shared" si="33"/>
        <v>0.20529842078189284</v>
      </c>
      <c r="K660" s="90" t="s">
        <v>52</v>
      </c>
    </row>
    <row r="661" spans="1:11" ht="20">
      <c r="A661" s="14">
        <v>45464</v>
      </c>
      <c r="B661" s="83">
        <f>VLOOKUP(A661,'BADI SID DATA'!A:B,2,0)</f>
        <v>82</v>
      </c>
      <c r="C661" s="85">
        <v>48099.35000000149</v>
      </c>
      <c r="D661" s="51">
        <v>4.49</v>
      </c>
      <c r="E661" s="82">
        <v>10.3</v>
      </c>
      <c r="F661" s="46">
        <v>1</v>
      </c>
      <c r="G661" s="46">
        <v>1</v>
      </c>
      <c r="H661" s="81">
        <f t="shared" si="34"/>
        <v>4039100.6499999985</v>
      </c>
      <c r="I661" s="84">
        <f t="shared" si="32"/>
        <v>0.20041395833333955</v>
      </c>
      <c r="J661" s="84">
        <f t="shared" si="33"/>
        <v>0.2052388541666666</v>
      </c>
      <c r="K661" s="90" t="s">
        <v>52</v>
      </c>
    </row>
    <row r="662" spans="1:11" ht="20">
      <c r="A662" s="14">
        <v>45465</v>
      </c>
      <c r="B662" s="83">
        <f>VLOOKUP(A662,'BADI SID DATA'!A:B,2,0)</f>
        <v>83</v>
      </c>
      <c r="C662" s="85">
        <v>48099.35000000149</v>
      </c>
      <c r="D662" s="51">
        <v>4.3</v>
      </c>
      <c r="E662" s="82">
        <v>9.9</v>
      </c>
      <c r="F662" s="46">
        <v>1</v>
      </c>
      <c r="G662" s="46">
        <v>1</v>
      </c>
      <c r="H662" s="81">
        <f t="shared" si="34"/>
        <v>4087200</v>
      </c>
      <c r="I662" s="84">
        <f t="shared" si="32"/>
        <v>0.20041395833333955</v>
      </c>
      <c r="J662" s="84">
        <f t="shared" si="33"/>
        <v>0.20518072289156628</v>
      </c>
      <c r="K662" s="90" t="s">
        <v>52</v>
      </c>
    </row>
    <row r="663" spans="1:11" ht="20">
      <c r="A663" s="14">
        <v>45466</v>
      </c>
      <c r="B663" s="83">
        <f>VLOOKUP(A663,'BADI SID DATA'!A:B,2,0)</f>
        <v>84</v>
      </c>
      <c r="C663" s="85">
        <v>49400.64999999851</v>
      </c>
      <c r="D663" s="51">
        <v>4.49</v>
      </c>
      <c r="E663" s="82">
        <v>10.199999999999999</v>
      </c>
      <c r="F663" s="46">
        <v>1</v>
      </c>
      <c r="G663" s="46">
        <v>1</v>
      </c>
      <c r="H663" s="81">
        <f t="shared" si="34"/>
        <v>4136600.6499999985</v>
      </c>
      <c r="I663" s="84">
        <f t="shared" si="32"/>
        <v>0.20583604166666045</v>
      </c>
      <c r="J663" s="84">
        <f t="shared" si="33"/>
        <v>0.20518852430555548</v>
      </c>
      <c r="K663" s="90" t="s">
        <v>52</v>
      </c>
    </row>
    <row r="664" spans="1:11" ht="20">
      <c r="A664" s="14">
        <v>45467</v>
      </c>
      <c r="B664" s="83">
        <f>VLOOKUP(A664,'BADI SID DATA'!A:B,2,0)</f>
        <v>85</v>
      </c>
      <c r="C664" s="85">
        <v>44850</v>
      </c>
      <c r="D664" s="51">
        <v>3.84</v>
      </c>
      <c r="E664" s="82">
        <v>9.9</v>
      </c>
      <c r="F664" s="46">
        <v>1</v>
      </c>
      <c r="G664" s="46">
        <v>1</v>
      </c>
      <c r="H664" s="81">
        <f t="shared" si="34"/>
        <v>4181450.6499999985</v>
      </c>
      <c r="I664" s="84">
        <f t="shared" si="32"/>
        <v>0.18687500000000001</v>
      </c>
      <c r="J664" s="84">
        <f t="shared" si="33"/>
        <v>0.2049730710784313</v>
      </c>
      <c r="K664" s="90" t="s">
        <v>52</v>
      </c>
    </row>
    <row r="665" spans="1:11" ht="20">
      <c r="A665" s="14">
        <v>45468</v>
      </c>
      <c r="B665" s="83">
        <f>VLOOKUP(A665,'BADI SID DATA'!A:B,2,0)</f>
        <v>86</v>
      </c>
      <c r="C665" s="85">
        <v>44200</v>
      </c>
      <c r="D665" s="52">
        <v>3.86</v>
      </c>
      <c r="E665" s="82">
        <v>10.7</v>
      </c>
      <c r="F665" s="46">
        <v>1</v>
      </c>
      <c r="G665" s="46">
        <v>1</v>
      </c>
      <c r="H665" s="81">
        <f t="shared" si="34"/>
        <v>4225650.6499999985</v>
      </c>
      <c r="I665" s="84">
        <f t="shared" si="32"/>
        <v>0.18416666666666667</v>
      </c>
      <c r="J665" s="84">
        <f t="shared" si="33"/>
        <v>0.20473113614341079</v>
      </c>
      <c r="K665" s="90" t="s">
        <v>52</v>
      </c>
    </row>
    <row r="666" spans="1:11" ht="80">
      <c r="A666" s="14">
        <v>45469</v>
      </c>
      <c r="B666" s="83">
        <f>VLOOKUP(A666,'BADI SID DATA'!A:B,2,0)</f>
        <v>87</v>
      </c>
      <c r="C666" s="85">
        <v>31849.35000000149</v>
      </c>
      <c r="D666" s="51">
        <v>2.56</v>
      </c>
      <c r="E666" s="82">
        <v>6.5</v>
      </c>
      <c r="F666" s="46">
        <v>1</v>
      </c>
      <c r="G666" s="46">
        <v>0.51111111111111107</v>
      </c>
      <c r="H666" s="81">
        <f t="shared" si="34"/>
        <v>4257500</v>
      </c>
      <c r="I666" s="84">
        <f t="shared" si="32"/>
        <v>0.13270562500000621</v>
      </c>
      <c r="J666" s="84">
        <f t="shared" si="33"/>
        <v>0.20390325670498086</v>
      </c>
      <c r="K666" s="90" t="s">
        <v>51</v>
      </c>
    </row>
    <row r="667" spans="1:11" ht="80">
      <c r="A667" s="14">
        <v>45470</v>
      </c>
      <c r="B667" s="83">
        <f>VLOOKUP(A667,'BADI SID DATA'!A:B,2,0)</f>
        <v>88</v>
      </c>
      <c r="C667" s="85">
        <v>31849.34999999404</v>
      </c>
      <c r="D667" s="52">
        <v>5.0199999999999996</v>
      </c>
      <c r="E667" s="82">
        <v>6.5</v>
      </c>
      <c r="F667" s="46">
        <v>1</v>
      </c>
      <c r="G667" s="46">
        <v>1</v>
      </c>
      <c r="H667" s="81">
        <f t="shared" si="34"/>
        <v>4289349.349999994</v>
      </c>
      <c r="I667" s="84">
        <f t="shared" si="32"/>
        <v>0.13270562499997515</v>
      </c>
      <c r="J667" s="84">
        <f t="shared" si="33"/>
        <v>0.20309419270833304</v>
      </c>
      <c r="K667" s="90" t="s">
        <v>51</v>
      </c>
    </row>
    <row r="668" spans="1:11" ht="20">
      <c r="A668" s="14">
        <v>45471</v>
      </c>
      <c r="B668" s="83">
        <f>VLOOKUP(A668,'BADI SID DATA'!A:B,2,0)</f>
        <v>89</v>
      </c>
      <c r="C668" s="85">
        <v>53950.65000000596</v>
      </c>
      <c r="D668" s="51">
        <v>4.62</v>
      </c>
      <c r="E668" s="82">
        <v>10.7</v>
      </c>
      <c r="F668" s="46">
        <v>1</v>
      </c>
      <c r="G668" s="46">
        <v>1</v>
      </c>
      <c r="H668" s="81">
        <f t="shared" si="34"/>
        <v>4343300</v>
      </c>
      <c r="I668" s="84">
        <f t="shared" si="32"/>
        <v>0.22479437500002483</v>
      </c>
      <c r="J668" s="84">
        <f t="shared" si="33"/>
        <v>0.20333801498127341</v>
      </c>
      <c r="K668" s="90" t="s">
        <v>52</v>
      </c>
    </row>
    <row r="669" spans="1:11" ht="20">
      <c r="A669" s="14">
        <v>45472</v>
      </c>
      <c r="B669" s="83">
        <f>VLOOKUP(A669,'BADI SID DATA'!A:B,2,0)</f>
        <v>90</v>
      </c>
      <c r="C669" s="85">
        <v>45500.64999999851</v>
      </c>
      <c r="D669" s="52">
        <v>3.88</v>
      </c>
      <c r="E669" s="82">
        <v>10.1</v>
      </c>
      <c r="F669" s="46">
        <v>1</v>
      </c>
      <c r="G669" s="46">
        <v>0.56944444444444442</v>
      </c>
      <c r="H669" s="81">
        <f t="shared" si="34"/>
        <v>4388800.6499999985</v>
      </c>
      <c r="I669" s="84">
        <f t="shared" si="32"/>
        <v>0.18958604166666046</v>
      </c>
      <c r="J669" s="84">
        <f t="shared" si="33"/>
        <v>0.20318521527777772</v>
      </c>
      <c r="K669" s="90" t="s">
        <v>52</v>
      </c>
    </row>
    <row r="670" spans="1:11" ht="40">
      <c r="A670" s="14">
        <v>45473</v>
      </c>
      <c r="B670" s="83">
        <f>VLOOKUP(A670,'BADI SID DATA'!A:B,2,0)</f>
        <v>91</v>
      </c>
      <c r="C670" s="85">
        <v>5848.0499999970198</v>
      </c>
      <c r="D670" s="51">
        <v>5.43</v>
      </c>
      <c r="E670" s="82">
        <v>5.5</v>
      </c>
      <c r="F670" s="46">
        <v>1</v>
      </c>
      <c r="G670" s="46">
        <v>0.66666666666666663</v>
      </c>
      <c r="H670" s="81">
        <f t="shared" si="34"/>
        <v>4394648.6999999955</v>
      </c>
      <c r="I670" s="84">
        <f t="shared" si="32"/>
        <v>2.4366874999987582E-2</v>
      </c>
      <c r="J670" s="84">
        <f t="shared" si="33"/>
        <v>0.20122017857142838</v>
      </c>
      <c r="K670" s="90" t="s">
        <v>74</v>
      </c>
    </row>
    <row r="671" spans="1:11" ht="80">
      <c r="A671" s="14">
        <v>45474</v>
      </c>
      <c r="B671" s="83">
        <f>VLOOKUP(A671,'BADI SID DATA'!A:B,2,0)</f>
        <v>92</v>
      </c>
      <c r="C671" s="85">
        <v>38351.95000000298</v>
      </c>
      <c r="D671" s="53">
        <v>3.1</v>
      </c>
      <c r="E671" s="82">
        <v>9.5</v>
      </c>
      <c r="F671" s="46">
        <v>1</v>
      </c>
      <c r="G671" s="46">
        <v>1</v>
      </c>
      <c r="H671" s="81">
        <f t="shared" si="34"/>
        <v>4433000.6499999985</v>
      </c>
      <c r="I671" s="84">
        <f t="shared" si="32"/>
        <v>0.1597997916666791</v>
      </c>
      <c r="J671" s="84">
        <f t="shared" si="33"/>
        <v>0.20076995697463762</v>
      </c>
      <c r="K671" s="90" t="s">
        <v>51</v>
      </c>
    </row>
    <row r="672" spans="1:11" ht="20">
      <c r="A672" s="14">
        <v>45475</v>
      </c>
      <c r="B672" s="83">
        <f>VLOOKUP(A672,'BADI SID DATA'!A:B,2,0)</f>
        <v>93</v>
      </c>
      <c r="C672" s="85">
        <v>47448.70000000298</v>
      </c>
      <c r="D672" s="53">
        <v>4.09</v>
      </c>
      <c r="E672" s="82">
        <v>10.3</v>
      </c>
      <c r="F672" s="46">
        <v>1</v>
      </c>
      <c r="G672" s="46">
        <v>1</v>
      </c>
      <c r="H672" s="81">
        <f t="shared" si="34"/>
        <v>4480449.3500000015</v>
      </c>
      <c r="I672" s="84">
        <f t="shared" si="32"/>
        <v>0.19770291666667908</v>
      </c>
      <c r="J672" s="84">
        <f t="shared" si="33"/>
        <v>0.20073697804659504</v>
      </c>
      <c r="K672" s="90" t="s">
        <v>52</v>
      </c>
    </row>
    <row r="673" spans="1:11" ht="20">
      <c r="A673" s="14">
        <v>45476</v>
      </c>
      <c r="B673" s="83">
        <f>VLOOKUP(A673,'BADI SID DATA'!A:B,2,0)</f>
        <v>94</v>
      </c>
      <c r="C673" s="85">
        <v>52003.249999992549</v>
      </c>
      <c r="D673" s="50">
        <v>4.49</v>
      </c>
      <c r="E673" s="82">
        <v>10.1</v>
      </c>
      <c r="F673" s="46">
        <v>1</v>
      </c>
      <c r="G673" s="46">
        <v>1</v>
      </c>
      <c r="H673" s="81">
        <f t="shared" si="34"/>
        <v>4532452.599999994</v>
      </c>
      <c r="I673" s="84">
        <f t="shared" si="32"/>
        <v>0.21668020833330229</v>
      </c>
      <c r="J673" s="84">
        <f t="shared" si="33"/>
        <v>0.20090658687943236</v>
      </c>
      <c r="K673" s="90" t="s">
        <v>52</v>
      </c>
    </row>
    <row r="674" spans="1:11" ht="80">
      <c r="A674" s="14">
        <v>45477</v>
      </c>
      <c r="B674" s="83">
        <f>VLOOKUP(A674,'BADI SID DATA'!A:B,2,0)</f>
        <v>95</v>
      </c>
      <c r="C674" s="85">
        <v>39648.70000000298</v>
      </c>
      <c r="D674" s="53">
        <v>3.14</v>
      </c>
      <c r="E674" s="82">
        <v>10</v>
      </c>
      <c r="F674" s="46">
        <v>1</v>
      </c>
      <c r="G674" s="46">
        <v>1</v>
      </c>
      <c r="H674" s="81">
        <f t="shared" si="34"/>
        <v>4572101.299999997</v>
      </c>
      <c r="I674" s="84">
        <f t="shared" si="32"/>
        <v>0.16520291666667908</v>
      </c>
      <c r="J674" s="84">
        <f t="shared" si="33"/>
        <v>0.20053075877192969</v>
      </c>
      <c r="K674" s="90" t="s">
        <v>51</v>
      </c>
    </row>
    <row r="675" spans="1:11" ht="20">
      <c r="A675" s="14">
        <v>45478</v>
      </c>
      <c r="B675" s="83">
        <f>VLOOKUP(A675,'BADI SID DATA'!A:B,2,0)</f>
        <v>96</v>
      </c>
      <c r="C675" s="85">
        <v>47448.70000000298</v>
      </c>
      <c r="D675" s="53">
        <v>4.6900000000000004</v>
      </c>
      <c r="E675" s="82">
        <v>10.6</v>
      </c>
      <c r="F675" s="46">
        <v>1</v>
      </c>
      <c r="G675" s="46">
        <v>1</v>
      </c>
      <c r="H675" s="81">
        <f t="shared" si="34"/>
        <v>4619550</v>
      </c>
      <c r="I675" s="84">
        <f t="shared" si="32"/>
        <v>0.19770291666667908</v>
      </c>
      <c r="J675" s="84">
        <f t="shared" si="33"/>
        <v>0.20050130208333333</v>
      </c>
      <c r="K675" s="90" t="s">
        <v>52</v>
      </c>
    </row>
    <row r="676" spans="1:11" ht="80">
      <c r="A676" s="14">
        <v>45479</v>
      </c>
      <c r="B676" s="83">
        <f>VLOOKUP(A676,'BADI SID DATA'!A:B,2,0)</f>
        <v>97</v>
      </c>
      <c r="C676" s="85">
        <v>28600.64999999851</v>
      </c>
      <c r="D676" s="50">
        <v>2.33</v>
      </c>
      <c r="E676" s="82">
        <v>4</v>
      </c>
      <c r="F676" s="46">
        <v>1</v>
      </c>
      <c r="G676" s="46">
        <v>1</v>
      </c>
      <c r="H676" s="81">
        <f t="shared" si="34"/>
        <v>4648150.6499999985</v>
      </c>
      <c r="I676" s="84">
        <f t="shared" si="32"/>
        <v>0.11916937499999379</v>
      </c>
      <c r="J676" s="84">
        <f t="shared" si="33"/>
        <v>0.19966282860824736</v>
      </c>
      <c r="K676" s="90" t="s">
        <v>51</v>
      </c>
    </row>
    <row r="677" spans="1:11" ht="20">
      <c r="A677" s="14">
        <v>45480</v>
      </c>
      <c r="B677" s="83">
        <f>VLOOKUP(A677,'BADI SID DATA'!A:B,2,0)</f>
        <v>98</v>
      </c>
      <c r="C677" s="85">
        <v>42251.30000000447</v>
      </c>
      <c r="D677" s="50">
        <v>4.07</v>
      </c>
      <c r="E677" s="82">
        <v>9.8000000000000007</v>
      </c>
      <c r="F677" s="46">
        <v>1</v>
      </c>
      <c r="G677" s="46">
        <v>1</v>
      </c>
      <c r="H677" s="81">
        <f t="shared" si="34"/>
        <v>4690401.950000003</v>
      </c>
      <c r="I677" s="84">
        <f t="shared" si="32"/>
        <v>0.17604708333335195</v>
      </c>
      <c r="J677" s="84">
        <f t="shared" si="33"/>
        <v>0.19942185161564638</v>
      </c>
      <c r="K677" s="90" t="s">
        <v>52</v>
      </c>
    </row>
    <row r="678" spans="1:11" ht="20">
      <c r="A678" s="14">
        <v>45481</v>
      </c>
      <c r="B678" s="83">
        <f>VLOOKUP(A678,'BADI SID DATA'!A:B,2,0)</f>
        <v>99</v>
      </c>
      <c r="C678" s="85">
        <v>44849.999999992549</v>
      </c>
      <c r="D678" s="53">
        <v>4.1900000000000004</v>
      </c>
      <c r="E678" s="82">
        <v>8.9</v>
      </c>
      <c r="F678" s="46">
        <v>1</v>
      </c>
      <c r="G678" s="46">
        <v>1</v>
      </c>
      <c r="H678" s="81">
        <f t="shared" si="34"/>
        <v>4735251.9499999955</v>
      </c>
      <c r="I678" s="84">
        <f t="shared" si="32"/>
        <v>0.18687499999996895</v>
      </c>
      <c r="J678" s="84">
        <f t="shared" si="33"/>
        <v>0.19929511574074055</v>
      </c>
      <c r="K678" s="90" t="s">
        <v>52</v>
      </c>
    </row>
    <row r="679" spans="1:11" ht="80">
      <c r="A679" s="14">
        <v>45482</v>
      </c>
      <c r="B679" s="83">
        <f>VLOOKUP(A679,'BADI SID DATA'!A:B,2,0)</f>
        <v>100</v>
      </c>
      <c r="C679" s="85">
        <v>38998.70000000298</v>
      </c>
      <c r="D679" s="50">
        <v>3.49</v>
      </c>
      <c r="E679" s="82">
        <v>8.5</v>
      </c>
      <c r="F679" s="46">
        <v>1</v>
      </c>
      <c r="G679" s="46">
        <v>1</v>
      </c>
      <c r="H679" s="81">
        <f t="shared" si="34"/>
        <v>4774250.6499999985</v>
      </c>
      <c r="I679" s="84">
        <f t="shared" si="32"/>
        <v>0.16249458333334574</v>
      </c>
      <c r="J679" s="84">
        <f t="shared" si="33"/>
        <v>0.19892711041666661</v>
      </c>
      <c r="K679" s="90" t="s">
        <v>51</v>
      </c>
    </row>
    <row r="680" spans="1:11" ht="60">
      <c r="A680" s="14">
        <v>45483</v>
      </c>
      <c r="B680" s="83">
        <f>VLOOKUP(A680,'BADI SID DATA'!A:B,2,0)</f>
        <v>101</v>
      </c>
      <c r="C680" s="85">
        <v>61750.64999999851</v>
      </c>
      <c r="D680" s="51">
        <v>6.26</v>
      </c>
      <c r="E680" s="82">
        <v>10</v>
      </c>
      <c r="F680" s="46">
        <v>1</v>
      </c>
      <c r="G680" s="46">
        <v>1</v>
      </c>
      <c r="H680" s="81">
        <f t="shared" si="34"/>
        <v>4836001.299999997</v>
      </c>
      <c r="I680" s="84">
        <f t="shared" si="32"/>
        <v>0.2572943749999938</v>
      </c>
      <c r="J680" s="84">
        <f t="shared" si="33"/>
        <v>0.19950500412541242</v>
      </c>
      <c r="K680" s="90" t="s">
        <v>54</v>
      </c>
    </row>
    <row r="681" spans="1:11" ht="60">
      <c r="A681" s="14">
        <v>45484</v>
      </c>
      <c r="B681" s="83">
        <f>VLOOKUP(A681,'BADI SID DATA'!A:B,2,0)</f>
        <v>102</v>
      </c>
      <c r="C681" s="85">
        <v>51352.60000000149</v>
      </c>
      <c r="D681" s="51">
        <v>4.9000000000000004</v>
      </c>
      <c r="E681" s="82">
        <v>10.5</v>
      </c>
      <c r="F681" s="46">
        <v>1</v>
      </c>
      <c r="G681" s="46">
        <v>1</v>
      </c>
      <c r="H681" s="81">
        <f t="shared" si="34"/>
        <v>4887353.8999999985</v>
      </c>
      <c r="I681" s="84">
        <f t="shared" si="32"/>
        <v>0.21396916666667287</v>
      </c>
      <c r="J681" s="84">
        <f t="shared" si="33"/>
        <v>0.19964680964052281</v>
      </c>
      <c r="K681" s="90" t="s">
        <v>54</v>
      </c>
    </row>
    <row r="682" spans="1:11" ht="60">
      <c r="A682" s="14">
        <v>45485</v>
      </c>
      <c r="B682" s="83">
        <f>VLOOKUP(A682,'BADI SID DATA'!A:B,2,0)</f>
        <v>103</v>
      </c>
      <c r="C682" s="85">
        <v>52646.09999999404</v>
      </c>
      <c r="D682" s="51">
        <v>5.13</v>
      </c>
      <c r="E682" s="82">
        <v>10.8</v>
      </c>
      <c r="F682" s="46">
        <v>1</v>
      </c>
      <c r="G682" s="46">
        <v>1</v>
      </c>
      <c r="H682" s="81">
        <f t="shared" si="34"/>
        <v>4939999.9999999925</v>
      </c>
      <c r="I682" s="84">
        <f t="shared" si="32"/>
        <v>0.21935874999997518</v>
      </c>
      <c r="J682" s="84">
        <f t="shared" si="33"/>
        <v>0.19983818770226508</v>
      </c>
      <c r="K682" s="90" t="s">
        <v>54</v>
      </c>
    </row>
    <row r="683" spans="1:11" ht="20">
      <c r="A683" s="14">
        <v>45486</v>
      </c>
      <c r="B683" s="83">
        <f>VLOOKUP(A683,'BADI SID DATA'!A:B,2,0)</f>
        <v>104</v>
      </c>
      <c r="C683" s="85">
        <v>40950.000000007451</v>
      </c>
      <c r="D683" s="51">
        <v>3.94</v>
      </c>
      <c r="E683" s="82">
        <v>9</v>
      </c>
      <c r="F683" s="46">
        <v>1</v>
      </c>
      <c r="G683" s="46">
        <v>0.90763888888888888</v>
      </c>
      <c r="H683" s="81">
        <f t="shared" si="34"/>
        <v>4980950</v>
      </c>
      <c r="I683" s="84">
        <f t="shared" si="32"/>
        <v>0.17062500000003106</v>
      </c>
      <c r="J683" s="84">
        <f t="shared" si="33"/>
        <v>0.19955729166666666</v>
      </c>
      <c r="K683" s="90" t="s">
        <v>52</v>
      </c>
    </row>
    <row r="684" spans="1:11" ht="80">
      <c r="A684" s="14">
        <v>45487</v>
      </c>
      <c r="B684" s="83">
        <f>VLOOKUP(A684,'BADI SID DATA'!A:B,2,0)</f>
        <v>105</v>
      </c>
      <c r="C684" s="85">
        <v>30548.049999989569</v>
      </c>
      <c r="D684" s="51">
        <v>2.5</v>
      </c>
      <c r="E684" s="82">
        <v>5</v>
      </c>
      <c r="F684" s="46">
        <v>1</v>
      </c>
      <c r="G684" s="46">
        <v>1</v>
      </c>
      <c r="H684" s="81">
        <f t="shared" si="34"/>
        <v>5011498.0499999896</v>
      </c>
      <c r="I684" s="84">
        <f t="shared" si="32"/>
        <v>0.1272835416666232</v>
      </c>
      <c r="J684" s="84">
        <f t="shared" si="33"/>
        <v>0.19886897023809483</v>
      </c>
      <c r="K684" s="90" t="s">
        <v>51</v>
      </c>
    </row>
    <row r="685" spans="1:11" ht="80">
      <c r="A685" s="14">
        <v>45488</v>
      </c>
      <c r="B685" s="83">
        <f>VLOOKUP(A685,'BADI SID DATA'!A:B,2,0)</f>
        <v>106</v>
      </c>
      <c r="C685" s="85">
        <v>22105.850000008941</v>
      </c>
      <c r="D685" s="51">
        <v>1.62</v>
      </c>
      <c r="E685" s="82">
        <v>4.5</v>
      </c>
      <c r="F685" s="46">
        <v>1</v>
      </c>
      <c r="G685" s="46">
        <v>1</v>
      </c>
      <c r="H685" s="81">
        <f t="shared" si="34"/>
        <v>5033603.8999999985</v>
      </c>
      <c r="I685" s="84">
        <f t="shared" si="32"/>
        <v>9.2107708333370591E-2</v>
      </c>
      <c r="J685" s="84">
        <f t="shared" si="33"/>
        <v>0.19786178852201253</v>
      </c>
      <c r="K685" s="90" t="s">
        <v>51</v>
      </c>
    </row>
    <row r="686" spans="1:11" ht="80">
      <c r="A686" s="14">
        <v>45489</v>
      </c>
      <c r="B686" s="83">
        <f>VLOOKUP(A686,'BADI SID DATA'!A:B,2,0)</f>
        <v>107</v>
      </c>
      <c r="C686" s="85">
        <v>31849.350000008941</v>
      </c>
      <c r="D686" s="51">
        <v>2.67</v>
      </c>
      <c r="E686" s="82">
        <v>7.5</v>
      </c>
      <c r="F686" s="46">
        <v>1</v>
      </c>
      <c r="G686" s="46">
        <v>1</v>
      </c>
      <c r="H686" s="81">
        <f t="shared" si="34"/>
        <v>5065453.2500000075</v>
      </c>
      <c r="I686" s="84">
        <f t="shared" ref="I686:I749" si="35">C686/(10*24*1000)</f>
        <v>0.13270562500003724</v>
      </c>
      <c r="J686" s="84">
        <f t="shared" si="33"/>
        <v>0.19725285241433052</v>
      </c>
      <c r="K686" s="90" t="s">
        <v>51</v>
      </c>
    </row>
    <row r="687" spans="1:11" ht="20">
      <c r="A687" s="14">
        <v>45490</v>
      </c>
      <c r="B687" s="83">
        <f>VLOOKUP(A687,'BADI SID DATA'!A:B,2,0)</f>
        <v>108</v>
      </c>
      <c r="C687" s="85">
        <v>40299.34999999404</v>
      </c>
      <c r="D687" s="51">
        <v>3.55</v>
      </c>
      <c r="E687" s="82">
        <v>10.4</v>
      </c>
      <c r="F687" s="46">
        <v>1</v>
      </c>
      <c r="G687" s="46">
        <v>0.89236111111111116</v>
      </c>
      <c r="H687" s="81">
        <f t="shared" si="34"/>
        <v>5105752.6000000015</v>
      </c>
      <c r="I687" s="84">
        <f t="shared" si="35"/>
        <v>0.16791395833330849</v>
      </c>
      <c r="J687" s="84">
        <f t="shared" si="33"/>
        <v>0.19698119598765437</v>
      </c>
      <c r="K687" s="90" t="s">
        <v>52</v>
      </c>
    </row>
    <row r="688" spans="1:11" ht="20">
      <c r="A688" s="14">
        <v>45491</v>
      </c>
      <c r="B688" s="83">
        <f>VLOOKUP(A688,'BADI SID DATA'!A:B,2,0)</f>
        <v>109</v>
      </c>
      <c r="C688" s="85">
        <v>40950.65000000596</v>
      </c>
      <c r="D688" s="51">
        <v>3.59</v>
      </c>
      <c r="E688" s="82">
        <v>10.5</v>
      </c>
      <c r="F688" s="46">
        <v>1</v>
      </c>
      <c r="G688" s="46">
        <v>1</v>
      </c>
      <c r="H688" s="81">
        <f t="shared" si="34"/>
        <v>5146703.2500000075</v>
      </c>
      <c r="I688" s="84">
        <f t="shared" si="35"/>
        <v>0.17062770833335816</v>
      </c>
      <c r="J688" s="84">
        <f t="shared" si="33"/>
        <v>0.19673942087155991</v>
      </c>
      <c r="K688" s="90" t="s">
        <v>52</v>
      </c>
    </row>
    <row r="689" spans="1:11" ht="80">
      <c r="A689" s="14">
        <v>45492</v>
      </c>
      <c r="B689" s="83">
        <f>VLOOKUP(A689,'BADI SID DATA'!A:B,2,0)</f>
        <v>110</v>
      </c>
      <c r="C689" s="85">
        <v>35094.799999989569</v>
      </c>
      <c r="D689" s="51">
        <v>2.9</v>
      </c>
      <c r="E689" s="82">
        <v>10.1</v>
      </c>
      <c r="F689" s="46">
        <v>1</v>
      </c>
      <c r="G689" s="46">
        <v>1</v>
      </c>
      <c r="H689" s="81">
        <f t="shared" si="34"/>
        <v>5181798.049999997</v>
      </c>
      <c r="I689" s="84">
        <f t="shared" si="35"/>
        <v>0.14622833333328988</v>
      </c>
      <c r="J689" s="84">
        <f t="shared" si="33"/>
        <v>0.19628022916666654</v>
      </c>
      <c r="K689" s="90" t="s">
        <v>51</v>
      </c>
    </row>
    <row r="690" spans="1:11" ht="80">
      <c r="A690" s="14">
        <v>45493</v>
      </c>
      <c r="B690" s="83">
        <f>VLOOKUP(A690,'BADI SID DATA'!A:B,2,0)</f>
        <v>111</v>
      </c>
      <c r="C690" s="85">
        <v>37053.90000000596</v>
      </c>
      <c r="D690" s="51">
        <v>3.24</v>
      </c>
      <c r="E690" s="82">
        <v>7.6</v>
      </c>
      <c r="F690" s="46">
        <v>1</v>
      </c>
      <c r="G690" s="46">
        <v>1</v>
      </c>
      <c r="H690" s="81">
        <f t="shared" si="34"/>
        <v>5218851.950000003</v>
      </c>
      <c r="I690" s="84">
        <f t="shared" si="35"/>
        <v>0.15439125000002485</v>
      </c>
      <c r="J690" s="84">
        <f t="shared" si="33"/>
        <v>0.19590285097597609</v>
      </c>
      <c r="K690" s="90" t="s">
        <v>51</v>
      </c>
    </row>
    <row r="691" spans="1:11" ht="80">
      <c r="A691" s="14">
        <v>45494</v>
      </c>
      <c r="B691" s="83">
        <f>VLOOKUP(A691,'BADI SID DATA'!A:B,2,0)</f>
        <v>112</v>
      </c>
      <c r="C691" s="85">
        <v>33801.29999999702</v>
      </c>
      <c r="D691" s="51">
        <v>2.86</v>
      </c>
      <c r="E691" s="82">
        <v>9.9</v>
      </c>
      <c r="F691" s="46">
        <v>1</v>
      </c>
      <c r="G691" s="46">
        <v>1</v>
      </c>
      <c r="H691" s="81">
        <f t="shared" si="34"/>
        <v>5252653.25</v>
      </c>
      <c r="I691" s="84">
        <f t="shared" si="35"/>
        <v>0.14083874999998758</v>
      </c>
      <c r="J691" s="84">
        <f t="shared" si="33"/>
        <v>0.19541120721726191</v>
      </c>
      <c r="K691" s="90" t="s">
        <v>51</v>
      </c>
    </row>
    <row r="692" spans="1:11" ht="20">
      <c r="A692" s="14">
        <v>45495</v>
      </c>
      <c r="B692" s="83">
        <f>VLOOKUP(A692,'BADI SID DATA'!A:B,2,0)</f>
        <v>113</v>
      </c>
      <c r="C692" s="85">
        <v>42244.15000000596</v>
      </c>
      <c r="D692" s="51">
        <v>3.76</v>
      </c>
      <c r="E692" s="82">
        <v>9.1999999999999993</v>
      </c>
      <c r="F692" s="46">
        <v>1</v>
      </c>
      <c r="G692" s="46">
        <v>1</v>
      </c>
      <c r="H692" s="81">
        <f t="shared" si="34"/>
        <v>5294897.400000006</v>
      </c>
      <c r="I692" s="84">
        <f t="shared" si="35"/>
        <v>0.1760172916666915</v>
      </c>
      <c r="J692" s="84">
        <f t="shared" si="33"/>
        <v>0.19523957964601793</v>
      </c>
      <c r="K692" s="90" t="s">
        <v>52</v>
      </c>
    </row>
    <row r="693" spans="1:11" ht="80">
      <c r="A693" s="14">
        <v>45496</v>
      </c>
      <c r="B693" s="83">
        <f>VLOOKUP(A693,'BADI SID DATA'!A:B,2,0)</f>
        <v>114</v>
      </c>
      <c r="C693" s="85">
        <v>27302.59999999404</v>
      </c>
      <c r="D693" s="51">
        <v>2.2999999999999998</v>
      </c>
      <c r="E693" s="82">
        <v>8.5</v>
      </c>
      <c r="F693" s="46">
        <v>1</v>
      </c>
      <c r="G693" s="46">
        <v>1</v>
      </c>
      <c r="H693" s="81">
        <f t="shared" si="34"/>
        <v>5322200</v>
      </c>
      <c r="I693" s="84">
        <f t="shared" si="35"/>
        <v>0.1137608333333085</v>
      </c>
      <c r="J693" s="84">
        <f t="shared" si="33"/>
        <v>0.1945248538011696</v>
      </c>
      <c r="K693" s="90" t="s">
        <v>51</v>
      </c>
    </row>
    <row r="694" spans="1:11" ht="80">
      <c r="A694" s="14">
        <v>45497</v>
      </c>
      <c r="B694" s="83">
        <f>VLOOKUP(A694,'BADI SID DATA'!A:B,2,0)</f>
        <v>115</v>
      </c>
      <c r="C694" s="85">
        <v>31198.70000000298</v>
      </c>
      <c r="D694" s="51">
        <v>2.58</v>
      </c>
      <c r="E694" s="82">
        <v>8</v>
      </c>
      <c r="F694" s="46">
        <v>1</v>
      </c>
      <c r="G694" s="46">
        <v>0.90972222222222221</v>
      </c>
      <c r="H694" s="81">
        <f t="shared" si="34"/>
        <v>5353398.700000003</v>
      </c>
      <c r="I694" s="84">
        <f t="shared" si="35"/>
        <v>0.12999458333334576</v>
      </c>
      <c r="J694" s="84">
        <f t="shared" si="33"/>
        <v>0.19396372101449286</v>
      </c>
      <c r="K694" s="90" t="s">
        <v>51</v>
      </c>
    </row>
    <row r="695" spans="1:11" ht="80">
      <c r="A695" s="14">
        <v>45498</v>
      </c>
      <c r="B695" s="83">
        <f>VLOOKUP(A695,'BADI SID DATA'!A:B,2,0)</f>
        <v>116</v>
      </c>
      <c r="C695" s="85">
        <v>31849.349999986589</v>
      </c>
      <c r="D695" s="51">
        <v>2.7</v>
      </c>
      <c r="E695" s="82">
        <v>10.5</v>
      </c>
      <c r="F695" s="46">
        <v>1</v>
      </c>
      <c r="G695" s="46">
        <v>1</v>
      </c>
      <c r="H695" s="81">
        <f t="shared" si="34"/>
        <v>5385248.0499999896</v>
      </c>
      <c r="I695" s="84">
        <f t="shared" si="35"/>
        <v>0.13270562499994412</v>
      </c>
      <c r="J695" s="84">
        <f t="shared" si="33"/>
        <v>0.19343563397988467</v>
      </c>
      <c r="K695" s="90" t="s">
        <v>51</v>
      </c>
    </row>
    <row r="696" spans="1:11" ht="80">
      <c r="A696" s="14">
        <v>45499</v>
      </c>
      <c r="B696" s="83">
        <f>VLOOKUP(A696,'BADI SID DATA'!A:B,2,0)</f>
        <v>117</v>
      </c>
      <c r="C696" s="85">
        <v>29254.550000011921</v>
      </c>
      <c r="D696" s="52">
        <v>2.4700000000000002</v>
      </c>
      <c r="E696" s="82">
        <v>10.5</v>
      </c>
      <c r="F696" s="46">
        <v>1</v>
      </c>
      <c r="G696" s="46">
        <v>1</v>
      </c>
      <c r="H696" s="81">
        <f t="shared" si="34"/>
        <v>5414502.6000000015</v>
      </c>
      <c r="I696" s="84">
        <f t="shared" si="35"/>
        <v>0.121893958333383</v>
      </c>
      <c r="J696" s="84">
        <f t="shared" si="33"/>
        <v>0.19282416666666671</v>
      </c>
      <c r="K696" s="90" t="s">
        <v>51</v>
      </c>
    </row>
    <row r="697" spans="1:11" ht="20">
      <c r="A697" s="14">
        <v>45500</v>
      </c>
      <c r="B697" s="83">
        <f>VLOOKUP(A697,'BADI SID DATA'!A:B,2,0)</f>
        <v>118</v>
      </c>
      <c r="C697" s="85">
        <v>48750</v>
      </c>
      <c r="D697" s="51">
        <v>4.51</v>
      </c>
      <c r="E697" s="82">
        <v>10.9</v>
      </c>
      <c r="F697" s="46">
        <v>1</v>
      </c>
      <c r="G697" s="46">
        <v>1</v>
      </c>
      <c r="H697" s="81">
        <f t="shared" si="34"/>
        <v>5463252.6000000015</v>
      </c>
      <c r="I697" s="84">
        <f t="shared" si="35"/>
        <v>0.203125</v>
      </c>
      <c r="J697" s="84">
        <f t="shared" si="33"/>
        <v>0.19291146186440683</v>
      </c>
      <c r="K697" s="90" t="s">
        <v>52</v>
      </c>
    </row>
    <row r="698" spans="1:11" ht="20">
      <c r="A698" s="14">
        <v>45501</v>
      </c>
      <c r="B698" s="83">
        <f>VLOOKUP(A698,'BADI SID DATA'!A:B,2,0)</f>
        <v>119</v>
      </c>
      <c r="C698" s="85">
        <v>53296.75</v>
      </c>
      <c r="D698" s="52">
        <v>5.14</v>
      </c>
      <c r="E698" s="82">
        <v>9.9</v>
      </c>
      <c r="F698" s="46">
        <v>1</v>
      </c>
      <c r="G698" s="46">
        <v>1</v>
      </c>
      <c r="H698" s="81">
        <f t="shared" si="34"/>
        <v>5516549.3500000015</v>
      </c>
      <c r="I698" s="84">
        <f t="shared" si="35"/>
        <v>0.22206979166666665</v>
      </c>
      <c r="J698" s="84">
        <f t="shared" si="33"/>
        <v>0.19315648984593842</v>
      </c>
      <c r="K698" s="90" t="s">
        <v>52</v>
      </c>
    </row>
    <row r="699" spans="1:11" ht="20">
      <c r="A699" s="14">
        <v>45502</v>
      </c>
      <c r="B699" s="83">
        <f>VLOOKUP(A699,'BADI SID DATA'!A:B,2,0)</f>
        <v>120</v>
      </c>
      <c r="C699" s="85">
        <v>43552.59999999404</v>
      </c>
      <c r="D699" s="51">
        <v>4.0599999999999996</v>
      </c>
      <c r="E699" s="82">
        <v>10.5</v>
      </c>
      <c r="F699" s="46">
        <v>1</v>
      </c>
      <c r="G699" s="46">
        <v>1</v>
      </c>
      <c r="H699" s="81">
        <f t="shared" si="34"/>
        <v>5560101.9499999955</v>
      </c>
      <c r="I699" s="84">
        <f t="shared" si="35"/>
        <v>0.18146916666664184</v>
      </c>
      <c r="J699" s="84">
        <f t="shared" si="33"/>
        <v>0.19305909548611094</v>
      </c>
      <c r="K699" s="90" t="s">
        <v>52</v>
      </c>
    </row>
    <row r="700" spans="1:11" ht="20">
      <c r="A700" s="14">
        <v>45503</v>
      </c>
      <c r="B700" s="83">
        <f>VLOOKUP(A700,'BADI SID DATA'!A:B,2,0)</f>
        <v>121</v>
      </c>
      <c r="C700" s="85">
        <v>43545.45000000298</v>
      </c>
      <c r="D700" s="52">
        <v>3.88</v>
      </c>
      <c r="E700" s="82">
        <v>10.9</v>
      </c>
      <c r="F700" s="46">
        <v>1</v>
      </c>
      <c r="G700" s="46">
        <v>0.91249999999999998</v>
      </c>
      <c r="H700" s="81">
        <f t="shared" si="34"/>
        <v>5603647.3999999985</v>
      </c>
      <c r="I700" s="84">
        <f t="shared" si="35"/>
        <v>0.18143937500001242</v>
      </c>
      <c r="J700" s="84">
        <f t="shared" si="33"/>
        <v>0.19296306473829197</v>
      </c>
      <c r="K700" s="90" t="s">
        <v>52</v>
      </c>
    </row>
    <row r="701" spans="1:11" ht="80">
      <c r="A701" s="14">
        <v>45504</v>
      </c>
      <c r="B701" s="83">
        <f>VLOOKUP(A701,'BADI SID DATA'!A:B,2,0)</f>
        <v>122</v>
      </c>
      <c r="C701" s="85">
        <v>35102.59999999404</v>
      </c>
      <c r="D701" s="51">
        <v>3.18</v>
      </c>
      <c r="E701" s="82">
        <v>10.7</v>
      </c>
      <c r="F701" s="46">
        <v>1</v>
      </c>
      <c r="G701" s="46">
        <v>1</v>
      </c>
      <c r="H701" s="81">
        <f t="shared" si="34"/>
        <v>5638749.9999999925</v>
      </c>
      <c r="I701" s="84">
        <f t="shared" si="35"/>
        <v>0.1462608333333085</v>
      </c>
      <c r="J701" s="84">
        <f t="shared" ref="J701:J764" si="36">H701/(24*B701*10*1000)</f>
        <v>0.19258025956284128</v>
      </c>
      <c r="K701" s="90" t="s">
        <v>51</v>
      </c>
    </row>
    <row r="702" spans="1:11" ht="20">
      <c r="A702" s="14">
        <v>45505</v>
      </c>
      <c r="B702" s="83">
        <f>VLOOKUP(A702,'BADI SID DATA'!A:B,2,0)</f>
        <v>123</v>
      </c>
      <c r="C702" s="85">
        <v>48750</v>
      </c>
      <c r="D702" s="53">
        <v>4.75</v>
      </c>
      <c r="E702" s="82">
        <v>10.1</v>
      </c>
      <c r="F702" s="46">
        <v>1</v>
      </c>
      <c r="G702" s="46">
        <v>1</v>
      </c>
      <c r="H702" s="81">
        <f t="shared" si="34"/>
        <v>5687499.9999999925</v>
      </c>
      <c r="I702" s="84">
        <f t="shared" si="35"/>
        <v>0.203125</v>
      </c>
      <c r="J702" s="84">
        <f t="shared" si="36"/>
        <v>0.19266598915989136</v>
      </c>
      <c r="K702" s="90" t="s">
        <v>52</v>
      </c>
    </row>
    <row r="703" spans="1:11" ht="20">
      <c r="A703" s="14">
        <v>45506</v>
      </c>
      <c r="B703" s="83">
        <f>VLOOKUP(A703,'BADI SID DATA'!A:B,2,0)</f>
        <v>124</v>
      </c>
      <c r="C703" s="85">
        <v>44203.250000014901</v>
      </c>
      <c r="D703" s="53">
        <v>4.09</v>
      </c>
      <c r="E703" s="82">
        <v>10</v>
      </c>
      <c r="F703" s="46">
        <v>1</v>
      </c>
      <c r="G703" s="46">
        <v>1</v>
      </c>
      <c r="H703" s="81">
        <f t="shared" si="34"/>
        <v>5731703.2500000075</v>
      </c>
      <c r="I703" s="84">
        <f t="shared" si="35"/>
        <v>0.18418020833339543</v>
      </c>
      <c r="J703" s="84">
        <f t="shared" si="36"/>
        <v>0.19259755544354865</v>
      </c>
      <c r="K703" s="90" t="s">
        <v>52</v>
      </c>
    </row>
    <row r="704" spans="1:11" ht="20">
      <c r="A704" s="14">
        <v>45507</v>
      </c>
      <c r="B704" s="83">
        <f>VLOOKUP(A704,'BADI SID DATA'!A:B,2,0)</f>
        <v>125</v>
      </c>
      <c r="C704" s="85">
        <v>41600.649999991059</v>
      </c>
      <c r="D704" s="50">
        <v>3.83</v>
      </c>
      <c r="E704" s="82">
        <v>9.9</v>
      </c>
      <c r="F704" s="46">
        <v>1</v>
      </c>
      <c r="G704" s="46">
        <v>1</v>
      </c>
      <c r="H704" s="81">
        <f t="shared" si="34"/>
        <v>5773303.8999999985</v>
      </c>
      <c r="I704" s="84">
        <f t="shared" si="35"/>
        <v>0.17333604166662941</v>
      </c>
      <c r="J704" s="84">
        <f t="shared" si="36"/>
        <v>0.19244346333333329</v>
      </c>
      <c r="K704" s="90" t="s">
        <v>52</v>
      </c>
    </row>
    <row r="705" spans="1:11" ht="20">
      <c r="A705" s="14">
        <v>45508</v>
      </c>
      <c r="B705" s="83">
        <f>VLOOKUP(A705,'BADI SID DATA'!A:B,2,0)</f>
        <v>126</v>
      </c>
      <c r="C705" s="85">
        <v>54598.04999999702</v>
      </c>
      <c r="D705" s="53">
        <v>5.18</v>
      </c>
      <c r="E705" s="82">
        <v>10.5</v>
      </c>
      <c r="F705" s="46">
        <v>1</v>
      </c>
      <c r="G705" s="46">
        <v>1</v>
      </c>
      <c r="H705" s="81">
        <f t="shared" si="34"/>
        <v>5827901.9499999955</v>
      </c>
      <c r="I705" s="84">
        <f t="shared" si="35"/>
        <v>0.22749187499998758</v>
      </c>
      <c r="J705" s="84">
        <f t="shared" si="36"/>
        <v>0.19272162533068768</v>
      </c>
      <c r="K705" s="90" t="s">
        <v>52</v>
      </c>
    </row>
    <row r="706" spans="1:11" ht="20">
      <c r="A706" s="14">
        <v>45509</v>
      </c>
      <c r="B706" s="83">
        <f>VLOOKUP(A706,'BADI SID DATA'!A:B,2,0)</f>
        <v>127</v>
      </c>
      <c r="C706" s="85">
        <v>46147.40000000596</v>
      </c>
      <c r="D706" s="53">
        <v>4.1399999999999997</v>
      </c>
      <c r="E706" s="82">
        <v>10.3</v>
      </c>
      <c r="F706" s="46">
        <v>1</v>
      </c>
      <c r="G706" s="46">
        <v>1</v>
      </c>
      <c r="H706" s="81">
        <f t="shared" si="34"/>
        <v>5874049.3500000015</v>
      </c>
      <c r="I706" s="84">
        <f t="shared" si="35"/>
        <v>0.19228083333335816</v>
      </c>
      <c r="J706" s="84">
        <f t="shared" si="36"/>
        <v>0.19271815452755911</v>
      </c>
      <c r="K706" s="90" t="s">
        <v>52</v>
      </c>
    </row>
    <row r="707" spans="1:11" ht="20">
      <c r="A707" s="14">
        <v>45510</v>
      </c>
      <c r="B707" s="83">
        <f>VLOOKUP(A707,'BADI SID DATA'!A:B,2,0)</f>
        <v>128</v>
      </c>
      <c r="C707" s="85">
        <v>40300</v>
      </c>
      <c r="D707" s="50">
        <v>3.78</v>
      </c>
      <c r="E707" s="82">
        <v>9.9</v>
      </c>
      <c r="F707" s="46">
        <v>1</v>
      </c>
      <c r="G707" s="46">
        <v>1</v>
      </c>
      <c r="H707" s="81">
        <f t="shared" si="34"/>
        <v>5914349.3500000015</v>
      </c>
      <c r="I707" s="84">
        <f t="shared" si="35"/>
        <v>0.16791666666666666</v>
      </c>
      <c r="J707" s="84">
        <f t="shared" si="36"/>
        <v>0.19252439290364587</v>
      </c>
      <c r="K707" s="90" t="s">
        <v>52</v>
      </c>
    </row>
    <row r="708" spans="1:11" ht="80">
      <c r="A708" s="14">
        <v>45511</v>
      </c>
      <c r="B708" s="83">
        <f>VLOOKUP(A708,'BADI SID DATA'!A:B,2,0)</f>
        <v>129</v>
      </c>
      <c r="C708" s="85">
        <v>38347.399999991059</v>
      </c>
      <c r="D708" s="50">
        <v>3.27</v>
      </c>
      <c r="E708" s="82">
        <v>8.5</v>
      </c>
      <c r="F708" s="46">
        <v>1</v>
      </c>
      <c r="G708" s="46">
        <v>0.90902777777777777</v>
      </c>
      <c r="H708" s="81">
        <f t="shared" si="34"/>
        <v>5952696.7499999925</v>
      </c>
      <c r="I708" s="84">
        <f t="shared" si="35"/>
        <v>0.15978083333329607</v>
      </c>
      <c r="J708" s="84">
        <f t="shared" si="36"/>
        <v>0.19227056686046487</v>
      </c>
      <c r="K708" s="90" t="s">
        <v>51</v>
      </c>
    </row>
    <row r="709" spans="1:11" ht="20">
      <c r="A709" s="14">
        <v>45512</v>
      </c>
      <c r="B709" s="83">
        <f>VLOOKUP(A709,'BADI SID DATA'!A:B,2,0)</f>
        <v>130</v>
      </c>
      <c r="C709" s="85">
        <v>44853.90000000596</v>
      </c>
      <c r="D709" s="53">
        <v>4.08</v>
      </c>
      <c r="E709" s="82">
        <v>10.8</v>
      </c>
      <c r="F709" s="46">
        <v>1</v>
      </c>
      <c r="G709" s="46">
        <v>1</v>
      </c>
      <c r="H709" s="81">
        <f t="shared" ref="H709:H772" si="37">C709+H708</f>
        <v>5997550.6499999985</v>
      </c>
      <c r="I709" s="84">
        <f t="shared" si="35"/>
        <v>0.18689125000002482</v>
      </c>
      <c r="J709" s="84">
        <f t="shared" si="36"/>
        <v>0.19222918749999995</v>
      </c>
      <c r="K709" s="90" t="s">
        <v>52</v>
      </c>
    </row>
    <row r="710" spans="1:11" ht="20">
      <c r="A710" s="14">
        <v>45513</v>
      </c>
      <c r="B710" s="83">
        <f>VLOOKUP(A710,'BADI SID DATA'!A:B,2,0)</f>
        <v>131</v>
      </c>
      <c r="C710" s="85">
        <v>43553.25</v>
      </c>
      <c r="D710" s="50">
        <v>4.18</v>
      </c>
      <c r="E710" s="82">
        <v>10.7</v>
      </c>
      <c r="F710" s="46">
        <v>1</v>
      </c>
      <c r="G710" s="46">
        <v>1</v>
      </c>
      <c r="H710" s="81">
        <f t="shared" si="37"/>
        <v>6041103.8999999985</v>
      </c>
      <c r="I710" s="84">
        <f t="shared" si="35"/>
        <v>0.181471875</v>
      </c>
      <c r="J710" s="84">
        <f t="shared" si="36"/>
        <v>0.19214707061068698</v>
      </c>
      <c r="K710" s="90" t="s">
        <v>52</v>
      </c>
    </row>
    <row r="711" spans="1:11" ht="80">
      <c r="A711" s="14">
        <v>45514</v>
      </c>
      <c r="B711" s="83">
        <f>VLOOKUP(A711,'BADI SID DATA'!A:B,2,0)</f>
        <v>132</v>
      </c>
      <c r="C711" s="85">
        <v>37046.75</v>
      </c>
      <c r="D711" s="51">
        <v>3.37</v>
      </c>
      <c r="E711" s="82">
        <v>10.9</v>
      </c>
      <c r="F711" s="46">
        <v>1</v>
      </c>
      <c r="G711" s="46">
        <v>1</v>
      </c>
      <c r="H711" s="81">
        <f t="shared" si="37"/>
        <v>6078150.6499999985</v>
      </c>
      <c r="I711" s="84">
        <f t="shared" si="35"/>
        <v>0.15436145833333334</v>
      </c>
      <c r="J711" s="84">
        <f t="shared" si="36"/>
        <v>0.19186081597222218</v>
      </c>
      <c r="K711" s="90" t="s">
        <v>51</v>
      </c>
    </row>
    <row r="712" spans="1:11" ht="20">
      <c r="A712" s="14">
        <v>45515</v>
      </c>
      <c r="B712" s="83">
        <f>VLOOKUP(A712,'BADI SID DATA'!A:B,2,0)</f>
        <v>133</v>
      </c>
      <c r="C712" s="85">
        <v>48750</v>
      </c>
      <c r="D712" s="51">
        <v>4.43</v>
      </c>
      <c r="E712" s="82">
        <v>10.8</v>
      </c>
      <c r="F712" s="46">
        <v>1</v>
      </c>
      <c r="G712" s="46">
        <v>1</v>
      </c>
      <c r="H712" s="81">
        <f t="shared" si="37"/>
        <v>6126900.6499999985</v>
      </c>
      <c r="I712" s="84">
        <f t="shared" si="35"/>
        <v>0.203125</v>
      </c>
      <c r="J712" s="84">
        <f t="shared" si="36"/>
        <v>0.19194550908521299</v>
      </c>
      <c r="K712" s="90" t="s">
        <v>52</v>
      </c>
    </row>
    <row r="713" spans="1:11" ht="20">
      <c r="A713" s="14">
        <v>45516</v>
      </c>
      <c r="B713" s="83">
        <f>VLOOKUP(A713,'BADI SID DATA'!A:B,2,0)</f>
        <v>134</v>
      </c>
      <c r="C713" s="85">
        <v>42901.949999988079</v>
      </c>
      <c r="D713" s="51">
        <v>4.16</v>
      </c>
      <c r="E713" s="82">
        <v>10.199999999999999</v>
      </c>
      <c r="F713" s="46">
        <v>1</v>
      </c>
      <c r="G713" s="46">
        <v>1</v>
      </c>
      <c r="H713" s="81">
        <f t="shared" si="37"/>
        <v>6169802.5999999866</v>
      </c>
      <c r="I713" s="84">
        <f t="shared" si="35"/>
        <v>0.17875812499995034</v>
      </c>
      <c r="J713" s="84">
        <f t="shared" si="36"/>
        <v>0.19184709577114387</v>
      </c>
      <c r="K713" s="90" t="s">
        <v>52</v>
      </c>
    </row>
    <row r="714" spans="1:11" ht="60">
      <c r="A714" s="14">
        <v>45517</v>
      </c>
      <c r="B714" s="83">
        <f>VLOOKUP(A714,'BADI SID DATA'!A:B,2,0)</f>
        <v>135</v>
      </c>
      <c r="C714" s="85">
        <v>56549.350000008941</v>
      </c>
      <c r="D714" s="51">
        <v>5.74</v>
      </c>
      <c r="E714" s="82">
        <v>10</v>
      </c>
      <c r="F714" s="46">
        <v>1</v>
      </c>
      <c r="G714" s="46">
        <v>1</v>
      </c>
      <c r="H714" s="81">
        <f t="shared" si="37"/>
        <v>6226351.9499999955</v>
      </c>
      <c r="I714" s="84">
        <f t="shared" si="35"/>
        <v>0.23562229166670393</v>
      </c>
      <c r="J714" s="84">
        <f t="shared" si="36"/>
        <v>0.19217135648148134</v>
      </c>
      <c r="K714" s="90" t="s">
        <v>54</v>
      </c>
    </row>
    <row r="715" spans="1:11" ht="60">
      <c r="A715" s="14">
        <v>45518</v>
      </c>
      <c r="B715" s="83">
        <f>VLOOKUP(A715,'BADI SID DATA'!A:B,2,0)</f>
        <v>136</v>
      </c>
      <c r="C715" s="85">
        <v>58501.95000000298</v>
      </c>
      <c r="D715" s="51">
        <v>6.25</v>
      </c>
      <c r="E715" s="82">
        <v>10.1</v>
      </c>
      <c r="F715" s="46">
        <v>1</v>
      </c>
      <c r="G715" s="46">
        <v>1</v>
      </c>
      <c r="H715" s="81">
        <f t="shared" si="37"/>
        <v>6284853.8999999985</v>
      </c>
      <c r="I715" s="84">
        <f t="shared" si="35"/>
        <v>0.24375812500001243</v>
      </c>
      <c r="J715" s="84">
        <f t="shared" si="36"/>
        <v>0.1925506709558823</v>
      </c>
      <c r="K715" s="90" t="s">
        <v>54</v>
      </c>
    </row>
    <row r="716" spans="1:11" ht="20">
      <c r="A716" s="14">
        <v>45519</v>
      </c>
      <c r="B716" s="83">
        <f>VLOOKUP(A716,'BADI SID DATA'!A:B,2,0)</f>
        <v>137</v>
      </c>
      <c r="C716" s="85">
        <v>50694.15000000596</v>
      </c>
      <c r="D716" s="51">
        <v>4.9000000000000004</v>
      </c>
      <c r="E716" s="82">
        <v>10.5</v>
      </c>
      <c r="F716" s="46">
        <v>1</v>
      </c>
      <c r="G716" s="46">
        <v>0.51666666666666672</v>
      </c>
      <c r="H716" s="81">
        <f t="shared" si="37"/>
        <v>6335548.0500000045</v>
      </c>
      <c r="I716" s="84">
        <f t="shared" si="35"/>
        <v>0.21122562500002484</v>
      </c>
      <c r="J716" s="84">
        <f t="shared" si="36"/>
        <v>0.19268698448905122</v>
      </c>
      <c r="K716" s="90" t="s">
        <v>52</v>
      </c>
    </row>
    <row r="717" spans="1:11" ht="20">
      <c r="A717" s="14">
        <v>45520</v>
      </c>
      <c r="B717" s="83">
        <f>VLOOKUP(A717,'BADI SID DATA'!A:B,2,0)</f>
        <v>138</v>
      </c>
      <c r="C717" s="85">
        <v>49400.649999991059</v>
      </c>
      <c r="D717" s="51">
        <v>4.91</v>
      </c>
      <c r="E717" s="82">
        <v>10</v>
      </c>
      <c r="F717" s="46">
        <v>1</v>
      </c>
      <c r="G717" s="46">
        <v>1</v>
      </c>
      <c r="H717" s="81">
        <f t="shared" si="37"/>
        <v>6384948.6999999955</v>
      </c>
      <c r="I717" s="84">
        <f t="shared" si="35"/>
        <v>0.20583604166662942</v>
      </c>
      <c r="J717" s="84">
        <f t="shared" si="36"/>
        <v>0.19278226751207717</v>
      </c>
      <c r="K717" s="90" t="s">
        <v>52</v>
      </c>
    </row>
    <row r="718" spans="1:11" ht="60">
      <c r="A718" s="14">
        <v>45521</v>
      </c>
      <c r="B718" s="83">
        <f>VLOOKUP(A718,'BADI SID DATA'!A:B,2,0)</f>
        <v>139</v>
      </c>
      <c r="C718" s="85">
        <v>59151.95000000298</v>
      </c>
      <c r="D718" s="51">
        <v>6.18</v>
      </c>
      <c r="E718" s="82">
        <v>9.9</v>
      </c>
      <c r="F718" s="46">
        <v>1</v>
      </c>
      <c r="G718" s="46">
        <v>0.49791666666666667</v>
      </c>
      <c r="H718" s="81">
        <f t="shared" si="37"/>
        <v>6444100.6499999985</v>
      </c>
      <c r="I718" s="84">
        <f t="shared" si="35"/>
        <v>0.24646645833334574</v>
      </c>
      <c r="J718" s="84">
        <f t="shared" si="36"/>
        <v>0.19316848471223017</v>
      </c>
      <c r="K718" s="90" t="s">
        <v>54</v>
      </c>
    </row>
    <row r="719" spans="1:11" ht="20">
      <c r="A719" s="14">
        <v>45522</v>
      </c>
      <c r="B719" s="83">
        <f>VLOOKUP(A719,'BADI SID DATA'!A:B,2,0)</f>
        <v>140</v>
      </c>
      <c r="C719" s="85">
        <v>51352.600000008941</v>
      </c>
      <c r="D719" s="51">
        <v>5.19</v>
      </c>
      <c r="E719" s="82">
        <v>10.3</v>
      </c>
      <c r="F719" s="46">
        <v>1</v>
      </c>
      <c r="G719" s="46">
        <v>1</v>
      </c>
      <c r="H719" s="81">
        <f t="shared" si="37"/>
        <v>6495453.2500000075</v>
      </c>
      <c r="I719" s="84">
        <f t="shared" si="35"/>
        <v>0.21396916666670393</v>
      </c>
      <c r="J719" s="84">
        <f t="shared" si="36"/>
        <v>0.19331706101190499</v>
      </c>
      <c r="K719" s="90" t="s">
        <v>52</v>
      </c>
    </row>
    <row r="720" spans="1:11" ht="20">
      <c r="A720" s="14">
        <v>45523</v>
      </c>
      <c r="B720" s="83">
        <f>VLOOKUP(A720,'BADI SID DATA'!A:B,2,0)</f>
        <v>141</v>
      </c>
      <c r="C720" s="85">
        <v>51995.449999988079</v>
      </c>
      <c r="D720" s="51">
        <v>5.35</v>
      </c>
      <c r="E720" s="82">
        <v>10.199999999999999</v>
      </c>
      <c r="F720" s="46">
        <v>1</v>
      </c>
      <c r="G720" s="46">
        <v>0.60486111111111107</v>
      </c>
      <c r="H720" s="81">
        <f t="shared" si="37"/>
        <v>6547448.6999999955</v>
      </c>
      <c r="I720" s="84">
        <f t="shared" si="35"/>
        <v>0.21664770833328367</v>
      </c>
      <c r="J720" s="84">
        <f t="shared" si="36"/>
        <v>0.19348252659574455</v>
      </c>
      <c r="K720" s="90" t="s">
        <v>52</v>
      </c>
    </row>
    <row r="721" spans="1:11" ht="20">
      <c r="A721" s="14">
        <v>45524</v>
      </c>
      <c r="B721" s="83">
        <f>VLOOKUP(A721,'BADI SID DATA'!A:B,2,0)</f>
        <v>142</v>
      </c>
      <c r="C721" s="85">
        <v>51351.95000000298</v>
      </c>
      <c r="D721" s="51">
        <v>4.96</v>
      </c>
      <c r="E721" s="82">
        <v>10.5</v>
      </c>
      <c r="F721" s="46">
        <v>1</v>
      </c>
      <c r="G721" s="46">
        <v>1</v>
      </c>
      <c r="H721" s="81">
        <f t="shared" si="37"/>
        <v>6598800.6499999985</v>
      </c>
      <c r="I721" s="84">
        <f t="shared" si="35"/>
        <v>0.21396645833334574</v>
      </c>
      <c r="J721" s="84">
        <f t="shared" si="36"/>
        <v>0.19362677963615019</v>
      </c>
      <c r="K721" s="90" t="s">
        <v>52</v>
      </c>
    </row>
    <row r="722" spans="1:11" ht="60">
      <c r="A722" s="14">
        <v>45525</v>
      </c>
      <c r="B722" s="83">
        <f>VLOOKUP(A722,'BADI SID DATA'!A:B,2,0)</f>
        <v>143</v>
      </c>
      <c r="C722" s="85">
        <v>60453.90000000596</v>
      </c>
      <c r="D722" s="51">
        <v>6.29</v>
      </c>
      <c r="E722" s="82">
        <v>10.1</v>
      </c>
      <c r="F722" s="46">
        <v>1</v>
      </c>
      <c r="G722" s="46">
        <v>1</v>
      </c>
      <c r="H722" s="81">
        <f t="shared" si="37"/>
        <v>6659254.5500000045</v>
      </c>
      <c r="I722" s="84">
        <f t="shared" si="35"/>
        <v>0.25189125000002482</v>
      </c>
      <c r="J722" s="84">
        <f t="shared" si="36"/>
        <v>0.19403422348484861</v>
      </c>
      <c r="K722" s="90" t="s">
        <v>54</v>
      </c>
    </row>
    <row r="723" spans="1:11" ht="60">
      <c r="A723" s="14">
        <v>45526</v>
      </c>
      <c r="B723" s="83">
        <f>VLOOKUP(A723,'BADI SID DATA'!A:B,2,0)</f>
        <v>144</v>
      </c>
      <c r="C723" s="85">
        <v>52646.09999999404</v>
      </c>
      <c r="D723" s="51">
        <v>5.66</v>
      </c>
      <c r="E723" s="82">
        <v>10.9</v>
      </c>
      <c r="F723" s="46">
        <v>1</v>
      </c>
      <c r="G723" s="46">
        <v>0.97222222222222221</v>
      </c>
      <c r="H723" s="81">
        <f t="shared" si="37"/>
        <v>6711900.6499999985</v>
      </c>
      <c r="I723" s="84">
        <f t="shared" si="35"/>
        <v>0.21935874999997518</v>
      </c>
      <c r="J723" s="84">
        <f t="shared" si="36"/>
        <v>0.19421008825231478</v>
      </c>
      <c r="K723" s="90" t="s">
        <v>54</v>
      </c>
    </row>
    <row r="724" spans="1:11" ht="60">
      <c r="A724" s="14">
        <v>45527</v>
      </c>
      <c r="B724" s="83">
        <f>VLOOKUP(A724,'BADI SID DATA'!A:B,2,0)</f>
        <v>145</v>
      </c>
      <c r="C724" s="85">
        <v>61746.75</v>
      </c>
      <c r="D724" s="51">
        <v>6.17</v>
      </c>
      <c r="E724" s="82">
        <v>10.199999999999999</v>
      </c>
      <c r="F724" s="46">
        <v>1</v>
      </c>
      <c r="G724" s="46">
        <v>1</v>
      </c>
      <c r="H724" s="81">
        <f t="shared" si="37"/>
        <v>6773647.3999999985</v>
      </c>
      <c r="I724" s="84">
        <f t="shared" si="35"/>
        <v>0.25727812500000002</v>
      </c>
      <c r="J724" s="84">
        <f t="shared" si="36"/>
        <v>0.19464504022988502</v>
      </c>
      <c r="K724" s="90" t="s">
        <v>54</v>
      </c>
    </row>
    <row r="725" spans="1:11" ht="20">
      <c r="A725" s="14">
        <v>45528</v>
      </c>
      <c r="B725" s="83">
        <f>VLOOKUP(A725,'BADI SID DATA'!A:B,2,0)</f>
        <v>146</v>
      </c>
      <c r="C725" s="85">
        <v>50051.29999999702</v>
      </c>
      <c r="D725" s="51">
        <v>4.78</v>
      </c>
      <c r="E725" s="82">
        <v>10</v>
      </c>
      <c r="F725" s="46">
        <v>1</v>
      </c>
      <c r="G725" s="46">
        <v>0.52847222222222223</v>
      </c>
      <c r="H725" s="81">
        <f t="shared" si="37"/>
        <v>6823698.6999999955</v>
      </c>
      <c r="I725" s="84">
        <f t="shared" si="35"/>
        <v>0.20854708333332092</v>
      </c>
      <c r="J725" s="84">
        <f t="shared" si="36"/>
        <v>0.19474025970319622</v>
      </c>
      <c r="K725" s="90" t="s">
        <v>52</v>
      </c>
    </row>
    <row r="726" spans="1:11" ht="20">
      <c r="A726" s="14">
        <v>45529</v>
      </c>
      <c r="B726" s="83">
        <f>VLOOKUP(A726,'BADI SID DATA'!A:B,2,0)</f>
        <v>147</v>
      </c>
      <c r="C726" s="85">
        <v>46155.20000000298</v>
      </c>
      <c r="D726" s="51">
        <f>9.34-4.81</f>
        <v>4.53</v>
      </c>
      <c r="E726" s="82">
        <v>11</v>
      </c>
      <c r="F726" s="46">
        <v>1</v>
      </c>
      <c r="G726" s="46">
        <v>1</v>
      </c>
      <c r="H726" s="81">
        <f t="shared" si="37"/>
        <v>6869853.8999999985</v>
      </c>
      <c r="I726" s="84">
        <f t="shared" si="35"/>
        <v>0.19231333333334574</v>
      </c>
      <c r="J726" s="84">
        <f t="shared" si="36"/>
        <v>0.19472374999999995</v>
      </c>
      <c r="K726" s="90" t="s">
        <v>52</v>
      </c>
    </row>
    <row r="727" spans="1:11" ht="20">
      <c r="A727" s="14">
        <v>45530</v>
      </c>
      <c r="B727" s="83">
        <f>VLOOKUP(A727,'BADI SID DATA'!A:B,2,0)</f>
        <v>148</v>
      </c>
      <c r="C727" s="85">
        <v>50694.15000000596</v>
      </c>
      <c r="D727" s="52">
        <v>4.76</v>
      </c>
      <c r="E727" s="82">
        <v>11.1</v>
      </c>
      <c r="F727" s="46">
        <v>1</v>
      </c>
      <c r="G727" s="46">
        <v>0.91666666666666663</v>
      </c>
      <c r="H727" s="81">
        <f t="shared" si="37"/>
        <v>6920548.0500000045</v>
      </c>
      <c r="I727" s="84">
        <f t="shared" si="35"/>
        <v>0.21122562500002484</v>
      </c>
      <c r="J727" s="84">
        <f t="shared" si="36"/>
        <v>0.19483524915540554</v>
      </c>
      <c r="K727" s="90" t="s">
        <v>52</v>
      </c>
    </row>
    <row r="728" spans="1:11" ht="80">
      <c r="A728" s="14">
        <v>45531</v>
      </c>
      <c r="B728" s="83">
        <f>VLOOKUP(A728,'BADI SID DATA'!A:B,2,0)</f>
        <v>149</v>
      </c>
      <c r="C728" s="85">
        <v>39648.699999988079</v>
      </c>
      <c r="D728" s="51">
        <v>3.62</v>
      </c>
      <c r="E728" s="82">
        <v>10.3</v>
      </c>
      <c r="F728" s="46">
        <v>1</v>
      </c>
      <c r="G728" s="46">
        <v>1</v>
      </c>
      <c r="H728" s="81">
        <f t="shared" si="37"/>
        <v>6960196.7499999925</v>
      </c>
      <c r="I728" s="84">
        <f t="shared" si="35"/>
        <v>0.16520291666661699</v>
      </c>
      <c r="J728" s="84">
        <f t="shared" si="36"/>
        <v>0.19463637444071569</v>
      </c>
      <c r="K728" s="90" t="s">
        <v>51</v>
      </c>
    </row>
    <row r="729" spans="1:11" ht="80">
      <c r="A729" s="14">
        <v>45532</v>
      </c>
      <c r="B729" s="83">
        <f>VLOOKUP(A729,'BADI SID DATA'!A:B,2,0)</f>
        <v>150</v>
      </c>
      <c r="C729" s="85">
        <v>39657.15000000596</v>
      </c>
      <c r="D729" s="52">
        <v>3.55</v>
      </c>
      <c r="E729" s="82">
        <v>8.9</v>
      </c>
      <c r="F729" s="46">
        <v>1</v>
      </c>
      <c r="G729" s="46">
        <v>1</v>
      </c>
      <c r="H729" s="81">
        <f t="shared" si="37"/>
        <v>6999853.8999999985</v>
      </c>
      <c r="I729" s="84">
        <f t="shared" si="35"/>
        <v>0.16523812500002483</v>
      </c>
      <c r="J729" s="84">
        <f t="shared" si="36"/>
        <v>0.19444038611111106</v>
      </c>
      <c r="K729" s="90" t="s">
        <v>51</v>
      </c>
    </row>
    <row r="730" spans="1:11" ht="80">
      <c r="A730" s="14">
        <v>45533</v>
      </c>
      <c r="B730" s="83">
        <f>VLOOKUP(A730,'BADI SID DATA'!A:B,2,0)</f>
        <v>151</v>
      </c>
      <c r="C730" s="85">
        <v>33793.5</v>
      </c>
      <c r="D730" s="51">
        <v>2.88</v>
      </c>
      <c r="E730" s="82">
        <v>7.5</v>
      </c>
      <c r="F730" s="46">
        <v>1</v>
      </c>
      <c r="G730" s="46">
        <v>1</v>
      </c>
      <c r="H730" s="81">
        <f t="shared" si="37"/>
        <v>7033647.3999999985</v>
      </c>
      <c r="I730" s="84">
        <f t="shared" si="35"/>
        <v>0.14080624999999999</v>
      </c>
      <c r="J730" s="84">
        <f t="shared" si="36"/>
        <v>0.19408519315673284</v>
      </c>
      <c r="K730" s="90" t="s">
        <v>51</v>
      </c>
    </row>
    <row r="731" spans="1:11" ht="80">
      <c r="A731" s="14">
        <v>45534</v>
      </c>
      <c r="B731" s="83">
        <f>VLOOKUP(A731,'BADI SID DATA'!A:B,2,0)</f>
        <v>152</v>
      </c>
      <c r="C731" s="85">
        <v>38355.20000000298</v>
      </c>
      <c r="D731" s="52">
        <v>3.34</v>
      </c>
      <c r="E731" s="82">
        <v>7.9</v>
      </c>
      <c r="F731" s="46">
        <v>1</v>
      </c>
      <c r="G731" s="46">
        <v>1</v>
      </c>
      <c r="H731" s="81">
        <f t="shared" si="37"/>
        <v>7072002.6000000015</v>
      </c>
      <c r="I731" s="84">
        <f t="shared" si="35"/>
        <v>0.15981333333334574</v>
      </c>
      <c r="J731" s="84">
        <f t="shared" si="36"/>
        <v>0.1938597203947369</v>
      </c>
      <c r="K731" s="90" t="s">
        <v>51</v>
      </c>
    </row>
    <row r="732" spans="1:11" ht="80">
      <c r="A732" s="14">
        <v>45535</v>
      </c>
      <c r="B732" s="83">
        <f>VLOOKUP(A732,'BADI SID DATA'!A:B,2,0)</f>
        <v>153</v>
      </c>
      <c r="C732" s="85">
        <v>29247.399999991059</v>
      </c>
      <c r="D732" s="51">
        <v>2.36</v>
      </c>
      <c r="E732" s="82">
        <v>7.1</v>
      </c>
      <c r="F732" s="46">
        <v>1</v>
      </c>
      <c r="G732" s="46">
        <v>0.9375</v>
      </c>
      <c r="H732" s="81">
        <f t="shared" si="37"/>
        <v>7101249.9999999925</v>
      </c>
      <c r="I732" s="84">
        <f t="shared" si="35"/>
        <v>0.12186416666662941</v>
      </c>
      <c r="J732" s="84">
        <f t="shared" si="36"/>
        <v>0.19338916122004338</v>
      </c>
      <c r="K732" s="90" t="s">
        <v>51</v>
      </c>
    </row>
    <row r="733" spans="1:11" ht="20">
      <c r="A733" s="14">
        <v>45536</v>
      </c>
      <c r="B733" s="83">
        <f>VLOOKUP(A733,'BADI SID DATA'!A:B,2,0)</f>
        <v>154</v>
      </c>
      <c r="C733" s="85">
        <v>57200.65000000596</v>
      </c>
      <c r="D733" s="53">
        <v>5.51</v>
      </c>
      <c r="E733" s="82">
        <v>10.1</v>
      </c>
      <c r="F733" s="46">
        <v>1</v>
      </c>
      <c r="G733" s="46">
        <v>1</v>
      </c>
      <c r="H733" s="81">
        <f>C733</f>
        <v>57200.65000000596</v>
      </c>
      <c r="I733" s="84">
        <f t="shared" si="35"/>
        <v>0.23833604166669151</v>
      </c>
      <c r="J733" s="84">
        <f t="shared" si="36"/>
        <v>1.5476366341992955E-3</v>
      </c>
      <c r="K733" s="90" t="s">
        <v>52</v>
      </c>
    </row>
    <row r="734" spans="1:11" ht="20">
      <c r="A734" s="14">
        <v>45537</v>
      </c>
      <c r="B734" s="83">
        <f>VLOOKUP(A734,'BADI SID DATA'!A:B,2,0)</f>
        <v>155</v>
      </c>
      <c r="C734" s="85">
        <v>53300</v>
      </c>
      <c r="D734" s="53">
        <v>5.3</v>
      </c>
      <c r="E734" s="82">
        <v>10.199999999999999</v>
      </c>
      <c r="F734" s="46">
        <v>1</v>
      </c>
      <c r="G734" s="46">
        <v>1</v>
      </c>
      <c r="H734" s="81">
        <f>H733+C734</f>
        <v>110500.65000000596</v>
      </c>
      <c r="I734" s="84">
        <f t="shared" si="35"/>
        <v>0.22208333333333333</v>
      </c>
      <c r="J734" s="84">
        <f t="shared" si="36"/>
        <v>2.9704475806453215E-3</v>
      </c>
      <c r="K734" s="90" t="s">
        <v>52</v>
      </c>
    </row>
    <row r="735" spans="1:11" ht="20">
      <c r="A735" s="14">
        <v>45538</v>
      </c>
      <c r="B735" s="83">
        <f>VLOOKUP(A735,'BADI SID DATA'!A:B,2,0)</f>
        <v>156</v>
      </c>
      <c r="C735" s="85">
        <v>50050</v>
      </c>
      <c r="D735" s="50">
        <v>4.8</v>
      </c>
      <c r="E735" s="82">
        <v>9.5</v>
      </c>
      <c r="F735" s="46">
        <v>1</v>
      </c>
      <c r="G735" s="46">
        <v>0.76041666666666663</v>
      </c>
      <c r="H735" s="81">
        <f t="shared" si="37"/>
        <v>160550.65000000596</v>
      </c>
      <c r="I735" s="84">
        <f t="shared" si="35"/>
        <v>0.20854166666666665</v>
      </c>
      <c r="J735" s="84">
        <f t="shared" si="36"/>
        <v>4.2882118055557151E-3</v>
      </c>
      <c r="K735" s="90" t="s">
        <v>52</v>
      </c>
    </row>
    <row r="736" spans="1:11" ht="60">
      <c r="A736" s="14">
        <v>45539</v>
      </c>
      <c r="B736" s="83">
        <f>VLOOKUP(A736,'BADI SID DATA'!A:B,2,0)</f>
        <v>157</v>
      </c>
      <c r="C736" s="85">
        <v>44850</v>
      </c>
      <c r="D736" s="53">
        <f>8.94-D735</f>
        <v>4.1399999999999997</v>
      </c>
      <c r="E736" s="82">
        <v>9.1</v>
      </c>
      <c r="F736" s="46">
        <v>1</v>
      </c>
      <c r="G736" s="46">
        <v>0.73958333333333337</v>
      </c>
      <c r="H736" s="81">
        <f t="shared" si="37"/>
        <v>205400.65000000596</v>
      </c>
      <c r="I736" s="84">
        <f t="shared" si="35"/>
        <v>0.18687500000000001</v>
      </c>
      <c r="J736" s="84">
        <f t="shared" si="36"/>
        <v>5.4511849787687357E-3</v>
      </c>
      <c r="K736" s="90" t="s">
        <v>53</v>
      </c>
    </row>
    <row r="737" spans="1:11" ht="60">
      <c r="A737" s="14">
        <v>45540</v>
      </c>
      <c r="B737" s="83">
        <f>VLOOKUP(A737,'BADI SID DATA'!A:B,2,0)</f>
        <v>158</v>
      </c>
      <c r="C737" s="85">
        <v>48750</v>
      </c>
      <c r="D737" s="53">
        <f>13.73-8.94</f>
        <v>4.7900000000000009</v>
      </c>
      <c r="E737" s="82">
        <v>10</v>
      </c>
      <c r="F737" s="46">
        <v>1</v>
      </c>
      <c r="G737" s="46">
        <v>0.85069444444444442</v>
      </c>
      <c r="H737" s="81">
        <f t="shared" si="37"/>
        <v>254150.65000000596</v>
      </c>
      <c r="I737" s="84">
        <f t="shared" si="35"/>
        <v>0.203125</v>
      </c>
      <c r="J737" s="84">
        <f t="shared" si="36"/>
        <v>6.7022850738398193E-3</v>
      </c>
      <c r="K737" s="90" t="s">
        <v>53</v>
      </c>
    </row>
    <row r="738" spans="1:11" ht="80">
      <c r="A738" s="14">
        <v>45541</v>
      </c>
      <c r="B738" s="83">
        <f>VLOOKUP(A738,'BADI SID DATA'!A:B,2,0)</f>
        <v>159</v>
      </c>
      <c r="C738" s="85">
        <v>39000</v>
      </c>
      <c r="D738" s="50">
        <f>17.21-13.73</f>
        <v>3.4800000000000004</v>
      </c>
      <c r="E738" s="82">
        <v>7.5</v>
      </c>
      <c r="F738" s="46">
        <v>1</v>
      </c>
      <c r="G738" s="46">
        <v>0.74513888888888891</v>
      </c>
      <c r="H738" s="81">
        <f t="shared" si="37"/>
        <v>293150.65000000596</v>
      </c>
      <c r="I738" s="84">
        <f t="shared" si="35"/>
        <v>0.16250000000000001</v>
      </c>
      <c r="J738" s="84">
        <f t="shared" si="36"/>
        <v>7.6821449161427139E-3</v>
      </c>
      <c r="K738" s="90" t="s">
        <v>51</v>
      </c>
    </row>
    <row r="739" spans="1:11" ht="80">
      <c r="A739" s="14">
        <v>45542</v>
      </c>
      <c r="B739" s="83">
        <f>VLOOKUP(A739,'BADI SID DATA'!A:B,2,0)</f>
        <v>160</v>
      </c>
      <c r="C739" s="85">
        <v>40950</v>
      </c>
      <c r="D739" s="50">
        <v>3.77</v>
      </c>
      <c r="E739" s="82">
        <v>6.5</v>
      </c>
      <c r="F739" s="46">
        <v>1</v>
      </c>
      <c r="G739" s="46">
        <v>0.71527777777777779</v>
      </c>
      <c r="H739" s="81">
        <f t="shared" si="37"/>
        <v>334100.65000000596</v>
      </c>
      <c r="I739" s="84">
        <f t="shared" si="35"/>
        <v>0.170625</v>
      </c>
      <c r="J739" s="84">
        <f t="shared" si="36"/>
        <v>8.700537760416821E-3</v>
      </c>
      <c r="K739" s="90" t="s">
        <v>51</v>
      </c>
    </row>
    <row r="740" spans="1:11" ht="80">
      <c r="A740" s="14">
        <v>45543</v>
      </c>
      <c r="B740" s="83">
        <f>VLOOKUP(A740,'BADI SID DATA'!A:B,2,0)</f>
        <v>161</v>
      </c>
      <c r="C740" s="85">
        <v>37046.75</v>
      </c>
      <c r="D740" s="53">
        <f>6.99-3.77</f>
        <v>3.22</v>
      </c>
      <c r="E740" s="82">
        <v>7.2</v>
      </c>
      <c r="F740" s="46">
        <v>1</v>
      </c>
      <c r="G740" s="46">
        <v>0.74513888888888891</v>
      </c>
      <c r="H740" s="81">
        <f t="shared" si="37"/>
        <v>371147.40000000596</v>
      </c>
      <c r="I740" s="84">
        <f t="shared" si="35"/>
        <v>0.15436145833333334</v>
      </c>
      <c r="J740" s="84">
        <f t="shared" si="36"/>
        <v>9.6052639751554331E-3</v>
      </c>
      <c r="K740" s="90" t="s">
        <v>51</v>
      </c>
    </row>
    <row r="741" spans="1:11" ht="80">
      <c r="A741" s="14">
        <v>45544</v>
      </c>
      <c r="B741" s="83">
        <f>VLOOKUP(A741,'BADI SID DATA'!A:B,2,0)</f>
        <v>162</v>
      </c>
      <c r="C741" s="85">
        <v>42901.95000000298</v>
      </c>
      <c r="D741" s="50">
        <v>3.97</v>
      </c>
      <c r="E741" s="82">
        <v>8.5</v>
      </c>
      <c r="F741" s="46">
        <v>1</v>
      </c>
      <c r="G741" s="46">
        <v>1</v>
      </c>
      <c r="H741" s="81">
        <f t="shared" si="37"/>
        <v>414049.35000000894</v>
      </c>
      <c r="I741" s="84">
        <f t="shared" si="35"/>
        <v>0.17875812500001242</v>
      </c>
      <c r="J741" s="84">
        <f t="shared" si="36"/>
        <v>1.0649417438271835E-2</v>
      </c>
      <c r="K741" s="90" t="s">
        <v>51</v>
      </c>
    </row>
    <row r="742" spans="1:11" ht="60">
      <c r="A742" s="14">
        <v>45545</v>
      </c>
      <c r="B742" s="83">
        <f>VLOOKUP(A742,'BADI SID DATA'!A:B,2,0)</f>
        <v>163</v>
      </c>
      <c r="C742" s="85">
        <v>58501.29999999702</v>
      </c>
      <c r="D742" s="51">
        <v>5.81</v>
      </c>
      <c r="E742" s="82">
        <v>10.199999999999999</v>
      </c>
      <c r="F742" s="46">
        <v>1</v>
      </c>
      <c r="G742" s="46">
        <v>1</v>
      </c>
      <c r="H742" s="81">
        <f t="shared" si="37"/>
        <v>472550.65000000596</v>
      </c>
      <c r="I742" s="84">
        <f t="shared" si="35"/>
        <v>0.24375541666665426</v>
      </c>
      <c r="J742" s="84">
        <f t="shared" si="36"/>
        <v>1.2079515593047187E-2</v>
      </c>
      <c r="K742" s="90" t="s">
        <v>54</v>
      </c>
    </row>
    <row r="743" spans="1:11" ht="20">
      <c r="A743" s="14">
        <v>45546</v>
      </c>
      <c r="B743" s="83">
        <f>VLOOKUP(A743,'BADI SID DATA'!A:B,2,0)</f>
        <v>164</v>
      </c>
      <c r="C743" s="85">
        <v>47449.34999999404</v>
      </c>
      <c r="D743" s="51">
        <v>4.4000000000000004</v>
      </c>
      <c r="E743" s="82">
        <v>10.4</v>
      </c>
      <c r="F743" s="46">
        <v>1</v>
      </c>
      <c r="G743" s="46">
        <v>1</v>
      </c>
      <c r="H743" s="81">
        <f t="shared" si="37"/>
        <v>520000</v>
      </c>
      <c r="I743" s="84">
        <f t="shared" si="35"/>
        <v>0.19770562499997515</v>
      </c>
      <c r="J743" s="84">
        <f t="shared" si="36"/>
        <v>1.3211382113821139E-2</v>
      </c>
      <c r="K743" s="90" t="s">
        <v>52</v>
      </c>
    </row>
    <row r="744" spans="1:11" ht="20">
      <c r="A744" s="14">
        <v>45547</v>
      </c>
      <c r="B744" s="83">
        <f>VLOOKUP(A744,'BADI SID DATA'!A:B,2,0)</f>
        <v>165</v>
      </c>
      <c r="C744" s="85">
        <v>51351.95000000298</v>
      </c>
      <c r="D744" s="51">
        <f>9.56-D743</f>
        <v>5.16</v>
      </c>
      <c r="E744" s="82">
        <v>10.5</v>
      </c>
      <c r="F744" s="46">
        <v>1</v>
      </c>
      <c r="G744" s="46">
        <v>1</v>
      </c>
      <c r="H744" s="81">
        <f t="shared" si="37"/>
        <v>571351.95000000298</v>
      </c>
      <c r="I744" s="84">
        <f t="shared" si="35"/>
        <v>0.21396645833334574</v>
      </c>
      <c r="J744" s="84">
        <f t="shared" si="36"/>
        <v>1.4428079545454621E-2</v>
      </c>
      <c r="K744" s="90" t="s">
        <v>52</v>
      </c>
    </row>
    <row r="745" spans="1:11" ht="60">
      <c r="A745" s="14">
        <v>45548</v>
      </c>
      <c r="B745" s="83">
        <f>VLOOKUP(A745,'BADI SID DATA'!A:B,2,0)</f>
        <v>166</v>
      </c>
      <c r="C745" s="85">
        <v>60446.100000008941</v>
      </c>
      <c r="D745" s="51">
        <v>5.94</v>
      </c>
      <c r="E745" s="82">
        <v>10.199999999999999</v>
      </c>
      <c r="F745" s="46">
        <v>1</v>
      </c>
      <c r="G745" s="46">
        <v>1</v>
      </c>
      <c r="H745" s="81">
        <f t="shared" si="37"/>
        <v>631798.05000001192</v>
      </c>
      <c r="I745" s="84">
        <f t="shared" si="35"/>
        <v>0.25185875000003727</v>
      </c>
      <c r="J745" s="84">
        <f t="shared" si="36"/>
        <v>1.5858384789156927E-2</v>
      </c>
      <c r="K745" s="90" t="s">
        <v>54</v>
      </c>
    </row>
    <row r="746" spans="1:11" ht="20">
      <c r="A746" s="14">
        <v>45549</v>
      </c>
      <c r="B746" s="83">
        <f>VLOOKUP(A746,'BADI SID DATA'!A:B,2,0)</f>
        <v>167</v>
      </c>
      <c r="C746" s="85">
        <v>63055.84999999404</v>
      </c>
      <c r="D746" s="51">
        <v>6.51</v>
      </c>
      <c r="E746" s="82">
        <v>10.199999999999999</v>
      </c>
      <c r="F746" s="46">
        <v>1</v>
      </c>
      <c r="G746" s="46">
        <v>1</v>
      </c>
      <c r="H746" s="81">
        <f t="shared" si="37"/>
        <v>694853.90000000596</v>
      </c>
      <c r="I746" s="84">
        <f t="shared" si="35"/>
        <v>0.26273270833330847</v>
      </c>
      <c r="J746" s="84">
        <f t="shared" si="36"/>
        <v>1.7336674151696756E-2</v>
      </c>
      <c r="K746" s="90" t="s">
        <v>65</v>
      </c>
    </row>
    <row r="747" spans="1:11" ht="60">
      <c r="A747" s="14">
        <v>45550</v>
      </c>
      <c r="B747" s="83">
        <f>VLOOKUP(A747,'BADI SID DATA'!A:B,2,0)</f>
        <v>168</v>
      </c>
      <c r="C747" s="85">
        <v>62397.399999991059</v>
      </c>
      <c r="D747" s="51">
        <v>6.34</v>
      </c>
      <c r="E747" s="82">
        <v>10</v>
      </c>
      <c r="F747" s="46">
        <v>1</v>
      </c>
      <c r="G747" s="46">
        <v>1</v>
      </c>
      <c r="H747" s="81">
        <f t="shared" si="37"/>
        <v>757251.29999999702</v>
      </c>
      <c r="I747" s="84">
        <f t="shared" si="35"/>
        <v>0.25998916666662941</v>
      </c>
      <c r="J747" s="84">
        <f t="shared" si="36"/>
        <v>1.8781034226190402E-2</v>
      </c>
      <c r="K747" s="90" t="s">
        <v>54</v>
      </c>
    </row>
    <row r="748" spans="1:11" ht="60">
      <c r="A748" s="14">
        <v>45551</v>
      </c>
      <c r="B748" s="83">
        <f>VLOOKUP(A748,'BADI SID DATA'!A:B,2,0)</f>
        <v>169</v>
      </c>
      <c r="C748" s="85">
        <v>62397.400000020862</v>
      </c>
      <c r="D748" s="51">
        <v>6.35</v>
      </c>
      <c r="E748" s="82">
        <v>10.3</v>
      </c>
      <c r="F748" s="46">
        <v>1</v>
      </c>
      <c r="G748" s="46">
        <v>1</v>
      </c>
      <c r="H748" s="81">
        <f t="shared" si="37"/>
        <v>819648.70000001788</v>
      </c>
      <c r="I748" s="84">
        <f t="shared" si="35"/>
        <v>0.25998916666675359</v>
      </c>
      <c r="J748" s="84">
        <f t="shared" si="36"/>
        <v>2.0208301282051724E-2</v>
      </c>
      <c r="K748" s="90" t="s">
        <v>54</v>
      </c>
    </row>
    <row r="749" spans="1:11" ht="60">
      <c r="A749" s="14">
        <v>45552</v>
      </c>
      <c r="B749" s="83">
        <f>VLOOKUP(A749,'BADI SID DATA'!A:B,2,0)</f>
        <v>170</v>
      </c>
      <c r="C749" s="85">
        <v>61103.899999991059</v>
      </c>
      <c r="D749" s="51">
        <v>6.29</v>
      </c>
      <c r="E749" s="82">
        <v>10</v>
      </c>
      <c r="F749" s="46">
        <v>1</v>
      </c>
      <c r="G749" s="46">
        <v>1</v>
      </c>
      <c r="H749" s="81">
        <f t="shared" si="37"/>
        <v>880752.60000000894</v>
      </c>
      <c r="I749" s="84">
        <f t="shared" si="35"/>
        <v>0.25459958333329608</v>
      </c>
      <c r="J749" s="84">
        <f t="shared" si="36"/>
        <v>2.1587073529411985E-2</v>
      </c>
      <c r="K749" s="90" t="s">
        <v>54</v>
      </c>
    </row>
    <row r="750" spans="1:11" ht="60">
      <c r="A750" s="14">
        <v>45553</v>
      </c>
      <c r="B750" s="83">
        <f>VLOOKUP(A750,'BADI SID DATA'!A:B,2,0)</f>
        <v>171</v>
      </c>
      <c r="C750" s="85">
        <v>62398.04999999702</v>
      </c>
      <c r="D750" s="51">
        <v>6.36</v>
      </c>
      <c r="E750" s="82">
        <v>10.1</v>
      </c>
      <c r="F750" s="46">
        <v>1</v>
      </c>
      <c r="G750" s="46">
        <v>1</v>
      </c>
      <c r="H750" s="81">
        <f t="shared" si="37"/>
        <v>943150.65000000596</v>
      </c>
      <c r="I750" s="84">
        <f t="shared" ref="I750:I813" si="38">C750/(10*24*1000)</f>
        <v>0.2599918749999876</v>
      </c>
      <c r="J750" s="84">
        <f t="shared" si="36"/>
        <v>2.2981253654970904E-2</v>
      </c>
      <c r="K750" s="90" t="s">
        <v>54</v>
      </c>
    </row>
    <row r="751" spans="1:11" ht="20">
      <c r="A751" s="14">
        <v>45554</v>
      </c>
      <c r="B751" s="83">
        <f>VLOOKUP(A751,'BADI SID DATA'!A:B,2,0)</f>
        <v>172</v>
      </c>
      <c r="C751" s="85">
        <v>53946.75</v>
      </c>
      <c r="D751" s="51">
        <v>5.58</v>
      </c>
      <c r="E751" s="82">
        <v>10.199999999999999</v>
      </c>
      <c r="F751" s="46">
        <v>1</v>
      </c>
      <c r="G751" s="46">
        <v>0.90138888888888891</v>
      </c>
      <c r="H751" s="81">
        <f t="shared" si="37"/>
        <v>997097.40000000596</v>
      </c>
      <c r="I751" s="84">
        <f t="shared" si="38"/>
        <v>0.224778125</v>
      </c>
      <c r="J751" s="84">
        <f t="shared" si="36"/>
        <v>2.4154491279069913E-2</v>
      </c>
      <c r="K751" s="90" t="s">
        <v>52</v>
      </c>
    </row>
    <row r="752" spans="1:11" ht="20">
      <c r="A752" s="14">
        <v>45555</v>
      </c>
      <c r="B752" s="83">
        <f>VLOOKUP(A752,'BADI SID DATA'!A:B,2,0)</f>
        <v>173</v>
      </c>
      <c r="C752" s="85">
        <v>43553.25</v>
      </c>
      <c r="D752" s="51">
        <v>4.3</v>
      </c>
      <c r="E752" s="82">
        <v>10.5</v>
      </c>
      <c r="F752" s="46">
        <v>1</v>
      </c>
      <c r="G752" s="46">
        <v>1</v>
      </c>
      <c r="H752" s="81">
        <f t="shared" si="37"/>
        <v>1040650.650000006</v>
      </c>
      <c r="I752" s="84">
        <f t="shared" si="38"/>
        <v>0.181471875</v>
      </c>
      <c r="J752" s="84">
        <f t="shared" si="36"/>
        <v>2.5063840317919219E-2</v>
      </c>
      <c r="K752" s="90" t="s">
        <v>52</v>
      </c>
    </row>
    <row r="753" spans="1:11" ht="20">
      <c r="A753" s="14">
        <v>45556</v>
      </c>
      <c r="B753" s="83">
        <f>VLOOKUP(A753,'BADI SID DATA'!A:B,2,0)</f>
        <v>174</v>
      </c>
      <c r="C753" s="85">
        <v>48099.34999999404</v>
      </c>
      <c r="D753" s="51">
        <v>4.68</v>
      </c>
      <c r="E753" s="82">
        <v>10.7</v>
      </c>
      <c r="F753" s="46">
        <v>1</v>
      </c>
      <c r="G753" s="46">
        <v>0.9375</v>
      </c>
      <c r="H753" s="81">
        <f t="shared" si="37"/>
        <v>1088750</v>
      </c>
      <c r="I753" s="84">
        <f t="shared" si="38"/>
        <v>0.2004139583333085</v>
      </c>
      <c r="J753" s="84">
        <f t="shared" si="36"/>
        <v>2.6071599616858239E-2</v>
      </c>
      <c r="K753" s="90" t="s">
        <v>52</v>
      </c>
    </row>
    <row r="754" spans="1:11" ht="20">
      <c r="A754" s="14">
        <v>45557</v>
      </c>
      <c r="B754" s="83">
        <f>VLOOKUP(A754,'BADI SID DATA'!A:B,2,0)</f>
        <v>175</v>
      </c>
      <c r="C754" s="85">
        <v>53303.90000000596</v>
      </c>
      <c r="D754" s="51">
        <v>5.23</v>
      </c>
      <c r="E754" s="82">
        <v>10.9</v>
      </c>
      <c r="F754" s="46">
        <v>1</v>
      </c>
      <c r="G754" s="46">
        <v>1</v>
      </c>
      <c r="H754" s="81">
        <f t="shared" si="37"/>
        <v>1142053.900000006</v>
      </c>
      <c r="I754" s="84">
        <f t="shared" si="38"/>
        <v>0.22209958333335816</v>
      </c>
      <c r="J754" s="84">
        <f t="shared" si="36"/>
        <v>2.7191759523809665E-2</v>
      </c>
      <c r="K754" s="90" t="s">
        <v>52</v>
      </c>
    </row>
    <row r="755" spans="1:11" ht="20">
      <c r="A755" s="14">
        <v>45558</v>
      </c>
      <c r="B755" s="83">
        <f>VLOOKUP(A755,'BADI SID DATA'!A:B,2,0)</f>
        <v>176</v>
      </c>
      <c r="C755" s="85">
        <v>48099.34999999404</v>
      </c>
      <c r="D755" s="51">
        <v>4.66</v>
      </c>
      <c r="E755" s="82">
        <v>10</v>
      </c>
      <c r="F755" s="46">
        <v>1</v>
      </c>
      <c r="G755" s="46">
        <v>0.95833333333333337</v>
      </c>
      <c r="H755" s="81">
        <f t="shared" si="37"/>
        <v>1190153.25</v>
      </c>
      <c r="I755" s="84">
        <f t="shared" si="38"/>
        <v>0.2004139583333085</v>
      </c>
      <c r="J755" s="84">
        <f t="shared" si="36"/>
        <v>2.81759765625E-2</v>
      </c>
      <c r="K755" s="90" t="s">
        <v>52</v>
      </c>
    </row>
    <row r="756" spans="1:11" ht="20">
      <c r="A756" s="14">
        <v>45559</v>
      </c>
      <c r="B756" s="83">
        <f>VLOOKUP(A756,'BADI SID DATA'!A:B,2,0)</f>
        <v>177</v>
      </c>
      <c r="C756" s="85">
        <v>42894.800000011921</v>
      </c>
      <c r="D756" s="51">
        <v>4.17</v>
      </c>
      <c r="E756" s="82">
        <v>10.5</v>
      </c>
      <c r="F756" s="46">
        <v>1</v>
      </c>
      <c r="G756" s="46">
        <v>0.90555555555555556</v>
      </c>
      <c r="H756" s="81">
        <f t="shared" si="37"/>
        <v>1233048.0500000119</v>
      </c>
      <c r="I756" s="84">
        <f t="shared" si="38"/>
        <v>0.178728333333383</v>
      </c>
      <c r="J756" s="84">
        <f t="shared" si="36"/>
        <v>2.9026554849341146E-2</v>
      </c>
      <c r="K756" s="90" t="s">
        <v>52</v>
      </c>
    </row>
    <row r="757" spans="1:11" ht="20">
      <c r="A757" s="14">
        <v>45560</v>
      </c>
      <c r="B757" s="83">
        <f>VLOOKUP(A757,'BADI SID DATA'!A:B,2,0)</f>
        <v>178</v>
      </c>
      <c r="C757" s="85">
        <v>45504.549999982119</v>
      </c>
      <c r="D757" s="51">
        <v>4.3099999999999996</v>
      </c>
      <c r="E757" s="82">
        <v>10.4</v>
      </c>
      <c r="F757" s="46">
        <v>1</v>
      </c>
      <c r="G757" s="46">
        <v>1</v>
      </c>
      <c r="H757" s="81">
        <f t="shared" si="37"/>
        <v>1278552.599999994</v>
      </c>
      <c r="I757" s="84">
        <f t="shared" si="38"/>
        <v>0.18960229166659215</v>
      </c>
      <c r="J757" s="84">
        <f t="shared" si="36"/>
        <v>2.992866573033694E-2</v>
      </c>
      <c r="K757" s="90" t="s">
        <v>52</v>
      </c>
    </row>
    <row r="758" spans="1:11" ht="80">
      <c r="A758" s="14">
        <v>45561</v>
      </c>
      <c r="B758" s="83">
        <f>VLOOKUP(A758,'BADI SID DATA'!A:B,2,0)</f>
        <v>179</v>
      </c>
      <c r="C758" s="85">
        <v>35094.800000011921</v>
      </c>
      <c r="D758" s="52">
        <v>3.13</v>
      </c>
      <c r="E758" s="82">
        <v>9.9</v>
      </c>
      <c r="F758" s="46">
        <v>1</v>
      </c>
      <c r="G758" s="46">
        <v>0.90208333333333335</v>
      </c>
      <c r="H758" s="81">
        <f t="shared" si="37"/>
        <v>1313647.400000006</v>
      </c>
      <c r="I758" s="84">
        <f t="shared" si="38"/>
        <v>0.146228333333383</v>
      </c>
      <c r="J758" s="84">
        <f t="shared" si="36"/>
        <v>3.0578384543761779E-2</v>
      </c>
      <c r="K758" s="90" t="s">
        <v>51</v>
      </c>
    </row>
    <row r="759" spans="1:11" ht="80">
      <c r="A759" s="14">
        <v>45562</v>
      </c>
      <c r="B759" s="83">
        <f>VLOOKUP(A759,'BADI SID DATA'!A:B,2,0)</f>
        <v>180</v>
      </c>
      <c r="C759" s="85">
        <v>43552.600000008941</v>
      </c>
      <c r="D759" s="51">
        <v>4.2300000000000004</v>
      </c>
      <c r="E759" s="82">
        <v>9.6999999999999993</v>
      </c>
      <c r="F759" s="46">
        <v>1</v>
      </c>
      <c r="G759" s="46">
        <v>0.97916666666666663</v>
      </c>
      <c r="H759" s="81">
        <f t="shared" si="37"/>
        <v>1357200.0000000149</v>
      </c>
      <c r="I759" s="84">
        <f t="shared" si="38"/>
        <v>0.18146916666670393</v>
      </c>
      <c r="J759" s="84">
        <f t="shared" si="36"/>
        <v>3.1416666666667009E-2</v>
      </c>
      <c r="K759" s="90" t="s">
        <v>51</v>
      </c>
    </row>
    <row r="760" spans="1:11" ht="80">
      <c r="A760" s="14">
        <v>45563</v>
      </c>
      <c r="B760" s="83">
        <f>VLOOKUP(A760,'BADI SID DATA'!A:B,2,0)</f>
        <v>181</v>
      </c>
      <c r="C760" s="85">
        <v>40299.999999985099</v>
      </c>
      <c r="D760" s="52">
        <v>3.82</v>
      </c>
      <c r="E760" s="82">
        <v>9.9</v>
      </c>
      <c r="F760" s="46">
        <v>1</v>
      </c>
      <c r="G760" s="46">
        <v>0.89583333333333337</v>
      </c>
      <c r="H760" s="81">
        <f t="shared" si="37"/>
        <v>1397500</v>
      </c>
      <c r="I760" s="84">
        <f t="shared" si="38"/>
        <v>0.16791666666660457</v>
      </c>
      <c r="J760" s="84">
        <f t="shared" si="36"/>
        <v>3.2170810313075504E-2</v>
      </c>
      <c r="K760" s="90" t="s">
        <v>51</v>
      </c>
    </row>
    <row r="761" spans="1:11" ht="60">
      <c r="A761" s="14">
        <v>45564</v>
      </c>
      <c r="B761" s="83">
        <f>VLOOKUP(A761,'BADI SID DATA'!A:B,2,0)</f>
        <v>182</v>
      </c>
      <c r="C761" s="85">
        <v>59151.95000000298</v>
      </c>
      <c r="D761" s="51">
        <v>6.15</v>
      </c>
      <c r="E761" s="82">
        <v>10.9</v>
      </c>
      <c r="F761" s="46">
        <v>1</v>
      </c>
      <c r="G761" s="46">
        <v>0.74513888888888891</v>
      </c>
      <c r="H761" s="81">
        <f t="shared" si="37"/>
        <v>1456651.950000003</v>
      </c>
      <c r="I761" s="84">
        <f t="shared" si="38"/>
        <v>0.24646645833334574</v>
      </c>
      <c r="J761" s="84">
        <f t="shared" si="36"/>
        <v>3.3348258928571496E-2</v>
      </c>
      <c r="K761" s="90" t="s">
        <v>54</v>
      </c>
    </row>
    <row r="762" spans="1:11" ht="60">
      <c r="A762" s="14">
        <v>45565</v>
      </c>
      <c r="B762" s="83">
        <f>VLOOKUP(A762,'BADI SID DATA'!A:B,2,0)</f>
        <v>183</v>
      </c>
      <c r="C762" s="85">
        <v>57850.65000000596</v>
      </c>
      <c r="D762" s="51">
        <v>6.28</v>
      </c>
      <c r="E762" s="82">
        <v>10.199999999999999</v>
      </c>
      <c r="F762" s="46">
        <v>1</v>
      </c>
      <c r="G762" s="46">
        <v>1</v>
      </c>
      <c r="H762" s="81">
        <f t="shared" si="37"/>
        <v>1514502.6000000089</v>
      </c>
      <c r="I762" s="84">
        <f t="shared" si="38"/>
        <v>0.24104437500002485</v>
      </c>
      <c r="J762" s="84">
        <f t="shared" si="36"/>
        <v>3.4483210382513868E-2</v>
      </c>
      <c r="K762" s="90" t="s">
        <v>54</v>
      </c>
    </row>
    <row r="763" spans="1:11" ht="20">
      <c r="A763" s="14">
        <v>45566</v>
      </c>
      <c r="B763" s="83">
        <f>VLOOKUP(A763,'BADI SID DATA'!A:B,2,0)</f>
        <v>184</v>
      </c>
      <c r="C763" s="85">
        <v>55248.699999988079</v>
      </c>
      <c r="D763" s="53">
        <v>5.94</v>
      </c>
      <c r="E763" s="82">
        <v>10.5</v>
      </c>
      <c r="F763" s="46">
        <v>1</v>
      </c>
      <c r="G763" s="46">
        <v>1</v>
      </c>
      <c r="H763" s="81">
        <f t="shared" si="37"/>
        <v>1569751.299999997</v>
      </c>
      <c r="I763" s="84">
        <f t="shared" si="38"/>
        <v>0.23020291666661699</v>
      </c>
      <c r="J763" s="84">
        <f t="shared" si="36"/>
        <v>3.5546904438405733E-2</v>
      </c>
      <c r="K763" s="90" t="s">
        <v>52</v>
      </c>
    </row>
    <row r="764" spans="1:11" ht="20">
      <c r="A764" s="14">
        <v>45567</v>
      </c>
      <c r="B764" s="83">
        <f>VLOOKUP(A764,'BADI SID DATA'!A:B,2,0)</f>
        <v>185</v>
      </c>
      <c r="C764" s="85">
        <v>46798.050000011921</v>
      </c>
      <c r="D764" s="53">
        <v>4.82</v>
      </c>
      <c r="E764" s="82">
        <v>10.8</v>
      </c>
      <c r="F764" s="46">
        <v>1</v>
      </c>
      <c r="G764" s="46">
        <v>1</v>
      </c>
      <c r="H764" s="81">
        <f t="shared" si="37"/>
        <v>1616549.3500000089</v>
      </c>
      <c r="I764" s="84">
        <f t="shared" si="38"/>
        <v>0.19499187500004966</v>
      </c>
      <c r="J764" s="84">
        <f t="shared" si="36"/>
        <v>3.6408769144144343E-2</v>
      </c>
      <c r="K764" s="90" t="s">
        <v>52</v>
      </c>
    </row>
    <row r="765" spans="1:11" ht="20">
      <c r="A765" s="14">
        <v>45568</v>
      </c>
      <c r="B765" s="83">
        <f>VLOOKUP(A765,'BADI SID DATA'!A:B,2,0)</f>
        <v>186</v>
      </c>
      <c r="C765" s="85">
        <v>48099.350000008941</v>
      </c>
      <c r="D765" s="50">
        <v>4.82</v>
      </c>
      <c r="E765" s="82">
        <v>9.1999999999999993</v>
      </c>
      <c r="F765" s="46">
        <v>1</v>
      </c>
      <c r="G765" s="46">
        <v>1</v>
      </c>
      <c r="H765" s="81">
        <f t="shared" si="37"/>
        <v>1664648.7000000179</v>
      </c>
      <c r="I765" s="84">
        <f t="shared" si="38"/>
        <v>0.20041395833337058</v>
      </c>
      <c r="J765" s="84">
        <f t="shared" ref="J765:J828" si="39">H765/(24*B765*10*1000)</f>
        <v>3.7290517473118678E-2</v>
      </c>
      <c r="K765" s="90" t="s">
        <v>52</v>
      </c>
    </row>
    <row r="766" spans="1:11" ht="80">
      <c r="A766" s="14">
        <v>45569</v>
      </c>
      <c r="B766" s="83">
        <f>VLOOKUP(A766,'BADI SID DATA'!A:B,2,0)</f>
        <v>187</v>
      </c>
      <c r="C766" s="85">
        <v>30548.049999982119</v>
      </c>
      <c r="D766" s="53">
        <v>2.91</v>
      </c>
      <c r="E766" s="82">
        <v>10.5</v>
      </c>
      <c r="F766" s="46">
        <v>1</v>
      </c>
      <c r="G766" s="46">
        <v>1</v>
      </c>
      <c r="H766" s="81">
        <f t="shared" si="37"/>
        <v>1695196.75</v>
      </c>
      <c r="I766" s="84">
        <f t="shared" si="38"/>
        <v>0.12728354166659217</v>
      </c>
      <c r="J766" s="84">
        <f t="shared" si="39"/>
        <v>3.7771763591800359E-2</v>
      </c>
      <c r="K766" s="90" t="s">
        <v>51</v>
      </c>
    </row>
    <row r="767" spans="1:11" ht="80">
      <c r="A767" s="14">
        <v>45570</v>
      </c>
      <c r="B767" s="83">
        <f>VLOOKUP(A767,'BADI SID DATA'!A:B,2,0)</f>
        <v>188</v>
      </c>
      <c r="C767" s="85">
        <v>44853.90000000596</v>
      </c>
      <c r="D767" s="53">
        <v>4.3099999999999996</v>
      </c>
      <c r="E767" s="82">
        <v>10</v>
      </c>
      <c r="F767" s="46">
        <v>1</v>
      </c>
      <c r="G767" s="46">
        <v>1</v>
      </c>
      <c r="H767" s="81">
        <f t="shared" si="37"/>
        <v>1740050.650000006</v>
      </c>
      <c r="I767" s="84">
        <f t="shared" si="38"/>
        <v>0.18689125000002482</v>
      </c>
      <c r="J767" s="84">
        <f t="shared" si="39"/>
        <v>3.8564952349290915E-2</v>
      </c>
      <c r="K767" s="90" t="s">
        <v>51</v>
      </c>
    </row>
    <row r="768" spans="1:11" ht="20">
      <c r="A768" s="14">
        <v>45571</v>
      </c>
      <c r="B768" s="83">
        <f>VLOOKUP(A768,'BADI SID DATA'!A:B,2,0)</f>
        <v>189</v>
      </c>
      <c r="C768" s="85">
        <v>52003.25</v>
      </c>
      <c r="D768" s="50">
        <v>5.25</v>
      </c>
      <c r="E768" s="82">
        <v>10.6</v>
      </c>
      <c r="F768" s="46">
        <v>1</v>
      </c>
      <c r="G768" s="46">
        <v>1</v>
      </c>
      <c r="H768" s="81">
        <f t="shared" si="37"/>
        <v>1792053.900000006</v>
      </c>
      <c r="I768" s="84">
        <f t="shared" si="38"/>
        <v>0.21668020833333335</v>
      </c>
      <c r="J768" s="84">
        <f t="shared" si="39"/>
        <v>3.9507361111111243E-2</v>
      </c>
      <c r="K768" s="90" t="s">
        <v>52</v>
      </c>
    </row>
    <row r="769" spans="1:11" ht="80">
      <c r="A769" s="14">
        <v>45572</v>
      </c>
      <c r="B769" s="83">
        <f>VLOOKUP(A769,'BADI SID DATA'!A:B,2,0)</f>
        <v>190</v>
      </c>
      <c r="C769" s="85">
        <v>47448.70000000298</v>
      </c>
      <c r="D769" s="50">
        <v>4.6500000000000004</v>
      </c>
      <c r="E769" s="82">
        <v>10.1</v>
      </c>
      <c r="F769" s="46">
        <v>1</v>
      </c>
      <c r="G769" s="46">
        <v>0.75</v>
      </c>
      <c r="H769" s="81">
        <f t="shared" si="37"/>
        <v>1839502.6000000089</v>
      </c>
      <c r="I769" s="84">
        <f t="shared" si="38"/>
        <v>0.19770291666667908</v>
      </c>
      <c r="J769" s="84">
        <f t="shared" si="39"/>
        <v>4.0339969298245813E-2</v>
      </c>
      <c r="K769" s="90" t="s">
        <v>51</v>
      </c>
    </row>
    <row r="770" spans="1:11" ht="20">
      <c r="A770" s="14">
        <v>45573</v>
      </c>
      <c r="B770" s="83">
        <f>VLOOKUP(A770,'BADI SID DATA'!A:B,2,0)</f>
        <v>191</v>
      </c>
      <c r="C770" s="85">
        <v>50694.149999991059</v>
      </c>
      <c r="D770" s="53">
        <f>9.83-D769</f>
        <v>5.18</v>
      </c>
      <c r="E770" s="82">
        <v>10.3</v>
      </c>
      <c r="F770" s="46">
        <v>1</v>
      </c>
      <c r="G770" s="46">
        <v>0.7416666666666667</v>
      </c>
      <c r="H770" s="81">
        <f t="shared" si="37"/>
        <v>1890196.75</v>
      </c>
      <c r="I770" s="84">
        <f t="shared" si="38"/>
        <v>0.21122562499996275</v>
      </c>
      <c r="J770" s="84">
        <f t="shared" si="39"/>
        <v>4.1234658595113438E-2</v>
      </c>
      <c r="K770" s="90" t="s">
        <v>52</v>
      </c>
    </row>
    <row r="771" spans="1:11" ht="20">
      <c r="A771" s="14">
        <v>45574</v>
      </c>
      <c r="B771" s="83">
        <f>VLOOKUP(A771,'BADI SID DATA'!A:B,2,0)</f>
        <v>192</v>
      </c>
      <c r="C771" s="85">
        <v>49400.65000000596</v>
      </c>
      <c r="D771" s="50">
        <v>4.99</v>
      </c>
      <c r="E771" s="82">
        <v>10.199999999999999</v>
      </c>
      <c r="F771" s="46">
        <v>1</v>
      </c>
      <c r="G771" s="46">
        <v>1</v>
      </c>
      <c r="H771" s="81">
        <f t="shared" si="37"/>
        <v>1939597.400000006</v>
      </c>
      <c r="I771" s="84">
        <f t="shared" si="38"/>
        <v>0.2058360416666915</v>
      </c>
      <c r="J771" s="84">
        <f t="shared" si="39"/>
        <v>4.2091957465277906E-2</v>
      </c>
      <c r="K771" s="90" t="s">
        <v>52</v>
      </c>
    </row>
    <row r="772" spans="1:11" ht="20">
      <c r="A772" s="14">
        <v>45575</v>
      </c>
      <c r="B772" s="83">
        <f>VLOOKUP(A772,'BADI SID DATA'!A:B,2,0)</f>
        <v>193</v>
      </c>
      <c r="C772" s="85">
        <v>50051.300000011921</v>
      </c>
      <c r="D772" s="51">
        <v>4.9000000000000004</v>
      </c>
      <c r="E772" s="82">
        <v>10.6</v>
      </c>
      <c r="F772" s="46">
        <v>1</v>
      </c>
      <c r="G772" s="46">
        <v>1</v>
      </c>
      <c r="H772" s="81">
        <f t="shared" si="37"/>
        <v>1989648.7000000179</v>
      </c>
      <c r="I772" s="84">
        <f t="shared" si="38"/>
        <v>0.20854708333338301</v>
      </c>
      <c r="J772" s="84">
        <f t="shared" si="39"/>
        <v>4.2954419257340629E-2</v>
      </c>
      <c r="K772" s="90" t="s">
        <v>52</v>
      </c>
    </row>
    <row r="773" spans="1:11" ht="80">
      <c r="A773" s="14">
        <v>45576</v>
      </c>
      <c r="B773" s="83">
        <f>VLOOKUP(A773,'BADI SID DATA'!A:B,2,0)</f>
        <v>194</v>
      </c>
      <c r="C773" s="85">
        <v>37705.199999988079</v>
      </c>
      <c r="D773" s="51">
        <v>3.57</v>
      </c>
      <c r="E773" s="82">
        <v>10.3</v>
      </c>
      <c r="F773" s="46">
        <v>1</v>
      </c>
      <c r="G773" s="46">
        <v>1</v>
      </c>
      <c r="H773" s="81">
        <f t="shared" ref="H773:H836" si="40">C773+H772</f>
        <v>2027353.900000006</v>
      </c>
      <c r="I773" s="84">
        <f t="shared" si="38"/>
        <v>0.15710499999995034</v>
      </c>
      <c r="J773" s="84">
        <f t="shared" si="39"/>
        <v>4.3542824312714903E-2</v>
      </c>
      <c r="K773" s="90" t="s">
        <v>51</v>
      </c>
    </row>
    <row r="774" spans="1:11" ht="20">
      <c r="A774" s="14">
        <v>45577</v>
      </c>
      <c r="B774" s="83">
        <f>VLOOKUP(A774,'BADI SID DATA'!A:B,2,0)</f>
        <v>195</v>
      </c>
      <c r="C774" s="85">
        <v>43544.800000011921</v>
      </c>
      <c r="D774" s="51">
        <v>4.28</v>
      </c>
      <c r="E774" s="82">
        <v>11</v>
      </c>
      <c r="F774" s="46">
        <v>1</v>
      </c>
      <c r="G774" s="46">
        <v>1</v>
      </c>
      <c r="H774" s="81">
        <f t="shared" si="40"/>
        <v>2070898.7000000179</v>
      </c>
      <c r="I774" s="84">
        <f t="shared" si="38"/>
        <v>0.18143666666671635</v>
      </c>
      <c r="J774" s="84">
        <f t="shared" si="39"/>
        <v>4.4249972222222607E-2</v>
      </c>
      <c r="K774" s="90" t="s">
        <v>52</v>
      </c>
    </row>
    <row r="775" spans="1:11" ht="80">
      <c r="A775" s="14">
        <v>45578</v>
      </c>
      <c r="B775" s="83">
        <f>VLOOKUP(A775,'BADI SID DATA'!A:B,2,0)</f>
        <v>196</v>
      </c>
      <c r="C775" s="85">
        <v>39649.34999999404</v>
      </c>
      <c r="D775" s="51">
        <v>3.95</v>
      </c>
      <c r="E775" s="82">
        <v>6.9</v>
      </c>
      <c r="F775" s="46">
        <v>1</v>
      </c>
      <c r="G775" s="46">
        <v>1</v>
      </c>
      <c r="H775" s="81">
        <f t="shared" si="40"/>
        <v>2110548.0500000119</v>
      </c>
      <c r="I775" s="84">
        <f t="shared" si="38"/>
        <v>0.16520562499997515</v>
      </c>
      <c r="J775" s="84">
        <f t="shared" si="39"/>
        <v>4.4867092899660115E-2</v>
      </c>
      <c r="K775" s="90" t="s">
        <v>51</v>
      </c>
    </row>
    <row r="776" spans="1:11" ht="20">
      <c r="A776" s="14">
        <v>45579</v>
      </c>
      <c r="B776" s="83">
        <f>VLOOKUP(A776,'BADI SID DATA'!A:B,2,0)</f>
        <v>197</v>
      </c>
      <c r="C776" s="85">
        <v>21454.54999999702</v>
      </c>
      <c r="D776" s="51">
        <v>1.68</v>
      </c>
      <c r="E776" s="82">
        <v>4.2</v>
      </c>
      <c r="F776" s="46">
        <v>1</v>
      </c>
      <c r="G776" s="46">
        <v>1</v>
      </c>
      <c r="H776" s="81">
        <f t="shared" si="40"/>
        <v>2132002.6000000089</v>
      </c>
      <c r="I776" s="84">
        <f t="shared" si="38"/>
        <v>8.9393958333320922E-2</v>
      </c>
      <c r="J776" s="84">
        <f t="shared" si="39"/>
        <v>4.5093117597292912E-2</v>
      </c>
      <c r="K776" s="90" t="s">
        <v>72</v>
      </c>
    </row>
    <row r="777" spans="1:11" ht="20">
      <c r="A777" s="14">
        <v>45580</v>
      </c>
      <c r="B777" s="83">
        <f>VLOOKUP(A777,'BADI SID DATA'!A:B,2,0)</f>
        <v>198</v>
      </c>
      <c r="C777" s="85">
        <v>13648.04999999702</v>
      </c>
      <c r="D777" s="51">
        <v>0.99</v>
      </c>
      <c r="E777" s="82">
        <v>3.2</v>
      </c>
      <c r="F777" s="46">
        <v>1</v>
      </c>
      <c r="G777" s="46">
        <v>1</v>
      </c>
      <c r="H777" s="81">
        <f t="shared" si="40"/>
        <v>2145650.650000006</v>
      </c>
      <c r="I777" s="84">
        <f t="shared" si="38"/>
        <v>5.6866874999987584E-2</v>
      </c>
      <c r="J777" s="84">
        <f t="shared" si="39"/>
        <v>4.5152581018518642E-2</v>
      </c>
      <c r="K777" s="90" t="s">
        <v>72</v>
      </c>
    </row>
    <row r="778" spans="1:11" ht="20">
      <c r="A778" s="14">
        <v>45581</v>
      </c>
      <c r="B778" s="83">
        <f>VLOOKUP(A778,'BADI SID DATA'!A:B,2,0)</f>
        <v>199</v>
      </c>
      <c r="C778" s="85">
        <v>16250</v>
      </c>
      <c r="D778" s="51">
        <v>1.29</v>
      </c>
      <c r="E778" s="82">
        <v>5.0999999999999996</v>
      </c>
      <c r="F778" s="46">
        <v>1</v>
      </c>
      <c r="G778" s="46">
        <v>1</v>
      </c>
      <c r="H778" s="81">
        <f t="shared" si="40"/>
        <v>2161900.650000006</v>
      </c>
      <c r="I778" s="84">
        <f t="shared" si="38"/>
        <v>6.7708333333333329E-2</v>
      </c>
      <c r="J778" s="84">
        <f t="shared" si="39"/>
        <v>4.5265926507537815E-2</v>
      </c>
      <c r="K778" s="90" t="s">
        <v>72</v>
      </c>
    </row>
    <row r="779" spans="1:11" ht="80">
      <c r="A779" s="14">
        <v>45582</v>
      </c>
      <c r="B779" s="83">
        <f>VLOOKUP(A779,'BADI SID DATA'!A:B,2,0)</f>
        <v>200</v>
      </c>
      <c r="C779" s="85">
        <v>30548.04999999702</v>
      </c>
      <c r="D779" s="51">
        <f>3.95-D778</f>
        <v>2.66</v>
      </c>
      <c r="E779" s="82">
        <v>10.5</v>
      </c>
      <c r="F779" s="46">
        <v>1</v>
      </c>
      <c r="G779" s="46">
        <v>1</v>
      </c>
      <c r="H779" s="81">
        <f t="shared" si="40"/>
        <v>2192448.700000003</v>
      </c>
      <c r="I779" s="84">
        <f t="shared" si="38"/>
        <v>0.12728354166665426</v>
      </c>
      <c r="J779" s="84">
        <f t="shared" si="39"/>
        <v>4.5676014583333396E-2</v>
      </c>
      <c r="K779" s="90" t="s">
        <v>51</v>
      </c>
    </row>
    <row r="780" spans="1:11" ht="80">
      <c r="A780" s="14">
        <v>45583</v>
      </c>
      <c r="B780" s="83">
        <f>VLOOKUP(A780,'BADI SID DATA'!A:B,2,0)</f>
        <v>201</v>
      </c>
      <c r="C780" s="85">
        <v>37053.90000000596</v>
      </c>
      <c r="D780" s="51">
        <v>3.36</v>
      </c>
      <c r="E780" s="82">
        <v>10.9</v>
      </c>
      <c r="F780" s="46">
        <v>1</v>
      </c>
      <c r="G780" s="46">
        <v>0.875</v>
      </c>
      <c r="H780" s="81">
        <f t="shared" si="40"/>
        <v>2229502.6000000089</v>
      </c>
      <c r="I780" s="84">
        <f t="shared" si="38"/>
        <v>0.15439125000002485</v>
      </c>
      <c r="J780" s="84">
        <f t="shared" si="39"/>
        <v>4.6216886401326887E-2</v>
      </c>
      <c r="K780" s="90" t="s">
        <v>51</v>
      </c>
    </row>
    <row r="781" spans="1:11" ht="80">
      <c r="A781" s="14">
        <v>45584</v>
      </c>
      <c r="B781" s="83">
        <f>VLOOKUP(A781,'BADI SID DATA'!A:B,2,0)</f>
        <v>202</v>
      </c>
      <c r="C781" s="85">
        <v>36396.100000008941</v>
      </c>
      <c r="D781" s="51">
        <v>3.48</v>
      </c>
      <c r="E781" s="82">
        <v>10.7</v>
      </c>
      <c r="F781" s="46">
        <v>1</v>
      </c>
      <c r="G781" s="46">
        <v>0.83888888888888891</v>
      </c>
      <c r="H781" s="81">
        <f t="shared" si="40"/>
        <v>2265898.7000000179</v>
      </c>
      <c r="I781" s="84">
        <f t="shared" si="38"/>
        <v>0.15165041666670392</v>
      </c>
      <c r="J781" s="84">
        <f t="shared" si="39"/>
        <v>4.6738834570957462E-2</v>
      </c>
      <c r="K781" s="90" t="s">
        <v>51</v>
      </c>
    </row>
    <row r="782" spans="1:11" ht="80">
      <c r="A782" s="14">
        <v>45585</v>
      </c>
      <c r="B782" s="83">
        <f>VLOOKUP(A782,'BADI SID DATA'!A:B,2,0)</f>
        <v>203</v>
      </c>
      <c r="C782" s="85">
        <v>42901.949999988079</v>
      </c>
      <c r="D782" s="51">
        <f>7.78-D781</f>
        <v>4.3000000000000007</v>
      </c>
      <c r="E782" s="82">
        <v>11</v>
      </c>
      <c r="F782" s="46">
        <v>1</v>
      </c>
      <c r="G782" s="46">
        <v>0.74444444444444446</v>
      </c>
      <c r="H782" s="81">
        <f t="shared" si="40"/>
        <v>2308800.650000006</v>
      </c>
      <c r="I782" s="84">
        <f t="shared" si="38"/>
        <v>0.17875812499995034</v>
      </c>
      <c r="J782" s="84">
        <f t="shared" si="39"/>
        <v>4.7389175903119994E-2</v>
      </c>
      <c r="K782" s="90" t="s">
        <v>51</v>
      </c>
    </row>
    <row r="783" spans="1:11" ht="20">
      <c r="A783" s="14">
        <v>45586</v>
      </c>
      <c r="B783" s="83">
        <f>VLOOKUP(A783,'BADI SID DATA'!A:B,2,0)</f>
        <v>204</v>
      </c>
      <c r="C783" s="85">
        <v>50051.29999999702</v>
      </c>
      <c r="D783" s="51">
        <v>5.22</v>
      </c>
      <c r="E783" s="82">
        <v>10.8</v>
      </c>
      <c r="F783" s="46">
        <v>1</v>
      </c>
      <c r="G783" s="46">
        <v>0.74305555555555558</v>
      </c>
      <c r="H783" s="81">
        <f t="shared" si="40"/>
        <v>2358851.950000003</v>
      </c>
      <c r="I783" s="84">
        <f t="shared" si="38"/>
        <v>0.20854708333332092</v>
      </c>
      <c r="J783" s="84">
        <f t="shared" si="39"/>
        <v>4.8179165645424897E-2</v>
      </c>
      <c r="K783" s="90" t="s">
        <v>52</v>
      </c>
    </row>
    <row r="784" spans="1:11" ht="20">
      <c r="A784" s="14">
        <v>45587</v>
      </c>
      <c r="B784" s="83">
        <f>VLOOKUP(A784,'BADI SID DATA'!A:B,2,0)</f>
        <v>205</v>
      </c>
      <c r="C784" s="85">
        <v>47448.70000000298</v>
      </c>
      <c r="D784" s="51">
        <f>10.16-D783</f>
        <v>4.9400000000000004</v>
      </c>
      <c r="E784" s="82">
        <v>10.6</v>
      </c>
      <c r="F784" s="46">
        <v>1</v>
      </c>
      <c r="G784" s="46">
        <v>0.63263888888888886</v>
      </c>
      <c r="H784" s="81">
        <f t="shared" si="40"/>
        <v>2406300.650000006</v>
      </c>
      <c r="I784" s="84">
        <f t="shared" si="38"/>
        <v>0.19770291666667908</v>
      </c>
      <c r="J784" s="84">
        <f t="shared" si="39"/>
        <v>4.8908549796748087E-2</v>
      </c>
      <c r="K784" s="90" t="s">
        <v>52</v>
      </c>
    </row>
    <row r="785" spans="1:11" ht="20">
      <c r="A785" s="14">
        <v>45588</v>
      </c>
      <c r="B785" s="83">
        <f>VLOOKUP(A785,'BADI SID DATA'!A:B,2,0)</f>
        <v>206</v>
      </c>
      <c r="C785" s="85">
        <v>49400.65000000596</v>
      </c>
      <c r="D785" s="51">
        <v>5.28</v>
      </c>
      <c r="E785" s="82">
        <v>10.3</v>
      </c>
      <c r="F785" s="46">
        <v>1</v>
      </c>
      <c r="G785" s="46">
        <v>1</v>
      </c>
      <c r="H785" s="81">
        <f t="shared" si="40"/>
        <v>2455701.3000000119</v>
      </c>
      <c r="I785" s="84">
        <f t="shared" si="38"/>
        <v>0.2058360416666915</v>
      </c>
      <c r="J785" s="84">
        <f t="shared" si="39"/>
        <v>4.9670333737864315E-2</v>
      </c>
      <c r="K785" s="90" t="s">
        <v>52</v>
      </c>
    </row>
    <row r="786" spans="1:11" ht="80">
      <c r="A786" s="14">
        <v>45589</v>
      </c>
      <c r="B786" s="83">
        <f>VLOOKUP(A786,'BADI SID DATA'!A:B,2,0)</f>
        <v>207</v>
      </c>
      <c r="C786" s="85">
        <v>34451.949999988079</v>
      </c>
      <c r="D786" s="51">
        <v>3.12</v>
      </c>
      <c r="E786" s="82">
        <v>9.8000000000000007</v>
      </c>
      <c r="F786" s="46">
        <v>1</v>
      </c>
      <c r="G786" s="46">
        <v>1</v>
      </c>
      <c r="H786" s="81">
        <f t="shared" si="40"/>
        <v>2490153.25</v>
      </c>
      <c r="I786" s="84">
        <f t="shared" si="38"/>
        <v>0.14354979166661699</v>
      </c>
      <c r="J786" s="84">
        <f t="shared" si="39"/>
        <v>5.0123857689210953E-2</v>
      </c>
      <c r="K786" s="90" t="s">
        <v>51</v>
      </c>
    </row>
    <row r="787" spans="1:11" ht="20">
      <c r="A787" s="14">
        <v>45590</v>
      </c>
      <c r="B787" s="83">
        <f>VLOOKUP(A787,'BADI SID DATA'!A:B,2,0)</f>
        <v>208</v>
      </c>
      <c r="C787" s="85">
        <v>48750</v>
      </c>
      <c r="D787" s="51">
        <v>4.92</v>
      </c>
      <c r="E787" s="82">
        <v>9.9</v>
      </c>
      <c r="F787" s="46">
        <v>1</v>
      </c>
      <c r="G787" s="46">
        <v>1</v>
      </c>
      <c r="H787" s="81">
        <f t="shared" si="40"/>
        <v>2538903.25</v>
      </c>
      <c r="I787" s="84">
        <f t="shared" si="38"/>
        <v>0.203125</v>
      </c>
      <c r="J787" s="84">
        <f t="shared" si="39"/>
        <v>5.0859440104166667E-2</v>
      </c>
      <c r="K787" s="90" t="s">
        <v>52</v>
      </c>
    </row>
    <row r="788" spans="1:11" ht="20">
      <c r="A788" s="14">
        <v>45591</v>
      </c>
      <c r="B788" s="83">
        <f>VLOOKUP(A788,'BADI SID DATA'!A:B,2,0)</f>
        <v>209</v>
      </c>
      <c r="C788" s="85">
        <v>51995.450000017881</v>
      </c>
      <c r="D788" s="52">
        <v>5.25</v>
      </c>
      <c r="E788" s="82">
        <v>10</v>
      </c>
      <c r="F788" s="46">
        <v>1</v>
      </c>
      <c r="G788" s="46">
        <v>1</v>
      </c>
      <c r="H788" s="81">
        <f t="shared" si="40"/>
        <v>2590898.7000000179</v>
      </c>
      <c r="I788" s="84">
        <f t="shared" si="38"/>
        <v>0.21664770833340785</v>
      </c>
      <c r="J788" s="84">
        <f t="shared" si="39"/>
        <v>5.1652685406698921E-2</v>
      </c>
      <c r="K788" s="90" t="s">
        <v>52</v>
      </c>
    </row>
    <row r="789" spans="1:11" ht="20">
      <c r="A789" s="14">
        <v>45592</v>
      </c>
      <c r="B789" s="83">
        <f>VLOOKUP(A789,'BADI SID DATA'!A:B,2,0)</f>
        <v>210</v>
      </c>
      <c r="C789" s="85">
        <v>42901.949999988079</v>
      </c>
      <c r="D789" s="51">
        <v>4.12</v>
      </c>
      <c r="E789" s="82">
        <v>9.6999999999999993</v>
      </c>
      <c r="F789" s="46">
        <v>1</v>
      </c>
      <c r="G789" s="46">
        <v>1</v>
      </c>
      <c r="H789" s="81">
        <f t="shared" si="40"/>
        <v>2633800.650000006</v>
      </c>
      <c r="I789" s="84">
        <f t="shared" si="38"/>
        <v>0.17875812499995034</v>
      </c>
      <c r="J789" s="84">
        <f t="shared" si="39"/>
        <v>5.225794940476202E-2</v>
      </c>
      <c r="K789" s="90" t="s">
        <v>52</v>
      </c>
    </row>
    <row r="790" spans="1:11" ht="20">
      <c r="A790" s="14">
        <v>45593</v>
      </c>
      <c r="B790" s="83">
        <f>VLOOKUP(A790,'BADI SID DATA'!A:B,2,0)</f>
        <v>211</v>
      </c>
      <c r="C790" s="85">
        <v>53296.75</v>
      </c>
      <c r="D790" s="52">
        <v>5.6</v>
      </c>
      <c r="E790" s="82">
        <v>9.6999999999999993</v>
      </c>
      <c r="F790" s="46">
        <v>1</v>
      </c>
      <c r="G790" s="46">
        <v>1</v>
      </c>
      <c r="H790" s="81">
        <f t="shared" si="40"/>
        <v>2687097.400000006</v>
      </c>
      <c r="I790" s="84">
        <f t="shared" si="38"/>
        <v>0.22206979166666665</v>
      </c>
      <c r="J790" s="84">
        <f t="shared" si="39"/>
        <v>5.3062744865718915E-2</v>
      </c>
      <c r="K790" s="90" t="s">
        <v>52</v>
      </c>
    </row>
    <row r="791" spans="1:11" ht="80">
      <c r="A791" s="14">
        <v>45594</v>
      </c>
      <c r="B791" s="83">
        <f>VLOOKUP(A791,'BADI SID DATA'!A:B,2,0)</f>
        <v>212</v>
      </c>
      <c r="C791" s="85">
        <v>42251.95000000298</v>
      </c>
      <c r="D791" s="52">
        <v>4.16</v>
      </c>
      <c r="E791" s="82">
        <v>9</v>
      </c>
      <c r="F791" s="46">
        <v>1</v>
      </c>
      <c r="G791" s="46">
        <v>0.91666666666666663</v>
      </c>
      <c r="H791" s="81">
        <f t="shared" si="40"/>
        <v>2729349.3500000089</v>
      </c>
      <c r="I791" s="84">
        <f t="shared" si="38"/>
        <v>0.17604979166667908</v>
      </c>
      <c r="J791" s="84">
        <f t="shared" si="39"/>
        <v>5.364287244496873E-2</v>
      </c>
      <c r="K791" s="90" t="s">
        <v>51</v>
      </c>
    </row>
    <row r="792" spans="1:11" ht="80">
      <c r="A792" s="14">
        <v>45595</v>
      </c>
      <c r="B792" s="83">
        <f>VLOOKUP(A792,'BADI SID DATA'!A:B,2,0)</f>
        <v>213</v>
      </c>
      <c r="C792" s="85">
        <v>39648.699999988079</v>
      </c>
      <c r="D792" s="51">
        <v>4.09</v>
      </c>
      <c r="E792" s="82">
        <v>9.5</v>
      </c>
      <c r="F792" s="46">
        <v>1</v>
      </c>
      <c r="G792" s="46">
        <v>0.73888888888888893</v>
      </c>
      <c r="H792" s="81">
        <f t="shared" si="40"/>
        <v>2768998.049999997</v>
      </c>
      <c r="I792" s="84">
        <f t="shared" si="38"/>
        <v>0.16520291666661699</v>
      </c>
      <c r="J792" s="84">
        <f t="shared" si="39"/>
        <v>5.4166628521126706E-2</v>
      </c>
      <c r="K792" s="90" t="s">
        <v>51</v>
      </c>
    </row>
    <row r="793" spans="1:11" ht="20">
      <c r="A793" s="14">
        <v>45596</v>
      </c>
      <c r="B793" s="83">
        <f>VLOOKUP(A793,'BADI SID DATA'!A:B,2,0)</f>
        <v>214</v>
      </c>
      <c r="C793" s="85">
        <v>47448.70000000298</v>
      </c>
      <c r="D793" s="51">
        <f>9.15-D792</f>
        <v>5.0600000000000005</v>
      </c>
      <c r="E793" s="82">
        <v>9</v>
      </c>
      <c r="F793" s="46">
        <v>1</v>
      </c>
      <c r="G793" s="46">
        <v>0.74305555555555558</v>
      </c>
      <c r="H793" s="81">
        <f t="shared" si="40"/>
        <v>2816446.75</v>
      </c>
      <c r="I793" s="84">
        <f t="shared" si="38"/>
        <v>0.19770291666667908</v>
      </c>
      <c r="J793" s="84">
        <f t="shared" si="39"/>
        <v>5.4837358839563866E-2</v>
      </c>
      <c r="K793" s="90" t="s">
        <v>52</v>
      </c>
    </row>
    <row r="794" spans="1:11" ht="20">
      <c r="A794" s="14">
        <v>45597</v>
      </c>
      <c r="B794" s="83">
        <f>VLOOKUP(A794,'BADI SID DATA'!A:B,2,0)</f>
        <v>215</v>
      </c>
      <c r="C794" s="85">
        <v>48750</v>
      </c>
      <c r="D794" s="53">
        <v>5.17</v>
      </c>
      <c r="E794" s="82">
        <v>10.5</v>
      </c>
      <c r="F794" s="46">
        <v>1</v>
      </c>
      <c r="G794" s="46">
        <v>1</v>
      </c>
      <c r="H794" s="81">
        <f t="shared" si="40"/>
        <v>2865196.75</v>
      </c>
      <c r="I794" s="84">
        <f t="shared" si="38"/>
        <v>0.203125</v>
      </c>
      <c r="J794" s="84">
        <f t="shared" si="39"/>
        <v>5.5527068798449611E-2</v>
      </c>
      <c r="K794" s="90" t="s">
        <v>52</v>
      </c>
    </row>
    <row r="795" spans="1:11" ht="20">
      <c r="A795" s="14">
        <v>45598</v>
      </c>
      <c r="B795" s="83">
        <f>VLOOKUP(A795,'BADI SID DATA'!A:B,2,0)</f>
        <v>216</v>
      </c>
      <c r="C795" s="85">
        <v>53304.54999999702</v>
      </c>
      <c r="D795" s="53">
        <v>5.54</v>
      </c>
      <c r="E795" s="82">
        <v>10.6</v>
      </c>
      <c r="F795" s="46">
        <v>1</v>
      </c>
      <c r="G795" s="46">
        <v>1</v>
      </c>
      <c r="H795" s="81">
        <f t="shared" si="40"/>
        <v>2918501.299999997</v>
      </c>
      <c r="I795" s="84">
        <f t="shared" si="38"/>
        <v>0.22210229166665424</v>
      </c>
      <c r="J795" s="84">
        <f t="shared" si="39"/>
        <v>5.6298250385802412E-2</v>
      </c>
      <c r="K795" s="90" t="s">
        <v>52</v>
      </c>
    </row>
    <row r="796" spans="1:11" ht="20">
      <c r="A796" s="14">
        <v>45599</v>
      </c>
      <c r="B796" s="83">
        <f>VLOOKUP(A796,'BADI SID DATA'!A:B,2,0)</f>
        <v>217</v>
      </c>
      <c r="C796" s="85">
        <v>52003.250000014901</v>
      </c>
      <c r="D796" s="50">
        <v>5.18</v>
      </c>
      <c r="E796" s="82">
        <v>10.6</v>
      </c>
      <c r="F796" s="46">
        <v>1</v>
      </c>
      <c r="G796" s="46">
        <v>0.98263888888888884</v>
      </c>
      <c r="H796" s="81">
        <f t="shared" si="40"/>
        <v>2970504.5500000119</v>
      </c>
      <c r="I796" s="84">
        <f t="shared" si="38"/>
        <v>0.21668020833339541</v>
      </c>
      <c r="J796" s="84">
        <f t="shared" si="39"/>
        <v>5.7037337749616203E-2</v>
      </c>
      <c r="K796" s="90" t="s">
        <v>52</v>
      </c>
    </row>
    <row r="797" spans="1:11" ht="20">
      <c r="A797" s="14">
        <v>45600</v>
      </c>
      <c r="B797" s="83">
        <f>VLOOKUP(A797,'BADI SID DATA'!A:B,2,0)</f>
        <v>218</v>
      </c>
      <c r="C797" s="85">
        <v>43544.79999999702</v>
      </c>
      <c r="D797" s="53">
        <v>4.28</v>
      </c>
      <c r="E797" s="82">
        <v>10.9</v>
      </c>
      <c r="F797" s="46">
        <v>1</v>
      </c>
      <c r="G797" s="46">
        <v>1</v>
      </c>
      <c r="H797" s="81">
        <f t="shared" si="40"/>
        <v>3014049.3500000089</v>
      </c>
      <c r="I797" s="84">
        <f t="shared" si="38"/>
        <v>0.18143666666665426</v>
      </c>
      <c r="J797" s="84">
        <f t="shared" si="39"/>
        <v>5.7607976873088856E-2</v>
      </c>
      <c r="K797" s="90" t="s">
        <v>52</v>
      </c>
    </row>
    <row r="798" spans="1:11" ht="20">
      <c r="A798" s="14">
        <v>45601</v>
      </c>
      <c r="B798" s="83">
        <f>VLOOKUP(A798,'BADI SID DATA'!A:B,2,0)</f>
        <v>219</v>
      </c>
      <c r="C798" s="85">
        <v>51352.59999999404</v>
      </c>
      <c r="D798" s="53">
        <v>5.12</v>
      </c>
      <c r="E798" s="82">
        <v>10</v>
      </c>
      <c r="F798" s="46">
        <v>1</v>
      </c>
      <c r="G798" s="46">
        <v>1</v>
      </c>
      <c r="H798" s="81">
        <f t="shared" si="40"/>
        <v>3065401.950000003</v>
      </c>
      <c r="I798" s="84">
        <f t="shared" si="38"/>
        <v>0.21396916666664184</v>
      </c>
      <c r="J798" s="84">
        <f t="shared" si="39"/>
        <v>5.8321954908675859E-2</v>
      </c>
      <c r="K798" s="90" t="s">
        <v>52</v>
      </c>
    </row>
    <row r="799" spans="1:11" ht="20">
      <c r="A799" s="14">
        <v>45602</v>
      </c>
      <c r="B799" s="83">
        <f>VLOOKUP(A799,'BADI SID DATA'!A:B,2,0)</f>
        <v>220</v>
      </c>
      <c r="C799" s="85">
        <v>48750</v>
      </c>
      <c r="D799" s="50">
        <v>4.71</v>
      </c>
      <c r="E799" s="82">
        <v>10.199999999999999</v>
      </c>
      <c r="F799" s="46">
        <v>1</v>
      </c>
      <c r="G799" s="46">
        <v>1</v>
      </c>
      <c r="H799" s="81">
        <f t="shared" si="40"/>
        <v>3114151.950000003</v>
      </c>
      <c r="I799" s="84">
        <f t="shared" si="38"/>
        <v>0.203125</v>
      </c>
      <c r="J799" s="84">
        <f t="shared" si="39"/>
        <v>5.8980150568181872E-2</v>
      </c>
      <c r="K799" s="90" t="s">
        <v>52</v>
      </c>
    </row>
    <row r="800" spans="1:11" ht="80">
      <c r="A800" s="14">
        <v>45603</v>
      </c>
      <c r="B800" s="83">
        <f>VLOOKUP(A800,'BADI SID DATA'!A:B,2,0)</f>
        <v>221</v>
      </c>
      <c r="C800" s="85">
        <v>23398.70000000298</v>
      </c>
      <c r="D800" s="50">
        <v>2.2000000000000002</v>
      </c>
      <c r="E800" s="82">
        <v>9.9</v>
      </c>
      <c r="F800" s="46">
        <v>1</v>
      </c>
      <c r="G800" s="46">
        <v>1</v>
      </c>
      <c r="H800" s="81">
        <f t="shared" si="40"/>
        <v>3137550.650000006</v>
      </c>
      <c r="I800" s="84">
        <f t="shared" si="38"/>
        <v>9.749458333334575E-2</v>
      </c>
      <c r="J800" s="84">
        <f t="shared" si="39"/>
        <v>5.9154424019607958E-2</v>
      </c>
      <c r="K800" s="90" t="s">
        <v>51</v>
      </c>
    </row>
    <row r="801" spans="1:11" ht="20">
      <c r="A801" s="14">
        <v>45604</v>
      </c>
      <c r="B801" s="83">
        <f>VLOOKUP(A801,'BADI SID DATA'!A:B,2,0)</f>
        <v>222</v>
      </c>
      <c r="C801" s="85">
        <v>53947.399999991059</v>
      </c>
      <c r="D801" s="53">
        <v>5.44</v>
      </c>
      <c r="E801" s="82">
        <v>10</v>
      </c>
      <c r="F801" s="46">
        <v>1</v>
      </c>
      <c r="G801" s="46">
        <v>1</v>
      </c>
      <c r="H801" s="81">
        <f t="shared" si="40"/>
        <v>3191498.049999997</v>
      </c>
      <c r="I801" s="84">
        <f t="shared" si="38"/>
        <v>0.22478083333329607</v>
      </c>
      <c r="J801" s="84">
        <f t="shared" si="39"/>
        <v>5.9900488926426368E-2</v>
      </c>
      <c r="K801" s="90" t="s">
        <v>52</v>
      </c>
    </row>
    <row r="802" spans="1:11" ht="60">
      <c r="A802" s="14">
        <v>45605</v>
      </c>
      <c r="B802" s="83">
        <f>VLOOKUP(A802,'BADI SID DATA'!A:B,2,0)</f>
        <v>223</v>
      </c>
      <c r="C802" s="85">
        <v>59152.600000008941</v>
      </c>
      <c r="D802" s="53">
        <v>5.9</v>
      </c>
      <c r="E802" s="82">
        <v>9.8000000000000007</v>
      </c>
      <c r="F802" s="46">
        <v>1</v>
      </c>
      <c r="G802" s="46">
        <v>1</v>
      </c>
      <c r="H802" s="81">
        <f t="shared" si="40"/>
        <v>3250650.650000006</v>
      </c>
      <c r="I802" s="84">
        <f t="shared" si="38"/>
        <v>0.24646916666670393</v>
      </c>
      <c r="J802" s="84">
        <f t="shared" si="39"/>
        <v>6.0737119768311025E-2</v>
      </c>
      <c r="K802" s="90" t="s">
        <v>54</v>
      </c>
    </row>
    <row r="803" spans="1:11" ht="20">
      <c r="A803" s="14">
        <v>45606</v>
      </c>
      <c r="B803" s="83">
        <f>VLOOKUP(A803,'BADI SID DATA'!A:B,2,0)</f>
        <v>224</v>
      </c>
      <c r="C803" s="85">
        <v>54597.399999991059</v>
      </c>
      <c r="D803" s="51">
        <v>5.52</v>
      </c>
      <c r="E803" s="82">
        <v>9.9</v>
      </c>
      <c r="F803" s="46">
        <v>1</v>
      </c>
      <c r="G803" s="46">
        <v>0.74930555555555556</v>
      </c>
      <c r="H803" s="81">
        <f t="shared" si="40"/>
        <v>3305248.049999997</v>
      </c>
      <c r="I803" s="84">
        <f t="shared" si="38"/>
        <v>0.22748916666662941</v>
      </c>
      <c r="J803" s="84">
        <f t="shared" si="39"/>
        <v>6.148154854910709E-2</v>
      </c>
      <c r="K803" s="90" t="s">
        <v>52</v>
      </c>
    </row>
    <row r="804" spans="1:11" ht="20">
      <c r="A804" s="14">
        <v>45607</v>
      </c>
      <c r="B804" s="83">
        <f>VLOOKUP(A804,'BADI SID DATA'!A:B,2,0)</f>
        <v>225</v>
      </c>
      <c r="C804" s="85">
        <v>50051.300000011921</v>
      </c>
      <c r="D804" s="51">
        <v>5.1100000000000003</v>
      </c>
      <c r="E804" s="82">
        <v>10</v>
      </c>
      <c r="F804" s="46">
        <v>1</v>
      </c>
      <c r="G804" s="46">
        <v>0.73611111111111116</v>
      </c>
      <c r="H804" s="81">
        <f t="shared" si="40"/>
        <v>3355299.3500000089</v>
      </c>
      <c r="I804" s="84">
        <f t="shared" si="38"/>
        <v>0.20854708333338301</v>
      </c>
      <c r="J804" s="84">
        <f t="shared" si="39"/>
        <v>6.2135173148148315E-2</v>
      </c>
      <c r="K804" s="90" t="s">
        <v>52</v>
      </c>
    </row>
    <row r="805" spans="1:11" ht="20">
      <c r="A805" s="14">
        <v>45608</v>
      </c>
      <c r="B805" s="83">
        <f>VLOOKUP(A805,'BADI SID DATA'!A:B,2,0)</f>
        <v>226</v>
      </c>
      <c r="C805" s="85">
        <v>19503.249999985099</v>
      </c>
      <c r="D805" s="51">
        <v>1.65</v>
      </c>
      <c r="E805" s="82">
        <v>9.8000000000000007</v>
      </c>
      <c r="F805" s="46">
        <v>1</v>
      </c>
      <c r="G805" s="46">
        <v>1</v>
      </c>
      <c r="H805" s="81">
        <f t="shared" si="40"/>
        <v>3374802.599999994</v>
      </c>
      <c r="I805" s="84">
        <f t="shared" si="38"/>
        <v>8.1263541666604572E-2</v>
      </c>
      <c r="J805" s="84">
        <f t="shared" si="39"/>
        <v>6.2219811946902542E-2</v>
      </c>
      <c r="K805" s="90" t="s">
        <v>72</v>
      </c>
    </row>
    <row r="806" spans="1:11" ht="20">
      <c r="A806" s="14">
        <v>45609</v>
      </c>
      <c r="B806" s="83">
        <f>VLOOKUP(A806,'BADI SID DATA'!A:B,2,0)</f>
        <v>227</v>
      </c>
      <c r="C806" s="85">
        <v>29897.400000020862</v>
      </c>
      <c r="D806" s="51">
        <v>2.75</v>
      </c>
      <c r="E806" s="82">
        <v>7.9</v>
      </c>
      <c r="F806" s="46">
        <v>1</v>
      </c>
      <c r="G806" s="46">
        <v>1</v>
      </c>
      <c r="H806" s="81">
        <f t="shared" si="40"/>
        <v>3404700.0000000149</v>
      </c>
      <c r="I806" s="84">
        <f t="shared" si="38"/>
        <v>0.12457250000008692</v>
      </c>
      <c r="J806" s="84">
        <f t="shared" si="39"/>
        <v>6.2494493392070756E-2</v>
      </c>
      <c r="K806" s="90" t="s">
        <v>72</v>
      </c>
    </row>
    <row r="807" spans="1:11" ht="20">
      <c r="A807" s="14">
        <v>45610</v>
      </c>
      <c r="B807" s="83">
        <f>VLOOKUP(A807,'BADI SID DATA'!A:B,2,0)</f>
        <v>228</v>
      </c>
      <c r="C807" s="85">
        <v>22748.699999988079</v>
      </c>
      <c r="D807" s="51">
        <v>2.04</v>
      </c>
      <c r="E807" s="82">
        <v>11</v>
      </c>
      <c r="F807" s="46">
        <v>1</v>
      </c>
      <c r="G807" s="46">
        <v>1</v>
      </c>
      <c r="H807" s="81">
        <f t="shared" si="40"/>
        <v>3427448.700000003</v>
      </c>
      <c r="I807" s="84">
        <f t="shared" si="38"/>
        <v>9.4786249999950334E-2</v>
      </c>
      <c r="J807" s="84">
        <f t="shared" si="39"/>
        <v>6.2636123903508825E-2</v>
      </c>
      <c r="K807" s="90" t="s">
        <v>72</v>
      </c>
    </row>
    <row r="808" spans="1:11" ht="20">
      <c r="A808" s="14">
        <v>45611</v>
      </c>
      <c r="B808" s="83">
        <f>VLOOKUP(A808,'BADI SID DATA'!A:B,2,0)</f>
        <v>229</v>
      </c>
      <c r="C808" s="85">
        <v>33801.29999999702</v>
      </c>
      <c r="D808" s="51">
        <v>3.41</v>
      </c>
      <c r="E808" s="82">
        <v>10.9</v>
      </c>
      <c r="F808" s="46">
        <v>1</v>
      </c>
      <c r="G808" s="46">
        <v>0.75347222222222221</v>
      </c>
      <c r="H808" s="81">
        <f t="shared" si="40"/>
        <v>3461250</v>
      </c>
      <c r="I808" s="84">
        <f t="shared" si="38"/>
        <v>0.14083874999998758</v>
      </c>
      <c r="J808" s="84">
        <f t="shared" si="39"/>
        <v>6.2977620087336247E-2</v>
      </c>
      <c r="K808" s="90" t="s">
        <v>72</v>
      </c>
    </row>
    <row r="809" spans="1:11" ht="80">
      <c r="A809" s="14">
        <v>45612</v>
      </c>
      <c r="B809" s="83">
        <f>VLOOKUP(A809,'BADI SID DATA'!A:B,2,0)</f>
        <v>230</v>
      </c>
      <c r="C809" s="85">
        <v>31849.350000008941</v>
      </c>
      <c r="D809" s="51">
        <f>6.66-3.43</f>
        <v>3.23</v>
      </c>
      <c r="E809" s="82">
        <v>7.5</v>
      </c>
      <c r="F809" s="46">
        <v>1</v>
      </c>
      <c r="G809" s="46">
        <v>0.74513888888888891</v>
      </c>
      <c r="H809" s="81">
        <f t="shared" si="40"/>
        <v>3493099.3500000089</v>
      </c>
      <c r="I809" s="84">
        <f t="shared" si="38"/>
        <v>0.13270562500003724</v>
      </c>
      <c r="J809" s="84">
        <f t="shared" si="39"/>
        <v>6.3280785326087122E-2</v>
      </c>
      <c r="K809" s="90" t="s">
        <v>51</v>
      </c>
    </row>
    <row r="810" spans="1:11" ht="100">
      <c r="A810" s="14">
        <v>45613</v>
      </c>
      <c r="B810" s="83">
        <f>VLOOKUP(A810,'BADI SID DATA'!A:B,2,0)</f>
        <v>231</v>
      </c>
      <c r="C810" s="85">
        <v>5204.5499999970198</v>
      </c>
      <c r="D810" s="51">
        <v>2.88</v>
      </c>
      <c r="E810" s="82">
        <v>4.5</v>
      </c>
      <c r="F810" s="46">
        <v>1</v>
      </c>
      <c r="G810" s="46">
        <v>0.6743055555555556</v>
      </c>
      <c r="H810" s="81">
        <f t="shared" si="40"/>
        <v>3498303.900000006</v>
      </c>
      <c r="I810" s="84">
        <f t="shared" si="38"/>
        <v>2.1685624999987583E-2</v>
      </c>
      <c r="J810" s="84">
        <f t="shared" si="39"/>
        <v>6.3100719696969801E-2</v>
      </c>
      <c r="K810" s="90" t="s">
        <v>75</v>
      </c>
    </row>
    <row r="811" spans="1:11" ht="20">
      <c r="A811" s="14">
        <v>45614</v>
      </c>
      <c r="B811" s="83">
        <f>VLOOKUP(A811,'BADI SID DATA'!A:B,2,0)</f>
        <v>232</v>
      </c>
      <c r="C811" s="85">
        <v>41593.5</v>
      </c>
      <c r="D811" s="51">
        <v>4.38</v>
      </c>
      <c r="E811" s="82">
        <v>7.9</v>
      </c>
      <c r="F811" s="46">
        <v>1</v>
      </c>
      <c r="G811" s="46">
        <v>0.76041666666666663</v>
      </c>
      <c r="H811" s="81">
        <f t="shared" si="40"/>
        <v>3539897.400000006</v>
      </c>
      <c r="I811" s="84">
        <f t="shared" si="38"/>
        <v>0.17330625</v>
      </c>
      <c r="J811" s="84">
        <f t="shared" si="39"/>
        <v>6.3575743534482865E-2</v>
      </c>
      <c r="K811" s="90" t="s">
        <v>52</v>
      </c>
    </row>
    <row r="812" spans="1:11" ht="20">
      <c r="A812" s="14">
        <v>45615</v>
      </c>
      <c r="B812" s="83">
        <f>VLOOKUP(A812,'BADI SID DATA'!A:B,2,0)</f>
        <v>233</v>
      </c>
      <c r="C812" s="85">
        <v>46155.199999988079</v>
      </c>
      <c r="D812" s="51">
        <f>9.33-4.4</f>
        <v>4.93</v>
      </c>
      <c r="E812" s="82">
        <v>7</v>
      </c>
      <c r="F812" s="46">
        <v>1</v>
      </c>
      <c r="G812" s="46">
        <v>0.73958333333333337</v>
      </c>
      <c r="H812" s="81">
        <f t="shared" si="40"/>
        <v>3586052.599999994</v>
      </c>
      <c r="I812" s="84">
        <f t="shared" si="38"/>
        <v>0.19231333333328365</v>
      </c>
      <c r="J812" s="84">
        <f t="shared" si="39"/>
        <v>6.4128265379112911E-2</v>
      </c>
      <c r="K812" s="90" t="s">
        <v>52</v>
      </c>
    </row>
    <row r="813" spans="1:11" ht="80">
      <c r="A813" s="14">
        <v>45616</v>
      </c>
      <c r="B813" s="83">
        <f>VLOOKUP(A813,'BADI SID DATA'!A:B,2,0)</f>
        <v>234</v>
      </c>
      <c r="C813" s="85">
        <v>31198.70000000298</v>
      </c>
      <c r="D813" s="51">
        <v>3.12</v>
      </c>
      <c r="E813" s="82">
        <v>10.199999999999999</v>
      </c>
      <c r="F813" s="46">
        <v>1</v>
      </c>
      <c r="G813" s="46">
        <v>0.81319444444444444</v>
      </c>
      <c r="H813" s="81">
        <f t="shared" si="40"/>
        <v>3617251.299999997</v>
      </c>
      <c r="I813" s="84">
        <f t="shared" si="38"/>
        <v>0.12999458333334576</v>
      </c>
      <c r="J813" s="84">
        <f t="shared" si="39"/>
        <v>6.4409745370370322E-2</v>
      </c>
      <c r="K813" s="90" t="s">
        <v>51</v>
      </c>
    </row>
    <row r="814" spans="1:11" ht="20">
      <c r="A814" s="14">
        <v>45617</v>
      </c>
      <c r="B814" s="83">
        <f>VLOOKUP(A814,'BADI SID DATA'!A:B,2,0)</f>
        <v>235</v>
      </c>
      <c r="C814" s="85">
        <v>46147.400000020862</v>
      </c>
      <c r="D814" s="51">
        <v>8.2899999999999991</v>
      </c>
      <c r="E814" s="82">
        <v>10</v>
      </c>
      <c r="F814" s="46">
        <v>1</v>
      </c>
      <c r="G814" s="46">
        <v>0.74305555555555558</v>
      </c>
      <c r="H814" s="81">
        <f t="shared" si="40"/>
        <v>3663398.7000000179</v>
      </c>
      <c r="I814" s="84">
        <f t="shared" ref="I814:I877" si="41">C814/(10*24*1000)</f>
        <v>0.19228083333342025</v>
      </c>
      <c r="J814" s="84">
        <f t="shared" si="39"/>
        <v>6.4953877659574791E-2</v>
      </c>
      <c r="K814" s="90" t="s">
        <v>52</v>
      </c>
    </row>
    <row r="815" spans="1:11" ht="20">
      <c r="A815" s="14">
        <v>45618</v>
      </c>
      <c r="B815" s="83">
        <f>VLOOKUP(A815,'BADI SID DATA'!A:B,2,0)</f>
        <v>236</v>
      </c>
      <c r="C815" s="85">
        <v>62405.199999988079</v>
      </c>
      <c r="D815" s="51">
        <v>6.9</v>
      </c>
      <c r="E815" s="82">
        <v>9.8000000000000007</v>
      </c>
      <c r="F815" s="46">
        <v>1</v>
      </c>
      <c r="G815" s="46">
        <v>1</v>
      </c>
      <c r="H815" s="81">
        <f t="shared" si="40"/>
        <v>3725803.900000006</v>
      </c>
      <c r="I815" s="84">
        <f t="shared" si="41"/>
        <v>0.26002166666661697</v>
      </c>
      <c r="J815" s="84">
        <f t="shared" si="39"/>
        <v>6.5780436087570726E-2</v>
      </c>
      <c r="K815" s="90" t="s">
        <v>65</v>
      </c>
    </row>
    <row r="816" spans="1:11" ht="20">
      <c r="A816" s="14">
        <v>45619</v>
      </c>
      <c r="B816" s="83">
        <f>VLOOKUP(A816,'BADI SID DATA'!A:B,2,0)</f>
        <v>237</v>
      </c>
      <c r="C816" s="85">
        <v>52646.100000008941</v>
      </c>
      <c r="D816" s="51">
        <v>5.65</v>
      </c>
      <c r="E816" s="82">
        <v>9.5</v>
      </c>
      <c r="F816" s="46">
        <v>1</v>
      </c>
      <c r="G816" s="46">
        <v>1</v>
      </c>
      <c r="H816" s="81">
        <f t="shared" si="40"/>
        <v>3778450.0000000149</v>
      </c>
      <c r="I816" s="84">
        <f t="shared" si="41"/>
        <v>0.21935875000003724</v>
      </c>
      <c r="J816" s="84">
        <f t="shared" si="39"/>
        <v>6.6428445850914467E-2</v>
      </c>
      <c r="K816" s="90" t="s">
        <v>52</v>
      </c>
    </row>
    <row r="817" spans="1:11" ht="20">
      <c r="A817" s="14">
        <v>45620</v>
      </c>
      <c r="B817" s="83">
        <f>VLOOKUP(A817,'BADI SID DATA'!A:B,2,0)</f>
        <v>238</v>
      </c>
      <c r="C817" s="85">
        <v>40299.999999985099</v>
      </c>
      <c r="D817" s="51">
        <v>4.16</v>
      </c>
      <c r="E817" s="82">
        <v>10</v>
      </c>
      <c r="F817" s="46">
        <v>1</v>
      </c>
      <c r="G817" s="46">
        <v>1</v>
      </c>
      <c r="H817" s="81">
        <f t="shared" si="40"/>
        <v>3818750</v>
      </c>
      <c r="I817" s="84">
        <f t="shared" si="41"/>
        <v>0.16791666666660457</v>
      </c>
      <c r="J817" s="84">
        <f t="shared" si="39"/>
        <v>6.685486694677871E-2</v>
      </c>
      <c r="K817" s="90" t="s">
        <v>52</v>
      </c>
    </row>
    <row r="818" spans="1:11" ht="20">
      <c r="A818" s="14">
        <v>45621</v>
      </c>
      <c r="B818" s="83">
        <f>VLOOKUP(A818,'BADI SID DATA'!A:B,2,0)</f>
        <v>239</v>
      </c>
      <c r="C818" s="85">
        <v>46147.40000000596</v>
      </c>
      <c r="D818" s="51">
        <v>4.72</v>
      </c>
      <c r="E818" s="82">
        <v>9.5</v>
      </c>
      <c r="F818" s="46">
        <v>1</v>
      </c>
      <c r="G818" s="46">
        <v>1</v>
      </c>
      <c r="H818" s="81">
        <f t="shared" si="40"/>
        <v>3864897.400000006</v>
      </c>
      <c r="I818" s="84">
        <f t="shared" si="41"/>
        <v>0.19228083333335816</v>
      </c>
      <c r="J818" s="84">
        <f t="shared" si="39"/>
        <v>6.7379661785216288E-2</v>
      </c>
      <c r="K818" s="90" t="s">
        <v>52</v>
      </c>
    </row>
    <row r="819" spans="1:11" ht="20">
      <c r="A819" s="14">
        <v>45622</v>
      </c>
      <c r="B819" s="83">
        <f>VLOOKUP(A819,'BADI SID DATA'!A:B,2,0)</f>
        <v>240</v>
      </c>
      <c r="C819" s="85">
        <v>17551.29999999702</v>
      </c>
      <c r="D819" s="52">
        <v>1.61</v>
      </c>
      <c r="E819" s="82">
        <v>8.5</v>
      </c>
      <c r="F819" s="46">
        <v>1</v>
      </c>
      <c r="G819" s="46">
        <v>1</v>
      </c>
      <c r="H819" s="81">
        <f t="shared" si="40"/>
        <v>3882448.700000003</v>
      </c>
      <c r="I819" s="84">
        <f t="shared" si="41"/>
        <v>7.3130416666654249E-2</v>
      </c>
      <c r="J819" s="84">
        <f t="shared" si="39"/>
        <v>6.7403623263888934E-2</v>
      </c>
      <c r="K819" s="90" t="s">
        <v>72</v>
      </c>
    </row>
    <row r="820" spans="1:11" ht="20">
      <c r="A820" s="14">
        <v>45623</v>
      </c>
      <c r="B820" s="83">
        <f>VLOOKUP(A820,'BADI SID DATA'!A:B,2,0)</f>
        <v>241</v>
      </c>
      <c r="C820" s="85">
        <v>24049.34999999404</v>
      </c>
      <c r="D820" s="51">
        <v>2.15</v>
      </c>
      <c r="E820" s="82">
        <v>6.5</v>
      </c>
      <c r="F820" s="46">
        <v>1</v>
      </c>
      <c r="G820" s="46">
        <v>1</v>
      </c>
      <c r="H820" s="81">
        <f t="shared" si="40"/>
        <v>3906498.049999997</v>
      </c>
      <c r="I820" s="84">
        <f t="shared" si="41"/>
        <v>0.10020562499997517</v>
      </c>
      <c r="J820" s="84">
        <f t="shared" si="39"/>
        <v>6.7539731154910049E-2</v>
      </c>
      <c r="K820" s="90" t="s">
        <v>72</v>
      </c>
    </row>
    <row r="821" spans="1:11" ht="20">
      <c r="A821" s="14">
        <v>45624</v>
      </c>
      <c r="B821" s="83">
        <f>VLOOKUP(A821,'BADI SID DATA'!A:B,2,0)</f>
        <v>242</v>
      </c>
      <c r="C821" s="85">
        <v>44853.90000000596</v>
      </c>
      <c r="D821" s="52">
        <v>4.53</v>
      </c>
      <c r="E821" s="82">
        <v>5.9</v>
      </c>
      <c r="F821" s="46">
        <v>1</v>
      </c>
      <c r="G821" s="46">
        <v>1</v>
      </c>
      <c r="H821" s="81">
        <f t="shared" si="40"/>
        <v>3951351.950000003</v>
      </c>
      <c r="I821" s="84">
        <f t="shared" si="41"/>
        <v>0.18689125000002482</v>
      </c>
      <c r="J821" s="84">
        <f t="shared" si="39"/>
        <v>6.8032919249311347E-2</v>
      </c>
      <c r="K821" s="90" t="s">
        <v>52</v>
      </c>
    </row>
    <row r="822" spans="1:11" ht="20">
      <c r="A822" s="14">
        <v>45625</v>
      </c>
      <c r="B822" s="83">
        <f>VLOOKUP(A822,'BADI SID DATA'!A:B,2,0)</f>
        <v>243</v>
      </c>
      <c r="C822" s="85">
        <v>28596.75</v>
      </c>
      <c r="D822" s="52">
        <v>2.57</v>
      </c>
      <c r="E822" s="82">
        <v>4.9000000000000004</v>
      </c>
      <c r="F822" s="46">
        <v>1</v>
      </c>
      <c r="G822" s="46">
        <v>1</v>
      </c>
      <c r="H822" s="81">
        <f t="shared" si="40"/>
        <v>3979948.700000003</v>
      </c>
      <c r="I822" s="84">
        <f t="shared" si="41"/>
        <v>0.119153125</v>
      </c>
      <c r="J822" s="84">
        <f t="shared" si="39"/>
        <v>6.8243290466392367E-2</v>
      </c>
      <c r="K822" s="90" t="s">
        <v>72</v>
      </c>
    </row>
    <row r="823" spans="1:11" ht="40">
      <c r="A823" s="14">
        <v>45626</v>
      </c>
      <c r="B823" s="83">
        <f>VLOOKUP(A823,'BADI SID DATA'!A:B,2,0)</f>
        <v>244</v>
      </c>
      <c r="C823" s="85">
        <v>3252.6000000089407</v>
      </c>
      <c r="D823" s="51">
        <v>0.18</v>
      </c>
      <c r="E823" s="82">
        <v>1</v>
      </c>
      <c r="F823" s="46">
        <v>1</v>
      </c>
      <c r="G823" s="46">
        <v>0.91180555555555554</v>
      </c>
      <c r="H823" s="81">
        <f t="shared" si="40"/>
        <v>3983201.3000000119</v>
      </c>
      <c r="I823" s="84">
        <f t="shared" si="41"/>
        <v>1.3552500000037253E-2</v>
      </c>
      <c r="J823" s="84">
        <f t="shared" si="39"/>
        <v>6.801914788251387E-2</v>
      </c>
      <c r="K823" s="90" t="s">
        <v>76</v>
      </c>
    </row>
    <row r="824" spans="1:11" ht="40">
      <c r="A824" s="14">
        <v>45627</v>
      </c>
      <c r="B824" s="83">
        <f>VLOOKUP(A824,'BADI SID DATA'!A:B,2,0)</f>
        <v>245</v>
      </c>
      <c r="C824" s="85">
        <v>7149.3499999940395</v>
      </c>
      <c r="D824" s="53">
        <v>0.52</v>
      </c>
      <c r="E824" s="82">
        <v>2</v>
      </c>
      <c r="F824" s="46">
        <v>1</v>
      </c>
      <c r="G824" s="46">
        <v>1</v>
      </c>
      <c r="H824" s="81">
        <f t="shared" si="40"/>
        <v>3990350.650000006</v>
      </c>
      <c r="I824" s="84">
        <f t="shared" si="41"/>
        <v>2.97889583333085E-2</v>
      </c>
      <c r="J824" s="84">
        <f t="shared" si="39"/>
        <v>6.7863106292517114E-2</v>
      </c>
      <c r="K824" s="90" t="s">
        <v>76</v>
      </c>
    </row>
    <row r="825" spans="1:11" ht="40">
      <c r="A825" s="14">
        <v>45628</v>
      </c>
      <c r="B825" s="83">
        <f>VLOOKUP(A825,'BADI SID DATA'!A:B,2,0)</f>
        <v>246</v>
      </c>
      <c r="C825" s="85">
        <v>11052.59999999404</v>
      </c>
      <c r="D825" s="53">
        <v>0.86</v>
      </c>
      <c r="E825" s="82">
        <v>3</v>
      </c>
      <c r="F825" s="46">
        <v>1</v>
      </c>
      <c r="G825" s="46">
        <v>0.98402777777777772</v>
      </c>
      <c r="H825" s="81">
        <f t="shared" si="40"/>
        <v>4001403.25</v>
      </c>
      <c r="I825" s="84">
        <f t="shared" si="41"/>
        <v>4.6052499999975162E-2</v>
      </c>
      <c r="J825" s="84">
        <f t="shared" si="39"/>
        <v>6.7774445291327909E-2</v>
      </c>
      <c r="K825" s="90" t="s">
        <v>76</v>
      </c>
    </row>
    <row r="826" spans="1:11" ht="20">
      <c r="A826" s="14">
        <v>45629</v>
      </c>
      <c r="B826" s="83">
        <f>VLOOKUP(A826,'BADI SID DATA'!A:B,2,0)</f>
        <v>247</v>
      </c>
      <c r="C826" s="85">
        <v>25994.15000000596</v>
      </c>
      <c r="D826" s="50">
        <v>2.44</v>
      </c>
      <c r="E826" s="82">
        <v>11</v>
      </c>
      <c r="F826" s="46">
        <v>1</v>
      </c>
      <c r="G826" s="46">
        <v>1</v>
      </c>
      <c r="H826" s="81">
        <f t="shared" si="40"/>
        <v>4027397.400000006</v>
      </c>
      <c r="I826" s="84">
        <f t="shared" si="41"/>
        <v>0.10830895833335817</v>
      </c>
      <c r="J826" s="84">
        <f t="shared" si="39"/>
        <v>6.7938552631579052E-2</v>
      </c>
      <c r="K826" s="90" t="s">
        <v>72</v>
      </c>
    </row>
    <row r="827" spans="1:11" ht="20">
      <c r="A827" s="14">
        <v>45630</v>
      </c>
      <c r="B827" s="83">
        <f>VLOOKUP(A827,'BADI SID DATA'!A:B,2,0)</f>
        <v>248</v>
      </c>
      <c r="C827" s="85">
        <v>27953.25</v>
      </c>
      <c r="D827" s="53">
        <v>2.83</v>
      </c>
      <c r="E827" s="82">
        <v>11</v>
      </c>
      <c r="F827" s="46">
        <v>1</v>
      </c>
      <c r="G827" s="46">
        <v>1</v>
      </c>
      <c r="H827" s="81">
        <f t="shared" si="40"/>
        <v>4055350.650000006</v>
      </c>
      <c r="I827" s="84">
        <f t="shared" si="41"/>
        <v>0.116471875</v>
      </c>
      <c r="J827" s="84">
        <f t="shared" si="39"/>
        <v>6.8134251512096872E-2</v>
      </c>
      <c r="K827" s="90" t="s">
        <v>72</v>
      </c>
    </row>
    <row r="828" spans="1:11" ht="20">
      <c r="A828" s="14">
        <v>45631</v>
      </c>
      <c r="B828" s="83">
        <f>VLOOKUP(A828,'BADI SID DATA'!A:B,2,0)</f>
        <v>249</v>
      </c>
      <c r="C828" s="85">
        <v>45496.75</v>
      </c>
      <c r="D828" s="53">
        <v>5.01</v>
      </c>
      <c r="E828" s="82">
        <v>10.8</v>
      </c>
      <c r="F828" s="46">
        <v>1</v>
      </c>
      <c r="G828" s="46">
        <v>1</v>
      </c>
      <c r="H828" s="81">
        <f t="shared" si="40"/>
        <v>4100847.400000006</v>
      </c>
      <c r="I828" s="84">
        <f t="shared" si="41"/>
        <v>0.18956979166666665</v>
      </c>
      <c r="J828" s="84">
        <f t="shared" si="39"/>
        <v>6.8621944444444541E-2</v>
      </c>
      <c r="K828" s="90" t="s">
        <v>52</v>
      </c>
    </row>
    <row r="829" spans="1:11" ht="60">
      <c r="A829" s="14">
        <v>45632</v>
      </c>
      <c r="B829" s="83">
        <f>VLOOKUP(A829,'BADI SID DATA'!A:B,2,0)</f>
        <v>250</v>
      </c>
      <c r="C829" s="85">
        <v>55907.15000000596</v>
      </c>
      <c r="D829" s="50">
        <v>6.28</v>
      </c>
      <c r="E829" s="82">
        <v>10.9</v>
      </c>
      <c r="F829" s="46">
        <v>1</v>
      </c>
      <c r="G829" s="46">
        <v>1</v>
      </c>
      <c r="H829" s="81">
        <f t="shared" si="40"/>
        <v>4156754.5500000119</v>
      </c>
      <c r="I829" s="84">
        <f t="shared" si="41"/>
        <v>0.23294645833335817</v>
      </c>
      <c r="J829" s="84">
        <f t="shared" ref="J829:J892" si="42">H829/(24*B829*10*1000)</f>
        <v>6.9279242500000199E-2</v>
      </c>
      <c r="K829" s="90" t="s">
        <v>54</v>
      </c>
    </row>
    <row r="830" spans="1:11" ht="20">
      <c r="A830" s="14">
        <v>45633</v>
      </c>
      <c r="B830" s="83">
        <f>VLOOKUP(A830,'BADI SID DATA'!A:B,2,0)</f>
        <v>251</v>
      </c>
      <c r="C830" s="85">
        <v>48750</v>
      </c>
      <c r="D830" s="50">
        <v>4.7699999999999996</v>
      </c>
      <c r="E830" s="82">
        <v>10.5</v>
      </c>
      <c r="F830" s="46">
        <v>1</v>
      </c>
      <c r="G830" s="46">
        <v>1</v>
      </c>
      <c r="H830" s="81">
        <f t="shared" si="40"/>
        <v>4205504.5500000119</v>
      </c>
      <c r="I830" s="84">
        <f t="shared" si="41"/>
        <v>0.203125</v>
      </c>
      <c r="J830" s="84">
        <f t="shared" si="42"/>
        <v>6.9812492529880671E-2</v>
      </c>
      <c r="K830" s="90" t="s">
        <v>52</v>
      </c>
    </row>
    <row r="831" spans="1:11" ht="60">
      <c r="A831" s="14">
        <v>45634</v>
      </c>
      <c r="B831" s="83">
        <f>VLOOKUP(A831,'BADI SID DATA'!A:B,2,0)</f>
        <v>252</v>
      </c>
      <c r="C831" s="85">
        <v>61746.749999985099</v>
      </c>
      <c r="D831" s="53">
        <v>6.79</v>
      </c>
      <c r="E831" s="82">
        <v>10.1</v>
      </c>
      <c r="F831" s="46">
        <v>1</v>
      </c>
      <c r="G831" s="46">
        <v>1</v>
      </c>
      <c r="H831" s="81">
        <f t="shared" si="40"/>
        <v>4267251.299999997</v>
      </c>
      <c r="I831" s="84">
        <f t="shared" si="41"/>
        <v>0.25727812499993791</v>
      </c>
      <c r="J831" s="84">
        <f t="shared" si="42"/>
        <v>7.0556403769841222E-2</v>
      </c>
      <c r="K831" s="90" t="s">
        <v>54</v>
      </c>
    </row>
    <row r="832" spans="1:11" ht="20">
      <c r="A832" s="14">
        <v>45635</v>
      </c>
      <c r="B832" s="83">
        <f>VLOOKUP(A832,'BADI SID DATA'!A:B,2,0)</f>
        <v>253</v>
      </c>
      <c r="C832" s="85">
        <v>50701.950000017881</v>
      </c>
      <c r="D832" s="53">
        <v>5.59</v>
      </c>
      <c r="E832" s="82">
        <v>9.9</v>
      </c>
      <c r="F832" s="46">
        <v>1</v>
      </c>
      <c r="G832" s="46">
        <v>1</v>
      </c>
      <c r="H832" s="81">
        <f t="shared" si="40"/>
        <v>4317953.2500000149</v>
      </c>
      <c r="I832" s="84">
        <f t="shared" si="41"/>
        <v>0.21125812500007451</v>
      </c>
      <c r="J832" s="84">
        <f t="shared" si="42"/>
        <v>7.1112537055336211E-2</v>
      </c>
      <c r="K832" s="90" t="s">
        <v>52</v>
      </c>
    </row>
    <row r="833" spans="1:11" ht="20">
      <c r="A833" s="14">
        <v>45636</v>
      </c>
      <c r="B833" s="83">
        <f>VLOOKUP(A833,'BADI SID DATA'!A:B,2,0)</f>
        <v>254</v>
      </c>
      <c r="C833" s="85">
        <v>51344.79999999702</v>
      </c>
      <c r="D833" s="51">
        <v>5.53</v>
      </c>
      <c r="E833" s="82">
        <v>9.5</v>
      </c>
      <c r="F833" s="46">
        <v>1</v>
      </c>
      <c r="G833" s="46">
        <v>1</v>
      </c>
      <c r="H833" s="81">
        <f t="shared" si="40"/>
        <v>4369298.0500000119</v>
      </c>
      <c r="I833" s="84">
        <f t="shared" si="41"/>
        <v>0.21393666666665426</v>
      </c>
      <c r="J833" s="84">
        <f t="shared" si="42"/>
        <v>7.1674836778215414E-2</v>
      </c>
      <c r="K833" s="90" t="s">
        <v>52</v>
      </c>
    </row>
    <row r="834" spans="1:11" ht="40">
      <c r="A834" s="14">
        <v>45637</v>
      </c>
      <c r="B834" s="83">
        <f>VLOOKUP(A834,'BADI SID DATA'!A:B,2,0)</f>
        <v>255</v>
      </c>
      <c r="C834" s="85">
        <v>29254.549999982119</v>
      </c>
      <c r="D834" s="51">
        <v>2.76</v>
      </c>
      <c r="E834" s="82">
        <v>9.1999999999999993</v>
      </c>
      <c r="F834" s="46">
        <v>1</v>
      </c>
      <c r="G834" s="46">
        <v>1</v>
      </c>
      <c r="H834" s="81">
        <f t="shared" si="40"/>
        <v>4398552.599999994</v>
      </c>
      <c r="I834" s="84">
        <f t="shared" si="41"/>
        <v>0.12189395833325883</v>
      </c>
      <c r="J834" s="84">
        <f t="shared" si="42"/>
        <v>7.1871774509803824E-2</v>
      </c>
      <c r="K834" s="90" t="s">
        <v>56</v>
      </c>
    </row>
    <row r="835" spans="1:11" ht="40">
      <c r="A835" s="14">
        <v>45638</v>
      </c>
      <c r="B835" s="83">
        <f>VLOOKUP(A835,'BADI SID DATA'!A:B,2,0)</f>
        <v>256</v>
      </c>
      <c r="C835" s="85">
        <v>7799.3500000089407</v>
      </c>
      <c r="D835" s="51">
        <v>0.5</v>
      </c>
      <c r="E835" s="82">
        <v>1.5</v>
      </c>
      <c r="F835" s="46">
        <v>1</v>
      </c>
      <c r="G835" s="46">
        <v>0.98124999999999996</v>
      </c>
      <c r="H835" s="81">
        <f t="shared" si="40"/>
        <v>4406351.950000003</v>
      </c>
      <c r="I835" s="84">
        <f t="shared" si="41"/>
        <v>3.2497291666703919E-2</v>
      </c>
      <c r="J835" s="84">
        <f t="shared" si="42"/>
        <v>7.171796793619796E-2</v>
      </c>
      <c r="K835" s="90" t="s">
        <v>76</v>
      </c>
    </row>
    <row r="836" spans="1:11" ht="40">
      <c r="A836" s="14">
        <v>45639</v>
      </c>
      <c r="B836" s="83">
        <f>VLOOKUP(A836,'BADI SID DATA'!A:B,2,0)</f>
        <v>257</v>
      </c>
      <c r="C836" s="85">
        <v>15599.350000008941</v>
      </c>
      <c r="D836" s="51">
        <v>1.87</v>
      </c>
      <c r="E836" s="82">
        <v>2</v>
      </c>
      <c r="F836" s="46">
        <v>1</v>
      </c>
      <c r="G836" s="46">
        <v>1</v>
      </c>
      <c r="H836" s="81">
        <f t="shared" si="40"/>
        <v>4421951.3000000119</v>
      </c>
      <c r="I836" s="84">
        <f t="shared" si="41"/>
        <v>6.4997291666703913E-2</v>
      </c>
      <c r="J836" s="84">
        <f t="shared" si="42"/>
        <v>7.1691817444876973E-2</v>
      </c>
      <c r="K836" s="90" t="s">
        <v>56</v>
      </c>
    </row>
    <row r="837" spans="1:11" ht="60">
      <c r="A837" s="14">
        <v>45640</v>
      </c>
      <c r="B837" s="83">
        <f>VLOOKUP(A837,'BADI SID DATA'!A:B,2,0)</f>
        <v>258</v>
      </c>
      <c r="C837" s="85">
        <v>46148.04999999702</v>
      </c>
      <c r="D837" s="51">
        <v>4.95</v>
      </c>
      <c r="E837" s="82">
        <v>10.5</v>
      </c>
      <c r="F837" s="46" t="e">
        <v>#DIV/0!</v>
      </c>
      <c r="G837" s="46">
        <v>1</v>
      </c>
      <c r="H837" s="81">
        <f t="shared" ref="H837:H900" si="43">C837+H836</f>
        <v>4468099.3500000089</v>
      </c>
      <c r="I837" s="84">
        <f t="shared" si="41"/>
        <v>0.19228354166665426</v>
      </c>
      <c r="J837" s="84">
        <f t="shared" si="42"/>
        <v>7.2159227228682316E-2</v>
      </c>
      <c r="K837" s="90" t="s">
        <v>54</v>
      </c>
    </row>
    <row r="838" spans="1:11" ht="60">
      <c r="A838" s="14">
        <v>45641</v>
      </c>
      <c r="B838" s="83">
        <f>VLOOKUP(A838,'BADI SID DATA'!A:B,2,0)</f>
        <v>259</v>
      </c>
      <c r="C838" s="85">
        <v>57200</v>
      </c>
      <c r="D838" s="51">
        <v>6.13</v>
      </c>
      <c r="E838" s="82">
        <v>11.1</v>
      </c>
      <c r="F838" s="46" t="e">
        <v>#DIV/0!</v>
      </c>
      <c r="G838" s="46">
        <v>1</v>
      </c>
      <c r="H838" s="81">
        <f t="shared" si="43"/>
        <v>4525299.3500000089</v>
      </c>
      <c r="I838" s="84">
        <f t="shared" si="41"/>
        <v>0.23833333333333334</v>
      </c>
      <c r="J838" s="84">
        <f t="shared" si="42"/>
        <v>7.2800826093951235E-2</v>
      </c>
      <c r="K838" s="90" t="s">
        <v>54</v>
      </c>
    </row>
    <row r="839" spans="1:11" ht="60">
      <c r="A839" s="14">
        <v>45642</v>
      </c>
      <c r="B839" s="83">
        <f>VLOOKUP(A839,'BADI SID DATA'!A:B,2,0)</f>
        <v>260</v>
      </c>
      <c r="C839" s="85">
        <v>55899.34999999404</v>
      </c>
      <c r="D839" s="51">
        <v>6.06</v>
      </c>
      <c r="E839" s="82">
        <v>10.9</v>
      </c>
      <c r="F839" s="46" t="e">
        <v>#DIV/0!</v>
      </c>
      <c r="G839" s="46">
        <v>1</v>
      </c>
      <c r="H839" s="81">
        <f t="shared" si="43"/>
        <v>4581198.700000003</v>
      </c>
      <c r="I839" s="84">
        <f t="shared" si="41"/>
        <v>0.2329139583333085</v>
      </c>
      <c r="J839" s="84">
        <f t="shared" si="42"/>
        <v>7.3416645833333377E-2</v>
      </c>
      <c r="K839" s="90" t="s">
        <v>54</v>
      </c>
    </row>
    <row r="840" spans="1:11" ht="60">
      <c r="A840" s="14">
        <v>45643</v>
      </c>
      <c r="B840" s="83">
        <f>VLOOKUP(A840,'BADI SID DATA'!A:B,2,0)</f>
        <v>261</v>
      </c>
      <c r="C840" s="85">
        <v>47448.70000000298</v>
      </c>
      <c r="D840" s="51">
        <v>5.17</v>
      </c>
      <c r="E840" s="82">
        <v>10.8</v>
      </c>
      <c r="F840" s="46" t="e">
        <v>#DIV/0!</v>
      </c>
      <c r="G840" s="46">
        <v>1</v>
      </c>
      <c r="H840" s="81">
        <f t="shared" si="43"/>
        <v>4628647.400000006</v>
      </c>
      <c r="I840" s="84">
        <f t="shared" si="41"/>
        <v>0.19770291666667908</v>
      </c>
      <c r="J840" s="84">
        <f t="shared" si="42"/>
        <v>7.3892838441890263E-2</v>
      </c>
      <c r="K840" s="90" t="s">
        <v>54</v>
      </c>
    </row>
    <row r="841" spans="1:11" ht="20">
      <c r="A841" s="14">
        <v>45644</v>
      </c>
      <c r="B841" s="83">
        <f>VLOOKUP(A841,'BADI SID DATA'!A:B,2,0)</f>
        <v>262</v>
      </c>
      <c r="C841" s="85">
        <v>25350.649999991059</v>
      </c>
      <c r="D841" s="51">
        <v>2.41</v>
      </c>
      <c r="E841" s="82">
        <v>8.1999999999999993</v>
      </c>
      <c r="F841" s="46" t="e">
        <v>#DIV/0!</v>
      </c>
      <c r="G841" s="46">
        <v>1</v>
      </c>
      <c r="H841" s="81">
        <f t="shared" si="43"/>
        <v>4653998.049999997</v>
      </c>
      <c r="I841" s="84">
        <f t="shared" si="41"/>
        <v>0.10562770833329609</v>
      </c>
      <c r="J841" s="84">
        <f t="shared" si="42"/>
        <v>7.4013963899491053E-2</v>
      </c>
      <c r="K841" s="90" t="s">
        <v>52</v>
      </c>
    </row>
    <row r="842" spans="1:11" ht="20">
      <c r="A842" s="14">
        <v>45645</v>
      </c>
      <c r="B842" s="83">
        <f>VLOOKUP(A842,'BADI SID DATA'!A:B,2,0)</f>
        <v>263</v>
      </c>
      <c r="C842" s="85">
        <v>29254.550000011921</v>
      </c>
      <c r="D842" s="51">
        <v>2.89</v>
      </c>
      <c r="E842" s="82">
        <v>9.1999999999999993</v>
      </c>
      <c r="F842" s="46" t="e">
        <v>#DIV/0!</v>
      </c>
      <c r="G842" s="46">
        <v>1</v>
      </c>
      <c r="H842" s="81">
        <f t="shared" si="43"/>
        <v>4683252.6000000089</v>
      </c>
      <c r="I842" s="84">
        <f t="shared" si="41"/>
        <v>0.121893958333383</v>
      </c>
      <c r="J842" s="84">
        <f t="shared" si="42"/>
        <v>7.4196017110266299E-2</v>
      </c>
      <c r="K842" s="90" t="s">
        <v>52</v>
      </c>
    </row>
    <row r="843" spans="1:11" ht="20">
      <c r="A843" s="14">
        <v>45646</v>
      </c>
      <c r="B843" s="83">
        <f>VLOOKUP(A843,'BADI SID DATA'!A:B,2,0)</f>
        <v>264</v>
      </c>
      <c r="C843" s="85">
        <v>23399.34999999404</v>
      </c>
      <c r="D843" s="51">
        <v>2.06</v>
      </c>
      <c r="E843" s="82">
        <v>8.6</v>
      </c>
      <c r="F843" s="46" t="e">
        <v>#DIV/0!</v>
      </c>
      <c r="G843" s="46">
        <v>1</v>
      </c>
      <c r="H843" s="81">
        <f t="shared" si="43"/>
        <v>4706651.950000003</v>
      </c>
      <c r="I843" s="84">
        <f t="shared" si="41"/>
        <v>9.7497291666641825E-2</v>
      </c>
      <c r="J843" s="84">
        <f t="shared" si="42"/>
        <v>7.428427951388894E-2</v>
      </c>
      <c r="K843" s="90" t="s">
        <v>52</v>
      </c>
    </row>
    <row r="844" spans="1:11" ht="60">
      <c r="A844" s="14">
        <v>45647</v>
      </c>
      <c r="B844" s="83">
        <f>VLOOKUP(A844,'BADI SID DATA'!A:B,2,0)</f>
        <v>265</v>
      </c>
      <c r="C844" s="85">
        <v>53296.75</v>
      </c>
      <c r="D844" s="51">
        <v>7.94</v>
      </c>
      <c r="E844" s="82">
        <v>10.7</v>
      </c>
      <c r="F844" s="46" t="e">
        <v>#DIV/0!</v>
      </c>
      <c r="G844" s="46">
        <v>1</v>
      </c>
      <c r="H844" s="81">
        <f t="shared" si="43"/>
        <v>4759948.700000003</v>
      </c>
      <c r="I844" s="84">
        <f t="shared" si="41"/>
        <v>0.22206979166666665</v>
      </c>
      <c r="J844" s="84">
        <f t="shared" si="42"/>
        <v>7.4841960691823944E-2</v>
      </c>
      <c r="K844" s="90" t="s">
        <v>54</v>
      </c>
    </row>
    <row r="845" spans="1:11" ht="60">
      <c r="A845" s="14">
        <v>45648</v>
      </c>
      <c r="B845" s="83">
        <f>VLOOKUP(A845,'BADI SID DATA'!A:B,2,0)</f>
        <v>266</v>
      </c>
      <c r="C845" s="85">
        <v>36403.25</v>
      </c>
      <c r="D845" s="51">
        <v>3.77</v>
      </c>
      <c r="E845" s="82">
        <v>9.8000000000000007</v>
      </c>
      <c r="F845" s="46" t="e">
        <v>#DIV/0!</v>
      </c>
      <c r="G845" s="46">
        <v>1</v>
      </c>
      <c r="H845" s="81">
        <f t="shared" si="43"/>
        <v>4796351.950000003</v>
      </c>
      <c r="I845" s="84">
        <f t="shared" si="41"/>
        <v>0.15168020833333334</v>
      </c>
      <c r="J845" s="84">
        <f t="shared" si="42"/>
        <v>7.5130826284461202E-2</v>
      </c>
      <c r="K845" s="90" t="s">
        <v>54</v>
      </c>
    </row>
    <row r="846" spans="1:11" ht="60">
      <c r="A846" s="14">
        <v>45649</v>
      </c>
      <c r="B846" s="83">
        <f>VLOOKUP(A846,'BADI SID DATA'!A:B,2,0)</f>
        <v>267</v>
      </c>
      <c r="C846" s="85">
        <v>48750</v>
      </c>
      <c r="D846" s="51">
        <v>5.27</v>
      </c>
      <c r="E846" s="82">
        <v>11.1</v>
      </c>
      <c r="F846" s="46">
        <v>1</v>
      </c>
      <c r="G846" s="46">
        <v>1</v>
      </c>
      <c r="H846" s="81">
        <f t="shared" si="43"/>
        <v>4845101.950000003</v>
      </c>
      <c r="I846" s="84">
        <f t="shared" si="41"/>
        <v>0.203125</v>
      </c>
      <c r="J846" s="84">
        <f t="shared" si="42"/>
        <v>7.5610205212234757E-2</v>
      </c>
      <c r="K846" s="90" t="s">
        <v>54</v>
      </c>
    </row>
    <row r="847" spans="1:11" ht="20">
      <c r="A847" s="14">
        <v>45650</v>
      </c>
      <c r="B847" s="83">
        <f>VLOOKUP(A847,'BADI SID DATA'!A:B,2,0)</f>
        <v>268</v>
      </c>
      <c r="C847" s="85">
        <v>33150.65000000596</v>
      </c>
      <c r="D847" s="51">
        <v>3.16</v>
      </c>
      <c r="E847" s="82">
        <v>9.3000000000000007</v>
      </c>
      <c r="F847" s="46">
        <v>1</v>
      </c>
      <c r="G847" s="46">
        <v>1</v>
      </c>
      <c r="H847" s="81">
        <f t="shared" si="43"/>
        <v>4878252.6000000089</v>
      </c>
      <c r="I847" s="84">
        <f t="shared" si="41"/>
        <v>0.13812770833335816</v>
      </c>
      <c r="J847" s="84">
        <f t="shared" si="42"/>
        <v>7.584347947761208E-2</v>
      </c>
      <c r="K847" s="90" t="s">
        <v>52</v>
      </c>
    </row>
    <row r="848" spans="1:11" ht="20">
      <c r="A848" s="14">
        <v>45651</v>
      </c>
      <c r="B848" s="83">
        <f>VLOOKUP(A848,'BADI SID DATA'!A:B,2,0)</f>
        <v>269</v>
      </c>
      <c r="C848" s="85">
        <v>31849.34999999404</v>
      </c>
      <c r="D848" s="51">
        <v>3.28</v>
      </c>
      <c r="E848" s="82">
        <v>8.6</v>
      </c>
      <c r="F848" s="46">
        <v>1</v>
      </c>
      <c r="G848" s="46">
        <v>1</v>
      </c>
      <c r="H848" s="81">
        <f t="shared" si="43"/>
        <v>4910101.950000003</v>
      </c>
      <c r="I848" s="84">
        <f t="shared" si="41"/>
        <v>0.13270562499997515</v>
      </c>
      <c r="J848" s="84">
        <f t="shared" si="42"/>
        <v>7.6054862918215657E-2</v>
      </c>
      <c r="K848" s="90" t="s">
        <v>52</v>
      </c>
    </row>
    <row r="849" spans="1:11" ht="40">
      <c r="A849" s="14">
        <v>45652</v>
      </c>
      <c r="B849" s="83">
        <f>VLOOKUP(A849,'BADI SID DATA'!A:B,2,0)</f>
        <v>270</v>
      </c>
      <c r="C849" s="85">
        <v>14948.70000000298</v>
      </c>
      <c r="D849" s="52">
        <v>1.29</v>
      </c>
      <c r="E849" s="82">
        <v>3.2</v>
      </c>
      <c r="F849" s="46">
        <v>1</v>
      </c>
      <c r="G849" s="46">
        <v>1</v>
      </c>
      <c r="H849" s="81">
        <f t="shared" si="43"/>
        <v>4925050.650000006</v>
      </c>
      <c r="I849" s="84">
        <f t="shared" si="41"/>
        <v>6.2286250000012415E-2</v>
      </c>
      <c r="J849" s="84">
        <f t="shared" si="42"/>
        <v>7.6003868055555646E-2</v>
      </c>
      <c r="K849" s="90" t="s">
        <v>76</v>
      </c>
    </row>
    <row r="850" spans="1:11" ht="40">
      <c r="A850" s="14">
        <v>45653</v>
      </c>
      <c r="B850" s="83">
        <f>VLOOKUP(A850,'BADI SID DATA'!A:B,2,0)</f>
        <v>271</v>
      </c>
      <c r="C850" s="85">
        <v>16250</v>
      </c>
      <c r="D850" s="51">
        <v>1.33</v>
      </c>
      <c r="E850" s="82">
        <v>3.5</v>
      </c>
      <c r="F850" s="46">
        <v>1</v>
      </c>
      <c r="G850" s="46">
        <v>1</v>
      </c>
      <c r="H850" s="81">
        <f t="shared" si="43"/>
        <v>4941300.650000006</v>
      </c>
      <c r="I850" s="84">
        <f t="shared" si="41"/>
        <v>6.7708333333333329E-2</v>
      </c>
      <c r="J850" s="84">
        <f t="shared" si="42"/>
        <v>7.5973257226322352E-2</v>
      </c>
      <c r="K850" s="90" t="s">
        <v>76</v>
      </c>
    </row>
    <row r="851" spans="1:11" ht="60">
      <c r="A851" s="14">
        <v>45654</v>
      </c>
      <c r="B851" s="83">
        <f>VLOOKUP(A851,'BADI SID DATA'!A:B,2,0)</f>
        <v>272</v>
      </c>
      <c r="C851" s="85">
        <v>45497.40000000596</v>
      </c>
      <c r="D851" s="52">
        <v>4.6100000000000003</v>
      </c>
      <c r="E851" s="82">
        <v>9.1999999999999993</v>
      </c>
      <c r="F851" s="46">
        <v>1</v>
      </c>
      <c r="G851" s="46">
        <v>1</v>
      </c>
      <c r="H851" s="81">
        <f t="shared" si="43"/>
        <v>4986798.0500000119</v>
      </c>
      <c r="I851" s="84">
        <f t="shared" si="41"/>
        <v>0.18957250000002485</v>
      </c>
      <c r="J851" s="84">
        <f t="shared" si="42"/>
        <v>7.6390901501225669E-2</v>
      </c>
      <c r="K851" s="90" t="s">
        <v>54</v>
      </c>
    </row>
    <row r="852" spans="1:11" ht="60">
      <c r="A852" s="14">
        <v>45655</v>
      </c>
      <c r="B852" s="83">
        <f>VLOOKUP(A852,'BADI SID DATA'!A:B,2,0)</f>
        <v>273</v>
      </c>
      <c r="C852" s="85">
        <v>54605.199999988079</v>
      </c>
      <c r="D852" s="52">
        <v>5.78</v>
      </c>
      <c r="E852" s="82">
        <v>10.6</v>
      </c>
      <c r="F852" s="46">
        <v>1</v>
      </c>
      <c r="G852" s="46">
        <v>1</v>
      </c>
      <c r="H852" s="81">
        <f t="shared" si="43"/>
        <v>5041403.25</v>
      </c>
      <c r="I852" s="84">
        <f t="shared" si="41"/>
        <v>0.227521666666617</v>
      </c>
      <c r="J852" s="84">
        <f t="shared" si="42"/>
        <v>7.694449404761905E-2</v>
      </c>
      <c r="K852" s="90" t="s">
        <v>54</v>
      </c>
    </row>
    <row r="853" spans="1:11" ht="60">
      <c r="A853" s="14">
        <v>45656</v>
      </c>
      <c r="B853" s="83">
        <f>VLOOKUP(A853,'BADI SID DATA'!A:B,2,0)</f>
        <v>274</v>
      </c>
      <c r="C853" s="85">
        <v>36396.100000008941</v>
      </c>
      <c r="D853" s="52">
        <v>3.65</v>
      </c>
      <c r="E853" s="82">
        <v>9.1</v>
      </c>
      <c r="F853" s="46">
        <v>1</v>
      </c>
      <c r="G853" s="46">
        <v>1</v>
      </c>
      <c r="H853" s="81">
        <f t="shared" si="43"/>
        <v>5077799.3500000089</v>
      </c>
      <c r="I853" s="84">
        <f t="shared" si="41"/>
        <v>0.15165041666670392</v>
      </c>
      <c r="J853" s="84">
        <f t="shared" si="42"/>
        <v>7.7217143400243451E-2</v>
      </c>
      <c r="K853" s="90" t="s">
        <v>54</v>
      </c>
    </row>
    <row r="854" spans="1:11" ht="60">
      <c r="A854" s="14">
        <v>45657</v>
      </c>
      <c r="B854" s="83">
        <f>VLOOKUP(A854,'BADI SID DATA'!A:B,2,0)</f>
        <v>275</v>
      </c>
      <c r="C854" s="85">
        <v>65000</v>
      </c>
      <c r="D854" s="51">
        <v>7.06</v>
      </c>
      <c r="E854" s="82">
        <v>10.9</v>
      </c>
      <c r="F854" s="46">
        <v>1</v>
      </c>
      <c r="G854" s="46">
        <v>1</v>
      </c>
      <c r="H854" s="81">
        <f t="shared" si="43"/>
        <v>5142799.3500000089</v>
      </c>
      <c r="I854" s="84">
        <f t="shared" si="41"/>
        <v>0.27083333333333331</v>
      </c>
      <c r="J854" s="84">
        <f t="shared" si="42"/>
        <v>7.7921202272727405E-2</v>
      </c>
      <c r="K854" s="90" t="s">
        <v>54</v>
      </c>
    </row>
    <row r="855" spans="1:11" ht="60">
      <c r="A855" s="14">
        <v>45658</v>
      </c>
      <c r="B855" s="83">
        <f>VLOOKUP(A855,'BADI SID DATA'!A:B,2,0)</f>
        <v>276</v>
      </c>
      <c r="C855" s="85">
        <v>61754.54999999702</v>
      </c>
      <c r="D855" s="53">
        <v>6.56</v>
      </c>
      <c r="E855" s="82">
        <v>10.1</v>
      </c>
      <c r="F855" s="46">
        <v>1</v>
      </c>
      <c r="G855" s="46">
        <v>1</v>
      </c>
      <c r="H855" s="81">
        <f t="shared" si="43"/>
        <v>5204553.900000006</v>
      </c>
      <c r="I855" s="84">
        <f t="shared" si="41"/>
        <v>0.25731062499998758</v>
      </c>
      <c r="J855" s="84">
        <f t="shared" si="42"/>
        <v>7.8571163949275449E-2</v>
      </c>
      <c r="K855" s="90" t="s">
        <v>54</v>
      </c>
    </row>
    <row r="856" spans="1:11" ht="60">
      <c r="A856" s="14">
        <v>45659</v>
      </c>
      <c r="B856" s="83">
        <f>VLOOKUP(A856,'BADI SID DATA'!A:B,2,0)</f>
        <v>277</v>
      </c>
      <c r="C856" s="85">
        <v>61746.75</v>
      </c>
      <c r="D856" s="53">
        <v>6.62</v>
      </c>
      <c r="E856" s="82">
        <v>10.6</v>
      </c>
      <c r="F856" s="46">
        <v>1</v>
      </c>
      <c r="G856" s="46">
        <v>1</v>
      </c>
      <c r="H856" s="81">
        <f t="shared" si="43"/>
        <v>5266300.650000006</v>
      </c>
      <c r="I856" s="84">
        <f t="shared" si="41"/>
        <v>0.25727812500000002</v>
      </c>
      <c r="J856" s="84">
        <f t="shared" si="42"/>
        <v>7.9216315433213086E-2</v>
      </c>
      <c r="K856" s="90" t="s">
        <v>54</v>
      </c>
    </row>
    <row r="857" spans="1:11" ht="60">
      <c r="A857" s="14">
        <v>45660</v>
      </c>
      <c r="B857" s="83">
        <f>VLOOKUP(A857,'BADI SID DATA'!A:B,2,0)</f>
        <v>278</v>
      </c>
      <c r="C857" s="85">
        <v>63048.70000000298</v>
      </c>
      <c r="D857" s="50">
        <v>6.7</v>
      </c>
      <c r="E857" s="82">
        <v>10.3</v>
      </c>
      <c r="F857" s="46">
        <v>1</v>
      </c>
      <c r="G857" s="46">
        <v>1</v>
      </c>
      <c r="H857" s="81">
        <f t="shared" si="43"/>
        <v>5329349.3500000089</v>
      </c>
      <c r="I857" s="84">
        <f t="shared" si="41"/>
        <v>0.26270291666667911</v>
      </c>
      <c r="J857" s="84">
        <f t="shared" si="42"/>
        <v>7.9876339178657205E-2</v>
      </c>
      <c r="K857" s="90" t="s">
        <v>54</v>
      </c>
    </row>
    <row r="858" spans="1:11" ht="60">
      <c r="A858" s="14">
        <v>45661</v>
      </c>
      <c r="B858" s="83">
        <f>VLOOKUP(A858,'BADI SID DATA'!A:B,2,0)</f>
        <v>279</v>
      </c>
      <c r="C858" s="85">
        <v>61754.54999999702</v>
      </c>
      <c r="D858" s="53">
        <v>6.6</v>
      </c>
      <c r="E858" s="82">
        <v>10.8</v>
      </c>
      <c r="F858" s="46">
        <v>1</v>
      </c>
      <c r="G858" s="46">
        <v>1</v>
      </c>
      <c r="H858" s="81">
        <f t="shared" si="43"/>
        <v>5391103.900000006</v>
      </c>
      <c r="I858" s="84">
        <f t="shared" si="41"/>
        <v>0.25731062499998758</v>
      </c>
      <c r="J858" s="84">
        <f t="shared" si="42"/>
        <v>8.0512304360812512E-2</v>
      </c>
      <c r="K858" s="90" t="s">
        <v>54</v>
      </c>
    </row>
    <row r="859" spans="1:11" ht="60">
      <c r="A859" s="14">
        <v>45662</v>
      </c>
      <c r="B859" s="83">
        <f>VLOOKUP(A859,'BADI SID DATA'!A:B,2,0)</f>
        <v>280</v>
      </c>
      <c r="C859" s="85">
        <v>63048.04999999702</v>
      </c>
      <c r="D859" s="53">
        <v>6.81</v>
      </c>
      <c r="E859" s="82">
        <v>10.5</v>
      </c>
      <c r="F859" s="46">
        <v>1</v>
      </c>
      <c r="G859" s="46">
        <v>1</v>
      </c>
      <c r="H859" s="81">
        <f t="shared" si="43"/>
        <v>5454151.950000003</v>
      </c>
      <c r="I859" s="84">
        <f t="shared" si="41"/>
        <v>0.26270020833332092</v>
      </c>
      <c r="J859" s="84">
        <f t="shared" si="42"/>
        <v>8.1162975446428615E-2</v>
      </c>
      <c r="K859" s="90" t="s">
        <v>54</v>
      </c>
    </row>
    <row r="860" spans="1:11" ht="60">
      <c r="A860" s="14">
        <v>45663</v>
      </c>
      <c r="B860" s="83">
        <f>VLOOKUP(A860,'BADI SID DATA'!A:B,2,0)</f>
        <v>281</v>
      </c>
      <c r="C860" s="85">
        <v>61746.750000014901</v>
      </c>
      <c r="D860" s="50">
        <v>6.83</v>
      </c>
      <c r="E860" s="82">
        <v>10.4</v>
      </c>
      <c r="F860" s="46">
        <v>1</v>
      </c>
      <c r="G860" s="46">
        <v>1</v>
      </c>
      <c r="H860" s="81">
        <f t="shared" si="43"/>
        <v>5515898.7000000179</v>
      </c>
      <c r="I860" s="84">
        <f t="shared" si="41"/>
        <v>0.25727812500006209</v>
      </c>
      <c r="J860" s="84">
        <f t="shared" si="42"/>
        <v>8.1789719750889944E-2</v>
      </c>
      <c r="K860" s="90" t="s">
        <v>54</v>
      </c>
    </row>
    <row r="861" spans="1:11" ht="60">
      <c r="A861" s="14">
        <v>45664</v>
      </c>
      <c r="B861" s="83">
        <f>VLOOKUP(A861,'BADI SID DATA'!A:B,2,0)</f>
        <v>282</v>
      </c>
      <c r="C861" s="85">
        <v>56549.999999985099</v>
      </c>
      <c r="D861" s="50">
        <v>6.11</v>
      </c>
      <c r="E861" s="82">
        <v>10.199999999999999</v>
      </c>
      <c r="F861" s="46">
        <v>1</v>
      </c>
      <c r="G861" s="46">
        <v>1</v>
      </c>
      <c r="H861" s="81">
        <f t="shared" si="43"/>
        <v>5572448.700000003</v>
      </c>
      <c r="I861" s="84">
        <f t="shared" si="41"/>
        <v>0.23562499999993791</v>
      </c>
      <c r="J861" s="84">
        <f t="shared" si="42"/>
        <v>8.2335234929078058E-2</v>
      </c>
      <c r="K861" s="90" t="s">
        <v>54</v>
      </c>
    </row>
    <row r="862" spans="1:11" ht="60">
      <c r="A862" s="14">
        <v>45665</v>
      </c>
      <c r="B862" s="83">
        <f>VLOOKUP(A862,'BADI SID DATA'!A:B,2,0)</f>
        <v>283</v>
      </c>
      <c r="C862" s="85">
        <v>64349.350000008941</v>
      </c>
      <c r="D862" s="53">
        <v>6.92</v>
      </c>
      <c r="E862" s="82">
        <v>10.9</v>
      </c>
      <c r="F862" s="46">
        <v>1</v>
      </c>
      <c r="G862" s="46">
        <v>1</v>
      </c>
      <c r="H862" s="81">
        <f t="shared" si="43"/>
        <v>5636798.0500000119</v>
      </c>
      <c r="I862" s="84">
        <f t="shared" si="41"/>
        <v>0.26812229166670393</v>
      </c>
      <c r="J862" s="84">
        <f t="shared" si="42"/>
        <v>8.299172629564211E-2</v>
      </c>
      <c r="K862" s="90" t="s">
        <v>54</v>
      </c>
    </row>
    <row r="863" spans="1:11" ht="60">
      <c r="A863" s="14">
        <v>45666</v>
      </c>
      <c r="B863" s="83">
        <f>VLOOKUP(A863,'BADI SID DATA'!A:B,2,0)</f>
        <v>284</v>
      </c>
      <c r="C863" s="85">
        <v>48750</v>
      </c>
      <c r="D863" s="53">
        <v>5.08</v>
      </c>
      <c r="E863" s="82">
        <v>10.5</v>
      </c>
      <c r="F863" s="46">
        <v>1</v>
      </c>
      <c r="G863" s="46">
        <v>1</v>
      </c>
      <c r="H863" s="81">
        <f t="shared" si="43"/>
        <v>5685548.0500000119</v>
      </c>
      <c r="I863" s="84">
        <f t="shared" si="41"/>
        <v>0.203125</v>
      </c>
      <c r="J863" s="84">
        <f t="shared" si="42"/>
        <v>8.3414730780516602E-2</v>
      </c>
      <c r="K863" s="90" t="s">
        <v>54</v>
      </c>
    </row>
    <row r="864" spans="1:11" ht="60">
      <c r="A864" s="14">
        <v>45667</v>
      </c>
      <c r="B864" s="83">
        <f>VLOOKUP(A864,'BADI SID DATA'!A:B,2,0)</f>
        <v>285</v>
      </c>
      <c r="C864" s="85">
        <v>33150.649999991059</v>
      </c>
      <c r="D864" s="51">
        <v>3.31</v>
      </c>
      <c r="E864" s="82">
        <v>10.1</v>
      </c>
      <c r="F864" s="46">
        <v>1</v>
      </c>
      <c r="G864" s="46">
        <v>1</v>
      </c>
      <c r="H864" s="81">
        <f t="shared" si="43"/>
        <v>5718698.700000003</v>
      </c>
      <c r="I864" s="84">
        <f t="shared" si="41"/>
        <v>0.13812770833329607</v>
      </c>
      <c r="J864" s="84">
        <f t="shared" si="42"/>
        <v>8.3606706140350914E-2</v>
      </c>
      <c r="K864" s="90" t="s">
        <v>54</v>
      </c>
    </row>
    <row r="865" spans="1:11" ht="20">
      <c r="A865" s="14">
        <v>45668</v>
      </c>
      <c r="B865" s="83">
        <f>VLOOKUP(A865,'BADI SID DATA'!A:B,2,0)</f>
        <v>286</v>
      </c>
      <c r="C865" s="85">
        <v>20803.90000000596</v>
      </c>
      <c r="D865" s="51">
        <v>1.79</v>
      </c>
      <c r="E865" s="82">
        <v>8.1999999999999993</v>
      </c>
      <c r="F865" s="46">
        <v>1</v>
      </c>
      <c r="G865" s="46">
        <v>1</v>
      </c>
      <c r="H865" s="81">
        <f t="shared" si="43"/>
        <v>5739502.6000000089</v>
      </c>
      <c r="I865" s="84">
        <f t="shared" si="41"/>
        <v>8.6682916666691506E-2</v>
      </c>
      <c r="J865" s="84">
        <f t="shared" si="42"/>
        <v>8.3617462121212252E-2</v>
      </c>
      <c r="K865" s="90" t="s">
        <v>52</v>
      </c>
    </row>
    <row r="866" spans="1:11" ht="60">
      <c r="A866" s="14">
        <v>45669</v>
      </c>
      <c r="B866" s="83">
        <f>VLOOKUP(A866,'BADI SID DATA'!A:B,2,0)</f>
        <v>287</v>
      </c>
      <c r="C866" s="85">
        <v>57851.29999999702</v>
      </c>
      <c r="D866" s="51">
        <v>6.32</v>
      </c>
      <c r="E866" s="82">
        <v>10.6</v>
      </c>
      <c r="F866" s="46">
        <v>1</v>
      </c>
      <c r="G866" s="46">
        <v>1</v>
      </c>
      <c r="H866" s="81">
        <f t="shared" si="43"/>
        <v>5797353.900000006</v>
      </c>
      <c r="I866" s="84">
        <f t="shared" si="41"/>
        <v>0.24104708333332092</v>
      </c>
      <c r="J866" s="84">
        <f t="shared" si="42"/>
        <v>8.4165997386759672E-2</v>
      </c>
      <c r="K866" s="90" t="s">
        <v>54</v>
      </c>
    </row>
    <row r="867" spans="1:11" ht="20">
      <c r="A867" s="14">
        <v>45670</v>
      </c>
      <c r="B867" s="83">
        <f>VLOOKUP(A867,'BADI SID DATA'!A:B,2,0)</f>
        <v>288</v>
      </c>
      <c r="C867" s="85">
        <v>24700</v>
      </c>
      <c r="D867" s="51">
        <v>2.2999999999999998</v>
      </c>
      <c r="E867" s="82">
        <v>8.9</v>
      </c>
      <c r="F867" s="46">
        <v>1</v>
      </c>
      <c r="G867" s="46">
        <v>1</v>
      </c>
      <c r="H867" s="81">
        <f t="shared" si="43"/>
        <v>5822053.900000006</v>
      </c>
      <c r="I867" s="84">
        <f t="shared" si="41"/>
        <v>0.10291666666666667</v>
      </c>
      <c r="J867" s="84">
        <f t="shared" si="42"/>
        <v>8.4231103877314903E-2</v>
      </c>
      <c r="K867" s="90" t="s">
        <v>52</v>
      </c>
    </row>
    <row r="868" spans="1:11" ht="20">
      <c r="A868" s="14">
        <v>45671</v>
      </c>
      <c r="B868" s="83">
        <f>VLOOKUP(A868,'BADI SID DATA'!A:B,2,0)</f>
        <v>289</v>
      </c>
      <c r="C868" s="85">
        <v>29246.75</v>
      </c>
      <c r="D868" s="51">
        <v>2.75</v>
      </c>
      <c r="E868" s="82">
        <v>8.1999999999999993</v>
      </c>
      <c r="F868" s="46">
        <v>1</v>
      </c>
      <c r="G868" s="46">
        <v>1</v>
      </c>
      <c r="H868" s="81">
        <f t="shared" si="43"/>
        <v>5851300.650000006</v>
      </c>
      <c r="I868" s="84">
        <f t="shared" si="41"/>
        <v>0.12186145833333334</v>
      </c>
      <c r="J868" s="84">
        <f t="shared" si="42"/>
        <v>8.4361312716263057E-2</v>
      </c>
      <c r="K868" s="90" t="s">
        <v>52</v>
      </c>
    </row>
    <row r="869" spans="1:11" ht="60">
      <c r="A869" s="14">
        <v>45672</v>
      </c>
      <c r="B869" s="83">
        <f>VLOOKUP(A869,'BADI SID DATA'!A:B,2,0)</f>
        <v>290</v>
      </c>
      <c r="C869" s="85">
        <v>40300</v>
      </c>
      <c r="D869" s="51">
        <v>4.3</v>
      </c>
      <c r="E869" s="82">
        <v>10.9</v>
      </c>
      <c r="F869" s="46">
        <v>1</v>
      </c>
      <c r="G869" s="46">
        <v>1</v>
      </c>
      <c r="H869" s="81">
        <f t="shared" si="43"/>
        <v>5891600.650000006</v>
      </c>
      <c r="I869" s="84">
        <f t="shared" si="41"/>
        <v>0.16791666666666666</v>
      </c>
      <c r="J869" s="84">
        <f t="shared" si="42"/>
        <v>8.464943462643687E-2</v>
      </c>
      <c r="K869" s="90" t="s">
        <v>54</v>
      </c>
    </row>
    <row r="870" spans="1:11" ht="60">
      <c r="A870" s="14">
        <v>45673</v>
      </c>
      <c r="B870" s="83">
        <f>VLOOKUP(A870,'BADI SID DATA'!A:B,2,0)</f>
        <v>291</v>
      </c>
      <c r="C870" s="85">
        <v>53297.40000000596</v>
      </c>
      <c r="D870" s="51">
        <v>5.2</v>
      </c>
      <c r="E870" s="82">
        <v>10.7</v>
      </c>
      <c r="F870" s="46">
        <v>1</v>
      </c>
      <c r="G870" s="46">
        <v>1</v>
      </c>
      <c r="H870" s="81">
        <f t="shared" si="43"/>
        <v>5944898.0500000119</v>
      </c>
      <c r="I870" s="84">
        <f t="shared" si="41"/>
        <v>0.22207250000002485</v>
      </c>
      <c r="J870" s="84">
        <f t="shared" si="42"/>
        <v>8.5121678837342674E-2</v>
      </c>
      <c r="K870" s="90" t="s">
        <v>54</v>
      </c>
    </row>
    <row r="871" spans="1:11" ht="60">
      <c r="A871" s="14">
        <v>45674</v>
      </c>
      <c r="B871" s="83">
        <f>VLOOKUP(A871,'BADI SID DATA'!A:B,2,0)</f>
        <v>292</v>
      </c>
      <c r="C871" s="85">
        <v>41599.999999985099</v>
      </c>
      <c r="D871" s="51">
        <v>4.2</v>
      </c>
      <c r="E871" s="82">
        <v>10.5</v>
      </c>
      <c r="F871" s="46">
        <v>1</v>
      </c>
      <c r="G871" s="46">
        <v>1</v>
      </c>
      <c r="H871" s="81">
        <f t="shared" si="43"/>
        <v>5986498.049999997</v>
      </c>
      <c r="I871" s="84">
        <f t="shared" si="41"/>
        <v>0.17333333333327125</v>
      </c>
      <c r="J871" s="84">
        <f t="shared" si="42"/>
        <v>8.5423773544520507E-2</v>
      </c>
      <c r="K871" s="90" t="s">
        <v>54</v>
      </c>
    </row>
    <row r="872" spans="1:11" ht="60">
      <c r="A872" s="14">
        <v>45675</v>
      </c>
      <c r="B872" s="83">
        <f>VLOOKUP(A872,'BADI SID DATA'!A:B,2,0)</f>
        <v>293</v>
      </c>
      <c r="C872" s="85">
        <v>52003.25</v>
      </c>
      <c r="D872" s="51">
        <v>5.43</v>
      </c>
      <c r="E872" s="82">
        <v>10.8</v>
      </c>
      <c r="F872" s="46">
        <v>1</v>
      </c>
      <c r="G872" s="46">
        <v>1</v>
      </c>
      <c r="H872" s="81">
        <f t="shared" si="43"/>
        <v>6038501.299999997</v>
      </c>
      <c r="I872" s="84">
        <f t="shared" si="41"/>
        <v>0.21668020833333335</v>
      </c>
      <c r="J872" s="84">
        <f t="shared" si="42"/>
        <v>8.58717477246871E-2</v>
      </c>
      <c r="K872" s="90" t="s">
        <v>54</v>
      </c>
    </row>
    <row r="873" spans="1:11" ht="20">
      <c r="A873" s="14">
        <v>45676</v>
      </c>
      <c r="B873" s="83">
        <f>VLOOKUP(A873,'BADI SID DATA'!A:B,2,0)</f>
        <v>294</v>
      </c>
      <c r="C873" s="85">
        <v>8450.0000000149012</v>
      </c>
      <c r="D873" s="51">
        <v>0.55000000000000004</v>
      </c>
      <c r="E873" s="82">
        <v>5.2</v>
      </c>
      <c r="F873" s="46">
        <v>1</v>
      </c>
      <c r="G873" s="46">
        <v>1</v>
      </c>
      <c r="H873" s="81">
        <f t="shared" si="43"/>
        <v>6046951.3000000119</v>
      </c>
      <c r="I873" s="84">
        <f t="shared" si="41"/>
        <v>3.5208333333395424E-2</v>
      </c>
      <c r="J873" s="84">
        <f t="shared" si="42"/>
        <v>8.5699423185941218E-2</v>
      </c>
      <c r="K873" s="90" t="s">
        <v>52</v>
      </c>
    </row>
    <row r="874" spans="1:11" ht="60">
      <c r="A874" s="14">
        <v>45677</v>
      </c>
      <c r="B874" s="83">
        <f>VLOOKUP(A874,'BADI SID DATA'!A:B,2,0)</f>
        <v>295</v>
      </c>
      <c r="C874" s="85">
        <v>57200.649999991059</v>
      </c>
      <c r="D874" s="51">
        <v>6.18</v>
      </c>
      <c r="E874" s="82">
        <v>10.7</v>
      </c>
      <c r="F874" s="46">
        <v>1</v>
      </c>
      <c r="G874" s="46">
        <v>1</v>
      </c>
      <c r="H874" s="81">
        <f t="shared" si="43"/>
        <v>6104151.950000003</v>
      </c>
      <c r="I874" s="84">
        <f t="shared" si="41"/>
        <v>0.23833604166662942</v>
      </c>
      <c r="J874" s="84">
        <f t="shared" si="42"/>
        <v>8.6216835451977447E-2</v>
      </c>
      <c r="K874" s="90" t="s">
        <v>54</v>
      </c>
    </row>
    <row r="875" spans="1:11" ht="60">
      <c r="A875" s="14">
        <v>45678</v>
      </c>
      <c r="B875" s="83">
        <f>VLOOKUP(A875,'BADI SID DATA'!A:B,2,0)</f>
        <v>296</v>
      </c>
      <c r="C875" s="85">
        <v>66301.300000011921</v>
      </c>
      <c r="D875" s="51">
        <v>7.06</v>
      </c>
      <c r="E875" s="82">
        <v>10.5</v>
      </c>
      <c r="F875" s="46">
        <v>1</v>
      </c>
      <c r="G875" s="46">
        <v>1</v>
      </c>
      <c r="H875" s="81">
        <f t="shared" si="43"/>
        <v>6170453.2500000149</v>
      </c>
      <c r="I875" s="84">
        <f t="shared" si="41"/>
        <v>0.27625541666671632</v>
      </c>
      <c r="J875" s="84">
        <f t="shared" si="42"/>
        <v>8.6858857685811017E-2</v>
      </c>
      <c r="K875" s="90" t="s">
        <v>54</v>
      </c>
    </row>
    <row r="876" spans="1:11" ht="60">
      <c r="A876" s="14">
        <v>45679</v>
      </c>
      <c r="B876" s="83">
        <f>VLOOKUP(A876,'BADI SID DATA'!A:B,2,0)</f>
        <v>297</v>
      </c>
      <c r="C876" s="85">
        <v>63698.699999988079</v>
      </c>
      <c r="D876" s="51">
        <v>6.89</v>
      </c>
      <c r="E876" s="82">
        <v>10.9</v>
      </c>
      <c r="F876" s="46">
        <v>1</v>
      </c>
      <c r="G876" s="46">
        <v>1</v>
      </c>
      <c r="H876" s="81">
        <f t="shared" si="43"/>
        <v>6234151.950000003</v>
      </c>
      <c r="I876" s="84">
        <f t="shared" si="41"/>
        <v>0.2654112499999503</v>
      </c>
      <c r="J876" s="84">
        <f t="shared" si="42"/>
        <v>8.7460044191919231E-2</v>
      </c>
      <c r="K876" s="90" t="s">
        <v>54</v>
      </c>
    </row>
    <row r="877" spans="1:11" ht="60">
      <c r="A877" s="14">
        <v>45680</v>
      </c>
      <c r="B877" s="83">
        <f>VLOOKUP(A877,'BADI SID DATA'!A:B,2,0)</f>
        <v>298</v>
      </c>
      <c r="C877" s="85">
        <v>54598.04999999702</v>
      </c>
      <c r="D877" s="51">
        <v>5.73</v>
      </c>
      <c r="E877" s="82">
        <v>10.8</v>
      </c>
      <c r="F877" s="46">
        <v>1</v>
      </c>
      <c r="G877" s="46">
        <v>1</v>
      </c>
      <c r="H877" s="81">
        <f t="shared" si="43"/>
        <v>6288750</v>
      </c>
      <c r="I877" s="84">
        <f t="shared" si="41"/>
        <v>0.22749187499998758</v>
      </c>
      <c r="J877" s="84">
        <f t="shared" si="42"/>
        <v>8.7929949664429533E-2</v>
      </c>
      <c r="K877" s="90" t="s">
        <v>54</v>
      </c>
    </row>
    <row r="878" spans="1:11" ht="60">
      <c r="A878" s="14">
        <v>45681</v>
      </c>
      <c r="B878" s="83">
        <f>VLOOKUP(A878,'BADI SID DATA'!A:B,2,0)</f>
        <v>299</v>
      </c>
      <c r="C878" s="85">
        <v>63698.70000000298</v>
      </c>
      <c r="D878" s="51">
        <v>6.91</v>
      </c>
      <c r="E878" s="82">
        <v>10.6</v>
      </c>
      <c r="F878" s="46">
        <v>1</v>
      </c>
      <c r="G878" s="46">
        <v>1</v>
      </c>
      <c r="H878" s="81">
        <f t="shared" si="43"/>
        <v>6352448.700000003</v>
      </c>
      <c r="I878" s="84">
        <f t="shared" ref="I878:I941" si="44">C878/(10*24*1000)</f>
        <v>0.26541125000001242</v>
      </c>
      <c r="J878" s="84">
        <f t="shared" si="42"/>
        <v>8.8523532608695693E-2</v>
      </c>
      <c r="K878" s="90" t="s">
        <v>54</v>
      </c>
    </row>
    <row r="879" spans="1:11" ht="60">
      <c r="A879" s="14">
        <v>45682</v>
      </c>
      <c r="B879" s="83">
        <f>VLOOKUP(A879,'BADI SID DATA'!A:B,2,0)</f>
        <v>300</v>
      </c>
      <c r="C879" s="85">
        <v>66301.29999999702</v>
      </c>
      <c r="D879" s="51">
        <v>7.14</v>
      </c>
      <c r="E879" s="82">
        <v>10.4</v>
      </c>
      <c r="F879" s="46">
        <v>1</v>
      </c>
      <c r="G879" s="46">
        <v>1</v>
      </c>
      <c r="H879" s="81">
        <f t="shared" si="43"/>
        <v>6418750</v>
      </c>
      <c r="I879" s="84">
        <f t="shared" si="44"/>
        <v>0.27625541666665426</v>
      </c>
      <c r="J879" s="84">
        <f t="shared" si="42"/>
        <v>8.9149305555555558E-2</v>
      </c>
      <c r="K879" s="90" t="s">
        <v>54</v>
      </c>
    </row>
    <row r="880" spans="1:11" ht="60">
      <c r="A880" s="14">
        <v>45683</v>
      </c>
      <c r="B880" s="83">
        <f>VLOOKUP(A880,'BADI SID DATA'!A:B,2,0)</f>
        <v>301</v>
      </c>
      <c r="C880" s="85">
        <v>70196.75</v>
      </c>
      <c r="D880" s="52">
        <v>7.51</v>
      </c>
      <c r="E880" s="82">
        <v>10.8</v>
      </c>
      <c r="F880" s="46">
        <v>1</v>
      </c>
      <c r="G880" s="46">
        <v>1</v>
      </c>
      <c r="H880" s="81">
        <f t="shared" si="43"/>
        <v>6488946.75</v>
      </c>
      <c r="I880" s="84">
        <f t="shared" si="44"/>
        <v>0.29248645833333331</v>
      </c>
      <c r="J880" s="84">
        <f t="shared" si="42"/>
        <v>8.9824844269102991E-2</v>
      </c>
      <c r="K880" s="90" t="s">
        <v>54</v>
      </c>
    </row>
    <row r="881" spans="1:11" ht="60">
      <c r="A881" s="14">
        <v>45684</v>
      </c>
      <c r="B881" s="83">
        <f>VLOOKUP(A881,'BADI SID DATA'!A:B,2,0)</f>
        <v>302</v>
      </c>
      <c r="C881" s="85">
        <v>68253.250000014901</v>
      </c>
      <c r="D881" s="51">
        <v>7.38</v>
      </c>
      <c r="E881" s="82">
        <v>10.9</v>
      </c>
      <c r="F881" s="46">
        <v>1</v>
      </c>
      <c r="G881" s="46">
        <v>1</v>
      </c>
      <c r="H881" s="81">
        <f t="shared" si="43"/>
        <v>6557200.0000000149</v>
      </c>
      <c r="I881" s="84">
        <f t="shared" si="44"/>
        <v>0.28438854166672878</v>
      </c>
      <c r="J881" s="84">
        <f t="shared" si="42"/>
        <v>9.0469094922737511E-2</v>
      </c>
      <c r="K881" s="90" t="s">
        <v>54</v>
      </c>
    </row>
    <row r="882" spans="1:11" ht="60">
      <c r="A882" s="14">
        <v>45685</v>
      </c>
      <c r="B882" s="83">
        <f>VLOOKUP(A882,'BADI SID DATA'!A:B,2,0)</f>
        <v>303</v>
      </c>
      <c r="C882" s="85">
        <v>63698.70000000298</v>
      </c>
      <c r="D882" s="52">
        <v>6.76</v>
      </c>
      <c r="E882" s="82">
        <v>10.7</v>
      </c>
      <c r="F882" s="46">
        <v>1</v>
      </c>
      <c r="G882" s="46">
        <v>1</v>
      </c>
      <c r="H882" s="81">
        <f t="shared" si="43"/>
        <v>6620898.7000000179</v>
      </c>
      <c r="I882" s="84">
        <f t="shared" si="44"/>
        <v>0.26541125000001242</v>
      </c>
      <c r="J882" s="84">
        <f t="shared" si="42"/>
        <v>9.1046461771177367E-2</v>
      </c>
      <c r="K882" s="90" t="s">
        <v>54</v>
      </c>
    </row>
    <row r="883" spans="1:11" ht="60">
      <c r="A883" s="14">
        <v>45686</v>
      </c>
      <c r="B883" s="83">
        <f>VLOOKUP(A883,'BADI SID DATA'!A:B,2,0)</f>
        <v>304</v>
      </c>
      <c r="C883" s="85">
        <v>63048.049999982119</v>
      </c>
      <c r="D883" s="52">
        <v>6.78</v>
      </c>
      <c r="E883" s="82">
        <v>10.4</v>
      </c>
      <c r="F883" s="46">
        <v>1</v>
      </c>
      <c r="G883" s="46">
        <v>1</v>
      </c>
      <c r="H883" s="81">
        <f t="shared" si="43"/>
        <v>6683946.75</v>
      </c>
      <c r="I883" s="84">
        <f t="shared" si="44"/>
        <v>0.2627002083332588</v>
      </c>
      <c r="J883" s="84">
        <f t="shared" si="42"/>
        <v>9.1611112253289467E-2</v>
      </c>
      <c r="K883" s="90" t="s">
        <v>54</v>
      </c>
    </row>
    <row r="884" spans="1:11" ht="60">
      <c r="A884" s="14">
        <v>45687</v>
      </c>
      <c r="B884" s="83">
        <f>VLOOKUP(A884,'BADI SID DATA'!A:B,2,0)</f>
        <v>305</v>
      </c>
      <c r="C884" s="85">
        <v>59152.600000008941</v>
      </c>
      <c r="D884" s="52">
        <v>6.42</v>
      </c>
      <c r="E884" s="82">
        <v>10.199999999999999</v>
      </c>
      <c r="F884" s="46">
        <v>1</v>
      </c>
      <c r="G884" s="46">
        <v>1</v>
      </c>
      <c r="H884" s="81">
        <f t="shared" si="43"/>
        <v>6743099.3500000089</v>
      </c>
      <c r="I884" s="84">
        <f t="shared" si="44"/>
        <v>0.24646916666670393</v>
      </c>
      <c r="J884" s="84">
        <f t="shared" si="42"/>
        <v>9.2118843579235096E-2</v>
      </c>
      <c r="K884" s="90" t="s">
        <v>54</v>
      </c>
    </row>
    <row r="885" spans="1:11" ht="60">
      <c r="A885" s="14">
        <v>45688</v>
      </c>
      <c r="B885" s="83">
        <f>VLOOKUP(A885,'BADI SID DATA'!A:B,2,0)</f>
        <v>306</v>
      </c>
      <c r="C885" s="85">
        <v>64349.34999999404</v>
      </c>
      <c r="D885" s="51">
        <v>7.05</v>
      </c>
      <c r="E885" s="82">
        <v>10.5</v>
      </c>
      <c r="F885" s="46">
        <v>1</v>
      </c>
      <c r="G885" s="46">
        <v>1</v>
      </c>
      <c r="H885" s="81">
        <f t="shared" si="43"/>
        <v>6807448.700000003</v>
      </c>
      <c r="I885" s="84">
        <f t="shared" si="44"/>
        <v>0.26812229166664181</v>
      </c>
      <c r="J885" s="84">
        <f t="shared" si="42"/>
        <v>9.2694018246187407E-2</v>
      </c>
      <c r="K885" s="90" t="s">
        <v>54</v>
      </c>
    </row>
    <row r="886" spans="1:11" ht="60">
      <c r="A886" s="14">
        <v>45689</v>
      </c>
      <c r="B886" s="83">
        <f>VLOOKUP(A886,'BADI SID DATA'!A:B,2,0)</f>
        <v>307</v>
      </c>
      <c r="C886" s="85">
        <v>58501.300000011921</v>
      </c>
      <c r="D886" s="53">
        <v>6.25</v>
      </c>
      <c r="E886" s="82">
        <v>10.6</v>
      </c>
      <c r="F886" s="46">
        <v>1</v>
      </c>
      <c r="G886" s="46">
        <v>1</v>
      </c>
      <c r="H886" s="81">
        <f t="shared" si="43"/>
        <v>6865950.0000000149</v>
      </c>
      <c r="I886" s="84">
        <f t="shared" si="44"/>
        <v>0.24375541666671632</v>
      </c>
      <c r="J886" s="84">
        <f t="shared" si="42"/>
        <v>9.318607491856698E-2</v>
      </c>
      <c r="K886" s="90" t="s">
        <v>54</v>
      </c>
    </row>
    <row r="887" spans="1:11" ht="60">
      <c r="A887" s="14">
        <v>45690</v>
      </c>
      <c r="B887" s="83">
        <f>VLOOKUP(A887,'BADI SID DATA'!A:B,2,0)</f>
        <v>308</v>
      </c>
      <c r="C887" s="85">
        <v>70197.399999991059</v>
      </c>
      <c r="D887" s="53">
        <v>7.7</v>
      </c>
      <c r="E887" s="82">
        <v>10.8</v>
      </c>
      <c r="F887" s="46">
        <v>1</v>
      </c>
      <c r="G887" s="46">
        <v>1</v>
      </c>
      <c r="H887" s="81">
        <f t="shared" si="43"/>
        <v>6936147.400000006</v>
      </c>
      <c r="I887" s="84">
        <f t="shared" si="44"/>
        <v>0.29248916666662944</v>
      </c>
      <c r="J887" s="84">
        <f t="shared" si="42"/>
        <v>9.3833162878787957E-2</v>
      </c>
      <c r="K887" s="90" t="s">
        <v>54</v>
      </c>
    </row>
    <row r="888" spans="1:11" ht="60">
      <c r="A888" s="14">
        <v>45691</v>
      </c>
      <c r="B888" s="83">
        <f>VLOOKUP(A888,'BADI SID DATA'!A:B,2,0)</f>
        <v>309</v>
      </c>
      <c r="C888" s="85">
        <v>68253.25</v>
      </c>
      <c r="D888" s="50">
        <v>7.49</v>
      </c>
      <c r="E888" s="82">
        <v>10.4</v>
      </c>
      <c r="F888" s="46">
        <v>1</v>
      </c>
      <c r="G888" s="46">
        <v>1</v>
      </c>
      <c r="H888" s="81">
        <f t="shared" si="43"/>
        <v>7004400.650000006</v>
      </c>
      <c r="I888" s="84">
        <f t="shared" si="44"/>
        <v>0.28438854166666666</v>
      </c>
      <c r="J888" s="84">
        <f t="shared" si="42"/>
        <v>9.4449846952535138E-2</v>
      </c>
      <c r="K888" s="90" t="s">
        <v>54</v>
      </c>
    </row>
    <row r="889" spans="1:11" ht="60">
      <c r="A889" s="14">
        <v>45692</v>
      </c>
      <c r="B889" s="83">
        <f>VLOOKUP(A889,'BADI SID DATA'!A:B,2,0)</f>
        <v>310</v>
      </c>
      <c r="C889" s="85">
        <v>67601.95000000298</v>
      </c>
      <c r="D889" s="53">
        <v>7.2</v>
      </c>
      <c r="E889" s="82">
        <v>10.199999999999999</v>
      </c>
      <c r="F889" s="46">
        <v>1</v>
      </c>
      <c r="G889" s="46">
        <v>1</v>
      </c>
      <c r="H889" s="81">
        <f t="shared" si="43"/>
        <v>7072002.6000000089</v>
      </c>
      <c r="I889" s="84">
        <f t="shared" si="44"/>
        <v>0.28167479166667908</v>
      </c>
      <c r="J889" s="84">
        <f t="shared" si="42"/>
        <v>9.5053798387096891E-2</v>
      </c>
      <c r="K889" s="90" t="s">
        <v>54</v>
      </c>
    </row>
    <row r="890" spans="1:11" ht="60">
      <c r="A890" s="14">
        <v>45693</v>
      </c>
      <c r="B890" s="83">
        <f>VLOOKUP(A890,'BADI SID DATA'!A:B,2,0)</f>
        <v>311</v>
      </c>
      <c r="C890" s="85">
        <v>66944.149999991059</v>
      </c>
      <c r="D890" s="53">
        <v>7.13</v>
      </c>
      <c r="E890" s="82">
        <v>10.9</v>
      </c>
      <c r="F890" s="46">
        <v>1</v>
      </c>
      <c r="G890" s="46">
        <v>1</v>
      </c>
      <c r="H890" s="81">
        <f t="shared" si="43"/>
        <v>7138946.75</v>
      </c>
      <c r="I890" s="84">
        <f t="shared" si="44"/>
        <v>0.27893395833329609</v>
      </c>
      <c r="J890" s="84">
        <f t="shared" si="42"/>
        <v>9.5645052920685966E-2</v>
      </c>
      <c r="K890" s="90" t="s">
        <v>54</v>
      </c>
    </row>
    <row r="891" spans="1:11" ht="60">
      <c r="A891" s="14">
        <v>45694</v>
      </c>
      <c r="B891" s="83">
        <f>VLOOKUP(A891,'BADI SID DATA'!A:B,2,0)</f>
        <v>312</v>
      </c>
      <c r="C891" s="85">
        <v>70205.20000000298</v>
      </c>
      <c r="D891" s="50">
        <v>7.09</v>
      </c>
      <c r="E891" s="82">
        <v>10.8</v>
      </c>
      <c r="F891" s="46">
        <v>1</v>
      </c>
      <c r="G891" s="46">
        <v>1</v>
      </c>
      <c r="H891" s="81">
        <f t="shared" si="43"/>
        <v>7209151.950000003</v>
      </c>
      <c r="I891" s="84">
        <f t="shared" si="44"/>
        <v>0.29252166666667906</v>
      </c>
      <c r="J891" s="84">
        <f t="shared" si="42"/>
        <v>9.6276067708333371E-2</v>
      </c>
      <c r="K891" s="90" t="s">
        <v>54</v>
      </c>
    </row>
    <row r="892" spans="1:11" ht="60">
      <c r="A892" s="14">
        <v>45695</v>
      </c>
      <c r="B892" s="83">
        <f>VLOOKUP(A892,'BADI SID DATA'!A:B,2,0)</f>
        <v>313</v>
      </c>
      <c r="C892" s="85">
        <v>70848.04999999702</v>
      </c>
      <c r="D892" s="50">
        <v>7.51</v>
      </c>
      <c r="E892" s="82">
        <v>10.6</v>
      </c>
      <c r="F892" s="46">
        <v>1</v>
      </c>
      <c r="G892" s="46">
        <v>1</v>
      </c>
      <c r="H892" s="81">
        <f t="shared" si="43"/>
        <v>7280000</v>
      </c>
      <c r="I892" s="84">
        <f t="shared" si="44"/>
        <v>0.29520020833332089</v>
      </c>
      <c r="J892" s="84">
        <f t="shared" si="42"/>
        <v>9.6911608093716725E-2</v>
      </c>
      <c r="K892" s="90" t="s">
        <v>54</v>
      </c>
    </row>
    <row r="893" spans="1:11" ht="60">
      <c r="A893" s="14">
        <v>45696</v>
      </c>
      <c r="B893" s="83">
        <f>VLOOKUP(A893,'BADI SID DATA'!A:B,2,0)</f>
        <v>314</v>
      </c>
      <c r="C893" s="85">
        <v>63698.70000000298</v>
      </c>
      <c r="D893" s="53">
        <v>6.72</v>
      </c>
      <c r="E893" s="82">
        <v>10.4</v>
      </c>
      <c r="F893" s="46">
        <v>1</v>
      </c>
      <c r="G893" s="46">
        <v>1</v>
      </c>
      <c r="H893" s="81">
        <f t="shared" si="43"/>
        <v>7343698.700000003</v>
      </c>
      <c r="I893" s="84">
        <f t="shared" si="44"/>
        <v>0.26541125000001242</v>
      </c>
      <c r="J893" s="84">
        <f t="shared" ref="J893:J956" si="45">H893/(24*B893*10*1000)</f>
        <v>9.7448231157112569E-2</v>
      </c>
      <c r="K893" s="90" t="s">
        <v>54</v>
      </c>
    </row>
    <row r="894" spans="1:11" ht="60">
      <c r="A894" s="14">
        <v>45697</v>
      </c>
      <c r="B894" s="83">
        <f>VLOOKUP(A894,'BADI SID DATA'!A:B,2,0)</f>
        <v>315</v>
      </c>
      <c r="C894" s="85">
        <v>63698.70000000298</v>
      </c>
      <c r="D894" s="53">
        <v>6.72</v>
      </c>
      <c r="E894" s="82">
        <v>10</v>
      </c>
      <c r="F894" s="46">
        <v>1</v>
      </c>
      <c r="G894" s="46">
        <v>1</v>
      </c>
      <c r="H894" s="81">
        <f t="shared" si="43"/>
        <v>7407397.400000006</v>
      </c>
      <c r="I894" s="84">
        <f t="shared" si="44"/>
        <v>0.26541125000001242</v>
      </c>
      <c r="J894" s="84">
        <f t="shared" si="45"/>
        <v>9.7981447089947174E-2</v>
      </c>
      <c r="K894" s="90" t="s">
        <v>54</v>
      </c>
    </row>
    <row r="895" spans="1:11" ht="60">
      <c r="A895" s="14">
        <v>45698</v>
      </c>
      <c r="B895" s="83">
        <f>VLOOKUP(A895,'BADI SID DATA'!A:B,2,0)</f>
        <v>316</v>
      </c>
      <c r="C895" s="85">
        <v>59802.600000008941</v>
      </c>
      <c r="D895" s="51">
        <v>6.33</v>
      </c>
      <c r="E895" s="82">
        <v>10.9</v>
      </c>
      <c r="F895" s="46">
        <v>1</v>
      </c>
      <c r="G895" s="46">
        <v>1</v>
      </c>
      <c r="H895" s="81">
        <f t="shared" si="43"/>
        <v>7467200.0000000149</v>
      </c>
      <c r="I895" s="84">
        <f t="shared" si="44"/>
        <v>0.24917750000003724</v>
      </c>
      <c r="J895" s="84">
        <f t="shared" si="45"/>
        <v>9.8459915611814539E-2</v>
      </c>
      <c r="K895" s="90" t="s">
        <v>54</v>
      </c>
    </row>
    <row r="896" spans="1:11" ht="60">
      <c r="A896" s="14">
        <v>45699</v>
      </c>
      <c r="B896" s="83">
        <f>VLOOKUP(A896,'BADI SID DATA'!A:B,2,0)</f>
        <v>317</v>
      </c>
      <c r="C896" s="85">
        <v>68253.25</v>
      </c>
      <c r="D896" s="51">
        <v>7.39</v>
      </c>
      <c r="E896" s="82">
        <v>10.8</v>
      </c>
      <c r="F896" s="46">
        <v>1</v>
      </c>
      <c r="G896" s="46">
        <v>1</v>
      </c>
      <c r="H896" s="81">
        <f t="shared" si="43"/>
        <v>7535453.2500000149</v>
      </c>
      <c r="I896" s="84">
        <f t="shared" si="44"/>
        <v>0.28438854166666666</v>
      </c>
      <c r="J896" s="84">
        <f t="shared" si="45"/>
        <v>9.9046441246056979E-2</v>
      </c>
      <c r="K896" s="90" t="s">
        <v>54</v>
      </c>
    </row>
    <row r="897" spans="1:11" ht="60">
      <c r="A897" s="14">
        <v>45700</v>
      </c>
      <c r="B897" s="83">
        <f>VLOOKUP(A897,'BADI SID DATA'!A:B,2,0)</f>
        <v>318</v>
      </c>
      <c r="C897" s="85">
        <v>71498.04999999702</v>
      </c>
      <c r="D897" s="51">
        <v>7.68</v>
      </c>
      <c r="E897" s="82">
        <v>10.5</v>
      </c>
      <c r="F897" s="46">
        <v>1</v>
      </c>
      <c r="G897" s="46">
        <v>1</v>
      </c>
      <c r="H897" s="81">
        <f t="shared" si="43"/>
        <v>7606951.3000000119</v>
      </c>
      <c r="I897" s="84">
        <f t="shared" si="44"/>
        <v>0.29790854166665426</v>
      </c>
      <c r="J897" s="84">
        <f t="shared" si="45"/>
        <v>9.9671793763102881E-2</v>
      </c>
      <c r="K897" s="90" t="s">
        <v>54</v>
      </c>
    </row>
    <row r="898" spans="1:11" ht="60">
      <c r="A898" s="14">
        <v>45701</v>
      </c>
      <c r="B898" s="83">
        <f>VLOOKUP(A898,'BADI SID DATA'!A:B,2,0)</f>
        <v>319</v>
      </c>
      <c r="C898" s="85">
        <v>65650.649999991059</v>
      </c>
      <c r="D898" s="51">
        <v>7.05</v>
      </c>
      <c r="E898" s="82">
        <v>10.4</v>
      </c>
      <c r="F898" s="46">
        <v>1</v>
      </c>
      <c r="G898" s="46">
        <v>1</v>
      </c>
      <c r="H898" s="81">
        <f t="shared" si="43"/>
        <v>7672601.950000003</v>
      </c>
      <c r="I898" s="84">
        <f t="shared" si="44"/>
        <v>0.27354437499996276</v>
      </c>
      <c r="J898" s="84">
        <f t="shared" si="45"/>
        <v>0.10021684887669806</v>
      </c>
      <c r="K898" s="90" t="s">
        <v>54</v>
      </c>
    </row>
    <row r="899" spans="1:11" ht="60">
      <c r="A899" s="14">
        <v>45702</v>
      </c>
      <c r="B899" s="83">
        <f>VLOOKUP(A899,'BADI SID DATA'!A:B,2,0)</f>
        <v>320</v>
      </c>
      <c r="C899" s="85">
        <v>65000</v>
      </c>
      <c r="D899" s="51">
        <v>6.93</v>
      </c>
      <c r="E899" s="82">
        <v>10.8</v>
      </c>
      <c r="F899" s="46">
        <v>1</v>
      </c>
      <c r="G899" s="46">
        <v>1</v>
      </c>
      <c r="H899" s="81">
        <f t="shared" si="43"/>
        <v>7737601.950000003</v>
      </c>
      <c r="I899" s="84">
        <f t="shared" si="44"/>
        <v>0.27083333333333331</v>
      </c>
      <c r="J899" s="84">
        <f t="shared" si="45"/>
        <v>0.10075002539062504</v>
      </c>
      <c r="K899" s="90" t="s">
        <v>54</v>
      </c>
    </row>
    <row r="900" spans="1:11" ht="60">
      <c r="A900" s="14">
        <v>45703</v>
      </c>
      <c r="B900" s="83">
        <f>VLOOKUP(A900,'BADI SID DATA'!A:B,2,0)</f>
        <v>321</v>
      </c>
      <c r="C900" s="85">
        <v>63698.70000000298</v>
      </c>
      <c r="D900" s="51">
        <v>6.81</v>
      </c>
      <c r="E900" s="82">
        <v>10.199999999999999</v>
      </c>
      <c r="F900" s="46">
        <v>1</v>
      </c>
      <c r="G900" s="46">
        <v>1</v>
      </c>
      <c r="H900" s="81">
        <f t="shared" si="43"/>
        <v>7801300.650000006</v>
      </c>
      <c r="I900" s="84">
        <f t="shared" si="44"/>
        <v>0.26541125000001242</v>
      </c>
      <c r="J900" s="84">
        <f t="shared" si="45"/>
        <v>0.10126298870716519</v>
      </c>
      <c r="K900" s="90" t="s">
        <v>54</v>
      </c>
    </row>
    <row r="901" spans="1:11" ht="60">
      <c r="A901" s="14">
        <v>45704</v>
      </c>
      <c r="B901" s="83">
        <f>VLOOKUP(A901,'BADI SID DATA'!A:B,2,0)</f>
        <v>322</v>
      </c>
      <c r="C901" s="85">
        <v>66951.95000000298</v>
      </c>
      <c r="D901" s="51">
        <v>7.08</v>
      </c>
      <c r="E901" s="82">
        <v>10.7</v>
      </c>
      <c r="F901" s="46">
        <v>1</v>
      </c>
      <c r="G901" s="46">
        <v>1</v>
      </c>
      <c r="H901" s="81">
        <f t="shared" ref="H901:H964" si="46">C901+H900</f>
        <v>7868252.6000000089</v>
      </c>
      <c r="I901" s="84">
        <f t="shared" si="44"/>
        <v>0.27896645833334577</v>
      </c>
      <c r="J901" s="84">
        <f t="shared" si="45"/>
        <v>0.10181486283643904</v>
      </c>
      <c r="K901" s="90" t="s">
        <v>54</v>
      </c>
    </row>
    <row r="902" spans="1:11" ht="60">
      <c r="A902" s="14">
        <v>45705</v>
      </c>
      <c r="B902" s="83">
        <f>VLOOKUP(A902,'BADI SID DATA'!A:B,2,0)</f>
        <v>323</v>
      </c>
      <c r="C902" s="85">
        <v>66944.149999991059</v>
      </c>
      <c r="D902" s="51">
        <v>7.1</v>
      </c>
      <c r="E902" s="82">
        <v>10.9</v>
      </c>
      <c r="F902" s="46">
        <v>1</v>
      </c>
      <c r="G902" s="46">
        <v>1</v>
      </c>
      <c r="H902" s="81">
        <f t="shared" si="46"/>
        <v>7935196.75</v>
      </c>
      <c r="I902" s="84">
        <f t="shared" si="44"/>
        <v>0.27893395833329609</v>
      </c>
      <c r="J902" s="84">
        <f t="shared" si="45"/>
        <v>0.10236321916924665</v>
      </c>
      <c r="K902" s="90" t="s">
        <v>54</v>
      </c>
    </row>
    <row r="903" spans="1:11" ht="60">
      <c r="A903" s="14">
        <v>45706</v>
      </c>
      <c r="B903" s="83">
        <f>VLOOKUP(A903,'BADI SID DATA'!A:B,2,0)</f>
        <v>324</v>
      </c>
      <c r="C903" s="85">
        <v>66301.29999999702</v>
      </c>
      <c r="D903" s="51">
        <v>7.08</v>
      </c>
      <c r="E903" s="82">
        <v>10.3</v>
      </c>
      <c r="F903" s="46">
        <v>1</v>
      </c>
      <c r="G903" s="46">
        <v>1</v>
      </c>
      <c r="H903" s="81">
        <f t="shared" si="46"/>
        <v>8001498.049999997</v>
      </c>
      <c r="I903" s="84">
        <f t="shared" si="44"/>
        <v>0.27625541666665426</v>
      </c>
      <c r="J903" s="84">
        <f t="shared" si="45"/>
        <v>0.10289992348251024</v>
      </c>
      <c r="K903" s="90" t="s">
        <v>54</v>
      </c>
    </row>
    <row r="904" spans="1:11" ht="60">
      <c r="A904" s="14">
        <v>45707</v>
      </c>
      <c r="B904" s="83">
        <f>VLOOKUP(A904,'BADI SID DATA'!A:B,2,0)</f>
        <v>325</v>
      </c>
      <c r="C904" s="85">
        <v>65000</v>
      </c>
      <c r="D904" s="51">
        <v>6.92</v>
      </c>
      <c r="E904" s="82">
        <v>10.8</v>
      </c>
      <c r="F904" s="46">
        <v>1</v>
      </c>
      <c r="G904" s="46">
        <v>1</v>
      </c>
      <c r="H904" s="81">
        <f t="shared" si="46"/>
        <v>8066498.049999997</v>
      </c>
      <c r="I904" s="84">
        <f t="shared" si="44"/>
        <v>0.27083333333333331</v>
      </c>
      <c r="J904" s="84">
        <f t="shared" si="45"/>
        <v>0.10341664166666663</v>
      </c>
      <c r="K904" s="90" t="s">
        <v>54</v>
      </c>
    </row>
    <row r="905" spans="1:11" ht="60">
      <c r="A905" s="14">
        <v>45708</v>
      </c>
      <c r="B905" s="83">
        <f>VLOOKUP(A905,'BADI SID DATA'!A:B,2,0)</f>
        <v>326</v>
      </c>
      <c r="C905" s="85">
        <v>63055.850000008941</v>
      </c>
      <c r="D905" s="51">
        <v>6.81</v>
      </c>
      <c r="E905" s="82">
        <v>10.4</v>
      </c>
      <c r="F905" s="46">
        <v>1</v>
      </c>
      <c r="G905" s="46">
        <v>1</v>
      </c>
      <c r="H905" s="81">
        <f t="shared" si="46"/>
        <v>8129553.900000006</v>
      </c>
      <c r="I905" s="84">
        <f t="shared" si="44"/>
        <v>0.26273270833337059</v>
      </c>
      <c r="J905" s="84">
        <f t="shared" si="45"/>
        <v>0.10390534125766879</v>
      </c>
      <c r="K905" s="90" t="s">
        <v>54</v>
      </c>
    </row>
    <row r="906" spans="1:11" ht="60">
      <c r="A906" s="14">
        <v>45709</v>
      </c>
      <c r="B906" s="83">
        <f>VLOOKUP(A906,'BADI SID DATA'!A:B,2,0)</f>
        <v>327</v>
      </c>
      <c r="C906" s="85">
        <v>63698.70000000298</v>
      </c>
      <c r="D906" s="51">
        <v>6.71</v>
      </c>
      <c r="E906" s="82">
        <v>10.7</v>
      </c>
      <c r="F906" s="46">
        <v>1</v>
      </c>
      <c r="G906" s="46">
        <v>1</v>
      </c>
      <c r="H906" s="81">
        <f t="shared" si="46"/>
        <v>8193252.6000000089</v>
      </c>
      <c r="I906" s="84">
        <f t="shared" si="44"/>
        <v>0.26541125000001242</v>
      </c>
      <c r="J906" s="84">
        <f t="shared" si="45"/>
        <v>0.10439924311926617</v>
      </c>
      <c r="K906" s="90" t="s">
        <v>54</v>
      </c>
    </row>
    <row r="907" spans="1:11" ht="60">
      <c r="A907" s="14">
        <v>45710</v>
      </c>
      <c r="B907" s="83">
        <f>VLOOKUP(A907,'BADI SID DATA'!A:B,2,0)</f>
        <v>328</v>
      </c>
      <c r="C907" s="85">
        <v>60446.09999999404</v>
      </c>
      <c r="D907" s="51">
        <v>6.68</v>
      </c>
      <c r="E907" s="82">
        <v>10.5</v>
      </c>
      <c r="F907" s="46">
        <v>1</v>
      </c>
      <c r="G907" s="46">
        <v>1</v>
      </c>
      <c r="H907" s="81">
        <f t="shared" si="46"/>
        <v>8253698.700000003</v>
      </c>
      <c r="I907" s="84">
        <f t="shared" si="44"/>
        <v>0.25185874999997515</v>
      </c>
      <c r="J907" s="84">
        <f t="shared" si="45"/>
        <v>0.10484881478658541</v>
      </c>
      <c r="K907" s="90" t="s">
        <v>54</v>
      </c>
    </row>
    <row r="908" spans="1:11" ht="60">
      <c r="A908" s="14">
        <v>45711</v>
      </c>
      <c r="B908" s="83">
        <f>VLOOKUP(A908,'BADI SID DATA'!A:B,2,0)</f>
        <v>329</v>
      </c>
      <c r="C908" s="85">
        <v>61103.899999991059</v>
      </c>
      <c r="D908" s="51">
        <v>6.38</v>
      </c>
      <c r="E908" s="82">
        <v>10.9</v>
      </c>
      <c r="F908" s="46">
        <v>1</v>
      </c>
      <c r="G908" s="46">
        <v>1</v>
      </c>
      <c r="H908" s="81">
        <f t="shared" si="46"/>
        <v>8314802.599999994</v>
      </c>
      <c r="I908" s="84">
        <f t="shared" si="44"/>
        <v>0.25459958333329608</v>
      </c>
      <c r="J908" s="84">
        <f t="shared" si="45"/>
        <v>0.10530398429584592</v>
      </c>
      <c r="K908" s="90" t="s">
        <v>54</v>
      </c>
    </row>
    <row r="909" spans="1:11" ht="60">
      <c r="A909" s="14">
        <v>45712</v>
      </c>
      <c r="B909" s="83">
        <f>VLOOKUP(A909,'BADI SID DATA'!A:B,2,0)</f>
        <v>330</v>
      </c>
      <c r="C909" s="85">
        <v>69546.750000014901</v>
      </c>
      <c r="D909" s="51">
        <v>7.28</v>
      </c>
      <c r="E909" s="82">
        <v>10.4</v>
      </c>
      <c r="F909" s="46">
        <v>1</v>
      </c>
      <c r="G909" s="46">
        <v>1</v>
      </c>
      <c r="H909" s="81">
        <f t="shared" si="46"/>
        <v>8384349.3500000089</v>
      </c>
      <c r="I909" s="84">
        <f t="shared" si="44"/>
        <v>0.28977812500006211</v>
      </c>
      <c r="J909" s="84">
        <f t="shared" si="45"/>
        <v>0.10586299684343446</v>
      </c>
      <c r="K909" s="90" t="s">
        <v>54</v>
      </c>
    </row>
    <row r="910" spans="1:11" ht="60">
      <c r="A910" s="14">
        <v>45713</v>
      </c>
      <c r="B910" s="83">
        <f>VLOOKUP(A910,'BADI SID DATA'!A:B,2,0)</f>
        <v>331</v>
      </c>
      <c r="C910" s="85">
        <v>67601.95000000298</v>
      </c>
      <c r="D910" s="51">
        <v>7</v>
      </c>
      <c r="E910" s="82">
        <v>10.6</v>
      </c>
      <c r="F910" s="46">
        <v>1</v>
      </c>
      <c r="G910" s="46">
        <v>1</v>
      </c>
      <c r="H910" s="81">
        <f t="shared" si="46"/>
        <v>8451951.3000000119</v>
      </c>
      <c r="I910" s="84">
        <f t="shared" si="44"/>
        <v>0.28167479166667908</v>
      </c>
      <c r="J910" s="84">
        <f t="shared" si="45"/>
        <v>0.10639415030211495</v>
      </c>
      <c r="K910" s="90" t="s">
        <v>54</v>
      </c>
    </row>
    <row r="911" spans="1:11" ht="60">
      <c r="A911" s="14">
        <v>45714</v>
      </c>
      <c r="B911" s="83">
        <f>VLOOKUP(A911,'BADI SID DATA'!A:B,2,0)</f>
        <v>332</v>
      </c>
      <c r="C911" s="85">
        <v>66301.29999999702</v>
      </c>
      <c r="D911" s="52">
        <v>6.87</v>
      </c>
      <c r="E911" s="82">
        <v>10.199999999999999</v>
      </c>
      <c r="F911" s="46">
        <v>1</v>
      </c>
      <c r="G911" s="46">
        <v>1</v>
      </c>
      <c r="H911" s="81">
        <f t="shared" si="46"/>
        <v>8518252.6000000089</v>
      </c>
      <c r="I911" s="84">
        <f t="shared" si="44"/>
        <v>0.27625541666665426</v>
      </c>
      <c r="J911" s="84">
        <f t="shared" si="45"/>
        <v>0.10690578062249007</v>
      </c>
      <c r="K911" s="90" t="s">
        <v>54</v>
      </c>
    </row>
    <row r="912" spans="1:11" ht="60">
      <c r="A912" s="14">
        <v>45715</v>
      </c>
      <c r="B912" s="83">
        <f>VLOOKUP(A912,'BADI SID DATA'!A:B,2,0)</f>
        <v>333</v>
      </c>
      <c r="C912" s="85">
        <v>67594.79999999702</v>
      </c>
      <c r="D912" s="51">
        <v>7.07</v>
      </c>
      <c r="E912" s="82">
        <v>10.9</v>
      </c>
      <c r="F912" s="46">
        <v>1</v>
      </c>
      <c r="G912" s="46">
        <v>1</v>
      </c>
      <c r="H912" s="81">
        <f t="shared" si="46"/>
        <v>8585847.400000006</v>
      </c>
      <c r="I912" s="84">
        <f t="shared" si="44"/>
        <v>0.2816449999999876</v>
      </c>
      <c r="J912" s="84">
        <f t="shared" si="45"/>
        <v>0.1074305230230231</v>
      </c>
      <c r="K912" s="90" t="s">
        <v>54</v>
      </c>
    </row>
    <row r="913" spans="1:11" ht="60">
      <c r="A913" s="14">
        <v>45716</v>
      </c>
      <c r="B913" s="83">
        <f>VLOOKUP(A913,'BADI SID DATA'!A:B,2,0)</f>
        <v>334</v>
      </c>
      <c r="C913" s="85">
        <v>63055.84999999404</v>
      </c>
      <c r="D913" s="52">
        <v>6.5</v>
      </c>
      <c r="E913" s="82">
        <v>10.8</v>
      </c>
      <c r="F913" s="46">
        <v>1</v>
      </c>
      <c r="G913" s="46">
        <v>1</v>
      </c>
      <c r="H913" s="81">
        <f t="shared" si="46"/>
        <v>8648903.25</v>
      </c>
      <c r="I913" s="84">
        <f t="shared" si="44"/>
        <v>0.26273270833330847</v>
      </c>
      <c r="J913" s="84">
        <f t="shared" si="45"/>
        <v>0.1078954996257485</v>
      </c>
      <c r="K913" s="90" t="s">
        <v>54</v>
      </c>
    </row>
    <row r="914" spans="1:11" ht="60">
      <c r="A914" s="14">
        <v>45717</v>
      </c>
      <c r="B914" s="83">
        <f>VLOOKUP(A914,'BADI SID DATA'!A:B,2,0)</f>
        <v>335</v>
      </c>
      <c r="C914" s="85">
        <v>55899.34999999404</v>
      </c>
      <c r="D914" s="53">
        <v>5.85</v>
      </c>
      <c r="E914" s="82">
        <v>10.9</v>
      </c>
      <c r="F914" s="46">
        <v>1</v>
      </c>
      <c r="G914" s="46">
        <v>1</v>
      </c>
      <c r="H914" s="81">
        <f t="shared" si="46"/>
        <v>8704802.599999994</v>
      </c>
      <c r="I914" s="84">
        <f t="shared" si="44"/>
        <v>0.2329139583333085</v>
      </c>
      <c r="J914" s="84">
        <f t="shared" si="45"/>
        <v>0.10826868905472629</v>
      </c>
      <c r="K914" s="90" t="s">
        <v>54</v>
      </c>
    </row>
    <row r="915" spans="1:11" ht="60">
      <c r="A915" s="14">
        <v>45718</v>
      </c>
      <c r="B915" s="83">
        <f>VLOOKUP(A915,'BADI SID DATA'!A:B,2,0)</f>
        <v>336</v>
      </c>
      <c r="C915" s="85">
        <v>63698.70000000298</v>
      </c>
      <c r="D915" s="53">
        <v>6.85</v>
      </c>
      <c r="E915" s="82">
        <v>10.6</v>
      </c>
      <c r="F915" s="46">
        <v>1</v>
      </c>
      <c r="G915" s="46">
        <v>1</v>
      </c>
      <c r="H915" s="81">
        <f t="shared" si="46"/>
        <v>8768501.299999997</v>
      </c>
      <c r="I915" s="84">
        <f t="shared" si="44"/>
        <v>0.26541125000001242</v>
      </c>
      <c r="J915" s="84">
        <f t="shared" si="45"/>
        <v>0.10873637524801584</v>
      </c>
      <c r="K915" s="90" t="s">
        <v>54</v>
      </c>
    </row>
    <row r="916" spans="1:11" ht="60">
      <c r="A916" s="14">
        <v>45719</v>
      </c>
      <c r="B916" s="83">
        <f>VLOOKUP(A916,'BADI SID DATA'!A:B,2,0)</f>
        <v>337</v>
      </c>
      <c r="C916" s="85">
        <v>63698.700000017881</v>
      </c>
      <c r="D916" s="50">
        <v>6.67</v>
      </c>
      <c r="E916" s="82">
        <v>10.4</v>
      </c>
      <c r="F916" s="46">
        <v>1</v>
      </c>
      <c r="G916" s="46">
        <v>1</v>
      </c>
      <c r="H916" s="81">
        <f t="shared" si="46"/>
        <v>8832200.0000000149</v>
      </c>
      <c r="I916" s="84">
        <f t="shared" si="44"/>
        <v>0.26541125000007448</v>
      </c>
      <c r="J916" s="84">
        <f t="shared" si="45"/>
        <v>0.10920128585558871</v>
      </c>
      <c r="K916" s="90" t="s">
        <v>54</v>
      </c>
    </row>
    <row r="917" spans="1:11" ht="60">
      <c r="A917" s="14">
        <v>45720</v>
      </c>
      <c r="B917" s="83">
        <f>VLOOKUP(A917,'BADI SID DATA'!A:B,2,0)</f>
        <v>338</v>
      </c>
      <c r="C917" s="85">
        <v>54598.04999999702</v>
      </c>
      <c r="D917" s="53">
        <v>5.5</v>
      </c>
      <c r="E917" s="82">
        <v>10.199999999999999</v>
      </c>
      <c r="F917" s="46">
        <v>1</v>
      </c>
      <c r="G917" s="46">
        <v>1</v>
      </c>
      <c r="H917" s="81">
        <f t="shared" si="46"/>
        <v>8886798.0500000119</v>
      </c>
      <c r="I917" s="84">
        <f t="shared" si="44"/>
        <v>0.22749187499998758</v>
      </c>
      <c r="J917" s="84">
        <f t="shared" si="45"/>
        <v>0.10955125801282066</v>
      </c>
      <c r="K917" s="90" t="s">
        <v>54</v>
      </c>
    </row>
    <row r="918" spans="1:11" ht="60">
      <c r="A918" s="14">
        <v>45721</v>
      </c>
      <c r="B918" s="83">
        <f>VLOOKUP(A918,'BADI SID DATA'!A:B,2,0)</f>
        <v>339</v>
      </c>
      <c r="C918" s="85">
        <v>56549.34999999404</v>
      </c>
      <c r="D918" s="53">
        <v>5.85</v>
      </c>
      <c r="E918" s="82">
        <v>10.8</v>
      </c>
      <c r="F918" s="46">
        <v>1</v>
      </c>
      <c r="G918" s="46">
        <v>1</v>
      </c>
      <c r="H918" s="81">
        <f t="shared" si="46"/>
        <v>8943347.400000006</v>
      </c>
      <c r="I918" s="84">
        <f t="shared" si="44"/>
        <v>0.23562229166664184</v>
      </c>
      <c r="J918" s="84">
        <f t="shared" si="45"/>
        <v>0.10992314896755169</v>
      </c>
      <c r="K918" s="90" t="s">
        <v>54</v>
      </c>
    </row>
    <row r="919" spans="1:11" ht="60">
      <c r="A919" s="14">
        <v>45722</v>
      </c>
      <c r="B919" s="83">
        <f>VLOOKUP(A919,'BADI SID DATA'!A:B,2,0)</f>
        <v>340</v>
      </c>
      <c r="C919" s="85">
        <v>57200.65000000596</v>
      </c>
      <c r="D919" s="50">
        <v>5.98</v>
      </c>
      <c r="E919" s="82">
        <v>10.7</v>
      </c>
      <c r="F919" s="46">
        <v>1</v>
      </c>
      <c r="G919" s="46">
        <v>1</v>
      </c>
      <c r="H919" s="81">
        <f t="shared" si="46"/>
        <v>9000548.0500000119</v>
      </c>
      <c r="I919" s="84">
        <f t="shared" si="44"/>
        <v>0.23833604166669151</v>
      </c>
      <c r="J919" s="84">
        <f t="shared" si="45"/>
        <v>0.11030083394607858</v>
      </c>
      <c r="K919" s="90" t="s">
        <v>54</v>
      </c>
    </row>
    <row r="920" spans="1:11" ht="60">
      <c r="A920" s="14">
        <v>45723</v>
      </c>
      <c r="B920" s="83">
        <f>VLOOKUP(A920,'BADI SID DATA'!A:B,2,0)</f>
        <v>341</v>
      </c>
      <c r="C920" s="85">
        <v>65650.649999991059</v>
      </c>
      <c r="D920" s="50">
        <v>7.01</v>
      </c>
      <c r="E920" s="82">
        <v>10.5</v>
      </c>
      <c r="F920" s="46">
        <v>1</v>
      </c>
      <c r="G920" s="46">
        <v>1</v>
      </c>
      <c r="H920" s="81">
        <f t="shared" si="46"/>
        <v>9066198.700000003</v>
      </c>
      <c r="I920" s="84">
        <f t="shared" si="44"/>
        <v>0.27354437499996276</v>
      </c>
      <c r="J920" s="84">
        <f t="shared" si="45"/>
        <v>0.11077955400782018</v>
      </c>
      <c r="K920" s="90" t="s">
        <v>54</v>
      </c>
    </row>
    <row r="921" spans="1:11" ht="60">
      <c r="A921" s="14">
        <v>45724</v>
      </c>
      <c r="B921" s="83">
        <f>VLOOKUP(A921,'BADI SID DATA'!A:B,2,0)</f>
        <v>342</v>
      </c>
      <c r="C921" s="85">
        <v>60453.25</v>
      </c>
      <c r="D921" s="53">
        <v>6.34</v>
      </c>
      <c r="E921" s="82">
        <v>10.8</v>
      </c>
      <c r="F921" s="46">
        <v>1</v>
      </c>
      <c r="G921" s="46">
        <v>1</v>
      </c>
      <c r="H921" s="81">
        <f t="shared" si="46"/>
        <v>9126651.950000003</v>
      </c>
      <c r="I921" s="84">
        <f t="shared" si="44"/>
        <v>0.25188854166666669</v>
      </c>
      <c r="J921" s="84">
        <f t="shared" si="45"/>
        <v>0.11119215338693961</v>
      </c>
      <c r="K921" s="90" t="s">
        <v>54</v>
      </c>
    </row>
    <row r="922" spans="1:11" ht="60">
      <c r="A922" s="14">
        <v>45725</v>
      </c>
      <c r="B922" s="83">
        <f>VLOOKUP(A922,'BADI SID DATA'!A:B,2,0)</f>
        <v>343</v>
      </c>
      <c r="C922" s="85">
        <v>63048.050000011921</v>
      </c>
      <c r="D922" s="53">
        <v>6.6</v>
      </c>
      <c r="E922" s="82">
        <v>10.6</v>
      </c>
      <c r="F922" s="46">
        <v>1</v>
      </c>
      <c r="G922" s="46">
        <v>1</v>
      </c>
      <c r="H922" s="81">
        <f t="shared" si="46"/>
        <v>9189700.0000000149</v>
      </c>
      <c r="I922" s="84">
        <f t="shared" si="44"/>
        <v>0.26270020833338298</v>
      </c>
      <c r="J922" s="84">
        <f t="shared" si="45"/>
        <v>0.11163386783284761</v>
      </c>
      <c r="K922" s="90" t="s">
        <v>54</v>
      </c>
    </row>
    <row r="923" spans="1:11" ht="60">
      <c r="A923" s="14">
        <v>45726</v>
      </c>
      <c r="B923" s="83">
        <f>VLOOKUP(A923,'BADI SID DATA'!A:B,2,0)</f>
        <v>344</v>
      </c>
      <c r="C923" s="85">
        <v>65650.649999991059</v>
      </c>
      <c r="D923" s="51">
        <v>6.9</v>
      </c>
      <c r="E923" s="82">
        <v>10.9</v>
      </c>
      <c r="F923" s="46">
        <v>1</v>
      </c>
      <c r="G923" s="46">
        <v>1</v>
      </c>
      <c r="H923" s="81">
        <f t="shared" si="46"/>
        <v>9255350.650000006</v>
      </c>
      <c r="I923" s="84">
        <f t="shared" si="44"/>
        <v>0.27354437499996276</v>
      </c>
      <c r="J923" s="84">
        <f t="shared" si="45"/>
        <v>0.11210453791182177</v>
      </c>
      <c r="K923" s="90" t="s">
        <v>54</v>
      </c>
    </row>
    <row r="924" spans="1:11" ht="60">
      <c r="A924" s="14">
        <v>45727</v>
      </c>
      <c r="B924" s="83">
        <f>VLOOKUP(A924,'BADI SID DATA'!A:B,2,0)</f>
        <v>345</v>
      </c>
      <c r="C924" s="85">
        <v>61096.09999999404</v>
      </c>
      <c r="D924" s="51">
        <v>5.97</v>
      </c>
      <c r="E924" s="82">
        <v>10.5</v>
      </c>
      <c r="F924" s="46">
        <v>1</v>
      </c>
      <c r="G924" s="46">
        <v>1</v>
      </c>
      <c r="H924" s="81">
        <f t="shared" si="46"/>
        <v>9316446.75</v>
      </c>
      <c r="I924" s="84">
        <f t="shared" si="44"/>
        <v>0.25456708333330852</v>
      </c>
      <c r="J924" s="84">
        <f t="shared" si="45"/>
        <v>0.11251747282608696</v>
      </c>
      <c r="K924" s="90" t="s">
        <v>54</v>
      </c>
    </row>
    <row r="925" spans="1:11" ht="60">
      <c r="A925" s="14">
        <v>45728</v>
      </c>
      <c r="B925" s="83">
        <f>VLOOKUP(A925,'BADI SID DATA'!A:B,2,0)</f>
        <v>346</v>
      </c>
      <c r="C925" s="85">
        <v>57200.65000000596</v>
      </c>
      <c r="D925" s="51">
        <v>6</v>
      </c>
      <c r="E925" s="82">
        <v>10.4</v>
      </c>
      <c r="F925" s="46">
        <v>1</v>
      </c>
      <c r="G925" s="46">
        <v>1</v>
      </c>
      <c r="H925" s="81">
        <f t="shared" si="46"/>
        <v>9373647.400000006</v>
      </c>
      <c r="I925" s="84">
        <f t="shared" si="44"/>
        <v>0.23833604166669151</v>
      </c>
      <c r="J925" s="84">
        <f t="shared" si="45"/>
        <v>0.11288111030828524</v>
      </c>
      <c r="K925" s="90" t="s">
        <v>54</v>
      </c>
    </row>
    <row r="926" spans="1:11" ht="60">
      <c r="A926" s="14">
        <v>45729</v>
      </c>
      <c r="B926" s="83">
        <f>VLOOKUP(A926,'BADI SID DATA'!A:B,2,0)</f>
        <v>347</v>
      </c>
      <c r="C926" s="85">
        <v>66301.29999999702</v>
      </c>
      <c r="D926" s="51">
        <v>7.21</v>
      </c>
      <c r="E926" s="82">
        <v>10.8</v>
      </c>
      <c r="F926" s="46">
        <v>1</v>
      </c>
      <c r="G926" s="46">
        <v>1</v>
      </c>
      <c r="H926" s="81">
        <f t="shared" si="46"/>
        <v>9439948.700000003</v>
      </c>
      <c r="I926" s="84">
        <f t="shared" si="44"/>
        <v>0.27625541666665426</v>
      </c>
      <c r="J926" s="84">
        <f t="shared" si="45"/>
        <v>0.11335192963496642</v>
      </c>
      <c r="K926" s="90" t="s">
        <v>54</v>
      </c>
    </row>
    <row r="927" spans="1:11" ht="60">
      <c r="A927" s="14">
        <v>45730</v>
      </c>
      <c r="B927" s="83">
        <f>VLOOKUP(A927,'BADI SID DATA'!A:B,2,0)</f>
        <v>348</v>
      </c>
      <c r="C927" s="85">
        <v>65650.65000000596</v>
      </c>
      <c r="D927" s="51">
        <v>6.98</v>
      </c>
      <c r="E927" s="82">
        <v>10.7</v>
      </c>
      <c r="F927" s="46">
        <v>1</v>
      </c>
      <c r="G927" s="46">
        <v>1</v>
      </c>
      <c r="H927" s="81">
        <f t="shared" si="46"/>
        <v>9505599.3500000089</v>
      </c>
      <c r="I927" s="84">
        <f t="shared" si="44"/>
        <v>0.27354437500002482</v>
      </c>
      <c r="J927" s="84">
        <f t="shared" si="45"/>
        <v>0.11381225275383153</v>
      </c>
      <c r="K927" s="90" t="s">
        <v>54</v>
      </c>
    </row>
    <row r="928" spans="1:11" ht="60">
      <c r="A928" s="14">
        <v>45731</v>
      </c>
      <c r="B928" s="83">
        <f>VLOOKUP(A928,'BADI SID DATA'!A:B,2,0)</f>
        <v>349</v>
      </c>
      <c r="C928" s="85">
        <v>67601.95000000298</v>
      </c>
      <c r="D928" s="51">
        <v>7.22</v>
      </c>
      <c r="E928" s="82">
        <v>10.3</v>
      </c>
      <c r="F928" s="46">
        <v>1</v>
      </c>
      <c r="G928" s="46">
        <v>1</v>
      </c>
      <c r="H928" s="81">
        <f t="shared" si="46"/>
        <v>9573201.3000000119</v>
      </c>
      <c r="I928" s="84">
        <f t="shared" si="44"/>
        <v>0.28167479166667908</v>
      </c>
      <c r="J928" s="84">
        <f t="shared" si="45"/>
        <v>0.11429323424068782</v>
      </c>
      <c r="K928" s="90" t="s">
        <v>54</v>
      </c>
    </row>
    <row r="929" spans="1:11" ht="60">
      <c r="A929" s="14">
        <v>45732</v>
      </c>
      <c r="B929" s="83">
        <f>VLOOKUP(A929,'BADI SID DATA'!A:B,2,0)</f>
        <v>350</v>
      </c>
      <c r="C929" s="85">
        <v>66301.29999999702</v>
      </c>
      <c r="D929" s="51">
        <v>7.09</v>
      </c>
      <c r="E929" s="82">
        <v>10.8</v>
      </c>
      <c r="F929" s="46">
        <v>1</v>
      </c>
      <c r="G929" s="46">
        <v>1</v>
      </c>
      <c r="H929" s="81">
        <f t="shared" si="46"/>
        <v>9639502.6000000089</v>
      </c>
      <c r="I929" s="84">
        <f t="shared" si="44"/>
        <v>0.27625541666665426</v>
      </c>
      <c r="J929" s="84">
        <f t="shared" si="45"/>
        <v>0.11475598333333344</v>
      </c>
      <c r="K929" s="90" t="s">
        <v>54</v>
      </c>
    </row>
    <row r="930" spans="1:11" ht="60">
      <c r="A930" s="14">
        <v>45733</v>
      </c>
      <c r="B930" s="83">
        <f>VLOOKUP(A930,'BADI SID DATA'!A:B,2,0)</f>
        <v>351</v>
      </c>
      <c r="C930" s="85">
        <v>61747.399999991059</v>
      </c>
      <c r="D930" s="51">
        <v>6.46</v>
      </c>
      <c r="E930" s="82">
        <v>10.7</v>
      </c>
      <c r="F930" s="46">
        <v>1</v>
      </c>
      <c r="G930" s="46">
        <v>1</v>
      </c>
      <c r="H930" s="81">
        <f t="shared" si="46"/>
        <v>9701250</v>
      </c>
      <c r="I930" s="84">
        <f t="shared" si="44"/>
        <v>0.2572808333332961</v>
      </c>
      <c r="J930" s="84">
        <f t="shared" si="45"/>
        <v>0.11516203703703703</v>
      </c>
      <c r="K930" s="90" t="s">
        <v>54</v>
      </c>
    </row>
    <row r="931" spans="1:11" ht="60">
      <c r="A931" s="14">
        <v>45734</v>
      </c>
      <c r="B931" s="83">
        <f>VLOOKUP(A931,'BADI SID DATA'!A:B,2,0)</f>
        <v>352</v>
      </c>
      <c r="C931" s="85">
        <v>61103.90000000596</v>
      </c>
      <c r="D931" s="51">
        <v>6.64</v>
      </c>
      <c r="E931" s="82">
        <v>10.5</v>
      </c>
      <c r="F931" s="46">
        <v>1</v>
      </c>
      <c r="G931" s="46">
        <v>1</v>
      </c>
      <c r="H931" s="81">
        <f t="shared" si="46"/>
        <v>9762353.900000006</v>
      </c>
      <c r="I931" s="84">
        <f t="shared" si="44"/>
        <v>0.25459958333335819</v>
      </c>
      <c r="J931" s="84">
        <f t="shared" si="45"/>
        <v>0.11555816642992431</v>
      </c>
      <c r="K931" s="90" t="s">
        <v>54</v>
      </c>
    </row>
    <row r="932" spans="1:11" ht="60">
      <c r="A932" s="14">
        <v>45735</v>
      </c>
      <c r="B932" s="83">
        <f>VLOOKUP(A932,'BADI SID DATA'!A:B,2,0)</f>
        <v>353</v>
      </c>
      <c r="C932" s="85">
        <v>65000</v>
      </c>
      <c r="D932" s="51">
        <v>6.92</v>
      </c>
      <c r="E932" s="82">
        <v>10.8</v>
      </c>
      <c r="F932" s="46">
        <v>1</v>
      </c>
      <c r="G932" s="46">
        <v>1</v>
      </c>
      <c r="H932" s="81">
        <f t="shared" si="46"/>
        <v>9827353.900000006</v>
      </c>
      <c r="I932" s="84">
        <f t="shared" si="44"/>
        <v>0.27083333333333331</v>
      </c>
      <c r="J932" s="84">
        <f t="shared" si="45"/>
        <v>0.11599803942398496</v>
      </c>
      <c r="K932" s="90" t="s">
        <v>54</v>
      </c>
    </row>
    <row r="933" spans="1:11" ht="60">
      <c r="A933" s="14">
        <v>45736</v>
      </c>
      <c r="B933" s="83">
        <f>VLOOKUP(A933,'BADI SID DATA'!A:B,2,0)</f>
        <v>354</v>
      </c>
      <c r="C933" s="85">
        <v>66293.5</v>
      </c>
      <c r="D933" s="51">
        <v>7.06</v>
      </c>
      <c r="E933" s="82">
        <v>10.9</v>
      </c>
      <c r="F933" s="46">
        <v>1</v>
      </c>
      <c r="G933" s="46">
        <v>1</v>
      </c>
      <c r="H933" s="81">
        <f t="shared" si="46"/>
        <v>9893647.400000006</v>
      </c>
      <c r="I933" s="84">
        <f t="shared" si="44"/>
        <v>0.27622291666666665</v>
      </c>
      <c r="J933" s="84">
        <f t="shared" si="45"/>
        <v>0.11645065207156316</v>
      </c>
      <c r="K933" s="90" t="s">
        <v>54</v>
      </c>
    </row>
    <row r="934" spans="1:11" ht="60">
      <c r="A934" s="14">
        <v>45737</v>
      </c>
      <c r="B934" s="83">
        <f>VLOOKUP(A934,'BADI SID DATA'!A:B,2,0)</f>
        <v>355</v>
      </c>
      <c r="C934" s="85">
        <v>59151.95000000298</v>
      </c>
      <c r="D934" s="51">
        <v>6.16</v>
      </c>
      <c r="E934" s="82">
        <v>10.7</v>
      </c>
      <c r="F934" s="46">
        <v>1</v>
      </c>
      <c r="G934" s="46">
        <v>1</v>
      </c>
      <c r="H934" s="81">
        <f t="shared" si="46"/>
        <v>9952799.3500000089</v>
      </c>
      <c r="I934" s="84">
        <f t="shared" si="44"/>
        <v>0.24646645833334574</v>
      </c>
      <c r="J934" s="84">
        <f t="shared" si="45"/>
        <v>0.11681689377934283</v>
      </c>
      <c r="K934" s="90" t="s">
        <v>54</v>
      </c>
    </row>
    <row r="935" spans="1:11" ht="80">
      <c r="A935" s="14">
        <v>45738</v>
      </c>
      <c r="B935" s="83">
        <f>VLOOKUP(A935,'BADI SID DATA'!A:B,2,0)</f>
        <v>356</v>
      </c>
      <c r="C935" s="85">
        <v>43552.59999999404</v>
      </c>
      <c r="D935" s="51">
        <v>4.34</v>
      </c>
      <c r="E935" s="82">
        <v>10.199999999999999</v>
      </c>
      <c r="F935" s="46">
        <v>1</v>
      </c>
      <c r="G935" s="46">
        <v>1</v>
      </c>
      <c r="H935" s="81">
        <f t="shared" si="46"/>
        <v>9996351.950000003</v>
      </c>
      <c r="I935" s="84">
        <f t="shared" si="44"/>
        <v>0.18146916666664184</v>
      </c>
      <c r="J935" s="84">
        <f t="shared" si="45"/>
        <v>0.11699850128745322</v>
      </c>
      <c r="K935" s="90" t="s">
        <v>51</v>
      </c>
    </row>
    <row r="936" spans="1:11" ht="80">
      <c r="A936" s="14">
        <v>45739</v>
      </c>
      <c r="B936" s="83">
        <f>VLOOKUP(A936,'BADI SID DATA'!A:B,2,0)</f>
        <v>357</v>
      </c>
      <c r="C936" s="85">
        <v>47448.70000000298</v>
      </c>
      <c r="D936" s="51">
        <v>4.9000000000000004</v>
      </c>
      <c r="E936" s="82">
        <v>10.5</v>
      </c>
      <c r="F936" s="46">
        <v>1</v>
      </c>
      <c r="G936" s="46">
        <v>1</v>
      </c>
      <c r="H936" s="81">
        <f t="shared" si="46"/>
        <v>10043800.650000006</v>
      </c>
      <c r="I936" s="84">
        <f t="shared" si="44"/>
        <v>0.19770291666667908</v>
      </c>
      <c r="J936" s="84">
        <f t="shared" si="45"/>
        <v>0.11722456407563032</v>
      </c>
      <c r="K936" s="90" t="s">
        <v>51</v>
      </c>
    </row>
    <row r="937" spans="1:11" ht="60">
      <c r="A937" s="14">
        <v>45740</v>
      </c>
      <c r="B937" s="83">
        <f>VLOOKUP(A937,'BADI SID DATA'!A:B,2,0)</f>
        <v>358</v>
      </c>
      <c r="C937" s="85">
        <v>55248.70000000298</v>
      </c>
      <c r="D937" s="51">
        <v>5.99</v>
      </c>
      <c r="E937" s="82">
        <v>10.3</v>
      </c>
      <c r="F937" s="46">
        <v>1</v>
      </c>
      <c r="G937" s="46">
        <v>1</v>
      </c>
      <c r="H937" s="81">
        <f t="shared" si="46"/>
        <v>10099049.350000009</v>
      </c>
      <c r="I937" s="84">
        <f t="shared" si="44"/>
        <v>0.23020291666667908</v>
      </c>
      <c r="J937" s="84">
        <f t="shared" si="45"/>
        <v>0.11754014606610812</v>
      </c>
      <c r="K937" s="90" t="s">
        <v>54</v>
      </c>
    </row>
    <row r="938" spans="1:11" ht="60">
      <c r="A938" s="14">
        <v>45741</v>
      </c>
      <c r="B938" s="83">
        <f>VLOOKUP(A938,'BADI SID DATA'!A:B,2,0)</f>
        <v>359</v>
      </c>
      <c r="C938" s="85">
        <v>59151.95000000298</v>
      </c>
      <c r="D938" s="51">
        <v>6.3</v>
      </c>
      <c r="E938" s="82">
        <v>10.5</v>
      </c>
      <c r="F938" s="46">
        <v>1</v>
      </c>
      <c r="G938" s="46">
        <v>1</v>
      </c>
      <c r="H938" s="81">
        <f t="shared" si="46"/>
        <v>10158201.300000012</v>
      </c>
      <c r="I938" s="84">
        <f t="shared" si="44"/>
        <v>0.24646645833334574</v>
      </c>
      <c r="J938" s="84">
        <f t="shared" si="45"/>
        <v>0.1178992722841227</v>
      </c>
      <c r="K938" s="90" t="s">
        <v>54</v>
      </c>
    </row>
    <row r="939" spans="1:11" ht="60">
      <c r="A939" s="14">
        <v>45742</v>
      </c>
      <c r="B939" s="83">
        <f>VLOOKUP(A939,'BADI SID DATA'!A:B,2,0)</f>
        <v>360</v>
      </c>
      <c r="C939" s="85">
        <v>59152.59999999404</v>
      </c>
      <c r="D939" s="52">
        <v>6.15</v>
      </c>
      <c r="E939" s="82">
        <v>10.4</v>
      </c>
      <c r="F939" s="46">
        <v>1</v>
      </c>
      <c r="G939" s="46">
        <v>1</v>
      </c>
      <c r="H939" s="81">
        <f t="shared" si="46"/>
        <v>10217353.900000006</v>
      </c>
      <c r="I939" s="84">
        <f t="shared" si="44"/>
        <v>0.24646916666664184</v>
      </c>
      <c r="J939" s="84">
        <f t="shared" si="45"/>
        <v>0.11825641087962969</v>
      </c>
      <c r="K939" s="90" t="s">
        <v>54</v>
      </c>
    </row>
    <row r="940" spans="1:11" ht="60">
      <c r="A940" s="14">
        <v>45743</v>
      </c>
      <c r="B940" s="83">
        <f>VLOOKUP(A940,'BADI SID DATA'!A:B,2,0)</f>
        <v>361</v>
      </c>
      <c r="C940" s="85">
        <v>55248.04999999702</v>
      </c>
      <c r="D940" s="51">
        <v>6.25</v>
      </c>
      <c r="E940" s="82">
        <v>10.6</v>
      </c>
      <c r="F940" s="46">
        <v>1</v>
      </c>
      <c r="G940" s="46">
        <v>1</v>
      </c>
      <c r="H940" s="81">
        <f t="shared" si="46"/>
        <v>10272601.950000003</v>
      </c>
      <c r="I940" s="84">
        <f t="shared" si="44"/>
        <v>0.23020020833332092</v>
      </c>
      <c r="J940" s="84">
        <f t="shared" si="45"/>
        <v>0.11856650450138508</v>
      </c>
      <c r="K940" s="90" t="s">
        <v>54</v>
      </c>
    </row>
    <row r="941" spans="1:11" ht="60">
      <c r="A941" s="14">
        <v>45744</v>
      </c>
      <c r="B941" s="83">
        <f>VLOOKUP(A941,'BADI SID DATA'!A:B,2,0)</f>
        <v>362</v>
      </c>
      <c r="C941" s="85">
        <v>54598.050000011921</v>
      </c>
      <c r="D941" s="52">
        <v>5.8</v>
      </c>
      <c r="E941" s="82">
        <v>10.8</v>
      </c>
      <c r="F941" s="46">
        <v>1</v>
      </c>
      <c r="G941" s="46">
        <v>1</v>
      </c>
      <c r="H941" s="81">
        <f t="shared" si="46"/>
        <v>10327200.000000015</v>
      </c>
      <c r="I941" s="84">
        <f t="shared" si="44"/>
        <v>0.22749187500004966</v>
      </c>
      <c r="J941" s="84">
        <f t="shared" si="45"/>
        <v>0.1188674033149173</v>
      </c>
      <c r="K941" s="90" t="s">
        <v>54</v>
      </c>
    </row>
    <row r="942" spans="1:11" ht="60">
      <c r="A942" s="14">
        <v>45745</v>
      </c>
      <c r="B942" s="83">
        <f>VLOOKUP(A942,'BADI SID DATA'!A:B,2,0)</f>
        <v>363</v>
      </c>
      <c r="C942" s="85">
        <v>59802.59999999404</v>
      </c>
      <c r="D942" s="52">
        <v>6.31</v>
      </c>
      <c r="E942" s="82">
        <v>10.5</v>
      </c>
      <c r="F942" s="46">
        <v>1</v>
      </c>
      <c r="G942" s="46">
        <v>1</v>
      </c>
      <c r="H942" s="81">
        <f t="shared" si="46"/>
        <v>10387002.600000009</v>
      </c>
      <c r="I942" s="84">
        <f t="shared" ref="I942:I1005" si="47">C942/(10*24*1000)</f>
        <v>0.24917749999997515</v>
      </c>
      <c r="J942" s="84">
        <f t="shared" si="45"/>
        <v>0.11922638429752076</v>
      </c>
      <c r="K942" s="90" t="s">
        <v>54</v>
      </c>
    </row>
    <row r="943" spans="1:11" ht="60">
      <c r="A943" s="14">
        <v>45746</v>
      </c>
      <c r="B943" s="83">
        <f>VLOOKUP(A943,'BADI SID DATA'!A:B,2,0)</f>
        <v>364</v>
      </c>
      <c r="C943" s="85">
        <v>57851.29999999702</v>
      </c>
      <c r="D943" s="52">
        <v>6.12</v>
      </c>
      <c r="E943" s="82">
        <v>10.8</v>
      </c>
      <c r="F943" s="46">
        <v>1</v>
      </c>
      <c r="G943" s="46">
        <v>1</v>
      </c>
      <c r="H943" s="81">
        <f t="shared" si="46"/>
        <v>10444853.900000006</v>
      </c>
      <c r="I943" s="84">
        <f t="shared" si="47"/>
        <v>0.24104708333332092</v>
      </c>
      <c r="J943" s="84">
        <f t="shared" si="45"/>
        <v>0.11956105654761912</v>
      </c>
      <c r="K943" s="90" t="s">
        <v>54</v>
      </c>
    </row>
    <row r="944" spans="1:11" ht="60">
      <c r="A944" s="14">
        <v>45747</v>
      </c>
      <c r="B944" s="83">
        <f>VLOOKUP(A944,'BADI SID DATA'!A:B,2,0)</f>
        <v>365</v>
      </c>
      <c r="C944" s="85">
        <v>55248.04999999702</v>
      </c>
      <c r="D944" s="51">
        <v>5.8</v>
      </c>
      <c r="E944" s="82">
        <v>10.199999999999999</v>
      </c>
      <c r="F944" s="46">
        <v>1</v>
      </c>
      <c r="G944" s="46">
        <v>1</v>
      </c>
      <c r="H944" s="81">
        <f t="shared" si="46"/>
        <v>10500101.950000003</v>
      </c>
      <c r="I944" s="84">
        <f t="shared" si="47"/>
        <v>0.23020020833332092</v>
      </c>
      <c r="J944" s="84">
        <f t="shared" si="45"/>
        <v>0.11986417751141556</v>
      </c>
      <c r="K944" s="90" t="s">
        <v>54</v>
      </c>
    </row>
    <row r="945" spans="1:11" ht="60">
      <c r="A945" s="14">
        <v>45748</v>
      </c>
      <c r="B945" s="83">
        <f>VLOOKUP(A945,'BADI SID DATA'!A:B,2,0)</f>
        <v>1</v>
      </c>
      <c r="C945" s="56">
        <v>50701.95000000298</v>
      </c>
      <c r="D945" s="56">
        <v>5.3</v>
      </c>
      <c r="E945" s="54">
        <v>10.1</v>
      </c>
      <c r="F945" s="46">
        <v>1</v>
      </c>
      <c r="G945" s="46">
        <v>1</v>
      </c>
      <c r="H945" s="81">
        <f>C945</f>
        <v>50701.95000000298</v>
      </c>
      <c r="I945" s="84">
        <f t="shared" si="47"/>
        <v>0.21125812500001243</v>
      </c>
      <c r="J945" s="84">
        <f t="shared" si="45"/>
        <v>0.21125812500001243</v>
      </c>
      <c r="K945" s="90" t="s">
        <v>54</v>
      </c>
    </row>
    <row r="946" spans="1:11" ht="20">
      <c r="A946" s="14">
        <v>45749</v>
      </c>
      <c r="B946" s="83">
        <f>VLOOKUP(A946,'BADI SID DATA'!A:B,2,0)</f>
        <v>2</v>
      </c>
      <c r="C946" s="56">
        <v>58494.15000000596</v>
      </c>
      <c r="D946" s="56">
        <v>6.09</v>
      </c>
      <c r="E946" s="54">
        <v>10</v>
      </c>
      <c r="F946" s="46">
        <v>1</v>
      </c>
      <c r="G946" s="46">
        <v>1</v>
      </c>
      <c r="H946" s="81">
        <f t="shared" si="46"/>
        <v>109196.10000000894</v>
      </c>
      <c r="I946" s="84">
        <f t="shared" si="47"/>
        <v>0.24372562500002484</v>
      </c>
      <c r="J946" s="84">
        <f t="shared" si="45"/>
        <v>0.22749187500001863</v>
      </c>
      <c r="K946" s="90" t="s">
        <v>65</v>
      </c>
    </row>
    <row r="947" spans="1:11" ht="60">
      <c r="A947" s="14">
        <v>45750</v>
      </c>
      <c r="B947" s="83">
        <f>VLOOKUP(A947,'BADI SID DATA'!A:B,2,0)</f>
        <v>3</v>
      </c>
      <c r="C947" s="56">
        <v>29905.20000000298</v>
      </c>
      <c r="D947" s="56">
        <v>2.65</v>
      </c>
      <c r="E947" s="54">
        <v>9.9</v>
      </c>
      <c r="F947" s="46">
        <v>1</v>
      </c>
      <c r="G947" s="46">
        <v>1</v>
      </c>
      <c r="H947" s="81">
        <f t="shared" si="46"/>
        <v>139101.30000001192</v>
      </c>
      <c r="I947" s="84">
        <f t="shared" si="47"/>
        <v>0.12460500000001241</v>
      </c>
      <c r="J947" s="84">
        <f t="shared" si="45"/>
        <v>0.19319625000001656</v>
      </c>
      <c r="K947" s="90" t="s">
        <v>54</v>
      </c>
    </row>
    <row r="948" spans="1:11" ht="20">
      <c r="A948" s="14">
        <v>45751</v>
      </c>
      <c r="B948" s="83">
        <f>VLOOKUP(A948,'BADI SID DATA'!A:B,2,0)</f>
        <v>4</v>
      </c>
      <c r="C948" s="56">
        <v>43544.799999982119</v>
      </c>
      <c r="D948" s="56">
        <v>4.45</v>
      </c>
      <c r="E948" s="54">
        <v>10.5</v>
      </c>
      <c r="F948" s="46">
        <v>1</v>
      </c>
      <c r="G948" s="46">
        <v>1</v>
      </c>
      <c r="H948" s="81">
        <f t="shared" si="46"/>
        <v>182646.09999999404</v>
      </c>
      <c r="I948" s="84">
        <f t="shared" si="47"/>
        <v>0.18143666666659217</v>
      </c>
      <c r="J948" s="84">
        <f t="shared" si="45"/>
        <v>0.19025635416666045</v>
      </c>
      <c r="K948" s="90" t="s">
        <v>65</v>
      </c>
    </row>
    <row r="949" spans="1:11" ht="60">
      <c r="A949" s="14">
        <v>45752</v>
      </c>
      <c r="B949" s="83">
        <f>VLOOKUP(A949,'BADI SID DATA'!A:B,2,0)</f>
        <v>5</v>
      </c>
      <c r="C949" s="56">
        <v>53304.54999999702</v>
      </c>
      <c r="D949" s="56">
        <v>5.45</v>
      </c>
      <c r="E949" s="54">
        <v>10.3</v>
      </c>
      <c r="F949" s="46">
        <v>1</v>
      </c>
      <c r="G949" s="46">
        <v>1</v>
      </c>
      <c r="H949" s="81">
        <f t="shared" si="46"/>
        <v>235950.64999999106</v>
      </c>
      <c r="I949" s="84">
        <f t="shared" si="47"/>
        <v>0.22210229166665424</v>
      </c>
      <c r="J949" s="84">
        <f t="shared" si="45"/>
        <v>0.19662554166665921</v>
      </c>
      <c r="K949" s="90" t="s">
        <v>54</v>
      </c>
    </row>
    <row r="950" spans="1:11" ht="60">
      <c r="A950" s="14">
        <v>45753</v>
      </c>
      <c r="B950" s="83">
        <f>VLOOKUP(A950,'BADI SID DATA'!A:B,2,0)</f>
        <v>6</v>
      </c>
      <c r="C950" s="56">
        <v>51344.800000011921</v>
      </c>
      <c r="D950" s="56">
        <v>5.2</v>
      </c>
      <c r="E950" s="54">
        <v>9.9</v>
      </c>
      <c r="F950" s="46">
        <v>1</v>
      </c>
      <c r="G950" s="46">
        <v>1</v>
      </c>
      <c r="H950" s="81">
        <f t="shared" si="46"/>
        <v>287295.45000000298</v>
      </c>
      <c r="I950" s="84">
        <f t="shared" si="47"/>
        <v>0.21393666666671635</v>
      </c>
      <c r="J950" s="84">
        <f t="shared" si="45"/>
        <v>0.19951072916666873</v>
      </c>
      <c r="K950" s="90" t="s">
        <v>54</v>
      </c>
    </row>
    <row r="951" spans="1:11" ht="20">
      <c r="A951" s="14">
        <v>45754</v>
      </c>
      <c r="B951" s="83">
        <f>VLOOKUP(A951,'BADI SID DATA'!A:B,2,0)</f>
        <v>7</v>
      </c>
      <c r="C951" s="56">
        <v>56549.34999999404</v>
      </c>
      <c r="D951" s="56">
        <v>5.9</v>
      </c>
      <c r="E951" s="54">
        <v>10.1</v>
      </c>
      <c r="F951" s="46">
        <v>1</v>
      </c>
      <c r="G951" s="46">
        <v>1</v>
      </c>
      <c r="H951" s="81">
        <f t="shared" si="46"/>
        <v>343844.79999999702</v>
      </c>
      <c r="I951" s="84">
        <f t="shared" si="47"/>
        <v>0.23562229166664184</v>
      </c>
      <c r="J951" s="84">
        <f t="shared" si="45"/>
        <v>0.20466952380952202</v>
      </c>
      <c r="K951" s="90" t="s">
        <v>65</v>
      </c>
    </row>
    <row r="952" spans="1:11" ht="20">
      <c r="A952" s="14">
        <v>45755</v>
      </c>
      <c r="B952" s="83">
        <f>VLOOKUP(A952,'BADI SID DATA'!A:B,2,0)</f>
        <v>8</v>
      </c>
      <c r="C952" s="56">
        <v>58501.95000000298</v>
      </c>
      <c r="D952" s="56">
        <v>6.06</v>
      </c>
      <c r="E952" s="54">
        <v>10.8</v>
      </c>
      <c r="F952" s="46">
        <v>1</v>
      </c>
      <c r="G952" s="46">
        <v>1</v>
      </c>
      <c r="H952" s="81">
        <f t="shared" si="46"/>
        <v>402346.75</v>
      </c>
      <c r="I952" s="84">
        <f t="shared" si="47"/>
        <v>0.24375812500001243</v>
      </c>
      <c r="J952" s="84">
        <f t="shared" si="45"/>
        <v>0.20955559895833334</v>
      </c>
      <c r="K952" s="90" t="s">
        <v>65</v>
      </c>
    </row>
    <row r="953" spans="1:11" ht="20">
      <c r="A953" s="14">
        <v>45756</v>
      </c>
      <c r="B953" s="83">
        <f>VLOOKUP(A953,'BADI SID DATA'!A:B,2,0)</f>
        <v>9</v>
      </c>
      <c r="C953" s="56">
        <v>59802.59999999404</v>
      </c>
      <c r="D953" s="56">
        <v>6.16</v>
      </c>
      <c r="E953" s="54">
        <v>10.7</v>
      </c>
      <c r="F953" s="46">
        <v>1</v>
      </c>
      <c r="G953" s="46">
        <v>1</v>
      </c>
      <c r="H953" s="81">
        <f t="shared" si="46"/>
        <v>462149.34999999404</v>
      </c>
      <c r="I953" s="84">
        <f t="shared" si="47"/>
        <v>0.24917749999997515</v>
      </c>
      <c r="J953" s="84">
        <f t="shared" si="45"/>
        <v>0.21395803240740466</v>
      </c>
      <c r="K953" s="90" t="s">
        <v>65</v>
      </c>
    </row>
    <row r="954" spans="1:11" ht="20">
      <c r="A954" s="14">
        <v>45757</v>
      </c>
      <c r="B954" s="83">
        <f>VLOOKUP(A954,'BADI SID DATA'!A:B,2,0)</f>
        <v>10</v>
      </c>
      <c r="C954" s="56">
        <v>52646.100000008941</v>
      </c>
      <c r="D954" s="56">
        <v>5.41</v>
      </c>
      <c r="E954" s="54">
        <v>10.9</v>
      </c>
      <c r="F954" s="46">
        <v>1</v>
      </c>
      <c r="G954" s="46">
        <v>1</v>
      </c>
      <c r="H954" s="81">
        <f t="shared" si="46"/>
        <v>514795.45000000298</v>
      </c>
      <c r="I954" s="84">
        <f t="shared" si="47"/>
        <v>0.21935875000003724</v>
      </c>
      <c r="J954" s="84">
        <f t="shared" si="45"/>
        <v>0.2144981041666679</v>
      </c>
      <c r="K954" s="90" t="s">
        <v>65</v>
      </c>
    </row>
    <row r="955" spans="1:11" ht="20">
      <c r="A955" s="14">
        <v>45758</v>
      </c>
      <c r="B955" s="83">
        <f>VLOOKUP(A955,'BADI SID DATA'!A:B,2,0)</f>
        <v>11</v>
      </c>
      <c r="C955" s="56">
        <v>46155.199999988079</v>
      </c>
      <c r="D955" s="56">
        <v>4.16</v>
      </c>
      <c r="E955" s="54">
        <v>10.8</v>
      </c>
      <c r="F955" s="46">
        <v>1</v>
      </c>
      <c r="G955" s="46">
        <v>1</v>
      </c>
      <c r="H955" s="81">
        <f t="shared" si="46"/>
        <v>560950.64999999106</v>
      </c>
      <c r="I955" s="84">
        <f t="shared" si="47"/>
        <v>0.19231333333328365</v>
      </c>
      <c r="J955" s="84">
        <f t="shared" si="45"/>
        <v>0.21248130681817842</v>
      </c>
      <c r="K955" s="90" t="s">
        <v>65</v>
      </c>
    </row>
    <row r="956" spans="1:11" ht="60">
      <c r="A956" s="14">
        <v>45759</v>
      </c>
      <c r="B956" s="83">
        <f>VLOOKUP(A956,'BADI SID DATA'!A:B,2,0)</f>
        <v>12</v>
      </c>
      <c r="C956" s="56">
        <v>57850.65000000596</v>
      </c>
      <c r="D956" s="56">
        <v>6.05</v>
      </c>
      <c r="E956" s="54">
        <v>10.199999999999999</v>
      </c>
      <c r="F956" s="46">
        <v>1</v>
      </c>
      <c r="G956" s="46">
        <v>1</v>
      </c>
      <c r="H956" s="81">
        <f t="shared" si="46"/>
        <v>618801.29999999702</v>
      </c>
      <c r="I956" s="84">
        <f t="shared" si="47"/>
        <v>0.24104437500002485</v>
      </c>
      <c r="J956" s="84">
        <f t="shared" si="45"/>
        <v>0.21486156249999896</v>
      </c>
      <c r="K956" s="90" t="s">
        <v>54</v>
      </c>
    </row>
    <row r="957" spans="1:11" ht="60">
      <c r="A957" s="14">
        <v>45760</v>
      </c>
      <c r="B957" s="83">
        <f>VLOOKUP(A957,'BADI SID DATA'!A:B,2,0)</f>
        <v>13</v>
      </c>
      <c r="C957" s="56">
        <v>51344.79999999702</v>
      </c>
      <c r="D957" s="56">
        <v>5.23</v>
      </c>
      <c r="E957" s="54">
        <v>10</v>
      </c>
      <c r="F957" s="46">
        <v>1</v>
      </c>
      <c r="G957" s="46">
        <v>1</v>
      </c>
      <c r="H957" s="81">
        <f t="shared" si="46"/>
        <v>670146.09999999404</v>
      </c>
      <c r="I957" s="84">
        <f t="shared" si="47"/>
        <v>0.21393666666665426</v>
      </c>
      <c r="J957" s="84">
        <f t="shared" ref="J957:J1020" si="48">H957/(24*B957*10*1000)</f>
        <v>0.21479041666666476</v>
      </c>
      <c r="K957" s="90" t="s">
        <v>54</v>
      </c>
    </row>
    <row r="958" spans="1:11" ht="60">
      <c r="A958" s="14">
        <v>45761</v>
      </c>
      <c r="B958" s="83">
        <f>VLOOKUP(A958,'BADI SID DATA'!A:B,2,0)</f>
        <v>14</v>
      </c>
      <c r="C958" s="56">
        <v>51352.600000008941</v>
      </c>
      <c r="D958" s="56">
        <v>5.41</v>
      </c>
      <c r="E958" s="54">
        <v>10.1</v>
      </c>
      <c r="F958" s="46">
        <v>1</v>
      </c>
      <c r="G958" s="46">
        <v>1</v>
      </c>
      <c r="H958" s="81">
        <f t="shared" si="46"/>
        <v>721498.70000000298</v>
      </c>
      <c r="I958" s="84">
        <f t="shared" si="47"/>
        <v>0.21396916666670393</v>
      </c>
      <c r="J958" s="84">
        <f t="shared" si="48"/>
        <v>0.21473175595238184</v>
      </c>
      <c r="K958" s="90" t="s">
        <v>54</v>
      </c>
    </row>
    <row r="959" spans="1:11" ht="20">
      <c r="A959" s="14">
        <v>45762</v>
      </c>
      <c r="B959" s="83">
        <f>VLOOKUP(A959,'BADI SID DATA'!A:B,2,0)</f>
        <v>15</v>
      </c>
      <c r="C959" s="56">
        <v>53296.75</v>
      </c>
      <c r="D959" s="56">
        <v>5.5</v>
      </c>
      <c r="E959" s="54">
        <v>10.5</v>
      </c>
      <c r="F959" s="46">
        <v>1</v>
      </c>
      <c r="G959" s="46">
        <v>1</v>
      </c>
      <c r="H959" s="81">
        <f t="shared" si="46"/>
        <v>774795.45000000298</v>
      </c>
      <c r="I959" s="84">
        <f t="shared" si="47"/>
        <v>0.22206979166666665</v>
      </c>
      <c r="J959" s="84">
        <f t="shared" si="48"/>
        <v>0.21522095833333416</v>
      </c>
      <c r="K959" s="90" t="s">
        <v>65</v>
      </c>
    </row>
    <row r="960" spans="1:11" ht="20">
      <c r="A960" s="14">
        <v>45763</v>
      </c>
      <c r="B960" s="83">
        <f>VLOOKUP(A960,'BADI SID DATA'!A:B,2,0)</f>
        <v>16</v>
      </c>
      <c r="C960" s="56">
        <v>46805.850000008941</v>
      </c>
      <c r="D960" s="56">
        <v>4.87</v>
      </c>
      <c r="E960" s="54">
        <v>10</v>
      </c>
      <c r="F960" s="46">
        <v>0</v>
      </c>
      <c r="G960" s="46">
        <v>0</v>
      </c>
      <c r="H960" s="81">
        <f t="shared" si="46"/>
        <v>821601.30000001192</v>
      </c>
      <c r="I960" s="84">
        <f t="shared" si="47"/>
        <v>0.19502437500003725</v>
      </c>
      <c r="J960" s="84">
        <f t="shared" si="48"/>
        <v>0.21395867187500311</v>
      </c>
      <c r="K960" s="90" t="s">
        <v>65</v>
      </c>
    </row>
    <row r="961" spans="1:11" ht="60">
      <c r="A961" s="14">
        <v>45764</v>
      </c>
      <c r="B961" s="83">
        <f>VLOOKUP(A961,'BADI SID DATA'!A:B,2,0)</f>
        <v>17</v>
      </c>
      <c r="C961" s="56">
        <v>51995.449999988079</v>
      </c>
      <c r="D961" s="56">
        <v>5.29</v>
      </c>
      <c r="E961" s="54">
        <v>10.4</v>
      </c>
      <c r="F961" s="46">
        <v>0</v>
      </c>
      <c r="G961" s="46">
        <v>0</v>
      </c>
      <c r="H961" s="81">
        <f t="shared" si="46"/>
        <v>873596.75</v>
      </c>
      <c r="I961" s="84">
        <f t="shared" si="47"/>
        <v>0.21664770833328367</v>
      </c>
      <c r="J961" s="84">
        <f t="shared" si="48"/>
        <v>0.21411685049019608</v>
      </c>
      <c r="K961" s="90" t="s">
        <v>54</v>
      </c>
    </row>
    <row r="962" spans="1:11" ht="60">
      <c r="A962" s="14">
        <v>45765</v>
      </c>
      <c r="B962" s="83">
        <f>VLOOKUP(A962,'BADI SID DATA'!A:B,2,0)</f>
        <v>18</v>
      </c>
      <c r="C962" s="56">
        <v>40299.34999999404</v>
      </c>
      <c r="D962" s="56">
        <v>4.17</v>
      </c>
      <c r="E962" s="54">
        <v>10.3</v>
      </c>
      <c r="F962" s="46" t="s">
        <v>47</v>
      </c>
      <c r="G962" s="46"/>
      <c r="H962" s="81">
        <f t="shared" si="46"/>
        <v>913896.09999999404</v>
      </c>
      <c r="I962" s="84">
        <f t="shared" si="47"/>
        <v>0.16791395833330849</v>
      </c>
      <c r="J962" s="84">
        <f t="shared" si="48"/>
        <v>0.21155002314814678</v>
      </c>
      <c r="K962" s="90" t="s">
        <v>54</v>
      </c>
    </row>
    <row r="963" spans="1:11" ht="60">
      <c r="A963" s="14">
        <v>45766</v>
      </c>
      <c r="B963" s="83">
        <f>VLOOKUP(A963,'BADI SID DATA'!A:B,2,0)</f>
        <v>19</v>
      </c>
      <c r="C963" s="56">
        <v>50051.300000011921</v>
      </c>
      <c r="D963" s="56">
        <v>5.13</v>
      </c>
      <c r="E963" s="54">
        <v>10.199999999999999</v>
      </c>
      <c r="F963" s="46">
        <v>1</v>
      </c>
      <c r="G963" s="46">
        <v>1</v>
      </c>
      <c r="H963" s="81">
        <f t="shared" si="46"/>
        <v>963947.40000000596</v>
      </c>
      <c r="I963" s="84">
        <f t="shared" si="47"/>
        <v>0.20854708333338301</v>
      </c>
      <c r="J963" s="84">
        <f t="shared" si="48"/>
        <v>0.21139197368421184</v>
      </c>
      <c r="K963" s="90" t="s">
        <v>54</v>
      </c>
    </row>
    <row r="964" spans="1:11" ht="60">
      <c r="A964" s="14">
        <v>45767</v>
      </c>
      <c r="B964" s="83">
        <f>VLOOKUP(A964,'BADI SID DATA'!A:B,2,0)</f>
        <v>20</v>
      </c>
      <c r="C964" s="56">
        <v>39649.34999999404</v>
      </c>
      <c r="D964" s="56">
        <v>4.03</v>
      </c>
      <c r="E964" s="54">
        <v>10.5</v>
      </c>
      <c r="F964" s="46">
        <v>1</v>
      </c>
      <c r="G964" s="46">
        <v>1</v>
      </c>
      <c r="H964" s="81">
        <f t="shared" si="46"/>
        <v>1003596.75</v>
      </c>
      <c r="I964" s="84">
        <f t="shared" si="47"/>
        <v>0.16520562499997515</v>
      </c>
      <c r="J964" s="84">
        <f t="shared" si="48"/>
        <v>0.20908265625</v>
      </c>
      <c r="K964" s="90" t="s">
        <v>54</v>
      </c>
    </row>
    <row r="965" spans="1:11" ht="60">
      <c r="A965" s="14">
        <v>45768</v>
      </c>
      <c r="B965" s="83">
        <f>VLOOKUP(A965,'BADI SID DATA'!A:B,2,0)</f>
        <v>21</v>
      </c>
      <c r="C965" s="56">
        <v>56549.34999999404</v>
      </c>
      <c r="D965" s="56">
        <v>5.82</v>
      </c>
      <c r="E965" s="54">
        <v>10.1</v>
      </c>
      <c r="F965" s="46">
        <v>1</v>
      </c>
      <c r="G965" s="46">
        <v>1</v>
      </c>
      <c r="H965" s="81">
        <f t="shared" ref="H965:H1028" si="49">C965+H964</f>
        <v>1060146.099999994</v>
      </c>
      <c r="I965" s="84">
        <f t="shared" si="47"/>
        <v>0.23562229166664184</v>
      </c>
      <c r="J965" s="84">
        <f t="shared" si="48"/>
        <v>0.21034644841269723</v>
      </c>
      <c r="K965" s="90" t="s">
        <v>54</v>
      </c>
    </row>
    <row r="966" spans="1:11" ht="60">
      <c r="A966" s="14">
        <v>45769</v>
      </c>
      <c r="B966" s="83">
        <f>VLOOKUP(A966,'BADI SID DATA'!A:B,2,0)</f>
        <v>22</v>
      </c>
      <c r="C966" s="56">
        <v>58501.95000000298</v>
      </c>
      <c r="D966" s="56">
        <v>6.07</v>
      </c>
      <c r="E966" s="54">
        <v>10.9</v>
      </c>
      <c r="F966" s="46">
        <v>1</v>
      </c>
      <c r="G966" s="46">
        <v>1</v>
      </c>
      <c r="H966" s="81">
        <f t="shared" si="49"/>
        <v>1118648.049999997</v>
      </c>
      <c r="I966" s="84">
        <f t="shared" si="47"/>
        <v>0.24375812500001243</v>
      </c>
      <c r="J966" s="84">
        <f t="shared" si="48"/>
        <v>0.21186516098484792</v>
      </c>
      <c r="K966" s="90" t="s">
        <v>54</v>
      </c>
    </row>
    <row r="967" spans="1:11" ht="60">
      <c r="A967" s="14">
        <v>45770</v>
      </c>
      <c r="B967" s="83">
        <f>VLOOKUP(A967,'BADI SID DATA'!A:B,2,0)</f>
        <v>23</v>
      </c>
      <c r="C967" s="56">
        <v>55248.04999999702</v>
      </c>
      <c r="D967" s="56">
        <v>5.73</v>
      </c>
      <c r="E967" s="54">
        <v>10.199999999999999</v>
      </c>
      <c r="F967" s="46">
        <v>1</v>
      </c>
      <c r="G967" s="46">
        <v>1</v>
      </c>
      <c r="H967" s="81">
        <f t="shared" si="49"/>
        <v>1173896.099999994</v>
      </c>
      <c r="I967" s="84">
        <f t="shared" si="47"/>
        <v>0.23020020833332092</v>
      </c>
      <c r="J967" s="84">
        <f t="shared" si="48"/>
        <v>0.21266233695652065</v>
      </c>
      <c r="K967" s="90" t="s">
        <v>54</v>
      </c>
    </row>
    <row r="968" spans="1:11" ht="60">
      <c r="A968" s="14">
        <v>45771</v>
      </c>
      <c r="B968" s="83">
        <f>VLOOKUP(A968,'BADI SID DATA'!A:B,2,0)</f>
        <v>24</v>
      </c>
      <c r="C968" s="56">
        <v>57200.65000000596</v>
      </c>
      <c r="D968" s="56">
        <v>5.89</v>
      </c>
      <c r="E968" s="54">
        <v>10</v>
      </c>
      <c r="F968" s="46">
        <v>1</v>
      </c>
      <c r="G968" s="46">
        <v>1</v>
      </c>
      <c r="H968" s="81">
        <f t="shared" si="49"/>
        <v>1231096.75</v>
      </c>
      <c r="I968" s="84">
        <f t="shared" si="47"/>
        <v>0.23833604166669151</v>
      </c>
      <c r="J968" s="84">
        <f t="shared" si="48"/>
        <v>0.21373207465277777</v>
      </c>
      <c r="K968" s="90" t="s">
        <v>54</v>
      </c>
    </row>
    <row r="969" spans="1:11" ht="60">
      <c r="A969" s="14">
        <v>45772</v>
      </c>
      <c r="B969" s="83">
        <f>VLOOKUP(A969,'BADI SID DATA'!A:B,2,0)</f>
        <v>25</v>
      </c>
      <c r="C969" s="56">
        <v>55898.70000000298</v>
      </c>
      <c r="D969" s="56">
        <v>5.78</v>
      </c>
      <c r="E969" s="54">
        <v>11</v>
      </c>
      <c r="F969" s="46">
        <v>1</v>
      </c>
      <c r="G969" s="46">
        <v>1</v>
      </c>
      <c r="H969" s="81">
        <f t="shared" si="49"/>
        <v>1286995.450000003</v>
      </c>
      <c r="I969" s="84">
        <f t="shared" si="47"/>
        <v>0.23291125000001242</v>
      </c>
      <c r="J969" s="84">
        <f t="shared" si="48"/>
        <v>0.21449924166666717</v>
      </c>
      <c r="K969" s="90" t="s">
        <v>54</v>
      </c>
    </row>
    <row r="970" spans="1:11" ht="60">
      <c r="A970" s="14">
        <v>45773</v>
      </c>
      <c r="B970" s="83">
        <f>VLOOKUP(A970,'BADI SID DATA'!A:B,2,0)</f>
        <v>26</v>
      </c>
      <c r="C970" s="56">
        <v>50701.95000000298</v>
      </c>
      <c r="D970" s="56">
        <v>5.1100000000000003</v>
      </c>
      <c r="E970" s="54">
        <v>11.1</v>
      </c>
      <c r="F970" s="46">
        <v>1</v>
      </c>
      <c r="G970" s="46">
        <v>1</v>
      </c>
      <c r="H970" s="81">
        <f t="shared" si="49"/>
        <v>1337697.400000006</v>
      </c>
      <c r="I970" s="84">
        <f t="shared" si="47"/>
        <v>0.21125812500001243</v>
      </c>
      <c r="J970" s="84">
        <f t="shared" si="48"/>
        <v>0.21437458333333428</v>
      </c>
      <c r="K970" s="90" t="s">
        <v>54</v>
      </c>
    </row>
    <row r="971" spans="1:11" ht="20">
      <c r="A971" s="14">
        <v>45774</v>
      </c>
      <c r="B971" s="83">
        <f>VLOOKUP(A971,'BADI SID DATA'!A:B,2,0)</f>
        <v>27</v>
      </c>
      <c r="C971" s="56">
        <v>47448.699999988079</v>
      </c>
      <c r="D971" s="56">
        <v>4.6500000000000004</v>
      </c>
      <c r="E971" s="54">
        <v>10.3</v>
      </c>
      <c r="F971" s="46">
        <v>1</v>
      </c>
      <c r="G971" s="46">
        <v>1</v>
      </c>
      <c r="H971" s="81">
        <f t="shared" si="49"/>
        <v>1385146.099999994</v>
      </c>
      <c r="I971" s="84">
        <f t="shared" si="47"/>
        <v>0.19770291666661699</v>
      </c>
      <c r="J971" s="84">
        <f t="shared" si="48"/>
        <v>0.21375711419752993</v>
      </c>
      <c r="K971" s="90" t="s">
        <v>65</v>
      </c>
    </row>
    <row r="972" spans="1:11" ht="20">
      <c r="A972" s="14">
        <v>45775</v>
      </c>
      <c r="B972" s="83">
        <f>VLOOKUP(A972,'BADI SID DATA'!A:B,2,0)</f>
        <v>28</v>
      </c>
      <c r="C972" s="56">
        <v>51352.600000008941</v>
      </c>
      <c r="D972" s="56">
        <v>5.13</v>
      </c>
      <c r="E972" s="54">
        <v>10.1</v>
      </c>
      <c r="F972" s="46">
        <v>1</v>
      </c>
      <c r="G972" s="46">
        <v>1</v>
      </c>
      <c r="H972" s="81">
        <f t="shared" si="49"/>
        <v>1436498.700000003</v>
      </c>
      <c r="I972" s="84">
        <f t="shared" si="47"/>
        <v>0.21396916666670393</v>
      </c>
      <c r="J972" s="84">
        <f t="shared" si="48"/>
        <v>0.21376468750000044</v>
      </c>
      <c r="K972" s="90" t="s">
        <v>65</v>
      </c>
    </row>
    <row r="973" spans="1:11" ht="20">
      <c r="A973" s="14">
        <v>45776</v>
      </c>
      <c r="B973" s="83">
        <f>VLOOKUP(A973,'BADI SID DATA'!A:B,2,0)</f>
        <v>29</v>
      </c>
      <c r="C973" s="56">
        <v>52653.90000000596</v>
      </c>
      <c r="D973" s="56">
        <v>5.16</v>
      </c>
      <c r="E973" s="54">
        <v>10.4</v>
      </c>
      <c r="F973" s="46">
        <v>1</v>
      </c>
      <c r="G973" s="46">
        <v>1</v>
      </c>
      <c r="H973" s="81">
        <f t="shared" si="49"/>
        <v>1489152.6000000089</v>
      </c>
      <c r="I973" s="84">
        <f t="shared" si="47"/>
        <v>0.21939125000002482</v>
      </c>
      <c r="J973" s="84">
        <f t="shared" si="48"/>
        <v>0.213958706896553</v>
      </c>
      <c r="K973" s="90" t="s">
        <v>65</v>
      </c>
    </row>
    <row r="974" spans="1:11" ht="20">
      <c r="A974" s="14">
        <v>45777</v>
      </c>
      <c r="B974" s="83">
        <f>VLOOKUP(A974,'BADI SID DATA'!A:B,2,0)</f>
        <v>30</v>
      </c>
      <c r="C974" s="56">
        <v>51995.449999988079</v>
      </c>
      <c r="D974" s="56">
        <v>5.08</v>
      </c>
      <c r="E974" s="54">
        <v>10.199999999999999</v>
      </c>
      <c r="F974" s="46">
        <v>1</v>
      </c>
      <c r="G974" s="46">
        <v>1</v>
      </c>
      <c r="H974" s="81">
        <f t="shared" si="49"/>
        <v>1541148.049999997</v>
      </c>
      <c r="I974" s="84">
        <f t="shared" si="47"/>
        <v>0.21664770833328367</v>
      </c>
      <c r="J974" s="84">
        <f t="shared" si="48"/>
        <v>0.21404834027777736</v>
      </c>
      <c r="K974" s="90" t="s">
        <v>65</v>
      </c>
    </row>
    <row r="975" spans="1:11" ht="20">
      <c r="A975" s="14">
        <v>45778</v>
      </c>
      <c r="B975" s="83">
        <f>VLOOKUP(A975,'BADI SID DATA'!A:B,2,0)</f>
        <v>31</v>
      </c>
      <c r="C975" s="56">
        <v>46800.65000000596</v>
      </c>
      <c r="D975" s="54"/>
      <c r="E975" s="54">
        <v>9.1999999999999993</v>
      </c>
      <c r="F975" s="46">
        <v>1</v>
      </c>
      <c r="G975" s="46">
        <v>1</v>
      </c>
      <c r="H975" s="81">
        <f t="shared" si="49"/>
        <v>1587948.700000003</v>
      </c>
      <c r="I975" s="84">
        <f t="shared" si="47"/>
        <v>0.19500270833335817</v>
      </c>
      <c r="J975" s="84">
        <f t="shared" si="48"/>
        <v>0.21343396505376383</v>
      </c>
      <c r="K975" s="90" t="s">
        <v>52</v>
      </c>
    </row>
    <row r="976" spans="1:11" ht="80">
      <c r="A976" s="14">
        <v>45779</v>
      </c>
      <c r="B976" s="83">
        <f>VLOOKUP(A976,'BADI SID DATA'!A:B,2,0)</f>
        <v>32</v>
      </c>
      <c r="C976" s="56">
        <v>53950</v>
      </c>
      <c r="D976" s="54"/>
      <c r="E976" s="54">
        <v>9.9</v>
      </c>
      <c r="F976" s="46">
        <v>1</v>
      </c>
      <c r="G976" s="46">
        <v>1</v>
      </c>
      <c r="H976" s="81">
        <f t="shared" si="49"/>
        <v>1641898.700000003</v>
      </c>
      <c r="I976" s="84">
        <f t="shared" si="47"/>
        <v>0.22479166666666667</v>
      </c>
      <c r="J976" s="84">
        <f t="shared" si="48"/>
        <v>0.21378889322916705</v>
      </c>
      <c r="K976" s="90" t="s">
        <v>51</v>
      </c>
    </row>
    <row r="977" spans="1:11" ht="60">
      <c r="A977" s="14">
        <v>45780</v>
      </c>
      <c r="B977" s="83">
        <f>VLOOKUP(A977,'BADI SID DATA'!A:B,2,0)</f>
        <v>33</v>
      </c>
      <c r="C977" s="56">
        <v>54600</v>
      </c>
      <c r="D977" s="54"/>
      <c r="E977" s="54">
        <v>10</v>
      </c>
      <c r="F977" s="46">
        <v>1</v>
      </c>
      <c r="G977" s="46">
        <v>1</v>
      </c>
      <c r="H977" s="81">
        <f t="shared" si="49"/>
        <v>1696498.700000003</v>
      </c>
      <c r="I977" s="84">
        <f t="shared" si="47"/>
        <v>0.22750000000000001</v>
      </c>
      <c r="J977" s="84">
        <f t="shared" si="48"/>
        <v>0.21420438131313169</v>
      </c>
      <c r="K977" s="90" t="s">
        <v>54</v>
      </c>
    </row>
    <row r="978" spans="1:11" ht="60">
      <c r="A978" s="14">
        <v>45781</v>
      </c>
      <c r="B978" s="83">
        <f>VLOOKUP(A978,'BADI SID DATA'!A:B,2,0)</f>
        <v>34</v>
      </c>
      <c r="C978" s="56">
        <v>59800</v>
      </c>
      <c r="D978" s="54"/>
      <c r="E978" s="54">
        <v>10.6</v>
      </c>
      <c r="F978" s="46">
        <v>1</v>
      </c>
      <c r="G978" s="46">
        <v>1</v>
      </c>
      <c r="H978" s="81">
        <f t="shared" si="49"/>
        <v>1756298.700000003</v>
      </c>
      <c r="I978" s="84">
        <f t="shared" si="47"/>
        <v>0.24916666666666668</v>
      </c>
      <c r="J978" s="84">
        <f t="shared" si="48"/>
        <v>0.21523268382352978</v>
      </c>
      <c r="K978" s="90" t="s">
        <v>54</v>
      </c>
    </row>
    <row r="979" spans="1:11" ht="60">
      <c r="A979" s="14">
        <v>45782</v>
      </c>
      <c r="B979" s="83">
        <f>VLOOKUP(A979,'BADI SID DATA'!A:B,2,0)</f>
        <v>35</v>
      </c>
      <c r="C979" s="56">
        <v>52650</v>
      </c>
      <c r="D979" s="54"/>
      <c r="E979" s="54">
        <v>9.5</v>
      </c>
      <c r="F979" s="46">
        <v>1</v>
      </c>
      <c r="G979" s="46">
        <v>1</v>
      </c>
      <c r="H979" s="81">
        <f t="shared" si="49"/>
        <v>1808948.700000003</v>
      </c>
      <c r="I979" s="84">
        <f t="shared" si="47"/>
        <v>0.21937499999999999</v>
      </c>
      <c r="J979" s="84">
        <f t="shared" si="48"/>
        <v>0.21535103571428607</v>
      </c>
      <c r="K979" s="90" t="s">
        <v>54</v>
      </c>
    </row>
    <row r="980" spans="1:11" ht="60">
      <c r="A980" s="14">
        <v>45783</v>
      </c>
      <c r="B980" s="83">
        <f>VLOOKUP(A980,'BADI SID DATA'!A:B,2,0)</f>
        <v>36</v>
      </c>
      <c r="C980" s="56">
        <v>57200</v>
      </c>
      <c r="D980" s="54"/>
      <c r="E980" s="54">
        <v>9.8000000000000007</v>
      </c>
      <c r="F980" s="46">
        <v>1</v>
      </c>
      <c r="G980" s="46">
        <v>1</v>
      </c>
      <c r="H980" s="81">
        <f t="shared" si="49"/>
        <v>1866148.700000003</v>
      </c>
      <c r="I980" s="84">
        <f t="shared" si="47"/>
        <v>0.23833333333333334</v>
      </c>
      <c r="J980" s="84">
        <f t="shared" si="48"/>
        <v>0.21598943287037073</v>
      </c>
      <c r="K980" s="90" t="s">
        <v>54</v>
      </c>
    </row>
    <row r="981" spans="1:11" ht="60">
      <c r="A981" s="14">
        <v>45784</v>
      </c>
      <c r="B981" s="83">
        <f>VLOOKUP(A981,'BADI SID DATA'!A:B,2,0)</f>
        <v>37</v>
      </c>
      <c r="C981" s="56">
        <v>57850</v>
      </c>
      <c r="D981" s="54"/>
      <c r="E981" s="54">
        <v>10.1</v>
      </c>
      <c r="F981" s="46">
        <v>1</v>
      </c>
      <c r="G981" s="46">
        <v>1</v>
      </c>
      <c r="H981" s="81">
        <f t="shared" si="49"/>
        <v>1923998.700000003</v>
      </c>
      <c r="I981" s="84">
        <f t="shared" si="47"/>
        <v>0.24104166666666665</v>
      </c>
      <c r="J981" s="84">
        <f t="shared" si="48"/>
        <v>0.21666652027027061</v>
      </c>
      <c r="K981" s="90" t="s">
        <v>54</v>
      </c>
    </row>
    <row r="982" spans="1:11" ht="80">
      <c r="A982" s="14">
        <v>45785</v>
      </c>
      <c r="B982" s="83">
        <f>VLOOKUP(A982,'BADI SID DATA'!A:B,2,0)</f>
        <v>38</v>
      </c>
      <c r="C982" s="56">
        <v>46150</v>
      </c>
      <c r="D982" s="54"/>
      <c r="E982" s="54">
        <v>10</v>
      </c>
      <c r="F982" s="46">
        <v>1</v>
      </c>
      <c r="G982" s="46">
        <v>1</v>
      </c>
      <c r="H982" s="81">
        <f t="shared" si="49"/>
        <v>1970148.700000003</v>
      </c>
      <c r="I982" s="84">
        <f t="shared" si="47"/>
        <v>0.19229166666666667</v>
      </c>
      <c r="J982" s="84">
        <f t="shared" si="48"/>
        <v>0.21602507675438629</v>
      </c>
      <c r="K982" s="90" t="s">
        <v>51</v>
      </c>
    </row>
    <row r="983" spans="1:11" ht="60">
      <c r="A983" s="14">
        <v>45786</v>
      </c>
      <c r="B983" s="83">
        <f>VLOOKUP(A983,'BADI SID DATA'!A:B,2,0)</f>
        <v>39</v>
      </c>
      <c r="C983" s="56">
        <v>37700</v>
      </c>
      <c r="D983" s="54"/>
      <c r="E983" s="54">
        <v>10.6</v>
      </c>
      <c r="F983" s="46">
        <v>1</v>
      </c>
      <c r="G983" s="46">
        <v>1</v>
      </c>
      <c r="H983" s="81">
        <f t="shared" si="49"/>
        <v>2007848.700000003</v>
      </c>
      <c r="I983" s="84">
        <f t="shared" si="47"/>
        <v>0.15708333333333332</v>
      </c>
      <c r="J983" s="84">
        <f t="shared" si="48"/>
        <v>0.21451375000000031</v>
      </c>
      <c r="K983" s="90" t="s">
        <v>54</v>
      </c>
    </row>
    <row r="984" spans="1:11" ht="60">
      <c r="A984" s="14">
        <v>45787</v>
      </c>
      <c r="B984" s="83">
        <f>VLOOKUP(A984,'BADI SID DATA'!A:B,2,0)</f>
        <v>40</v>
      </c>
      <c r="C984" s="56">
        <v>52000</v>
      </c>
      <c r="D984" s="54"/>
      <c r="E984" s="54">
        <v>10.3</v>
      </c>
      <c r="F984" s="46">
        <v>1</v>
      </c>
      <c r="G984" s="46">
        <v>1</v>
      </c>
      <c r="H984" s="81">
        <f t="shared" si="49"/>
        <v>2059848.700000003</v>
      </c>
      <c r="I984" s="84">
        <f t="shared" si="47"/>
        <v>0.21666666666666667</v>
      </c>
      <c r="J984" s="84">
        <f t="shared" si="48"/>
        <v>0.21456757291666698</v>
      </c>
      <c r="K984" s="90" t="s">
        <v>54</v>
      </c>
    </row>
    <row r="985" spans="1:11" ht="60">
      <c r="A985" s="14">
        <v>45788</v>
      </c>
      <c r="B985" s="83">
        <f>VLOOKUP(A985,'BADI SID DATA'!A:B,2,0)</f>
        <v>41</v>
      </c>
      <c r="C985" s="56">
        <v>57200</v>
      </c>
      <c r="D985" s="54"/>
      <c r="E985" s="54">
        <v>10.1</v>
      </c>
      <c r="F985" s="46">
        <v>1</v>
      </c>
      <c r="G985" s="46">
        <v>1</v>
      </c>
      <c r="H985" s="81">
        <f t="shared" si="49"/>
        <v>2117048.700000003</v>
      </c>
      <c r="I985" s="84">
        <f t="shared" si="47"/>
        <v>0.23833333333333334</v>
      </c>
      <c r="J985" s="84">
        <f t="shared" si="48"/>
        <v>0.21514722560975641</v>
      </c>
      <c r="K985" s="90" t="s">
        <v>54</v>
      </c>
    </row>
    <row r="986" spans="1:11" ht="60">
      <c r="A986" s="14">
        <v>45789</v>
      </c>
      <c r="B986" s="83">
        <f>VLOOKUP(A986,'BADI SID DATA'!A:B,2,0)</f>
        <v>42</v>
      </c>
      <c r="C986" s="56">
        <v>60450</v>
      </c>
      <c r="D986" s="54"/>
      <c r="E986" s="54">
        <v>10.7</v>
      </c>
      <c r="F986" s="46">
        <v>1</v>
      </c>
      <c r="G986" s="46">
        <v>1</v>
      </c>
      <c r="H986" s="81">
        <f t="shared" si="49"/>
        <v>2177498.700000003</v>
      </c>
      <c r="I986" s="84">
        <f t="shared" si="47"/>
        <v>0.25187500000000002</v>
      </c>
      <c r="J986" s="84">
        <f t="shared" si="48"/>
        <v>0.21602169642857172</v>
      </c>
      <c r="K986" s="90" t="s">
        <v>54</v>
      </c>
    </row>
    <row r="987" spans="1:11" ht="80">
      <c r="A987" s="14">
        <v>45790</v>
      </c>
      <c r="B987" s="83">
        <f>VLOOKUP(A987,'BADI SID DATA'!A:B,2,0)</f>
        <v>43</v>
      </c>
      <c r="C987" s="56">
        <v>59150</v>
      </c>
      <c r="D987" s="54"/>
      <c r="E987" s="54">
        <v>10.5</v>
      </c>
      <c r="F987" s="46">
        <v>1</v>
      </c>
      <c r="G987" s="46">
        <v>1</v>
      </c>
      <c r="H987" s="81">
        <f t="shared" si="49"/>
        <v>2236648.700000003</v>
      </c>
      <c r="I987" s="84">
        <f t="shared" si="47"/>
        <v>0.24645833333333333</v>
      </c>
      <c r="J987" s="84">
        <f t="shared" si="48"/>
        <v>0.21672952519379873</v>
      </c>
      <c r="K987" s="90" t="s">
        <v>51</v>
      </c>
    </row>
    <row r="988" spans="1:11" ht="60">
      <c r="A988" s="14">
        <v>45791</v>
      </c>
      <c r="B988" s="83">
        <f>VLOOKUP(A988,'BADI SID DATA'!A:B,2,0)</f>
        <v>44</v>
      </c>
      <c r="C988" s="56">
        <v>61750</v>
      </c>
      <c r="D988" s="54"/>
      <c r="E988" s="54">
        <v>10.7</v>
      </c>
      <c r="F988" s="46">
        <v>0</v>
      </c>
      <c r="G988" s="46">
        <v>0</v>
      </c>
      <c r="H988" s="81">
        <f t="shared" si="49"/>
        <v>2298398.700000003</v>
      </c>
      <c r="I988" s="84">
        <f t="shared" si="47"/>
        <v>0.25729166666666664</v>
      </c>
      <c r="J988" s="84">
        <f t="shared" si="48"/>
        <v>0.21765139204545483</v>
      </c>
      <c r="K988" s="90" t="s">
        <v>54</v>
      </c>
    </row>
    <row r="989" spans="1:11" ht="60">
      <c r="A989" s="14">
        <v>45792</v>
      </c>
      <c r="B989" s="83">
        <f>VLOOKUP(A989,'BADI SID DATA'!A:B,2,0)</f>
        <v>45</v>
      </c>
      <c r="C989" s="56">
        <v>64350</v>
      </c>
      <c r="D989" s="54"/>
      <c r="E989" s="54">
        <v>10.199999999999999</v>
      </c>
      <c r="F989" s="46">
        <v>0</v>
      </c>
      <c r="G989" s="46">
        <v>0</v>
      </c>
      <c r="H989" s="81">
        <f t="shared" si="49"/>
        <v>2362748.700000003</v>
      </c>
      <c r="I989" s="84">
        <f t="shared" si="47"/>
        <v>0.268125</v>
      </c>
      <c r="J989" s="84">
        <f t="shared" si="48"/>
        <v>0.21877302777777805</v>
      </c>
      <c r="K989" s="90" t="s">
        <v>54</v>
      </c>
    </row>
    <row r="990" spans="1:11" ht="60">
      <c r="A990" s="14">
        <v>45793</v>
      </c>
      <c r="B990" s="83">
        <f>VLOOKUP(A990,'BADI SID DATA'!A:B,2,0)</f>
        <v>46</v>
      </c>
      <c r="C990" s="56">
        <v>61100</v>
      </c>
      <c r="D990" s="54"/>
      <c r="E990" s="54">
        <v>10.199999999999999</v>
      </c>
      <c r="F990" s="46" t="s">
        <v>47</v>
      </c>
      <c r="G990" s="46" t="s">
        <v>48</v>
      </c>
      <c r="H990" s="81">
        <f t="shared" si="49"/>
        <v>2423848.700000003</v>
      </c>
      <c r="I990" s="84">
        <f t="shared" si="47"/>
        <v>0.25458333333333333</v>
      </c>
      <c r="J990" s="84">
        <f t="shared" si="48"/>
        <v>0.21955151268115969</v>
      </c>
      <c r="K990" s="90" t="s">
        <v>54</v>
      </c>
    </row>
    <row r="991" spans="1:11" ht="80">
      <c r="A991" s="14">
        <v>45794</v>
      </c>
      <c r="B991" s="83">
        <f>VLOOKUP(A991,'BADI SID DATA'!A:B,2,0)</f>
        <v>47</v>
      </c>
      <c r="C991" s="56">
        <v>44200</v>
      </c>
      <c r="D991" s="54"/>
      <c r="E991" s="54">
        <v>9.1999999999999993</v>
      </c>
      <c r="F991" s="46">
        <v>1</v>
      </c>
      <c r="G991" s="46">
        <v>1</v>
      </c>
      <c r="H991" s="81">
        <f t="shared" si="49"/>
        <v>2468048.700000003</v>
      </c>
      <c r="I991" s="84">
        <f t="shared" si="47"/>
        <v>0.18416666666666667</v>
      </c>
      <c r="J991" s="84">
        <f t="shared" si="48"/>
        <v>0.21879864361702153</v>
      </c>
      <c r="K991" s="90" t="s">
        <v>51</v>
      </c>
    </row>
    <row r="992" spans="1:11" ht="60">
      <c r="A992" s="14">
        <v>45795</v>
      </c>
      <c r="B992" s="83">
        <f>VLOOKUP(A992,'BADI SID DATA'!A:B,2,0)</f>
        <v>48</v>
      </c>
      <c r="C992" s="56">
        <v>42250</v>
      </c>
      <c r="D992" s="54"/>
      <c r="E992" s="54">
        <v>10</v>
      </c>
      <c r="F992" s="46">
        <v>1</v>
      </c>
      <c r="G992" s="46">
        <v>1</v>
      </c>
      <c r="H992" s="81">
        <f t="shared" si="49"/>
        <v>2510298.700000003</v>
      </c>
      <c r="I992" s="84">
        <f t="shared" si="47"/>
        <v>0.17604166666666668</v>
      </c>
      <c r="J992" s="84">
        <f t="shared" si="48"/>
        <v>0.21790787326388913</v>
      </c>
      <c r="K992" s="90" t="s">
        <v>54</v>
      </c>
    </row>
    <row r="993" spans="1:11" ht="60">
      <c r="A993" s="14">
        <v>45796</v>
      </c>
      <c r="B993" s="83">
        <f>VLOOKUP(A993,'BADI SID DATA'!A:B,2,0)</f>
        <v>49</v>
      </c>
      <c r="C993" s="56">
        <v>40950</v>
      </c>
      <c r="D993" s="54"/>
      <c r="E993" s="54">
        <v>10.5</v>
      </c>
      <c r="F993" s="46">
        <v>1</v>
      </c>
      <c r="G993" s="46">
        <v>1</v>
      </c>
      <c r="H993" s="81">
        <f t="shared" si="49"/>
        <v>2551248.700000003</v>
      </c>
      <c r="I993" s="84">
        <f t="shared" si="47"/>
        <v>0.170625</v>
      </c>
      <c r="J993" s="84">
        <f t="shared" si="48"/>
        <v>0.21694291666666693</v>
      </c>
      <c r="K993" s="90" t="s">
        <v>54</v>
      </c>
    </row>
    <row r="994" spans="1:11" ht="60">
      <c r="A994" s="14">
        <v>45797</v>
      </c>
      <c r="B994" s="83">
        <f>VLOOKUP(A994,'BADI SID DATA'!A:B,2,0)</f>
        <v>50</v>
      </c>
      <c r="C994" s="56">
        <v>32500</v>
      </c>
      <c r="D994" s="54"/>
      <c r="E994" s="54">
        <v>9.1</v>
      </c>
      <c r="F994" s="46">
        <v>1</v>
      </c>
      <c r="G994" s="46">
        <v>1</v>
      </c>
      <c r="H994" s="81">
        <f t="shared" si="49"/>
        <v>2583748.700000003</v>
      </c>
      <c r="I994" s="84">
        <f t="shared" si="47"/>
        <v>0.13541666666666666</v>
      </c>
      <c r="J994" s="84">
        <f t="shared" si="48"/>
        <v>0.21531239166666691</v>
      </c>
      <c r="K994" s="90" t="s">
        <v>77</v>
      </c>
    </row>
    <row r="995" spans="1:11" ht="60">
      <c r="A995" s="14">
        <v>45798</v>
      </c>
      <c r="B995" s="83">
        <f>VLOOKUP(A995,'BADI SID DATA'!A:B,2,0)</f>
        <v>51</v>
      </c>
      <c r="C995" s="56">
        <v>37700</v>
      </c>
      <c r="D995" s="54"/>
      <c r="E995" s="54">
        <v>10.199999999999999</v>
      </c>
      <c r="F995" s="46">
        <v>1</v>
      </c>
      <c r="G995" s="46">
        <v>1</v>
      </c>
      <c r="H995" s="81">
        <f t="shared" si="49"/>
        <v>2621448.700000003</v>
      </c>
      <c r="I995" s="84">
        <f t="shared" si="47"/>
        <v>0.15708333333333332</v>
      </c>
      <c r="J995" s="84">
        <f t="shared" si="48"/>
        <v>0.21417064542483685</v>
      </c>
      <c r="K995" s="90" t="s">
        <v>54</v>
      </c>
    </row>
    <row r="996" spans="1:11" ht="60">
      <c r="A996" s="14">
        <v>45799</v>
      </c>
      <c r="B996" s="83">
        <f>VLOOKUP(A996,'BADI SID DATA'!A:B,2,0)</f>
        <v>52</v>
      </c>
      <c r="C996" s="56">
        <v>50050</v>
      </c>
      <c r="D996" s="54"/>
      <c r="E996" s="54">
        <v>10.5</v>
      </c>
      <c r="F996" s="46">
        <v>1</v>
      </c>
      <c r="G996" s="46">
        <v>1</v>
      </c>
      <c r="H996" s="81">
        <f t="shared" si="49"/>
        <v>2671498.700000003</v>
      </c>
      <c r="I996" s="84">
        <f t="shared" si="47"/>
        <v>0.20854166666666665</v>
      </c>
      <c r="J996" s="84">
        <f t="shared" si="48"/>
        <v>0.21406239583333359</v>
      </c>
      <c r="K996" s="90" t="s">
        <v>54</v>
      </c>
    </row>
    <row r="997" spans="1:11" ht="60">
      <c r="A997" s="14">
        <v>45800</v>
      </c>
      <c r="B997" s="83">
        <f>VLOOKUP(A997,'BADI SID DATA'!A:B,2,0)</f>
        <v>53</v>
      </c>
      <c r="C997" s="56">
        <v>50700</v>
      </c>
      <c r="D997" s="54"/>
      <c r="E997" s="54">
        <v>8.9</v>
      </c>
      <c r="F997" s="46">
        <v>1</v>
      </c>
      <c r="G997" s="46">
        <v>1</v>
      </c>
      <c r="H997" s="81">
        <f t="shared" si="49"/>
        <v>2722198.700000003</v>
      </c>
      <c r="I997" s="84">
        <f t="shared" si="47"/>
        <v>0.21124999999999999</v>
      </c>
      <c r="J997" s="84">
        <f t="shared" si="48"/>
        <v>0.21400933176100653</v>
      </c>
      <c r="K997" s="90" t="s">
        <v>77</v>
      </c>
    </row>
    <row r="998" spans="1:11" ht="60">
      <c r="A998" s="14">
        <v>45801</v>
      </c>
      <c r="B998" s="83">
        <f>VLOOKUP(A998,'BADI SID DATA'!A:B,2,0)</f>
        <v>54</v>
      </c>
      <c r="C998" s="56">
        <v>27950</v>
      </c>
      <c r="D998" s="54"/>
      <c r="E998" s="54">
        <v>9.1999999999999993</v>
      </c>
      <c r="F998" s="46">
        <v>1</v>
      </c>
      <c r="G998" s="46">
        <v>1</v>
      </c>
      <c r="H998" s="81">
        <f t="shared" si="49"/>
        <v>2750148.700000003</v>
      </c>
      <c r="I998" s="84">
        <f t="shared" si="47"/>
        <v>0.11645833333333333</v>
      </c>
      <c r="J998" s="84">
        <f t="shared" si="48"/>
        <v>0.2122028317901237</v>
      </c>
      <c r="K998" s="90" t="s">
        <v>54</v>
      </c>
    </row>
    <row r="999" spans="1:11" ht="20">
      <c r="A999" s="14">
        <v>45802</v>
      </c>
      <c r="B999" s="83">
        <f>VLOOKUP(A999,'BADI SID DATA'!A:B,2,0)</f>
        <v>55</v>
      </c>
      <c r="C999" s="56">
        <v>40300</v>
      </c>
      <c r="D999" s="54"/>
      <c r="E999" s="54">
        <v>8.6</v>
      </c>
      <c r="F999" s="46">
        <v>1</v>
      </c>
      <c r="G999" s="46">
        <v>1</v>
      </c>
      <c r="H999" s="81">
        <f t="shared" si="49"/>
        <v>2790448.700000003</v>
      </c>
      <c r="I999" s="84">
        <f t="shared" si="47"/>
        <v>0.16791666666666666</v>
      </c>
      <c r="J999" s="84">
        <f t="shared" si="48"/>
        <v>0.21139762878787902</v>
      </c>
      <c r="K999" s="90" t="s">
        <v>52</v>
      </c>
    </row>
    <row r="1000" spans="1:11" ht="60">
      <c r="A1000" s="14">
        <v>45803</v>
      </c>
      <c r="B1000" s="83">
        <f>VLOOKUP(A1000,'BADI SID DATA'!A:B,2,0)</f>
        <v>56</v>
      </c>
      <c r="C1000" s="56">
        <v>37700</v>
      </c>
      <c r="D1000" s="54"/>
      <c r="E1000" s="54">
        <v>8.1999999999999993</v>
      </c>
      <c r="F1000" s="46">
        <v>1</v>
      </c>
      <c r="G1000" s="46">
        <v>1</v>
      </c>
      <c r="H1000" s="81">
        <f t="shared" si="49"/>
        <v>2828148.700000003</v>
      </c>
      <c r="I1000" s="84">
        <f t="shared" si="47"/>
        <v>0.15708333333333332</v>
      </c>
      <c r="J1000" s="84">
        <f t="shared" si="48"/>
        <v>0.21042773065476211</v>
      </c>
      <c r="K1000" s="90" t="s">
        <v>77</v>
      </c>
    </row>
    <row r="1001" spans="1:11" ht="60">
      <c r="A1001" s="14">
        <v>45804</v>
      </c>
      <c r="B1001" s="83">
        <f>VLOOKUP(A1001,'BADI SID DATA'!A:B,2,0)</f>
        <v>57</v>
      </c>
      <c r="C1001" s="56">
        <v>35750</v>
      </c>
      <c r="D1001" s="54"/>
      <c r="E1001" s="54">
        <v>7.2</v>
      </c>
      <c r="F1001" s="46">
        <v>1</v>
      </c>
      <c r="G1001" s="46">
        <v>1</v>
      </c>
      <c r="H1001" s="81">
        <f t="shared" si="49"/>
        <v>2863898.700000003</v>
      </c>
      <c r="I1001" s="84">
        <f t="shared" si="47"/>
        <v>0.14895833333333333</v>
      </c>
      <c r="J1001" s="84">
        <f t="shared" si="48"/>
        <v>0.20934932017543881</v>
      </c>
      <c r="K1001" s="90" t="s">
        <v>54</v>
      </c>
    </row>
    <row r="1002" spans="1:11" ht="20">
      <c r="A1002" s="14">
        <v>45805</v>
      </c>
      <c r="B1002" s="83">
        <f>VLOOKUP(A1002,'BADI SID DATA'!A:B,2,0)</f>
        <v>58</v>
      </c>
      <c r="C1002" s="56">
        <v>44200</v>
      </c>
      <c r="D1002" s="54"/>
      <c r="E1002" s="54">
        <v>8.6</v>
      </c>
      <c r="F1002" s="46">
        <v>1</v>
      </c>
      <c r="G1002" s="46">
        <v>1</v>
      </c>
      <c r="H1002" s="81">
        <f t="shared" si="49"/>
        <v>2908098.700000003</v>
      </c>
      <c r="I1002" s="84">
        <f t="shared" si="47"/>
        <v>0.18416666666666667</v>
      </c>
      <c r="J1002" s="84">
        <f t="shared" si="48"/>
        <v>0.20891513649425308</v>
      </c>
      <c r="K1002" s="90" t="s">
        <v>52</v>
      </c>
    </row>
    <row r="1003" spans="1:11" ht="20">
      <c r="A1003" s="14">
        <v>45806</v>
      </c>
      <c r="B1003" s="83">
        <f>VLOOKUP(A1003,'BADI SID DATA'!A:B,2,0)</f>
        <v>59</v>
      </c>
      <c r="C1003" s="56">
        <v>36400</v>
      </c>
      <c r="D1003" s="54"/>
      <c r="E1003" s="54">
        <v>8.9</v>
      </c>
      <c r="F1003" s="46">
        <v>1</v>
      </c>
      <c r="G1003" s="46">
        <v>1</v>
      </c>
      <c r="H1003" s="81">
        <f t="shared" si="49"/>
        <v>2944498.700000003</v>
      </c>
      <c r="I1003" s="84">
        <f t="shared" si="47"/>
        <v>0.15166666666666667</v>
      </c>
      <c r="J1003" s="84">
        <f t="shared" si="48"/>
        <v>0.20794482344632789</v>
      </c>
      <c r="K1003" s="90" t="s">
        <v>52</v>
      </c>
    </row>
    <row r="1004" spans="1:11" ht="20">
      <c r="A1004" s="14">
        <v>45807</v>
      </c>
      <c r="B1004" s="83">
        <f>VLOOKUP(A1004,'BADI SID DATA'!A:B,2,0)</f>
        <v>60</v>
      </c>
      <c r="C1004" s="56">
        <v>29250</v>
      </c>
      <c r="D1004" s="54"/>
      <c r="E1004" s="54">
        <v>9.9</v>
      </c>
      <c r="F1004" s="46">
        <v>1</v>
      </c>
      <c r="G1004" s="46">
        <v>1</v>
      </c>
      <c r="H1004" s="81">
        <f t="shared" si="49"/>
        <v>2973748.700000003</v>
      </c>
      <c r="I1004" s="84">
        <f t="shared" si="47"/>
        <v>0.121875</v>
      </c>
      <c r="J1004" s="84">
        <f t="shared" si="48"/>
        <v>0.20651032638888911</v>
      </c>
      <c r="K1004" s="90" t="s">
        <v>52</v>
      </c>
    </row>
    <row r="1005" spans="1:11" ht="60">
      <c r="A1005" s="14">
        <v>45808</v>
      </c>
      <c r="B1005" s="83">
        <f>VLOOKUP(A1005,'BADI SID DATA'!A:B,2,0)</f>
        <v>61</v>
      </c>
      <c r="C1005" s="56">
        <v>59150</v>
      </c>
      <c r="D1005" s="54"/>
      <c r="E1005" s="54">
        <v>10.6</v>
      </c>
      <c r="F1005" s="46">
        <v>1</v>
      </c>
      <c r="G1005" s="46">
        <v>1</v>
      </c>
      <c r="H1005" s="81">
        <f t="shared" si="49"/>
        <v>3032898.700000003</v>
      </c>
      <c r="I1005" s="84">
        <f t="shared" si="47"/>
        <v>0.24645833333333333</v>
      </c>
      <c r="J1005" s="84">
        <f t="shared" si="48"/>
        <v>0.20716521174863409</v>
      </c>
      <c r="K1005" s="90" t="s">
        <v>54</v>
      </c>
    </row>
    <row r="1006" spans="1:11" ht="60">
      <c r="A1006" s="14">
        <v>45809</v>
      </c>
      <c r="B1006" s="83">
        <f>VLOOKUP(A1006,'BADI SID DATA'!A:B,2,0)</f>
        <v>62</v>
      </c>
      <c r="C1006" s="56">
        <v>62400</v>
      </c>
      <c r="D1006" s="54"/>
      <c r="E1006" s="54">
        <v>10.199999999999999</v>
      </c>
      <c r="F1006" s="46">
        <v>1</v>
      </c>
      <c r="G1006" s="46">
        <v>1</v>
      </c>
      <c r="H1006" s="81">
        <f t="shared" si="49"/>
        <v>3095298.700000003</v>
      </c>
      <c r="I1006" s="84">
        <f t="shared" ref="I1006:I1069" si="50">C1006/(10*24*1000)</f>
        <v>0.26</v>
      </c>
      <c r="J1006" s="84">
        <f t="shared" si="48"/>
        <v>0.20801738575268838</v>
      </c>
      <c r="K1006" s="90" t="s">
        <v>54</v>
      </c>
    </row>
    <row r="1007" spans="1:11" ht="60">
      <c r="A1007" s="14">
        <v>45810</v>
      </c>
      <c r="B1007" s="83">
        <f>VLOOKUP(A1007,'BADI SID DATA'!A:B,2,0)</f>
        <v>63</v>
      </c>
      <c r="C1007" s="56">
        <v>52000</v>
      </c>
      <c r="D1007" s="54"/>
      <c r="E1007" s="54">
        <v>10</v>
      </c>
      <c r="F1007" s="46">
        <v>1</v>
      </c>
      <c r="G1007" s="46">
        <v>1</v>
      </c>
      <c r="H1007" s="81">
        <f t="shared" si="49"/>
        <v>3147298.700000003</v>
      </c>
      <c r="I1007" s="84">
        <f t="shared" si="50"/>
        <v>0.21666666666666667</v>
      </c>
      <c r="J1007" s="84">
        <f t="shared" si="48"/>
        <v>0.20815467592592612</v>
      </c>
      <c r="K1007" s="90" t="s">
        <v>54</v>
      </c>
    </row>
    <row r="1008" spans="1:11" ht="60">
      <c r="A1008" s="14">
        <v>45811</v>
      </c>
      <c r="B1008" s="83">
        <f>VLOOKUP(A1008,'BADI SID DATA'!A:B,2,0)</f>
        <v>64</v>
      </c>
      <c r="C1008" s="56">
        <v>50050</v>
      </c>
      <c r="D1008" s="54"/>
      <c r="E1008" s="54">
        <v>10.199999999999999</v>
      </c>
      <c r="F1008" s="46">
        <v>1</v>
      </c>
      <c r="G1008" s="46">
        <v>1</v>
      </c>
      <c r="H1008" s="81">
        <f t="shared" si="49"/>
        <v>3197348.700000003</v>
      </c>
      <c r="I1008" s="84">
        <f t="shared" si="50"/>
        <v>0.20854166666666665</v>
      </c>
      <c r="J1008" s="84">
        <f t="shared" si="48"/>
        <v>0.20816072265625019</v>
      </c>
      <c r="K1008" s="90" t="s">
        <v>54</v>
      </c>
    </row>
    <row r="1009" spans="1:11" ht="60">
      <c r="A1009" s="14">
        <v>45812</v>
      </c>
      <c r="B1009" s="83">
        <f>VLOOKUP(A1009,'BADI SID DATA'!A:B,2,0)</f>
        <v>65</v>
      </c>
      <c r="C1009" s="56">
        <v>59150</v>
      </c>
      <c r="D1009" s="54"/>
      <c r="E1009" s="54">
        <v>10.1</v>
      </c>
      <c r="F1009" s="46">
        <v>1</v>
      </c>
      <c r="G1009" s="46">
        <v>1</v>
      </c>
      <c r="H1009" s="81">
        <f t="shared" si="49"/>
        <v>3256498.700000003</v>
      </c>
      <c r="I1009" s="84">
        <f t="shared" si="50"/>
        <v>0.24645833333333333</v>
      </c>
      <c r="J1009" s="84">
        <f t="shared" si="48"/>
        <v>0.20874991666666687</v>
      </c>
      <c r="K1009" s="90" t="s">
        <v>54</v>
      </c>
    </row>
    <row r="1010" spans="1:11" ht="60">
      <c r="A1010" s="14">
        <v>45813</v>
      </c>
      <c r="B1010" s="83">
        <f>VLOOKUP(A1010,'BADI SID DATA'!A:B,2,0)</f>
        <v>66</v>
      </c>
      <c r="C1010" s="56">
        <v>59800</v>
      </c>
      <c r="D1010" s="54"/>
      <c r="E1010" s="54">
        <v>10.5</v>
      </c>
      <c r="F1010" s="46">
        <v>1</v>
      </c>
      <c r="G1010" s="46">
        <v>1</v>
      </c>
      <c r="H1010" s="81">
        <f t="shared" si="49"/>
        <v>3316298.700000003</v>
      </c>
      <c r="I1010" s="84">
        <f t="shared" si="50"/>
        <v>0.24916666666666668</v>
      </c>
      <c r="J1010" s="84">
        <f t="shared" si="48"/>
        <v>0.20936229166666687</v>
      </c>
      <c r="K1010" s="90" t="s">
        <v>54</v>
      </c>
    </row>
    <row r="1011" spans="1:11" ht="60">
      <c r="A1011" s="14">
        <v>45814</v>
      </c>
      <c r="B1011" s="83">
        <f>VLOOKUP(A1011,'BADI SID DATA'!A:B,2,0)</f>
        <v>67</v>
      </c>
      <c r="C1011" s="56">
        <v>50700</v>
      </c>
      <c r="D1011" s="54"/>
      <c r="E1011" s="54">
        <v>10.1</v>
      </c>
      <c r="F1011" s="46">
        <v>1</v>
      </c>
      <c r="G1011" s="46">
        <v>1</v>
      </c>
      <c r="H1011" s="81">
        <f t="shared" si="49"/>
        <v>3366998.700000003</v>
      </c>
      <c r="I1011" s="84">
        <f t="shared" si="50"/>
        <v>0.21124999999999999</v>
      </c>
      <c r="J1011" s="84">
        <f t="shared" si="48"/>
        <v>0.20939046641791062</v>
      </c>
      <c r="K1011" s="90" t="s">
        <v>54</v>
      </c>
    </row>
    <row r="1012" spans="1:11" ht="60">
      <c r="A1012" s="14">
        <v>45815</v>
      </c>
      <c r="B1012" s="83">
        <f>VLOOKUP(A1012,'BADI SID DATA'!A:B,2,0)</f>
        <v>68</v>
      </c>
      <c r="C1012" s="56">
        <v>56550</v>
      </c>
      <c r="D1012" s="54"/>
      <c r="E1012" s="54">
        <v>10.199999999999999</v>
      </c>
      <c r="F1012" s="46">
        <v>1</v>
      </c>
      <c r="G1012" s="46">
        <v>1</v>
      </c>
      <c r="H1012" s="81">
        <f t="shared" si="49"/>
        <v>3423548.700000003</v>
      </c>
      <c r="I1012" s="84">
        <f t="shared" si="50"/>
        <v>0.235625</v>
      </c>
      <c r="J1012" s="84">
        <f t="shared" si="48"/>
        <v>0.20977626838235314</v>
      </c>
      <c r="K1012" s="90" t="s">
        <v>54</v>
      </c>
    </row>
    <row r="1013" spans="1:11" ht="60">
      <c r="A1013" s="14">
        <v>45816</v>
      </c>
      <c r="B1013" s="83">
        <f>VLOOKUP(A1013,'BADI SID DATA'!A:B,2,0)</f>
        <v>69</v>
      </c>
      <c r="C1013" s="56">
        <v>60450</v>
      </c>
      <c r="D1013" s="54"/>
      <c r="E1013" s="54">
        <v>10.4</v>
      </c>
      <c r="F1013" s="46">
        <v>1</v>
      </c>
      <c r="G1013" s="46">
        <v>1</v>
      </c>
      <c r="H1013" s="81">
        <f t="shared" si="49"/>
        <v>3483998.700000003</v>
      </c>
      <c r="I1013" s="84">
        <f t="shared" si="50"/>
        <v>0.25187500000000002</v>
      </c>
      <c r="J1013" s="84">
        <f t="shared" si="48"/>
        <v>0.21038639492753641</v>
      </c>
      <c r="K1013" s="90" t="s">
        <v>54</v>
      </c>
    </row>
    <row r="1014" spans="1:11" ht="20">
      <c r="A1014" s="14">
        <v>45817</v>
      </c>
      <c r="B1014" s="83">
        <f>VLOOKUP(A1014,'BADI SID DATA'!A:B,2,0)</f>
        <v>70</v>
      </c>
      <c r="C1014" s="56">
        <v>44200</v>
      </c>
      <c r="D1014" s="54"/>
      <c r="E1014" s="54">
        <v>9.1999999999999993</v>
      </c>
      <c r="F1014" s="46">
        <v>1</v>
      </c>
      <c r="G1014" s="46">
        <v>1</v>
      </c>
      <c r="H1014" s="81">
        <f t="shared" si="49"/>
        <v>3528198.700000003</v>
      </c>
      <c r="I1014" s="84">
        <f t="shared" si="50"/>
        <v>0.18416666666666667</v>
      </c>
      <c r="J1014" s="84">
        <f t="shared" si="48"/>
        <v>0.21001182738095256</v>
      </c>
      <c r="K1014" s="90" t="s">
        <v>52</v>
      </c>
    </row>
    <row r="1015" spans="1:11" ht="60">
      <c r="A1015" s="14">
        <v>45818</v>
      </c>
      <c r="B1015" s="83">
        <f>VLOOKUP(A1015,'BADI SID DATA'!A:B,2,0)</f>
        <v>71</v>
      </c>
      <c r="C1015" s="56">
        <v>57200</v>
      </c>
      <c r="D1015" s="54"/>
      <c r="E1015" s="54">
        <v>10.9</v>
      </c>
      <c r="F1015" s="46">
        <v>1</v>
      </c>
      <c r="G1015" s="46">
        <v>1</v>
      </c>
      <c r="H1015" s="81">
        <f t="shared" si="49"/>
        <v>3585398.700000003</v>
      </c>
      <c r="I1015" s="84">
        <f t="shared" si="50"/>
        <v>0.23833333333333334</v>
      </c>
      <c r="J1015" s="84">
        <f t="shared" si="48"/>
        <v>0.21041072183098608</v>
      </c>
      <c r="K1015" s="90" t="s">
        <v>54</v>
      </c>
    </row>
    <row r="1016" spans="1:11" ht="20">
      <c r="A1016" s="14">
        <v>45819</v>
      </c>
      <c r="B1016" s="83">
        <f>VLOOKUP(A1016,'BADI SID DATA'!A:B,2,0)</f>
        <v>72</v>
      </c>
      <c r="C1016" s="56">
        <v>39000</v>
      </c>
      <c r="D1016" s="54"/>
      <c r="E1016" s="54">
        <v>9.1999999999999993</v>
      </c>
      <c r="F1016" s="46">
        <v>1</v>
      </c>
      <c r="G1016" s="46">
        <v>1</v>
      </c>
      <c r="H1016" s="81">
        <f t="shared" si="49"/>
        <v>3624398.700000003</v>
      </c>
      <c r="I1016" s="84">
        <f t="shared" si="50"/>
        <v>0.16250000000000001</v>
      </c>
      <c r="J1016" s="84">
        <f t="shared" si="48"/>
        <v>0.20974529513888907</v>
      </c>
      <c r="K1016" s="90" t="s">
        <v>52</v>
      </c>
    </row>
    <row r="1017" spans="1:11" ht="60">
      <c r="A1017" s="14">
        <v>45820</v>
      </c>
      <c r="B1017" s="83">
        <f>VLOOKUP(A1017,'BADI SID DATA'!A:B,2,0)</f>
        <v>73</v>
      </c>
      <c r="C1017" s="56">
        <v>46150</v>
      </c>
      <c r="D1017" s="54"/>
      <c r="E1017" s="54">
        <v>10.199999999999999</v>
      </c>
      <c r="F1017" s="46">
        <v>1</v>
      </c>
      <c r="G1017" s="46">
        <v>1</v>
      </c>
      <c r="H1017" s="81">
        <f t="shared" si="49"/>
        <v>3670548.700000003</v>
      </c>
      <c r="I1017" s="84">
        <f t="shared" si="50"/>
        <v>0.19229166666666667</v>
      </c>
      <c r="J1017" s="84">
        <f t="shared" si="48"/>
        <v>0.20950620433789971</v>
      </c>
      <c r="K1017" s="90" t="s">
        <v>54</v>
      </c>
    </row>
    <row r="1018" spans="1:11" ht="60">
      <c r="A1018" s="14">
        <v>45821</v>
      </c>
      <c r="B1018" s="83">
        <f>VLOOKUP(A1018,'BADI SID DATA'!A:B,2,0)</f>
        <v>74</v>
      </c>
      <c r="C1018" s="56">
        <v>41600</v>
      </c>
      <c r="D1018" s="54"/>
      <c r="E1018" s="54">
        <v>10.5</v>
      </c>
      <c r="F1018" s="46">
        <v>1</v>
      </c>
      <c r="G1018" s="46">
        <v>1</v>
      </c>
      <c r="H1018" s="81">
        <f t="shared" si="49"/>
        <v>3712148.700000003</v>
      </c>
      <c r="I1018" s="84">
        <f t="shared" si="50"/>
        <v>0.17333333333333334</v>
      </c>
      <c r="J1018" s="84">
        <f t="shared" si="48"/>
        <v>0.20901738175675694</v>
      </c>
      <c r="K1018" s="90" t="s">
        <v>54</v>
      </c>
    </row>
    <row r="1019" spans="1:11" ht="60">
      <c r="A1019" s="14">
        <v>45822</v>
      </c>
      <c r="B1019" s="83">
        <f>VLOOKUP(A1019,'BADI SID DATA'!A:B,2,0)</f>
        <v>75</v>
      </c>
      <c r="C1019" s="56">
        <v>46800</v>
      </c>
      <c r="D1019" s="54"/>
      <c r="E1019" s="54">
        <v>10.7</v>
      </c>
      <c r="F1019" s="46">
        <v>1</v>
      </c>
      <c r="G1019" s="46">
        <v>1</v>
      </c>
      <c r="H1019" s="81">
        <f t="shared" si="49"/>
        <v>3758948.700000003</v>
      </c>
      <c r="I1019" s="84">
        <f t="shared" si="50"/>
        <v>0.19500000000000001</v>
      </c>
      <c r="J1019" s="84">
        <f t="shared" si="48"/>
        <v>0.20883048333333351</v>
      </c>
      <c r="K1019" s="90" t="s">
        <v>54</v>
      </c>
    </row>
    <row r="1020" spans="1:11" ht="60">
      <c r="A1020" s="14">
        <v>45823</v>
      </c>
      <c r="B1020" s="83">
        <f>VLOOKUP(A1020,'BADI SID DATA'!A:B,2,0)</f>
        <v>76</v>
      </c>
      <c r="C1020" s="56">
        <v>32500</v>
      </c>
      <c r="D1020" s="54"/>
      <c r="E1020" s="54">
        <v>9.1</v>
      </c>
      <c r="F1020" s="46">
        <v>1</v>
      </c>
      <c r="G1020" s="46">
        <v>1</v>
      </c>
      <c r="H1020" s="81">
        <f t="shared" si="49"/>
        <v>3791448.700000003</v>
      </c>
      <c r="I1020" s="84">
        <f t="shared" si="50"/>
        <v>0.13541666666666666</v>
      </c>
      <c r="J1020" s="84">
        <f t="shared" si="48"/>
        <v>0.20786451206140366</v>
      </c>
      <c r="K1020" s="90" t="s">
        <v>77</v>
      </c>
    </row>
    <row r="1021" spans="1:11" ht="20">
      <c r="A1021" s="14">
        <v>45824</v>
      </c>
      <c r="B1021" s="83">
        <f>VLOOKUP(A1021,'BADI SID DATA'!A:B,2,0)</f>
        <v>77</v>
      </c>
      <c r="C1021" s="56">
        <v>42900</v>
      </c>
      <c r="D1021" s="54"/>
      <c r="E1021" s="54">
        <v>9.3000000000000007</v>
      </c>
      <c r="F1021" s="46">
        <v>1</v>
      </c>
      <c r="G1021" s="46">
        <v>1</v>
      </c>
      <c r="H1021" s="81">
        <f t="shared" si="49"/>
        <v>3834348.700000003</v>
      </c>
      <c r="I1021" s="84">
        <f t="shared" si="50"/>
        <v>0.17874999999999999</v>
      </c>
      <c r="J1021" s="84">
        <f t="shared" ref="J1021:J1084" si="51">H1021/(24*B1021*10*1000)</f>
        <v>0.20748640151515169</v>
      </c>
      <c r="K1021" s="90" t="s">
        <v>52</v>
      </c>
    </row>
    <row r="1022" spans="1:11" ht="20">
      <c r="A1022" s="14">
        <v>45825</v>
      </c>
      <c r="B1022" s="83">
        <f>VLOOKUP(A1022,'BADI SID DATA'!A:B,2,0)</f>
        <v>78</v>
      </c>
      <c r="C1022" s="56">
        <v>42250</v>
      </c>
      <c r="D1022" s="54"/>
      <c r="E1022" s="54">
        <v>8.9</v>
      </c>
      <c r="F1022" s="46">
        <v>1</v>
      </c>
      <c r="G1022" s="46">
        <v>1</v>
      </c>
      <c r="H1022" s="81">
        <f t="shared" si="49"/>
        <v>3876598.700000003</v>
      </c>
      <c r="I1022" s="84">
        <f t="shared" si="50"/>
        <v>0.17604166666666668</v>
      </c>
      <c r="J1022" s="84">
        <f t="shared" si="51"/>
        <v>0.20708326388888904</v>
      </c>
      <c r="K1022" s="90" t="s">
        <v>52</v>
      </c>
    </row>
    <row r="1023" spans="1:11" ht="60">
      <c r="A1023" s="14">
        <v>45826</v>
      </c>
      <c r="B1023" s="83">
        <f>VLOOKUP(A1023,'BADI SID DATA'!A:B,2,0)</f>
        <v>79</v>
      </c>
      <c r="C1023" s="56">
        <v>53300</v>
      </c>
      <c r="D1023" s="54"/>
      <c r="E1023" s="54">
        <v>10.1</v>
      </c>
      <c r="F1023" s="46">
        <v>1</v>
      </c>
      <c r="G1023" s="46">
        <v>1</v>
      </c>
      <c r="H1023" s="81">
        <f t="shared" si="49"/>
        <v>3929898.700000003</v>
      </c>
      <c r="I1023" s="84">
        <f t="shared" si="50"/>
        <v>0.22208333333333333</v>
      </c>
      <c r="J1023" s="84">
        <f t="shared" si="51"/>
        <v>0.20727313818565415</v>
      </c>
      <c r="K1023" s="90" t="s">
        <v>54</v>
      </c>
    </row>
    <row r="1024" spans="1:11" ht="60">
      <c r="A1024" s="14">
        <v>45827</v>
      </c>
      <c r="B1024" s="83">
        <f>VLOOKUP(A1024,'BADI SID DATA'!A:B,2,0)</f>
        <v>80</v>
      </c>
      <c r="C1024" s="56">
        <v>50050</v>
      </c>
      <c r="D1024" s="54"/>
      <c r="E1024" s="54">
        <v>10.4</v>
      </c>
      <c r="F1024" s="46">
        <v>1</v>
      </c>
      <c r="G1024" s="46">
        <v>1</v>
      </c>
      <c r="H1024" s="81">
        <f t="shared" si="49"/>
        <v>3979948.700000003</v>
      </c>
      <c r="I1024" s="84">
        <f t="shared" si="50"/>
        <v>0.20854166666666665</v>
      </c>
      <c r="J1024" s="84">
        <f t="shared" si="51"/>
        <v>0.20728899479166682</v>
      </c>
      <c r="K1024" s="90" t="s">
        <v>54</v>
      </c>
    </row>
    <row r="1025" spans="1:11" ht="60">
      <c r="A1025" s="14">
        <v>45828</v>
      </c>
      <c r="B1025" s="83">
        <f>VLOOKUP(A1025,'BADI SID DATA'!A:B,2,0)</f>
        <v>81</v>
      </c>
      <c r="C1025" s="56">
        <v>55250</v>
      </c>
      <c r="D1025" s="54"/>
      <c r="E1025" s="54">
        <v>9</v>
      </c>
      <c r="F1025" s="46">
        <v>1</v>
      </c>
      <c r="G1025" s="46">
        <v>1</v>
      </c>
      <c r="H1025" s="81">
        <f t="shared" si="49"/>
        <v>4035198.700000003</v>
      </c>
      <c r="I1025" s="84">
        <f t="shared" si="50"/>
        <v>0.23020833333333332</v>
      </c>
      <c r="J1025" s="84">
        <f t="shared" si="51"/>
        <v>0.20757194958847752</v>
      </c>
      <c r="K1025" s="90" t="s">
        <v>77</v>
      </c>
    </row>
    <row r="1026" spans="1:11" ht="60">
      <c r="A1026" s="14">
        <v>45829</v>
      </c>
      <c r="B1026" s="83">
        <f>VLOOKUP(A1026,'BADI SID DATA'!A:B,2,0)</f>
        <v>82</v>
      </c>
      <c r="C1026" s="56">
        <v>51350</v>
      </c>
      <c r="D1026" s="54"/>
      <c r="E1026" s="54">
        <v>10.3</v>
      </c>
      <c r="F1026" s="46">
        <v>1</v>
      </c>
      <c r="G1026" s="46">
        <v>1</v>
      </c>
      <c r="H1026" s="81">
        <f t="shared" si="49"/>
        <v>4086548.700000003</v>
      </c>
      <c r="I1026" s="84">
        <f t="shared" si="50"/>
        <v>0.21395833333333333</v>
      </c>
      <c r="J1026" s="84">
        <f t="shared" si="51"/>
        <v>0.20764983231707332</v>
      </c>
      <c r="K1026" s="90" t="s">
        <v>54</v>
      </c>
    </row>
    <row r="1027" spans="1:11" ht="20">
      <c r="A1027" s="14">
        <v>45830</v>
      </c>
      <c r="B1027" s="83">
        <f>VLOOKUP(A1027,'BADI SID DATA'!A:B,2,0)</f>
        <v>83</v>
      </c>
      <c r="C1027" s="56">
        <v>39000</v>
      </c>
      <c r="D1027" s="54"/>
      <c r="E1027" s="54">
        <v>9.9</v>
      </c>
      <c r="F1027" s="46">
        <v>1</v>
      </c>
      <c r="G1027" s="46">
        <v>1</v>
      </c>
      <c r="H1027" s="81">
        <f t="shared" si="49"/>
        <v>4125548.700000003</v>
      </c>
      <c r="I1027" s="84">
        <f t="shared" si="50"/>
        <v>0.16250000000000001</v>
      </c>
      <c r="J1027" s="84">
        <f t="shared" si="51"/>
        <v>0.20710585843373508</v>
      </c>
      <c r="K1027" s="90" t="s">
        <v>52</v>
      </c>
    </row>
    <row r="1028" spans="1:11" ht="20">
      <c r="A1028" s="14">
        <v>45831</v>
      </c>
      <c r="B1028" s="83">
        <f>VLOOKUP(A1028,'BADI SID DATA'!A:B,2,0)</f>
        <v>84</v>
      </c>
      <c r="C1028" s="56">
        <v>33800</v>
      </c>
      <c r="D1028" s="54"/>
      <c r="E1028" s="54">
        <v>8.6999999999999993</v>
      </c>
      <c r="F1028" s="46">
        <v>1</v>
      </c>
      <c r="G1028" s="46">
        <v>1</v>
      </c>
      <c r="H1028" s="81">
        <f t="shared" si="49"/>
        <v>4159348.700000003</v>
      </c>
      <c r="I1028" s="84">
        <f t="shared" si="50"/>
        <v>0.14083333333333334</v>
      </c>
      <c r="J1028" s="84">
        <f t="shared" si="51"/>
        <v>0.20631689980158746</v>
      </c>
      <c r="K1028" s="90" t="s">
        <v>52</v>
      </c>
    </row>
    <row r="1029" spans="1:11" ht="20">
      <c r="A1029" s="14">
        <v>45832</v>
      </c>
      <c r="B1029" s="83">
        <f>VLOOKUP(A1029,'BADI SID DATA'!A:B,2,0)</f>
        <v>85</v>
      </c>
      <c r="C1029" s="56">
        <v>42250</v>
      </c>
      <c r="D1029" s="54"/>
      <c r="E1029" s="54">
        <v>9.9</v>
      </c>
      <c r="F1029" s="46">
        <v>1</v>
      </c>
      <c r="G1029" s="46">
        <v>1</v>
      </c>
      <c r="H1029" s="81">
        <f t="shared" ref="H1029:H1092" si="52">C1029+H1028</f>
        <v>4201598.700000003</v>
      </c>
      <c r="I1029" s="84">
        <f t="shared" si="50"/>
        <v>0.17604166666666668</v>
      </c>
      <c r="J1029" s="84">
        <f t="shared" si="51"/>
        <v>0.20596072058823545</v>
      </c>
      <c r="K1029" s="90" t="s">
        <v>52</v>
      </c>
    </row>
    <row r="1030" spans="1:11" ht="20">
      <c r="A1030" s="14">
        <v>45833</v>
      </c>
      <c r="B1030" s="83">
        <f>VLOOKUP(A1030,'BADI SID DATA'!A:B,2,0)</f>
        <v>86</v>
      </c>
      <c r="C1030" s="56">
        <v>34450</v>
      </c>
      <c r="D1030" s="54"/>
      <c r="E1030" s="54">
        <v>9.1999999999999993</v>
      </c>
      <c r="F1030" s="46">
        <v>1</v>
      </c>
      <c r="G1030" s="46">
        <v>1</v>
      </c>
      <c r="H1030" s="81">
        <f t="shared" si="52"/>
        <v>4236048.700000003</v>
      </c>
      <c r="I1030" s="84">
        <f t="shared" si="50"/>
        <v>0.14354166666666668</v>
      </c>
      <c r="J1030" s="84">
        <f t="shared" si="51"/>
        <v>0.20523491763565907</v>
      </c>
      <c r="K1030" s="90" t="s">
        <v>52</v>
      </c>
    </row>
    <row r="1031" spans="1:11" ht="20">
      <c r="A1031" s="14">
        <v>45834</v>
      </c>
      <c r="B1031" s="83">
        <f>VLOOKUP(A1031,'BADI SID DATA'!A:B,2,0)</f>
        <v>87</v>
      </c>
      <c r="C1031" s="56">
        <v>33150</v>
      </c>
      <c r="D1031" s="54"/>
      <c r="E1031" s="54">
        <v>8.8000000000000007</v>
      </c>
      <c r="F1031" s="46">
        <v>1</v>
      </c>
      <c r="G1031" s="46">
        <v>1</v>
      </c>
      <c r="H1031" s="81">
        <f t="shared" si="52"/>
        <v>4269198.700000003</v>
      </c>
      <c r="I1031" s="84">
        <f t="shared" si="50"/>
        <v>0.138125</v>
      </c>
      <c r="J1031" s="84">
        <f t="shared" si="51"/>
        <v>0.20446353927203079</v>
      </c>
      <c r="K1031" s="90" t="s">
        <v>52</v>
      </c>
    </row>
    <row r="1032" spans="1:11" ht="60">
      <c r="A1032" s="14">
        <v>45835</v>
      </c>
      <c r="B1032" s="83">
        <f>VLOOKUP(A1032,'BADI SID DATA'!A:B,2,0)</f>
        <v>88</v>
      </c>
      <c r="C1032" s="56">
        <v>53950</v>
      </c>
      <c r="D1032" s="54"/>
      <c r="E1032" s="54">
        <v>10.1</v>
      </c>
      <c r="F1032" s="46">
        <v>1</v>
      </c>
      <c r="G1032" s="46">
        <v>1</v>
      </c>
      <c r="H1032" s="81">
        <f t="shared" si="52"/>
        <v>4323148.700000003</v>
      </c>
      <c r="I1032" s="84">
        <f t="shared" si="50"/>
        <v>0.22479166666666667</v>
      </c>
      <c r="J1032" s="84">
        <f t="shared" si="51"/>
        <v>0.20469454071969712</v>
      </c>
      <c r="K1032" s="90" t="s">
        <v>54</v>
      </c>
    </row>
    <row r="1033" spans="1:11" ht="60">
      <c r="A1033" s="14">
        <v>45836</v>
      </c>
      <c r="B1033" s="83">
        <f>VLOOKUP(A1033,'BADI SID DATA'!A:B,2,0)</f>
        <v>89</v>
      </c>
      <c r="C1033" s="56">
        <v>46800</v>
      </c>
      <c r="D1033" s="54"/>
      <c r="E1033" s="54">
        <v>10.4</v>
      </c>
      <c r="F1033" s="46">
        <v>1</v>
      </c>
      <c r="G1033" s="46">
        <v>1</v>
      </c>
      <c r="H1033" s="81">
        <f t="shared" si="52"/>
        <v>4369948.700000003</v>
      </c>
      <c r="I1033" s="84">
        <f t="shared" si="50"/>
        <v>0.19500000000000001</v>
      </c>
      <c r="J1033" s="84">
        <f t="shared" si="51"/>
        <v>0.20458561329588029</v>
      </c>
      <c r="K1033" s="90" t="s">
        <v>54</v>
      </c>
    </row>
    <row r="1034" spans="1:11" ht="60">
      <c r="A1034" s="14">
        <v>45837</v>
      </c>
      <c r="B1034" s="83">
        <f>VLOOKUP(A1034,'BADI SID DATA'!A:B,2,0)</f>
        <v>90</v>
      </c>
      <c r="C1034" s="56">
        <v>57200</v>
      </c>
      <c r="D1034" s="54"/>
      <c r="E1034" s="54">
        <v>10.1</v>
      </c>
      <c r="F1034" s="46">
        <v>1</v>
      </c>
      <c r="G1034" s="46">
        <v>1</v>
      </c>
      <c r="H1034" s="81">
        <f t="shared" si="52"/>
        <v>4427148.700000003</v>
      </c>
      <c r="I1034" s="84">
        <f t="shared" si="50"/>
        <v>0.23833333333333334</v>
      </c>
      <c r="J1034" s="84">
        <f t="shared" si="51"/>
        <v>0.2049605879629631</v>
      </c>
      <c r="K1034" s="90" t="s">
        <v>54</v>
      </c>
    </row>
    <row r="1035" spans="1:11" ht="60">
      <c r="A1035" s="14">
        <v>45838</v>
      </c>
      <c r="B1035" s="83">
        <f>VLOOKUP(A1035,'BADI SID DATA'!A:B,2,0)</f>
        <v>91</v>
      </c>
      <c r="C1035" s="56">
        <v>54600</v>
      </c>
      <c r="D1035" s="54"/>
      <c r="E1035" s="54">
        <v>10.3</v>
      </c>
      <c r="F1035" s="46">
        <v>1</v>
      </c>
      <c r="G1035" s="46">
        <v>1</v>
      </c>
      <c r="H1035" s="81">
        <f t="shared" si="52"/>
        <v>4481748.700000003</v>
      </c>
      <c r="I1035" s="84">
        <f t="shared" si="50"/>
        <v>0.22750000000000001</v>
      </c>
      <c r="J1035" s="84">
        <f t="shared" si="51"/>
        <v>0.20520827380952394</v>
      </c>
      <c r="K1035" s="90" t="s">
        <v>54</v>
      </c>
    </row>
    <row r="1036" spans="1:11" ht="20">
      <c r="A1036" s="14">
        <v>45839</v>
      </c>
      <c r="B1036" s="83">
        <f>VLOOKUP(A1036,'BADI SID DATA'!A:B,2,0)</f>
        <v>92</v>
      </c>
      <c r="C1036" s="56">
        <v>29250</v>
      </c>
      <c r="D1036" s="54"/>
      <c r="E1036" s="54">
        <v>8.4</v>
      </c>
      <c r="F1036" s="46">
        <v>1</v>
      </c>
      <c r="G1036" s="46">
        <v>1</v>
      </c>
      <c r="H1036" s="81">
        <f t="shared" si="52"/>
        <v>4510998.700000003</v>
      </c>
      <c r="I1036" s="84">
        <f t="shared" si="50"/>
        <v>0.121875</v>
      </c>
      <c r="J1036" s="84">
        <f t="shared" si="51"/>
        <v>0.20430247735507259</v>
      </c>
      <c r="K1036" s="90" t="s">
        <v>52</v>
      </c>
    </row>
    <row r="1037" spans="1:11" ht="20">
      <c r="A1037" s="14">
        <v>45840</v>
      </c>
      <c r="B1037" s="83">
        <f>VLOOKUP(A1037,'BADI SID DATA'!A:B,2,0)</f>
        <v>93</v>
      </c>
      <c r="C1037" s="56">
        <v>39650</v>
      </c>
      <c r="D1037" s="54"/>
      <c r="E1037" s="54">
        <v>8.9</v>
      </c>
      <c r="F1037" s="46">
        <v>1</v>
      </c>
      <c r="G1037" s="46">
        <v>1</v>
      </c>
      <c r="H1037" s="81">
        <f t="shared" si="52"/>
        <v>4550648.700000003</v>
      </c>
      <c r="I1037" s="84">
        <f t="shared" si="50"/>
        <v>0.16520833333333335</v>
      </c>
      <c r="J1037" s="84">
        <f t="shared" si="51"/>
        <v>0.2038821102150539</v>
      </c>
      <c r="K1037" s="90" t="s">
        <v>52</v>
      </c>
    </row>
    <row r="1038" spans="1:11" ht="20">
      <c r="A1038" s="14">
        <v>45841</v>
      </c>
      <c r="B1038" s="83">
        <f>VLOOKUP(A1038,'BADI SID DATA'!A:B,2,0)</f>
        <v>94</v>
      </c>
      <c r="C1038" s="56">
        <v>40950</v>
      </c>
      <c r="D1038" s="54"/>
      <c r="E1038" s="54">
        <v>9.1999999999999993</v>
      </c>
      <c r="F1038" s="46">
        <v>1</v>
      </c>
      <c r="G1038" s="46">
        <v>1</v>
      </c>
      <c r="H1038" s="81">
        <f t="shared" si="52"/>
        <v>4591598.700000003</v>
      </c>
      <c r="I1038" s="84">
        <f t="shared" si="50"/>
        <v>0.170625</v>
      </c>
      <c r="J1038" s="84">
        <f t="shared" si="51"/>
        <v>0.20352831117021289</v>
      </c>
      <c r="K1038" s="90" t="s">
        <v>52</v>
      </c>
    </row>
    <row r="1039" spans="1:11" ht="20">
      <c r="A1039" s="14">
        <v>45842</v>
      </c>
      <c r="B1039" s="83">
        <f>VLOOKUP(A1039,'BADI SID DATA'!A:B,2,0)</f>
        <v>95</v>
      </c>
      <c r="C1039" s="56">
        <v>40950</v>
      </c>
      <c r="D1039" s="54"/>
      <c r="E1039" s="54">
        <v>10</v>
      </c>
      <c r="F1039" s="46">
        <v>1</v>
      </c>
      <c r="G1039" s="46">
        <v>1</v>
      </c>
      <c r="H1039" s="81">
        <f t="shared" si="52"/>
        <v>4632548.700000003</v>
      </c>
      <c r="I1039" s="84">
        <f t="shared" si="50"/>
        <v>0.170625</v>
      </c>
      <c r="J1039" s="84">
        <f t="shared" si="51"/>
        <v>0.20318196052631593</v>
      </c>
      <c r="K1039" s="90" t="s">
        <v>52</v>
      </c>
    </row>
    <row r="1040" spans="1:11" ht="20">
      <c r="A1040" s="14">
        <v>45843</v>
      </c>
      <c r="B1040" s="83">
        <f>VLOOKUP(A1040,'BADI SID DATA'!A:B,2,0)</f>
        <v>96</v>
      </c>
      <c r="C1040" s="56">
        <v>47450</v>
      </c>
      <c r="D1040" s="54"/>
      <c r="E1040" s="54">
        <v>10.1</v>
      </c>
      <c r="F1040" s="46">
        <v>1</v>
      </c>
      <c r="G1040" s="46">
        <v>1</v>
      </c>
      <c r="H1040" s="81">
        <f t="shared" si="52"/>
        <v>4679998.700000003</v>
      </c>
      <c r="I1040" s="84">
        <f t="shared" si="50"/>
        <v>0.19770833333333335</v>
      </c>
      <c r="J1040" s="84">
        <f t="shared" si="51"/>
        <v>0.20312494357638902</v>
      </c>
      <c r="K1040" s="90" t="s">
        <v>52</v>
      </c>
    </row>
    <row r="1041" spans="1:11" ht="60">
      <c r="A1041" s="14">
        <v>45844</v>
      </c>
      <c r="B1041" s="83">
        <f>VLOOKUP(A1041,'BADI SID DATA'!A:B,2,0)</f>
        <v>97</v>
      </c>
      <c r="C1041" s="56">
        <v>49400</v>
      </c>
      <c r="D1041" s="54"/>
      <c r="E1041" s="54">
        <v>10.199999999999999</v>
      </c>
      <c r="F1041" s="46">
        <v>1</v>
      </c>
      <c r="G1041" s="46">
        <v>1</v>
      </c>
      <c r="H1041" s="81">
        <f t="shared" si="52"/>
        <v>4729398.700000003</v>
      </c>
      <c r="I1041" s="84">
        <f t="shared" si="50"/>
        <v>0.20583333333333334</v>
      </c>
      <c r="J1041" s="84">
        <f t="shared" si="51"/>
        <v>0.20315286512027506</v>
      </c>
      <c r="K1041" s="90" t="s">
        <v>54</v>
      </c>
    </row>
    <row r="1042" spans="1:11" ht="60">
      <c r="A1042" s="14">
        <v>45845</v>
      </c>
      <c r="B1042" s="83">
        <f>VLOOKUP(A1042,'BADI SID DATA'!A:B,2,0)</f>
        <v>98</v>
      </c>
      <c r="C1042" s="56">
        <v>47450</v>
      </c>
      <c r="D1042" s="54"/>
      <c r="E1042" s="54">
        <v>10.3</v>
      </c>
      <c r="F1042" s="46">
        <v>1</v>
      </c>
      <c r="G1042" s="46">
        <v>1</v>
      </c>
      <c r="H1042" s="81">
        <f t="shared" si="52"/>
        <v>4776848.700000003</v>
      </c>
      <c r="I1042" s="84">
        <f t="shared" si="50"/>
        <v>0.19770833333333335</v>
      </c>
      <c r="J1042" s="84">
        <f t="shared" si="51"/>
        <v>0.20309730867346951</v>
      </c>
      <c r="K1042" s="90" t="s">
        <v>54</v>
      </c>
    </row>
    <row r="1043" spans="1:11" ht="60">
      <c r="A1043" s="14">
        <v>45846</v>
      </c>
      <c r="B1043" s="83">
        <f>VLOOKUP(A1043,'BADI SID DATA'!A:B,2,0)</f>
        <v>99</v>
      </c>
      <c r="C1043" s="56">
        <v>50700</v>
      </c>
      <c r="D1043" s="54"/>
      <c r="E1043" s="54">
        <v>10.1</v>
      </c>
      <c r="F1043" s="46">
        <v>1</v>
      </c>
      <c r="G1043" s="46">
        <v>1</v>
      </c>
      <c r="H1043" s="81">
        <f t="shared" si="52"/>
        <v>4827548.700000003</v>
      </c>
      <c r="I1043" s="84">
        <f t="shared" si="50"/>
        <v>0.21124999999999999</v>
      </c>
      <c r="J1043" s="84">
        <f t="shared" si="51"/>
        <v>0.20317965909090921</v>
      </c>
      <c r="K1043" s="90" t="s">
        <v>54</v>
      </c>
    </row>
    <row r="1044" spans="1:11" ht="60">
      <c r="A1044" s="14">
        <v>45847</v>
      </c>
      <c r="B1044" s="83">
        <f>VLOOKUP(A1044,'BADI SID DATA'!A:B,2,0)</f>
        <v>100</v>
      </c>
      <c r="C1044" s="56">
        <v>52000</v>
      </c>
      <c r="D1044" s="54"/>
      <c r="E1044" s="54">
        <v>10</v>
      </c>
      <c r="F1044" s="46">
        <v>1</v>
      </c>
      <c r="G1044" s="46">
        <v>1</v>
      </c>
      <c r="H1044" s="81">
        <f t="shared" si="52"/>
        <v>4879548.700000003</v>
      </c>
      <c r="I1044" s="84">
        <f t="shared" si="50"/>
        <v>0.21666666666666667</v>
      </c>
      <c r="J1044" s="84">
        <f t="shared" si="51"/>
        <v>0.20331452916666679</v>
      </c>
      <c r="K1044" s="90" t="s">
        <v>54</v>
      </c>
    </row>
    <row r="1045" spans="1:11" ht="60">
      <c r="A1045" s="14">
        <v>45848</v>
      </c>
      <c r="B1045" s="83">
        <f>VLOOKUP(A1045,'BADI SID DATA'!A:B,2,0)</f>
        <v>101</v>
      </c>
      <c r="C1045" s="56">
        <v>52650</v>
      </c>
      <c r="D1045" s="54"/>
      <c r="E1045" s="54">
        <v>10</v>
      </c>
      <c r="F1045" s="46">
        <v>1</v>
      </c>
      <c r="G1045" s="46">
        <v>1</v>
      </c>
      <c r="H1045" s="81">
        <f t="shared" si="52"/>
        <v>4932198.700000003</v>
      </c>
      <c r="I1045" s="84">
        <f t="shared" si="50"/>
        <v>0.21937499999999999</v>
      </c>
      <c r="J1045" s="84">
        <f t="shared" si="51"/>
        <v>0.20347354372937307</v>
      </c>
      <c r="K1045" s="90" t="s">
        <v>54</v>
      </c>
    </row>
    <row r="1046" spans="1:11" ht="60">
      <c r="A1046" s="14">
        <v>45849</v>
      </c>
      <c r="B1046" s="83">
        <f>VLOOKUP(A1046,'BADI SID DATA'!A:B,2,0)</f>
        <v>102</v>
      </c>
      <c r="C1046" s="56">
        <v>52000</v>
      </c>
      <c r="D1046" s="54"/>
      <c r="E1046" s="54">
        <v>10.5</v>
      </c>
      <c r="F1046" s="46">
        <v>1</v>
      </c>
      <c r="G1046" s="46">
        <v>1</v>
      </c>
      <c r="H1046" s="81">
        <f t="shared" si="52"/>
        <v>4984198.700000003</v>
      </c>
      <c r="I1046" s="84">
        <f t="shared" si="50"/>
        <v>0.21666666666666667</v>
      </c>
      <c r="J1046" s="84">
        <f t="shared" si="51"/>
        <v>0.20360288807189555</v>
      </c>
      <c r="K1046" s="90" t="s">
        <v>54</v>
      </c>
    </row>
    <row r="1047" spans="1:11" ht="60">
      <c r="A1047" s="14">
        <v>45850</v>
      </c>
      <c r="B1047" s="83">
        <f>VLOOKUP(A1047,'BADI SID DATA'!A:B,2,0)</f>
        <v>103</v>
      </c>
      <c r="C1047" s="56">
        <v>51350</v>
      </c>
      <c r="D1047" s="54"/>
      <c r="E1047" s="54">
        <v>10.4</v>
      </c>
      <c r="F1047" s="46">
        <v>1</v>
      </c>
      <c r="G1047" s="46">
        <v>1</v>
      </c>
      <c r="H1047" s="81">
        <f t="shared" si="52"/>
        <v>5035548.700000003</v>
      </c>
      <c r="I1047" s="84">
        <f t="shared" si="50"/>
        <v>0.21395833333333333</v>
      </c>
      <c r="J1047" s="84">
        <f t="shared" si="51"/>
        <v>0.20370342637540464</v>
      </c>
      <c r="K1047" s="90" t="s">
        <v>54</v>
      </c>
    </row>
    <row r="1048" spans="1:11" ht="20">
      <c r="A1048" s="14">
        <v>45851</v>
      </c>
      <c r="B1048" s="83">
        <f>VLOOKUP(A1048,'BADI SID DATA'!A:B,2,0)</f>
        <v>104</v>
      </c>
      <c r="C1048" s="56">
        <v>46150</v>
      </c>
      <c r="D1048" s="54"/>
      <c r="E1048" s="54">
        <v>9</v>
      </c>
      <c r="F1048" s="46">
        <v>1</v>
      </c>
      <c r="G1048" s="46">
        <v>1</v>
      </c>
      <c r="H1048" s="81">
        <f t="shared" si="52"/>
        <v>5081698.700000003</v>
      </c>
      <c r="I1048" s="84">
        <f t="shared" si="50"/>
        <v>0.19229166666666667</v>
      </c>
      <c r="J1048" s="84">
        <f t="shared" si="51"/>
        <v>0.20359369791666679</v>
      </c>
      <c r="K1048" s="90" t="s">
        <v>52</v>
      </c>
    </row>
    <row r="1049" spans="1:11" ht="60">
      <c r="A1049" s="14">
        <v>45852</v>
      </c>
      <c r="B1049" s="83">
        <f>VLOOKUP(A1049,'BADI SID DATA'!A:B,2,0)</f>
        <v>105</v>
      </c>
      <c r="C1049" s="56">
        <v>51350</v>
      </c>
      <c r="D1049" s="54"/>
      <c r="E1049" s="54">
        <v>10.199999999999999</v>
      </c>
      <c r="F1049" s="46">
        <v>1</v>
      </c>
      <c r="G1049" s="46">
        <v>1</v>
      </c>
      <c r="H1049" s="81">
        <f t="shared" si="52"/>
        <v>5133048.700000003</v>
      </c>
      <c r="I1049" s="84">
        <f t="shared" si="50"/>
        <v>0.21395833333333333</v>
      </c>
      <c r="J1049" s="84">
        <f t="shared" si="51"/>
        <v>0.20369240873015884</v>
      </c>
      <c r="K1049" s="90" t="s">
        <v>54</v>
      </c>
    </row>
    <row r="1050" spans="1:11" ht="20">
      <c r="A1050" s="14">
        <v>45853</v>
      </c>
      <c r="B1050" s="83">
        <f>VLOOKUP(A1050,'BADI SID DATA'!A:B,2,0)</f>
        <v>106</v>
      </c>
      <c r="C1050" s="56">
        <v>43550</v>
      </c>
      <c r="D1050" s="54"/>
      <c r="E1050" s="54">
        <v>9.3000000000000007</v>
      </c>
      <c r="F1050" s="46">
        <v>1</v>
      </c>
      <c r="G1050" s="46">
        <v>1</v>
      </c>
      <c r="H1050" s="81">
        <f t="shared" si="52"/>
        <v>5176598.700000003</v>
      </c>
      <c r="I1050" s="84">
        <f t="shared" si="50"/>
        <v>0.18145833333333333</v>
      </c>
      <c r="J1050" s="84">
        <f t="shared" si="51"/>
        <v>0.20348265330188692</v>
      </c>
      <c r="K1050" s="90" t="s">
        <v>52</v>
      </c>
    </row>
    <row r="1051" spans="1:11" ht="60">
      <c r="A1051" s="14">
        <v>45854</v>
      </c>
      <c r="B1051" s="83">
        <f>VLOOKUP(A1051,'BADI SID DATA'!A:B,2,0)</f>
        <v>107</v>
      </c>
      <c r="C1051" s="56">
        <v>57850</v>
      </c>
      <c r="D1051" s="54"/>
      <c r="E1051" s="54" t="s">
        <v>49</v>
      </c>
      <c r="F1051" s="46">
        <v>1</v>
      </c>
      <c r="G1051" s="46">
        <v>1</v>
      </c>
      <c r="H1051" s="81">
        <f t="shared" si="52"/>
        <v>5234448.700000003</v>
      </c>
      <c r="I1051" s="84">
        <f t="shared" si="50"/>
        <v>0.24104166666666665</v>
      </c>
      <c r="J1051" s="84">
        <f t="shared" si="51"/>
        <v>0.20383367211838019</v>
      </c>
      <c r="K1051" s="90" t="s">
        <v>54</v>
      </c>
    </row>
    <row r="1052" spans="1:11" ht="60">
      <c r="A1052" s="14">
        <v>45855</v>
      </c>
      <c r="B1052" s="83">
        <f>VLOOKUP(A1052,'BADI SID DATA'!A:B,2,0)</f>
        <v>108</v>
      </c>
      <c r="C1052" s="56">
        <v>51350</v>
      </c>
      <c r="D1052" s="54"/>
      <c r="E1052" s="54">
        <v>10.4</v>
      </c>
      <c r="F1052" s="46">
        <v>1</v>
      </c>
      <c r="G1052" s="46">
        <v>1</v>
      </c>
      <c r="H1052" s="81">
        <f t="shared" si="52"/>
        <v>5285798.700000003</v>
      </c>
      <c r="I1052" s="84">
        <f t="shared" si="50"/>
        <v>0.21395833333333333</v>
      </c>
      <c r="J1052" s="84">
        <f t="shared" si="51"/>
        <v>0.20392741898148159</v>
      </c>
      <c r="K1052" s="90" t="s">
        <v>54</v>
      </c>
    </row>
    <row r="1053" spans="1:11" ht="20">
      <c r="A1053" s="14">
        <v>45856</v>
      </c>
      <c r="B1053" s="83">
        <f>VLOOKUP(A1053,'BADI SID DATA'!A:B,2,0)</f>
        <v>109</v>
      </c>
      <c r="C1053" s="56">
        <v>41600</v>
      </c>
      <c r="D1053" s="54"/>
      <c r="E1053" s="54">
        <v>9.1999999999999993</v>
      </c>
      <c r="F1053" s="46">
        <v>1</v>
      </c>
      <c r="G1053" s="46">
        <v>1</v>
      </c>
      <c r="H1053" s="81">
        <f t="shared" si="52"/>
        <v>5327398.700000003</v>
      </c>
      <c r="I1053" s="84">
        <f t="shared" si="50"/>
        <v>0.17333333333333334</v>
      </c>
      <c r="J1053" s="84">
        <f t="shared" si="51"/>
        <v>0.20364673929663621</v>
      </c>
      <c r="K1053" s="90" t="s">
        <v>52</v>
      </c>
    </row>
    <row r="1054" spans="1:11" ht="20">
      <c r="A1054" s="14">
        <v>45857</v>
      </c>
      <c r="B1054" s="83">
        <f>VLOOKUP(A1054,'BADI SID DATA'!A:B,2,0)</f>
        <v>110</v>
      </c>
      <c r="C1054" s="56">
        <v>37050</v>
      </c>
      <c r="D1054" s="54"/>
      <c r="E1054" s="54">
        <v>9.1</v>
      </c>
      <c r="F1054" s="46">
        <v>1</v>
      </c>
      <c r="G1054" s="46">
        <v>1</v>
      </c>
      <c r="H1054" s="81">
        <f t="shared" si="52"/>
        <v>5364448.700000003</v>
      </c>
      <c r="I1054" s="84">
        <f t="shared" si="50"/>
        <v>0.15437500000000001</v>
      </c>
      <c r="J1054" s="84">
        <f t="shared" si="51"/>
        <v>0.2031988143939395</v>
      </c>
      <c r="K1054" s="90" t="s">
        <v>52</v>
      </c>
    </row>
    <row r="1055" spans="1:11" ht="80">
      <c r="A1055" s="14">
        <v>45858</v>
      </c>
      <c r="B1055" s="83">
        <f>VLOOKUP(A1055,'BADI SID DATA'!A:B,2,0)</f>
        <v>111</v>
      </c>
      <c r="C1055" s="56">
        <v>43550</v>
      </c>
      <c r="D1055" s="54"/>
      <c r="E1055" s="54">
        <v>8.9</v>
      </c>
      <c r="F1055" s="46">
        <v>1</v>
      </c>
      <c r="G1055" s="46">
        <v>1</v>
      </c>
      <c r="H1055" s="81">
        <f t="shared" si="52"/>
        <v>5407998.700000003</v>
      </c>
      <c r="I1055" s="84">
        <f t="shared" si="50"/>
        <v>0.18145833333333333</v>
      </c>
      <c r="J1055" s="84">
        <f t="shared" si="51"/>
        <v>0.20300295420420431</v>
      </c>
      <c r="K1055" s="90" t="s">
        <v>51</v>
      </c>
    </row>
    <row r="1056" spans="1:11" ht="20">
      <c r="A1056" s="14">
        <v>45859</v>
      </c>
      <c r="B1056" s="83">
        <f>VLOOKUP(A1056,'BADI SID DATA'!A:B,2,0)</f>
        <v>112</v>
      </c>
      <c r="C1056" s="56">
        <v>33150</v>
      </c>
      <c r="D1056" s="54"/>
      <c r="E1056" s="54">
        <v>9.9</v>
      </c>
      <c r="F1056" s="46">
        <v>1</v>
      </c>
      <c r="G1056" s="46">
        <v>1</v>
      </c>
      <c r="H1056" s="81">
        <f t="shared" si="52"/>
        <v>5441148.700000003</v>
      </c>
      <c r="I1056" s="84">
        <f t="shared" si="50"/>
        <v>0.138125</v>
      </c>
      <c r="J1056" s="84">
        <f t="shared" si="51"/>
        <v>0.20242368675595249</v>
      </c>
      <c r="K1056" s="90" t="s">
        <v>52</v>
      </c>
    </row>
    <row r="1057" spans="1:11" ht="20">
      <c r="A1057" s="14">
        <v>45860</v>
      </c>
      <c r="B1057" s="83">
        <f>VLOOKUP(A1057,'BADI SID DATA'!A:B,2,0)</f>
        <v>113</v>
      </c>
      <c r="C1057" s="56">
        <v>37700</v>
      </c>
      <c r="D1057" s="54"/>
      <c r="E1057" s="54">
        <v>9.1999999999999993</v>
      </c>
      <c r="F1057" s="46">
        <v>1</v>
      </c>
      <c r="G1057" s="46">
        <v>1</v>
      </c>
      <c r="H1057" s="81">
        <f t="shared" si="52"/>
        <v>5478848.700000003</v>
      </c>
      <c r="I1057" s="84">
        <f t="shared" si="50"/>
        <v>0.15708333333333332</v>
      </c>
      <c r="J1057" s="84">
        <f t="shared" si="51"/>
        <v>0.20202244469026559</v>
      </c>
      <c r="K1057" s="90" t="s">
        <v>52</v>
      </c>
    </row>
    <row r="1058" spans="1:11" ht="20">
      <c r="A1058" s="14">
        <v>45861</v>
      </c>
      <c r="B1058" s="83">
        <f>VLOOKUP(A1058,'BADI SID DATA'!A:B,2,0)</f>
        <v>114</v>
      </c>
      <c r="C1058" s="56">
        <v>44200</v>
      </c>
      <c r="D1058" s="54"/>
      <c r="E1058" s="54">
        <v>8.5</v>
      </c>
      <c r="F1058" s="46">
        <v>1</v>
      </c>
      <c r="G1058" s="46">
        <v>1</v>
      </c>
      <c r="H1058" s="81">
        <f t="shared" si="52"/>
        <v>5523048.700000003</v>
      </c>
      <c r="I1058" s="84">
        <f t="shared" si="50"/>
        <v>0.18416666666666667</v>
      </c>
      <c r="J1058" s="84">
        <f t="shared" si="51"/>
        <v>0.20186581505847964</v>
      </c>
      <c r="K1058" s="90" t="s">
        <v>52</v>
      </c>
    </row>
    <row r="1059" spans="1:11" ht="80">
      <c r="A1059" s="14">
        <v>45862</v>
      </c>
      <c r="B1059" s="83">
        <f>VLOOKUP(A1059,'BADI SID DATA'!A:B,2,0)</f>
        <v>115</v>
      </c>
      <c r="C1059" s="56">
        <v>29900</v>
      </c>
      <c r="D1059" s="54"/>
      <c r="E1059" s="54">
        <v>7.4</v>
      </c>
      <c r="F1059" s="46">
        <v>1</v>
      </c>
      <c r="G1059" s="46">
        <v>1</v>
      </c>
      <c r="H1059" s="81">
        <f t="shared" si="52"/>
        <v>5552948.700000003</v>
      </c>
      <c r="I1059" s="84">
        <f t="shared" si="50"/>
        <v>0.12458333333333334</v>
      </c>
      <c r="J1059" s="84">
        <f t="shared" si="51"/>
        <v>0.20119379347826097</v>
      </c>
      <c r="K1059" s="90" t="s">
        <v>51</v>
      </c>
    </row>
    <row r="1060" spans="1:11" ht="20">
      <c r="A1060" s="14">
        <v>45863</v>
      </c>
      <c r="B1060" s="83">
        <f>VLOOKUP(A1060,'BADI SID DATA'!A:B,2,0)</f>
        <v>116</v>
      </c>
      <c r="C1060" s="56">
        <v>34450</v>
      </c>
      <c r="D1060" s="54"/>
      <c r="E1060" s="54">
        <v>7.8</v>
      </c>
      <c r="F1060" s="46">
        <v>1</v>
      </c>
      <c r="G1060" s="46">
        <v>1</v>
      </c>
      <c r="H1060" s="81">
        <f t="shared" si="52"/>
        <v>5587398.700000003</v>
      </c>
      <c r="I1060" s="84">
        <f t="shared" si="50"/>
        <v>0.14354166666666668</v>
      </c>
      <c r="J1060" s="84">
        <f t="shared" si="51"/>
        <v>0.20069679238505758</v>
      </c>
      <c r="K1060" s="90" t="s">
        <v>52</v>
      </c>
    </row>
    <row r="1061" spans="1:11" ht="80">
      <c r="A1061" s="14">
        <v>45864</v>
      </c>
      <c r="B1061" s="83">
        <f>VLOOKUP(A1061,'BADI SID DATA'!A:B,2,0)</f>
        <v>117</v>
      </c>
      <c r="C1061" s="56">
        <v>35750</v>
      </c>
      <c r="D1061" s="54"/>
      <c r="E1061" s="54">
        <v>9.5</v>
      </c>
      <c r="F1061" s="46">
        <v>1</v>
      </c>
      <c r="G1061" s="46">
        <v>1</v>
      </c>
      <c r="H1061" s="81">
        <f t="shared" si="52"/>
        <v>5623148.700000003</v>
      </c>
      <c r="I1061" s="84">
        <f t="shared" si="50"/>
        <v>0.14895833333333333</v>
      </c>
      <c r="J1061" s="84">
        <f t="shared" si="51"/>
        <v>0.20025458333333343</v>
      </c>
      <c r="K1061" s="90" t="s">
        <v>51</v>
      </c>
    </row>
    <row r="1062" spans="1:11" ht="20">
      <c r="A1062" s="14">
        <v>45865</v>
      </c>
      <c r="B1062" s="83">
        <f>VLOOKUP(A1062,'BADI SID DATA'!A:B,2,0)</f>
        <v>118</v>
      </c>
      <c r="C1062" s="56">
        <v>33800</v>
      </c>
      <c r="D1062" s="54"/>
      <c r="E1062" s="54">
        <v>8.6999999999999993</v>
      </c>
      <c r="F1062" s="46">
        <v>1</v>
      </c>
      <c r="G1062" s="46">
        <v>1</v>
      </c>
      <c r="H1062" s="81">
        <f t="shared" si="52"/>
        <v>5656948.700000003</v>
      </c>
      <c r="I1062" s="84">
        <f t="shared" si="50"/>
        <v>0.14083333333333334</v>
      </c>
      <c r="J1062" s="84">
        <f t="shared" si="51"/>
        <v>0.19975101341807919</v>
      </c>
      <c r="K1062" s="90" t="s">
        <v>52</v>
      </c>
    </row>
    <row r="1063" spans="1:11" ht="20">
      <c r="A1063" s="14">
        <v>45866</v>
      </c>
      <c r="B1063" s="83">
        <f>VLOOKUP(A1063,'BADI SID DATA'!A:B,2,0)</f>
        <v>119</v>
      </c>
      <c r="C1063" s="56">
        <v>34450</v>
      </c>
      <c r="D1063" s="54"/>
      <c r="E1063" s="54">
        <v>8.9</v>
      </c>
      <c r="F1063" s="46">
        <v>1</v>
      </c>
      <c r="G1063" s="46">
        <v>1</v>
      </c>
      <c r="H1063" s="81">
        <f t="shared" si="52"/>
        <v>5691398.700000003</v>
      </c>
      <c r="I1063" s="84">
        <f t="shared" si="50"/>
        <v>0.14354166666666668</v>
      </c>
      <c r="J1063" s="84">
        <f t="shared" si="51"/>
        <v>0.19927866596638666</v>
      </c>
      <c r="K1063" s="90" t="s">
        <v>52</v>
      </c>
    </row>
    <row r="1064" spans="1:11" ht="20">
      <c r="A1064" s="14">
        <v>45867</v>
      </c>
      <c r="B1064" s="83">
        <f>VLOOKUP(A1064,'BADI SID DATA'!A:B,2,0)</f>
        <v>120</v>
      </c>
      <c r="C1064" s="56">
        <v>37700</v>
      </c>
      <c r="D1064" s="54"/>
      <c r="E1064" s="54">
        <v>9.1</v>
      </c>
      <c r="F1064" s="46">
        <v>1</v>
      </c>
      <c r="G1064" s="46">
        <v>1</v>
      </c>
      <c r="H1064" s="81">
        <f t="shared" si="52"/>
        <v>5729098.700000003</v>
      </c>
      <c r="I1064" s="84">
        <f t="shared" si="50"/>
        <v>0.15708333333333332</v>
      </c>
      <c r="J1064" s="84">
        <f t="shared" si="51"/>
        <v>0.19892703819444454</v>
      </c>
      <c r="K1064" s="90" t="s">
        <v>52</v>
      </c>
    </row>
    <row r="1065" spans="1:11" ht="60">
      <c r="A1065" s="14">
        <v>45868</v>
      </c>
      <c r="B1065" s="83">
        <f>VLOOKUP(A1065,'BADI SID DATA'!A:B,2,0)</f>
        <v>121</v>
      </c>
      <c r="C1065" s="56">
        <v>51350</v>
      </c>
      <c r="D1065" s="54"/>
      <c r="E1065" s="54">
        <v>10.1</v>
      </c>
      <c r="F1065" s="46">
        <v>1</v>
      </c>
      <c r="G1065" s="46">
        <v>1</v>
      </c>
      <c r="H1065" s="81">
        <f t="shared" si="52"/>
        <v>5780448.700000003</v>
      </c>
      <c r="I1065" s="84">
        <f t="shared" si="50"/>
        <v>0.21395833333333333</v>
      </c>
      <c r="J1065" s="84">
        <f t="shared" si="51"/>
        <v>0.19905126377410479</v>
      </c>
      <c r="K1065" s="90" t="s">
        <v>54</v>
      </c>
    </row>
    <row r="1066" spans="1:11" ht="20">
      <c r="A1066" s="14">
        <v>45869</v>
      </c>
      <c r="B1066" s="83">
        <f>VLOOKUP(A1066,'BADI SID DATA'!A:B,2,0)</f>
        <v>122</v>
      </c>
      <c r="C1066" s="56">
        <v>35100</v>
      </c>
      <c r="D1066" s="54"/>
      <c r="E1066" s="54">
        <v>7.8</v>
      </c>
      <c r="F1066" s="46">
        <v>1</v>
      </c>
      <c r="G1066" s="46">
        <v>1</v>
      </c>
      <c r="H1066" s="81">
        <f t="shared" si="52"/>
        <v>5815548.700000003</v>
      </c>
      <c r="I1066" s="84">
        <f t="shared" si="50"/>
        <v>0.14624999999999999</v>
      </c>
      <c r="J1066" s="84">
        <f t="shared" si="51"/>
        <v>0.19861846653005474</v>
      </c>
      <c r="K1066" s="90" t="s">
        <v>52</v>
      </c>
    </row>
    <row r="1067" spans="1:11" ht="60">
      <c r="A1067" s="14">
        <v>45870</v>
      </c>
      <c r="B1067" s="83">
        <f>VLOOKUP(A1067,'BADI SID DATA'!A:B,2,0)</f>
        <v>123</v>
      </c>
      <c r="C1067" s="56">
        <v>56550</v>
      </c>
      <c r="D1067" s="54"/>
      <c r="E1067" s="54">
        <v>10.1</v>
      </c>
      <c r="F1067" s="46">
        <v>1</v>
      </c>
      <c r="G1067" s="46">
        <v>1</v>
      </c>
      <c r="H1067" s="81">
        <f t="shared" si="52"/>
        <v>5872098.700000003</v>
      </c>
      <c r="I1067" s="84">
        <f t="shared" si="50"/>
        <v>0.235625</v>
      </c>
      <c r="J1067" s="84">
        <f t="shared" si="51"/>
        <v>0.19891933265582665</v>
      </c>
      <c r="K1067" s="90" t="s">
        <v>54</v>
      </c>
    </row>
    <row r="1068" spans="1:11" ht="60">
      <c r="A1068" s="14">
        <v>45871</v>
      </c>
      <c r="B1068" s="83">
        <f>VLOOKUP(A1068,'BADI SID DATA'!A:B,2,0)</f>
        <v>124</v>
      </c>
      <c r="C1068" s="56">
        <v>55250</v>
      </c>
      <c r="D1068" s="54"/>
      <c r="E1068" s="54">
        <v>10</v>
      </c>
      <c r="F1068" s="46">
        <v>1</v>
      </c>
      <c r="G1068" s="46">
        <v>1</v>
      </c>
      <c r="H1068" s="81">
        <f t="shared" si="52"/>
        <v>5927348.700000003</v>
      </c>
      <c r="I1068" s="84">
        <f t="shared" si="50"/>
        <v>0.23020833333333332</v>
      </c>
      <c r="J1068" s="84">
        <f t="shared" si="51"/>
        <v>0.19917166330645172</v>
      </c>
      <c r="K1068" s="90" t="s">
        <v>54</v>
      </c>
    </row>
    <row r="1069" spans="1:11" ht="20">
      <c r="A1069" s="14">
        <v>45872</v>
      </c>
      <c r="B1069" s="83">
        <f>VLOOKUP(A1069,'BADI SID DATA'!A:B,2,0)</f>
        <v>125</v>
      </c>
      <c r="C1069" s="56">
        <v>38350</v>
      </c>
      <c r="D1069" s="54"/>
      <c r="E1069" s="54">
        <v>9.9</v>
      </c>
      <c r="F1069" s="46">
        <v>1</v>
      </c>
      <c r="G1069" s="46">
        <v>1</v>
      </c>
      <c r="H1069" s="81">
        <f t="shared" si="52"/>
        <v>5965698.700000003</v>
      </c>
      <c r="I1069" s="84">
        <f t="shared" si="50"/>
        <v>0.15979166666666667</v>
      </c>
      <c r="J1069" s="84">
        <f t="shared" si="51"/>
        <v>0.19885662333333343</v>
      </c>
      <c r="K1069" s="90" t="s">
        <v>52</v>
      </c>
    </row>
    <row r="1070" spans="1:11" ht="80">
      <c r="A1070" s="14">
        <v>45873</v>
      </c>
      <c r="B1070" s="83">
        <f>VLOOKUP(A1070,'BADI SID DATA'!A:B,2,0)</f>
        <v>126</v>
      </c>
      <c r="C1070" s="56">
        <v>42250</v>
      </c>
      <c r="D1070" s="54"/>
      <c r="E1070" s="54">
        <v>10.5</v>
      </c>
      <c r="F1070" s="46">
        <v>1</v>
      </c>
      <c r="G1070" s="46">
        <v>1</v>
      </c>
      <c r="H1070" s="81">
        <f t="shared" si="52"/>
        <v>6007948.700000003</v>
      </c>
      <c r="I1070" s="84">
        <f t="shared" ref="I1070:I1133" si="53">C1070/(10*24*1000)</f>
        <v>0.17604166666666668</v>
      </c>
      <c r="J1070" s="84">
        <f t="shared" si="51"/>
        <v>0.19867555224867733</v>
      </c>
      <c r="K1070" s="90" t="s">
        <v>51</v>
      </c>
    </row>
    <row r="1071" spans="1:11" ht="80">
      <c r="A1071" s="14">
        <v>45874</v>
      </c>
      <c r="B1071" s="83">
        <f>VLOOKUP(A1071,'BADI SID DATA'!A:B,2,0)</f>
        <v>127</v>
      </c>
      <c r="C1071" s="56">
        <v>44850</v>
      </c>
      <c r="D1071" s="54"/>
      <c r="E1071" s="54">
        <v>10.3</v>
      </c>
      <c r="F1071" s="46">
        <v>1</v>
      </c>
      <c r="G1071" s="46">
        <v>1</v>
      </c>
      <c r="H1071" s="81">
        <f t="shared" si="52"/>
        <v>6052798.700000003</v>
      </c>
      <c r="I1071" s="84">
        <f t="shared" si="53"/>
        <v>0.18687500000000001</v>
      </c>
      <c r="J1071" s="84">
        <f t="shared" si="51"/>
        <v>0.19858263451443578</v>
      </c>
      <c r="K1071" s="90" t="s">
        <v>51</v>
      </c>
    </row>
    <row r="1072" spans="1:11" ht="60">
      <c r="A1072" s="14">
        <v>45875</v>
      </c>
      <c r="B1072" s="83">
        <f>VLOOKUP(A1072,'BADI SID DATA'!A:B,2,0)</f>
        <v>128</v>
      </c>
      <c r="C1072" s="56">
        <v>50050</v>
      </c>
      <c r="D1072" s="54"/>
      <c r="E1072" s="54">
        <v>9.9</v>
      </c>
      <c r="F1072" s="46">
        <v>1</v>
      </c>
      <c r="G1072" s="46">
        <v>1</v>
      </c>
      <c r="H1072" s="81">
        <f t="shared" si="52"/>
        <v>6102848.700000003</v>
      </c>
      <c r="I1072" s="84">
        <f t="shared" si="53"/>
        <v>0.20854166666666665</v>
      </c>
      <c r="J1072" s="84">
        <f t="shared" si="51"/>
        <v>0.19866043945312509</v>
      </c>
      <c r="K1072" s="90" t="s">
        <v>54</v>
      </c>
    </row>
    <row r="1073" spans="1:11" ht="80">
      <c r="A1073" s="14">
        <v>45876</v>
      </c>
      <c r="B1073" s="83">
        <f>VLOOKUP(A1073,'BADI SID DATA'!A:B,2,0)</f>
        <v>129</v>
      </c>
      <c r="C1073" s="56">
        <v>50050</v>
      </c>
      <c r="D1073" s="54"/>
      <c r="E1073" s="54">
        <v>8.5</v>
      </c>
      <c r="F1073" s="46">
        <v>1</v>
      </c>
      <c r="G1073" s="46">
        <v>1</v>
      </c>
      <c r="H1073" s="81">
        <f t="shared" si="52"/>
        <v>6152898.700000003</v>
      </c>
      <c r="I1073" s="84">
        <f t="shared" si="53"/>
        <v>0.20854166666666665</v>
      </c>
      <c r="J1073" s="84">
        <f t="shared" si="51"/>
        <v>0.1987370381136952</v>
      </c>
      <c r="K1073" s="90" t="s">
        <v>51</v>
      </c>
    </row>
    <row r="1074" spans="1:11" ht="80">
      <c r="A1074" s="14">
        <v>45877</v>
      </c>
      <c r="B1074" s="83">
        <f>VLOOKUP(A1074,'BADI SID DATA'!A:B,2,0)</f>
        <v>130</v>
      </c>
      <c r="C1074" s="56">
        <v>45500</v>
      </c>
      <c r="D1074" s="54"/>
      <c r="E1074" s="54">
        <v>10.8</v>
      </c>
      <c r="F1074" s="46">
        <v>1</v>
      </c>
      <c r="G1074" s="46">
        <v>1</v>
      </c>
      <c r="H1074" s="81">
        <f t="shared" si="52"/>
        <v>6198398.700000003</v>
      </c>
      <c r="I1074" s="84">
        <f t="shared" si="53"/>
        <v>0.18958333333333333</v>
      </c>
      <c r="J1074" s="84">
        <f t="shared" si="51"/>
        <v>0.1986666250000001</v>
      </c>
      <c r="K1074" s="90" t="s">
        <v>51</v>
      </c>
    </row>
    <row r="1075" spans="1:11" ht="80">
      <c r="A1075" s="14">
        <v>45878</v>
      </c>
      <c r="B1075" s="83">
        <f>VLOOKUP(A1075,'BADI SID DATA'!A:B,2,0)</f>
        <v>131</v>
      </c>
      <c r="C1075" s="56">
        <v>40950</v>
      </c>
      <c r="D1075" s="54"/>
      <c r="E1075" s="54">
        <v>10.7</v>
      </c>
      <c r="F1075" s="46">
        <v>1</v>
      </c>
      <c r="G1075" s="46">
        <v>1</v>
      </c>
      <c r="H1075" s="81">
        <f t="shared" si="52"/>
        <v>6239348.700000003</v>
      </c>
      <c r="I1075" s="84">
        <f t="shared" si="53"/>
        <v>0.170625</v>
      </c>
      <c r="J1075" s="84">
        <f t="shared" si="51"/>
        <v>0.19845256679389323</v>
      </c>
      <c r="K1075" s="90" t="s">
        <v>51</v>
      </c>
    </row>
    <row r="1076" spans="1:11" ht="20">
      <c r="A1076" s="14">
        <v>45879</v>
      </c>
      <c r="B1076" s="83">
        <f>VLOOKUP(A1076,'BADI SID DATA'!A:B,2,0)</f>
        <v>132</v>
      </c>
      <c r="C1076" s="56">
        <v>37700</v>
      </c>
      <c r="D1076" s="54"/>
      <c r="E1076" s="54">
        <v>10.9</v>
      </c>
      <c r="F1076" s="46">
        <v>1</v>
      </c>
      <c r="G1076" s="46">
        <v>1</v>
      </c>
      <c r="H1076" s="81">
        <f t="shared" si="52"/>
        <v>6277048.700000003</v>
      </c>
      <c r="I1076" s="84">
        <f t="shared" si="53"/>
        <v>0.15708333333333332</v>
      </c>
      <c r="J1076" s="84">
        <f t="shared" si="51"/>
        <v>0.19813916351010111</v>
      </c>
      <c r="K1076" s="90" t="s">
        <v>52</v>
      </c>
    </row>
    <row r="1077" spans="1:11" ht="20">
      <c r="A1077" s="14">
        <v>45880</v>
      </c>
      <c r="B1077" s="83">
        <f>VLOOKUP(A1077,'BADI SID DATA'!A:B,2,0)</f>
        <v>133</v>
      </c>
      <c r="C1077" s="56">
        <v>40950</v>
      </c>
      <c r="D1077" s="54"/>
      <c r="E1077" s="54">
        <v>10.8</v>
      </c>
      <c r="F1077" s="46">
        <v>1</v>
      </c>
      <c r="G1077" s="46">
        <v>1</v>
      </c>
      <c r="H1077" s="81">
        <f t="shared" si="52"/>
        <v>6317998.700000003</v>
      </c>
      <c r="I1077" s="84">
        <f t="shared" si="53"/>
        <v>0.170625</v>
      </c>
      <c r="J1077" s="84">
        <f t="shared" si="51"/>
        <v>0.19793229010025071</v>
      </c>
      <c r="K1077" s="90" t="s">
        <v>52</v>
      </c>
    </row>
    <row r="1078" spans="1:11" ht="20">
      <c r="A1078" s="14">
        <v>45881</v>
      </c>
      <c r="B1078" s="83">
        <f>VLOOKUP(A1078,'BADI SID DATA'!A:B,2,0)</f>
        <v>134</v>
      </c>
      <c r="C1078" s="56">
        <v>32500</v>
      </c>
      <c r="D1078" s="54"/>
      <c r="E1078" s="54">
        <v>10.199999999999999</v>
      </c>
      <c r="F1078" s="46">
        <v>1</v>
      </c>
      <c r="G1078" s="46">
        <v>1</v>
      </c>
      <c r="H1078" s="81">
        <f t="shared" si="52"/>
        <v>6350498.700000003</v>
      </c>
      <c r="I1078" s="84">
        <f t="shared" si="53"/>
        <v>0.13541666666666666</v>
      </c>
      <c r="J1078" s="84">
        <f t="shared" si="51"/>
        <v>0.19746575559701501</v>
      </c>
      <c r="K1078" s="90" t="s">
        <v>52</v>
      </c>
    </row>
    <row r="1079" spans="1:11" ht="60">
      <c r="A1079" s="14">
        <v>45882</v>
      </c>
      <c r="B1079" s="83">
        <f>VLOOKUP(A1079,'BADI SID DATA'!A:B,2,0)</f>
        <v>135</v>
      </c>
      <c r="C1079" s="56">
        <v>27950</v>
      </c>
      <c r="D1079" s="54"/>
      <c r="E1079" s="54">
        <v>10</v>
      </c>
      <c r="F1079" s="46">
        <v>1</v>
      </c>
      <c r="G1079" s="46">
        <v>1</v>
      </c>
      <c r="H1079" s="81">
        <f t="shared" si="52"/>
        <v>6378448.700000003</v>
      </c>
      <c r="I1079" s="84">
        <f t="shared" si="53"/>
        <v>0.11645833333333333</v>
      </c>
      <c r="J1079" s="84">
        <f t="shared" si="51"/>
        <v>0.19686570061728403</v>
      </c>
      <c r="K1079" s="90" t="s">
        <v>54</v>
      </c>
    </row>
    <row r="1080" spans="1:11" ht="60">
      <c r="A1080" s="14">
        <v>45883</v>
      </c>
      <c r="B1080" s="83">
        <f>VLOOKUP(A1080,'BADI SID DATA'!A:B,2,0)</f>
        <v>136</v>
      </c>
      <c r="C1080" s="56">
        <v>36400</v>
      </c>
      <c r="D1080" s="54"/>
      <c r="E1080" s="54">
        <v>10.1</v>
      </c>
      <c r="F1080" s="46">
        <v>1</v>
      </c>
      <c r="G1080" s="46">
        <v>1</v>
      </c>
      <c r="H1080" s="81">
        <f t="shared" si="52"/>
        <v>6414848.700000003</v>
      </c>
      <c r="I1080" s="84">
        <f t="shared" si="53"/>
        <v>0.15166666666666667</v>
      </c>
      <c r="J1080" s="84">
        <f t="shared" si="51"/>
        <v>0.19653335477941186</v>
      </c>
      <c r="K1080" s="90" t="s">
        <v>54</v>
      </c>
    </row>
    <row r="1081" spans="1:11" ht="80">
      <c r="A1081" s="14">
        <v>45884</v>
      </c>
      <c r="B1081" s="83">
        <f>VLOOKUP(A1081,'BADI SID DATA'!A:B,2,0)</f>
        <v>137</v>
      </c>
      <c r="C1081" s="56">
        <v>41600</v>
      </c>
      <c r="D1081" s="54"/>
      <c r="E1081" s="54">
        <v>10.5</v>
      </c>
      <c r="F1081" s="46">
        <v>1</v>
      </c>
      <c r="G1081" s="46">
        <v>1</v>
      </c>
      <c r="H1081" s="81">
        <f t="shared" si="52"/>
        <v>6456448.700000003</v>
      </c>
      <c r="I1081" s="84">
        <f t="shared" si="53"/>
        <v>0.17333333333333334</v>
      </c>
      <c r="J1081" s="84">
        <f t="shared" si="51"/>
        <v>0.1963640115571777</v>
      </c>
      <c r="K1081" s="90" t="s">
        <v>51</v>
      </c>
    </row>
    <row r="1082" spans="1:11" ht="80">
      <c r="A1082" s="14">
        <v>45885</v>
      </c>
      <c r="B1082" s="83">
        <f>VLOOKUP(A1082,'BADI SID DATA'!A:B,2,0)</f>
        <v>138</v>
      </c>
      <c r="C1082" s="56">
        <v>46150</v>
      </c>
      <c r="D1082" s="54"/>
      <c r="E1082" s="54">
        <v>10</v>
      </c>
      <c r="F1082" s="46">
        <v>1</v>
      </c>
      <c r="G1082" s="46">
        <v>1</v>
      </c>
      <c r="H1082" s="81">
        <f t="shared" si="52"/>
        <v>6502598.700000003</v>
      </c>
      <c r="I1082" s="84">
        <f t="shared" si="53"/>
        <v>0.19229166666666667</v>
      </c>
      <c r="J1082" s="84">
        <f t="shared" si="51"/>
        <v>0.19633450181159429</v>
      </c>
      <c r="K1082" s="90" t="s">
        <v>51</v>
      </c>
    </row>
    <row r="1083" spans="1:11" ht="80">
      <c r="A1083" s="14">
        <v>45886</v>
      </c>
      <c r="B1083" s="83">
        <f>VLOOKUP(A1083,'BADI SID DATA'!A:B,2,0)</f>
        <v>139</v>
      </c>
      <c r="C1083" s="56">
        <v>29900</v>
      </c>
      <c r="D1083" s="54"/>
      <c r="E1083" s="54">
        <v>9.9</v>
      </c>
      <c r="F1083" s="46">
        <v>1</v>
      </c>
      <c r="G1083" s="46">
        <v>1</v>
      </c>
      <c r="H1083" s="81">
        <f t="shared" si="52"/>
        <v>6532498.700000003</v>
      </c>
      <c r="I1083" s="84">
        <f t="shared" si="53"/>
        <v>0.12458333333333334</v>
      </c>
      <c r="J1083" s="84">
        <f t="shared" si="51"/>
        <v>0.19581830635491615</v>
      </c>
      <c r="K1083" s="90" t="s">
        <v>51</v>
      </c>
    </row>
    <row r="1084" spans="1:11" ht="60">
      <c r="A1084" s="14">
        <v>45887</v>
      </c>
      <c r="B1084" s="83">
        <f>VLOOKUP(A1084,'BADI SID DATA'!A:B,2,0)</f>
        <v>140</v>
      </c>
      <c r="C1084" s="56">
        <v>23400</v>
      </c>
      <c r="D1084" s="54"/>
      <c r="E1084" s="54">
        <v>8.5</v>
      </c>
      <c r="F1084" s="46">
        <v>1</v>
      </c>
      <c r="G1084" s="46">
        <v>1</v>
      </c>
      <c r="H1084" s="81">
        <f t="shared" si="52"/>
        <v>6555898.700000003</v>
      </c>
      <c r="I1084" s="84">
        <f t="shared" si="53"/>
        <v>9.7500000000000003E-2</v>
      </c>
      <c r="J1084" s="84">
        <f t="shared" si="51"/>
        <v>0.19511603273809533</v>
      </c>
      <c r="K1084" s="90" t="s">
        <v>54</v>
      </c>
    </row>
    <row r="1085" spans="1:11" ht="60">
      <c r="A1085" s="14">
        <v>45888</v>
      </c>
      <c r="B1085" s="83">
        <f>VLOOKUP(A1085,'BADI SID DATA'!A:B,2,0)</f>
        <v>141</v>
      </c>
      <c r="C1085" s="56">
        <v>31850</v>
      </c>
      <c r="D1085" s="54"/>
      <c r="E1085" s="54">
        <v>8.9</v>
      </c>
      <c r="F1085" s="46">
        <v>1</v>
      </c>
      <c r="G1085" s="46">
        <v>1</v>
      </c>
      <c r="H1085" s="81">
        <f t="shared" si="52"/>
        <v>6587748.700000003</v>
      </c>
      <c r="I1085" s="84">
        <f t="shared" si="53"/>
        <v>0.13270833333333334</v>
      </c>
      <c r="J1085" s="84">
        <f t="shared" ref="J1085:J1148" si="54">H1085/(24*B1085*10*1000)</f>
        <v>0.19467342494089843</v>
      </c>
      <c r="K1085" s="90" t="s">
        <v>54</v>
      </c>
    </row>
    <row r="1086" spans="1:11" ht="60">
      <c r="A1086" s="14">
        <v>45889</v>
      </c>
      <c r="B1086" s="83">
        <f>VLOOKUP(A1086,'BADI SID DATA'!A:B,2,0)</f>
        <v>142</v>
      </c>
      <c r="C1086" s="56">
        <v>59150</v>
      </c>
      <c r="D1086" s="54"/>
      <c r="E1086" s="54">
        <v>10.5</v>
      </c>
      <c r="F1086" s="46">
        <v>1</v>
      </c>
      <c r="G1086" s="46">
        <v>1</v>
      </c>
      <c r="H1086" s="81">
        <f t="shared" si="52"/>
        <v>6646898.700000003</v>
      </c>
      <c r="I1086" s="84">
        <f t="shared" si="53"/>
        <v>0.24645833333333333</v>
      </c>
      <c r="J1086" s="84">
        <f t="shared" si="54"/>
        <v>0.19503810739436628</v>
      </c>
      <c r="K1086" s="90" t="s">
        <v>54</v>
      </c>
    </row>
    <row r="1087" spans="1:11" ht="60">
      <c r="A1087" s="14">
        <v>45890</v>
      </c>
      <c r="B1087" s="83">
        <f>VLOOKUP(A1087,'BADI SID DATA'!A:B,2,0)</f>
        <v>143</v>
      </c>
      <c r="C1087" s="56">
        <v>53950</v>
      </c>
      <c r="D1087" s="54"/>
      <c r="E1087" s="54">
        <v>10.1</v>
      </c>
      <c r="F1087" s="46">
        <v>1</v>
      </c>
      <c r="G1087" s="46">
        <v>1</v>
      </c>
      <c r="H1087" s="81">
        <f t="shared" si="52"/>
        <v>6700848.700000003</v>
      </c>
      <c r="I1087" s="84">
        <f t="shared" si="53"/>
        <v>0.22479166666666667</v>
      </c>
      <c r="J1087" s="84">
        <f t="shared" si="54"/>
        <v>0.19524617424242433</v>
      </c>
      <c r="K1087" s="90" t="s">
        <v>54</v>
      </c>
    </row>
    <row r="1088" spans="1:11" ht="60">
      <c r="A1088" s="14">
        <v>45891</v>
      </c>
      <c r="B1088" s="83">
        <f>VLOOKUP(A1088,'BADI SID DATA'!A:B,2,0)</f>
        <v>144</v>
      </c>
      <c r="C1088" s="56">
        <v>55250</v>
      </c>
      <c r="D1088" s="54"/>
      <c r="E1088" s="54">
        <v>10.9</v>
      </c>
      <c r="F1088" s="46">
        <v>1</v>
      </c>
      <c r="G1088" s="46">
        <v>1</v>
      </c>
      <c r="H1088" s="81">
        <f t="shared" si="52"/>
        <v>6756098.700000003</v>
      </c>
      <c r="I1088" s="84">
        <f t="shared" si="53"/>
        <v>0.23020833333333332</v>
      </c>
      <c r="J1088" s="84">
        <f t="shared" si="54"/>
        <v>0.19548896701388899</v>
      </c>
      <c r="K1088" s="90" t="s">
        <v>54</v>
      </c>
    </row>
    <row r="1089" spans="1:11" ht="60">
      <c r="A1089" s="14">
        <v>45892</v>
      </c>
      <c r="B1089" s="83">
        <f>VLOOKUP(A1089,'BADI SID DATA'!A:B,2,0)</f>
        <v>145</v>
      </c>
      <c r="C1089" s="56">
        <v>50700</v>
      </c>
      <c r="D1089" s="54"/>
      <c r="E1089" s="54">
        <v>10.199999999999999</v>
      </c>
      <c r="F1089" s="46">
        <v>1</v>
      </c>
      <c r="G1089" s="46">
        <v>1</v>
      </c>
      <c r="H1089" s="81">
        <f t="shared" si="52"/>
        <v>6806798.700000003</v>
      </c>
      <c r="I1089" s="84">
        <f t="shared" si="53"/>
        <v>0.21124999999999999</v>
      </c>
      <c r="J1089" s="84">
        <f t="shared" si="54"/>
        <v>0.19559766379310353</v>
      </c>
      <c r="K1089" s="90" t="s">
        <v>54</v>
      </c>
    </row>
    <row r="1090" spans="1:11" ht="60">
      <c r="A1090" s="14">
        <v>45893</v>
      </c>
      <c r="B1090" s="83">
        <f>VLOOKUP(A1090,'BADI SID DATA'!A:B,2,0)</f>
        <v>146</v>
      </c>
      <c r="C1090" s="56">
        <v>61100</v>
      </c>
      <c r="D1090" s="54"/>
      <c r="E1090" s="54">
        <v>10</v>
      </c>
      <c r="F1090" s="46">
        <v>1</v>
      </c>
      <c r="G1090" s="46">
        <v>1</v>
      </c>
      <c r="H1090" s="81">
        <f t="shared" si="52"/>
        <v>6867898.700000003</v>
      </c>
      <c r="I1090" s="84">
        <f t="shared" si="53"/>
        <v>0.25458333333333333</v>
      </c>
      <c r="J1090" s="84">
        <f t="shared" si="54"/>
        <v>0.19600167522831058</v>
      </c>
      <c r="K1090" s="90" t="s">
        <v>54</v>
      </c>
    </row>
    <row r="1091" spans="1:11" ht="60">
      <c r="A1091" s="14">
        <v>45894</v>
      </c>
      <c r="B1091" s="83">
        <f>VLOOKUP(A1091,'BADI SID DATA'!A:B,2,0)</f>
        <v>147</v>
      </c>
      <c r="C1091" s="56">
        <v>52650</v>
      </c>
      <c r="D1091" s="54"/>
      <c r="E1091" s="54">
        <v>9.8000000000000007</v>
      </c>
      <c r="F1091" s="46">
        <v>1</v>
      </c>
      <c r="G1091" s="46">
        <v>1</v>
      </c>
      <c r="H1091" s="81">
        <f t="shared" si="52"/>
        <v>6920548.700000003</v>
      </c>
      <c r="I1091" s="84">
        <f t="shared" si="53"/>
        <v>0.21937499999999999</v>
      </c>
      <c r="J1091" s="84">
        <f t="shared" si="54"/>
        <v>0.19616067743764182</v>
      </c>
      <c r="K1091" s="90" t="s">
        <v>54</v>
      </c>
    </row>
    <row r="1092" spans="1:11" ht="60">
      <c r="A1092" s="14">
        <v>45895</v>
      </c>
      <c r="B1092" s="83">
        <f>VLOOKUP(A1092,'BADI SID DATA'!A:B,2,0)</f>
        <v>148</v>
      </c>
      <c r="C1092" s="56">
        <v>46800</v>
      </c>
      <c r="D1092" s="54"/>
      <c r="E1092" s="54">
        <v>11.1</v>
      </c>
      <c r="F1092" s="46">
        <v>1</v>
      </c>
      <c r="G1092" s="46">
        <v>1</v>
      </c>
      <c r="H1092" s="81">
        <f t="shared" si="52"/>
        <v>6967348.700000003</v>
      </c>
      <c r="I1092" s="84">
        <f t="shared" si="53"/>
        <v>0.19500000000000001</v>
      </c>
      <c r="J1092" s="84">
        <f t="shared" si="54"/>
        <v>0.19615283502252262</v>
      </c>
      <c r="K1092" s="90" t="s">
        <v>54</v>
      </c>
    </row>
    <row r="1093" spans="1:11" ht="100">
      <c r="A1093" s="14">
        <v>45896</v>
      </c>
      <c r="B1093" s="83">
        <f>VLOOKUP(A1093,'BADI SID DATA'!A:B,2,0)</f>
        <v>149</v>
      </c>
      <c r="C1093" s="56">
        <v>52000</v>
      </c>
      <c r="D1093" s="54"/>
      <c r="E1093" s="54">
        <v>10.3</v>
      </c>
      <c r="F1093" s="46">
        <v>1</v>
      </c>
      <c r="G1093" s="46">
        <v>1</v>
      </c>
      <c r="H1093" s="81">
        <f t="shared" ref="H1093:H1156" si="55">C1093+H1092</f>
        <v>7019348.700000003</v>
      </c>
      <c r="I1093" s="84">
        <f t="shared" si="53"/>
        <v>0.21666666666666667</v>
      </c>
      <c r="J1093" s="84">
        <f t="shared" si="54"/>
        <v>0.19629051174496653</v>
      </c>
      <c r="K1093" s="90" t="s">
        <v>78</v>
      </c>
    </row>
    <row r="1094" spans="1:11" ht="20">
      <c r="A1094" s="14">
        <v>45897</v>
      </c>
      <c r="B1094" s="83">
        <f>VLOOKUP(A1094,'BADI SID DATA'!A:B,2,0)</f>
        <v>150</v>
      </c>
      <c r="C1094" s="56">
        <v>55250</v>
      </c>
      <c r="D1094" s="54"/>
      <c r="E1094" s="54">
        <v>8.9</v>
      </c>
      <c r="F1094" s="46">
        <v>1</v>
      </c>
      <c r="G1094" s="46">
        <v>1</v>
      </c>
      <c r="H1094" s="81">
        <f t="shared" si="55"/>
        <v>7074598.700000003</v>
      </c>
      <c r="I1094" s="84">
        <f t="shared" si="53"/>
        <v>0.23020833333333332</v>
      </c>
      <c r="J1094" s="84">
        <f t="shared" si="54"/>
        <v>0.19651663055555563</v>
      </c>
      <c r="K1094" s="90" t="s">
        <v>79</v>
      </c>
    </row>
    <row r="1095" spans="1:11" ht="60">
      <c r="A1095" s="14">
        <v>45898</v>
      </c>
      <c r="B1095" s="83">
        <f>VLOOKUP(A1095,'BADI SID DATA'!A:B,2,0)</f>
        <v>151</v>
      </c>
      <c r="C1095" s="56">
        <v>51350</v>
      </c>
      <c r="D1095" s="54"/>
      <c r="E1095" s="54">
        <v>7.5</v>
      </c>
      <c r="F1095" s="46">
        <v>1</v>
      </c>
      <c r="G1095" s="46">
        <v>1</v>
      </c>
      <c r="H1095" s="81">
        <f t="shared" si="55"/>
        <v>7125948.700000003</v>
      </c>
      <c r="I1095" s="84">
        <f t="shared" si="53"/>
        <v>0.21395833333333333</v>
      </c>
      <c r="J1095" s="84">
        <f t="shared" si="54"/>
        <v>0.19663213852097139</v>
      </c>
      <c r="K1095" s="90" t="s">
        <v>54</v>
      </c>
    </row>
    <row r="1096" spans="1:11" ht="20">
      <c r="A1096" s="14">
        <v>45899</v>
      </c>
      <c r="B1096" s="83">
        <f>VLOOKUP(A1096,'BADI SID DATA'!A:B,2,0)</f>
        <v>152</v>
      </c>
      <c r="C1096" s="56">
        <v>53300</v>
      </c>
      <c r="D1096" s="54"/>
      <c r="E1096" s="54">
        <v>7.9</v>
      </c>
      <c r="F1096" s="46">
        <v>1</v>
      </c>
      <c r="G1096" s="46">
        <v>1</v>
      </c>
      <c r="H1096" s="81">
        <f t="shared" si="55"/>
        <v>7179248.700000003</v>
      </c>
      <c r="I1096" s="84">
        <f t="shared" si="53"/>
        <v>0.22208333333333333</v>
      </c>
      <c r="J1096" s="84">
        <f t="shared" si="54"/>
        <v>0.19679958059210534</v>
      </c>
      <c r="K1096" s="90" t="s">
        <v>79</v>
      </c>
    </row>
    <row r="1097" spans="1:11" ht="60">
      <c r="A1097" s="14">
        <v>45900</v>
      </c>
      <c r="B1097" s="83">
        <f>VLOOKUP(A1097,'BADI SID DATA'!A:B,2,0)</f>
        <v>153</v>
      </c>
      <c r="C1097" s="56">
        <v>44850</v>
      </c>
      <c r="D1097" s="54"/>
      <c r="E1097" s="54">
        <v>7.1</v>
      </c>
      <c r="F1097" s="46">
        <v>1</v>
      </c>
      <c r="G1097" s="46">
        <v>1</v>
      </c>
      <c r="H1097" s="81">
        <f t="shared" si="55"/>
        <v>7224098.700000003</v>
      </c>
      <c r="I1097" s="84">
        <f t="shared" si="53"/>
        <v>0.18687500000000001</v>
      </c>
      <c r="J1097" s="84">
        <f t="shared" si="54"/>
        <v>0.19673471405228765</v>
      </c>
      <c r="K1097" s="90" t="s">
        <v>54</v>
      </c>
    </row>
    <row r="1098" spans="1:11" ht="20">
      <c r="A1098" s="14">
        <v>45901</v>
      </c>
      <c r="B1098" s="83">
        <f>VLOOKUP(A1098,'BADI SID DATA'!A:B,2,0)</f>
        <v>154</v>
      </c>
      <c r="C1098" s="56">
        <v>44850</v>
      </c>
      <c r="D1098" s="54"/>
      <c r="E1098" s="54">
        <v>10.1</v>
      </c>
      <c r="F1098" s="46">
        <v>1</v>
      </c>
      <c r="G1098" s="46">
        <v>1</v>
      </c>
      <c r="H1098" s="81">
        <f t="shared" si="55"/>
        <v>7268948.700000003</v>
      </c>
      <c r="I1098" s="84">
        <f t="shared" si="53"/>
        <v>0.18687500000000001</v>
      </c>
      <c r="J1098" s="84">
        <f>H1098/(24*B1098*10*1000)</f>
        <v>0.19667068993506501</v>
      </c>
      <c r="K1098" s="90" t="s">
        <v>52</v>
      </c>
    </row>
    <row r="1099" spans="1:11" ht="20">
      <c r="A1099" s="14">
        <v>45902</v>
      </c>
      <c r="B1099" s="83">
        <f>VLOOKUP(A1099,'BADI SID DATA'!A:B,2,0)</f>
        <v>155</v>
      </c>
      <c r="C1099" s="56">
        <v>45500</v>
      </c>
      <c r="D1099" s="54"/>
      <c r="E1099" s="54">
        <v>10.199999999999999</v>
      </c>
      <c r="F1099" s="46">
        <v>1</v>
      </c>
      <c r="G1099" s="46">
        <v>1</v>
      </c>
      <c r="H1099" s="81">
        <f t="shared" si="55"/>
        <v>7314448.700000003</v>
      </c>
      <c r="I1099" s="84">
        <f t="shared" si="53"/>
        <v>0.18958333333333333</v>
      </c>
      <c r="J1099" s="84">
        <f t="shared" si="54"/>
        <v>0.19662496505376353</v>
      </c>
      <c r="K1099" s="90" t="s">
        <v>52</v>
      </c>
    </row>
    <row r="1100" spans="1:11" ht="20">
      <c r="A1100" s="14">
        <v>45903</v>
      </c>
      <c r="B1100" s="83">
        <f>VLOOKUP(A1100,'BADI SID DATA'!A:B,2,0)</f>
        <v>156</v>
      </c>
      <c r="C1100" s="56">
        <v>50050</v>
      </c>
      <c r="D1100" s="54"/>
      <c r="E1100" s="54">
        <v>9.5</v>
      </c>
      <c r="F1100" s="46">
        <v>1</v>
      </c>
      <c r="G1100" s="46">
        <v>1</v>
      </c>
      <c r="H1100" s="81">
        <f t="shared" si="55"/>
        <v>7364498.700000003</v>
      </c>
      <c r="I1100" s="84">
        <f t="shared" si="53"/>
        <v>0.20854166666666665</v>
      </c>
      <c r="J1100" s="84">
        <f t="shared" si="54"/>
        <v>0.19670135416666676</v>
      </c>
      <c r="K1100" s="90" t="s">
        <v>52</v>
      </c>
    </row>
    <row r="1101" spans="1:11" ht="60">
      <c r="A1101" s="14">
        <v>45904</v>
      </c>
      <c r="B1101" s="83">
        <f>VLOOKUP(A1101,'BADI SID DATA'!A:B,2,0)</f>
        <v>157</v>
      </c>
      <c r="C1101" s="56">
        <v>52650</v>
      </c>
      <c r="D1101" s="54"/>
      <c r="E1101" s="54">
        <v>9.1</v>
      </c>
      <c r="F1101" s="46">
        <v>1</v>
      </c>
      <c r="G1101" s="46">
        <v>1</v>
      </c>
      <c r="H1101" s="81">
        <f t="shared" si="55"/>
        <v>7417148.700000003</v>
      </c>
      <c r="I1101" s="84">
        <f t="shared" si="53"/>
        <v>0.21937499999999999</v>
      </c>
      <c r="J1101" s="84">
        <f t="shared" si="54"/>
        <v>0.19684577229299371</v>
      </c>
      <c r="K1101" s="90" t="s">
        <v>53</v>
      </c>
    </row>
    <row r="1102" spans="1:11" ht="60">
      <c r="A1102" s="14">
        <v>45905</v>
      </c>
      <c r="B1102" s="83">
        <f>VLOOKUP(A1102,'BADI SID DATA'!A:B,2,0)</f>
        <v>158</v>
      </c>
      <c r="C1102" s="56">
        <v>55900</v>
      </c>
      <c r="D1102" s="54"/>
      <c r="E1102" s="54">
        <v>10</v>
      </c>
      <c r="F1102" s="46">
        <v>1</v>
      </c>
      <c r="G1102" s="46">
        <v>1</v>
      </c>
      <c r="H1102" s="81">
        <f t="shared" si="55"/>
        <v>7473048.700000003</v>
      </c>
      <c r="I1102" s="84">
        <f t="shared" si="53"/>
        <v>0.23291666666666666</v>
      </c>
      <c r="J1102" s="84">
        <f t="shared" si="54"/>
        <v>0.19707406909282707</v>
      </c>
      <c r="K1102" s="90" t="s">
        <v>53</v>
      </c>
    </row>
    <row r="1103" spans="1:11" ht="80">
      <c r="A1103" s="14">
        <v>45906</v>
      </c>
      <c r="B1103" s="83">
        <f>VLOOKUP(A1103,'BADI SID DATA'!A:B,2,0)</f>
        <v>159</v>
      </c>
      <c r="C1103" s="56">
        <v>62400</v>
      </c>
      <c r="D1103" s="54"/>
      <c r="E1103" s="54">
        <v>7.5</v>
      </c>
      <c r="F1103" s="46">
        <v>1</v>
      </c>
      <c r="G1103" s="46">
        <v>1</v>
      </c>
      <c r="H1103" s="81">
        <f t="shared" si="55"/>
        <v>7535448.700000003</v>
      </c>
      <c r="I1103" s="84">
        <f t="shared" si="53"/>
        <v>0.26</v>
      </c>
      <c r="J1103" s="84">
        <f t="shared" si="54"/>
        <v>0.1974698296645703</v>
      </c>
      <c r="K1103" s="90" t="s">
        <v>51</v>
      </c>
    </row>
    <row r="1104" spans="1:11" ht="80">
      <c r="A1104" s="14">
        <v>45907</v>
      </c>
      <c r="B1104" s="83">
        <f>VLOOKUP(A1104,'BADI SID DATA'!A:B,2,0)</f>
        <v>160</v>
      </c>
      <c r="C1104" s="56">
        <v>51350</v>
      </c>
      <c r="D1104" s="54"/>
      <c r="E1104" s="54">
        <v>6.5</v>
      </c>
      <c r="F1104" s="46">
        <v>1</v>
      </c>
      <c r="G1104" s="46">
        <v>1</v>
      </c>
      <c r="H1104" s="81">
        <f t="shared" si="55"/>
        <v>7586798.700000003</v>
      </c>
      <c r="I1104" s="84">
        <f t="shared" si="53"/>
        <v>0.21395833333333333</v>
      </c>
      <c r="J1104" s="84">
        <f t="shared" si="54"/>
        <v>0.19757288281250007</v>
      </c>
      <c r="K1104" s="90" t="s">
        <v>51</v>
      </c>
    </row>
    <row r="1105" spans="1:11" ht="80">
      <c r="A1105" s="14">
        <v>45908</v>
      </c>
      <c r="B1105" s="83">
        <f>VLOOKUP(A1105,'BADI SID DATA'!A:B,2,0)</f>
        <v>161</v>
      </c>
      <c r="C1105" s="56">
        <v>54600</v>
      </c>
      <c r="D1105" s="54"/>
      <c r="E1105" s="54">
        <v>7.2</v>
      </c>
      <c r="F1105" s="46">
        <v>1</v>
      </c>
      <c r="G1105" s="46">
        <v>1</v>
      </c>
      <c r="H1105" s="81">
        <f t="shared" si="55"/>
        <v>7641398.700000003</v>
      </c>
      <c r="I1105" s="84">
        <f t="shared" si="53"/>
        <v>0.22750000000000001</v>
      </c>
      <c r="J1105" s="84">
        <f t="shared" si="54"/>
        <v>0.19775876552795038</v>
      </c>
      <c r="K1105" s="90" t="s">
        <v>51</v>
      </c>
    </row>
    <row r="1106" spans="1:11" ht="80">
      <c r="A1106" s="14">
        <v>45909</v>
      </c>
      <c r="B1106" s="83">
        <f>VLOOKUP(A1106,'BADI SID DATA'!A:B,2,0)</f>
        <v>162</v>
      </c>
      <c r="C1106" s="56">
        <v>50700</v>
      </c>
      <c r="D1106" s="54"/>
      <c r="E1106" s="54">
        <v>8.5</v>
      </c>
      <c r="F1106" s="46">
        <v>1</v>
      </c>
      <c r="G1106" s="46">
        <v>1</v>
      </c>
      <c r="H1106" s="81">
        <f t="shared" si="55"/>
        <v>7692098.700000003</v>
      </c>
      <c r="I1106" s="84">
        <f t="shared" si="53"/>
        <v>0.21124999999999999</v>
      </c>
      <c r="J1106" s="84">
        <f t="shared" si="54"/>
        <v>0.1978420447530865</v>
      </c>
      <c r="K1106" s="90" t="s">
        <v>51</v>
      </c>
    </row>
    <row r="1107" spans="1:11" ht="60">
      <c r="A1107" s="14">
        <v>45910</v>
      </c>
      <c r="B1107" s="83">
        <f>VLOOKUP(A1107,'BADI SID DATA'!A:B,2,0)</f>
        <v>163</v>
      </c>
      <c r="C1107" s="56">
        <v>47450</v>
      </c>
      <c r="D1107" s="54"/>
      <c r="E1107" s="54">
        <v>10.199999999999999</v>
      </c>
      <c r="F1107" s="46">
        <v>1</v>
      </c>
      <c r="G1107" s="46">
        <v>1</v>
      </c>
      <c r="H1107" s="81">
        <f t="shared" si="55"/>
        <v>7739548.700000003</v>
      </c>
      <c r="I1107" s="84">
        <f t="shared" si="53"/>
        <v>0.19770833333333335</v>
      </c>
      <c r="J1107" s="84">
        <f t="shared" si="54"/>
        <v>0.19784122443762789</v>
      </c>
      <c r="K1107" s="90" t="s">
        <v>54</v>
      </c>
    </row>
    <row r="1108" spans="1:11" ht="20">
      <c r="A1108" s="14">
        <v>45911</v>
      </c>
      <c r="B1108" s="83">
        <f>VLOOKUP(A1108,'BADI SID DATA'!A:B,2,0)</f>
        <v>164</v>
      </c>
      <c r="C1108" s="56">
        <v>39650</v>
      </c>
      <c r="D1108" s="54"/>
      <c r="E1108" s="54">
        <v>10.4</v>
      </c>
      <c r="F1108" s="46">
        <v>1</v>
      </c>
      <c r="G1108" s="46">
        <v>1</v>
      </c>
      <c r="H1108" s="81">
        <f t="shared" si="55"/>
        <v>7779198.700000003</v>
      </c>
      <c r="I1108" s="84">
        <f t="shared" si="53"/>
        <v>0.16520833333333335</v>
      </c>
      <c r="J1108" s="84">
        <f t="shared" si="54"/>
        <v>0.19764224339430903</v>
      </c>
      <c r="K1108" s="90" t="s">
        <v>52</v>
      </c>
    </row>
    <row r="1109" spans="1:11" ht="20">
      <c r="A1109" s="14">
        <v>45912</v>
      </c>
      <c r="B1109" s="83">
        <f>VLOOKUP(A1109,'BADI SID DATA'!A:B,2,0)</f>
        <v>165</v>
      </c>
      <c r="C1109" s="56">
        <v>46150</v>
      </c>
      <c r="D1109" s="54"/>
      <c r="E1109" s="54">
        <v>10.5</v>
      </c>
      <c r="F1109" s="46">
        <v>1</v>
      </c>
      <c r="G1109" s="46">
        <v>1</v>
      </c>
      <c r="H1109" s="81">
        <f t="shared" si="55"/>
        <v>7825348.700000003</v>
      </c>
      <c r="I1109" s="84">
        <f t="shared" si="53"/>
        <v>0.19229166666666667</v>
      </c>
      <c r="J1109" s="84">
        <f t="shared" si="54"/>
        <v>0.19760981565656574</v>
      </c>
      <c r="K1109" s="90" t="s">
        <v>52</v>
      </c>
    </row>
    <row r="1110" spans="1:11" ht="60">
      <c r="A1110" s="14">
        <v>45913</v>
      </c>
      <c r="B1110" s="83">
        <f>VLOOKUP(A1110,'BADI SID DATA'!A:B,2,0)</f>
        <v>166</v>
      </c>
      <c r="C1110" s="56">
        <v>39000</v>
      </c>
      <c r="D1110" s="54"/>
      <c r="E1110" s="54">
        <v>10.199999999999999</v>
      </c>
      <c r="F1110" s="46">
        <v>1</v>
      </c>
      <c r="G1110" s="46">
        <v>1</v>
      </c>
      <c r="H1110" s="81">
        <f t="shared" si="55"/>
        <v>7864348.700000003</v>
      </c>
      <c r="I1110" s="84">
        <f t="shared" si="53"/>
        <v>0.16250000000000001</v>
      </c>
      <c r="J1110" s="84">
        <f t="shared" si="54"/>
        <v>0.19739831074297196</v>
      </c>
      <c r="K1110" s="90" t="s">
        <v>54</v>
      </c>
    </row>
    <row r="1111" spans="1:11" ht="20">
      <c r="A1111" s="14">
        <v>45914</v>
      </c>
      <c r="B1111" s="83">
        <f>VLOOKUP(A1111,'BADI SID DATA'!A:B,2,0)</f>
        <v>167</v>
      </c>
      <c r="C1111" s="56">
        <v>4550</v>
      </c>
      <c r="D1111" s="54"/>
      <c r="E1111" s="54">
        <v>10.199999999999999</v>
      </c>
      <c r="F1111" s="46">
        <v>1</v>
      </c>
      <c r="G1111" s="46">
        <v>1</v>
      </c>
      <c r="H1111" s="81">
        <f t="shared" si="55"/>
        <v>7868898.700000003</v>
      </c>
      <c r="I1111" s="84">
        <f t="shared" si="53"/>
        <v>1.8958333333333334E-2</v>
      </c>
      <c r="J1111" s="84">
        <f t="shared" si="54"/>
        <v>0.1963298078842316</v>
      </c>
      <c r="K1111" s="90" t="s">
        <v>52</v>
      </c>
    </row>
    <row r="1112" spans="1:11" ht="80">
      <c r="A1112" s="14">
        <v>45915</v>
      </c>
      <c r="B1112" s="83">
        <f>VLOOKUP(A1112,'BADI SID DATA'!A:B,2,0)</f>
        <v>168</v>
      </c>
      <c r="C1112" s="56">
        <v>49400</v>
      </c>
      <c r="D1112" s="54"/>
      <c r="E1112" s="54">
        <v>10</v>
      </c>
      <c r="F1112" s="46">
        <v>1</v>
      </c>
      <c r="G1112" s="46">
        <v>1</v>
      </c>
      <c r="H1112" s="81">
        <f t="shared" si="55"/>
        <v>7918298.700000003</v>
      </c>
      <c r="I1112" s="84">
        <f t="shared" si="53"/>
        <v>0.20583333333333334</v>
      </c>
      <c r="J1112" s="84">
        <f t="shared" si="54"/>
        <v>0.19638637648809532</v>
      </c>
      <c r="K1112" s="90" t="s">
        <v>51</v>
      </c>
    </row>
    <row r="1113" spans="1:11" ht="60">
      <c r="A1113" s="14">
        <v>45916</v>
      </c>
      <c r="B1113" s="83">
        <f>VLOOKUP(A1113,'BADI SID DATA'!A:B,2,0)</f>
        <v>169</v>
      </c>
      <c r="C1113" s="56">
        <v>44850</v>
      </c>
      <c r="D1113" s="54"/>
      <c r="E1113" s="54">
        <v>10.3</v>
      </c>
      <c r="F1113" s="46">
        <v>1</v>
      </c>
      <c r="G1113" s="46">
        <v>1</v>
      </c>
      <c r="H1113" s="81">
        <f t="shared" si="55"/>
        <v>7963148.700000003</v>
      </c>
      <c r="I1113" s="84">
        <f t="shared" si="53"/>
        <v>0.18687500000000001</v>
      </c>
      <c r="J1113" s="84">
        <f t="shared" si="54"/>
        <v>0.19633009615384622</v>
      </c>
      <c r="K1113" s="90" t="s">
        <v>54</v>
      </c>
    </row>
    <row r="1114" spans="1:11" ht="100">
      <c r="A1114" s="14">
        <v>45917</v>
      </c>
      <c r="B1114" s="83">
        <f>VLOOKUP(A1114,'BADI SID DATA'!A:B,2,0)</f>
        <v>170</v>
      </c>
      <c r="C1114" s="56">
        <v>43550</v>
      </c>
      <c r="D1114" s="54"/>
      <c r="E1114" s="54">
        <v>10</v>
      </c>
      <c r="F1114" s="46">
        <v>1</v>
      </c>
      <c r="G1114" s="46">
        <v>1</v>
      </c>
      <c r="H1114" s="81">
        <f t="shared" si="55"/>
        <v>8006698.700000003</v>
      </c>
      <c r="I1114" s="84">
        <f t="shared" si="53"/>
        <v>0.18145833333333333</v>
      </c>
      <c r="J1114" s="84">
        <f t="shared" si="54"/>
        <v>0.1962426151960785</v>
      </c>
      <c r="K1114" s="90" t="s">
        <v>78</v>
      </c>
    </row>
    <row r="1115" spans="1:11" ht="60">
      <c r="A1115" s="14">
        <v>45918</v>
      </c>
      <c r="B1115" s="83">
        <f>VLOOKUP(A1115,'BADI SID DATA'!A:B,2,0)</f>
        <v>171</v>
      </c>
      <c r="C1115" s="56">
        <v>47450</v>
      </c>
      <c r="D1115" s="54"/>
      <c r="E1115" s="54">
        <v>10.1</v>
      </c>
      <c r="F1115" s="46">
        <v>1</v>
      </c>
      <c r="G1115" s="46">
        <v>1</v>
      </c>
      <c r="H1115" s="81">
        <f t="shared" si="55"/>
        <v>8054148.700000003</v>
      </c>
      <c r="I1115" s="84">
        <f t="shared" si="53"/>
        <v>0.19770833333333335</v>
      </c>
      <c r="J1115" s="84">
        <f t="shared" si="54"/>
        <v>0.19625118664717356</v>
      </c>
      <c r="K1115" s="90" t="s">
        <v>54</v>
      </c>
    </row>
    <row r="1116" spans="1:11" ht="20">
      <c r="A1116" s="14">
        <v>45919</v>
      </c>
      <c r="B1116" s="83">
        <f>VLOOKUP(A1116,'BADI SID DATA'!A:B,2,0)</f>
        <v>172</v>
      </c>
      <c r="C1116" s="56">
        <v>41600</v>
      </c>
      <c r="D1116" s="54"/>
      <c r="E1116" s="54">
        <v>10.199999999999999</v>
      </c>
      <c r="F1116" s="46">
        <v>1</v>
      </c>
      <c r="G1116" s="46">
        <v>1</v>
      </c>
      <c r="H1116" s="81">
        <f t="shared" si="55"/>
        <v>8095748.700000003</v>
      </c>
      <c r="I1116" s="84">
        <f t="shared" si="53"/>
        <v>0.17333333333333334</v>
      </c>
      <c r="J1116" s="84">
        <f t="shared" si="54"/>
        <v>0.19611794331395357</v>
      </c>
      <c r="K1116" s="90" t="s">
        <v>52</v>
      </c>
    </row>
    <row r="1117" spans="1:11" ht="20">
      <c r="A1117" s="14">
        <v>45920</v>
      </c>
      <c r="B1117" s="83">
        <f>VLOOKUP(A1117,'BADI SID DATA'!A:B,2,0)</f>
        <v>173</v>
      </c>
      <c r="C1117" s="56">
        <v>43550</v>
      </c>
      <c r="D1117" s="54"/>
      <c r="E1117" s="54">
        <v>10.5</v>
      </c>
      <c r="F1117" s="46">
        <v>1</v>
      </c>
      <c r="G1117" s="46">
        <v>1</v>
      </c>
      <c r="H1117" s="81">
        <f t="shared" si="55"/>
        <v>8139298.700000003</v>
      </c>
      <c r="I1117" s="84">
        <f t="shared" si="53"/>
        <v>0.18145833333333333</v>
      </c>
      <c r="J1117" s="84">
        <f t="shared" si="54"/>
        <v>0.19603320568400778</v>
      </c>
      <c r="K1117" s="90" t="s">
        <v>52</v>
      </c>
    </row>
    <row r="1118" spans="1:11" ht="20">
      <c r="A1118" s="14">
        <v>45921</v>
      </c>
      <c r="B1118" s="83">
        <f>VLOOKUP(A1118,'BADI SID DATA'!A:B,2,0)</f>
        <v>174</v>
      </c>
      <c r="C1118" s="56">
        <v>48100</v>
      </c>
      <c r="D1118" s="54"/>
      <c r="E1118" s="54">
        <v>10.7</v>
      </c>
      <c r="F1118" s="46">
        <v>1</v>
      </c>
      <c r="G1118" s="46">
        <v>1</v>
      </c>
      <c r="H1118" s="81">
        <f t="shared" si="55"/>
        <v>8187398.700000003</v>
      </c>
      <c r="I1118" s="84">
        <f t="shared" si="53"/>
        <v>0.20041666666666666</v>
      </c>
      <c r="J1118" s="84">
        <f t="shared" si="54"/>
        <v>0.19605839798850583</v>
      </c>
      <c r="K1118" s="90" t="s">
        <v>52</v>
      </c>
    </row>
    <row r="1119" spans="1:11" ht="20">
      <c r="A1119" s="14">
        <v>45922</v>
      </c>
      <c r="B1119" s="83">
        <f>VLOOKUP(A1119,'BADI SID DATA'!A:B,2,0)</f>
        <v>175</v>
      </c>
      <c r="C1119" s="56">
        <v>50050</v>
      </c>
      <c r="D1119" s="54"/>
      <c r="E1119" s="54">
        <v>10.9</v>
      </c>
      <c r="F1119" s="46">
        <v>1</v>
      </c>
      <c r="G1119" s="46">
        <v>1</v>
      </c>
      <c r="H1119" s="81">
        <f t="shared" si="55"/>
        <v>8237448.700000003</v>
      </c>
      <c r="I1119" s="84">
        <f t="shared" si="53"/>
        <v>0.20854166666666665</v>
      </c>
      <c r="J1119" s="84">
        <f t="shared" si="54"/>
        <v>0.19612973095238101</v>
      </c>
      <c r="K1119" s="90" t="s">
        <v>52</v>
      </c>
    </row>
    <row r="1120" spans="1:11" ht="20">
      <c r="A1120" s="14">
        <v>45923</v>
      </c>
      <c r="B1120" s="83">
        <f>VLOOKUP(A1120,'BADI SID DATA'!A:B,2,0)</f>
        <v>176</v>
      </c>
      <c r="C1120" s="56">
        <v>45500</v>
      </c>
      <c r="D1120" s="54"/>
      <c r="E1120" s="54">
        <v>10</v>
      </c>
      <c r="F1120" s="46">
        <v>1</v>
      </c>
      <c r="G1120" s="46">
        <v>1</v>
      </c>
      <c r="H1120" s="81">
        <f t="shared" si="55"/>
        <v>8282948.700000003</v>
      </c>
      <c r="I1120" s="84">
        <f t="shared" si="53"/>
        <v>0.18958333333333333</v>
      </c>
      <c r="J1120" s="84">
        <f t="shared" si="54"/>
        <v>0.19609253551136371</v>
      </c>
      <c r="K1120" s="90" t="s">
        <v>52</v>
      </c>
    </row>
    <row r="1121" spans="1:11" ht="20">
      <c r="A1121" s="14">
        <v>45924</v>
      </c>
      <c r="B1121" s="83">
        <f>VLOOKUP(A1121,'BADI SID DATA'!A:B,2,0)</f>
        <v>177</v>
      </c>
      <c r="C1121" s="56">
        <v>44200</v>
      </c>
      <c r="D1121" s="54"/>
      <c r="E1121" s="54">
        <v>10.5</v>
      </c>
      <c r="F1121" s="46">
        <v>1</v>
      </c>
      <c r="G1121" s="46">
        <v>1</v>
      </c>
      <c r="H1121" s="81">
        <f t="shared" si="55"/>
        <v>8327148.700000003</v>
      </c>
      <c r="I1121" s="84">
        <f t="shared" si="53"/>
        <v>0.18416666666666667</v>
      </c>
      <c r="J1121" s="84">
        <f t="shared" si="54"/>
        <v>0.19602515772128068</v>
      </c>
      <c r="K1121" s="90" t="s">
        <v>52</v>
      </c>
    </row>
    <row r="1122" spans="1:11" ht="20">
      <c r="A1122" s="14">
        <v>45925</v>
      </c>
      <c r="B1122" s="83">
        <f>VLOOKUP(A1122,'BADI SID DATA'!A:B,2,0)</f>
        <v>178</v>
      </c>
      <c r="C1122" s="56">
        <v>52000</v>
      </c>
      <c r="D1122" s="54"/>
      <c r="E1122" s="54">
        <v>10.4</v>
      </c>
      <c r="F1122" s="46">
        <v>1</v>
      </c>
      <c r="G1122" s="46">
        <v>1</v>
      </c>
      <c r="H1122" s="81">
        <f t="shared" si="55"/>
        <v>8379148.700000003</v>
      </c>
      <c r="I1122" s="84">
        <f t="shared" si="53"/>
        <v>0.21666666666666667</v>
      </c>
      <c r="J1122" s="84">
        <f t="shared" si="54"/>
        <v>0.19614112125468172</v>
      </c>
      <c r="K1122" s="90" t="s">
        <v>52</v>
      </c>
    </row>
    <row r="1123" spans="1:11" ht="80">
      <c r="A1123" s="14">
        <v>45926</v>
      </c>
      <c r="B1123" s="83">
        <f>VLOOKUP(A1123,'BADI SID DATA'!A:B,2,0)</f>
        <v>179</v>
      </c>
      <c r="C1123" s="56">
        <v>51350</v>
      </c>
      <c r="D1123" s="54"/>
      <c r="E1123" s="54">
        <v>9.9</v>
      </c>
      <c r="F1123" s="46">
        <v>1</v>
      </c>
      <c r="G1123" s="46">
        <v>1</v>
      </c>
      <c r="H1123" s="81">
        <f t="shared" si="55"/>
        <v>8430498.700000003</v>
      </c>
      <c r="I1123" s="84">
        <f t="shared" si="53"/>
        <v>0.21395833333333333</v>
      </c>
      <c r="J1123" s="84">
        <f t="shared" si="54"/>
        <v>0.19624065875232782</v>
      </c>
      <c r="K1123" s="90" t="s">
        <v>51</v>
      </c>
    </row>
    <row r="1124" spans="1:11" ht="80">
      <c r="A1124" s="14">
        <v>45927</v>
      </c>
      <c r="B1124" s="83">
        <f>VLOOKUP(A1124,'BADI SID DATA'!A:B,2,0)</f>
        <v>180</v>
      </c>
      <c r="C1124" s="56">
        <v>43550</v>
      </c>
      <c r="D1124" s="54"/>
      <c r="E1124" s="54">
        <v>9.6999999999999993</v>
      </c>
      <c r="F1124" s="46">
        <v>1</v>
      </c>
      <c r="G1124" s="46">
        <v>1</v>
      </c>
      <c r="H1124" s="81">
        <f t="shared" si="55"/>
        <v>8474048.700000003</v>
      </c>
      <c r="I1124" s="84">
        <f t="shared" si="53"/>
        <v>0.18145833333333333</v>
      </c>
      <c r="J1124" s="84">
        <f t="shared" si="54"/>
        <v>0.19615853472222228</v>
      </c>
      <c r="K1124" s="90" t="s">
        <v>51</v>
      </c>
    </row>
    <row r="1125" spans="1:11" ht="80">
      <c r="A1125" s="14">
        <v>45928</v>
      </c>
      <c r="B1125" s="83">
        <f>VLOOKUP(A1125,'BADI SID DATA'!A:B,2,0)</f>
        <v>181</v>
      </c>
      <c r="C1125" s="56">
        <v>48750</v>
      </c>
      <c r="D1125" s="54"/>
      <c r="E1125" s="54">
        <v>9.9</v>
      </c>
      <c r="F1125" s="46">
        <v>1</v>
      </c>
      <c r="G1125" s="46">
        <v>1</v>
      </c>
      <c r="H1125" s="81">
        <f t="shared" si="55"/>
        <v>8522798.700000003</v>
      </c>
      <c r="I1125" s="84">
        <f t="shared" si="53"/>
        <v>0.203125</v>
      </c>
      <c r="J1125" s="84">
        <f t="shared" si="54"/>
        <v>0.19619702348066306</v>
      </c>
      <c r="K1125" s="90" t="s">
        <v>51</v>
      </c>
    </row>
    <row r="1126" spans="1:11" ht="60">
      <c r="A1126" s="14">
        <v>45929</v>
      </c>
      <c r="B1126" s="83">
        <f>VLOOKUP(A1126,'BADI SID DATA'!A:B,2,0)</f>
        <v>182</v>
      </c>
      <c r="C1126" s="56">
        <v>57850</v>
      </c>
      <c r="D1126" s="54"/>
      <c r="E1126" s="54">
        <v>10.9</v>
      </c>
      <c r="F1126" s="46">
        <v>1</v>
      </c>
      <c r="G1126" s="46">
        <v>1</v>
      </c>
      <c r="H1126" s="81">
        <f t="shared" si="55"/>
        <v>8580648.700000003</v>
      </c>
      <c r="I1126" s="84">
        <f t="shared" si="53"/>
        <v>0.24104166666666665</v>
      </c>
      <c r="J1126" s="84">
        <f t="shared" si="54"/>
        <v>0.19644342261904768</v>
      </c>
      <c r="K1126" s="90" t="s">
        <v>54</v>
      </c>
    </row>
    <row r="1127" spans="1:11" ht="60">
      <c r="A1127" s="14">
        <v>45930</v>
      </c>
      <c r="B1127" s="83">
        <f>VLOOKUP(A1127,'BADI SID DATA'!A:B,2,0)</f>
        <v>183</v>
      </c>
      <c r="C1127" s="56">
        <v>53300</v>
      </c>
      <c r="D1127" s="54"/>
      <c r="E1127" s="54">
        <v>10.199999999999999</v>
      </c>
      <c r="F1127" s="46">
        <v>1</v>
      </c>
      <c r="G1127" s="46">
        <v>1</v>
      </c>
      <c r="H1127" s="81">
        <f t="shared" si="55"/>
        <v>8633948.700000003</v>
      </c>
      <c r="I1127" s="84">
        <f t="shared" si="53"/>
        <v>0.22208333333333333</v>
      </c>
      <c r="J1127" s="84">
        <f t="shared" si="54"/>
        <v>0.1965835314207651</v>
      </c>
      <c r="K1127" s="90" t="s">
        <v>54</v>
      </c>
    </row>
    <row r="1128" spans="1:11" ht="20">
      <c r="A1128" s="14">
        <v>45931</v>
      </c>
      <c r="B1128" s="83">
        <f>VLOOKUP(A1128,'BADI SID DATA'!A:B,2,0)</f>
        <v>184</v>
      </c>
      <c r="C1128" s="56">
        <v>51350</v>
      </c>
      <c r="D1128" s="54"/>
      <c r="E1128" s="54">
        <v>10.5</v>
      </c>
      <c r="F1128" s="46">
        <v>1</v>
      </c>
      <c r="G1128" s="46">
        <v>1</v>
      </c>
      <c r="H1128" s="81">
        <f t="shared" si="55"/>
        <v>8685298.700000003</v>
      </c>
      <c r="I1128" s="84">
        <f t="shared" si="53"/>
        <v>0.21395833333333333</v>
      </c>
      <c r="J1128" s="84">
        <f t="shared" si="54"/>
        <v>0.19667795969202906</v>
      </c>
      <c r="K1128" s="90" t="s">
        <v>79</v>
      </c>
    </row>
    <row r="1129" spans="1:11" ht="20">
      <c r="A1129" s="14">
        <v>45932</v>
      </c>
      <c r="B1129" s="83">
        <f>VLOOKUP(A1129,'BADI SID DATA'!A:B,2,0)</f>
        <v>185</v>
      </c>
      <c r="C1129" s="56">
        <v>55250</v>
      </c>
      <c r="D1129" s="54"/>
      <c r="E1129" s="54">
        <v>10.8</v>
      </c>
      <c r="F1129" s="46">
        <v>1</v>
      </c>
      <c r="G1129" s="46">
        <v>1</v>
      </c>
      <c r="H1129" s="81">
        <f t="shared" si="55"/>
        <v>8740548.700000003</v>
      </c>
      <c r="I1129" s="84">
        <f t="shared" si="53"/>
        <v>0.23020833333333332</v>
      </c>
      <c r="J1129" s="84">
        <f t="shared" si="54"/>
        <v>0.19685920495495501</v>
      </c>
      <c r="K1129" s="90" t="s">
        <v>79</v>
      </c>
    </row>
    <row r="1130" spans="1:11" ht="20">
      <c r="A1130" s="14">
        <v>45933</v>
      </c>
      <c r="B1130" s="83">
        <f>VLOOKUP(A1130,'BADI SID DATA'!A:B,2,0)</f>
        <v>186</v>
      </c>
      <c r="C1130" s="56">
        <v>64350</v>
      </c>
      <c r="D1130" s="54"/>
      <c r="E1130" s="54">
        <v>9.1999999999999993</v>
      </c>
      <c r="F1130" s="46">
        <v>1</v>
      </c>
      <c r="G1130" s="46">
        <v>1</v>
      </c>
      <c r="H1130" s="81">
        <f t="shared" si="55"/>
        <v>8804898.700000003</v>
      </c>
      <c r="I1130" s="84">
        <f t="shared" si="53"/>
        <v>0.268125</v>
      </c>
      <c r="J1130" s="84">
        <f t="shared" si="54"/>
        <v>0.19724235439068108</v>
      </c>
      <c r="K1130" s="90" t="s">
        <v>79</v>
      </c>
    </row>
    <row r="1131" spans="1:11" ht="80">
      <c r="A1131" s="14">
        <v>45934</v>
      </c>
      <c r="B1131" s="83">
        <f>VLOOKUP(A1131,'BADI SID DATA'!A:B,2,0)</f>
        <v>187</v>
      </c>
      <c r="C1131" s="56">
        <v>31200</v>
      </c>
      <c r="D1131" s="54"/>
      <c r="E1131" s="54">
        <v>10.5</v>
      </c>
      <c r="F1131" s="46">
        <v>1</v>
      </c>
      <c r="G1131" s="46">
        <v>1</v>
      </c>
      <c r="H1131" s="81">
        <f t="shared" si="55"/>
        <v>8836098.700000003</v>
      </c>
      <c r="I1131" s="84">
        <f t="shared" si="53"/>
        <v>0.13</v>
      </c>
      <c r="J1131" s="84">
        <f t="shared" si="54"/>
        <v>0.19688276960784321</v>
      </c>
      <c r="K1131" s="90" t="s">
        <v>51</v>
      </c>
    </row>
    <row r="1132" spans="1:11" ht="20">
      <c r="A1132" s="14">
        <v>45935</v>
      </c>
      <c r="B1132" s="83">
        <f>VLOOKUP(A1132,'BADI SID DATA'!A:B,2,0)</f>
        <v>188</v>
      </c>
      <c r="C1132" s="56">
        <v>57850</v>
      </c>
      <c r="D1132" s="54"/>
      <c r="E1132" s="54">
        <v>10</v>
      </c>
      <c r="F1132" s="46">
        <v>1</v>
      </c>
      <c r="G1132" s="46">
        <v>1</v>
      </c>
      <c r="H1132" s="81">
        <f t="shared" si="55"/>
        <v>8893948.700000003</v>
      </c>
      <c r="I1132" s="84">
        <f t="shared" si="53"/>
        <v>0.24104166666666665</v>
      </c>
      <c r="J1132" s="84">
        <f t="shared" si="54"/>
        <v>0.19711765735815609</v>
      </c>
      <c r="K1132" s="90" t="s">
        <v>79</v>
      </c>
    </row>
    <row r="1133" spans="1:11" ht="60">
      <c r="A1133" s="14">
        <v>45936</v>
      </c>
      <c r="B1133" s="83">
        <f>VLOOKUP(A1133,'BADI SID DATA'!A:B,2,0)</f>
        <v>189</v>
      </c>
      <c r="C1133" s="56">
        <v>54600</v>
      </c>
      <c r="D1133" s="54"/>
      <c r="E1133" s="54">
        <v>10.6</v>
      </c>
      <c r="F1133" s="46">
        <v>1</v>
      </c>
      <c r="G1133" s="46">
        <v>1</v>
      </c>
      <c r="H1133" s="81">
        <f t="shared" si="55"/>
        <v>8948548.700000003</v>
      </c>
      <c r="I1133" s="84">
        <f t="shared" si="53"/>
        <v>0.22750000000000001</v>
      </c>
      <c r="J1133" s="84">
        <f t="shared" si="54"/>
        <v>0.19727841049382722</v>
      </c>
      <c r="K1133" s="90" t="s">
        <v>80</v>
      </c>
    </row>
    <row r="1134" spans="1:11" ht="20">
      <c r="A1134" s="14">
        <v>45937</v>
      </c>
      <c r="B1134" s="83">
        <f>VLOOKUP(A1134,'BADI SID DATA'!A:B,2,0)</f>
        <v>190</v>
      </c>
      <c r="C1134" s="56">
        <v>59150</v>
      </c>
      <c r="D1134" s="54"/>
      <c r="E1134" s="54">
        <v>10.1</v>
      </c>
      <c r="F1134" s="46">
        <v>1</v>
      </c>
      <c r="G1134" s="46">
        <v>1</v>
      </c>
      <c r="H1134" s="81">
        <f t="shared" si="55"/>
        <v>9007698.700000003</v>
      </c>
      <c r="I1134" s="84">
        <f t="shared" ref="I1134:I1165" si="56">C1134/(10*24*1000)</f>
        <v>0.24645833333333333</v>
      </c>
      <c r="J1134" s="84">
        <f t="shared" si="54"/>
        <v>0.19753725219298252</v>
      </c>
      <c r="K1134" s="90" t="s">
        <v>79</v>
      </c>
    </row>
    <row r="1135" spans="1:11" ht="20">
      <c r="A1135" s="14">
        <v>45938</v>
      </c>
      <c r="B1135" s="83">
        <f>VLOOKUP(A1135,'BADI SID DATA'!A:B,2,0)</f>
        <v>191</v>
      </c>
      <c r="C1135" s="56">
        <v>35750</v>
      </c>
      <c r="D1135" s="54"/>
      <c r="E1135" s="54">
        <v>10.3</v>
      </c>
      <c r="F1135" s="46">
        <v>1</v>
      </c>
      <c r="G1135" s="46">
        <v>1</v>
      </c>
      <c r="H1135" s="81">
        <f t="shared" si="55"/>
        <v>9043448.700000003</v>
      </c>
      <c r="I1135" s="84">
        <f t="shared" si="56"/>
        <v>0.14895833333333333</v>
      </c>
      <c r="J1135" s="84">
        <f t="shared" si="54"/>
        <v>0.19728291230366499</v>
      </c>
      <c r="K1135" s="90" t="s">
        <v>52</v>
      </c>
    </row>
    <row r="1136" spans="1:11" ht="20">
      <c r="A1136" s="14">
        <v>45939</v>
      </c>
      <c r="B1136" s="83">
        <f>VLOOKUP(A1136,'BADI SID DATA'!A:B,2,0)</f>
        <v>192</v>
      </c>
      <c r="C1136" s="56">
        <v>39650</v>
      </c>
      <c r="D1136" s="54"/>
      <c r="E1136" s="54">
        <v>10.199999999999999</v>
      </c>
      <c r="F1136" s="46">
        <v>1</v>
      </c>
      <c r="G1136" s="46">
        <v>1</v>
      </c>
      <c r="H1136" s="81">
        <f t="shared" si="55"/>
        <v>9083098.700000003</v>
      </c>
      <c r="I1136" s="84">
        <f t="shared" si="56"/>
        <v>0.16520833333333335</v>
      </c>
      <c r="J1136" s="84">
        <f t="shared" si="54"/>
        <v>0.19711585720486119</v>
      </c>
      <c r="K1136" s="90" t="s">
        <v>52</v>
      </c>
    </row>
    <row r="1137" spans="1:11" ht="60">
      <c r="A1137" s="14">
        <v>45940</v>
      </c>
      <c r="B1137" s="83">
        <f>VLOOKUP(A1137,'BADI SID DATA'!A:B,2,0)</f>
        <v>193</v>
      </c>
      <c r="C1137" s="56">
        <v>55900</v>
      </c>
      <c r="D1137" s="54"/>
      <c r="E1137" s="54">
        <v>10.6</v>
      </c>
      <c r="F1137" s="46">
        <v>1</v>
      </c>
      <c r="G1137" s="46">
        <v>1</v>
      </c>
      <c r="H1137" s="81">
        <f t="shared" si="55"/>
        <v>9138998.700000003</v>
      </c>
      <c r="I1137" s="84">
        <f t="shared" si="56"/>
        <v>0.23291666666666666</v>
      </c>
      <c r="J1137" s="84">
        <f t="shared" si="54"/>
        <v>0.19730135362694307</v>
      </c>
      <c r="K1137" s="90" t="s">
        <v>54</v>
      </c>
    </row>
    <row r="1138" spans="1:11" ht="80">
      <c r="A1138" s="14">
        <v>45941</v>
      </c>
      <c r="B1138" s="83">
        <f>VLOOKUP(A1138,'BADI SID DATA'!A:B,2,0)</f>
        <v>194</v>
      </c>
      <c r="C1138" s="56">
        <v>51350</v>
      </c>
      <c r="D1138" s="54"/>
      <c r="E1138" s="54">
        <v>10.3</v>
      </c>
      <c r="F1138" s="46">
        <v>1</v>
      </c>
      <c r="G1138" s="46">
        <v>1</v>
      </c>
      <c r="H1138" s="81">
        <f t="shared" si="55"/>
        <v>9190348.700000003</v>
      </c>
      <c r="I1138" s="84">
        <f t="shared" si="56"/>
        <v>0.21395833333333333</v>
      </c>
      <c r="J1138" s="84">
        <f t="shared" si="54"/>
        <v>0.19738721434707909</v>
      </c>
      <c r="K1138" s="90" t="s">
        <v>51</v>
      </c>
    </row>
    <row r="1139" spans="1:11" ht="60">
      <c r="A1139" s="14">
        <v>45942</v>
      </c>
      <c r="B1139" s="83">
        <f>VLOOKUP(A1139,'BADI SID DATA'!A:B,2,0)</f>
        <v>195</v>
      </c>
      <c r="C1139" s="56">
        <v>66300</v>
      </c>
      <c r="D1139" s="54"/>
      <c r="E1139" s="54">
        <v>10.6</v>
      </c>
      <c r="F1139" s="46">
        <v>1</v>
      </c>
      <c r="G1139" s="46">
        <v>1</v>
      </c>
      <c r="H1139" s="81">
        <f t="shared" si="55"/>
        <v>9256648.700000003</v>
      </c>
      <c r="I1139" s="84">
        <f t="shared" si="56"/>
        <v>0.27625</v>
      </c>
      <c r="J1139" s="84">
        <f t="shared" si="54"/>
        <v>0.19779163888888895</v>
      </c>
      <c r="K1139" s="90" t="s">
        <v>54</v>
      </c>
    </row>
    <row r="1140" spans="1:11" ht="80">
      <c r="A1140" s="14">
        <v>45943</v>
      </c>
      <c r="B1140" s="83">
        <f>VLOOKUP(A1140,'BADI SID DATA'!A:B,2,0)</f>
        <v>196</v>
      </c>
      <c r="C1140" s="56">
        <v>61100</v>
      </c>
      <c r="D1140" s="54"/>
      <c r="E1140" s="54">
        <v>9.8000000000000007</v>
      </c>
      <c r="F1140" s="46">
        <v>1</v>
      </c>
      <c r="G1140" s="46">
        <v>1</v>
      </c>
      <c r="H1140" s="81">
        <f t="shared" si="55"/>
        <v>9317748.700000003</v>
      </c>
      <c r="I1140" s="84">
        <f t="shared" si="56"/>
        <v>0.25458333333333333</v>
      </c>
      <c r="J1140" s="84">
        <f t="shared" si="54"/>
        <v>0.19808139243197284</v>
      </c>
      <c r="K1140" s="90" t="s">
        <v>51</v>
      </c>
    </row>
    <row r="1141" spans="1:11" ht="80">
      <c r="A1141" s="14">
        <v>45944</v>
      </c>
      <c r="B1141" s="83">
        <f>VLOOKUP(A1141,'BADI SID DATA'!A:B,2,0)</f>
        <v>197</v>
      </c>
      <c r="C1141" s="56">
        <v>49400</v>
      </c>
      <c r="D1141" s="54"/>
      <c r="E1141" s="54">
        <v>10.1</v>
      </c>
      <c r="F1141" s="46">
        <v>1</v>
      </c>
      <c r="G1141" s="46">
        <v>1</v>
      </c>
      <c r="H1141" s="81">
        <f t="shared" si="55"/>
        <v>9367148.700000003</v>
      </c>
      <c r="I1141" s="84">
        <f t="shared" si="56"/>
        <v>0.20583333333333334</v>
      </c>
      <c r="J1141" s="84">
        <f t="shared" si="54"/>
        <v>0.19812074238578686</v>
      </c>
      <c r="K1141" s="90" t="s">
        <v>51</v>
      </c>
    </row>
    <row r="1142" spans="1:11" ht="80">
      <c r="A1142" s="14">
        <v>45945</v>
      </c>
      <c r="B1142" s="83">
        <f>VLOOKUP(A1142,'BADI SID DATA'!A:B,2,0)</f>
        <v>198</v>
      </c>
      <c r="C1142" s="56">
        <v>35750</v>
      </c>
      <c r="D1142" s="54"/>
      <c r="E1142" s="54">
        <v>9.1999999999999993</v>
      </c>
      <c r="F1142" s="46">
        <v>1</v>
      </c>
      <c r="G1142" s="46">
        <v>1</v>
      </c>
      <c r="H1142" s="81">
        <f t="shared" si="55"/>
        <v>9402898.700000003</v>
      </c>
      <c r="I1142" s="84">
        <f t="shared" si="56"/>
        <v>0.14895833333333333</v>
      </c>
      <c r="J1142" s="84">
        <f t="shared" si="54"/>
        <v>0.19787244739057244</v>
      </c>
      <c r="K1142" s="90" t="s">
        <v>51</v>
      </c>
    </row>
    <row r="1143" spans="1:11" ht="19">
      <c r="A1143" s="14">
        <v>45946</v>
      </c>
      <c r="B1143" s="83">
        <f>VLOOKUP(A1143,'BADI SID DATA'!A:B,2,0)</f>
        <v>199</v>
      </c>
      <c r="C1143" s="56">
        <v>30000</v>
      </c>
      <c r="D1143" s="54"/>
      <c r="E1143" s="54">
        <v>5</v>
      </c>
      <c r="F1143" s="46">
        <v>1</v>
      </c>
      <c r="G1143" s="46">
        <v>1</v>
      </c>
      <c r="H1143" s="81">
        <f t="shared" si="55"/>
        <v>9432898.700000003</v>
      </c>
      <c r="I1143" s="84">
        <f t="shared" si="56"/>
        <v>0.125</v>
      </c>
      <c r="J1143" s="84">
        <f t="shared" si="54"/>
        <v>0.19750625418760476</v>
      </c>
      <c r="K1143" s="91"/>
    </row>
    <row r="1144" spans="1:11" ht="19">
      <c r="A1144" s="14">
        <v>45947</v>
      </c>
      <c r="B1144" s="83">
        <f>VLOOKUP(A1144,'BADI SID DATA'!A:B,2,0)</f>
        <v>200</v>
      </c>
      <c r="C1144" s="56">
        <v>40200</v>
      </c>
      <c r="D1144" s="54"/>
      <c r="E1144" s="54">
        <v>3.61</v>
      </c>
      <c r="F1144" s="46">
        <v>1</v>
      </c>
      <c r="G1144" s="46">
        <v>1</v>
      </c>
      <c r="H1144" s="81">
        <f t="shared" si="55"/>
        <v>9473098.700000003</v>
      </c>
      <c r="I1144" s="84">
        <f t="shared" si="56"/>
        <v>0.16750000000000001</v>
      </c>
      <c r="J1144" s="84">
        <f t="shared" si="54"/>
        <v>0.19735622291666674</v>
      </c>
      <c r="K1144" s="91"/>
    </row>
    <row r="1145" spans="1:11" ht="19">
      <c r="A1145" s="14">
        <v>45948</v>
      </c>
      <c r="B1145" s="83">
        <f>VLOOKUP(A1145,'BADI SID DATA'!A:B,2,0)</f>
        <v>201</v>
      </c>
      <c r="C1145" s="56">
        <v>33000</v>
      </c>
      <c r="D1145" s="54"/>
      <c r="E1145" s="54">
        <v>5.09</v>
      </c>
      <c r="F1145" s="46">
        <v>1</v>
      </c>
      <c r="G1145" s="46">
        <v>1</v>
      </c>
      <c r="H1145" s="81">
        <f t="shared" si="55"/>
        <v>9506098.700000003</v>
      </c>
      <c r="I1145" s="84">
        <f t="shared" si="56"/>
        <v>0.13750000000000001</v>
      </c>
      <c r="J1145" s="84">
        <f t="shared" si="54"/>
        <v>0.19705843076285245</v>
      </c>
      <c r="K1145" s="91"/>
    </row>
    <row r="1146" spans="1:11" ht="19">
      <c r="A1146" s="14">
        <v>45949</v>
      </c>
      <c r="B1146" s="83">
        <f>VLOOKUP(A1146,'BADI SID DATA'!A:B,2,0)</f>
        <v>202</v>
      </c>
      <c r="C1146" s="56">
        <v>49800</v>
      </c>
      <c r="D1146" s="54"/>
      <c r="E1146" s="54">
        <v>9.89</v>
      </c>
      <c r="F1146" s="46">
        <v>1</v>
      </c>
      <c r="G1146" s="46">
        <v>1</v>
      </c>
      <c r="H1146" s="81">
        <f t="shared" si="55"/>
        <v>9555898.700000003</v>
      </c>
      <c r="I1146" s="84">
        <f t="shared" si="56"/>
        <v>0.20749999999999999</v>
      </c>
      <c r="J1146" s="84">
        <f t="shared" si="54"/>
        <v>0.19711012169967002</v>
      </c>
      <c r="K1146" s="91"/>
    </row>
    <row r="1147" spans="1:11" ht="19">
      <c r="A1147" s="14">
        <v>45950</v>
      </c>
      <c r="B1147" s="83">
        <f>VLOOKUP(A1147,'BADI SID DATA'!A:B,2,0)</f>
        <v>203</v>
      </c>
      <c r="C1147" s="56">
        <v>48000</v>
      </c>
      <c r="D1147" s="54"/>
      <c r="E1147" s="54">
        <v>8.9499999999999993</v>
      </c>
      <c r="F1147" s="46">
        <v>1</v>
      </c>
      <c r="G1147" s="46">
        <v>1</v>
      </c>
      <c r="H1147" s="81">
        <f t="shared" si="55"/>
        <v>9603898.700000003</v>
      </c>
      <c r="I1147" s="84">
        <f t="shared" si="56"/>
        <v>0.2</v>
      </c>
      <c r="J1147" s="84">
        <f t="shared" si="54"/>
        <v>0.19712435755336624</v>
      </c>
      <c r="K1147" s="91"/>
    </row>
    <row r="1148" spans="1:11" ht="80">
      <c r="A1148" s="14">
        <v>45951</v>
      </c>
      <c r="B1148" s="83">
        <f>VLOOKUP(A1148,'BADI SID DATA'!A:B,2,0)</f>
        <v>204</v>
      </c>
      <c r="C1148" s="56">
        <v>24000</v>
      </c>
      <c r="D1148" s="54"/>
      <c r="E1148" s="54">
        <v>3.84</v>
      </c>
      <c r="F1148" s="46">
        <v>1</v>
      </c>
      <c r="G1148" s="46">
        <v>1</v>
      </c>
      <c r="H1148" s="81">
        <f t="shared" si="55"/>
        <v>9627898.700000003</v>
      </c>
      <c r="I1148" s="84">
        <f t="shared" si="56"/>
        <v>0.1</v>
      </c>
      <c r="J1148" s="84">
        <f t="shared" si="54"/>
        <v>0.19664825776143796</v>
      </c>
      <c r="K1148" s="90" t="s">
        <v>51</v>
      </c>
    </row>
    <row r="1149" spans="1:11" ht="80">
      <c r="A1149" s="14">
        <v>45952</v>
      </c>
      <c r="B1149" s="83">
        <f>VLOOKUP(A1149,'BADI SID DATA'!A:B,2,0)</f>
        <v>205</v>
      </c>
      <c r="C1149" s="56">
        <v>25800</v>
      </c>
      <c r="D1149" s="54"/>
      <c r="E1149" s="54">
        <v>6.46</v>
      </c>
      <c r="F1149" s="46">
        <v>1</v>
      </c>
      <c r="G1149" s="46">
        <v>1</v>
      </c>
      <c r="H1149" s="81">
        <f t="shared" si="55"/>
        <v>9653698.700000003</v>
      </c>
      <c r="I1149" s="84">
        <f t="shared" si="56"/>
        <v>0.1075</v>
      </c>
      <c r="J1149" s="84">
        <f t="shared" ref="J1149:J1212" si="57">H1149/(24*B1149*10*1000)</f>
        <v>0.19621338821138218</v>
      </c>
      <c r="K1149" s="90" t="s">
        <v>51</v>
      </c>
    </row>
    <row r="1150" spans="1:11" ht="48">
      <c r="A1150" s="14">
        <v>45953</v>
      </c>
      <c r="B1150" s="83">
        <f>VLOOKUP(A1150,'BADI SID DATA'!A:B,2,0)</f>
        <v>206</v>
      </c>
      <c r="C1150" s="56">
        <v>37800</v>
      </c>
      <c r="D1150" s="54"/>
      <c r="E1150" s="54">
        <v>8.1199999999999992</v>
      </c>
      <c r="F1150" s="46">
        <v>1</v>
      </c>
      <c r="G1150" s="46">
        <v>1</v>
      </c>
      <c r="H1150" s="81">
        <f t="shared" si="55"/>
        <v>9691498.700000003</v>
      </c>
      <c r="I1150" s="84">
        <f t="shared" si="56"/>
        <v>0.1575</v>
      </c>
      <c r="J1150" s="84">
        <f t="shared" si="57"/>
        <v>0.19602545914239489</v>
      </c>
      <c r="K1150" s="92" t="s">
        <v>98</v>
      </c>
    </row>
    <row r="1151" spans="1:11" ht="19">
      <c r="A1151" s="14">
        <v>45954</v>
      </c>
      <c r="B1151" s="83">
        <f>VLOOKUP(A1151,'BADI SID DATA'!A:B,2,0)</f>
        <v>207</v>
      </c>
      <c r="C1151" s="56">
        <v>31800</v>
      </c>
      <c r="D1151" s="54"/>
      <c r="E1151" s="54">
        <v>5.09</v>
      </c>
      <c r="F1151" s="46">
        <v>1</v>
      </c>
      <c r="G1151" s="46">
        <v>1</v>
      </c>
      <c r="H1151" s="81">
        <f t="shared" si="55"/>
        <v>9723298.700000003</v>
      </c>
      <c r="I1151" s="84">
        <f t="shared" si="56"/>
        <v>0.13250000000000001</v>
      </c>
      <c r="J1151" s="84">
        <f t="shared" si="57"/>
        <v>0.19571857286634467</v>
      </c>
      <c r="K1151" s="91"/>
    </row>
    <row r="1152" spans="1:11" ht="19">
      <c r="A1152" s="14">
        <v>45955</v>
      </c>
      <c r="B1152" s="83">
        <f>VLOOKUP(A1152,'BADI SID DATA'!A:B,2,0)</f>
        <v>208</v>
      </c>
      <c r="C1152" s="56">
        <v>51000</v>
      </c>
      <c r="D1152" s="54"/>
      <c r="E1152" s="54">
        <v>7.62</v>
      </c>
      <c r="F1152" s="46">
        <v>1</v>
      </c>
      <c r="G1152" s="46">
        <v>1</v>
      </c>
      <c r="H1152" s="81">
        <f t="shared" si="55"/>
        <v>9774298.700000003</v>
      </c>
      <c r="I1152" s="84">
        <f t="shared" si="56"/>
        <v>0.21249999999999999</v>
      </c>
      <c r="J1152" s="84">
        <f t="shared" si="57"/>
        <v>0.19579925280448723</v>
      </c>
      <c r="K1152" s="91"/>
    </row>
    <row r="1153" spans="1:11" ht="32">
      <c r="A1153" s="14">
        <v>45956</v>
      </c>
      <c r="B1153" s="83">
        <f>VLOOKUP(A1153,'BADI SID DATA'!A:B,2,0)</f>
        <v>209</v>
      </c>
      <c r="C1153" s="56">
        <v>45000</v>
      </c>
      <c r="D1153" s="54"/>
      <c r="E1153" s="54">
        <v>6.89</v>
      </c>
      <c r="F1153" s="46">
        <v>1</v>
      </c>
      <c r="G1153" s="46">
        <v>1</v>
      </c>
      <c r="H1153" s="81">
        <f t="shared" si="55"/>
        <v>9819298.700000003</v>
      </c>
      <c r="I1153" s="84">
        <f t="shared" si="56"/>
        <v>0.1875</v>
      </c>
      <c r="J1153" s="84">
        <f t="shared" si="57"/>
        <v>0.19575954346092511</v>
      </c>
      <c r="K1153" s="92" t="s">
        <v>97</v>
      </c>
    </row>
    <row r="1154" spans="1:11" ht="48">
      <c r="A1154" s="14">
        <v>45957</v>
      </c>
      <c r="B1154" s="83">
        <f>VLOOKUP(A1154,'BADI SID DATA'!A:B,2,0)</f>
        <v>210</v>
      </c>
      <c r="C1154" s="56">
        <v>23400</v>
      </c>
      <c r="D1154" s="54"/>
      <c r="E1154" s="54">
        <v>4.67</v>
      </c>
      <c r="F1154" s="46">
        <v>1</v>
      </c>
      <c r="G1154" s="46">
        <v>1</v>
      </c>
      <c r="H1154" s="81">
        <f t="shared" si="55"/>
        <v>9842698.700000003</v>
      </c>
      <c r="I1154" s="84">
        <f t="shared" si="56"/>
        <v>9.7500000000000003E-2</v>
      </c>
      <c r="J1154" s="84">
        <f t="shared" si="57"/>
        <v>0.19529164087301593</v>
      </c>
      <c r="K1154" s="92" t="s">
        <v>98</v>
      </c>
    </row>
    <row r="1155" spans="1:11" ht="48">
      <c r="A1155" s="14">
        <v>45958</v>
      </c>
      <c r="B1155" s="83">
        <f>VLOOKUP(A1155,'BADI SID DATA'!A:B,2,0)</f>
        <v>211</v>
      </c>
      <c r="C1155" s="56">
        <v>12000</v>
      </c>
      <c r="D1155" s="54"/>
      <c r="E1155" s="54">
        <v>4.7300000000000004</v>
      </c>
      <c r="F1155" s="46">
        <v>1</v>
      </c>
      <c r="G1155" s="46">
        <v>1</v>
      </c>
      <c r="H1155" s="81">
        <f t="shared" si="55"/>
        <v>9854698.700000003</v>
      </c>
      <c r="I1155" s="84">
        <f t="shared" si="56"/>
        <v>0.05</v>
      </c>
      <c r="J1155" s="84">
        <f t="shared" si="57"/>
        <v>0.19460305489731444</v>
      </c>
      <c r="K1155" s="92" t="s">
        <v>98</v>
      </c>
    </row>
    <row r="1156" spans="1:11" ht="19">
      <c r="A1156" s="14">
        <v>45959</v>
      </c>
      <c r="B1156" s="83">
        <f>VLOOKUP(A1156,'BADI SID DATA'!A:B,2,0)</f>
        <v>212</v>
      </c>
      <c r="C1156" s="56">
        <v>43200</v>
      </c>
      <c r="D1156" s="54"/>
      <c r="E1156" s="54">
        <v>8.02</v>
      </c>
      <c r="F1156" s="46">
        <v>1</v>
      </c>
      <c r="G1156" s="46">
        <v>1</v>
      </c>
      <c r="H1156" s="81">
        <f t="shared" si="55"/>
        <v>9897898.700000003</v>
      </c>
      <c r="I1156" s="84">
        <f t="shared" si="56"/>
        <v>0.18</v>
      </c>
      <c r="J1156" s="84">
        <f t="shared" si="57"/>
        <v>0.19453417256289315</v>
      </c>
      <c r="K1156" s="91"/>
    </row>
    <row r="1157" spans="1:11" ht="19">
      <c r="A1157" s="14">
        <v>45960</v>
      </c>
      <c r="B1157" s="83">
        <f>VLOOKUP(A1157,'BADI SID DATA'!A:B,2,0)</f>
        <v>213</v>
      </c>
      <c r="C1157" s="56">
        <v>61200</v>
      </c>
      <c r="D1157" s="54"/>
      <c r="E1157" s="54">
        <v>9.26</v>
      </c>
      <c r="F1157" s="46">
        <v>1</v>
      </c>
      <c r="G1157" s="46">
        <v>1</v>
      </c>
      <c r="H1157" s="81">
        <f t="shared" ref="H1157:H1195" si="58">C1157+H1156</f>
        <v>9959098.700000003</v>
      </c>
      <c r="I1157" s="84">
        <f t="shared" si="56"/>
        <v>0.255</v>
      </c>
      <c r="J1157" s="84">
        <f t="shared" si="57"/>
        <v>0.19481804968701102</v>
      </c>
      <c r="K1157" s="91"/>
    </row>
    <row r="1158" spans="1:11" ht="19">
      <c r="A1158" s="14">
        <v>45961</v>
      </c>
      <c r="B1158" s="83">
        <f>VLOOKUP(A1158,'BADI SID DATA'!A:B,2,0)</f>
        <v>214</v>
      </c>
      <c r="C1158" s="56">
        <v>64800</v>
      </c>
      <c r="D1158" s="54"/>
      <c r="E1158" s="54">
        <v>9.07</v>
      </c>
      <c r="F1158" s="46">
        <v>1</v>
      </c>
      <c r="G1158" s="46">
        <v>1</v>
      </c>
      <c r="H1158" s="81">
        <f t="shared" si="58"/>
        <v>10023898.700000003</v>
      </c>
      <c r="I1158" s="84">
        <f t="shared" si="56"/>
        <v>0.27</v>
      </c>
      <c r="J1158" s="84">
        <f t="shared" si="57"/>
        <v>0.19516936721183806</v>
      </c>
      <c r="K1158" s="91"/>
    </row>
    <row r="1159" spans="1:11" ht="19">
      <c r="A1159" s="14">
        <v>45962</v>
      </c>
      <c r="B1159" s="83">
        <f>VLOOKUP(A1159,'BADI SID DATA'!A:B,2,0)</f>
        <v>215</v>
      </c>
      <c r="C1159" s="56">
        <v>50400</v>
      </c>
      <c r="D1159" s="54"/>
      <c r="E1159" s="54">
        <v>9.15</v>
      </c>
      <c r="F1159" s="46">
        <v>1</v>
      </c>
      <c r="G1159" s="46">
        <v>1</v>
      </c>
      <c r="H1159" s="81">
        <f t="shared" si="58"/>
        <v>10074298.700000003</v>
      </c>
      <c r="I1159" s="84">
        <f t="shared" si="56"/>
        <v>0.21</v>
      </c>
      <c r="J1159" s="84">
        <f t="shared" si="57"/>
        <v>0.19523834689922487</v>
      </c>
      <c r="K1159" s="91"/>
    </row>
    <row r="1160" spans="1:11" ht="19">
      <c r="A1160" s="14">
        <v>45963</v>
      </c>
      <c r="B1160" s="83">
        <f>VLOOKUP(A1160,'BADI SID DATA'!A:B,2,0)</f>
        <v>216</v>
      </c>
      <c r="C1160" s="56">
        <v>53800</v>
      </c>
      <c r="D1160" s="54"/>
      <c r="E1160" s="54">
        <v>7.98</v>
      </c>
      <c r="F1160" s="46">
        <v>1</v>
      </c>
      <c r="G1160" s="46">
        <v>1</v>
      </c>
      <c r="H1160" s="81">
        <f t="shared" si="58"/>
        <v>10128098.700000003</v>
      </c>
      <c r="I1160" s="84">
        <f t="shared" si="56"/>
        <v>0.22416666666666665</v>
      </c>
      <c r="J1160" s="84">
        <f t="shared" si="57"/>
        <v>0.19537227430555562</v>
      </c>
      <c r="K1160" s="91"/>
    </row>
    <row r="1161" spans="1:11" ht="19">
      <c r="A1161" s="14">
        <v>45964</v>
      </c>
      <c r="B1161" s="83">
        <f>VLOOKUP(A1161,'BADI SID DATA'!A:B,2,0)</f>
        <v>217</v>
      </c>
      <c r="C1161" s="56">
        <v>51000</v>
      </c>
      <c r="D1161" s="54"/>
      <c r="E1161" s="54">
        <v>8.48</v>
      </c>
      <c r="F1161" s="46">
        <v>1</v>
      </c>
      <c r="G1161" s="46">
        <v>1</v>
      </c>
      <c r="H1161" s="81">
        <f t="shared" si="58"/>
        <v>10179098.700000003</v>
      </c>
      <c r="I1161" s="84">
        <f t="shared" si="56"/>
        <v>0.21249999999999999</v>
      </c>
      <c r="J1161" s="84">
        <f t="shared" si="57"/>
        <v>0.19545120391705076</v>
      </c>
      <c r="K1161" s="91"/>
    </row>
    <row r="1162" spans="1:11" ht="32">
      <c r="A1162" s="14">
        <v>45965</v>
      </c>
      <c r="B1162" s="83">
        <f>VLOOKUP(A1162,'BADI SID DATA'!A:B,2,0)</f>
        <v>218</v>
      </c>
      <c r="C1162" s="56">
        <v>31200</v>
      </c>
      <c r="D1162" s="54"/>
      <c r="E1162" s="54">
        <v>5.09</v>
      </c>
      <c r="F1162" s="46">
        <v>1</v>
      </c>
      <c r="G1162" s="46">
        <v>1</v>
      </c>
      <c r="H1162" s="81">
        <f t="shared" si="58"/>
        <v>10210298.700000003</v>
      </c>
      <c r="I1162" s="84">
        <f t="shared" si="56"/>
        <v>0.13</v>
      </c>
      <c r="J1162" s="84">
        <f t="shared" si="57"/>
        <v>0.19515096903669729</v>
      </c>
      <c r="K1162" s="92" t="s">
        <v>97</v>
      </c>
    </row>
    <row r="1163" spans="1:11" ht="19">
      <c r="A1163" s="14">
        <v>45966</v>
      </c>
      <c r="B1163" s="83">
        <f>VLOOKUP(A1163,'BADI SID DATA'!A:B,2,0)</f>
        <v>219</v>
      </c>
      <c r="C1163" s="56">
        <v>48600</v>
      </c>
      <c r="D1163" s="54"/>
      <c r="E1163" s="54">
        <v>7.58</v>
      </c>
      <c r="F1163" s="46">
        <v>1</v>
      </c>
      <c r="G1163" s="46">
        <v>1</v>
      </c>
      <c r="H1163" s="81">
        <f t="shared" si="58"/>
        <v>10258898.700000003</v>
      </c>
      <c r="I1163" s="84">
        <f t="shared" si="56"/>
        <v>0.20250000000000001</v>
      </c>
      <c r="J1163" s="84">
        <f t="shared" si="57"/>
        <v>0.19518452625570781</v>
      </c>
      <c r="K1163" s="91"/>
    </row>
    <row r="1164" spans="1:11" ht="48">
      <c r="A1164" s="14">
        <v>45967</v>
      </c>
      <c r="B1164" s="83">
        <f>VLOOKUP(A1164,'BADI SID DATA'!A:B,2,0)</f>
        <v>220</v>
      </c>
      <c r="C1164" s="56">
        <v>22200</v>
      </c>
      <c r="D1164" s="54"/>
      <c r="E1164" s="54">
        <v>5.31</v>
      </c>
      <c r="F1164" s="46">
        <v>1</v>
      </c>
      <c r="G1164" s="46">
        <v>1</v>
      </c>
      <c r="H1164" s="81">
        <f t="shared" si="58"/>
        <v>10281098.700000003</v>
      </c>
      <c r="I1164" s="84">
        <f t="shared" si="56"/>
        <v>9.2499999999999999E-2</v>
      </c>
      <c r="J1164" s="84">
        <f t="shared" si="57"/>
        <v>0.19471777840909096</v>
      </c>
      <c r="K1164" s="92" t="s">
        <v>98</v>
      </c>
    </row>
    <row r="1165" spans="1:11" ht="19">
      <c r="A1165" s="14">
        <v>45968</v>
      </c>
      <c r="B1165" s="83">
        <f>VLOOKUP(A1165,'BADI SID DATA'!A:B,2,0)</f>
        <v>221</v>
      </c>
      <c r="C1165" s="56">
        <v>51000</v>
      </c>
      <c r="D1165" s="54"/>
      <c r="E1165" s="54">
        <v>8.7200000000000006</v>
      </c>
      <c r="F1165" s="46">
        <v>1</v>
      </c>
      <c r="G1165" s="46">
        <v>1</v>
      </c>
      <c r="H1165" s="81">
        <f t="shared" si="58"/>
        <v>10332098.700000003</v>
      </c>
      <c r="I1165" s="84">
        <f t="shared" si="56"/>
        <v>0.21249999999999999</v>
      </c>
      <c r="J1165" s="84">
        <f t="shared" si="57"/>
        <v>0.1947982409502263</v>
      </c>
      <c r="K1165" s="91"/>
    </row>
    <row r="1166" spans="1:11" ht="19">
      <c r="A1166" s="14">
        <v>45969</v>
      </c>
      <c r="B1166" s="83">
        <f>VLOOKUP(A1166,'BADI SID DATA'!A:B,2,0)</f>
        <v>222</v>
      </c>
      <c r="C1166" s="56">
        <v>42600</v>
      </c>
      <c r="D1166" s="54"/>
      <c r="E1166" s="54">
        <v>6.9</v>
      </c>
      <c r="F1166" s="46">
        <v>1</v>
      </c>
      <c r="G1166" s="46">
        <v>1</v>
      </c>
      <c r="H1166" s="81">
        <f t="shared" si="58"/>
        <v>10374698.700000003</v>
      </c>
      <c r="I1166" s="84">
        <f t="shared" ref="I1166:I1195" si="59">C1166/(10*24*1000)</f>
        <v>0.17749999999999999</v>
      </c>
      <c r="J1166" s="84">
        <f t="shared" si="57"/>
        <v>0.19472032094594599</v>
      </c>
      <c r="K1166" s="91"/>
    </row>
    <row r="1167" spans="1:11" ht="19">
      <c r="A1167" s="14">
        <v>45970</v>
      </c>
      <c r="B1167" s="83">
        <f>VLOOKUP(A1167,'BADI SID DATA'!A:B,2,0)</f>
        <v>223</v>
      </c>
      <c r="C1167" s="56">
        <v>65400</v>
      </c>
      <c r="D1167" s="54"/>
      <c r="E1167" s="54">
        <v>8.48</v>
      </c>
      <c r="F1167" s="46">
        <v>1</v>
      </c>
      <c r="G1167" s="46">
        <v>1</v>
      </c>
      <c r="H1167" s="81">
        <f t="shared" si="58"/>
        <v>10440098.700000003</v>
      </c>
      <c r="I1167" s="84">
        <f t="shared" si="59"/>
        <v>0.27250000000000002</v>
      </c>
      <c r="J1167" s="84">
        <f t="shared" si="57"/>
        <v>0.19506910874439468</v>
      </c>
      <c r="K1167" s="91"/>
    </row>
    <row r="1168" spans="1:11" ht="19">
      <c r="A1168" s="14">
        <v>45971</v>
      </c>
      <c r="B1168" s="83">
        <f>VLOOKUP(A1168,'BADI SID DATA'!A:B,2,0)</f>
        <v>224</v>
      </c>
      <c r="C1168" s="56">
        <v>65650</v>
      </c>
      <c r="D1168" s="54"/>
      <c r="E1168" s="54">
        <v>9.25</v>
      </c>
      <c r="F1168" s="46">
        <v>1</v>
      </c>
      <c r="G1168" s="46">
        <v>1</v>
      </c>
      <c r="H1168" s="81">
        <f t="shared" si="58"/>
        <v>10505748.700000003</v>
      </c>
      <c r="I1168" s="84">
        <f t="shared" si="59"/>
        <v>0.27354166666666668</v>
      </c>
      <c r="J1168" s="84">
        <f t="shared" si="57"/>
        <v>0.19541943266369052</v>
      </c>
      <c r="K1168" s="91"/>
    </row>
    <row r="1169" spans="1:11" ht="19">
      <c r="A1169" s="14">
        <v>45972</v>
      </c>
      <c r="B1169" s="83">
        <f>VLOOKUP(A1169,'BADI SID DATA'!A:B,2,0)</f>
        <v>225</v>
      </c>
      <c r="C1169" s="56">
        <v>46800</v>
      </c>
      <c r="D1169" s="54"/>
      <c r="E1169" s="54">
        <v>8.75</v>
      </c>
      <c r="F1169" s="46">
        <v>1</v>
      </c>
      <c r="G1169" s="46">
        <v>1</v>
      </c>
      <c r="H1169" s="81">
        <f t="shared" si="58"/>
        <v>10552548.700000003</v>
      </c>
      <c r="I1169" s="84">
        <f t="shared" si="59"/>
        <v>0.19500000000000001</v>
      </c>
      <c r="J1169" s="84">
        <f t="shared" si="57"/>
        <v>0.19541756851851858</v>
      </c>
      <c r="K1169" s="91"/>
    </row>
    <row r="1170" spans="1:11" ht="19">
      <c r="A1170" s="14">
        <v>45973</v>
      </c>
      <c r="B1170" s="83">
        <f>VLOOKUP(A1170,'BADI SID DATA'!A:B,2,0)</f>
        <v>226</v>
      </c>
      <c r="C1170" s="56">
        <v>50400</v>
      </c>
      <c r="D1170" s="54"/>
      <c r="E1170" s="54">
        <v>9.39</v>
      </c>
      <c r="F1170" s="46">
        <v>1</v>
      </c>
      <c r="G1170" s="46">
        <v>1</v>
      </c>
      <c r="H1170" s="81">
        <f t="shared" si="58"/>
        <v>10602948.700000003</v>
      </c>
      <c r="I1170" s="84">
        <f t="shared" si="59"/>
        <v>0.21</v>
      </c>
      <c r="J1170" s="84">
        <f t="shared" si="57"/>
        <v>0.19548209255162247</v>
      </c>
      <c r="K1170" s="91"/>
    </row>
    <row r="1171" spans="1:11" ht="19">
      <c r="A1171" s="14">
        <v>45974</v>
      </c>
      <c r="B1171" s="83">
        <f>VLOOKUP(A1171,'BADI SID DATA'!A:B,2,0)</f>
        <v>227</v>
      </c>
      <c r="C1171" s="56">
        <v>45000</v>
      </c>
      <c r="D1171" s="54"/>
      <c r="E1171" s="54">
        <v>8.06</v>
      </c>
      <c r="F1171" s="46">
        <v>1</v>
      </c>
      <c r="G1171" s="46">
        <v>1</v>
      </c>
      <c r="H1171" s="81">
        <f t="shared" si="58"/>
        <v>10647948.700000003</v>
      </c>
      <c r="I1171" s="84">
        <f t="shared" si="59"/>
        <v>0.1875</v>
      </c>
      <c r="J1171" s="84">
        <f t="shared" si="57"/>
        <v>0.19544692914831135</v>
      </c>
      <c r="K1171" s="91"/>
    </row>
    <row r="1172" spans="1:11" ht="19">
      <c r="A1172" s="14">
        <v>45975</v>
      </c>
      <c r="B1172" s="83">
        <f>VLOOKUP(A1172,'BADI SID DATA'!A:B,2,0)</f>
        <v>228</v>
      </c>
      <c r="C1172" s="56">
        <v>42000</v>
      </c>
      <c r="D1172" s="54"/>
      <c r="E1172" s="54">
        <v>4.68</v>
      </c>
      <c r="F1172" s="46">
        <v>1</v>
      </c>
      <c r="G1172" s="46">
        <v>1</v>
      </c>
      <c r="H1172" s="81">
        <f t="shared" si="58"/>
        <v>10689948.700000003</v>
      </c>
      <c r="I1172" s="84">
        <f t="shared" si="59"/>
        <v>0.17499999999999999</v>
      </c>
      <c r="J1172" s="84">
        <f t="shared" si="57"/>
        <v>0.19535724963450299</v>
      </c>
      <c r="K1172" s="91"/>
    </row>
    <row r="1173" spans="1:11" ht="19">
      <c r="A1173" s="14">
        <v>45976</v>
      </c>
      <c r="B1173" s="83">
        <f>VLOOKUP(A1173,'BADI SID DATA'!A:B,2,0)</f>
        <v>229</v>
      </c>
      <c r="C1173" s="56">
        <v>60000</v>
      </c>
      <c r="D1173" s="54"/>
      <c r="E1173" s="54">
        <v>9.18</v>
      </c>
      <c r="F1173" s="46">
        <v>1</v>
      </c>
      <c r="G1173" s="46">
        <v>1</v>
      </c>
      <c r="H1173" s="81">
        <f t="shared" si="58"/>
        <v>10749948.700000003</v>
      </c>
      <c r="I1173" s="84">
        <f t="shared" si="59"/>
        <v>0.25</v>
      </c>
      <c r="J1173" s="84">
        <f t="shared" si="57"/>
        <v>0.19559586426491998</v>
      </c>
      <c r="K1173" s="91"/>
    </row>
    <row r="1174" spans="1:11" ht="19">
      <c r="A1174" s="14">
        <v>45977</v>
      </c>
      <c r="B1174" s="83">
        <f>VLOOKUP(A1174,'BADI SID DATA'!A:B,2,0)</f>
        <v>230</v>
      </c>
      <c r="C1174" s="56">
        <v>33600</v>
      </c>
      <c r="D1174" s="54"/>
      <c r="E1174" s="54">
        <v>7.14</v>
      </c>
      <c r="F1174" s="46">
        <v>1</v>
      </c>
      <c r="G1174" s="46">
        <v>1</v>
      </c>
      <c r="H1174" s="81">
        <f t="shared" si="58"/>
        <v>10783548.700000003</v>
      </c>
      <c r="I1174" s="84">
        <f t="shared" si="59"/>
        <v>0.14000000000000001</v>
      </c>
      <c r="J1174" s="84">
        <f t="shared" si="57"/>
        <v>0.19535414311594207</v>
      </c>
      <c r="K1174" s="91"/>
    </row>
    <row r="1175" spans="1:11" ht="19">
      <c r="A1175" s="14">
        <v>45978</v>
      </c>
      <c r="B1175" s="83">
        <f>VLOOKUP(A1175,'BADI SID DATA'!A:B,2,0)</f>
        <v>231</v>
      </c>
      <c r="C1175" s="56">
        <v>36000</v>
      </c>
      <c r="D1175" s="54"/>
      <c r="E1175" s="54">
        <v>6.46</v>
      </c>
      <c r="F1175" s="46">
        <v>1</v>
      </c>
      <c r="G1175" s="46">
        <v>1</v>
      </c>
      <c r="H1175" s="81">
        <f t="shared" si="58"/>
        <v>10819548.700000003</v>
      </c>
      <c r="I1175" s="84">
        <f t="shared" si="59"/>
        <v>0.15</v>
      </c>
      <c r="J1175" s="84">
        <f t="shared" si="57"/>
        <v>0.1951578048340549</v>
      </c>
      <c r="K1175" s="91"/>
    </row>
    <row r="1176" spans="1:11" ht="32">
      <c r="A1176" s="14">
        <v>45979</v>
      </c>
      <c r="B1176" s="83">
        <f>VLOOKUP(A1176,'BADI SID DATA'!A:B,2,0)</f>
        <v>232</v>
      </c>
      <c r="C1176" s="56">
        <v>17400</v>
      </c>
      <c r="D1176" s="54"/>
      <c r="E1176" s="54">
        <v>3.51</v>
      </c>
      <c r="F1176" s="46">
        <v>1</v>
      </c>
      <c r="G1176" s="46">
        <v>1</v>
      </c>
      <c r="H1176" s="81">
        <f t="shared" si="58"/>
        <v>10836948.700000003</v>
      </c>
      <c r="I1176" s="84">
        <f t="shared" si="59"/>
        <v>7.2499999999999995E-2</v>
      </c>
      <c r="J1176" s="84">
        <f t="shared" si="57"/>
        <v>0.19462910739942535</v>
      </c>
      <c r="K1176" s="92" t="s">
        <v>97</v>
      </c>
    </row>
    <row r="1177" spans="1:11" ht="32">
      <c r="A1177" s="14">
        <v>45980</v>
      </c>
      <c r="B1177" s="83">
        <f>VLOOKUP(A1177,'BADI SID DATA'!A:B,2,0)</f>
        <v>233</v>
      </c>
      <c r="C1177" s="56">
        <v>42000</v>
      </c>
      <c r="D1177" s="54"/>
      <c r="E1177" s="54">
        <v>4.62</v>
      </c>
      <c r="F1177" s="46">
        <v>1</v>
      </c>
      <c r="G1177" s="46">
        <v>1</v>
      </c>
      <c r="H1177" s="81">
        <f t="shared" si="58"/>
        <v>10878948.700000003</v>
      </c>
      <c r="I1177" s="84">
        <f t="shared" si="59"/>
        <v>0.17499999999999999</v>
      </c>
      <c r="J1177" s="84">
        <f t="shared" si="57"/>
        <v>0.19454486230329046</v>
      </c>
      <c r="K1177" s="92" t="s">
        <v>97</v>
      </c>
    </row>
    <row r="1178" spans="1:11" ht="19">
      <c r="A1178" s="14">
        <v>45981</v>
      </c>
      <c r="B1178" s="83">
        <f>VLOOKUP(A1178,'BADI SID DATA'!A:B,2,0)</f>
        <v>234</v>
      </c>
      <c r="C1178" s="56">
        <v>53400</v>
      </c>
      <c r="D1178" s="54"/>
      <c r="E1178" s="54">
        <v>6.86</v>
      </c>
      <c r="F1178" s="46">
        <v>1</v>
      </c>
      <c r="G1178" s="46">
        <v>1</v>
      </c>
      <c r="H1178" s="81">
        <f t="shared" si="58"/>
        <v>10932348.700000003</v>
      </c>
      <c r="I1178" s="84">
        <f t="shared" si="59"/>
        <v>0.2225</v>
      </c>
      <c r="J1178" s="84">
        <f t="shared" si="57"/>
        <v>0.19466432870370376</v>
      </c>
      <c r="K1178" s="91"/>
    </row>
    <row r="1179" spans="1:11" ht="48">
      <c r="A1179" s="14">
        <v>45982</v>
      </c>
      <c r="B1179" s="83">
        <f>VLOOKUP(A1179,'BADI SID DATA'!A:B,2,0)</f>
        <v>235</v>
      </c>
      <c r="C1179" s="56">
        <v>34200</v>
      </c>
      <c r="D1179" s="54"/>
      <c r="E1179" s="54">
        <v>8.2100000000000009</v>
      </c>
      <c r="F1179" s="46">
        <v>1</v>
      </c>
      <c r="G1179" s="46">
        <v>1</v>
      </c>
      <c r="H1179" s="81">
        <f t="shared" si="58"/>
        <v>10966548.700000003</v>
      </c>
      <c r="I1179" s="84">
        <f t="shared" si="59"/>
        <v>0.14249999999999999</v>
      </c>
      <c r="J1179" s="84">
        <f t="shared" si="57"/>
        <v>0.1944423528368795</v>
      </c>
      <c r="K1179" s="92" t="s">
        <v>98</v>
      </c>
    </row>
    <row r="1180" spans="1:11" ht="19">
      <c r="A1180" s="14">
        <v>45983</v>
      </c>
      <c r="B1180" s="83">
        <f>VLOOKUP(A1180,'BADI SID DATA'!A:B,2,0)</f>
        <v>236</v>
      </c>
      <c r="C1180" s="56">
        <v>37800</v>
      </c>
      <c r="D1180" s="54"/>
      <c r="E1180" s="54">
        <v>8.01</v>
      </c>
      <c r="F1180" s="46">
        <v>1</v>
      </c>
      <c r="G1180" s="46">
        <v>1</v>
      </c>
      <c r="H1180" s="81">
        <f t="shared" si="58"/>
        <v>11004348.700000003</v>
      </c>
      <c r="I1180" s="84">
        <f t="shared" si="59"/>
        <v>0.1575</v>
      </c>
      <c r="J1180" s="84">
        <f t="shared" si="57"/>
        <v>0.19428581744350287</v>
      </c>
      <c r="K1180" s="91"/>
    </row>
    <row r="1181" spans="1:11" ht="19">
      <c r="A1181" s="14">
        <v>45984</v>
      </c>
      <c r="B1181" s="83">
        <f>VLOOKUP(A1181,'BADI SID DATA'!A:B,2,0)</f>
        <v>237</v>
      </c>
      <c r="C1181" s="56">
        <v>30000</v>
      </c>
      <c r="D1181" s="54"/>
      <c r="E1181" s="54">
        <v>4.32</v>
      </c>
      <c r="F1181" s="46">
        <v>1</v>
      </c>
      <c r="G1181" s="46">
        <v>1</v>
      </c>
      <c r="H1181" s="81">
        <f t="shared" si="58"/>
        <v>11034348.700000003</v>
      </c>
      <c r="I1181" s="84">
        <f t="shared" si="59"/>
        <v>0.125</v>
      </c>
      <c r="J1181" s="84">
        <f t="shared" si="57"/>
        <v>0.19399347222222227</v>
      </c>
      <c r="K1181" s="91"/>
    </row>
    <row r="1182" spans="1:11" ht="19">
      <c r="A1182" s="14">
        <v>45985</v>
      </c>
      <c r="B1182" s="83">
        <f>VLOOKUP(A1182,'BADI SID DATA'!A:B,2,0)</f>
        <v>238</v>
      </c>
      <c r="C1182" s="56">
        <v>42600</v>
      </c>
      <c r="D1182" s="54"/>
      <c r="E1182" s="54">
        <v>7.32</v>
      </c>
      <c r="F1182" s="46">
        <v>1</v>
      </c>
      <c r="G1182" s="46">
        <v>1</v>
      </c>
      <c r="H1182" s="81">
        <f t="shared" si="58"/>
        <v>11076948.700000003</v>
      </c>
      <c r="I1182" s="84">
        <f t="shared" si="59"/>
        <v>0.17749999999999999</v>
      </c>
      <c r="J1182" s="84">
        <f t="shared" si="57"/>
        <v>0.19392417191876757</v>
      </c>
      <c r="K1182" s="91"/>
    </row>
    <row r="1183" spans="1:11" ht="19">
      <c r="A1183" s="14">
        <v>45986</v>
      </c>
      <c r="B1183" s="83">
        <f>VLOOKUP(A1183,'BADI SID DATA'!A:B,2,0)</f>
        <v>239</v>
      </c>
      <c r="C1183" s="56">
        <v>40800</v>
      </c>
      <c r="D1183" s="54"/>
      <c r="E1183" s="86">
        <v>6.94</v>
      </c>
      <c r="F1183" s="46">
        <v>1</v>
      </c>
      <c r="G1183" s="46">
        <v>1</v>
      </c>
      <c r="H1183" s="81">
        <f t="shared" si="58"/>
        <v>11117748.700000003</v>
      </c>
      <c r="I1183" s="84">
        <f t="shared" si="59"/>
        <v>0.17</v>
      </c>
      <c r="J1183" s="84">
        <f t="shared" si="57"/>
        <v>0.19382407078103214</v>
      </c>
      <c r="K1183" s="91"/>
    </row>
    <row r="1184" spans="1:11" ht="19">
      <c r="A1184" s="14">
        <v>45987</v>
      </c>
      <c r="B1184" s="83">
        <f>VLOOKUP(A1184,'BADI SID DATA'!A:B,2,0)</f>
        <v>240</v>
      </c>
      <c r="C1184" s="56">
        <v>39600</v>
      </c>
      <c r="D1184" s="54"/>
      <c r="E1184" s="54">
        <v>7.6</v>
      </c>
      <c r="F1184" s="46">
        <v>1</v>
      </c>
      <c r="G1184" s="46">
        <v>1</v>
      </c>
      <c r="H1184" s="81">
        <f t="shared" si="58"/>
        <v>11157348.700000003</v>
      </c>
      <c r="I1184" s="84">
        <f t="shared" si="59"/>
        <v>0.16500000000000001</v>
      </c>
      <c r="J1184" s="84">
        <f t="shared" si="57"/>
        <v>0.19370397048611115</v>
      </c>
      <c r="K1184" s="91"/>
    </row>
    <row r="1185" spans="1:11" ht="19">
      <c r="A1185" s="14">
        <v>45988</v>
      </c>
      <c r="B1185" s="83">
        <f>VLOOKUP(A1185,'BADI SID DATA'!A:B,2,0)</f>
        <v>241</v>
      </c>
      <c r="C1185" s="56">
        <v>33600</v>
      </c>
      <c r="D1185" s="54"/>
      <c r="E1185" s="86">
        <v>8.1</v>
      </c>
      <c r="F1185" s="46">
        <v>1</v>
      </c>
      <c r="G1185" s="46">
        <v>1</v>
      </c>
      <c r="H1185" s="81">
        <f t="shared" si="58"/>
        <v>11190948.700000003</v>
      </c>
      <c r="I1185" s="84">
        <f t="shared" si="59"/>
        <v>0.14000000000000001</v>
      </c>
      <c r="J1185" s="84">
        <f t="shared" si="57"/>
        <v>0.19348113243430157</v>
      </c>
      <c r="K1185" s="91"/>
    </row>
    <row r="1186" spans="1:11" ht="19">
      <c r="A1186" s="14">
        <v>45989</v>
      </c>
      <c r="B1186" s="83">
        <f>VLOOKUP(A1186,'BADI SID DATA'!A:B,2,0)</f>
        <v>242</v>
      </c>
      <c r="C1186" s="56">
        <v>36600</v>
      </c>
      <c r="D1186" s="54"/>
      <c r="E1186" s="54">
        <v>5.76</v>
      </c>
      <c r="F1186" s="46">
        <v>1</v>
      </c>
      <c r="G1186" s="46">
        <v>1</v>
      </c>
      <c r="H1186" s="81">
        <f t="shared" si="58"/>
        <v>11227548.700000003</v>
      </c>
      <c r="I1186" s="84">
        <f t="shared" si="59"/>
        <v>0.1525</v>
      </c>
      <c r="J1186" s="84">
        <f t="shared" si="57"/>
        <v>0.19331178891184578</v>
      </c>
      <c r="K1186" s="91"/>
    </row>
    <row r="1187" spans="1:11" ht="68">
      <c r="A1187" s="93">
        <v>45990</v>
      </c>
      <c r="B1187" s="94">
        <f>VLOOKUP(A1187,'BADI SID DATA'!A:B,2,0)</f>
        <v>243</v>
      </c>
      <c r="C1187" s="95">
        <v>12600</v>
      </c>
      <c r="D1187" s="95"/>
      <c r="E1187" s="95">
        <v>1.6</v>
      </c>
      <c r="F1187" s="96">
        <v>1</v>
      </c>
      <c r="G1187" s="96">
        <v>1</v>
      </c>
      <c r="H1187" s="95">
        <f t="shared" si="58"/>
        <v>11240148.700000003</v>
      </c>
      <c r="I1187" s="97">
        <f t="shared" si="59"/>
        <v>5.2499999999999998E-2</v>
      </c>
      <c r="J1187" s="97">
        <f t="shared" si="57"/>
        <v>0.19273231652949252</v>
      </c>
      <c r="K1187" s="98" t="s">
        <v>98</v>
      </c>
    </row>
    <row r="1188" spans="1:11" ht="68">
      <c r="A1188" s="93">
        <v>45991</v>
      </c>
      <c r="B1188" s="94">
        <f>VLOOKUP(A1188,'BADI SID DATA'!A:B,2,0)</f>
        <v>244</v>
      </c>
      <c r="C1188" s="95">
        <v>12600</v>
      </c>
      <c r="D1188" s="95"/>
      <c r="E1188" s="95">
        <v>1.98</v>
      </c>
      <c r="F1188" s="96">
        <v>1</v>
      </c>
      <c r="G1188" s="96">
        <v>1</v>
      </c>
      <c r="H1188" s="95">
        <f t="shared" si="58"/>
        <v>11252748.700000003</v>
      </c>
      <c r="I1188" s="97">
        <f t="shared" si="59"/>
        <v>5.2499999999999998E-2</v>
      </c>
      <c r="J1188" s="97">
        <f t="shared" si="57"/>
        <v>0.19215759392076509</v>
      </c>
      <c r="K1188" s="98" t="s">
        <v>98</v>
      </c>
    </row>
    <row r="1189" spans="1:11" ht="51">
      <c r="A1189" s="93">
        <v>45992</v>
      </c>
      <c r="B1189" s="94">
        <f>VLOOKUP(A1189,'BADI SID DATA'!A:B,2,0)</f>
        <v>245</v>
      </c>
      <c r="C1189" s="95">
        <v>13220</v>
      </c>
      <c r="D1189" s="95"/>
      <c r="E1189" s="95">
        <v>1.83</v>
      </c>
      <c r="F1189" s="96">
        <v>1</v>
      </c>
      <c r="G1189" s="96">
        <v>1</v>
      </c>
      <c r="H1189" s="95">
        <f t="shared" si="58"/>
        <v>11265968.700000003</v>
      </c>
      <c r="I1189" s="97">
        <f t="shared" si="59"/>
        <v>5.5083333333333331E-2</v>
      </c>
      <c r="J1189" s="97">
        <f t="shared" si="57"/>
        <v>0.19159810714285719</v>
      </c>
      <c r="K1189" s="98" t="s">
        <v>115</v>
      </c>
    </row>
    <row r="1190" spans="1:11" ht="19">
      <c r="A1190" s="14">
        <v>45993</v>
      </c>
      <c r="B1190" s="83">
        <f>VLOOKUP(A1190,'BADI SID DATA'!A:B,2,0)</f>
        <v>246</v>
      </c>
      <c r="C1190" s="95">
        <v>23400</v>
      </c>
      <c r="D1190" s="95"/>
      <c r="E1190" s="95">
        <v>6.45</v>
      </c>
      <c r="F1190" s="46">
        <v>1</v>
      </c>
      <c r="G1190" s="46">
        <v>1</v>
      </c>
      <c r="H1190" s="81">
        <f t="shared" si="58"/>
        <v>11289368.700000003</v>
      </c>
      <c r="I1190" s="84">
        <f t="shared" si="59"/>
        <v>9.7500000000000003E-2</v>
      </c>
      <c r="J1190" s="84">
        <f t="shared" si="57"/>
        <v>0.19121559451219516</v>
      </c>
      <c r="K1190" s="91"/>
    </row>
    <row r="1191" spans="1:11" ht="19">
      <c r="A1191" s="14">
        <v>45994</v>
      </c>
      <c r="B1191" s="83">
        <f>VLOOKUP(A1191,'BADI SID DATA'!A:B,2,0)</f>
        <v>247</v>
      </c>
      <c r="C1191" s="56">
        <v>27000</v>
      </c>
      <c r="D1191" s="54"/>
      <c r="E1191" s="54">
        <v>5.65</v>
      </c>
      <c r="F1191" s="46">
        <v>1</v>
      </c>
      <c r="G1191" s="46">
        <v>1</v>
      </c>
      <c r="H1191" s="81">
        <f t="shared" si="58"/>
        <v>11316368.700000003</v>
      </c>
      <c r="I1191" s="84">
        <f t="shared" si="59"/>
        <v>0.1125</v>
      </c>
      <c r="J1191" s="84">
        <f t="shared" si="57"/>
        <v>0.1908969078947369</v>
      </c>
      <c r="K1191" s="91"/>
    </row>
    <row r="1192" spans="1:11" ht="19">
      <c r="A1192" s="14">
        <v>45995</v>
      </c>
      <c r="B1192" s="83">
        <f>VLOOKUP(A1192,'BADI SID DATA'!A:B,2,0)</f>
        <v>248</v>
      </c>
      <c r="C1192" s="56">
        <v>37800</v>
      </c>
      <c r="D1192" s="54"/>
      <c r="E1192" s="54">
        <v>5.76</v>
      </c>
      <c r="F1192" s="46">
        <v>1</v>
      </c>
      <c r="G1192" s="46">
        <v>1</v>
      </c>
      <c r="H1192" s="81">
        <f t="shared" si="58"/>
        <v>11354168.700000003</v>
      </c>
      <c r="I1192" s="84">
        <f t="shared" si="59"/>
        <v>0.1575</v>
      </c>
      <c r="J1192" s="84">
        <f t="shared" si="57"/>
        <v>0.19076224294354843</v>
      </c>
      <c r="K1192" s="91"/>
    </row>
    <row r="1193" spans="1:11" ht="51">
      <c r="A1193" s="14">
        <v>45996</v>
      </c>
      <c r="B1193" s="83">
        <f>VLOOKUP(A1193,'BADI SID DATA'!A:B,2,0)</f>
        <v>249</v>
      </c>
      <c r="C1193" s="56">
        <v>16800</v>
      </c>
      <c r="D1193" s="54"/>
      <c r="E1193" s="54">
        <v>6.88</v>
      </c>
      <c r="F1193" s="46">
        <v>1</v>
      </c>
      <c r="G1193" s="46">
        <v>1</v>
      </c>
      <c r="H1193" s="81">
        <f t="shared" si="58"/>
        <v>11370968.700000003</v>
      </c>
      <c r="I1193" s="84">
        <f t="shared" si="59"/>
        <v>7.0000000000000007E-2</v>
      </c>
      <c r="J1193" s="84">
        <f t="shared" si="57"/>
        <v>0.1902772540160643</v>
      </c>
      <c r="K1193" s="98" t="s">
        <v>115</v>
      </c>
    </row>
    <row r="1194" spans="1:11" ht="48">
      <c r="A1194" s="14">
        <v>45997</v>
      </c>
      <c r="B1194" s="83">
        <f>VLOOKUP(A1194,'BADI SID DATA'!A:B,2,0)</f>
        <v>250</v>
      </c>
      <c r="C1194" s="56">
        <v>51000</v>
      </c>
      <c r="D1194" s="54"/>
      <c r="E1194" s="54">
        <v>6.94</v>
      </c>
      <c r="F1194" s="46">
        <v>1</v>
      </c>
      <c r="G1194" s="46">
        <v>1</v>
      </c>
      <c r="H1194" s="81">
        <f t="shared" si="58"/>
        <v>11421968.700000003</v>
      </c>
      <c r="I1194" s="84">
        <f t="shared" si="59"/>
        <v>0.21249999999999999</v>
      </c>
      <c r="J1194" s="84">
        <f t="shared" si="57"/>
        <v>0.19036614500000004</v>
      </c>
      <c r="K1194" s="92" t="s">
        <v>116</v>
      </c>
    </row>
    <row r="1195" spans="1:11" ht="48">
      <c r="A1195" s="14">
        <v>45998</v>
      </c>
      <c r="B1195" s="83">
        <f>VLOOKUP(A1195,'BADI SID DATA'!A:B,2,0)</f>
        <v>251</v>
      </c>
      <c r="C1195" s="56">
        <v>39600</v>
      </c>
      <c r="D1195" s="54"/>
      <c r="E1195" s="54">
        <v>5.43</v>
      </c>
      <c r="F1195" s="46">
        <v>1</v>
      </c>
      <c r="G1195" s="46">
        <v>1</v>
      </c>
      <c r="H1195" s="81">
        <f t="shared" si="58"/>
        <v>11461568.700000003</v>
      </c>
      <c r="I1195" s="84">
        <f t="shared" si="59"/>
        <v>0.16500000000000001</v>
      </c>
      <c r="J1195" s="84">
        <f t="shared" si="57"/>
        <v>0.19026508466135464</v>
      </c>
      <c r="K1195" s="92" t="s">
        <v>116</v>
      </c>
    </row>
    <row r="1196" spans="1:11" ht="19">
      <c r="A1196" s="14">
        <v>45999</v>
      </c>
      <c r="B1196" s="83">
        <f>VLOOKUP(A1196,'BADI SID DATA'!A:B,2,0)</f>
        <v>252</v>
      </c>
      <c r="C1196" s="128">
        <v>52200</v>
      </c>
      <c r="D1196" s="54"/>
      <c r="E1196" s="54">
        <v>9.1199999999999992</v>
      </c>
      <c r="F1196" s="46">
        <v>1</v>
      </c>
      <c r="G1196" s="46">
        <v>1</v>
      </c>
      <c r="H1196" s="81">
        <f t="shared" ref="H1196:H1259" si="60">C1196+H1195</f>
        <v>11513768.700000003</v>
      </c>
      <c r="I1196" s="84">
        <f t="shared" ref="I1196:I1259" si="61">C1196/(10*24*1000)</f>
        <v>0.2175</v>
      </c>
      <c r="J1196" s="84">
        <f t="shared" si="57"/>
        <v>0.19037315972222227</v>
      </c>
      <c r="K1196" s="91"/>
    </row>
    <row r="1197" spans="1:11" ht="19">
      <c r="A1197" s="14">
        <v>46000</v>
      </c>
      <c r="B1197" s="83">
        <f>VLOOKUP(A1197,'BADI SID DATA'!A:B,2,0)</f>
        <v>253</v>
      </c>
      <c r="C1197" s="56">
        <v>59400</v>
      </c>
      <c r="D1197" s="54"/>
      <c r="E1197" s="54">
        <v>8.7100000000000009</v>
      </c>
      <c r="F1197" s="46">
        <v>1</v>
      </c>
      <c r="G1197" s="46">
        <v>1</v>
      </c>
      <c r="H1197" s="81">
        <f t="shared" si="60"/>
        <v>11573168.700000003</v>
      </c>
      <c r="I1197" s="84">
        <f t="shared" si="61"/>
        <v>0.2475</v>
      </c>
      <c r="J1197" s="84">
        <f t="shared" si="57"/>
        <v>0.19059895750988148</v>
      </c>
      <c r="K1197" s="91"/>
    </row>
    <row r="1198" spans="1:11" ht="19">
      <c r="A1198" s="14">
        <v>46001</v>
      </c>
      <c r="B1198" s="83">
        <f>VLOOKUP(A1198,'BADI SID DATA'!A:B,2,0)</f>
        <v>254</v>
      </c>
      <c r="C1198" s="56">
        <v>60000</v>
      </c>
      <c r="D1198" s="54"/>
      <c r="E1198" s="54">
        <v>9.39</v>
      </c>
      <c r="F1198" s="46">
        <v>1</v>
      </c>
      <c r="G1198" s="46">
        <v>1</v>
      </c>
      <c r="H1198" s="81">
        <f t="shared" si="60"/>
        <v>11633168.700000003</v>
      </c>
      <c r="I1198" s="84">
        <f t="shared" si="61"/>
        <v>0.25</v>
      </c>
      <c r="J1198" s="84">
        <f t="shared" si="57"/>
        <v>0.19083281988188983</v>
      </c>
      <c r="K1198" s="91"/>
    </row>
    <row r="1199" spans="1:11" ht="19">
      <c r="A1199" s="14">
        <v>46002</v>
      </c>
      <c r="B1199" s="83">
        <f>VLOOKUP(A1199,'BADI SID DATA'!A:B,2,0)</f>
        <v>255</v>
      </c>
      <c r="C1199" s="56">
        <v>63600</v>
      </c>
      <c r="D1199" s="54"/>
      <c r="E1199" s="54">
        <v>8.7100000000000009</v>
      </c>
      <c r="F1199" s="46">
        <v>1</v>
      </c>
      <c r="G1199" s="46">
        <v>1</v>
      </c>
      <c r="H1199" s="81">
        <f t="shared" si="60"/>
        <v>11696768.700000003</v>
      </c>
      <c r="I1199" s="84">
        <f t="shared" si="61"/>
        <v>0.26500000000000001</v>
      </c>
      <c r="J1199" s="84">
        <f t="shared" si="57"/>
        <v>0.1911236715686275</v>
      </c>
      <c r="K1199" s="91"/>
    </row>
    <row r="1200" spans="1:11" ht="19">
      <c r="A1200" s="14">
        <v>46003</v>
      </c>
      <c r="B1200" s="83">
        <f>VLOOKUP(A1200,'BADI SID DATA'!A:B,2,0)</f>
        <v>256</v>
      </c>
      <c r="C1200" s="56">
        <v>59400</v>
      </c>
      <c r="D1200" s="54"/>
      <c r="E1200" s="54">
        <v>10.43</v>
      </c>
      <c r="F1200" s="46">
        <v>1</v>
      </c>
      <c r="G1200" s="46">
        <v>1</v>
      </c>
      <c r="H1200" s="81">
        <f t="shared" si="60"/>
        <v>11756168.700000003</v>
      </c>
      <c r="I1200" s="84">
        <f t="shared" si="61"/>
        <v>0.2475</v>
      </c>
      <c r="J1200" s="84">
        <f t="shared" si="57"/>
        <v>0.19134389160156254</v>
      </c>
      <c r="K1200" s="91"/>
    </row>
    <row r="1201" spans="1:11" ht="19">
      <c r="A1201" s="14">
        <v>46004</v>
      </c>
      <c r="B1201" s="83">
        <f>VLOOKUP(A1201,'BADI SID DATA'!A:B,2,0)</f>
        <v>257</v>
      </c>
      <c r="C1201" s="56">
        <v>66000</v>
      </c>
      <c r="D1201" s="54"/>
      <c r="E1201" s="54">
        <v>9.6300000000000008</v>
      </c>
      <c r="F1201" s="46">
        <v>1</v>
      </c>
      <c r="G1201" s="46">
        <v>1</v>
      </c>
      <c r="H1201" s="81">
        <f t="shared" si="60"/>
        <v>11822168.700000003</v>
      </c>
      <c r="I1201" s="84">
        <f t="shared" si="61"/>
        <v>0.27500000000000002</v>
      </c>
      <c r="J1201" s="84">
        <f t="shared" si="57"/>
        <v>0.1916694017509728</v>
      </c>
      <c r="K1201" s="91"/>
    </row>
    <row r="1202" spans="1:11" ht="112">
      <c r="A1202" s="14">
        <v>46005</v>
      </c>
      <c r="B1202" s="83">
        <f>VLOOKUP(A1202,'BADI SID DATA'!A:B,2,0)</f>
        <v>258</v>
      </c>
      <c r="C1202" s="56">
        <v>4800</v>
      </c>
      <c r="D1202" s="54"/>
      <c r="E1202" s="54">
        <v>2.95</v>
      </c>
      <c r="F1202" s="46">
        <v>1</v>
      </c>
      <c r="G1202" s="46">
        <v>1</v>
      </c>
      <c r="H1202" s="81">
        <f t="shared" si="60"/>
        <v>11826968.700000003</v>
      </c>
      <c r="I1202" s="84">
        <f t="shared" si="61"/>
        <v>0.02</v>
      </c>
      <c r="J1202" s="84">
        <f t="shared" si="57"/>
        <v>0.19100401647286827</v>
      </c>
      <c r="K1202" s="92" t="s">
        <v>117</v>
      </c>
    </row>
    <row r="1203" spans="1:11" ht="19">
      <c r="A1203" s="14">
        <v>46006</v>
      </c>
      <c r="B1203" s="83">
        <f>VLOOKUP(A1203,'BADI SID DATA'!A:B,2,0)</f>
        <v>259</v>
      </c>
      <c r="C1203" s="85">
        <v>63000</v>
      </c>
      <c r="D1203" s="51"/>
      <c r="E1203" s="82">
        <v>9.69</v>
      </c>
      <c r="F1203" s="46">
        <v>1</v>
      </c>
      <c r="G1203" s="46">
        <v>1</v>
      </c>
      <c r="H1203" s="81">
        <f t="shared" si="60"/>
        <v>11889968.700000003</v>
      </c>
      <c r="I1203" s="84">
        <f t="shared" si="61"/>
        <v>0.26250000000000001</v>
      </c>
      <c r="J1203" s="84">
        <f t="shared" si="57"/>
        <v>0.19128006274131279</v>
      </c>
      <c r="K1203" s="91"/>
    </row>
    <row r="1204" spans="1:11" ht="32">
      <c r="A1204" s="14">
        <v>46007</v>
      </c>
      <c r="B1204" s="83">
        <f>VLOOKUP(A1204,'BADI SID DATA'!A:B,2,0)</f>
        <v>260</v>
      </c>
      <c r="C1204" s="56">
        <v>16200</v>
      </c>
      <c r="D1204" s="54"/>
      <c r="E1204" s="54">
        <v>3.07</v>
      </c>
      <c r="F1204" s="46">
        <v>1</v>
      </c>
      <c r="G1204" s="46">
        <v>1</v>
      </c>
      <c r="H1204" s="81">
        <f t="shared" si="60"/>
        <v>11906168.700000003</v>
      </c>
      <c r="I1204" s="84">
        <f t="shared" si="61"/>
        <v>6.7500000000000004E-2</v>
      </c>
      <c r="J1204" s="84">
        <f t="shared" si="57"/>
        <v>0.19080398557692313</v>
      </c>
      <c r="K1204" s="92" t="s">
        <v>97</v>
      </c>
    </row>
    <row r="1205" spans="1:11" ht="19">
      <c r="A1205" s="14">
        <v>46008</v>
      </c>
      <c r="B1205" s="83">
        <f>VLOOKUP(A1205,'BADI SID DATA'!A:B,2,0)</f>
        <v>261</v>
      </c>
      <c r="C1205" s="56">
        <v>53400</v>
      </c>
      <c r="D1205" s="54"/>
      <c r="E1205" s="54">
        <v>9.16</v>
      </c>
      <c r="F1205" s="46">
        <v>1</v>
      </c>
      <c r="G1205" s="46">
        <v>1</v>
      </c>
      <c r="H1205" s="81">
        <f t="shared" si="60"/>
        <v>11959568.700000003</v>
      </c>
      <c r="I1205" s="84">
        <f t="shared" si="61"/>
        <v>0.2225</v>
      </c>
      <c r="J1205" s="84">
        <f t="shared" si="57"/>
        <v>0.19092542624521078</v>
      </c>
      <c r="K1205" s="91"/>
    </row>
    <row r="1206" spans="1:11" ht="19">
      <c r="A1206" s="14">
        <v>46009</v>
      </c>
      <c r="B1206" s="83">
        <f>VLOOKUP(A1206,'BADI SID DATA'!A:B,2,0)</f>
        <v>262</v>
      </c>
      <c r="C1206" s="56">
        <v>61800</v>
      </c>
      <c r="D1206" s="54"/>
      <c r="E1206" s="54">
        <v>9.17</v>
      </c>
      <c r="F1206" s="46">
        <v>1</v>
      </c>
      <c r="G1206" s="46">
        <v>1</v>
      </c>
      <c r="H1206" s="81">
        <f t="shared" si="60"/>
        <v>12021368.700000003</v>
      </c>
      <c r="I1206" s="84">
        <f t="shared" si="61"/>
        <v>0.25750000000000001</v>
      </c>
      <c r="J1206" s="84">
        <f t="shared" si="57"/>
        <v>0.19117952767175578</v>
      </c>
      <c r="K1206" s="91"/>
    </row>
    <row r="1207" spans="1:11" ht="19">
      <c r="A1207" s="14">
        <v>46010</v>
      </c>
      <c r="B1207" s="83">
        <f>VLOOKUP(A1207,'BADI SID DATA'!A:B,2,0)</f>
        <v>263</v>
      </c>
      <c r="C1207" s="56">
        <v>57600</v>
      </c>
      <c r="D1207" s="54"/>
      <c r="E1207" s="54">
        <v>8.0299999999999994</v>
      </c>
      <c r="F1207" s="46">
        <v>1</v>
      </c>
      <c r="G1207" s="46">
        <v>1</v>
      </c>
      <c r="H1207" s="81">
        <f t="shared" si="60"/>
        <v>12078968.700000003</v>
      </c>
      <c r="I1207" s="84">
        <f t="shared" si="61"/>
        <v>0.24</v>
      </c>
      <c r="J1207" s="84">
        <f t="shared" si="57"/>
        <v>0.19136515684410652</v>
      </c>
      <c r="K1207" s="91"/>
    </row>
    <row r="1208" spans="1:11" ht="19">
      <c r="A1208" s="14">
        <v>46011</v>
      </c>
      <c r="B1208" s="83">
        <f>VLOOKUP(A1208,'BADI SID DATA'!A:B,2,0)</f>
        <v>264</v>
      </c>
      <c r="C1208" s="56">
        <v>57000</v>
      </c>
      <c r="D1208" s="54"/>
      <c r="E1208" s="54">
        <v>8.94</v>
      </c>
      <c r="F1208" s="46">
        <v>1</v>
      </c>
      <c r="G1208" s="46">
        <v>1</v>
      </c>
      <c r="H1208" s="81">
        <f t="shared" si="60"/>
        <v>12135968.700000003</v>
      </c>
      <c r="I1208" s="84">
        <f t="shared" si="61"/>
        <v>0.23749999999999999</v>
      </c>
      <c r="J1208" s="84">
        <f t="shared" si="57"/>
        <v>0.19153991003787885</v>
      </c>
      <c r="K1208" s="91"/>
    </row>
    <row r="1209" spans="1:11" ht="19">
      <c r="A1209" s="14">
        <v>46012</v>
      </c>
      <c r="B1209" s="83">
        <f>VLOOKUP(A1209,'BADI SID DATA'!A:B,2,0)</f>
        <v>265</v>
      </c>
      <c r="C1209" s="56">
        <v>58800</v>
      </c>
      <c r="D1209" s="54"/>
      <c r="E1209" s="54">
        <v>9.16</v>
      </c>
      <c r="F1209" s="46">
        <v>1</v>
      </c>
      <c r="G1209" s="46">
        <v>1</v>
      </c>
      <c r="H1209" s="81">
        <f t="shared" si="60"/>
        <v>12194768.700000003</v>
      </c>
      <c r="I1209" s="84">
        <f t="shared" si="61"/>
        <v>0.245</v>
      </c>
      <c r="J1209" s="84">
        <f t="shared" si="57"/>
        <v>0.19174164622641515</v>
      </c>
      <c r="K1209" s="91"/>
    </row>
    <row r="1210" spans="1:11" ht="19">
      <c r="A1210" s="14">
        <v>46013</v>
      </c>
      <c r="B1210" s="83">
        <f>VLOOKUP(A1210,'BADI SID DATA'!A:B,2,0)</f>
        <v>266</v>
      </c>
      <c r="C1210" s="56">
        <v>43800</v>
      </c>
      <c r="D1210" s="54"/>
      <c r="E1210" s="54">
        <v>7.75</v>
      </c>
      <c r="F1210" s="46">
        <v>1</v>
      </c>
      <c r="G1210" s="46">
        <v>1</v>
      </c>
      <c r="H1210" s="81">
        <f t="shared" si="60"/>
        <v>12238568.700000003</v>
      </c>
      <c r="I1210" s="84">
        <f t="shared" si="61"/>
        <v>0.1825</v>
      </c>
      <c r="J1210" s="84">
        <f t="shared" si="57"/>
        <v>0.19170690319548878</v>
      </c>
      <c r="K1210" s="91"/>
    </row>
    <row r="1211" spans="1:11" ht="19">
      <c r="A1211" s="14">
        <v>46014</v>
      </c>
      <c r="B1211" s="83">
        <f>VLOOKUP(A1211,'BADI SID DATA'!A:B,2,0)</f>
        <v>267</v>
      </c>
      <c r="C1211" s="56">
        <v>58200</v>
      </c>
      <c r="D1211" s="54"/>
      <c r="E1211" s="54">
        <v>8.7100000000000009</v>
      </c>
      <c r="F1211" s="46">
        <v>1</v>
      </c>
      <c r="G1211" s="46">
        <v>1</v>
      </c>
      <c r="H1211" s="81">
        <f t="shared" si="60"/>
        <v>12296768.700000003</v>
      </c>
      <c r="I1211" s="84">
        <f t="shared" si="61"/>
        <v>0.24249999999999999</v>
      </c>
      <c r="J1211" s="84">
        <f t="shared" si="57"/>
        <v>0.19189713951310866</v>
      </c>
      <c r="K1211" s="91"/>
    </row>
    <row r="1212" spans="1:11" ht="19">
      <c r="A1212" s="14">
        <v>46015</v>
      </c>
      <c r="B1212" s="83">
        <f>VLOOKUP(A1212,'BADI SID DATA'!A:B,2,0)</f>
        <v>268</v>
      </c>
      <c r="C1212" s="85">
        <v>60000</v>
      </c>
      <c r="D1212" s="51"/>
      <c r="E1212" s="82">
        <v>8.75</v>
      </c>
      <c r="F1212" s="46">
        <v>1</v>
      </c>
      <c r="G1212" s="46">
        <v>1</v>
      </c>
      <c r="H1212" s="81">
        <f t="shared" si="60"/>
        <v>12356768.700000003</v>
      </c>
      <c r="I1212" s="84">
        <f t="shared" si="61"/>
        <v>0.25</v>
      </c>
      <c r="J1212" s="84">
        <f t="shared" si="57"/>
        <v>0.19211394123134334</v>
      </c>
      <c r="K1212" s="91"/>
    </row>
    <row r="1213" spans="1:11" ht="19">
      <c r="A1213" s="14">
        <v>46016</v>
      </c>
      <c r="B1213" s="83">
        <f>VLOOKUP(A1213,'BADI SID DATA'!A:B,2,0)</f>
        <v>269</v>
      </c>
      <c r="C1213" s="85">
        <v>64200</v>
      </c>
      <c r="D1213" s="51"/>
      <c r="E1213" s="82">
        <v>9.23</v>
      </c>
      <c r="F1213" s="46">
        <v>1</v>
      </c>
      <c r="G1213" s="46">
        <v>1</v>
      </c>
      <c r="H1213" s="81">
        <f t="shared" si="60"/>
        <v>12420968.700000003</v>
      </c>
      <c r="I1213" s="84">
        <f t="shared" si="61"/>
        <v>0.26750000000000002</v>
      </c>
      <c r="J1213" s="84">
        <f t="shared" ref="J1213:J1264" si="62">H1213/(24*B1213*10*1000)</f>
        <v>0.19239418680297402</v>
      </c>
      <c r="K1213" s="91"/>
    </row>
    <row r="1214" spans="1:11" ht="19">
      <c r="A1214" s="14">
        <v>46017</v>
      </c>
      <c r="B1214" s="83">
        <f>VLOOKUP(A1214,'BADI SID DATA'!A:B,2,0)</f>
        <v>270</v>
      </c>
      <c r="C1214" s="56">
        <v>55200</v>
      </c>
      <c r="D1214" s="54"/>
      <c r="E1214" s="54">
        <v>9.1999999999999993</v>
      </c>
      <c r="F1214" s="46">
        <v>1</v>
      </c>
      <c r="G1214" s="46">
        <v>1</v>
      </c>
      <c r="H1214" s="81">
        <f t="shared" si="60"/>
        <v>12476168.700000003</v>
      </c>
      <c r="I1214" s="84">
        <f t="shared" si="61"/>
        <v>0.23</v>
      </c>
      <c r="J1214" s="84">
        <f t="shared" si="62"/>
        <v>0.19253346759259263</v>
      </c>
      <c r="K1214" s="91"/>
    </row>
    <row r="1215" spans="1:11" ht="19">
      <c r="A1215" s="14">
        <v>46018</v>
      </c>
      <c r="B1215" s="83">
        <f>VLOOKUP(A1215,'BADI SID DATA'!A:B,2,0)</f>
        <v>271</v>
      </c>
      <c r="C1215" s="56">
        <v>62400</v>
      </c>
      <c r="D1215" s="54"/>
      <c r="E1215" s="54">
        <v>9.68</v>
      </c>
      <c r="F1215" s="46">
        <v>1</v>
      </c>
      <c r="G1215" s="46">
        <v>1</v>
      </c>
      <c r="H1215" s="81">
        <f t="shared" si="60"/>
        <v>12538568.700000003</v>
      </c>
      <c r="I1215" s="84">
        <f t="shared" si="61"/>
        <v>0.26</v>
      </c>
      <c r="J1215" s="84">
        <f t="shared" si="62"/>
        <v>0.19278242158671591</v>
      </c>
      <c r="K1215" s="91"/>
    </row>
    <row r="1216" spans="1:11" ht="19">
      <c r="A1216" s="14">
        <v>46019</v>
      </c>
      <c r="B1216" s="83">
        <f>VLOOKUP(A1216,'BADI SID DATA'!A:B,2,0)</f>
        <v>272</v>
      </c>
      <c r="C1216" s="56">
        <v>50400</v>
      </c>
      <c r="D1216" s="54"/>
      <c r="E1216" s="54">
        <v>8.98</v>
      </c>
      <c r="F1216" s="46">
        <v>1</v>
      </c>
      <c r="G1216" s="46">
        <v>1</v>
      </c>
      <c r="H1216" s="81">
        <f t="shared" si="60"/>
        <v>12588968.700000003</v>
      </c>
      <c r="I1216" s="84">
        <f t="shared" si="61"/>
        <v>0.21</v>
      </c>
      <c r="J1216" s="84">
        <f t="shared" si="62"/>
        <v>0.19284572150735299</v>
      </c>
      <c r="K1216" s="91"/>
    </row>
    <row r="1217" spans="1:11" ht="19">
      <c r="A1217" s="14">
        <v>46020</v>
      </c>
      <c r="B1217" s="83">
        <f>VLOOKUP(A1217,'BADI SID DATA'!A:B,2,0)</f>
        <v>273</v>
      </c>
      <c r="C1217" s="56">
        <v>59400</v>
      </c>
      <c r="D1217" s="54"/>
      <c r="E1217" s="54">
        <v>8.3699999999999992</v>
      </c>
      <c r="F1217" s="46">
        <v>1</v>
      </c>
      <c r="G1217" s="46">
        <v>1</v>
      </c>
      <c r="H1217" s="81">
        <f t="shared" si="60"/>
        <v>12648368.700000003</v>
      </c>
      <c r="I1217" s="84">
        <f t="shared" si="61"/>
        <v>0.2475</v>
      </c>
      <c r="J1217" s="84">
        <f t="shared" si="62"/>
        <v>0.19304592032967038</v>
      </c>
      <c r="K1217" s="91"/>
    </row>
    <row r="1218" spans="1:11" ht="19">
      <c r="A1218" s="14">
        <v>46021</v>
      </c>
      <c r="B1218" s="83">
        <f>VLOOKUP(A1218,'BADI SID DATA'!A:B,2,0)</f>
        <v>274</v>
      </c>
      <c r="C1218" s="56">
        <v>54000</v>
      </c>
      <c r="D1218" s="54"/>
      <c r="E1218" s="54">
        <v>9.39</v>
      </c>
      <c r="F1218" s="46">
        <v>1</v>
      </c>
      <c r="G1218" s="46">
        <v>1</v>
      </c>
      <c r="H1218" s="81">
        <f t="shared" si="60"/>
        <v>12702368.700000003</v>
      </c>
      <c r="I1218" s="84">
        <f t="shared" si="61"/>
        <v>0.22500000000000001</v>
      </c>
      <c r="J1218" s="84">
        <f t="shared" si="62"/>
        <v>0.1931625410583942</v>
      </c>
      <c r="K1218" s="91"/>
    </row>
    <row r="1219" spans="1:11" ht="19">
      <c r="A1219" s="14">
        <v>46022</v>
      </c>
      <c r="B1219" s="83">
        <f>VLOOKUP(A1219,'BADI SID DATA'!A:B,2,0)</f>
        <v>275</v>
      </c>
      <c r="C1219" s="56">
        <v>46800</v>
      </c>
      <c r="D1219" s="54"/>
      <c r="E1219" s="54">
        <v>8.7200000000000006</v>
      </c>
      <c r="F1219" s="46">
        <v>1</v>
      </c>
      <c r="G1219" s="46">
        <v>1</v>
      </c>
      <c r="H1219" s="81">
        <f t="shared" si="60"/>
        <v>12749168.700000003</v>
      </c>
      <c r="I1219" s="84">
        <f t="shared" si="61"/>
        <v>0.19500000000000001</v>
      </c>
      <c r="J1219" s="84">
        <f t="shared" si="62"/>
        <v>0.19316922272727277</v>
      </c>
      <c r="K1219" s="91"/>
    </row>
    <row r="1220" spans="1:11" ht="32">
      <c r="A1220" s="14">
        <v>46023</v>
      </c>
      <c r="B1220" s="83">
        <f>VLOOKUP(A1220,'BADI SID DATA'!A:B,2,0)</f>
        <v>276</v>
      </c>
      <c r="C1220" s="56">
        <v>29739</v>
      </c>
      <c r="D1220" s="54"/>
      <c r="E1220" s="54">
        <v>3.6</v>
      </c>
      <c r="F1220" s="46">
        <v>1</v>
      </c>
      <c r="G1220" s="46">
        <v>1</v>
      </c>
      <c r="H1220" s="81">
        <f t="shared" si="60"/>
        <v>12778907.700000003</v>
      </c>
      <c r="I1220" s="84">
        <f t="shared" si="61"/>
        <v>0.12391249999999999</v>
      </c>
      <c r="J1220" s="84">
        <f t="shared" si="62"/>
        <v>0.19291829257246382</v>
      </c>
      <c r="K1220" s="92" t="s">
        <v>97</v>
      </c>
    </row>
    <row r="1221" spans="1:11" ht="32">
      <c r="A1221" s="14">
        <v>46024</v>
      </c>
      <c r="B1221" s="83">
        <f>VLOOKUP(A1221,'BADI SID DATA'!A:B,2,0)</f>
        <v>277</v>
      </c>
      <c r="C1221" s="56">
        <v>43800</v>
      </c>
      <c r="D1221" s="54"/>
      <c r="E1221" s="54">
        <v>5.33</v>
      </c>
      <c r="F1221" s="46">
        <v>1</v>
      </c>
      <c r="G1221" s="46">
        <v>1</v>
      </c>
      <c r="H1221" s="81">
        <f t="shared" si="60"/>
        <v>12822707.700000003</v>
      </c>
      <c r="I1221" s="84">
        <f t="shared" si="61"/>
        <v>0.1825</v>
      </c>
      <c r="J1221" s="84">
        <f t="shared" si="62"/>
        <v>0.19288068140794229</v>
      </c>
      <c r="K1221" s="92" t="s">
        <v>97</v>
      </c>
    </row>
    <row r="1222" spans="1:11" ht="19">
      <c r="A1222" s="14">
        <v>46025</v>
      </c>
      <c r="B1222" s="83">
        <f>VLOOKUP(A1222,'BADI SID DATA'!A:B,2,0)</f>
        <v>278</v>
      </c>
      <c r="C1222" s="56">
        <v>52800</v>
      </c>
      <c r="D1222" s="54"/>
      <c r="E1222" s="54">
        <v>9.2100000000000009</v>
      </c>
      <c r="F1222" s="46">
        <v>1</v>
      </c>
      <c r="G1222" s="46">
        <v>1</v>
      </c>
      <c r="H1222" s="81">
        <f t="shared" si="60"/>
        <v>12875507.700000003</v>
      </c>
      <c r="I1222" s="84">
        <f t="shared" si="61"/>
        <v>0.22</v>
      </c>
      <c r="J1222" s="84">
        <f t="shared" si="62"/>
        <v>0.19297823291366911</v>
      </c>
      <c r="K1222" s="91"/>
    </row>
    <row r="1223" spans="1:11" ht="19">
      <c r="A1223" s="14">
        <v>46026</v>
      </c>
      <c r="B1223" s="83">
        <f>VLOOKUP(A1223,'BADI SID DATA'!A:B,2,0)</f>
        <v>279</v>
      </c>
      <c r="C1223" s="56">
        <v>57000</v>
      </c>
      <c r="D1223" s="54"/>
      <c r="E1223" s="54">
        <v>9.77</v>
      </c>
      <c r="F1223" s="46">
        <v>1</v>
      </c>
      <c r="G1223" s="46">
        <v>1</v>
      </c>
      <c r="H1223" s="81">
        <f t="shared" si="60"/>
        <v>12932507.700000003</v>
      </c>
      <c r="I1223" s="84">
        <f t="shared" si="61"/>
        <v>0.23749999999999999</v>
      </c>
      <c r="J1223" s="84">
        <f t="shared" si="62"/>
        <v>0.19313780913978498</v>
      </c>
      <c r="K1223" s="91"/>
    </row>
    <row r="1224" spans="1:11" ht="19">
      <c r="A1224" s="14">
        <v>46027</v>
      </c>
      <c r="B1224" s="83">
        <f>VLOOKUP(A1224,'BADI SID DATA'!A:B,2,0)</f>
        <v>280</v>
      </c>
      <c r="C1224" s="56">
        <v>62400</v>
      </c>
      <c r="D1224" s="54"/>
      <c r="E1224" s="54">
        <v>8.98</v>
      </c>
      <c r="F1224" s="46">
        <v>1</v>
      </c>
      <c r="G1224" s="46">
        <v>1</v>
      </c>
      <c r="H1224" s="81">
        <f t="shared" si="60"/>
        <v>12994907.700000003</v>
      </c>
      <c r="I1224" s="84">
        <f t="shared" si="61"/>
        <v>0.26</v>
      </c>
      <c r="J1224" s="84">
        <f t="shared" si="62"/>
        <v>0.19337660267857149</v>
      </c>
      <c r="K1224" s="91"/>
    </row>
    <row r="1225" spans="1:11" ht="19">
      <c r="A1225" s="14">
        <v>46028</v>
      </c>
      <c r="B1225" s="83">
        <f>VLOOKUP(A1225,'BADI SID DATA'!A:B,2,0)</f>
        <v>281</v>
      </c>
      <c r="C1225" s="56"/>
      <c r="D1225" s="54"/>
      <c r="E1225" s="54"/>
      <c r="F1225" s="46">
        <v>1</v>
      </c>
      <c r="G1225" s="46">
        <v>1</v>
      </c>
      <c r="H1225" s="81">
        <f t="shared" si="60"/>
        <v>12994907.700000003</v>
      </c>
      <c r="I1225" s="84">
        <f t="shared" si="61"/>
        <v>0</v>
      </c>
      <c r="J1225" s="84">
        <f t="shared" si="62"/>
        <v>0.19268842971530253</v>
      </c>
      <c r="K1225" s="91"/>
    </row>
    <row r="1226" spans="1:11" ht="19">
      <c r="A1226" s="14">
        <v>46029</v>
      </c>
      <c r="B1226" s="83">
        <f>VLOOKUP(A1226,'BADI SID DATA'!A:B,2,0)</f>
        <v>282</v>
      </c>
      <c r="C1226" s="56"/>
      <c r="D1226" s="54"/>
      <c r="E1226" s="54"/>
      <c r="F1226" s="46">
        <v>1</v>
      </c>
      <c r="G1226" s="46">
        <v>1</v>
      </c>
      <c r="H1226" s="81">
        <f t="shared" si="60"/>
        <v>12994907.700000003</v>
      </c>
      <c r="I1226" s="84">
        <f t="shared" si="61"/>
        <v>0</v>
      </c>
      <c r="J1226" s="84">
        <f t="shared" si="62"/>
        <v>0.19200513741134756</v>
      </c>
      <c r="K1226" s="91"/>
    </row>
    <row r="1227" spans="1:11" ht="19">
      <c r="A1227" s="14">
        <v>46030</v>
      </c>
      <c r="B1227" s="83">
        <f>VLOOKUP(A1227,'BADI SID DATA'!A:B,2,0)</f>
        <v>283</v>
      </c>
      <c r="C1227" s="56"/>
      <c r="D1227" s="54"/>
      <c r="E1227" s="54"/>
      <c r="F1227" s="46">
        <v>1</v>
      </c>
      <c r="G1227" s="46">
        <v>1</v>
      </c>
      <c r="H1227" s="81">
        <f t="shared" si="60"/>
        <v>12994907.700000003</v>
      </c>
      <c r="I1227" s="84">
        <f t="shared" si="61"/>
        <v>0</v>
      </c>
      <c r="J1227" s="84">
        <f t="shared" si="62"/>
        <v>0.19132667402826858</v>
      </c>
      <c r="K1227" s="91"/>
    </row>
    <row r="1228" spans="1:11" ht="19">
      <c r="A1228" s="14">
        <v>46031</v>
      </c>
      <c r="B1228" s="83">
        <f>VLOOKUP(A1228,'BADI SID DATA'!A:B,2,0)</f>
        <v>284</v>
      </c>
      <c r="C1228" s="56"/>
      <c r="D1228" s="54"/>
      <c r="E1228" s="54"/>
      <c r="F1228" s="46">
        <v>1</v>
      </c>
      <c r="G1228" s="46">
        <v>1</v>
      </c>
      <c r="H1228" s="81">
        <f t="shared" si="60"/>
        <v>12994907.700000003</v>
      </c>
      <c r="I1228" s="84">
        <f t="shared" si="61"/>
        <v>0</v>
      </c>
      <c r="J1228" s="84">
        <f t="shared" si="62"/>
        <v>0.19065298855633808</v>
      </c>
      <c r="K1228" s="91"/>
    </row>
    <row r="1229" spans="1:11" ht="19">
      <c r="A1229" s="14">
        <v>46032</v>
      </c>
      <c r="B1229" s="83">
        <f>VLOOKUP(A1229,'BADI SID DATA'!A:B,2,0)</f>
        <v>285</v>
      </c>
      <c r="C1229" s="56"/>
      <c r="D1229" s="54"/>
      <c r="E1229" s="54"/>
      <c r="F1229" s="46">
        <v>1</v>
      </c>
      <c r="G1229" s="46">
        <v>1</v>
      </c>
      <c r="H1229" s="81">
        <f t="shared" si="60"/>
        <v>12994907.700000003</v>
      </c>
      <c r="I1229" s="84">
        <f t="shared" si="61"/>
        <v>0</v>
      </c>
      <c r="J1229" s="84">
        <f t="shared" si="62"/>
        <v>0.18998403070175443</v>
      </c>
      <c r="K1229" s="91"/>
    </row>
    <row r="1230" spans="1:11" ht="19">
      <c r="A1230" s="14">
        <v>46033</v>
      </c>
      <c r="B1230" s="83">
        <f>VLOOKUP(A1230,'BADI SID DATA'!A:B,2,0)</f>
        <v>286</v>
      </c>
      <c r="C1230" s="56"/>
      <c r="D1230" s="54"/>
      <c r="E1230" s="54"/>
      <c r="F1230" s="46">
        <v>1</v>
      </c>
      <c r="G1230" s="46">
        <v>1</v>
      </c>
      <c r="H1230" s="81">
        <f t="shared" si="60"/>
        <v>12994907.700000003</v>
      </c>
      <c r="I1230" s="84">
        <f t="shared" si="61"/>
        <v>0</v>
      </c>
      <c r="J1230" s="84">
        <f t="shared" si="62"/>
        <v>0.18931975087412592</v>
      </c>
      <c r="K1230" s="91"/>
    </row>
    <row r="1231" spans="1:11" ht="19">
      <c r="A1231" s="14">
        <v>46034</v>
      </c>
      <c r="B1231" s="83">
        <f>VLOOKUP(A1231,'BADI SID DATA'!A:B,2,0)</f>
        <v>287</v>
      </c>
      <c r="C1231" s="56"/>
      <c r="D1231" s="54"/>
      <c r="E1231" s="54"/>
      <c r="F1231" s="46">
        <v>1</v>
      </c>
      <c r="G1231" s="46">
        <v>1</v>
      </c>
      <c r="H1231" s="81">
        <f t="shared" si="60"/>
        <v>12994907.700000003</v>
      </c>
      <c r="I1231" s="84">
        <f t="shared" si="61"/>
        <v>0</v>
      </c>
      <c r="J1231" s="84">
        <f t="shared" si="62"/>
        <v>0.18866010017421608</v>
      </c>
      <c r="K1231" s="91"/>
    </row>
    <row r="1232" spans="1:11" ht="19">
      <c r="A1232" s="14">
        <v>46035</v>
      </c>
      <c r="B1232" s="83">
        <f>VLOOKUP(A1232,'BADI SID DATA'!A:B,2,0)</f>
        <v>288</v>
      </c>
      <c r="C1232" s="56"/>
      <c r="D1232" s="54"/>
      <c r="E1232" s="54"/>
      <c r="F1232" s="46">
        <v>1</v>
      </c>
      <c r="G1232" s="46">
        <v>1</v>
      </c>
      <c r="H1232" s="81">
        <f t="shared" si="60"/>
        <v>12994907.700000003</v>
      </c>
      <c r="I1232" s="84">
        <f t="shared" si="61"/>
        <v>0</v>
      </c>
      <c r="J1232" s="84">
        <f t="shared" si="62"/>
        <v>0.18800503038194449</v>
      </c>
      <c r="K1232" s="91"/>
    </row>
    <row r="1233" spans="1:11" ht="19">
      <c r="A1233" s="14">
        <v>46036</v>
      </c>
      <c r="B1233" s="83">
        <f>VLOOKUP(A1233,'BADI SID DATA'!A:B,2,0)</f>
        <v>289</v>
      </c>
      <c r="C1233" s="56"/>
      <c r="D1233" s="54"/>
      <c r="E1233" s="54"/>
      <c r="F1233" s="46">
        <v>1</v>
      </c>
      <c r="G1233" s="46">
        <v>1</v>
      </c>
      <c r="H1233" s="81">
        <f t="shared" si="60"/>
        <v>12994907.700000003</v>
      </c>
      <c r="I1233" s="84">
        <f t="shared" si="61"/>
        <v>0</v>
      </c>
      <c r="J1233" s="84">
        <f t="shared" si="62"/>
        <v>0.18735449394463671</v>
      </c>
      <c r="K1233" s="91"/>
    </row>
    <row r="1234" spans="1:11" ht="19">
      <c r="A1234" s="14">
        <v>46037</v>
      </c>
      <c r="B1234" s="83">
        <f>VLOOKUP(A1234,'BADI SID DATA'!A:B,2,0)</f>
        <v>290</v>
      </c>
      <c r="C1234" s="56"/>
      <c r="D1234" s="54"/>
      <c r="E1234" s="54"/>
      <c r="F1234" s="46">
        <v>1</v>
      </c>
      <c r="G1234" s="46">
        <v>1</v>
      </c>
      <c r="H1234" s="81">
        <f t="shared" si="60"/>
        <v>12994907.700000003</v>
      </c>
      <c r="I1234" s="84">
        <f t="shared" si="61"/>
        <v>0</v>
      </c>
      <c r="J1234" s="84">
        <f t="shared" si="62"/>
        <v>0.18670844396551728</v>
      </c>
      <c r="K1234" s="91"/>
    </row>
    <row r="1235" spans="1:11" ht="19">
      <c r="A1235" s="14">
        <v>46038</v>
      </c>
      <c r="B1235" s="83">
        <f>VLOOKUP(A1235,'BADI SID DATA'!A:B,2,0)</f>
        <v>291</v>
      </c>
      <c r="C1235" s="56"/>
      <c r="D1235" s="54"/>
      <c r="E1235" s="54"/>
      <c r="F1235" s="46">
        <v>1</v>
      </c>
      <c r="G1235" s="46">
        <v>1</v>
      </c>
      <c r="H1235" s="81">
        <f t="shared" si="60"/>
        <v>12994907.700000003</v>
      </c>
      <c r="I1235" s="84">
        <f t="shared" si="61"/>
        <v>0</v>
      </c>
      <c r="J1235" s="84">
        <f t="shared" si="62"/>
        <v>0.18606683419243991</v>
      </c>
      <c r="K1235" s="91"/>
    </row>
    <row r="1236" spans="1:11" ht="19">
      <c r="A1236" s="14">
        <v>46039</v>
      </c>
      <c r="B1236" s="83">
        <f>VLOOKUP(A1236,'BADI SID DATA'!A:B,2,0)</f>
        <v>292</v>
      </c>
      <c r="C1236" s="56"/>
      <c r="D1236" s="54"/>
      <c r="E1236" s="54"/>
      <c r="F1236" s="46">
        <v>1</v>
      </c>
      <c r="G1236" s="46">
        <v>1</v>
      </c>
      <c r="H1236" s="81">
        <f t="shared" si="60"/>
        <v>12994907.700000003</v>
      </c>
      <c r="I1236" s="84">
        <f t="shared" si="61"/>
        <v>0</v>
      </c>
      <c r="J1236" s="84">
        <f t="shared" si="62"/>
        <v>0.18542961900684934</v>
      </c>
      <c r="K1236" s="91"/>
    </row>
    <row r="1237" spans="1:11" ht="19">
      <c r="A1237" s="14">
        <v>46040</v>
      </c>
      <c r="B1237" s="83">
        <f>VLOOKUP(A1237,'BADI SID DATA'!A:B,2,0)</f>
        <v>293</v>
      </c>
      <c r="C1237" s="56"/>
      <c r="D1237" s="54"/>
      <c r="E1237" s="54"/>
      <c r="F1237" s="46">
        <v>1</v>
      </c>
      <c r="G1237" s="46">
        <v>1</v>
      </c>
      <c r="H1237" s="81">
        <f t="shared" si="60"/>
        <v>12994907.700000003</v>
      </c>
      <c r="I1237" s="84">
        <f t="shared" si="61"/>
        <v>0</v>
      </c>
      <c r="J1237" s="84">
        <f t="shared" si="62"/>
        <v>0.18479675341296933</v>
      </c>
      <c r="K1237" s="91"/>
    </row>
    <row r="1238" spans="1:11" ht="19">
      <c r="A1238" s="14">
        <v>46041</v>
      </c>
      <c r="B1238" s="83">
        <f>VLOOKUP(A1238,'BADI SID DATA'!A:B,2,0)</f>
        <v>294</v>
      </c>
      <c r="C1238" s="56"/>
      <c r="D1238" s="54"/>
      <c r="E1238" s="54"/>
      <c r="F1238" s="46">
        <v>1</v>
      </c>
      <c r="G1238" s="46">
        <v>1</v>
      </c>
      <c r="H1238" s="81">
        <f t="shared" si="60"/>
        <v>12994907.700000003</v>
      </c>
      <c r="I1238" s="84">
        <f t="shared" si="61"/>
        <v>0</v>
      </c>
      <c r="J1238" s="84">
        <f t="shared" si="62"/>
        <v>0.18416819302721094</v>
      </c>
      <c r="K1238" s="91"/>
    </row>
    <row r="1239" spans="1:11" ht="19">
      <c r="A1239" s="14">
        <v>46042</v>
      </c>
      <c r="B1239" s="83">
        <f>VLOOKUP(A1239,'BADI SID DATA'!A:B,2,0)</f>
        <v>295</v>
      </c>
      <c r="C1239" s="56"/>
      <c r="D1239" s="54"/>
      <c r="E1239" s="54"/>
      <c r="F1239" s="46">
        <v>1</v>
      </c>
      <c r="G1239" s="46">
        <v>1</v>
      </c>
      <c r="H1239" s="81">
        <f t="shared" si="60"/>
        <v>12994907.700000003</v>
      </c>
      <c r="I1239" s="84">
        <f t="shared" si="61"/>
        <v>0</v>
      </c>
      <c r="J1239" s="84">
        <f t="shared" si="62"/>
        <v>0.18354389406779664</v>
      </c>
      <c r="K1239" s="91"/>
    </row>
    <row r="1240" spans="1:11" ht="19">
      <c r="A1240" s="14">
        <v>46043</v>
      </c>
      <c r="B1240" s="83">
        <f>VLOOKUP(A1240,'BADI SID DATA'!A:B,2,0)</f>
        <v>296</v>
      </c>
      <c r="C1240" s="56"/>
      <c r="D1240" s="54"/>
      <c r="E1240" s="54"/>
      <c r="F1240" s="46">
        <v>1</v>
      </c>
      <c r="G1240" s="46">
        <v>1</v>
      </c>
      <c r="H1240" s="81">
        <f t="shared" si="60"/>
        <v>12994907.700000003</v>
      </c>
      <c r="I1240" s="84">
        <f t="shared" si="61"/>
        <v>0</v>
      </c>
      <c r="J1240" s="84">
        <f t="shared" si="62"/>
        <v>0.18292381334459465</v>
      </c>
      <c r="K1240" s="91"/>
    </row>
    <row r="1241" spans="1:11" ht="19">
      <c r="A1241" s="14">
        <v>46044</v>
      </c>
      <c r="B1241" s="83">
        <f>VLOOKUP(A1241,'BADI SID DATA'!A:B,2,0)</f>
        <v>297</v>
      </c>
      <c r="C1241" s="56"/>
      <c r="D1241" s="54"/>
      <c r="E1241" s="54"/>
      <c r="F1241" s="46">
        <v>1</v>
      </c>
      <c r="G1241" s="46">
        <v>1</v>
      </c>
      <c r="H1241" s="81">
        <f t="shared" si="60"/>
        <v>12994907.700000003</v>
      </c>
      <c r="I1241" s="84">
        <f t="shared" si="61"/>
        <v>0</v>
      </c>
      <c r="J1241" s="84">
        <f t="shared" si="62"/>
        <v>0.1823079082491583</v>
      </c>
      <c r="K1241" s="91"/>
    </row>
    <row r="1242" spans="1:11" ht="19">
      <c r="A1242" s="14">
        <v>46045</v>
      </c>
      <c r="B1242" s="83">
        <f>VLOOKUP(A1242,'BADI SID DATA'!A:B,2,0)</f>
        <v>298</v>
      </c>
      <c r="C1242" s="56"/>
      <c r="D1242" s="54"/>
      <c r="E1242" s="54"/>
      <c r="F1242" s="46">
        <v>1</v>
      </c>
      <c r="G1242" s="46">
        <v>1</v>
      </c>
      <c r="H1242" s="81">
        <f t="shared" si="60"/>
        <v>12994907.700000003</v>
      </c>
      <c r="I1242" s="84">
        <f t="shared" si="61"/>
        <v>0</v>
      </c>
      <c r="J1242" s="84">
        <f t="shared" si="62"/>
        <v>0.18169613674496649</v>
      </c>
      <c r="K1242" s="91"/>
    </row>
    <row r="1243" spans="1:11" ht="19">
      <c r="A1243" s="14">
        <v>46046</v>
      </c>
      <c r="B1243" s="83">
        <f>VLOOKUP(A1243,'BADI SID DATA'!A:B,2,0)</f>
        <v>299</v>
      </c>
      <c r="C1243" s="56"/>
      <c r="D1243" s="54"/>
      <c r="E1243" s="54"/>
      <c r="F1243" s="46">
        <v>1</v>
      </c>
      <c r="G1243" s="46">
        <v>1</v>
      </c>
      <c r="H1243" s="81">
        <f t="shared" si="60"/>
        <v>12994907.700000003</v>
      </c>
      <c r="I1243" s="84">
        <f t="shared" si="61"/>
        <v>0</v>
      </c>
      <c r="J1243" s="84">
        <f t="shared" si="62"/>
        <v>0.18108845735785958</v>
      </c>
      <c r="K1243" s="91"/>
    </row>
    <row r="1244" spans="1:11" ht="19">
      <c r="A1244" s="14">
        <v>46047</v>
      </c>
      <c r="B1244" s="83">
        <f>VLOOKUP(A1244,'BADI SID DATA'!A:B,2,0)</f>
        <v>300</v>
      </c>
      <c r="C1244" s="56"/>
      <c r="D1244" s="54"/>
      <c r="E1244" s="54"/>
      <c r="F1244" s="46">
        <v>1</v>
      </c>
      <c r="G1244" s="46">
        <v>1</v>
      </c>
      <c r="H1244" s="81">
        <f t="shared" si="60"/>
        <v>12994907.700000003</v>
      </c>
      <c r="I1244" s="84">
        <f t="shared" si="61"/>
        <v>0</v>
      </c>
      <c r="J1244" s="84">
        <f t="shared" si="62"/>
        <v>0.18048482916666672</v>
      </c>
      <c r="K1244" s="91"/>
    </row>
    <row r="1245" spans="1:11" ht="19">
      <c r="A1245" s="14">
        <v>46048</v>
      </c>
      <c r="B1245" s="83">
        <f>VLOOKUP(A1245,'BADI SID DATA'!A:B,2,0)</f>
        <v>301</v>
      </c>
      <c r="C1245" s="56"/>
      <c r="D1245" s="54"/>
      <c r="E1245" s="54"/>
      <c r="F1245" s="46">
        <v>1</v>
      </c>
      <c r="G1245" s="46">
        <v>1</v>
      </c>
      <c r="H1245" s="81">
        <f t="shared" si="60"/>
        <v>12994907.700000003</v>
      </c>
      <c r="I1245" s="84">
        <f t="shared" si="61"/>
        <v>0</v>
      </c>
      <c r="J1245" s="84">
        <f t="shared" si="62"/>
        <v>0.17988521179401998</v>
      </c>
      <c r="K1245" s="91"/>
    </row>
    <row r="1246" spans="1:11" ht="19">
      <c r="A1246" s="14">
        <v>46049</v>
      </c>
      <c r="B1246" s="83">
        <f>VLOOKUP(A1246,'BADI SID DATA'!A:B,2,0)</f>
        <v>302</v>
      </c>
      <c r="C1246" s="56"/>
      <c r="D1246" s="54"/>
      <c r="E1246" s="54"/>
      <c r="F1246" s="46">
        <v>1</v>
      </c>
      <c r="G1246" s="46">
        <v>1</v>
      </c>
      <c r="H1246" s="81">
        <f t="shared" si="60"/>
        <v>12994907.700000003</v>
      </c>
      <c r="I1246" s="84">
        <f t="shared" si="61"/>
        <v>0</v>
      </c>
      <c r="J1246" s="84">
        <f t="shared" si="62"/>
        <v>0.17928956539735103</v>
      </c>
      <c r="K1246" s="91"/>
    </row>
    <row r="1247" spans="1:11" ht="19">
      <c r="A1247" s="14">
        <v>46050</v>
      </c>
      <c r="B1247" s="83">
        <f>VLOOKUP(A1247,'BADI SID DATA'!A:B,2,0)</f>
        <v>303</v>
      </c>
      <c r="C1247" s="56"/>
      <c r="D1247" s="54"/>
      <c r="E1247" s="54"/>
      <c r="F1247" s="46">
        <v>1</v>
      </c>
      <c r="G1247" s="46">
        <v>1</v>
      </c>
      <c r="H1247" s="81">
        <f t="shared" si="60"/>
        <v>12994907.700000003</v>
      </c>
      <c r="I1247" s="84">
        <f t="shared" si="61"/>
        <v>0</v>
      </c>
      <c r="J1247" s="84">
        <f t="shared" si="62"/>
        <v>0.17869785066006605</v>
      </c>
      <c r="K1247" s="91"/>
    </row>
    <row r="1248" spans="1:11" ht="19">
      <c r="A1248" s="14">
        <v>46051</v>
      </c>
      <c r="B1248" s="83">
        <f>VLOOKUP(A1248,'BADI SID DATA'!A:B,2,0)</f>
        <v>304</v>
      </c>
      <c r="C1248" s="56"/>
      <c r="D1248" s="54"/>
      <c r="E1248" s="54"/>
      <c r="F1248" s="46">
        <v>1</v>
      </c>
      <c r="G1248" s="46">
        <v>1</v>
      </c>
      <c r="H1248" s="81">
        <f t="shared" si="60"/>
        <v>12994907.700000003</v>
      </c>
      <c r="I1248" s="84">
        <f t="shared" si="61"/>
        <v>0</v>
      </c>
      <c r="J1248" s="84">
        <f t="shared" si="62"/>
        <v>0.17811002878289478</v>
      </c>
      <c r="K1248" s="91"/>
    </row>
    <row r="1249" spans="1:11" ht="19">
      <c r="A1249" s="14">
        <v>46052</v>
      </c>
      <c r="B1249" s="83">
        <f>VLOOKUP(A1249,'BADI SID DATA'!A:B,2,0)</f>
        <v>305</v>
      </c>
      <c r="C1249" s="56"/>
      <c r="D1249" s="54"/>
      <c r="E1249" s="54"/>
      <c r="F1249" s="46">
        <v>1</v>
      </c>
      <c r="G1249" s="46">
        <v>1</v>
      </c>
      <c r="H1249" s="81">
        <f t="shared" si="60"/>
        <v>12994907.700000003</v>
      </c>
      <c r="I1249" s="84">
        <f t="shared" si="61"/>
        <v>0</v>
      </c>
      <c r="J1249" s="84">
        <f t="shared" si="62"/>
        <v>0.17752606147540986</v>
      </c>
      <c r="K1249" s="91"/>
    </row>
    <row r="1250" spans="1:11" ht="19">
      <c r="A1250" s="14">
        <v>46053</v>
      </c>
      <c r="B1250" s="83">
        <f>VLOOKUP(A1250,'BADI SID DATA'!A:B,2,0)</f>
        <v>306</v>
      </c>
      <c r="C1250" s="56"/>
      <c r="D1250" s="54"/>
      <c r="E1250" s="54"/>
      <c r="F1250" s="46">
        <v>1</v>
      </c>
      <c r="G1250" s="46">
        <v>1</v>
      </c>
      <c r="H1250" s="81">
        <f t="shared" si="60"/>
        <v>12994907.700000003</v>
      </c>
      <c r="I1250" s="84">
        <f t="shared" si="61"/>
        <v>0</v>
      </c>
      <c r="J1250" s="84">
        <f t="shared" si="62"/>
        <v>0.17694591094771245</v>
      </c>
      <c r="K1250" s="91"/>
    </row>
    <row r="1251" spans="1:11" ht="19">
      <c r="A1251" s="14">
        <v>46054</v>
      </c>
      <c r="B1251" s="83">
        <f>VLOOKUP(A1251,'BADI SID DATA'!A:B,2,0)</f>
        <v>307</v>
      </c>
      <c r="C1251" s="56"/>
      <c r="D1251" s="54"/>
      <c r="E1251" s="54"/>
      <c r="F1251" s="46">
        <v>1</v>
      </c>
      <c r="G1251" s="46">
        <v>1</v>
      </c>
      <c r="H1251" s="81">
        <f t="shared" si="60"/>
        <v>12994907.700000003</v>
      </c>
      <c r="I1251" s="84">
        <f t="shared" si="61"/>
        <v>0</v>
      </c>
      <c r="J1251" s="84">
        <f t="shared" si="62"/>
        <v>0.17636953990228016</v>
      </c>
      <c r="K1251" s="91"/>
    </row>
    <row r="1252" spans="1:11" ht="19">
      <c r="A1252" s="14">
        <v>46055</v>
      </c>
      <c r="B1252" s="83">
        <f>VLOOKUP(A1252,'BADI SID DATA'!A:B,2,0)</f>
        <v>308</v>
      </c>
      <c r="C1252" s="56"/>
      <c r="D1252" s="54"/>
      <c r="E1252" s="54"/>
      <c r="F1252" s="46">
        <v>1</v>
      </c>
      <c r="G1252" s="46">
        <v>1</v>
      </c>
      <c r="H1252" s="81">
        <f t="shared" si="60"/>
        <v>12994907.700000003</v>
      </c>
      <c r="I1252" s="84">
        <f t="shared" si="61"/>
        <v>0</v>
      </c>
      <c r="J1252" s="84">
        <f t="shared" si="62"/>
        <v>0.17579691152597407</v>
      </c>
      <c r="K1252" s="91"/>
    </row>
    <row r="1253" spans="1:11" ht="19">
      <c r="A1253" s="14">
        <v>46056</v>
      </c>
      <c r="B1253" s="83">
        <f>VLOOKUP(A1253,'BADI SID DATA'!A:B,2,0)</f>
        <v>309</v>
      </c>
      <c r="C1253" s="56"/>
      <c r="D1253" s="54"/>
      <c r="E1253" s="54"/>
      <c r="F1253" s="46">
        <v>1</v>
      </c>
      <c r="G1253" s="46">
        <v>1</v>
      </c>
      <c r="H1253" s="81">
        <f t="shared" si="60"/>
        <v>12994907.700000003</v>
      </c>
      <c r="I1253" s="84">
        <f t="shared" si="61"/>
        <v>0</v>
      </c>
      <c r="J1253" s="84">
        <f t="shared" si="62"/>
        <v>0.1752279894822007</v>
      </c>
      <c r="K1253" s="91"/>
    </row>
    <row r="1254" spans="1:11" ht="19">
      <c r="A1254" s="14">
        <v>46057</v>
      </c>
      <c r="B1254" s="83">
        <f>VLOOKUP(A1254,'BADI SID DATA'!A:B,2,0)</f>
        <v>310</v>
      </c>
      <c r="C1254" s="56"/>
      <c r="D1254" s="54"/>
      <c r="E1254" s="54"/>
      <c r="F1254" s="46">
        <v>1</v>
      </c>
      <c r="G1254" s="46">
        <v>1</v>
      </c>
      <c r="H1254" s="81">
        <f t="shared" si="60"/>
        <v>12994907.700000003</v>
      </c>
      <c r="I1254" s="84">
        <f t="shared" si="61"/>
        <v>0</v>
      </c>
      <c r="J1254" s="84">
        <f t="shared" si="62"/>
        <v>0.17466273790322584</v>
      </c>
      <c r="K1254" s="91"/>
    </row>
    <row r="1255" spans="1:11" ht="19">
      <c r="A1255" s="14">
        <v>46058</v>
      </c>
      <c r="B1255" s="83">
        <f>VLOOKUP(A1255,'BADI SID DATA'!A:B,2,0)</f>
        <v>311</v>
      </c>
      <c r="C1255" s="56"/>
      <c r="D1255" s="54"/>
      <c r="E1255" s="54"/>
      <c r="F1255" s="46">
        <v>1</v>
      </c>
      <c r="G1255" s="46">
        <v>1</v>
      </c>
      <c r="H1255" s="81">
        <f t="shared" si="60"/>
        <v>12994907.700000003</v>
      </c>
      <c r="I1255" s="84">
        <f t="shared" si="61"/>
        <v>0</v>
      </c>
      <c r="J1255" s="84">
        <f t="shared" si="62"/>
        <v>0.1741011213826367</v>
      </c>
      <c r="K1255" s="91"/>
    </row>
    <row r="1256" spans="1:11" ht="19">
      <c r="A1256" s="14">
        <v>46059</v>
      </c>
      <c r="B1256" s="83">
        <f>VLOOKUP(A1256,'BADI SID DATA'!A:B,2,0)</f>
        <v>312</v>
      </c>
      <c r="C1256" s="56"/>
      <c r="D1256" s="54"/>
      <c r="E1256" s="54"/>
      <c r="F1256" s="46">
        <v>1</v>
      </c>
      <c r="G1256" s="46">
        <v>1</v>
      </c>
      <c r="H1256" s="81">
        <f t="shared" si="60"/>
        <v>12994907.700000003</v>
      </c>
      <c r="I1256" s="84">
        <f t="shared" si="61"/>
        <v>0</v>
      </c>
      <c r="J1256" s="84">
        <f t="shared" si="62"/>
        <v>0.17354310496794875</v>
      </c>
      <c r="K1256" s="91"/>
    </row>
    <row r="1257" spans="1:11" ht="19">
      <c r="A1257" s="14">
        <v>46060</v>
      </c>
      <c r="B1257" s="83">
        <f>VLOOKUP(A1257,'BADI SID DATA'!A:B,2,0)</f>
        <v>313</v>
      </c>
      <c r="C1257" s="56"/>
      <c r="D1257" s="54"/>
      <c r="E1257" s="54"/>
      <c r="F1257" s="46">
        <v>1</v>
      </c>
      <c r="G1257" s="46">
        <v>1</v>
      </c>
      <c r="H1257" s="81">
        <f t="shared" si="60"/>
        <v>12994907.700000003</v>
      </c>
      <c r="I1257" s="84">
        <f t="shared" si="61"/>
        <v>0</v>
      </c>
      <c r="J1257" s="84">
        <f t="shared" si="62"/>
        <v>0.17298865415335468</v>
      </c>
      <c r="K1257" s="91"/>
    </row>
    <row r="1258" spans="1:11" ht="19">
      <c r="A1258" s="14">
        <v>46061</v>
      </c>
      <c r="B1258" s="83">
        <f>VLOOKUP(A1258,'BADI SID DATA'!A:B,2,0)</f>
        <v>314</v>
      </c>
      <c r="C1258" s="56"/>
      <c r="D1258" s="54"/>
      <c r="E1258" s="54"/>
      <c r="F1258" s="46">
        <v>1</v>
      </c>
      <c r="G1258" s="46">
        <v>1</v>
      </c>
      <c r="H1258" s="81">
        <f t="shared" si="60"/>
        <v>12994907.700000003</v>
      </c>
      <c r="I1258" s="84">
        <f t="shared" si="61"/>
        <v>0</v>
      </c>
      <c r="J1258" s="84">
        <f t="shared" si="62"/>
        <v>0.17243773487261149</v>
      </c>
      <c r="K1258" s="91"/>
    </row>
    <row r="1259" spans="1:11" ht="19">
      <c r="A1259" s="14">
        <v>46062</v>
      </c>
      <c r="B1259" s="83">
        <f>VLOOKUP(A1259,'BADI SID DATA'!A:B,2,0)</f>
        <v>315</v>
      </c>
      <c r="C1259" s="56"/>
      <c r="D1259" s="54"/>
      <c r="E1259" s="54"/>
      <c r="F1259" s="46">
        <v>1</v>
      </c>
      <c r="G1259" s="46">
        <v>1</v>
      </c>
      <c r="H1259" s="81">
        <f t="shared" si="60"/>
        <v>12994907.700000003</v>
      </c>
      <c r="I1259" s="84">
        <f t="shared" si="61"/>
        <v>0</v>
      </c>
      <c r="J1259" s="84">
        <f t="shared" si="62"/>
        <v>0.17189031349206352</v>
      </c>
      <c r="K1259" s="91"/>
    </row>
    <row r="1260" spans="1:11" ht="19">
      <c r="A1260" s="14">
        <v>46063</v>
      </c>
      <c r="B1260" s="83">
        <f>VLOOKUP(A1260,'BADI SID DATA'!A:B,2,0)</f>
        <v>316</v>
      </c>
      <c r="C1260" s="56"/>
      <c r="D1260" s="54"/>
      <c r="E1260" s="54"/>
      <c r="F1260" s="46">
        <v>1</v>
      </c>
      <c r="G1260" s="46">
        <v>1</v>
      </c>
      <c r="H1260" s="81">
        <f t="shared" ref="H1260:H1323" si="63">C1260+H1259</f>
        <v>12994907.700000003</v>
      </c>
      <c r="I1260" s="84">
        <f t="shared" ref="I1260:I1323" si="64">C1260/(10*24*1000)</f>
        <v>0</v>
      </c>
      <c r="J1260" s="84">
        <f t="shared" si="62"/>
        <v>0.17134635680379751</v>
      </c>
      <c r="K1260" s="91"/>
    </row>
    <row r="1261" spans="1:11" ht="19">
      <c r="A1261" s="14">
        <v>46064</v>
      </c>
      <c r="B1261" s="83">
        <f>VLOOKUP(A1261,'BADI SID DATA'!A:B,2,0)</f>
        <v>317</v>
      </c>
      <c r="C1261" s="56"/>
      <c r="D1261" s="54"/>
      <c r="E1261" s="54"/>
      <c r="F1261" s="46">
        <v>1</v>
      </c>
      <c r="G1261" s="46">
        <v>1</v>
      </c>
      <c r="H1261" s="81">
        <f t="shared" si="63"/>
        <v>12994907.700000003</v>
      </c>
      <c r="I1261" s="84">
        <f t="shared" si="64"/>
        <v>0</v>
      </c>
      <c r="J1261" s="84">
        <f t="shared" si="62"/>
        <v>0.17080583201892749</v>
      </c>
      <c r="K1261" s="91"/>
    </row>
    <row r="1262" spans="1:11" ht="19">
      <c r="A1262" s="14">
        <v>46065</v>
      </c>
      <c r="B1262" s="83">
        <f>VLOOKUP(A1262,'BADI SID DATA'!A:B,2,0)</f>
        <v>318</v>
      </c>
      <c r="C1262" s="56"/>
      <c r="D1262" s="54"/>
      <c r="E1262" s="54"/>
      <c r="F1262" s="46">
        <v>1</v>
      </c>
      <c r="G1262" s="46">
        <v>1</v>
      </c>
      <c r="H1262" s="81">
        <f t="shared" si="63"/>
        <v>12994907.700000003</v>
      </c>
      <c r="I1262" s="84">
        <f t="shared" si="64"/>
        <v>0</v>
      </c>
      <c r="J1262" s="84">
        <f t="shared" si="62"/>
        <v>0.17026870676100633</v>
      </c>
      <c r="K1262" s="91"/>
    </row>
    <row r="1263" spans="1:11" ht="19">
      <c r="A1263" s="14">
        <v>46066</v>
      </c>
      <c r="B1263" s="83">
        <f>VLOOKUP(A1263,'BADI SID DATA'!A:B,2,0)</f>
        <v>319</v>
      </c>
      <c r="C1263" s="56"/>
      <c r="D1263" s="54"/>
      <c r="E1263" s="54"/>
      <c r="F1263" s="46">
        <v>1</v>
      </c>
      <c r="G1263" s="46">
        <v>1</v>
      </c>
      <c r="H1263" s="81">
        <f t="shared" si="63"/>
        <v>12994907.700000003</v>
      </c>
      <c r="I1263" s="84">
        <f t="shared" si="64"/>
        <v>0</v>
      </c>
      <c r="J1263" s="84">
        <f t="shared" si="62"/>
        <v>0.16973494905956116</v>
      </c>
      <c r="K1263" s="91"/>
    </row>
    <row r="1264" spans="1:11" ht="19">
      <c r="A1264" s="14">
        <v>46067</v>
      </c>
      <c r="B1264" s="83">
        <f>VLOOKUP(A1264,'BADI SID DATA'!A:B,2,0)</f>
        <v>320</v>
      </c>
      <c r="C1264" s="56"/>
      <c r="D1264" s="54"/>
      <c r="E1264" s="54"/>
      <c r="F1264" s="46">
        <v>1</v>
      </c>
      <c r="G1264" s="46">
        <v>1</v>
      </c>
      <c r="H1264" s="81">
        <f t="shared" si="63"/>
        <v>12994907.700000003</v>
      </c>
      <c r="I1264" s="84">
        <f t="shared" si="64"/>
        <v>0</v>
      </c>
      <c r="J1264" s="84">
        <f t="shared" si="62"/>
        <v>0.16920452734375005</v>
      </c>
      <c r="K1264" s="91"/>
    </row>
    <row r="1265" spans="1:11" ht="19">
      <c r="A1265" s="14">
        <v>46068</v>
      </c>
      <c r="B1265" s="83">
        <f>VLOOKUP(A1265,'BADI SID DATA'!A:B,2,0)</f>
        <v>321</v>
      </c>
      <c r="C1265" s="56"/>
      <c r="D1265" s="54"/>
      <c r="E1265" s="54"/>
      <c r="F1265" s="46">
        <v>1</v>
      </c>
      <c r="G1265" s="46">
        <v>1</v>
      </c>
      <c r="H1265" s="81">
        <f t="shared" si="63"/>
        <v>12994907.700000003</v>
      </c>
      <c r="I1265" s="84">
        <f t="shared" si="64"/>
        <v>0</v>
      </c>
      <c r="J1265" s="56"/>
      <c r="K1265" s="91"/>
    </row>
    <row r="1266" spans="1:11" ht="19">
      <c r="A1266" s="14">
        <v>46069</v>
      </c>
      <c r="B1266" s="83">
        <f>VLOOKUP(A1266,'BADI SID DATA'!A:B,2,0)</f>
        <v>322</v>
      </c>
      <c r="C1266" s="56"/>
      <c r="D1266" s="54"/>
      <c r="E1266" s="54"/>
      <c r="F1266" s="46">
        <v>1</v>
      </c>
      <c r="G1266" s="46">
        <v>1</v>
      </c>
      <c r="H1266" s="81">
        <f t="shared" si="63"/>
        <v>12994907.700000003</v>
      </c>
      <c r="I1266" s="84">
        <f t="shared" si="64"/>
        <v>0</v>
      </c>
      <c r="J1266" s="56"/>
      <c r="K1266" s="91"/>
    </row>
    <row r="1267" spans="1:11" ht="19">
      <c r="A1267" s="14">
        <v>46070</v>
      </c>
      <c r="B1267" s="83">
        <f>VLOOKUP(A1267,'BADI SID DATA'!A:B,2,0)</f>
        <v>323</v>
      </c>
      <c r="C1267" s="56"/>
      <c r="D1267" s="54"/>
      <c r="E1267" s="54"/>
      <c r="F1267" s="46">
        <v>1</v>
      </c>
      <c r="G1267" s="46">
        <v>1</v>
      </c>
      <c r="H1267" s="81">
        <f t="shared" si="63"/>
        <v>12994907.700000003</v>
      </c>
      <c r="I1267" s="84">
        <f t="shared" si="64"/>
        <v>0</v>
      </c>
      <c r="J1267" s="56"/>
      <c r="K1267" s="91"/>
    </row>
    <row r="1268" spans="1:11" ht="19">
      <c r="A1268" s="14">
        <v>46071</v>
      </c>
      <c r="B1268" s="83">
        <f>VLOOKUP(A1268,'BADI SID DATA'!A:B,2,0)</f>
        <v>324</v>
      </c>
      <c r="C1268" s="56"/>
      <c r="D1268" s="54"/>
      <c r="E1268" s="54"/>
      <c r="F1268" s="46">
        <v>1</v>
      </c>
      <c r="G1268" s="46">
        <v>1</v>
      </c>
      <c r="H1268" s="81">
        <f t="shared" si="63"/>
        <v>12994907.700000003</v>
      </c>
      <c r="I1268" s="84">
        <f t="shared" si="64"/>
        <v>0</v>
      </c>
      <c r="J1268" s="56"/>
      <c r="K1268" s="91"/>
    </row>
    <row r="1269" spans="1:11" ht="19">
      <c r="A1269" s="14">
        <v>46072</v>
      </c>
      <c r="B1269" s="83">
        <f>VLOOKUP(A1269,'BADI SID DATA'!A:B,2,0)</f>
        <v>325</v>
      </c>
      <c r="C1269" s="56"/>
      <c r="D1269" s="54"/>
      <c r="E1269" s="54"/>
      <c r="F1269" s="46">
        <v>1</v>
      </c>
      <c r="G1269" s="46">
        <v>1</v>
      </c>
      <c r="H1269" s="81">
        <f t="shared" si="63"/>
        <v>12994907.700000003</v>
      </c>
      <c r="I1269" s="84">
        <f t="shared" si="64"/>
        <v>0</v>
      </c>
      <c r="J1269" s="56"/>
      <c r="K1269" s="91"/>
    </row>
    <row r="1270" spans="1:11" ht="19">
      <c r="A1270" s="14">
        <v>46073</v>
      </c>
      <c r="B1270" s="83">
        <f>VLOOKUP(A1270,'BADI SID DATA'!A:B,2,0)</f>
        <v>326</v>
      </c>
      <c r="C1270" s="56"/>
      <c r="D1270" s="54"/>
      <c r="E1270" s="54"/>
      <c r="F1270" s="46">
        <v>1</v>
      </c>
      <c r="G1270" s="46">
        <v>1</v>
      </c>
      <c r="H1270" s="81">
        <f t="shared" si="63"/>
        <v>12994907.700000003</v>
      </c>
      <c r="I1270" s="84">
        <f t="shared" si="64"/>
        <v>0</v>
      </c>
      <c r="J1270" s="56"/>
      <c r="K1270" s="91"/>
    </row>
    <row r="1271" spans="1:11" ht="19">
      <c r="A1271" s="14">
        <v>46074</v>
      </c>
      <c r="B1271" s="83">
        <f>VLOOKUP(A1271,'BADI SID DATA'!A:B,2,0)</f>
        <v>327</v>
      </c>
      <c r="C1271" s="56"/>
      <c r="D1271" s="54"/>
      <c r="E1271" s="54"/>
      <c r="F1271" s="46">
        <v>1</v>
      </c>
      <c r="G1271" s="46">
        <v>1</v>
      </c>
      <c r="H1271" s="81">
        <f t="shared" si="63"/>
        <v>12994907.700000003</v>
      </c>
      <c r="I1271" s="84">
        <f t="shared" si="64"/>
        <v>0</v>
      </c>
      <c r="J1271" s="56"/>
      <c r="K1271" s="91"/>
    </row>
    <row r="1272" spans="1:11" ht="19">
      <c r="A1272" s="14">
        <v>46075</v>
      </c>
      <c r="B1272" s="83">
        <f>VLOOKUP(A1272,'BADI SID DATA'!A:B,2,0)</f>
        <v>328</v>
      </c>
      <c r="C1272" s="56"/>
      <c r="D1272" s="54"/>
      <c r="E1272" s="54"/>
      <c r="F1272" s="46">
        <v>1</v>
      </c>
      <c r="G1272" s="46">
        <v>1</v>
      </c>
      <c r="H1272" s="81">
        <f t="shared" si="63"/>
        <v>12994907.700000003</v>
      </c>
      <c r="I1272" s="84">
        <f t="shared" si="64"/>
        <v>0</v>
      </c>
      <c r="J1272" s="56"/>
      <c r="K1272" s="91"/>
    </row>
    <row r="1273" spans="1:11" ht="19">
      <c r="A1273" s="14">
        <v>46076</v>
      </c>
      <c r="B1273" s="83">
        <f>VLOOKUP(A1273,'BADI SID DATA'!A:B,2,0)</f>
        <v>329</v>
      </c>
      <c r="C1273" s="56"/>
      <c r="D1273" s="54"/>
      <c r="E1273" s="54"/>
      <c r="F1273" s="46">
        <v>1</v>
      </c>
      <c r="G1273" s="46">
        <v>1</v>
      </c>
      <c r="H1273" s="81">
        <f t="shared" si="63"/>
        <v>12994907.700000003</v>
      </c>
      <c r="I1273" s="84">
        <f t="shared" si="64"/>
        <v>0</v>
      </c>
      <c r="J1273" s="56"/>
      <c r="K1273" s="91"/>
    </row>
    <row r="1274" spans="1:11" ht="19">
      <c r="A1274" s="14">
        <v>46077</v>
      </c>
      <c r="B1274" s="83">
        <f>VLOOKUP(A1274,'BADI SID DATA'!A:B,2,0)</f>
        <v>330</v>
      </c>
      <c r="C1274" s="56"/>
      <c r="D1274" s="54"/>
      <c r="E1274" s="54"/>
      <c r="F1274" s="46">
        <v>1</v>
      </c>
      <c r="G1274" s="46">
        <v>1</v>
      </c>
      <c r="H1274" s="81">
        <f t="shared" si="63"/>
        <v>12994907.700000003</v>
      </c>
      <c r="I1274" s="84">
        <f t="shared" si="64"/>
        <v>0</v>
      </c>
      <c r="J1274" s="56"/>
      <c r="K1274" s="91"/>
    </row>
    <row r="1275" spans="1:11" ht="19">
      <c r="A1275" s="14">
        <v>46078</v>
      </c>
      <c r="B1275" s="83">
        <f>VLOOKUP(A1275,'BADI SID DATA'!A:B,2,0)</f>
        <v>331</v>
      </c>
      <c r="C1275" s="56"/>
      <c r="D1275" s="54"/>
      <c r="E1275" s="54"/>
      <c r="F1275" s="46">
        <v>1</v>
      </c>
      <c r="G1275" s="46">
        <v>1</v>
      </c>
      <c r="H1275" s="81">
        <f t="shared" si="63"/>
        <v>12994907.700000003</v>
      </c>
      <c r="I1275" s="84">
        <f t="shared" si="64"/>
        <v>0</v>
      </c>
      <c r="J1275" s="56"/>
      <c r="K1275" s="91"/>
    </row>
    <row r="1276" spans="1:11" ht="19">
      <c r="A1276" s="14">
        <v>46079</v>
      </c>
      <c r="B1276" s="83">
        <f>VLOOKUP(A1276,'BADI SID DATA'!A:B,2,0)</f>
        <v>332</v>
      </c>
      <c r="C1276" s="56"/>
      <c r="D1276" s="54"/>
      <c r="E1276" s="54"/>
      <c r="F1276" s="46">
        <v>1</v>
      </c>
      <c r="G1276" s="46">
        <v>1</v>
      </c>
      <c r="H1276" s="81">
        <f t="shared" si="63"/>
        <v>12994907.700000003</v>
      </c>
      <c r="I1276" s="84">
        <f t="shared" si="64"/>
        <v>0</v>
      </c>
      <c r="J1276" s="56"/>
      <c r="K1276" s="91"/>
    </row>
    <row r="1277" spans="1:11" ht="19">
      <c r="A1277" s="14">
        <v>46080</v>
      </c>
      <c r="B1277" s="83">
        <f>VLOOKUP(A1277,'BADI SID DATA'!A:B,2,0)</f>
        <v>333</v>
      </c>
      <c r="C1277" s="56"/>
      <c r="D1277" s="54"/>
      <c r="E1277" s="54"/>
      <c r="F1277" s="46">
        <v>1</v>
      </c>
      <c r="G1277" s="46">
        <v>1</v>
      </c>
      <c r="H1277" s="81">
        <f t="shared" si="63"/>
        <v>12994907.700000003</v>
      </c>
      <c r="I1277" s="84">
        <f t="shared" si="64"/>
        <v>0</v>
      </c>
      <c r="J1277" s="56"/>
      <c r="K1277" s="91"/>
    </row>
    <row r="1278" spans="1:11" ht="19">
      <c r="A1278" s="14">
        <v>46081</v>
      </c>
      <c r="B1278" s="83">
        <f>VLOOKUP(A1278,'BADI SID DATA'!A:B,2,0)</f>
        <v>334</v>
      </c>
      <c r="C1278" s="56"/>
      <c r="D1278" s="54"/>
      <c r="E1278" s="54"/>
      <c r="F1278" s="46">
        <v>1</v>
      </c>
      <c r="G1278" s="46">
        <v>1</v>
      </c>
      <c r="H1278" s="81">
        <f t="shared" si="63"/>
        <v>12994907.700000003</v>
      </c>
      <c r="I1278" s="84">
        <f t="shared" si="64"/>
        <v>0</v>
      </c>
      <c r="J1278" s="56"/>
      <c r="K1278" s="91"/>
    </row>
    <row r="1279" spans="1:11" ht="19">
      <c r="A1279" s="14">
        <v>46082</v>
      </c>
      <c r="B1279" s="83">
        <f>VLOOKUP(A1279,'BADI SID DATA'!A:B,2,0)</f>
        <v>335</v>
      </c>
      <c r="C1279" s="56"/>
      <c r="D1279" s="54"/>
      <c r="E1279" s="54"/>
      <c r="F1279" s="46">
        <v>1</v>
      </c>
      <c r="G1279" s="46">
        <v>1</v>
      </c>
      <c r="H1279" s="81">
        <f t="shared" si="63"/>
        <v>12994907.700000003</v>
      </c>
      <c r="I1279" s="84">
        <f t="shared" si="64"/>
        <v>0</v>
      </c>
      <c r="J1279" s="56"/>
      <c r="K1279" s="91"/>
    </row>
    <row r="1280" spans="1:11" ht="19">
      <c r="A1280" s="14">
        <v>46083</v>
      </c>
      <c r="B1280" s="83">
        <f>VLOOKUP(A1280,'BADI SID DATA'!A:B,2,0)</f>
        <v>336</v>
      </c>
      <c r="C1280" s="56"/>
      <c r="D1280" s="54"/>
      <c r="E1280" s="54"/>
      <c r="F1280" s="46">
        <v>1</v>
      </c>
      <c r="G1280" s="46">
        <v>1</v>
      </c>
      <c r="H1280" s="81">
        <f t="shared" si="63"/>
        <v>12994907.700000003</v>
      </c>
      <c r="I1280" s="84">
        <f t="shared" si="64"/>
        <v>0</v>
      </c>
      <c r="J1280" s="56"/>
      <c r="K1280" s="91"/>
    </row>
    <row r="1281" spans="1:11" ht="19">
      <c r="A1281" s="14">
        <v>46084</v>
      </c>
      <c r="B1281" s="83">
        <f>VLOOKUP(A1281,'BADI SID DATA'!A:B,2,0)</f>
        <v>337</v>
      </c>
      <c r="C1281" s="56"/>
      <c r="D1281" s="54"/>
      <c r="E1281" s="54"/>
      <c r="F1281" s="46">
        <v>1</v>
      </c>
      <c r="G1281" s="46">
        <v>1</v>
      </c>
      <c r="H1281" s="81">
        <f t="shared" si="63"/>
        <v>12994907.700000003</v>
      </c>
      <c r="I1281" s="84">
        <f t="shared" si="64"/>
        <v>0</v>
      </c>
      <c r="J1281" s="56"/>
      <c r="K1281" s="91"/>
    </row>
    <row r="1282" spans="1:11" ht="19">
      <c r="A1282" s="14">
        <v>46085</v>
      </c>
      <c r="B1282" s="83">
        <f>VLOOKUP(A1282,'BADI SID DATA'!A:B,2,0)</f>
        <v>338</v>
      </c>
      <c r="C1282" s="56"/>
      <c r="D1282" s="54"/>
      <c r="E1282" s="54"/>
      <c r="F1282" s="46">
        <v>1</v>
      </c>
      <c r="G1282" s="46">
        <v>1</v>
      </c>
      <c r="H1282" s="81">
        <f t="shared" si="63"/>
        <v>12994907.700000003</v>
      </c>
      <c r="I1282" s="84">
        <f t="shared" si="64"/>
        <v>0</v>
      </c>
      <c r="J1282" s="56"/>
      <c r="K1282" s="91"/>
    </row>
    <row r="1283" spans="1:11" ht="19">
      <c r="A1283" s="14">
        <v>46086</v>
      </c>
      <c r="B1283" s="83">
        <f>VLOOKUP(A1283,'BADI SID DATA'!A:B,2,0)</f>
        <v>339</v>
      </c>
      <c r="C1283" s="56"/>
      <c r="D1283" s="54"/>
      <c r="E1283" s="54"/>
      <c r="F1283" s="46">
        <v>1</v>
      </c>
      <c r="G1283" s="46">
        <v>1</v>
      </c>
      <c r="H1283" s="81">
        <f t="shared" si="63"/>
        <v>12994907.700000003</v>
      </c>
      <c r="I1283" s="84">
        <f t="shared" si="64"/>
        <v>0</v>
      </c>
      <c r="J1283" s="56"/>
      <c r="K1283" s="91"/>
    </row>
    <row r="1284" spans="1:11" ht="19">
      <c r="A1284" s="14">
        <v>46087</v>
      </c>
      <c r="B1284" s="83">
        <f>VLOOKUP(A1284,'BADI SID DATA'!A:B,2,0)</f>
        <v>340</v>
      </c>
      <c r="C1284" s="56"/>
      <c r="D1284" s="54"/>
      <c r="E1284" s="54"/>
      <c r="F1284" s="46">
        <v>1</v>
      </c>
      <c r="G1284" s="46">
        <v>1</v>
      </c>
      <c r="H1284" s="81">
        <f t="shared" si="63"/>
        <v>12994907.700000003</v>
      </c>
      <c r="I1284" s="84">
        <f t="shared" si="64"/>
        <v>0</v>
      </c>
      <c r="J1284" s="56"/>
      <c r="K1284" s="91"/>
    </row>
    <row r="1285" spans="1:11" ht="19">
      <c r="A1285" s="14">
        <v>46088</v>
      </c>
      <c r="B1285" s="83">
        <f>VLOOKUP(A1285,'BADI SID DATA'!A:B,2,0)</f>
        <v>341</v>
      </c>
      <c r="C1285" s="56"/>
      <c r="D1285" s="54"/>
      <c r="E1285" s="54"/>
      <c r="F1285" s="46">
        <v>1</v>
      </c>
      <c r="G1285" s="46">
        <v>1</v>
      </c>
      <c r="H1285" s="81">
        <f t="shared" si="63"/>
        <v>12994907.700000003</v>
      </c>
      <c r="I1285" s="84">
        <f t="shared" si="64"/>
        <v>0</v>
      </c>
      <c r="J1285" s="56"/>
      <c r="K1285" s="91"/>
    </row>
    <row r="1286" spans="1:11" ht="19">
      <c r="A1286" s="14">
        <v>46089</v>
      </c>
      <c r="B1286" s="83">
        <f>VLOOKUP(A1286,'BADI SID DATA'!A:B,2,0)</f>
        <v>342</v>
      </c>
      <c r="C1286" s="56"/>
      <c r="D1286" s="54"/>
      <c r="E1286" s="54"/>
      <c r="F1286" s="46">
        <v>1</v>
      </c>
      <c r="G1286" s="46">
        <v>1</v>
      </c>
      <c r="H1286" s="81">
        <f t="shared" si="63"/>
        <v>12994907.700000003</v>
      </c>
      <c r="I1286" s="84">
        <f t="shared" si="64"/>
        <v>0</v>
      </c>
      <c r="J1286" s="56"/>
      <c r="K1286" s="91"/>
    </row>
    <row r="1287" spans="1:11" ht="19">
      <c r="A1287" s="14">
        <v>46090</v>
      </c>
      <c r="B1287" s="83">
        <f>VLOOKUP(A1287,'BADI SID DATA'!A:B,2,0)</f>
        <v>343</v>
      </c>
      <c r="C1287" s="56"/>
      <c r="D1287" s="54"/>
      <c r="E1287" s="54"/>
      <c r="F1287" s="46">
        <v>1</v>
      </c>
      <c r="G1287" s="46">
        <v>1</v>
      </c>
      <c r="H1287" s="81">
        <f t="shared" si="63"/>
        <v>12994907.700000003</v>
      </c>
      <c r="I1287" s="84">
        <f t="shared" si="64"/>
        <v>0</v>
      </c>
      <c r="J1287" s="56"/>
      <c r="K1287" s="91"/>
    </row>
    <row r="1288" spans="1:11" ht="19">
      <c r="A1288" s="14">
        <v>46091</v>
      </c>
      <c r="B1288" s="83">
        <f>VLOOKUP(A1288,'BADI SID DATA'!A:B,2,0)</f>
        <v>344</v>
      </c>
      <c r="C1288" s="56"/>
      <c r="D1288" s="54"/>
      <c r="E1288" s="54"/>
      <c r="F1288" s="46">
        <v>1</v>
      </c>
      <c r="G1288" s="46">
        <v>1</v>
      </c>
      <c r="H1288" s="81">
        <f t="shared" si="63"/>
        <v>12994907.700000003</v>
      </c>
      <c r="I1288" s="84">
        <f t="shared" si="64"/>
        <v>0</v>
      </c>
      <c r="J1288" s="56"/>
      <c r="K1288" s="91"/>
    </row>
    <row r="1289" spans="1:11" ht="19">
      <c r="A1289" s="14">
        <v>46092</v>
      </c>
      <c r="B1289" s="83">
        <f>VLOOKUP(A1289,'BADI SID DATA'!A:B,2,0)</f>
        <v>345</v>
      </c>
      <c r="C1289" s="56"/>
      <c r="D1289" s="54"/>
      <c r="E1289" s="54"/>
      <c r="F1289" s="46">
        <v>1</v>
      </c>
      <c r="G1289" s="46">
        <v>1</v>
      </c>
      <c r="H1289" s="81">
        <f t="shared" si="63"/>
        <v>12994907.700000003</v>
      </c>
      <c r="I1289" s="84">
        <f t="shared" si="64"/>
        <v>0</v>
      </c>
      <c r="J1289" s="56"/>
      <c r="K1289" s="91"/>
    </row>
    <row r="1290" spans="1:11" ht="19">
      <c r="A1290" s="14">
        <v>46093</v>
      </c>
      <c r="B1290" s="83">
        <f>VLOOKUP(A1290,'BADI SID DATA'!A:B,2,0)</f>
        <v>346</v>
      </c>
      <c r="C1290" s="56"/>
      <c r="D1290" s="54"/>
      <c r="E1290" s="54"/>
      <c r="F1290" s="46">
        <v>1</v>
      </c>
      <c r="G1290" s="46">
        <v>1</v>
      </c>
      <c r="H1290" s="81">
        <f t="shared" si="63"/>
        <v>12994907.700000003</v>
      </c>
      <c r="I1290" s="84">
        <f t="shared" si="64"/>
        <v>0</v>
      </c>
      <c r="J1290" s="56"/>
      <c r="K1290" s="91"/>
    </row>
    <row r="1291" spans="1:11" ht="19">
      <c r="A1291" s="14">
        <v>46094</v>
      </c>
      <c r="B1291" s="83">
        <f>VLOOKUP(A1291,'BADI SID DATA'!A:B,2,0)</f>
        <v>347</v>
      </c>
      <c r="C1291" s="56"/>
      <c r="D1291" s="54"/>
      <c r="E1291" s="54"/>
      <c r="F1291" s="46">
        <v>1</v>
      </c>
      <c r="G1291" s="46">
        <v>1</v>
      </c>
      <c r="H1291" s="81">
        <f t="shared" si="63"/>
        <v>12994907.700000003</v>
      </c>
      <c r="I1291" s="84">
        <f t="shared" si="64"/>
        <v>0</v>
      </c>
      <c r="J1291" s="56"/>
      <c r="K1291" s="91"/>
    </row>
    <row r="1292" spans="1:11" ht="19">
      <c r="A1292" s="14">
        <v>46095</v>
      </c>
      <c r="B1292" s="83">
        <f>VLOOKUP(A1292,'BADI SID DATA'!A:B,2,0)</f>
        <v>348</v>
      </c>
      <c r="C1292" s="56"/>
      <c r="D1292" s="54"/>
      <c r="E1292" s="54"/>
      <c r="F1292" s="46">
        <v>1</v>
      </c>
      <c r="G1292" s="46">
        <v>1</v>
      </c>
      <c r="H1292" s="81">
        <f t="shared" si="63"/>
        <v>12994907.700000003</v>
      </c>
      <c r="I1292" s="84">
        <f t="shared" si="64"/>
        <v>0</v>
      </c>
      <c r="J1292" s="56"/>
      <c r="K1292" s="91"/>
    </row>
    <row r="1293" spans="1:11" ht="19">
      <c r="A1293" s="14">
        <v>46096</v>
      </c>
      <c r="B1293" s="83">
        <f>VLOOKUP(A1293,'BADI SID DATA'!A:B,2,0)</f>
        <v>349</v>
      </c>
      <c r="C1293" s="56"/>
      <c r="D1293" s="54"/>
      <c r="E1293" s="54"/>
      <c r="F1293" s="46">
        <v>1</v>
      </c>
      <c r="G1293" s="46">
        <v>1</v>
      </c>
      <c r="H1293" s="81">
        <f t="shared" si="63"/>
        <v>12994907.700000003</v>
      </c>
      <c r="I1293" s="84">
        <f t="shared" si="64"/>
        <v>0</v>
      </c>
      <c r="J1293" s="56"/>
      <c r="K1293" s="91"/>
    </row>
    <row r="1294" spans="1:11" ht="19">
      <c r="A1294" s="14">
        <v>46097</v>
      </c>
      <c r="B1294" s="83">
        <f>VLOOKUP(A1294,'BADI SID DATA'!A:B,2,0)</f>
        <v>350</v>
      </c>
      <c r="C1294" s="56"/>
      <c r="D1294" s="54"/>
      <c r="E1294" s="54"/>
      <c r="F1294" s="46">
        <v>1</v>
      </c>
      <c r="G1294" s="46">
        <v>1</v>
      </c>
      <c r="H1294" s="81">
        <f t="shared" si="63"/>
        <v>12994907.700000003</v>
      </c>
      <c r="I1294" s="84">
        <f t="shared" si="64"/>
        <v>0</v>
      </c>
      <c r="J1294" s="56"/>
      <c r="K1294" s="91"/>
    </row>
    <row r="1295" spans="1:11" ht="19">
      <c r="A1295" s="14">
        <v>46098</v>
      </c>
      <c r="B1295" s="83">
        <f>VLOOKUP(A1295,'BADI SID DATA'!A:B,2,0)</f>
        <v>351</v>
      </c>
      <c r="C1295" s="56"/>
      <c r="D1295" s="54"/>
      <c r="E1295" s="54"/>
      <c r="F1295" s="46">
        <v>1</v>
      </c>
      <c r="G1295" s="46">
        <v>1</v>
      </c>
      <c r="H1295" s="81">
        <f t="shared" si="63"/>
        <v>12994907.700000003</v>
      </c>
      <c r="I1295" s="84">
        <f t="shared" si="64"/>
        <v>0</v>
      </c>
      <c r="J1295" s="56"/>
      <c r="K1295" s="91"/>
    </row>
    <row r="1296" spans="1:11" ht="19">
      <c r="A1296" s="14">
        <v>46099</v>
      </c>
      <c r="B1296" s="83">
        <f>VLOOKUP(A1296,'BADI SID DATA'!A:B,2,0)</f>
        <v>352</v>
      </c>
      <c r="C1296" s="56"/>
      <c r="D1296" s="54"/>
      <c r="E1296" s="54"/>
      <c r="F1296" s="46">
        <v>1</v>
      </c>
      <c r="G1296" s="46">
        <v>1</v>
      </c>
      <c r="H1296" s="81">
        <f t="shared" si="63"/>
        <v>12994907.700000003</v>
      </c>
      <c r="I1296" s="84">
        <f t="shared" si="64"/>
        <v>0</v>
      </c>
      <c r="J1296" s="56"/>
      <c r="K1296" s="91"/>
    </row>
    <row r="1297" spans="1:11" ht="19">
      <c r="A1297" s="14">
        <v>46100</v>
      </c>
      <c r="B1297" s="83">
        <f>VLOOKUP(A1297,'BADI SID DATA'!A:B,2,0)</f>
        <v>353</v>
      </c>
      <c r="C1297" s="56"/>
      <c r="D1297" s="54"/>
      <c r="E1297" s="54"/>
      <c r="F1297" s="46">
        <v>1</v>
      </c>
      <c r="G1297" s="46">
        <v>1</v>
      </c>
      <c r="H1297" s="81">
        <f t="shared" si="63"/>
        <v>12994907.700000003</v>
      </c>
      <c r="I1297" s="84">
        <f t="shared" si="64"/>
        <v>0</v>
      </c>
      <c r="J1297" s="56"/>
      <c r="K1297" s="91"/>
    </row>
    <row r="1298" spans="1:11" ht="19">
      <c r="A1298" s="14">
        <v>46101</v>
      </c>
      <c r="B1298" s="83">
        <f>VLOOKUP(A1298,'BADI SID DATA'!A:B,2,0)</f>
        <v>354</v>
      </c>
      <c r="C1298" s="56"/>
      <c r="D1298" s="54"/>
      <c r="E1298" s="54"/>
      <c r="F1298" s="46">
        <v>1</v>
      </c>
      <c r="G1298" s="46">
        <v>1</v>
      </c>
      <c r="H1298" s="81">
        <f t="shared" si="63"/>
        <v>12994907.700000003</v>
      </c>
      <c r="I1298" s="84">
        <f t="shared" si="64"/>
        <v>0</v>
      </c>
      <c r="J1298" s="56"/>
      <c r="K1298" s="91"/>
    </row>
    <row r="1299" spans="1:11" ht="19">
      <c r="A1299" s="14">
        <v>46102</v>
      </c>
      <c r="B1299" s="83">
        <f>VLOOKUP(A1299,'BADI SID DATA'!A:B,2,0)</f>
        <v>355</v>
      </c>
      <c r="C1299" s="56"/>
      <c r="D1299" s="54"/>
      <c r="E1299" s="54"/>
      <c r="F1299" s="46">
        <v>1</v>
      </c>
      <c r="G1299" s="46">
        <v>1</v>
      </c>
      <c r="H1299" s="81">
        <f t="shared" si="63"/>
        <v>12994907.700000003</v>
      </c>
      <c r="I1299" s="84">
        <f t="shared" si="64"/>
        <v>0</v>
      </c>
      <c r="J1299" s="56"/>
      <c r="K1299" s="91"/>
    </row>
    <row r="1300" spans="1:11" ht="19">
      <c r="A1300" s="14">
        <v>46103</v>
      </c>
      <c r="B1300" s="83">
        <f>VLOOKUP(A1300,'BADI SID DATA'!A:B,2,0)</f>
        <v>356</v>
      </c>
      <c r="C1300" s="56"/>
      <c r="D1300" s="54"/>
      <c r="E1300" s="54"/>
      <c r="F1300" s="46">
        <v>1</v>
      </c>
      <c r="G1300" s="46">
        <v>1</v>
      </c>
      <c r="H1300" s="81">
        <f t="shared" si="63"/>
        <v>12994907.700000003</v>
      </c>
      <c r="I1300" s="84">
        <f t="shared" si="64"/>
        <v>0</v>
      </c>
      <c r="J1300" s="56"/>
      <c r="K1300" s="91"/>
    </row>
    <row r="1301" spans="1:11" ht="19">
      <c r="A1301" s="14">
        <v>46104</v>
      </c>
      <c r="B1301" s="83">
        <f>VLOOKUP(A1301,'BADI SID DATA'!A:B,2,0)</f>
        <v>357</v>
      </c>
      <c r="C1301" s="56"/>
      <c r="D1301" s="54"/>
      <c r="E1301" s="54"/>
      <c r="F1301" s="46">
        <v>1</v>
      </c>
      <c r="G1301" s="46">
        <v>1</v>
      </c>
      <c r="H1301" s="81">
        <f t="shared" si="63"/>
        <v>12994907.700000003</v>
      </c>
      <c r="I1301" s="84">
        <f t="shared" si="64"/>
        <v>0</v>
      </c>
      <c r="J1301" s="56"/>
      <c r="K1301" s="91"/>
    </row>
    <row r="1302" spans="1:11" ht="19">
      <c r="A1302" s="14">
        <v>46105</v>
      </c>
      <c r="B1302" s="83">
        <f>VLOOKUP(A1302,'BADI SID DATA'!A:B,2,0)</f>
        <v>358</v>
      </c>
      <c r="C1302" s="56"/>
      <c r="D1302" s="54"/>
      <c r="E1302" s="54"/>
      <c r="F1302" s="46">
        <v>1</v>
      </c>
      <c r="G1302" s="46">
        <v>1</v>
      </c>
      <c r="H1302" s="81">
        <f t="shared" si="63"/>
        <v>12994907.700000003</v>
      </c>
      <c r="I1302" s="84">
        <f t="shared" si="64"/>
        <v>0</v>
      </c>
      <c r="J1302" s="56"/>
      <c r="K1302" s="91"/>
    </row>
    <row r="1303" spans="1:11" ht="19">
      <c r="A1303" s="14">
        <v>46106</v>
      </c>
      <c r="B1303" s="83">
        <f>VLOOKUP(A1303,'BADI SID DATA'!A:B,2,0)</f>
        <v>359</v>
      </c>
      <c r="C1303" s="56"/>
      <c r="D1303" s="54"/>
      <c r="E1303" s="54"/>
      <c r="F1303" s="46">
        <v>1</v>
      </c>
      <c r="G1303" s="46">
        <v>1</v>
      </c>
      <c r="H1303" s="81">
        <f t="shared" si="63"/>
        <v>12994907.700000003</v>
      </c>
      <c r="I1303" s="84">
        <f t="shared" si="64"/>
        <v>0</v>
      </c>
      <c r="J1303" s="56"/>
      <c r="K1303" s="91"/>
    </row>
    <row r="1304" spans="1:11" ht="19">
      <c r="A1304" s="14">
        <v>46107</v>
      </c>
      <c r="B1304" s="83">
        <f>VLOOKUP(A1304,'BADI SID DATA'!A:B,2,0)</f>
        <v>360</v>
      </c>
      <c r="C1304" s="56"/>
      <c r="D1304" s="54"/>
      <c r="E1304" s="54"/>
      <c r="F1304" s="46">
        <v>1</v>
      </c>
      <c r="G1304" s="46">
        <v>1</v>
      </c>
      <c r="H1304" s="81">
        <f t="shared" si="63"/>
        <v>12994907.700000003</v>
      </c>
      <c r="I1304" s="84">
        <f t="shared" si="64"/>
        <v>0</v>
      </c>
      <c r="J1304" s="56"/>
      <c r="K1304" s="91"/>
    </row>
    <row r="1305" spans="1:11" ht="19">
      <c r="A1305" s="14">
        <v>46108</v>
      </c>
      <c r="B1305" s="83">
        <f>VLOOKUP(A1305,'BADI SID DATA'!A:B,2,0)</f>
        <v>361</v>
      </c>
      <c r="C1305" s="56"/>
      <c r="D1305" s="54"/>
      <c r="E1305" s="54"/>
      <c r="F1305" s="46">
        <v>1</v>
      </c>
      <c r="G1305" s="46">
        <v>1</v>
      </c>
      <c r="H1305" s="81">
        <f t="shared" si="63"/>
        <v>12994907.700000003</v>
      </c>
      <c r="I1305" s="84">
        <f t="shared" si="64"/>
        <v>0</v>
      </c>
      <c r="J1305" s="56"/>
      <c r="K1305" s="91"/>
    </row>
    <row r="1306" spans="1:11" ht="19">
      <c r="A1306" s="14">
        <v>46109</v>
      </c>
      <c r="B1306" s="83">
        <f>VLOOKUP(A1306,'BADI SID DATA'!A:B,2,0)</f>
        <v>362</v>
      </c>
      <c r="C1306" s="56"/>
      <c r="D1306" s="54"/>
      <c r="E1306" s="54"/>
      <c r="F1306" s="46">
        <v>1</v>
      </c>
      <c r="G1306" s="46">
        <v>1</v>
      </c>
      <c r="H1306" s="81">
        <f t="shared" si="63"/>
        <v>12994907.700000003</v>
      </c>
      <c r="I1306" s="84">
        <f t="shared" si="64"/>
        <v>0</v>
      </c>
      <c r="J1306" s="56"/>
      <c r="K1306" s="91"/>
    </row>
    <row r="1307" spans="1:11" ht="19">
      <c r="A1307" s="14">
        <v>46110</v>
      </c>
      <c r="B1307" s="83">
        <f>VLOOKUP(A1307,'BADI SID DATA'!A:B,2,0)</f>
        <v>363</v>
      </c>
      <c r="C1307" s="56"/>
      <c r="D1307" s="54"/>
      <c r="E1307" s="54"/>
      <c r="F1307" s="46">
        <v>1</v>
      </c>
      <c r="G1307" s="46">
        <v>1</v>
      </c>
      <c r="H1307" s="81">
        <f t="shared" si="63"/>
        <v>12994907.700000003</v>
      </c>
      <c r="I1307" s="84">
        <f t="shared" si="64"/>
        <v>0</v>
      </c>
      <c r="J1307" s="56"/>
      <c r="K1307" s="91"/>
    </row>
    <row r="1308" spans="1:11" ht="19">
      <c r="A1308" s="14">
        <v>46111</v>
      </c>
      <c r="B1308" s="83">
        <f>VLOOKUP(A1308,'BADI SID DATA'!A:B,2,0)</f>
        <v>364</v>
      </c>
      <c r="C1308" s="56"/>
      <c r="D1308" s="54"/>
      <c r="E1308" s="54"/>
      <c r="F1308" s="46">
        <v>1</v>
      </c>
      <c r="G1308" s="46">
        <v>1</v>
      </c>
      <c r="H1308" s="81">
        <f t="shared" si="63"/>
        <v>12994907.700000003</v>
      </c>
      <c r="I1308" s="84">
        <f t="shared" si="64"/>
        <v>0</v>
      </c>
      <c r="J1308" s="56"/>
      <c r="K1308" s="91"/>
    </row>
    <row r="1309" spans="1:11" ht="19">
      <c r="A1309" s="14">
        <v>46112</v>
      </c>
      <c r="B1309" s="83">
        <f>VLOOKUP(A1309,'BADI SID DATA'!A:B,2,0)</f>
        <v>365</v>
      </c>
      <c r="C1309" s="56"/>
      <c r="D1309" s="54"/>
      <c r="E1309" s="54"/>
      <c r="F1309" s="46">
        <v>1</v>
      </c>
      <c r="G1309" s="46">
        <v>1</v>
      </c>
      <c r="H1309" s="81">
        <f t="shared" si="63"/>
        <v>12994907.700000003</v>
      </c>
      <c r="I1309" s="84">
        <f t="shared" si="64"/>
        <v>0</v>
      </c>
      <c r="J1309" s="56"/>
      <c r="K1309" s="91"/>
    </row>
    <row r="1310" spans="1:11" ht="19">
      <c r="A1310" s="14">
        <v>46113</v>
      </c>
      <c r="B1310" s="83">
        <f>VLOOKUP(A1310,'BADI SID DATA'!A:B,2,0)</f>
        <v>1</v>
      </c>
      <c r="C1310" s="56"/>
      <c r="D1310" s="54"/>
      <c r="E1310" s="54"/>
      <c r="F1310" s="46">
        <v>1</v>
      </c>
      <c r="G1310" s="46">
        <v>1</v>
      </c>
      <c r="H1310" s="81">
        <f t="shared" si="63"/>
        <v>12994907.700000003</v>
      </c>
      <c r="I1310" s="84">
        <f t="shared" si="64"/>
        <v>0</v>
      </c>
      <c r="J1310" s="56"/>
      <c r="K1310" s="91"/>
    </row>
    <row r="1311" spans="1:11" ht="19">
      <c r="A1311" s="14">
        <v>46114</v>
      </c>
      <c r="B1311" s="83">
        <f>VLOOKUP(A1311,'BADI SID DATA'!A:B,2,0)</f>
        <v>2</v>
      </c>
      <c r="C1311" s="56"/>
      <c r="D1311" s="54"/>
      <c r="E1311" s="54"/>
      <c r="F1311" s="46">
        <v>1</v>
      </c>
      <c r="G1311" s="46">
        <v>1</v>
      </c>
      <c r="H1311" s="81">
        <f t="shared" si="63"/>
        <v>12994907.700000003</v>
      </c>
      <c r="I1311" s="84">
        <f t="shared" si="64"/>
        <v>0</v>
      </c>
      <c r="J1311" s="56"/>
      <c r="K1311" s="91"/>
    </row>
    <row r="1312" spans="1:11" ht="19">
      <c r="A1312" s="14">
        <v>46115</v>
      </c>
      <c r="B1312" s="83">
        <f>VLOOKUP(A1312,'BADI SID DATA'!A:B,2,0)</f>
        <v>3</v>
      </c>
      <c r="C1312" s="56"/>
      <c r="D1312" s="54"/>
      <c r="E1312" s="54"/>
      <c r="F1312" s="46">
        <v>1</v>
      </c>
      <c r="G1312" s="46">
        <v>1</v>
      </c>
      <c r="H1312" s="81">
        <f t="shared" si="63"/>
        <v>12994907.700000003</v>
      </c>
      <c r="I1312" s="84">
        <f t="shared" si="64"/>
        <v>0</v>
      </c>
      <c r="J1312" s="56"/>
      <c r="K1312" s="91"/>
    </row>
    <row r="1313" spans="1:11" ht="19">
      <c r="A1313" s="14">
        <v>46116</v>
      </c>
      <c r="B1313" s="83">
        <f>VLOOKUP(A1313,'BADI SID DATA'!A:B,2,0)</f>
        <v>4</v>
      </c>
      <c r="C1313" s="56"/>
      <c r="D1313" s="54"/>
      <c r="E1313" s="54"/>
      <c r="F1313" s="46">
        <v>1</v>
      </c>
      <c r="G1313" s="46">
        <v>1</v>
      </c>
      <c r="H1313" s="81">
        <f t="shared" si="63"/>
        <v>12994907.700000003</v>
      </c>
      <c r="I1313" s="84">
        <f t="shared" si="64"/>
        <v>0</v>
      </c>
      <c r="J1313" s="56"/>
      <c r="K1313" s="91"/>
    </row>
    <row r="1314" spans="1:11" ht="19">
      <c r="A1314" s="14">
        <v>46117</v>
      </c>
      <c r="B1314" s="83">
        <f>VLOOKUP(A1314,'BADI SID DATA'!A:B,2,0)</f>
        <v>5</v>
      </c>
      <c r="C1314" s="56"/>
      <c r="D1314" s="54"/>
      <c r="E1314" s="54"/>
      <c r="F1314" s="46">
        <v>1</v>
      </c>
      <c r="G1314" s="46">
        <v>1</v>
      </c>
      <c r="H1314" s="81">
        <f t="shared" si="63"/>
        <v>12994907.700000003</v>
      </c>
      <c r="I1314" s="84">
        <f t="shared" si="64"/>
        <v>0</v>
      </c>
      <c r="J1314" s="56"/>
      <c r="K1314" s="91"/>
    </row>
    <row r="1315" spans="1:11" ht="19">
      <c r="A1315" s="14">
        <v>46118</v>
      </c>
      <c r="B1315" s="83">
        <f>VLOOKUP(A1315,'BADI SID DATA'!A:B,2,0)</f>
        <v>6</v>
      </c>
      <c r="C1315" s="56"/>
      <c r="D1315" s="54"/>
      <c r="E1315" s="54"/>
      <c r="F1315" s="46">
        <v>1</v>
      </c>
      <c r="G1315" s="46">
        <v>1</v>
      </c>
      <c r="H1315" s="81">
        <f t="shared" si="63"/>
        <v>12994907.700000003</v>
      </c>
      <c r="I1315" s="84">
        <f t="shared" si="64"/>
        <v>0</v>
      </c>
      <c r="J1315" s="56"/>
      <c r="K1315" s="91"/>
    </row>
    <row r="1316" spans="1:11" ht="19">
      <c r="A1316" s="14">
        <v>46119</v>
      </c>
      <c r="B1316" s="83">
        <f>VLOOKUP(A1316,'BADI SID DATA'!A:B,2,0)</f>
        <v>7</v>
      </c>
      <c r="C1316" s="56"/>
      <c r="D1316" s="54"/>
      <c r="E1316" s="54"/>
      <c r="F1316" s="46">
        <v>1</v>
      </c>
      <c r="G1316" s="46">
        <v>1</v>
      </c>
      <c r="H1316" s="81">
        <f t="shared" si="63"/>
        <v>12994907.700000003</v>
      </c>
      <c r="I1316" s="84">
        <f t="shared" si="64"/>
        <v>0</v>
      </c>
      <c r="J1316" s="56"/>
      <c r="K1316" s="91"/>
    </row>
    <row r="1317" spans="1:11" ht="19">
      <c r="A1317" s="14">
        <v>46120</v>
      </c>
      <c r="B1317" s="83">
        <f>VLOOKUP(A1317,'BADI SID DATA'!A:B,2,0)</f>
        <v>8</v>
      </c>
      <c r="C1317" s="56"/>
      <c r="D1317" s="54"/>
      <c r="E1317" s="54"/>
      <c r="F1317" s="46">
        <v>1</v>
      </c>
      <c r="G1317" s="46">
        <v>1</v>
      </c>
      <c r="H1317" s="81">
        <f t="shared" si="63"/>
        <v>12994907.700000003</v>
      </c>
      <c r="I1317" s="84">
        <f t="shared" si="64"/>
        <v>0</v>
      </c>
      <c r="J1317" s="56"/>
      <c r="K1317" s="91"/>
    </row>
    <row r="1318" spans="1:11" ht="19">
      <c r="A1318" s="14">
        <v>46121</v>
      </c>
      <c r="B1318" s="83">
        <f>VLOOKUP(A1318,'BADI SID DATA'!A:B,2,0)</f>
        <v>9</v>
      </c>
      <c r="C1318" s="56"/>
      <c r="D1318" s="54"/>
      <c r="E1318" s="54"/>
      <c r="F1318" s="46">
        <v>1</v>
      </c>
      <c r="G1318" s="46">
        <v>1</v>
      </c>
      <c r="H1318" s="81">
        <f t="shared" si="63"/>
        <v>12994907.700000003</v>
      </c>
      <c r="I1318" s="84">
        <f t="shared" si="64"/>
        <v>0</v>
      </c>
      <c r="J1318" s="56"/>
      <c r="K1318" s="91"/>
    </row>
    <row r="1319" spans="1:11" ht="19">
      <c r="A1319" s="14">
        <v>46122</v>
      </c>
      <c r="B1319" s="83">
        <f>VLOOKUP(A1319,'BADI SID DATA'!A:B,2,0)</f>
        <v>10</v>
      </c>
      <c r="C1319" s="56"/>
      <c r="D1319" s="54"/>
      <c r="E1319" s="54"/>
      <c r="F1319" s="46">
        <v>1</v>
      </c>
      <c r="G1319" s="46">
        <v>1</v>
      </c>
      <c r="H1319" s="81">
        <f t="shared" si="63"/>
        <v>12994907.700000003</v>
      </c>
      <c r="I1319" s="84">
        <f t="shared" si="64"/>
        <v>0</v>
      </c>
      <c r="J1319" s="56"/>
      <c r="K1319" s="91"/>
    </row>
    <row r="1320" spans="1:11" ht="19">
      <c r="A1320" s="14">
        <v>46123</v>
      </c>
      <c r="B1320" s="83">
        <f>VLOOKUP(A1320,'BADI SID DATA'!A:B,2,0)</f>
        <v>11</v>
      </c>
      <c r="C1320" s="56"/>
      <c r="D1320" s="54"/>
      <c r="E1320" s="54"/>
      <c r="F1320" s="46">
        <v>1</v>
      </c>
      <c r="G1320" s="46">
        <v>1</v>
      </c>
      <c r="H1320" s="81">
        <f t="shared" si="63"/>
        <v>12994907.700000003</v>
      </c>
      <c r="I1320" s="84">
        <f t="shared" si="64"/>
        <v>0</v>
      </c>
      <c r="J1320" s="56"/>
      <c r="K1320" s="91"/>
    </row>
    <row r="1321" spans="1:11" ht="19">
      <c r="A1321" s="14">
        <v>46124</v>
      </c>
      <c r="B1321" s="83">
        <f>VLOOKUP(A1321,'BADI SID DATA'!A:B,2,0)</f>
        <v>12</v>
      </c>
      <c r="C1321" s="56"/>
      <c r="D1321" s="54"/>
      <c r="E1321" s="54"/>
      <c r="F1321" s="46">
        <v>1</v>
      </c>
      <c r="G1321" s="46">
        <v>1</v>
      </c>
      <c r="H1321" s="81">
        <f t="shared" si="63"/>
        <v>12994907.700000003</v>
      </c>
      <c r="I1321" s="84">
        <f t="shared" si="64"/>
        <v>0</v>
      </c>
      <c r="J1321" s="56"/>
      <c r="K1321" s="91"/>
    </row>
    <row r="1322" spans="1:11" ht="19">
      <c r="A1322" s="14">
        <v>46125</v>
      </c>
      <c r="B1322" s="83">
        <f>VLOOKUP(A1322,'BADI SID DATA'!A:B,2,0)</f>
        <v>13</v>
      </c>
      <c r="C1322" s="56"/>
      <c r="D1322" s="54"/>
      <c r="E1322" s="54"/>
      <c r="F1322" s="46">
        <v>1</v>
      </c>
      <c r="G1322" s="46">
        <v>1</v>
      </c>
      <c r="H1322" s="81">
        <f t="shared" si="63"/>
        <v>12994907.700000003</v>
      </c>
      <c r="I1322" s="84">
        <f t="shared" si="64"/>
        <v>0</v>
      </c>
      <c r="J1322" s="56"/>
      <c r="K1322" s="91"/>
    </row>
    <row r="1323" spans="1:11" ht="19">
      <c r="A1323" s="14">
        <v>46126</v>
      </c>
      <c r="B1323" s="83">
        <f>VLOOKUP(A1323,'BADI SID DATA'!A:B,2,0)</f>
        <v>14</v>
      </c>
      <c r="C1323" s="56"/>
      <c r="D1323" s="54"/>
      <c r="E1323" s="54"/>
      <c r="F1323" s="46">
        <v>1</v>
      </c>
      <c r="G1323" s="46">
        <v>1</v>
      </c>
      <c r="H1323" s="81">
        <f t="shared" si="63"/>
        <v>12994907.700000003</v>
      </c>
      <c r="I1323" s="84">
        <f t="shared" si="64"/>
        <v>0</v>
      </c>
      <c r="J1323" s="56"/>
      <c r="K1323" s="91"/>
    </row>
    <row r="1324" spans="1:11" ht="19">
      <c r="A1324" s="14">
        <v>46127</v>
      </c>
      <c r="B1324" s="83">
        <f>VLOOKUP(A1324,'BADI SID DATA'!A:B,2,0)</f>
        <v>15</v>
      </c>
      <c r="C1324" s="56"/>
      <c r="D1324" s="54"/>
      <c r="E1324" s="54"/>
      <c r="F1324" s="46">
        <v>1</v>
      </c>
      <c r="G1324" s="46">
        <v>1</v>
      </c>
      <c r="H1324" s="81">
        <f t="shared" ref="H1324:H1387" si="65">C1324+H1323</f>
        <v>12994907.700000003</v>
      </c>
      <c r="I1324" s="84">
        <f t="shared" ref="I1324:I1387" si="66">C1324/(10*24*1000)</f>
        <v>0</v>
      </c>
      <c r="J1324" s="56"/>
      <c r="K1324" s="91"/>
    </row>
    <row r="1325" spans="1:11" ht="19">
      <c r="A1325" s="14">
        <v>46128</v>
      </c>
      <c r="B1325" s="83">
        <f>VLOOKUP(A1325,'BADI SID DATA'!A:B,2,0)</f>
        <v>16</v>
      </c>
      <c r="C1325" s="56"/>
      <c r="D1325" s="54"/>
      <c r="E1325" s="54"/>
      <c r="F1325" s="46">
        <v>1</v>
      </c>
      <c r="G1325" s="46">
        <v>1</v>
      </c>
      <c r="H1325" s="81">
        <f t="shared" si="65"/>
        <v>12994907.700000003</v>
      </c>
      <c r="I1325" s="84">
        <f t="shared" si="66"/>
        <v>0</v>
      </c>
      <c r="J1325" s="56"/>
      <c r="K1325" s="91"/>
    </row>
    <row r="1326" spans="1:11" ht="19">
      <c r="A1326" s="14">
        <v>46129</v>
      </c>
      <c r="B1326" s="83">
        <f>VLOOKUP(A1326,'BADI SID DATA'!A:B,2,0)</f>
        <v>17</v>
      </c>
      <c r="C1326" s="56"/>
      <c r="D1326" s="54"/>
      <c r="E1326" s="54"/>
      <c r="F1326" s="46">
        <v>1</v>
      </c>
      <c r="G1326" s="46">
        <v>1</v>
      </c>
      <c r="H1326" s="81">
        <f t="shared" si="65"/>
        <v>12994907.700000003</v>
      </c>
      <c r="I1326" s="84">
        <f t="shared" si="66"/>
        <v>0</v>
      </c>
      <c r="J1326" s="56"/>
      <c r="K1326" s="91"/>
    </row>
    <row r="1327" spans="1:11" ht="19">
      <c r="A1327" s="14">
        <v>46130</v>
      </c>
      <c r="B1327" s="83">
        <f>VLOOKUP(A1327,'BADI SID DATA'!A:B,2,0)</f>
        <v>18</v>
      </c>
      <c r="C1327" s="56"/>
      <c r="D1327" s="54"/>
      <c r="E1327" s="54"/>
      <c r="F1327" s="46">
        <v>1</v>
      </c>
      <c r="G1327" s="46">
        <v>1</v>
      </c>
      <c r="H1327" s="81">
        <f t="shared" si="65"/>
        <v>12994907.700000003</v>
      </c>
      <c r="I1327" s="84">
        <f t="shared" si="66"/>
        <v>0</v>
      </c>
      <c r="J1327" s="56"/>
      <c r="K1327" s="91"/>
    </row>
    <row r="1328" spans="1:11" ht="19">
      <c r="A1328" s="14">
        <v>46131</v>
      </c>
      <c r="B1328" s="83">
        <f>VLOOKUP(A1328,'BADI SID DATA'!A:B,2,0)</f>
        <v>19</v>
      </c>
      <c r="C1328" s="56"/>
      <c r="D1328" s="54"/>
      <c r="E1328" s="54"/>
      <c r="F1328" s="46">
        <v>1</v>
      </c>
      <c r="G1328" s="46">
        <v>1</v>
      </c>
      <c r="H1328" s="81">
        <f t="shared" si="65"/>
        <v>12994907.700000003</v>
      </c>
      <c r="I1328" s="84">
        <f t="shared" si="66"/>
        <v>0</v>
      </c>
      <c r="J1328" s="56"/>
      <c r="K1328" s="91"/>
    </row>
    <row r="1329" spans="1:11" ht="19">
      <c r="A1329" s="14">
        <v>46132</v>
      </c>
      <c r="B1329" s="83">
        <f>VLOOKUP(A1329,'BADI SID DATA'!A:B,2,0)</f>
        <v>20</v>
      </c>
      <c r="C1329" s="56"/>
      <c r="D1329" s="54"/>
      <c r="E1329" s="54"/>
      <c r="F1329" s="46">
        <v>1</v>
      </c>
      <c r="G1329" s="46">
        <v>1</v>
      </c>
      <c r="H1329" s="81">
        <f t="shared" si="65"/>
        <v>12994907.700000003</v>
      </c>
      <c r="I1329" s="84">
        <f t="shared" si="66"/>
        <v>0</v>
      </c>
      <c r="J1329" s="56"/>
      <c r="K1329" s="91"/>
    </row>
    <row r="1330" spans="1:11" ht="19">
      <c r="A1330" s="14">
        <v>46133</v>
      </c>
      <c r="B1330" s="83">
        <f>VLOOKUP(A1330,'BADI SID DATA'!A:B,2,0)</f>
        <v>21</v>
      </c>
      <c r="C1330" s="56"/>
      <c r="D1330" s="54"/>
      <c r="E1330" s="54"/>
      <c r="F1330" s="46">
        <v>1</v>
      </c>
      <c r="G1330" s="46">
        <v>1</v>
      </c>
      <c r="H1330" s="81">
        <f t="shared" si="65"/>
        <v>12994907.700000003</v>
      </c>
      <c r="I1330" s="84">
        <f t="shared" si="66"/>
        <v>0</v>
      </c>
      <c r="J1330" s="56"/>
      <c r="K1330" s="91"/>
    </row>
    <row r="1331" spans="1:11" ht="19">
      <c r="A1331" s="14">
        <v>46134</v>
      </c>
      <c r="B1331" s="83">
        <f>VLOOKUP(A1331,'BADI SID DATA'!A:B,2,0)</f>
        <v>22</v>
      </c>
      <c r="C1331" s="56"/>
      <c r="D1331" s="54"/>
      <c r="E1331" s="54"/>
      <c r="F1331" s="46">
        <v>1</v>
      </c>
      <c r="G1331" s="46">
        <v>1</v>
      </c>
      <c r="H1331" s="81">
        <f t="shared" si="65"/>
        <v>12994907.700000003</v>
      </c>
      <c r="I1331" s="84">
        <f t="shared" si="66"/>
        <v>0</v>
      </c>
      <c r="J1331" s="56"/>
      <c r="K1331" s="91"/>
    </row>
    <row r="1332" spans="1:11" ht="19">
      <c r="A1332" s="14">
        <v>46135</v>
      </c>
      <c r="B1332" s="83">
        <f>VLOOKUP(A1332,'BADI SID DATA'!A:B,2,0)</f>
        <v>23</v>
      </c>
      <c r="C1332" s="56"/>
      <c r="D1332" s="54"/>
      <c r="E1332" s="54"/>
      <c r="F1332" s="46">
        <v>1</v>
      </c>
      <c r="G1332" s="46">
        <v>1</v>
      </c>
      <c r="H1332" s="81">
        <f t="shared" si="65"/>
        <v>12994907.700000003</v>
      </c>
      <c r="I1332" s="84">
        <f t="shared" si="66"/>
        <v>0</v>
      </c>
      <c r="J1332" s="56"/>
      <c r="K1332" s="91"/>
    </row>
    <row r="1333" spans="1:11" ht="19">
      <c r="A1333" s="14">
        <v>46136</v>
      </c>
      <c r="B1333" s="83">
        <f>VLOOKUP(A1333,'BADI SID DATA'!A:B,2,0)</f>
        <v>24</v>
      </c>
      <c r="C1333" s="56"/>
      <c r="D1333" s="54"/>
      <c r="E1333" s="54"/>
      <c r="F1333" s="46">
        <v>1</v>
      </c>
      <c r="G1333" s="46">
        <v>1</v>
      </c>
      <c r="H1333" s="81">
        <f t="shared" si="65"/>
        <v>12994907.700000003</v>
      </c>
      <c r="I1333" s="84">
        <f t="shared" si="66"/>
        <v>0</v>
      </c>
      <c r="J1333" s="56"/>
      <c r="K1333" s="91"/>
    </row>
    <row r="1334" spans="1:11" ht="19">
      <c r="A1334" s="14">
        <v>46137</v>
      </c>
      <c r="B1334" s="83">
        <f>VLOOKUP(A1334,'BADI SID DATA'!A:B,2,0)</f>
        <v>25</v>
      </c>
      <c r="C1334" s="56"/>
      <c r="D1334" s="54"/>
      <c r="E1334" s="54"/>
      <c r="F1334" s="46">
        <v>1</v>
      </c>
      <c r="G1334" s="46">
        <v>1</v>
      </c>
      <c r="H1334" s="81">
        <f t="shared" si="65"/>
        <v>12994907.700000003</v>
      </c>
      <c r="I1334" s="84">
        <f t="shared" si="66"/>
        <v>0</v>
      </c>
      <c r="J1334" s="56"/>
      <c r="K1334" s="91"/>
    </row>
    <row r="1335" spans="1:11" ht="19">
      <c r="A1335" s="14">
        <v>46138</v>
      </c>
      <c r="B1335" s="83">
        <f>VLOOKUP(A1335,'BADI SID DATA'!A:B,2,0)</f>
        <v>26</v>
      </c>
      <c r="C1335" s="56"/>
      <c r="D1335" s="54"/>
      <c r="E1335" s="54"/>
      <c r="F1335" s="46">
        <v>1</v>
      </c>
      <c r="G1335" s="46">
        <v>1</v>
      </c>
      <c r="H1335" s="81">
        <f t="shared" si="65"/>
        <v>12994907.700000003</v>
      </c>
      <c r="I1335" s="84">
        <f t="shared" si="66"/>
        <v>0</v>
      </c>
      <c r="J1335" s="56"/>
      <c r="K1335" s="91"/>
    </row>
    <row r="1336" spans="1:11" ht="19">
      <c r="A1336" s="14">
        <v>46139</v>
      </c>
      <c r="B1336" s="83">
        <f>VLOOKUP(A1336,'BADI SID DATA'!A:B,2,0)</f>
        <v>27</v>
      </c>
      <c r="C1336" s="56"/>
      <c r="D1336" s="54"/>
      <c r="E1336" s="54"/>
      <c r="F1336" s="46">
        <v>1</v>
      </c>
      <c r="G1336" s="46">
        <v>1</v>
      </c>
      <c r="H1336" s="81">
        <f t="shared" si="65"/>
        <v>12994907.700000003</v>
      </c>
      <c r="I1336" s="84">
        <f t="shared" si="66"/>
        <v>0</v>
      </c>
      <c r="J1336" s="56"/>
      <c r="K1336" s="91"/>
    </row>
    <row r="1337" spans="1:11" ht="19">
      <c r="A1337" s="14">
        <v>46140</v>
      </c>
      <c r="B1337" s="83">
        <f>VLOOKUP(A1337,'BADI SID DATA'!A:B,2,0)</f>
        <v>28</v>
      </c>
      <c r="C1337" s="56"/>
      <c r="D1337" s="54"/>
      <c r="E1337" s="54"/>
      <c r="F1337" s="46">
        <v>1</v>
      </c>
      <c r="G1337" s="46">
        <v>1</v>
      </c>
      <c r="H1337" s="81">
        <f t="shared" si="65"/>
        <v>12994907.700000003</v>
      </c>
      <c r="I1337" s="84">
        <f t="shared" si="66"/>
        <v>0</v>
      </c>
      <c r="J1337" s="56"/>
      <c r="K1337" s="91"/>
    </row>
    <row r="1338" spans="1:11" ht="19">
      <c r="A1338" s="14">
        <v>46141</v>
      </c>
      <c r="B1338" s="83">
        <f>VLOOKUP(A1338,'BADI SID DATA'!A:B,2,0)</f>
        <v>29</v>
      </c>
      <c r="C1338" s="56"/>
      <c r="D1338" s="54"/>
      <c r="E1338" s="54"/>
      <c r="F1338" s="46">
        <v>1</v>
      </c>
      <c r="G1338" s="46">
        <v>1</v>
      </c>
      <c r="H1338" s="81">
        <f t="shared" si="65"/>
        <v>12994907.700000003</v>
      </c>
      <c r="I1338" s="84">
        <f t="shared" si="66"/>
        <v>0</v>
      </c>
      <c r="J1338" s="56"/>
      <c r="K1338" s="91"/>
    </row>
    <row r="1339" spans="1:11" ht="19">
      <c r="A1339" s="14">
        <v>46142</v>
      </c>
      <c r="B1339" s="83">
        <f>VLOOKUP(A1339,'BADI SID DATA'!A:B,2,0)</f>
        <v>30</v>
      </c>
      <c r="C1339" s="56"/>
      <c r="D1339" s="54"/>
      <c r="E1339" s="54"/>
      <c r="F1339" s="46">
        <v>1</v>
      </c>
      <c r="G1339" s="46">
        <v>1</v>
      </c>
      <c r="H1339" s="81">
        <f t="shared" si="65"/>
        <v>12994907.700000003</v>
      </c>
      <c r="I1339" s="84">
        <f t="shared" si="66"/>
        <v>0</v>
      </c>
      <c r="J1339" s="56"/>
      <c r="K1339" s="91"/>
    </row>
    <row r="1340" spans="1:11" ht="19">
      <c r="A1340" s="14">
        <v>46143</v>
      </c>
      <c r="B1340" s="83">
        <f>VLOOKUP(A1340,'BADI SID DATA'!A:B,2,0)</f>
        <v>31</v>
      </c>
      <c r="C1340" s="56"/>
      <c r="D1340" s="54"/>
      <c r="E1340" s="54"/>
      <c r="F1340" s="46">
        <v>1</v>
      </c>
      <c r="G1340" s="46">
        <v>1</v>
      </c>
      <c r="H1340" s="81">
        <f t="shared" si="65"/>
        <v>12994907.700000003</v>
      </c>
      <c r="I1340" s="84">
        <f t="shared" si="66"/>
        <v>0</v>
      </c>
      <c r="J1340" s="56"/>
      <c r="K1340" s="91"/>
    </row>
    <row r="1341" spans="1:11" ht="19">
      <c r="A1341" s="14">
        <v>46144</v>
      </c>
      <c r="B1341" s="83">
        <f>VLOOKUP(A1341,'BADI SID DATA'!A:B,2,0)</f>
        <v>32</v>
      </c>
      <c r="C1341" s="56"/>
      <c r="D1341" s="54"/>
      <c r="E1341" s="54"/>
      <c r="F1341" s="46">
        <v>1</v>
      </c>
      <c r="G1341" s="46">
        <v>1</v>
      </c>
      <c r="H1341" s="81">
        <f t="shared" si="65"/>
        <v>12994907.700000003</v>
      </c>
      <c r="I1341" s="84">
        <f t="shared" si="66"/>
        <v>0</v>
      </c>
      <c r="J1341" s="56"/>
      <c r="K1341" s="91"/>
    </row>
    <row r="1342" spans="1:11" ht="19">
      <c r="A1342" s="14">
        <v>46145</v>
      </c>
      <c r="B1342" s="83">
        <f>VLOOKUP(A1342,'BADI SID DATA'!A:B,2,0)</f>
        <v>33</v>
      </c>
      <c r="C1342" s="56"/>
      <c r="D1342" s="54"/>
      <c r="E1342" s="54"/>
      <c r="F1342" s="46">
        <v>1</v>
      </c>
      <c r="G1342" s="46">
        <v>1</v>
      </c>
      <c r="H1342" s="81">
        <f t="shared" si="65"/>
        <v>12994907.700000003</v>
      </c>
      <c r="I1342" s="84">
        <f t="shared" si="66"/>
        <v>0</v>
      </c>
      <c r="J1342" s="56"/>
      <c r="K1342" s="91"/>
    </row>
    <row r="1343" spans="1:11" ht="19">
      <c r="A1343" s="14">
        <v>46146</v>
      </c>
      <c r="B1343" s="83">
        <f>VLOOKUP(A1343,'BADI SID DATA'!A:B,2,0)</f>
        <v>34</v>
      </c>
      <c r="C1343" s="56"/>
      <c r="D1343" s="54"/>
      <c r="E1343" s="54"/>
      <c r="F1343" s="46">
        <v>1</v>
      </c>
      <c r="G1343" s="46">
        <v>1</v>
      </c>
      <c r="H1343" s="81">
        <f t="shared" si="65"/>
        <v>12994907.700000003</v>
      </c>
      <c r="I1343" s="84">
        <f t="shared" si="66"/>
        <v>0</v>
      </c>
      <c r="J1343" s="56"/>
      <c r="K1343" s="91"/>
    </row>
    <row r="1344" spans="1:11" ht="19">
      <c r="A1344" s="14">
        <v>46147</v>
      </c>
      <c r="B1344" s="83">
        <f>VLOOKUP(A1344,'BADI SID DATA'!A:B,2,0)</f>
        <v>35</v>
      </c>
      <c r="C1344" s="56"/>
      <c r="D1344" s="54"/>
      <c r="E1344" s="54"/>
      <c r="F1344" s="46">
        <v>1</v>
      </c>
      <c r="G1344" s="46">
        <v>1</v>
      </c>
      <c r="H1344" s="81">
        <f t="shared" si="65"/>
        <v>12994907.700000003</v>
      </c>
      <c r="I1344" s="84">
        <f t="shared" si="66"/>
        <v>0</v>
      </c>
      <c r="J1344" s="56"/>
      <c r="K1344" s="91"/>
    </row>
    <row r="1345" spans="1:11" ht="19">
      <c r="A1345" s="14">
        <v>46148</v>
      </c>
      <c r="B1345" s="83">
        <f>VLOOKUP(A1345,'BADI SID DATA'!A:B,2,0)</f>
        <v>36</v>
      </c>
      <c r="C1345" s="56"/>
      <c r="D1345" s="54"/>
      <c r="E1345" s="54"/>
      <c r="F1345" s="46">
        <v>1</v>
      </c>
      <c r="G1345" s="46">
        <v>1</v>
      </c>
      <c r="H1345" s="81">
        <f t="shared" si="65"/>
        <v>12994907.700000003</v>
      </c>
      <c r="I1345" s="84">
        <f t="shared" si="66"/>
        <v>0</v>
      </c>
      <c r="J1345" s="56"/>
      <c r="K1345" s="91"/>
    </row>
    <row r="1346" spans="1:11" ht="19">
      <c r="A1346" s="14">
        <v>46149</v>
      </c>
      <c r="B1346" s="83">
        <f>VLOOKUP(A1346,'BADI SID DATA'!A:B,2,0)</f>
        <v>37</v>
      </c>
      <c r="C1346" s="56"/>
      <c r="D1346" s="54"/>
      <c r="E1346" s="54"/>
      <c r="F1346" s="46">
        <v>1</v>
      </c>
      <c r="G1346" s="46">
        <v>1</v>
      </c>
      <c r="H1346" s="81">
        <f t="shared" si="65"/>
        <v>12994907.700000003</v>
      </c>
      <c r="I1346" s="84">
        <f t="shared" si="66"/>
        <v>0</v>
      </c>
      <c r="J1346" s="56"/>
      <c r="K1346" s="91"/>
    </row>
    <row r="1347" spans="1:11" ht="19">
      <c r="A1347" s="14">
        <v>46150</v>
      </c>
      <c r="B1347" s="83">
        <f>VLOOKUP(A1347,'BADI SID DATA'!A:B,2,0)</f>
        <v>38</v>
      </c>
      <c r="C1347" s="56"/>
      <c r="D1347" s="54"/>
      <c r="E1347" s="54"/>
      <c r="F1347" s="46">
        <v>1</v>
      </c>
      <c r="G1347" s="46">
        <v>1</v>
      </c>
      <c r="H1347" s="81">
        <f t="shared" si="65"/>
        <v>12994907.700000003</v>
      </c>
      <c r="I1347" s="84">
        <f t="shared" si="66"/>
        <v>0</v>
      </c>
      <c r="J1347" s="56"/>
      <c r="K1347" s="91"/>
    </row>
    <row r="1348" spans="1:11" ht="19">
      <c r="A1348" s="14">
        <v>46151</v>
      </c>
      <c r="B1348" s="83">
        <f>VLOOKUP(A1348,'BADI SID DATA'!A:B,2,0)</f>
        <v>39</v>
      </c>
      <c r="C1348" s="56"/>
      <c r="D1348" s="54"/>
      <c r="E1348" s="54"/>
      <c r="F1348" s="46">
        <v>1</v>
      </c>
      <c r="G1348" s="46">
        <v>1</v>
      </c>
      <c r="H1348" s="81">
        <f t="shared" si="65"/>
        <v>12994907.700000003</v>
      </c>
      <c r="I1348" s="84">
        <f t="shared" si="66"/>
        <v>0</v>
      </c>
      <c r="J1348" s="56"/>
      <c r="K1348" s="91"/>
    </row>
    <row r="1349" spans="1:11" ht="19">
      <c r="A1349" s="14">
        <v>46152</v>
      </c>
      <c r="B1349" s="83">
        <f>VLOOKUP(A1349,'BADI SID DATA'!A:B,2,0)</f>
        <v>40</v>
      </c>
      <c r="C1349" s="56"/>
      <c r="D1349" s="54"/>
      <c r="E1349" s="54"/>
      <c r="F1349" s="46">
        <v>1</v>
      </c>
      <c r="G1349" s="46">
        <v>1</v>
      </c>
      <c r="H1349" s="81">
        <f t="shared" si="65"/>
        <v>12994907.700000003</v>
      </c>
      <c r="I1349" s="84">
        <f t="shared" si="66"/>
        <v>0</v>
      </c>
      <c r="J1349" s="56"/>
      <c r="K1349" s="91"/>
    </row>
    <row r="1350" spans="1:11" ht="19">
      <c r="A1350" s="14">
        <v>46153</v>
      </c>
      <c r="B1350" s="83">
        <f>VLOOKUP(A1350,'BADI SID DATA'!A:B,2,0)</f>
        <v>41</v>
      </c>
      <c r="C1350" s="56"/>
      <c r="D1350" s="54"/>
      <c r="E1350" s="54"/>
      <c r="F1350" s="46">
        <v>1</v>
      </c>
      <c r="G1350" s="46">
        <v>1</v>
      </c>
      <c r="H1350" s="81">
        <f t="shared" si="65"/>
        <v>12994907.700000003</v>
      </c>
      <c r="I1350" s="84">
        <f t="shared" si="66"/>
        <v>0</v>
      </c>
      <c r="J1350" s="56"/>
      <c r="K1350" s="91"/>
    </row>
    <row r="1351" spans="1:11" ht="19">
      <c r="A1351" s="14">
        <v>46154</v>
      </c>
      <c r="B1351" s="83">
        <f>VLOOKUP(A1351,'BADI SID DATA'!A:B,2,0)</f>
        <v>42</v>
      </c>
      <c r="C1351" s="56"/>
      <c r="D1351" s="54"/>
      <c r="E1351" s="54"/>
      <c r="F1351" s="46">
        <v>1</v>
      </c>
      <c r="G1351" s="46">
        <v>1</v>
      </c>
      <c r="H1351" s="81">
        <f t="shared" si="65"/>
        <v>12994907.700000003</v>
      </c>
      <c r="I1351" s="84">
        <f t="shared" si="66"/>
        <v>0</v>
      </c>
      <c r="J1351" s="56"/>
      <c r="K1351" s="91"/>
    </row>
    <row r="1352" spans="1:11" ht="19">
      <c r="A1352" s="14">
        <v>46155</v>
      </c>
      <c r="B1352" s="83">
        <f>VLOOKUP(A1352,'BADI SID DATA'!A:B,2,0)</f>
        <v>43</v>
      </c>
      <c r="C1352" s="56"/>
      <c r="D1352" s="54"/>
      <c r="E1352" s="54"/>
      <c r="F1352" s="46">
        <v>1</v>
      </c>
      <c r="G1352" s="46">
        <v>1</v>
      </c>
      <c r="H1352" s="81">
        <f t="shared" si="65"/>
        <v>12994907.700000003</v>
      </c>
      <c r="I1352" s="84">
        <f t="shared" si="66"/>
        <v>0</v>
      </c>
      <c r="J1352" s="56"/>
      <c r="K1352" s="91"/>
    </row>
    <row r="1353" spans="1:11" ht="19">
      <c r="A1353" s="14">
        <v>46156</v>
      </c>
      <c r="B1353" s="83">
        <f>VLOOKUP(A1353,'BADI SID DATA'!A:B,2,0)</f>
        <v>44</v>
      </c>
      <c r="C1353" s="56"/>
      <c r="D1353" s="54"/>
      <c r="E1353" s="54"/>
      <c r="F1353" s="46">
        <v>1</v>
      </c>
      <c r="G1353" s="46">
        <v>1</v>
      </c>
      <c r="H1353" s="81">
        <f t="shared" si="65"/>
        <v>12994907.700000003</v>
      </c>
      <c r="I1353" s="84">
        <f t="shared" si="66"/>
        <v>0</v>
      </c>
      <c r="J1353" s="56"/>
      <c r="K1353" s="91"/>
    </row>
    <row r="1354" spans="1:11" ht="19">
      <c r="A1354" s="14">
        <v>46157</v>
      </c>
      <c r="B1354" s="83">
        <f>VLOOKUP(A1354,'BADI SID DATA'!A:B,2,0)</f>
        <v>45</v>
      </c>
      <c r="C1354" s="56"/>
      <c r="D1354" s="54"/>
      <c r="E1354" s="54"/>
      <c r="F1354" s="46">
        <v>1</v>
      </c>
      <c r="G1354" s="46">
        <v>1</v>
      </c>
      <c r="H1354" s="81">
        <f t="shared" si="65"/>
        <v>12994907.700000003</v>
      </c>
      <c r="I1354" s="84">
        <f t="shared" si="66"/>
        <v>0</v>
      </c>
      <c r="J1354" s="56"/>
      <c r="K1354" s="91"/>
    </row>
    <row r="1355" spans="1:11" ht="19">
      <c r="A1355" s="14">
        <v>46158</v>
      </c>
      <c r="B1355" s="83">
        <f>VLOOKUP(A1355,'BADI SID DATA'!A:B,2,0)</f>
        <v>46</v>
      </c>
      <c r="C1355" s="56"/>
      <c r="D1355" s="54"/>
      <c r="E1355" s="54"/>
      <c r="F1355" s="46">
        <v>1</v>
      </c>
      <c r="G1355" s="46">
        <v>1</v>
      </c>
      <c r="H1355" s="81">
        <f t="shared" si="65"/>
        <v>12994907.700000003</v>
      </c>
      <c r="I1355" s="84">
        <f t="shared" si="66"/>
        <v>0</v>
      </c>
      <c r="J1355" s="56"/>
      <c r="K1355" s="91"/>
    </row>
    <row r="1356" spans="1:11" ht="19">
      <c r="A1356" s="14">
        <v>46159</v>
      </c>
      <c r="B1356" s="83">
        <f>VLOOKUP(A1356,'BADI SID DATA'!A:B,2,0)</f>
        <v>47</v>
      </c>
      <c r="C1356" s="56"/>
      <c r="D1356" s="54"/>
      <c r="E1356" s="54"/>
      <c r="F1356" s="46">
        <v>1</v>
      </c>
      <c r="G1356" s="46">
        <v>1</v>
      </c>
      <c r="H1356" s="81">
        <f t="shared" si="65"/>
        <v>12994907.700000003</v>
      </c>
      <c r="I1356" s="84">
        <f t="shared" si="66"/>
        <v>0</v>
      </c>
      <c r="J1356" s="56"/>
      <c r="K1356" s="91"/>
    </row>
    <row r="1357" spans="1:11" ht="19">
      <c r="A1357" s="14">
        <v>46160</v>
      </c>
      <c r="B1357" s="83">
        <f>VLOOKUP(A1357,'BADI SID DATA'!A:B,2,0)</f>
        <v>48</v>
      </c>
      <c r="C1357" s="56"/>
      <c r="D1357" s="54"/>
      <c r="E1357" s="54"/>
      <c r="F1357" s="46">
        <v>1</v>
      </c>
      <c r="G1357" s="46">
        <v>1</v>
      </c>
      <c r="H1357" s="81">
        <f t="shared" si="65"/>
        <v>12994907.700000003</v>
      </c>
      <c r="I1357" s="84">
        <f t="shared" si="66"/>
        <v>0</v>
      </c>
      <c r="J1357" s="56"/>
      <c r="K1357" s="91"/>
    </row>
    <row r="1358" spans="1:11" ht="19">
      <c r="A1358" s="14">
        <v>46161</v>
      </c>
      <c r="B1358" s="83">
        <f>VLOOKUP(A1358,'BADI SID DATA'!A:B,2,0)</f>
        <v>49</v>
      </c>
      <c r="C1358" s="56"/>
      <c r="D1358" s="54"/>
      <c r="E1358" s="54"/>
      <c r="F1358" s="46">
        <v>1</v>
      </c>
      <c r="G1358" s="46">
        <v>1</v>
      </c>
      <c r="H1358" s="81">
        <f t="shared" si="65"/>
        <v>12994907.700000003</v>
      </c>
      <c r="I1358" s="84">
        <f t="shared" si="66"/>
        <v>0</v>
      </c>
      <c r="J1358" s="56"/>
      <c r="K1358" s="91"/>
    </row>
    <row r="1359" spans="1:11" ht="19">
      <c r="A1359" s="14">
        <v>46162</v>
      </c>
      <c r="B1359" s="83">
        <f>VLOOKUP(A1359,'BADI SID DATA'!A:B,2,0)</f>
        <v>50</v>
      </c>
      <c r="C1359" s="56"/>
      <c r="D1359" s="54"/>
      <c r="E1359" s="54"/>
      <c r="F1359" s="46">
        <v>1</v>
      </c>
      <c r="G1359" s="46">
        <v>1</v>
      </c>
      <c r="H1359" s="81">
        <f t="shared" si="65"/>
        <v>12994907.700000003</v>
      </c>
      <c r="I1359" s="84">
        <f t="shared" si="66"/>
        <v>0</v>
      </c>
      <c r="J1359" s="56"/>
      <c r="K1359" s="91"/>
    </row>
    <row r="1360" spans="1:11" ht="19">
      <c r="A1360" s="14">
        <v>46163</v>
      </c>
      <c r="B1360" s="83">
        <f>VLOOKUP(A1360,'BADI SID DATA'!A:B,2,0)</f>
        <v>51</v>
      </c>
      <c r="C1360" s="56"/>
      <c r="D1360" s="54"/>
      <c r="E1360" s="54"/>
      <c r="F1360" s="46">
        <v>1</v>
      </c>
      <c r="G1360" s="46">
        <v>1</v>
      </c>
      <c r="H1360" s="81">
        <f t="shared" si="65"/>
        <v>12994907.700000003</v>
      </c>
      <c r="I1360" s="84">
        <f t="shared" si="66"/>
        <v>0</v>
      </c>
      <c r="J1360" s="56"/>
      <c r="K1360" s="91"/>
    </row>
    <row r="1361" spans="1:11" ht="19">
      <c r="A1361" s="14">
        <v>46164</v>
      </c>
      <c r="B1361" s="83">
        <f>VLOOKUP(A1361,'BADI SID DATA'!A:B,2,0)</f>
        <v>52</v>
      </c>
      <c r="C1361" s="56"/>
      <c r="D1361" s="54"/>
      <c r="E1361" s="54"/>
      <c r="F1361" s="46">
        <v>1</v>
      </c>
      <c r="G1361" s="46">
        <v>1</v>
      </c>
      <c r="H1361" s="81">
        <f t="shared" si="65"/>
        <v>12994907.700000003</v>
      </c>
      <c r="I1361" s="84">
        <f t="shared" si="66"/>
        <v>0</v>
      </c>
      <c r="J1361" s="56"/>
      <c r="K1361" s="91"/>
    </row>
    <row r="1362" spans="1:11" ht="19">
      <c r="A1362" s="14">
        <v>46165</v>
      </c>
      <c r="B1362" s="83">
        <f>VLOOKUP(A1362,'BADI SID DATA'!A:B,2,0)</f>
        <v>53</v>
      </c>
      <c r="C1362" s="56"/>
      <c r="D1362" s="54"/>
      <c r="E1362" s="54"/>
      <c r="F1362" s="46">
        <v>1</v>
      </c>
      <c r="G1362" s="46">
        <v>1</v>
      </c>
      <c r="H1362" s="81">
        <f t="shared" si="65"/>
        <v>12994907.700000003</v>
      </c>
      <c r="I1362" s="84">
        <f t="shared" si="66"/>
        <v>0</v>
      </c>
      <c r="J1362" s="56"/>
      <c r="K1362" s="91"/>
    </row>
    <row r="1363" spans="1:11" ht="19">
      <c r="A1363" s="14">
        <v>46166</v>
      </c>
      <c r="B1363" s="83">
        <f>VLOOKUP(A1363,'BADI SID DATA'!A:B,2,0)</f>
        <v>54</v>
      </c>
      <c r="C1363" s="56"/>
      <c r="D1363" s="54"/>
      <c r="E1363" s="54"/>
      <c r="F1363" s="46">
        <v>1</v>
      </c>
      <c r="G1363" s="46">
        <v>1</v>
      </c>
      <c r="H1363" s="81">
        <f t="shared" si="65"/>
        <v>12994907.700000003</v>
      </c>
      <c r="I1363" s="84">
        <f t="shared" si="66"/>
        <v>0</v>
      </c>
      <c r="J1363" s="56"/>
      <c r="K1363" s="91"/>
    </row>
    <row r="1364" spans="1:11" ht="19">
      <c r="A1364" s="14">
        <v>46167</v>
      </c>
      <c r="B1364" s="83">
        <f>VLOOKUP(A1364,'BADI SID DATA'!A:B,2,0)</f>
        <v>55</v>
      </c>
      <c r="C1364" s="56"/>
      <c r="D1364" s="54"/>
      <c r="E1364" s="54"/>
      <c r="F1364" s="46">
        <v>1</v>
      </c>
      <c r="G1364" s="46">
        <v>1</v>
      </c>
      <c r="H1364" s="81">
        <f t="shared" si="65"/>
        <v>12994907.700000003</v>
      </c>
      <c r="I1364" s="84">
        <f t="shared" si="66"/>
        <v>0</v>
      </c>
      <c r="J1364" s="56"/>
      <c r="K1364" s="91"/>
    </row>
    <row r="1365" spans="1:11" ht="19">
      <c r="A1365" s="14">
        <v>46168</v>
      </c>
      <c r="B1365" s="83">
        <f>VLOOKUP(A1365,'BADI SID DATA'!A:B,2,0)</f>
        <v>56</v>
      </c>
      <c r="C1365" s="56"/>
      <c r="D1365" s="54"/>
      <c r="E1365" s="54"/>
      <c r="F1365" s="46">
        <v>1</v>
      </c>
      <c r="G1365" s="46">
        <v>1</v>
      </c>
      <c r="H1365" s="81">
        <f t="shared" si="65"/>
        <v>12994907.700000003</v>
      </c>
      <c r="I1365" s="84">
        <f t="shared" si="66"/>
        <v>0</v>
      </c>
      <c r="J1365" s="56"/>
      <c r="K1365" s="91"/>
    </row>
    <row r="1366" spans="1:11" ht="19">
      <c r="A1366" s="14">
        <v>46169</v>
      </c>
      <c r="B1366" s="83">
        <f>VLOOKUP(A1366,'BADI SID DATA'!A:B,2,0)</f>
        <v>57</v>
      </c>
      <c r="C1366" s="56"/>
      <c r="D1366" s="54"/>
      <c r="E1366" s="54"/>
      <c r="F1366" s="46">
        <v>1</v>
      </c>
      <c r="G1366" s="46">
        <v>1</v>
      </c>
      <c r="H1366" s="81">
        <f t="shared" si="65"/>
        <v>12994907.700000003</v>
      </c>
      <c r="I1366" s="84">
        <f t="shared" si="66"/>
        <v>0</v>
      </c>
      <c r="J1366" s="56"/>
      <c r="K1366" s="91"/>
    </row>
    <row r="1367" spans="1:11" ht="19">
      <c r="A1367" s="14">
        <v>46170</v>
      </c>
      <c r="B1367" s="83">
        <f>VLOOKUP(A1367,'BADI SID DATA'!A:B,2,0)</f>
        <v>58</v>
      </c>
      <c r="C1367" s="56"/>
      <c r="D1367" s="54"/>
      <c r="E1367" s="54"/>
      <c r="F1367" s="46">
        <v>1</v>
      </c>
      <c r="G1367" s="46">
        <v>1</v>
      </c>
      <c r="H1367" s="81">
        <f t="shared" si="65"/>
        <v>12994907.700000003</v>
      </c>
      <c r="I1367" s="84">
        <f t="shared" si="66"/>
        <v>0</v>
      </c>
      <c r="J1367" s="56"/>
      <c r="K1367" s="91"/>
    </row>
    <row r="1368" spans="1:11" ht="19">
      <c r="A1368" s="14">
        <v>46171</v>
      </c>
      <c r="B1368" s="83">
        <f>VLOOKUP(A1368,'BADI SID DATA'!A:B,2,0)</f>
        <v>59</v>
      </c>
      <c r="C1368" s="56"/>
      <c r="D1368" s="54"/>
      <c r="E1368" s="54"/>
      <c r="F1368" s="46">
        <v>1</v>
      </c>
      <c r="G1368" s="46">
        <v>1</v>
      </c>
      <c r="H1368" s="81">
        <f t="shared" si="65"/>
        <v>12994907.700000003</v>
      </c>
      <c r="I1368" s="84">
        <f t="shared" si="66"/>
        <v>0</v>
      </c>
      <c r="J1368" s="56"/>
      <c r="K1368" s="91"/>
    </row>
    <row r="1369" spans="1:11" ht="19">
      <c r="A1369" s="14">
        <v>46172</v>
      </c>
      <c r="B1369" s="83">
        <f>VLOOKUP(A1369,'BADI SID DATA'!A:B,2,0)</f>
        <v>60</v>
      </c>
      <c r="C1369" s="56"/>
      <c r="D1369" s="54"/>
      <c r="E1369" s="54"/>
      <c r="F1369" s="46">
        <v>1</v>
      </c>
      <c r="G1369" s="46">
        <v>1</v>
      </c>
      <c r="H1369" s="81">
        <f t="shared" si="65"/>
        <v>12994907.700000003</v>
      </c>
      <c r="I1369" s="84">
        <f t="shared" si="66"/>
        <v>0</v>
      </c>
      <c r="J1369" s="56"/>
      <c r="K1369" s="91"/>
    </row>
    <row r="1370" spans="1:11" ht="19">
      <c r="A1370" s="14">
        <v>46173</v>
      </c>
      <c r="B1370" s="83">
        <f>VLOOKUP(A1370,'BADI SID DATA'!A:B,2,0)</f>
        <v>61</v>
      </c>
      <c r="C1370" s="56"/>
      <c r="D1370" s="54"/>
      <c r="E1370" s="54"/>
      <c r="F1370" s="46">
        <v>1</v>
      </c>
      <c r="G1370" s="46">
        <v>1</v>
      </c>
      <c r="H1370" s="81">
        <f t="shared" si="65"/>
        <v>12994907.700000003</v>
      </c>
      <c r="I1370" s="84">
        <f t="shared" si="66"/>
        <v>0</v>
      </c>
      <c r="J1370" s="56"/>
      <c r="K1370" s="91"/>
    </row>
    <row r="1371" spans="1:11" ht="19">
      <c r="A1371" s="14">
        <v>46174</v>
      </c>
      <c r="B1371" s="83">
        <f>VLOOKUP(A1371,'BADI SID DATA'!A:B,2,0)</f>
        <v>62</v>
      </c>
      <c r="C1371" s="56"/>
      <c r="D1371" s="54"/>
      <c r="E1371" s="54"/>
      <c r="F1371" s="46">
        <v>1</v>
      </c>
      <c r="G1371" s="46">
        <v>1</v>
      </c>
      <c r="H1371" s="81">
        <f t="shared" si="65"/>
        <v>12994907.700000003</v>
      </c>
      <c r="I1371" s="84">
        <f t="shared" si="66"/>
        <v>0</v>
      </c>
      <c r="J1371" s="56"/>
      <c r="K1371" s="91"/>
    </row>
    <row r="1372" spans="1:11" ht="19">
      <c r="A1372" s="14">
        <v>46175</v>
      </c>
      <c r="B1372" s="83">
        <f>VLOOKUP(A1372,'BADI SID DATA'!A:B,2,0)</f>
        <v>63</v>
      </c>
      <c r="C1372" s="56"/>
      <c r="D1372" s="54"/>
      <c r="E1372" s="54"/>
      <c r="F1372" s="46">
        <v>1</v>
      </c>
      <c r="G1372" s="46">
        <v>1</v>
      </c>
      <c r="H1372" s="81">
        <f t="shared" si="65"/>
        <v>12994907.700000003</v>
      </c>
      <c r="I1372" s="84">
        <f t="shared" si="66"/>
        <v>0</v>
      </c>
      <c r="J1372" s="56"/>
      <c r="K1372" s="91"/>
    </row>
    <row r="1373" spans="1:11" ht="19">
      <c r="A1373" s="14">
        <v>46176</v>
      </c>
      <c r="B1373" s="83">
        <f>VLOOKUP(A1373,'BADI SID DATA'!A:B,2,0)</f>
        <v>64</v>
      </c>
      <c r="C1373" s="56"/>
      <c r="D1373" s="54"/>
      <c r="E1373" s="54"/>
      <c r="F1373" s="46">
        <v>1</v>
      </c>
      <c r="G1373" s="46">
        <v>1</v>
      </c>
      <c r="H1373" s="81">
        <f t="shared" si="65"/>
        <v>12994907.700000003</v>
      </c>
      <c r="I1373" s="84">
        <f t="shared" si="66"/>
        <v>0</v>
      </c>
      <c r="J1373" s="56"/>
      <c r="K1373" s="91"/>
    </row>
    <row r="1374" spans="1:11" ht="19">
      <c r="A1374" s="14">
        <v>46177</v>
      </c>
      <c r="B1374" s="83">
        <f>VLOOKUP(A1374,'BADI SID DATA'!A:B,2,0)</f>
        <v>65</v>
      </c>
      <c r="C1374" s="56"/>
      <c r="D1374" s="54"/>
      <c r="E1374" s="54"/>
      <c r="F1374" s="46">
        <v>1</v>
      </c>
      <c r="G1374" s="46">
        <v>1</v>
      </c>
      <c r="H1374" s="81">
        <f t="shared" si="65"/>
        <v>12994907.700000003</v>
      </c>
      <c r="I1374" s="84">
        <f t="shared" si="66"/>
        <v>0</v>
      </c>
      <c r="J1374" s="56"/>
      <c r="K1374" s="91"/>
    </row>
    <row r="1375" spans="1:11" ht="19">
      <c r="A1375" s="14">
        <v>46178</v>
      </c>
      <c r="B1375" s="83">
        <f>VLOOKUP(A1375,'BADI SID DATA'!A:B,2,0)</f>
        <v>66</v>
      </c>
      <c r="C1375" s="56"/>
      <c r="D1375" s="54"/>
      <c r="E1375" s="54"/>
      <c r="F1375" s="46">
        <v>1</v>
      </c>
      <c r="G1375" s="46">
        <v>1</v>
      </c>
      <c r="H1375" s="81">
        <f t="shared" si="65"/>
        <v>12994907.700000003</v>
      </c>
      <c r="I1375" s="84">
        <f t="shared" si="66"/>
        <v>0</v>
      </c>
      <c r="J1375" s="56"/>
      <c r="K1375" s="91"/>
    </row>
    <row r="1376" spans="1:11" ht="19">
      <c r="A1376" s="14">
        <v>46179</v>
      </c>
      <c r="B1376" s="83">
        <f>VLOOKUP(A1376,'BADI SID DATA'!A:B,2,0)</f>
        <v>67</v>
      </c>
      <c r="C1376" s="56"/>
      <c r="D1376" s="54"/>
      <c r="E1376" s="54"/>
      <c r="F1376" s="46">
        <v>1</v>
      </c>
      <c r="G1376" s="46">
        <v>1</v>
      </c>
      <c r="H1376" s="81">
        <f t="shared" si="65"/>
        <v>12994907.700000003</v>
      </c>
      <c r="I1376" s="84">
        <f t="shared" si="66"/>
        <v>0</v>
      </c>
      <c r="J1376" s="56"/>
      <c r="K1376" s="91"/>
    </row>
    <row r="1377" spans="1:11" ht="19">
      <c r="A1377" s="14">
        <v>46180</v>
      </c>
      <c r="B1377" s="83">
        <f>VLOOKUP(A1377,'BADI SID DATA'!A:B,2,0)</f>
        <v>68</v>
      </c>
      <c r="C1377" s="56"/>
      <c r="D1377" s="54"/>
      <c r="E1377" s="54"/>
      <c r="F1377" s="46">
        <v>1</v>
      </c>
      <c r="G1377" s="46">
        <v>1</v>
      </c>
      <c r="H1377" s="81">
        <f t="shared" si="65"/>
        <v>12994907.700000003</v>
      </c>
      <c r="I1377" s="84">
        <f t="shared" si="66"/>
        <v>0</v>
      </c>
      <c r="J1377" s="56"/>
      <c r="K1377" s="91"/>
    </row>
    <row r="1378" spans="1:11" ht="19">
      <c r="A1378" s="14">
        <v>46181</v>
      </c>
      <c r="B1378" s="83">
        <f>VLOOKUP(A1378,'BADI SID DATA'!A:B,2,0)</f>
        <v>69</v>
      </c>
      <c r="C1378" s="56"/>
      <c r="D1378" s="54"/>
      <c r="E1378" s="54"/>
      <c r="F1378" s="46">
        <v>1</v>
      </c>
      <c r="G1378" s="46">
        <v>1</v>
      </c>
      <c r="H1378" s="81">
        <f t="shared" si="65"/>
        <v>12994907.700000003</v>
      </c>
      <c r="I1378" s="84">
        <f t="shared" si="66"/>
        <v>0</v>
      </c>
      <c r="J1378" s="56"/>
      <c r="K1378" s="91"/>
    </row>
    <row r="1379" spans="1:11" ht="19">
      <c r="A1379" s="14">
        <v>46182</v>
      </c>
      <c r="B1379" s="83">
        <f>VLOOKUP(A1379,'BADI SID DATA'!A:B,2,0)</f>
        <v>70</v>
      </c>
      <c r="C1379" s="56"/>
      <c r="D1379" s="54"/>
      <c r="E1379" s="54"/>
      <c r="F1379" s="46">
        <v>1</v>
      </c>
      <c r="G1379" s="46">
        <v>1</v>
      </c>
      <c r="H1379" s="81">
        <f t="shared" si="65"/>
        <v>12994907.700000003</v>
      </c>
      <c r="I1379" s="84">
        <f t="shared" si="66"/>
        <v>0</v>
      </c>
      <c r="J1379" s="56"/>
      <c r="K1379" s="91"/>
    </row>
    <row r="1380" spans="1:11" ht="19">
      <c r="A1380" s="14">
        <v>46183</v>
      </c>
      <c r="B1380" s="83">
        <f>VLOOKUP(A1380,'BADI SID DATA'!A:B,2,0)</f>
        <v>71</v>
      </c>
      <c r="C1380" s="56"/>
      <c r="D1380" s="54"/>
      <c r="E1380" s="54"/>
      <c r="F1380" s="46">
        <v>1</v>
      </c>
      <c r="G1380" s="46">
        <v>1</v>
      </c>
      <c r="H1380" s="81">
        <f t="shared" si="65"/>
        <v>12994907.700000003</v>
      </c>
      <c r="I1380" s="84">
        <f t="shared" si="66"/>
        <v>0</v>
      </c>
      <c r="J1380" s="56"/>
      <c r="K1380" s="91"/>
    </row>
    <row r="1381" spans="1:11" ht="19">
      <c r="A1381" s="14">
        <v>46184</v>
      </c>
      <c r="B1381" s="83">
        <f>VLOOKUP(A1381,'BADI SID DATA'!A:B,2,0)</f>
        <v>72</v>
      </c>
      <c r="C1381" s="56"/>
      <c r="D1381" s="54"/>
      <c r="E1381" s="54"/>
      <c r="F1381" s="46">
        <v>1</v>
      </c>
      <c r="G1381" s="46">
        <v>1</v>
      </c>
      <c r="H1381" s="81">
        <f t="shared" si="65"/>
        <v>12994907.700000003</v>
      </c>
      <c r="I1381" s="84">
        <f t="shared" si="66"/>
        <v>0</v>
      </c>
      <c r="J1381" s="56"/>
      <c r="K1381" s="91"/>
    </row>
    <row r="1382" spans="1:11" ht="19">
      <c r="A1382" s="14">
        <v>46185</v>
      </c>
      <c r="B1382" s="83">
        <f>VLOOKUP(A1382,'BADI SID DATA'!A:B,2,0)</f>
        <v>73</v>
      </c>
      <c r="C1382" s="56"/>
      <c r="D1382" s="54"/>
      <c r="E1382" s="54"/>
      <c r="F1382" s="46">
        <v>1</v>
      </c>
      <c r="G1382" s="46">
        <v>1</v>
      </c>
      <c r="H1382" s="81">
        <f t="shared" si="65"/>
        <v>12994907.700000003</v>
      </c>
      <c r="I1382" s="84">
        <f t="shared" si="66"/>
        <v>0</v>
      </c>
      <c r="J1382" s="56"/>
      <c r="K1382" s="91"/>
    </row>
    <row r="1383" spans="1:11" ht="19">
      <c r="A1383" s="14">
        <v>46186</v>
      </c>
      <c r="B1383" s="83">
        <f>VLOOKUP(A1383,'BADI SID DATA'!A:B,2,0)</f>
        <v>74</v>
      </c>
      <c r="C1383" s="56"/>
      <c r="D1383" s="54"/>
      <c r="E1383" s="54"/>
      <c r="F1383" s="46">
        <v>1</v>
      </c>
      <c r="G1383" s="46">
        <v>1</v>
      </c>
      <c r="H1383" s="81">
        <f t="shared" si="65"/>
        <v>12994907.700000003</v>
      </c>
      <c r="I1383" s="84">
        <f t="shared" si="66"/>
        <v>0</v>
      </c>
      <c r="J1383" s="56"/>
      <c r="K1383" s="91"/>
    </row>
    <row r="1384" spans="1:11" ht="19">
      <c r="A1384" s="14">
        <v>46187</v>
      </c>
      <c r="B1384" s="83">
        <f>VLOOKUP(A1384,'BADI SID DATA'!A:B,2,0)</f>
        <v>75</v>
      </c>
      <c r="C1384" s="56"/>
      <c r="D1384" s="54"/>
      <c r="E1384" s="54"/>
      <c r="F1384" s="46">
        <v>1</v>
      </c>
      <c r="G1384" s="46">
        <v>1</v>
      </c>
      <c r="H1384" s="81">
        <f t="shared" si="65"/>
        <v>12994907.700000003</v>
      </c>
      <c r="I1384" s="84">
        <f t="shared" si="66"/>
        <v>0</v>
      </c>
      <c r="J1384" s="56"/>
      <c r="K1384" s="91"/>
    </row>
    <row r="1385" spans="1:11" ht="19">
      <c r="A1385" s="14">
        <v>46188</v>
      </c>
      <c r="B1385" s="83">
        <f>VLOOKUP(A1385,'BADI SID DATA'!A:B,2,0)</f>
        <v>76</v>
      </c>
      <c r="C1385" s="56"/>
      <c r="D1385" s="54"/>
      <c r="E1385" s="54"/>
      <c r="F1385" s="46">
        <v>1</v>
      </c>
      <c r="G1385" s="46">
        <v>1</v>
      </c>
      <c r="H1385" s="81">
        <f t="shared" si="65"/>
        <v>12994907.700000003</v>
      </c>
      <c r="I1385" s="84">
        <f t="shared" si="66"/>
        <v>0</v>
      </c>
      <c r="J1385" s="56"/>
      <c r="K1385" s="91"/>
    </row>
    <row r="1386" spans="1:11" ht="19">
      <c r="A1386" s="14">
        <v>46189</v>
      </c>
      <c r="B1386" s="83">
        <f>VLOOKUP(A1386,'BADI SID DATA'!A:B,2,0)</f>
        <v>77</v>
      </c>
      <c r="C1386" s="56"/>
      <c r="D1386" s="54"/>
      <c r="E1386" s="54"/>
      <c r="F1386" s="46">
        <v>1</v>
      </c>
      <c r="G1386" s="46">
        <v>1</v>
      </c>
      <c r="H1386" s="81">
        <f t="shared" si="65"/>
        <v>12994907.700000003</v>
      </c>
      <c r="I1386" s="84">
        <f t="shared" si="66"/>
        <v>0</v>
      </c>
      <c r="J1386" s="56"/>
      <c r="K1386" s="91"/>
    </row>
    <row r="1387" spans="1:11" ht="19">
      <c r="A1387" s="14">
        <v>46190</v>
      </c>
      <c r="B1387" s="83">
        <f>VLOOKUP(A1387,'BADI SID DATA'!A:B,2,0)</f>
        <v>78</v>
      </c>
      <c r="C1387" s="56"/>
      <c r="D1387" s="54"/>
      <c r="E1387" s="54"/>
      <c r="F1387" s="46">
        <v>1</v>
      </c>
      <c r="G1387" s="46">
        <v>1</v>
      </c>
      <c r="H1387" s="81">
        <f t="shared" si="65"/>
        <v>12994907.700000003</v>
      </c>
      <c r="I1387" s="84">
        <f t="shared" si="66"/>
        <v>0</v>
      </c>
      <c r="J1387" s="56"/>
      <c r="K1387" s="91"/>
    </row>
    <row r="1388" spans="1:11" ht="19">
      <c r="A1388" s="14">
        <v>46191</v>
      </c>
      <c r="B1388" s="83">
        <f>VLOOKUP(A1388,'BADI SID DATA'!A:B,2,0)</f>
        <v>79</v>
      </c>
      <c r="C1388" s="56"/>
      <c r="D1388" s="54"/>
      <c r="E1388" s="54"/>
      <c r="F1388" s="46">
        <v>1</v>
      </c>
      <c r="G1388" s="46">
        <v>1</v>
      </c>
      <c r="H1388" s="81">
        <f t="shared" ref="H1388:H1451" si="67">C1388+H1387</f>
        <v>12994907.700000003</v>
      </c>
      <c r="I1388" s="84">
        <f t="shared" ref="I1388:I1451" si="68">C1388/(10*24*1000)</f>
        <v>0</v>
      </c>
      <c r="J1388" s="56"/>
      <c r="K1388" s="91"/>
    </row>
    <row r="1389" spans="1:11" ht="19">
      <c r="A1389" s="14">
        <v>46192</v>
      </c>
      <c r="B1389" s="83">
        <f>VLOOKUP(A1389,'BADI SID DATA'!A:B,2,0)</f>
        <v>80</v>
      </c>
      <c r="C1389" s="56"/>
      <c r="D1389" s="54"/>
      <c r="E1389" s="54"/>
      <c r="F1389" s="46">
        <v>1</v>
      </c>
      <c r="G1389" s="46">
        <v>1</v>
      </c>
      <c r="H1389" s="81">
        <f t="shared" si="67"/>
        <v>12994907.700000003</v>
      </c>
      <c r="I1389" s="84">
        <f t="shared" si="68"/>
        <v>0</v>
      </c>
      <c r="J1389" s="56"/>
      <c r="K1389" s="91"/>
    </row>
    <row r="1390" spans="1:11" ht="19">
      <c r="A1390" s="14">
        <v>46193</v>
      </c>
      <c r="B1390" s="83">
        <f>VLOOKUP(A1390,'BADI SID DATA'!A:B,2,0)</f>
        <v>81</v>
      </c>
      <c r="C1390" s="56"/>
      <c r="D1390" s="54"/>
      <c r="E1390" s="54"/>
      <c r="F1390" s="46">
        <v>1</v>
      </c>
      <c r="G1390" s="46">
        <v>1</v>
      </c>
      <c r="H1390" s="81">
        <f t="shared" si="67"/>
        <v>12994907.700000003</v>
      </c>
      <c r="I1390" s="84">
        <f t="shared" si="68"/>
        <v>0</v>
      </c>
      <c r="J1390" s="56"/>
      <c r="K1390" s="91"/>
    </row>
    <row r="1391" spans="1:11" ht="19">
      <c r="A1391" s="14">
        <v>46194</v>
      </c>
      <c r="B1391" s="83">
        <f>VLOOKUP(A1391,'BADI SID DATA'!A:B,2,0)</f>
        <v>82</v>
      </c>
      <c r="C1391" s="56"/>
      <c r="D1391" s="54"/>
      <c r="E1391" s="54"/>
      <c r="F1391" s="46">
        <v>1</v>
      </c>
      <c r="G1391" s="46">
        <v>1</v>
      </c>
      <c r="H1391" s="81">
        <f t="shared" si="67"/>
        <v>12994907.700000003</v>
      </c>
      <c r="I1391" s="84">
        <f t="shared" si="68"/>
        <v>0</v>
      </c>
      <c r="J1391" s="56"/>
      <c r="K1391" s="91"/>
    </row>
    <row r="1392" spans="1:11" ht="19">
      <c r="A1392" s="14">
        <v>46195</v>
      </c>
      <c r="B1392" s="83">
        <f>VLOOKUP(A1392,'BADI SID DATA'!A:B,2,0)</f>
        <v>83</v>
      </c>
      <c r="C1392" s="56"/>
      <c r="D1392" s="54"/>
      <c r="E1392" s="54"/>
      <c r="F1392" s="46">
        <v>1</v>
      </c>
      <c r="G1392" s="46">
        <v>1</v>
      </c>
      <c r="H1392" s="81">
        <f t="shared" si="67"/>
        <v>12994907.700000003</v>
      </c>
      <c r="I1392" s="84">
        <f t="shared" si="68"/>
        <v>0</v>
      </c>
      <c r="J1392" s="56"/>
      <c r="K1392" s="91"/>
    </row>
    <row r="1393" spans="1:11" ht="19">
      <c r="A1393" s="14">
        <v>46196</v>
      </c>
      <c r="B1393" s="83">
        <f>VLOOKUP(A1393,'BADI SID DATA'!A:B,2,0)</f>
        <v>84</v>
      </c>
      <c r="C1393" s="56"/>
      <c r="D1393" s="54"/>
      <c r="E1393" s="54"/>
      <c r="F1393" s="46">
        <v>1</v>
      </c>
      <c r="G1393" s="46">
        <v>1</v>
      </c>
      <c r="H1393" s="81">
        <f t="shared" si="67"/>
        <v>12994907.700000003</v>
      </c>
      <c r="I1393" s="84">
        <f t="shared" si="68"/>
        <v>0</v>
      </c>
      <c r="J1393" s="56"/>
      <c r="K1393" s="91"/>
    </row>
    <row r="1394" spans="1:11" ht="19">
      <c r="A1394" s="14">
        <v>46197</v>
      </c>
      <c r="B1394" s="83">
        <f>VLOOKUP(A1394,'BADI SID DATA'!A:B,2,0)</f>
        <v>85</v>
      </c>
      <c r="C1394" s="56"/>
      <c r="D1394" s="54"/>
      <c r="E1394" s="54"/>
      <c r="F1394" s="46">
        <v>1</v>
      </c>
      <c r="G1394" s="46">
        <v>1</v>
      </c>
      <c r="H1394" s="81">
        <f t="shared" si="67"/>
        <v>12994907.700000003</v>
      </c>
      <c r="I1394" s="84">
        <f t="shared" si="68"/>
        <v>0</v>
      </c>
      <c r="J1394" s="56"/>
      <c r="K1394" s="91"/>
    </row>
    <row r="1395" spans="1:11" ht="19">
      <c r="A1395" s="14">
        <v>46198</v>
      </c>
      <c r="B1395" s="83">
        <f>VLOOKUP(A1395,'BADI SID DATA'!A:B,2,0)</f>
        <v>86</v>
      </c>
      <c r="C1395" s="56"/>
      <c r="D1395" s="54"/>
      <c r="E1395" s="54"/>
      <c r="F1395" s="46">
        <v>1</v>
      </c>
      <c r="G1395" s="46">
        <v>1</v>
      </c>
      <c r="H1395" s="81">
        <f t="shared" si="67"/>
        <v>12994907.700000003</v>
      </c>
      <c r="I1395" s="84">
        <f t="shared" si="68"/>
        <v>0</v>
      </c>
      <c r="J1395" s="56"/>
      <c r="K1395" s="91"/>
    </row>
    <row r="1396" spans="1:11" ht="19">
      <c r="A1396" s="14">
        <v>46199</v>
      </c>
      <c r="B1396" s="83">
        <f>VLOOKUP(A1396,'BADI SID DATA'!A:B,2,0)</f>
        <v>87</v>
      </c>
      <c r="C1396" s="56"/>
      <c r="D1396" s="54"/>
      <c r="E1396" s="54"/>
      <c r="F1396" s="46">
        <v>1</v>
      </c>
      <c r="G1396" s="46">
        <v>1</v>
      </c>
      <c r="H1396" s="81">
        <f t="shared" si="67"/>
        <v>12994907.700000003</v>
      </c>
      <c r="I1396" s="84">
        <f t="shared" si="68"/>
        <v>0</v>
      </c>
      <c r="J1396" s="56"/>
      <c r="K1396" s="91"/>
    </row>
    <row r="1397" spans="1:11" ht="19">
      <c r="A1397" s="14">
        <v>46200</v>
      </c>
      <c r="B1397" s="83">
        <f>VLOOKUP(A1397,'BADI SID DATA'!A:B,2,0)</f>
        <v>88</v>
      </c>
      <c r="C1397" s="56"/>
      <c r="D1397" s="54"/>
      <c r="E1397" s="54"/>
      <c r="F1397" s="46">
        <v>1</v>
      </c>
      <c r="G1397" s="46">
        <v>1</v>
      </c>
      <c r="H1397" s="81">
        <f t="shared" si="67"/>
        <v>12994907.700000003</v>
      </c>
      <c r="I1397" s="84">
        <f t="shared" si="68"/>
        <v>0</v>
      </c>
      <c r="J1397" s="56"/>
      <c r="K1397" s="91"/>
    </row>
    <row r="1398" spans="1:11" ht="19">
      <c r="A1398" s="14">
        <v>46201</v>
      </c>
      <c r="B1398" s="83">
        <f>VLOOKUP(A1398,'BADI SID DATA'!A:B,2,0)</f>
        <v>89</v>
      </c>
      <c r="C1398" s="56"/>
      <c r="D1398" s="54"/>
      <c r="E1398" s="54"/>
      <c r="F1398" s="46">
        <v>1</v>
      </c>
      <c r="G1398" s="46">
        <v>1</v>
      </c>
      <c r="H1398" s="81">
        <f t="shared" si="67"/>
        <v>12994907.700000003</v>
      </c>
      <c r="I1398" s="84">
        <f t="shared" si="68"/>
        <v>0</v>
      </c>
      <c r="J1398" s="56"/>
      <c r="K1398" s="91"/>
    </row>
    <row r="1399" spans="1:11" ht="19">
      <c r="A1399" s="14">
        <v>46202</v>
      </c>
      <c r="B1399" s="83">
        <f>VLOOKUP(A1399,'BADI SID DATA'!A:B,2,0)</f>
        <v>90</v>
      </c>
      <c r="C1399" s="56"/>
      <c r="D1399" s="54"/>
      <c r="E1399" s="54"/>
      <c r="F1399" s="46">
        <v>1</v>
      </c>
      <c r="G1399" s="46">
        <v>1</v>
      </c>
      <c r="H1399" s="81">
        <f t="shared" si="67"/>
        <v>12994907.700000003</v>
      </c>
      <c r="I1399" s="84">
        <f t="shared" si="68"/>
        <v>0</v>
      </c>
      <c r="J1399" s="56"/>
      <c r="K1399" s="91"/>
    </row>
    <row r="1400" spans="1:11" ht="19">
      <c r="A1400" s="14">
        <v>46203</v>
      </c>
      <c r="B1400" s="83">
        <f>VLOOKUP(A1400,'BADI SID DATA'!A:B,2,0)</f>
        <v>91</v>
      </c>
      <c r="C1400" s="56"/>
      <c r="D1400" s="54"/>
      <c r="E1400" s="54"/>
      <c r="F1400" s="46">
        <v>1</v>
      </c>
      <c r="G1400" s="46">
        <v>1</v>
      </c>
      <c r="H1400" s="81">
        <f t="shared" si="67"/>
        <v>12994907.700000003</v>
      </c>
      <c r="I1400" s="84">
        <f t="shared" si="68"/>
        <v>0</v>
      </c>
      <c r="J1400" s="56"/>
      <c r="K1400" s="91"/>
    </row>
    <row r="1401" spans="1:11" ht="19">
      <c r="A1401" s="14">
        <v>46204</v>
      </c>
      <c r="B1401" s="83">
        <f>VLOOKUP(A1401,'BADI SID DATA'!A:B,2,0)</f>
        <v>92</v>
      </c>
      <c r="C1401" s="56"/>
      <c r="D1401" s="54"/>
      <c r="E1401" s="54"/>
      <c r="F1401" s="46">
        <v>1</v>
      </c>
      <c r="G1401" s="46">
        <v>1</v>
      </c>
      <c r="H1401" s="81">
        <f t="shared" si="67"/>
        <v>12994907.700000003</v>
      </c>
      <c r="I1401" s="84">
        <f t="shared" si="68"/>
        <v>0</v>
      </c>
      <c r="J1401" s="56"/>
      <c r="K1401" s="91"/>
    </row>
    <row r="1402" spans="1:11" ht="19">
      <c r="A1402" s="14">
        <v>46205</v>
      </c>
      <c r="B1402" s="83">
        <f>VLOOKUP(A1402,'BADI SID DATA'!A:B,2,0)</f>
        <v>93</v>
      </c>
      <c r="C1402" s="56"/>
      <c r="D1402" s="54"/>
      <c r="E1402" s="54"/>
      <c r="F1402" s="46">
        <v>1</v>
      </c>
      <c r="G1402" s="46">
        <v>1</v>
      </c>
      <c r="H1402" s="81">
        <f t="shared" si="67"/>
        <v>12994907.700000003</v>
      </c>
      <c r="I1402" s="84">
        <f t="shared" si="68"/>
        <v>0</v>
      </c>
      <c r="J1402" s="56"/>
      <c r="K1402" s="91"/>
    </row>
    <row r="1403" spans="1:11" ht="19">
      <c r="A1403" s="14">
        <v>46206</v>
      </c>
      <c r="B1403" s="83">
        <f>VLOOKUP(A1403,'BADI SID DATA'!A:B,2,0)</f>
        <v>94</v>
      </c>
      <c r="C1403" s="56"/>
      <c r="D1403" s="54"/>
      <c r="E1403" s="54"/>
      <c r="F1403" s="46">
        <v>1</v>
      </c>
      <c r="G1403" s="46">
        <v>1</v>
      </c>
      <c r="H1403" s="81">
        <f t="shared" si="67"/>
        <v>12994907.700000003</v>
      </c>
      <c r="I1403" s="84">
        <f t="shared" si="68"/>
        <v>0</v>
      </c>
      <c r="J1403" s="56"/>
      <c r="K1403" s="91"/>
    </row>
    <row r="1404" spans="1:11" ht="19">
      <c r="A1404" s="14">
        <v>46207</v>
      </c>
      <c r="B1404" s="83">
        <f>VLOOKUP(A1404,'BADI SID DATA'!A:B,2,0)</f>
        <v>95</v>
      </c>
      <c r="C1404" s="56"/>
      <c r="D1404" s="54"/>
      <c r="E1404" s="54"/>
      <c r="F1404" s="46">
        <v>1</v>
      </c>
      <c r="G1404" s="46">
        <v>1</v>
      </c>
      <c r="H1404" s="81">
        <f t="shared" si="67"/>
        <v>12994907.700000003</v>
      </c>
      <c r="I1404" s="84">
        <f t="shared" si="68"/>
        <v>0</v>
      </c>
      <c r="J1404" s="56"/>
      <c r="K1404" s="91"/>
    </row>
    <row r="1405" spans="1:11" ht="19">
      <c r="A1405" s="56"/>
      <c r="B1405" s="83" t="e">
        <f>VLOOKUP(A1405,'BADI SID DATA'!A:B,2,0)</f>
        <v>#N/A</v>
      </c>
      <c r="C1405" s="56"/>
      <c r="D1405" s="54"/>
      <c r="E1405" s="54"/>
      <c r="F1405" s="46">
        <v>1</v>
      </c>
      <c r="G1405" s="46">
        <v>1</v>
      </c>
      <c r="H1405" s="81">
        <f t="shared" si="67"/>
        <v>12994907.700000003</v>
      </c>
      <c r="I1405" s="84">
        <f t="shared" si="68"/>
        <v>0</v>
      </c>
      <c r="J1405" s="56"/>
      <c r="K1405" s="91"/>
    </row>
    <row r="1406" spans="1:11" ht="19">
      <c r="A1406" s="56"/>
      <c r="B1406" s="83" t="e">
        <f>VLOOKUP(A1406,'BADI SID DATA'!A:B,2,0)</f>
        <v>#N/A</v>
      </c>
      <c r="C1406" s="56"/>
      <c r="D1406" s="54"/>
      <c r="E1406" s="54"/>
      <c r="F1406" s="46">
        <v>1</v>
      </c>
      <c r="G1406" s="46">
        <v>1</v>
      </c>
      <c r="H1406" s="81">
        <f t="shared" si="67"/>
        <v>12994907.700000003</v>
      </c>
      <c r="I1406" s="84">
        <f t="shared" si="68"/>
        <v>0</v>
      </c>
      <c r="J1406" s="56"/>
      <c r="K1406" s="91"/>
    </row>
    <row r="1407" spans="1:11" ht="19">
      <c r="A1407" s="56"/>
      <c r="B1407" s="83" t="e">
        <f>VLOOKUP(A1407,'BADI SID DATA'!A:B,2,0)</f>
        <v>#N/A</v>
      </c>
      <c r="C1407" s="56"/>
      <c r="D1407" s="54"/>
      <c r="E1407" s="54"/>
      <c r="F1407" s="46">
        <v>1</v>
      </c>
      <c r="G1407" s="46">
        <v>1</v>
      </c>
      <c r="H1407" s="81">
        <f t="shared" si="67"/>
        <v>12994907.700000003</v>
      </c>
      <c r="I1407" s="84">
        <f t="shared" si="68"/>
        <v>0</v>
      </c>
      <c r="J1407" s="56"/>
      <c r="K1407" s="91"/>
    </row>
    <row r="1408" spans="1:11" ht="19">
      <c r="A1408" s="56"/>
      <c r="B1408" s="83" t="e">
        <f>VLOOKUP(A1408,'BADI SID DATA'!A:B,2,0)</f>
        <v>#N/A</v>
      </c>
      <c r="C1408" s="56"/>
      <c r="D1408" s="54"/>
      <c r="E1408" s="54"/>
      <c r="F1408" s="46">
        <v>1</v>
      </c>
      <c r="G1408" s="46">
        <v>1</v>
      </c>
      <c r="H1408" s="81">
        <f t="shared" si="67"/>
        <v>12994907.700000003</v>
      </c>
      <c r="I1408" s="84">
        <f t="shared" si="68"/>
        <v>0</v>
      </c>
      <c r="J1408" s="56"/>
      <c r="K1408" s="91"/>
    </row>
    <row r="1409" spans="1:11" ht="19">
      <c r="A1409" s="56"/>
      <c r="B1409" s="83" t="e">
        <f>VLOOKUP(A1409,'BADI SID DATA'!A:B,2,0)</f>
        <v>#N/A</v>
      </c>
      <c r="C1409" s="56"/>
      <c r="D1409" s="54"/>
      <c r="E1409" s="54"/>
      <c r="F1409" s="46">
        <v>1</v>
      </c>
      <c r="G1409" s="46">
        <v>1</v>
      </c>
      <c r="H1409" s="81">
        <f t="shared" si="67"/>
        <v>12994907.700000003</v>
      </c>
      <c r="I1409" s="84">
        <f t="shared" si="68"/>
        <v>0</v>
      </c>
      <c r="J1409" s="56"/>
      <c r="K1409" s="91"/>
    </row>
    <row r="1410" spans="1:11" ht="19">
      <c r="A1410" s="56"/>
      <c r="B1410" s="83" t="e">
        <f>VLOOKUP(A1410,'BADI SID DATA'!A:B,2,0)</f>
        <v>#N/A</v>
      </c>
      <c r="C1410" s="56"/>
      <c r="D1410" s="54"/>
      <c r="E1410" s="54"/>
      <c r="F1410" s="46">
        <v>1</v>
      </c>
      <c r="G1410" s="46">
        <v>1</v>
      </c>
      <c r="H1410" s="81">
        <f t="shared" si="67"/>
        <v>12994907.700000003</v>
      </c>
      <c r="I1410" s="84">
        <f t="shared" si="68"/>
        <v>0</v>
      </c>
      <c r="J1410" s="56"/>
      <c r="K1410" s="91"/>
    </row>
    <row r="1411" spans="1:11" ht="19">
      <c r="A1411" s="56"/>
      <c r="B1411" s="83" t="e">
        <f>VLOOKUP(A1411,'BADI SID DATA'!A:B,2,0)</f>
        <v>#N/A</v>
      </c>
      <c r="C1411" s="56"/>
      <c r="D1411" s="54"/>
      <c r="E1411" s="54"/>
      <c r="F1411" s="46">
        <v>1</v>
      </c>
      <c r="G1411" s="46">
        <v>1</v>
      </c>
      <c r="H1411" s="81">
        <f t="shared" si="67"/>
        <v>12994907.700000003</v>
      </c>
      <c r="I1411" s="84">
        <f t="shared" si="68"/>
        <v>0</v>
      </c>
      <c r="J1411" s="56"/>
      <c r="K1411" s="91"/>
    </row>
    <row r="1412" spans="1:11" ht="19">
      <c r="A1412" s="56"/>
      <c r="B1412" s="83" t="e">
        <f>VLOOKUP(A1412,'BADI SID DATA'!A:B,2,0)</f>
        <v>#N/A</v>
      </c>
      <c r="C1412" s="56"/>
      <c r="D1412" s="54"/>
      <c r="E1412" s="54"/>
      <c r="F1412" s="46">
        <v>1</v>
      </c>
      <c r="G1412" s="46">
        <v>1</v>
      </c>
      <c r="H1412" s="81">
        <f t="shared" si="67"/>
        <v>12994907.700000003</v>
      </c>
      <c r="I1412" s="84">
        <f t="shared" si="68"/>
        <v>0</v>
      </c>
      <c r="J1412" s="56"/>
      <c r="K1412" s="91"/>
    </row>
    <row r="1413" spans="1:11" ht="19">
      <c r="A1413" s="56"/>
      <c r="B1413" s="83" t="e">
        <f>VLOOKUP(A1413,'BADI SID DATA'!A:B,2,0)</f>
        <v>#N/A</v>
      </c>
      <c r="C1413" s="56"/>
      <c r="D1413" s="54"/>
      <c r="E1413" s="54"/>
      <c r="F1413" s="46">
        <v>1</v>
      </c>
      <c r="G1413" s="46">
        <v>1</v>
      </c>
      <c r="H1413" s="81">
        <f t="shared" si="67"/>
        <v>12994907.700000003</v>
      </c>
      <c r="I1413" s="84">
        <f t="shared" si="68"/>
        <v>0</v>
      </c>
      <c r="J1413" s="56"/>
      <c r="K1413" s="91"/>
    </row>
    <row r="1414" spans="1:11" ht="19">
      <c r="A1414" s="56"/>
      <c r="B1414" s="83" t="e">
        <f>VLOOKUP(A1414,'BADI SID DATA'!A:B,2,0)</f>
        <v>#N/A</v>
      </c>
      <c r="C1414" s="56"/>
      <c r="D1414" s="54"/>
      <c r="E1414" s="54"/>
      <c r="F1414" s="46">
        <v>1</v>
      </c>
      <c r="G1414" s="46">
        <v>1</v>
      </c>
      <c r="H1414" s="81">
        <f t="shared" si="67"/>
        <v>12994907.700000003</v>
      </c>
      <c r="I1414" s="84">
        <f t="shared" si="68"/>
        <v>0</v>
      </c>
      <c r="J1414" s="56"/>
      <c r="K1414" s="91"/>
    </row>
    <row r="1415" spans="1:11" ht="19">
      <c r="A1415" s="56"/>
      <c r="B1415" s="83" t="e">
        <f>VLOOKUP(A1415,'BADI SID DATA'!A:B,2,0)</f>
        <v>#N/A</v>
      </c>
      <c r="C1415" s="56"/>
      <c r="D1415" s="54"/>
      <c r="E1415" s="54"/>
      <c r="F1415" s="46">
        <v>1</v>
      </c>
      <c r="G1415" s="46">
        <v>1</v>
      </c>
      <c r="H1415" s="81">
        <f t="shared" si="67"/>
        <v>12994907.700000003</v>
      </c>
      <c r="I1415" s="84">
        <f t="shared" si="68"/>
        <v>0</v>
      </c>
      <c r="J1415" s="56"/>
      <c r="K1415" s="91"/>
    </row>
    <row r="1416" spans="1:11" ht="19">
      <c r="A1416" s="56"/>
      <c r="B1416" s="83" t="e">
        <f>VLOOKUP(A1416,'BADI SID DATA'!A:B,2,0)</f>
        <v>#N/A</v>
      </c>
      <c r="C1416" s="56"/>
      <c r="D1416" s="54"/>
      <c r="E1416" s="54"/>
      <c r="F1416" s="46">
        <v>1</v>
      </c>
      <c r="G1416" s="46">
        <v>1</v>
      </c>
      <c r="H1416" s="81">
        <f t="shared" si="67"/>
        <v>12994907.700000003</v>
      </c>
      <c r="I1416" s="84">
        <f t="shared" si="68"/>
        <v>0</v>
      </c>
      <c r="J1416" s="56"/>
      <c r="K1416" s="91"/>
    </row>
    <row r="1417" spans="1:11" ht="19">
      <c r="A1417" s="56"/>
      <c r="B1417" s="83" t="e">
        <f>VLOOKUP(A1417,'BADI SID DATA'!A:B,2,0)</f>
        <v>#N/A</v>
      </c>
      <c r="C1417" s="56"/>
      <c r="D1417" s="54"/>
      <c r="E1417" s="54"/>
      <c r="F1417" s="46">
        <v>1</v>
      </c>
      <c r="G1417" s="46">
        <v>1</v>
      </c>
      <c r="H1417" s="81">
        <f t="shared" si="67"/>
        <v>12994907.700000003</v>
      </c>
      <c r="I1417" s="84">
        <f t="shared" si="68"/>
        <v>0</v>
      </c>
      <c r="J1417" s="56"/>
      <c r="K1417" s="91"/>
    </row>
    <row r="1418" spans="1:11" ht="19">
      <c r="A1418" s="56"/>
      <c r="B1418" s="83" t="e">
        <f>VLOOKUP(A1418,'BADI SID DATA'!A:B,2,0)</f>
        <v>#N/A</v>
      </c>
      <c r="C1418" s="56"/>
      <c r="D1418" s="54"/>
      <c r="E1418" s="54"/>
      <c r="F1418" s="46">
        <v>1</v>
      </c>
      <c r="G1418" s="46">
        <v>1</v>
      </c>
      <c r="H1418" s="81">
        <f t="shared" si="67"/>
        <v>12994907.700000003</v>
      </c>
      <c r="I1418" s="84">
        <f t="shared" si="68"/>
        <v>0</v>
      </c>
      <c r="J1418" s="56"/>
      <c r="K1418" s="91"/>
    </row>
    <row r="1419" spans="1:11" ht="19">
      <c r="A1419" s="56"/>
      <c r="B1419" s="83" t="e">
        <f>VLOOKUP(A1419,'BADI SID DATA'!A:B,2,0)</f>
        <v>#N/A</v>
      </c>
      <c r="C1419" s="56"/>
      <c r="D1419" s="54"/>
      <c r="E1419" s="54"/>
      <c r="F1419" s="46">
        <v>1</v>
      </c>
      <c r="G1419" s="46">
        <v>1</v>
      </c>
      <c r="H1419" s="81">
        <f t="shared" si="67"/>
        <v>12994907.700000003</v>
      </c>
      <c r="I1419" s="84">
        <f t="shared" si="68"/>
        <v>0</v>
      </c>
      <c r="J1419" s="56"/>
      <c r="K1419" s="91"/>
    </row>
    <row r="1420" spans="1:11" ht="19">
      <c r="A1420" s="56"/>
      <c r="B1420" s="83" t="e">
        <f>VLOOKUP(A1420,'BADI SID DATA'!A:B,2,0)</f>
        <v>#N/A</v>
      </c>
      <c r="C1420" s="56"/>
      <c r="D1420" s="54"/>
      <c r="E1420" s="54"/>
      <c r="F1420" s="46">
        <v>1</v>
      </c>
      <c r="G1420" s="46">
        <v>1</v>
      </c>
      <c r="H1420" s="81">
        <f t="shared" si="67"/>
        <v>12994907.700000003</v>
      </c>
      <c r="I1420" s="84">
        <f t="shared" si="68"/>
        <v>0</v>
      </c>
      <c r="J1420" s="56"/>
      <c r="K1420" s="91"/>
    </row>
    <row r="1421" spans="1:11" ht="19">
      <c r="A1421" s="56"/>
      <c r="B1421" s="83" t="e">
        <f>VLOOKUP(A1421,'BADI SID DATA'!A:B,2,0)</f>
        <v>#N/A</v>
      </c>
      <c r="C1421" s="56"/>
      <c r="D1421" s="54"/>
      <c r="E1421" s="54"/>
      <c r="F1421" s="46">
        <v>1</v>
      </c>
      <c r="G1421" s="46">
        <v>1</v>
      </c>
      <c r="H1421" s="81">
        <f t="shared" si="67"/>
        <v>12994907.700000003</v>
      </c>
      <c r="I1421" s="84">
        <f t="shared" si="68"/>
        <v>0</v>
      </c>
      <c r="J1421" s="56"/>
      <c r="K1421" s="91"/>
    </row>
    <row r="1422" spans="1:11" ht="19">
      <c r="A1422" s="56"/>
      <c r="B1422" s="83" t="e">
        <f>VLOOKUP(A1422,'BADI SID DATA'!A:B,2,0)</f>
        <v>#N/A</v>
      </c>
      <c r="C1422" s="56"/>
      <c r="D1422" s="54"/>
      <c r="E1422" s="54"/>
      <c r="F1422" s="46">
        <v>1</v>
      </c>
      <c r="G1422" s="46">
        <v>1</v>
      </c>
      <c r="H1422" s="81">
        <f t="shared" si="67"/>
        <v>12994907.700000003</v>
      </c>
      <c r="I1422" s="84">
        <f t="shared" si="68"/>
        <v>0</v>
      </c>
      <c r="J1422" s="56"/>
      <c r="K1422" s="91"/>
    </row>
    <row r="1423" spans="1:11" ht="19">
      <c r="A1423" s="56"/>
      <c r="B1423" s="83" t="e">
        <f>VLOOKUP(A1423,'BADI SID DATA'!A:B,2,0)</f>
        <v>#N/A</v>
      </c>
      <c r="C1423" s="56"/>
      <c r="D1423" s="54"/>
      <c r="E1423" s="54"/>
      <c r="F1423" s="46">
        <v>1</v>
      </c>
      <c r="G1423" s="46">
        <v>1</v>
      </c>
      <c r="H1423" s="81">
        <f t="shared" si="67"/>
        <v>12994907.700000003</v>
      </c>
      <c r="I1423" s="84">
        <f t="shared" si="68"/>
        <v>0</v>
      </c>
      <c r="J1423" s="56"/>
      <c r="K1423" s="91"/>
    </row>
    <row r="1424" spans="1:11" ht="19">
      <c r="A1424" s="56"/>
      <c r="B1424" s="83" t="e">
        <f>VLOOKUP(A1424,'BADI SID DATA'!A:B,2,0)</f>
        <v>#N/A</v>
      </c>
      <c r="C1424" s="56"/>
      <c r="D1424" s="54"/>
      <c r="E1424" s="54"/>
      <c r="F1424" s="46">
        <v>1</v>
      </c>
      <c r="G1424" s="46">
        <v>1</v>
      </c>
      <c r="H1424" s="81">
        <f t="shared" si="67"/>
        <v>12994907.700000003</v>
      </c>
      <c r="I1424" s="84">
        <f t="shared" si="68"/>
        <v>0</v>
      </c>
      <c r="J1424" s="56"/>
      <c r="K1424" s="91"/>
    </row>
    <row r="1425" spans="1:11" ht="19">
      <c r="A1425" s="56"/>
      <c r="B1425" s="83" t="e">
        <f>VLOOKUP(A1425,'BADI SID DATA'!A:B,2,0)</f>
        <v>#N/A</v>
      </c>
      <c r="C1425" s="56"/>
      <c r="D1425" s="54"/>
      <c r="E1425" s="54"/>
      <c r="F1425" s="46">
        <v>1</v>
      </c>
      <c r="G1425" s="46">
        <v>1</v>
      </c>
      <c r="H1425" s="81">
        <f t="shared" si="67"/>
        <v>12994907.700000003</v>
      </c>
      <c r="I1425" s="84">
        <f t="shared" si="68"/>
        <v>0</v>
      </c>
      <c r="J1425" s="56"/>
      <c r="K1425" s="91"/>
    </row>
    <row r="1426" spans="1:11" ht="19">
      <c r="A1426" s="56"/>
      <c r="B1426" s="83" t="e">
        <f>VLOOKUP(A1426,'BADI SID DATA'!A:B,2,0)</f>
        <v>#N/A</v>
      </c>
      <c r="C1426" s="56"/>
      <c r="D1426" s="54"/>
      <c r="E1426" s="54"/>
      <c r="F1426" s="46">
        <v>1</v>
      </c>
      <c r="G1426" s="46">
        <v>1</v>
      </c>
      <c r="H1426" s="81">
        <f t="shared" si="67"/>
        <v>12994907.700000003</v>
      </c>
      <c r="I1426" s="84">
        <f t="shared" si="68"/>
        <v>0</v>
      </c>
      <c r="J1426" s="56"/>
      <c r="K1426" s="91"/>
    </row>
    <row r="1427" spans="1:11" ht="19">
      <c r="A1427" s="56"/>
      <c r="B1427" s="83" t="e">
        <f>VLOOKUP(A1427,'BADI SID DATA'!A:B,2,0)</f>
        <v>#N/A</v>
      </c>
      <c r="C1427" s="56"/>
      <c r="D1427" s="54"/>
      <c r="E1427" s="54"/>
      <c r="F1427" s="46">
        <v>1</v>
      </c>
      <c r="G1427" s="46">
        <v>1</v>
      </c>
      <c r="H1427" s="81">
        <f t="shared" si="67"/>
        <v>12994907.700000003</v>
      </c>
      <c r="I1427" s="84">
        <f t="shared" si="68"/>
        <v>0</v>
      </c>
      <c r="J1427" s="56"/>
      <c r="K1427" s="91"/>
    </row>
    <row r="1428" spans="1:11" ht="19">
      <c r="A1428" s="56"/>
      <c r="B1428" s="83" t="e">
        <f>VLOOKUP(A1428,'BADI SID DATA'!A:B,2,0)</f>
        <v>#N/A</v>
      </c>
      <c r="C1428" s="56"/>
      <c r="D1428" s="54"/>
      <c r="E1428" s="54"/>
      <c r="F1428" s="46">
        <v>1</v>
      </c>
      <c r="G1428" s="46">
        <v>1</v>
      </c>
      <c r="H1428" s="81">
        <f t="shared" si="67"/>
        <v>12994907.700000003</v>
      </c>
      <c r="I1428" s="84">
        <f t="shared" si="68"/>
        <v>0</v>
      </c>
      <c r="J1428" s="56"/>
      <c r="K1428" s="91"/>
    </row>
    <row r="1429" spans="1:11" ht="19">
      <c r="A1429" s="56"/>
      <c r="B1429" s="83" t="e">
        <f>VLOOKUP(A1429,'BADI SID DATA'!A:B,2,0)</f>
        <v>#N/A</v>
      </c>
      <c r="C1429" s="56"/>
      <c r="D1429" s="54"/>
      <c r="E1429" s="54"/>
      <c r="F1429" s="46">
        <v>1</v>
      </c>
      <c r="G1429" s="46">
        <v>1</v>
      </c>
      <c r="H1429" s="81">
        <f t="shared" si="67"/>
        <v>12994907.700000003</v>
      </c>
      <c r="I1429" s="84">
        <f t="shared" si="68"/>
        <v>0</v>
      </c>
      <c r="J1429" s="56"/>
      <c r="K1429" s="91"/>
    </row>
    <row r="1430" spans="1:11" ht="19">
      <c r="A1430" s="56"/>
      <c r="B1430" s="83" t="e">
        <f>VLOOKUP(A1430,'BADI SID DATA'!A:B,2,0)</f>
        <v>#N/A</v>
      </c>
      <c r="C1430" s="56"/>
      <c r="D1430" s="54"/>
      <c r="E1430" s="54"/>
      <c r="F1430" s="46">
        <v>1</v>
      </c>
      <c r="G1430" s="46">
        <v>1</v>
      </c>
      <c r="H1430" s="81">
        <f t="shared" si="67"/>
        <v>12994907.700000003</v>
      </c>
      <c r="I1430" s="84">
        <f t="shared" si="68"/>
        <v>0</v>
      </c>
      <c r="J1430" s="56"/>
      <c r="K1430" s="91"/>
    </row>
    <row r="1431" spans="1:11" ht="19">
      <c r="A1431" s="56"/>
      <c r="B1431" s="83" t="e">
        <f>VLOOKUP(A1431,'BADI SID DATA'!A:B,2,0)</f>
        <v>#N/A</v>
      </c>
      <c r="C1431" s="56"/>
      <c r="D1431" s="54"/>
      <c r="E1431" s="54"/>
      <c r="F1431" s="46">
        <v>1</v>
      </c>
      <c r="G1431" s="46">
        <v>1</v>
      </c>
      <c r="H1431" s="81">
        <f t="shared" si="67"/>
        <v>12994907.700000003</v>
      </c>
      <c r="I1431" s="84">
        <f t="shared" si="68"/>
        <v>0</v>
      </c>
      <c r="J1431" s="56"/>
      <c r="K1431" s="91"/>
    </row>
    <row r="1432" spans="1:11" ht="19">
      <c r="A1432" s="56"/>
      <c r="B1432" s="83" t="e">
        <f>VLOOKUP(A1432,'BADI SID DATA'!A:B,2,0)</f>
        <v>#N/A</v>
      </c>
      <c r="C1432" s="56"/>
      <c r="D1432" s="54"/>
      <c r="E1432" s="54"/>
      <c r="F1432" s="46">
        <v>1</v>
      </c>
      <c r="G1432" s="46">
        <v>1</v>
      </c>
      <c r="H1432" s="81">
        <f t="shared" si="67"/>
        <v>12994907.700000003</v>
      </c>
      <c r="I1432" s="84">
        <f t="shared" si="68"/>
        <v>0</v>
      </c>
      <c r="J1432" s="56"/>
      <c r="K1432" s="91"/>
    </row>
    <row r="1433" spans="1:11" ht="19">
      <c r="A1433" s="56"/>
      <c r="B1433" s="83" t="e">
        <f>VLOOKUP(A1433,'BADI SID DATA'!A:B,2,0)</f>
        <v>#N/A</v>
      </c>
      <c r="C1433" s="56"/>
      <c r="D1433" s="54"/>
      <c r="E1433" s="54"/>
      <c r="F1433" s="46">
        <v>1</v>
      </c>
      <c r="G1433" s="46">
        <v>1</v>
      </c>
      <c r="H1433" s="81">
        <f t="shared" si="67"/>
        <v>12994907.700000003</v>
      </c>
      <c r="I1433" s="84">
        <f t="shared" si="68"/>
        <v>0</v>
      </c>
      <c r="J1433" s="56"/>
      <c r="K1433" s="91"/>
    </row>
    <row r="1434" spans="1:11" ht="19">
      <c r="A1434" s="56"/>
      <c r="B1434" s="83" t="e">
        <f>VLOOKUP(A1434,'BADI SID DATA'!A:B,2,0)</f>
        <v>#N/A</v>
      </c>
      <c r="C1434" s="56"/>
      <c r="D1434" s="54"/>
      <c r="E1434" s="54"/>
      <c r="F1434" s="46">
        <v>1</v>
      </c>
      <c r="G1434" s="46">
        <v>1</v>
      </c>
      <c r="H1434" s="81">
        <f t="shared" si="67"/>
        <v>12994907.700000003</v>
      </c>
      <c r="I1434" s="84">
        <f t="shared" si="68"/>
        <v>0</v>
      </c>
      <c r="J1434" s="56"/>
      <c r="K1434" s="91"/>
    </row>
    <row r="1435" spans="1:11" ht="19">
      <c r="A1435" s="56"/>
      <c r="B1435" s="83" t="e">
        <f>VLOOKUP(A1435,'BADI SID DATA'!A:B,2,0)</f>
        <v>#N/A</v>
      </c>
      <c r="C1435" s="56"/>
      <c r="D1435" s="54"/>
      <c r="E1435" s="54"/>
      <c r="F1435" s="46">
        <v>1</v>
      </c>
      <c r="G1435" s="46">
        <v>1</v>
      </c>
      <c r="H1435" s="81">
        <f t="shared" si="67"/>
        <v>12994907.700000003</v>
      </c>
      <c r="I1435" s="84">
        <f t="shared" si="68"/>
        <v>0</v>
      </c>
      <c r="J1435" s="56"/>
      <c r="K1435" s="91"/>
    </row>
    <row r="1436" spans="1:11" ht="19">
      <c r="A1436" s="56"/>
      <c r="B1436" s="83" t="e">
        <f>VLOOKUP(A1436,'BADI SID DATA'!A:B,2,0)</f>
        <v>#N/A</v>
      </c>
      <c r="C1436" s="56"/>
      <c r="D1436" s="54"/>
      <c r="E1436" s="54"/>
      <c r="F1436" s="46">
        <v>1</v>
      </c>
      <c r="G1436" s="46">
        <v>1</v>
      </c>
      <c r="H1436" s="81">
        <f t="shared" si="67"/>
        <v>12994907.700000003</v>
      </c>
      <c r="I1436" s="84">
        <f t="shared" si="68"/>
        <v>0</v>
      </c>
      <c r="J1436" s="56"/>
      <c r="K1436" s="91"/>
    </row>
    <row r="1437" spans="1:11" ht="19">
      <c r="A1437" s="56"/>
      <c r="B1437" s="83" t="e">
        <f>VLOOKUP(A1437,'BADI SID DATA'!A:B,2,0)</f>
        <v>#N/A</v>
      </c>
      <c r="C1437" s="56"/>
      <c r="D1437" s="54"/>
      <c r="E1437" s="54"/>
      <c r="F1437" s="46">
        <v>1</v>
      </c>
      <c r="G1437" s="46">
        <v>1</v>
      </c>
      <c r="H1437" s="81">
        <f t="shared" si="67"/>
        <v>12994907.700000003</v>
      </c>
      <c r="I1437" s="84">
        <f t="shared" si="68"/>
        <v>0</v>
      </c>
      <c r="J1437" s="56"/>
      <c r="K1437" s="91"/>
    </row>
    <row r="1438" spans="1:11" ht="19">
      <c r="A1438" s="56"/>
      <c r="B1438" s="83" t="e">
        <f>VLOOKUP(A1438,'BADI SID DATA'!A:B,2,0)</f>
        <v>#N/A</v>
      </c>
      <c r="C1438" s="56"/>
      <c r="D1438" s="54"/>
      <c r="E1438" s="54"/>
      <c r="F1438" s="46">
        <v>1</v>
      </c>
      <c r="G1438" s="46">
        <v>1</v>
      </c>
      <c r="H1438" s="81">
        <f t="shared" si="67"/>
        <v>12994907.700000003</v>
      </c>
      <c r="I1438" s="84">
        <f t="shared" si="68"/>
        <v>0</v>
      </c>
      <c r="J1438" s="56"/>
      <c r="K1438" s="91"/>
    </row>
    <row r="1439" spans="1:11" ht="19">
      <c r="A1439" s="56"/>
      <c r="B1439" s="83" t="e">
        <f>VLOOKUP(A1439,'BADI SID DATA'!A:B,2,0)</f>
        <v>#N/A</v>
      </c>
      <c r="C1439" s="56"/>
      <c r="D1439" s="54"/>
      <c r="E1439" s="54"/>
      <c r="F1439" s="46">
        <v>1</v>
      </c>
      <c r="G1439" s="46">
        <v>1</v>
      </c>
      <c r="H1439" s="81">
        <f t="shared" si="67"/>
        <v>12994907.700000003</v>
      </c>
      <c r="I1439" s="84">
        <f t="shared" si="68"/>
        <v>0</v>
      </c>
      <c r="J1439" s="56"/>
      <c r="K1439" s="91"/>
    </row>
    <row r="1440" spans="1:11" ht="19">
      <c r="A1440" s="56"/>
      <c r="B1440" s="83" t="e">
        <f>VLOOKUP(A1440,'BADI SID DATA'!A:B,2,0)</f>
        <v>#N/A</v>
      </c>
      <c r="C1440" s="56"/>
      <c r="D1440" s="54"/>
      <c r="E1440" s="54"/>
      <c r="F1440" s="46">
        <v>1</v>
      </c>
      <c r="G1440" s="46">
        <v>1</v>
      </c>
      <c r="H1440" s="81">
        <f t="shared" si="67"/>
        <v>12994907.700000003</v>
      </c>
      <c r="I1440" s="84">
        <f t="shared" si="68"/>
        <v>0</v>
      </c>
      <c r="J1440" s="56"/>
      <c r="K1440" s="91"/>
    </row>
    <row r="1441" spans="1:11" ht="19">
      <c r="A1441" s="56"/>
      <c r="B1441" s="83" t="e">
        <f>VLOOKUP(A1441,'BADI SID DATA'!A:B,2,0)</f>
        <v>#N/A</v>
      </c>
      <c r="C1441" s="56"/>
      <c r="D1441" s="54"/>
      <c r="E1441" s="54"/>
      <c r="F1441" s="46">
        <v>1</v>
      </c>
      <c r="G1441" s="46">
        <v>1</v>
      </c>
      <c r="H1441" s="81">
        <f t="shared" si="67"/>
        <v>12994907.700000003</v>
      </c>
      <c r="I1441" s="84">
        <f t="shared" si="68"/>
        <v>0</v>
      </c>
      <c r="J1441" s="56"/>
      <c r="K1441" s="91"/>
    </row>
    <row r="1442" spans="1:11" ht="19">
      <c r="A1442" s="56"/>
      <c r="B1442" s="83" t="e">
        <f>VLOOKUP(A1442,'BADI SID DATA'!A:B,2,0)</f>
        <v>#N/A</v>
      </c>
      <c r="C1442" s="56"/>
      <c r="D1442" s="54"/>
      <c r="E1442" s="54"/>
      <c r="F1442" s="46">
        <v>1</v>
      </c>
      <c r="G1442" s="46">
        <v>1</v>
      </c>
      <c r="H1442" s="81">
        <f t="shared" si="67"/>
        <v>12994907.700000003</v>
      </c>
      <c r="I1442" s="84">
        <f t="shared" si="68"/>
        <v>0</v>
      </c>
      <c r="J1442" s="56"/>
      <c r="K1442" s="91"/>
    </row>
    <row r="1443" spans="1:11" ht="19">
      <c r="A1443" s="56"/>
      <c r="B1443" s="83" t="e">
        <f>VLOOKUP(A1443,'BADI SID DATA'!A:B,2,0)</f>
        <v>#N/A</v>
      </c>
      <c r="C1443" s="56"/>
      <c r="D1443" s="54"/>
      <c r="E1443" s="54"/>
      <c r="F1443" s="46">
        <v>1</v>
      </c>
      <c r="G1443" s="46">
        <v>1</v>
      </c>
      <c r="H1443" s="81">
        <f t="shared" si="67"/>
        <v>12994907.700000003</v>
      </c>
      <c r="I1443" s="84">
        <f t="shared" si="68"/>
        <v>0</v>
      </c>
      <c r="J1443" s="56"/>
      <c r="K1443" s="91"/>
    </row>
    <row r="1444" spans="1:11" ht="19">
      <c r="A1444" s="56"/>
      <c r="B1444" s="83" t="e">
        <f>VLOOKUP(A1444,'BADI SID DATA'!A:B,2,0)</f>
        <v>#N/A</v>
      </c>
      <c r="C1444" s="56"/>
      <c r="D1444" s="54"/>
      <c r="E1444" s="54"/>
      <c r="F1444" s="46">
        <v>1</v>
      </c>
      <c r="G1444" s="46">
        <v>1</v>
      </c>
      <c r="H1444" s="81">
        <f t="shared" si="67"/>
        <v>12994907.700000003</v>
      </c>
      <c r="I1444" s="84">
        <f t="shared" si="68"/>
        <v>0</v>
      </c>
      <c r="J1444" s="56"/>
      <c r="K1444" s="91"/>
    </row>
    <row r="1445" spans="1:11" ht="19">
      <c r="A1445" s="56"/>
      <c r="B1445" s="83" t="e">
        <f>VLOOKUP(A1445,'BADI SID DATA'!A:B,2,0)</f>
        <v>#N/A</v>
      </c>
      <c r="C1445" s="56"/>
      <c r="D1445" s="54"/>
      <c r="E1445" s="54"/>
      <c r="F1445" s="46">
        <v>1</v>
      </c>
      <c r="G1445" s="46">
        <v>1</v>
      </c>
      <c r="H1445" s="81">
        <f t="shared" si="67"/>
        <v>12994907.700000003</v>
      </c>
      <c r="I1445" s="84">
        <f t="shared" si="68"/>
        <v>0</v>
      </c>
      <c r="J1445" s="56"/>
      <c r="K1445" s="91"/>
    </row>
    <row r="1446" spans="1:11" ht="19">
      <c r="A1446" s="56"/>
      <c r="B1446" s="83" t="e">
        <f>VLOOKUP(A1446,'BADI SID DATA'!A:B,2,0)</f>
        <v>#N/A</v>
      </c>
      <c r="C1446" s="56"/>
      <c r="D1446" s="54"/>
      <c r="E1446" s="54"/>
      <c r="F1446" s="46">
        <v>1</v>
      </c>
      <c r="G1446" s="46">
        <v>1</v>
      </c>
      <c r="H1446" s="81">
        <f t="shared" si="67"/>
        <v>12994907.700000003</v>
      </c>
      <c r="I1446" s="84">
        <f t="shared" si="68"/>
        <v>0</v>
      </c>
      <c r="J1446" s="56"/>
      <c r="K1446" s="91"/>
    </row>
    <row r="1447" spans="1:11" ht="19">
      <c r="A1447" s="56"/>
      <c r="B1447" s="83" t="e">
        <f>VLOOKUP(A1447,'BADI SID DATA'!A:B,2,0)</f>
        <v>#N/A</v>
      </c>
      <c r="C1447" s="56"/>
      <c r="D1447" s="54"/>
      <c r="E1447" s="54"/>
      <c r="F1447" s="46">
        <v>1</v>
      </c>
      <c r="G1447" s="46">
        <v>1</v>
      </c>
      <c r="H1447" s="81">
        <f t="shared" si="67"/>
        <v>12994907.700000003</v>
      </c>
      <c r="I1447" s="84">
        <f t="shared" si="68"/>
        <v>0</v>
      </c>
      <c r="J1447" s="56"/>
      <c r="K1447" s="91"/>
    </row>
    <row r="1448" spans="1:11" ht="19">
      <c r="A1448" s="56"/>
      <c r="B1448" s="83" t="e">
        <f>VLOOKUP(A1448,'BADI SID DATA'!A:B,2,0)</f>
        <v>#N/A</v>
      </c>
      <c r="C1448" s="56"/>
      <c r="D1448" s="54"/>
      <c r="E1448" s="54"/>
      <c r="F1448" s="46">
        <v>1</v>
      </c>
      <c r="G1448" s="46">
        <v>1</v>
      </c>
      <c r="H1448" s="81">
        <f t="shared" si="67"/>
        <v>12994907.700000003</v>
      </c>
      <c r="I1448" s="84">
        <f t="shared" si="68"/>
        <v>0</v>
      </c>
      <c r="J1448" s="56"/>
      <c r="K1448" s="91"/>
    </row>
    <row r="1449" spans="1:11" ht="19">
      <c r="A1449" s="56"/>
      <c r="B1449" s="83" t="e">
        <f>VLOOKUP(A1449,'BADI SID DATA'!A:B,2,0)</f>
        <v>#N/A</v>
      </c>
      <c r="C1449" s="56"/>
      <c r="D1449" s="54"/>
      <c r="E1449" s="54"/>
      <c r="F1449" s="46">
        <v>1</v>
      </c>
      <c r="G1449" s="46">
        <v>1</v>
      </c>
      <c r="H1449" s="81">
        <f t="shared" si="67"/>
        <v>12994907.700000003</v>
      </c>
      <c r="I1449" s="84">
        <f t="shared" si="68"/>
        <v>0</v>
      </c>
      <c r="J1449" s="56"/>
      <c r="K1449" s="91"/>
    </row>
    <row r="1450" spans="1:11" ht="19">
      <c r="A1450" s="56"/>
      <c r="B1450" s="83" t="e">
        <f>VLOOKUP(A1450,'BADI SID DATA'!A:B,2,0)</f>
        <v>#N/A</v>
      </c>
      <c r="C1450" s="56"/>
      <c r="D1450" s="54"/>
      <c r="E1450" s="54"/>
      <c r="F1450" s="46">
        <v>1</v>
      </c>
      <c r="G1450" s="46">
        <v>1</v>
      </c>
      <c r="H1450" s="81">
        <f t="shared" si="67"/>
        <v>12994907.700000003</v>
      </c>
      <c r="I1450" s="84">
        <f t="shared" si="68"/>
        <v>0</v>
      </c>
      <c r="J1450" s="56"/>
      <c r="K1450" s="91"/>
    </row>
    <row r="1451" spans="1:11" ht="19">
      <c r="A1451" s="56"/>
      <c r="B1451" s="83" t="e">
        <f>VLOOKUP(A1451,'BADI SID DATA'!A:B,2,0)</f>
        <v>#N/A</v>
      </c>
      <c r="C1451" s="56"/>
      <c r="D1451" s="54"/>
      <c r="E1451" s="54"/>
      <c r="F1451" s="46">
        <v>1</v>
      </c>
      <c r="G1451" s="46">
        <v>1</v>
      </c>
      <c r="H1451" s="81">
        <f t="shared" si="67"/>
        <v>12994907.700000003</v>
      </c>
      <c r="I1451" s="84">
        <f t="shared" si="68"/>
        <v>0</v>
      </c>
      <c r="J1451" s="56"/>
      <c r="K1451" s="91"/>
    </row>
    <row r="1452" spans="1:11" ht="19">
      <c r="A1452" s="56"/>
      <c r="B1452" s="83" t="e">
        <f>VLOOKUP(A1452,'BADI SID DATA'!A:B,2,0)</f>
        <v>#N/A</v>
      </c>
      <c r="C1452" s="56"/>
      <c r="D1452" s="54"/>
      <c r="E1452" s="54"/>
      <c r="F1452" s="46">
        <v>1</v>
      </c>
      <c r="G1452" s="46">
        <v>1</v>
      </c>
      <c r="H1452" s="81">
        <f t="shared" ref="H1452:H1462" si="69">C1452+H1451</f>
        <v>12994907.700000003</v>
      </c>
      <c r="I1452" s="84">
        <f t="shared" ref="I1452:I1457" si="70">C1452/(10*24*1000)</f>
        <v>0</v>
      </c>
      <c r="J1452" s="56"/>
      <c r="K1452" s="91"/>
    </row>
    <row r="1453" spans="1:11" ht="19">
      <c r="A1453" s="56"/>
      <c r="B1453" s="83" t="e">
        <f>VLOOKUP(A1453,'BADI SID DATA'!A:B,2,0)</f>
        <v>#N/A</v>
      </c>
      <c r="C1453" s="56"/>
      <c r="D1453" s="54"/>
      <c r="E1453" s="54"/>
      <c r="F1453" s="46">
        <v>1</v>
      </c>
      <c r="G1453" s="46">
        <v>1</v>
      </c>
      <c r="H1453" s="81">
        <f t="shared" si="69"/>
        <v>12994907.700000003</v>
      </c>
      <c r="I1453" s="84">
        <f t="shared" si="70"/>
        <v>0</v>
      </c>
      <c r="J1453" s="56"/>
      <c r="K1453" s="91"/>
    </row>
    <row r="1454" spans="1:11" ht="19">
      <c r="A1454" s="56"/>
      <c r="B1454" s="83" t="e">
        <f>VLOOKUP(A1454,'BADI SID DATA'!A:B,2,0)</f>
        <v>#N/A</v>
      </c>
      <c r="C1454" s="56"/>
      <c r="D1454" s="54"/>
      <c r="E1454" s="54"/>
      <c r="F1454" s="46">
        <v>1</v>
      </c>
      <c r="G1454" s="46">
        <v>1</v>
      </c>
      <c r="H1454" s="81">
        <f t="shared" si="69"/>
        <v>12994907.700000003</v>
      </c>
      <c r="I1454" s="84">
        <f t="shared" si="70"/>
        <v>0</v>
      </c>
      <c r="J1454" s="56"/>
      <c r="K1454" s="91"/>
    </row>
    <row r="1455" spans="1:11" ht="19">
      <c r="A1455" s="56"/>
      <c r="B1455" s="83" t="e">
        <f>VLOOKUP(A1455,'BADI SID DATA'!A:B,2,0)</f>
        <v>#N/A</v>
      </c>
      <c r="C1455" s="56"/>
      <c r="D1455" s="54"/>
      <c r="E1455" s="54"/>
      <c r="F1455" s="46">
        <v>1</v>
      </c>
      <c r="G1455" s="46">
        <v>1</v>
      </c>
      <c r="H1455" s="81">
        <f t="shared" si="69"/>
        <v>12994907.700000003</v>
      </c>
      <c r="I1455" s="84">
        <f t="shared" si="70"/>
        <v>0</v>
      </c>
      <c r="J1455" s="56"/>
      <c r="K1455" s="91"/>
    </row>
    <row r="1456" spans="1:11" ht="19">
      <c r="A1456" s="56"/>
      <c r="B1456" s="83" t="e">
        <f>VLOOKUP(A1456,'BADI SID DATA'!A:B,2,0)</f>
        <v>#N/A</v>
      </c>
      <c r="C1456" s="56"/>
      <c r="D1456" s="54"/>
      <c r="E1456" s="54"/>
      <c r="F1456" s="46">
        <v>1</v>
      </c>
      <c r="G1456" s="46">
        <v>1</v>
      </c>
      <c r="H1456" s="81">
        <f t="shared" si="69"/>
        <v>12994907.700000003</v>
      </c>
      <c r="I1456" s="84">
        <f t="shared" si="70"/>
        <v>0</v>
      </c>
      <c r="J1456" s="56"/>
      <c r="K1456" s="91"/>
    </row>
    <row r="1457" spans="1:11" ht="19">
      <c r="A1457" s="56"/>
      <c r="B1457" s="83" t="e">
        <f>VLOOKUP(A1457,'BADI SID DATA'!A:B,2,0)</f>
        <v>#N/A</v>
      </c>
      <c r="C1457" s="56"/>
      <c r="D1457" s="54"/>
      <c r="E1457" s="54"/>
      <c r="F1457" s="46">
        <v>1</v>
      </c>
      <c r="G1457" s="46">
        <v>1</v>
      </c>
      <c r="H1457" s="81">
        <f t="shared" si="69"/>
        <v>12994907.700000003</v>
      </c>
      <c r="I1457" s="84">
        <f t="shared" si="70"/>
        <v>0</v>
      </c>
      <c r="J1457" s="56"/>
      <c r="K1457" s="91"/>
    </row>
    <row r="1458" spans="1:11" ht="19">
      <c r="A1458" s="56"/>
      <c r="B1458" s="83" t="e">
        <f>VLOOKUP(A1458,'BADI SID DATA'!A:B,2,0)</f>
        <v>#N/A</v>
      </c>
      <c r="C1458" s="56"/>
      <c r="D1458" s="54"/>
      <c r="E1458" s="54"/>
      <c r="F1458" s="46">
        <v>1</v>
      </c>
      <c r="G1458" s="46">
        <v>1</v>
      </c>
      <c r="H1458" s="81">
        <f t="shared" si="69"/>
        <v>12994907.700000003</v>
      </c>
      <c r="I1458" s="56"/>
      <c r="J1458" s="56"/>
      <c r="K1458" s="91"/>
    </row>
    <row r="1459" spans="1:11" ht="19">
      <c r="A1459" s="56"/>
      <c r="B1459" s="83" t="e">
        <f>VLOOKUP(A1459,'BADI SID DATA'!A:B,2,0)</f>
        <v>#N/A</v>
      </c>
      <c r="C1459" s="56"/>
      <c r="D1459" s="54"/>
      <c r="E1459" s="54"/>
      <c r="F1459" s="46">
        <v>1</v>
      </c>
      <c r="G1459" s="46">
        <v>1</v>
      </c>
      <c r="H1459" s="81">
        <f t="shared" si="69"/>
        <v>12994907.700000003</v>
      </c>
      <c r="I1459" s="56"/>
      <c r="J1459" s="56"/>
      <c r="K1459" s="91"/>
    </row>
    <row r="1460" spans="1:11" ht="19">
      <c r="A1460" s="56"/>
      <c r="B1460" s="83" t="e">
        <f>VLOOKUP(A1460,'BADI SID DATA'!A:B,2,0)</f>
        <v>#N/A</v>
      </c>
      <c r="C1460" s="56"/>
      <c r="D1460" s="54"/>
      <c r="E1460" s="54"/>
      <c r="F1460" s="46">
        <v>1</v>
      </c>
      <c r="G1460" s="46">
        <v>1</v>
      </c>
      <c r="H1460" s="81">
        <f t="shared" si="69"/>
        <v>12994907.700000003</v>
      </c>
      <c r="I1460" s="56"/>
      <c r="J1460" s="56"/>
      <c r="K1460" s="91"/>
    </row>
    <row r="1461" spans="1:11" ht="19">
      <c r="A1461" s="56"/>
      <c r="B1461" s="83" t="e">
        <f>VLOOKUP(A1461,'BADI SID DATA'!A:B,2,0)</f>
        <v>#N/A</v>
      </c>
      <c r="C1461" s="56"/>
      <c r="D1461" s="54"/>
      <c r="E1461" s="54"/>
      <c r="F1461" s="46">
        <v>1</v>
      </c>
      <c r="G1461" s="46">
        <v>1</v>
      </c>
      <c r="H1461" s="81">
        <f t="shared" si="69"/>
        <v>12994907.700000003</v>
      </c>
      <c r="I1461" s="56"/>
      <c r="J1461" s="56"/>
      <c r="K1461" s="91"/>
    </row>
    <row r="1462" spans="1:11" ht="19">
      <c r="A1462" s="56"/>
      <c r="B1462" s="83" t="e">
        <f>VLOOKUP(A1462,'BADI SID DATA'!A:B,2,0)</f>
        <v>#N/A</v>
      </c>
      <c r="C1462" s="56"/>
      <c r="D1462" s="54"/>
      <c r="E1462" s="54"/>
      <c r="F1462" s="46">
        <v>1</v>
      </c>
      <c r="G1462" s="46">
        <v>1</v>
      </c>
      <c r="H1462" s="81">
        <f t="shared" si="69"/>
        <v>12994907.700000003</v>
      </c>
      <c r="I1462" s="56"/>
      <c r="J1462" s="56"/>
      <c r="K1462" s="91"/>
    </row>
  </sheetData>
  <autoFilter ref="A1:H1404" xr:uid="{00000000-0001-0000-0000-000000000000}">
    <sortState xmlns:xlrd2="http://schemas.microsoft.com/office/spreadsheetml/2017/richdata2" ref="A2:H944">
      <sortCondition ref="A1:A944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AA7E-5ED2-8842-9925-CA81577A1CA9}">
  <dimension ref="A1:K20"/>
  <sheetViews>
    <sheetView topLeftCell="A11" zoomScale="108" workbookViewId="0">
      <selection activeCell="H8" sqref="H8:I8"/>
    </sheetView>
  </sheetViews>
  <sheetFormatPr baseColWidth="10" defaultRowHeight="15"/>
  <cols>
    <col min="1" max="1" width="10.83203125" style="15"/>
    <col min="2" max="2" width="12.83203125" style="15" bestFit="1" customWidth="1"/>
    <col min="3" max="3" width="19" style="15" bestFit="1" customWidth="1"/>
    <col min="4" max="4" width="18" style="15" bestFit="1" customWidth="1"/>
    <col min="5" max="5" width="11.5" style="15" bestFit="1" customWidth="1"/>
    <col min="6" max="6" width="11.83203125" style="15" bestFit="1" customWidth="1"/>
    <col min="7" max="7" width="11" style="15" bestFit="1" customWidth="1"/>
    <col min="8" max="8" width="10.33203125" style="15" bestFit="1" customWidth="1"/>
    <col min="9" max="9" width="7.83203125" style="15" bestFit="1" customWidth="1"/>
    <col min="10" max="10" width="10" style="15" bestFit="1" customWidth="1"/>
    <col min="11" max="16384" width="10.83203125" style="15"/>
  </cols>
  <sheetData>
    <row r="1" spans="1:11" ht="15" customHeight="1">
      <c r="B1" s="181" t="s">
        <v>13</v>
      </c>
      <c r="C1" s="165">
        <f ca="1">'SECI O&amp;M Dashboard'!E3</f>
        <v>46027</v>
      </c>
      <c r="D1" s="165"/>
      <c r="E1" s="165"/>
    </row>
    <row r="2" spans="1:11" ht="15" customHeight="1">
      <c r="B2" s="181"/>
      <c r="C2" s="165"/>
      <c r="D2" s="165"/>
      <c r="E2" s="165"/>
    </row>
    <row r="3" spans="1:11" ht="15" customHeight="1">
      <c r="B3" s="181"/>
      <c r="C3" s="165"/>
      <c r="D3" s="165"/>
      <c r="E3" s="165"/>
      <c r="K3"/>
    </row>
    <row r="4" spans="1:11" ht="29">
      <c r="B4" s="166" t="s">
        <v>87</v>
      </c>
      <c r="C4" s="167"/>
      <c r="D4" s="167"/>
      <c r="E4" s="167"/>
      <c r="F4" s="167"/>
      <c r="G4" s="167"/>
      <c r="H4" s="167"/>
      <c r="I4" s="167"/>
      <c r="J4" s="168"/>
    </row>
    <row r="5" spans="1:11" ht="45" customHeight="1">
      <c r="B5" s="169" t="s">
        <v>39</v>
      </c>
      <c r="C5" s="170"/>
      <c r="D5" s="171">
        <f ca="1">C1</f>
        <v>46027</v>
      </c>
      <c r="E5" s="171"/>
      <c r="F5" s="172" t="s">
        <v>34</v>
      </c>
      <c r="G5" s="173"/>
      <c r="H5" s="174" t="s">
        <v>35</v>
      </c>
      <c r="I5" s="174"/>
      <c r="J5" s="174"/>
    </row>
    <row r="6" spans="1:11" ht="14" customHeight="1">
      <c r="B6" s="175" t="s">
        <v>32</v>
      </c>
      <c r="C6" s="175"/>
      <c r="D6" s="175"/>
      <c r="E6" s="175"/>
      <c r="F6" s="175"/>
      <c r="G6" s="175"/>
      <c r="H6" s="175" t="s">
        <v>36</v>
      </c>
      <c r="I6" s="175"/>
      <c r="J6" s="175"/>
    </row>
    <row r="7" spans="1:11" ht="51">
      <c r="B7" s="26" t="s">
        <v>44</v>
      </c>
      <c r="C7" s="26" t="s">
        <v>43</v>
      </c>
      <c r="D7" s="26" t="s">
        <v>12</v>
      </c>
      <c r="E7" s="26" t="s">
        <v>45</v>
      </c>
      <c r="F7" s="26" t="s">
        <v>43</v>
      </c>
      <c r="G7" s="26" t="s">
        <v>12</v>
      </c>
      <c r="H7" s="176" t="s">
        <v>43</v>
      </c>
      <c r="I7" s="177"/>
      <c r="J7" s="26" t="s">
        <v>12</v>
      </c>
    </row>
    <row r="8" spans="1:11" s="44" customFormat="1" ht="19" customHeight="1">
      <c r="B8" s="23">
        <f ca="1">VLOOKUP(C1,'Agatti Data'!A:D,4,0)</f>
        <v>3.96</v>
      </c>
      <c r="C8" s="21">
        <f ca="1">VLOOKUP(C1,'Agatti Data'!A:C,3,FALSE)/10^6</f>
        <v>1.075E-3</v>
      </c>
      <c r="D8" s="38">
        <f ca="1">VLOOKUP(C1,'Agatti Data'!A:I,9,0)</f>
        <v>0.14930555555555555</v>
      </c>
      <c r="E8" s="74">
        <f ca="1">VLOOKUP(C1,'Agatti Data'!A:E,5,0)</f>
        <v>190</v>
      </c>
      <c r="F8" s="21">
        <f ca="1">VLOOKUP(C1,'Agatti Data'!A:H,8,0)/10^6</f>
        <v>0.34595309999999996</v>
      </c>
      <c r="G8" s="24">
        <f ca="1">VLOOKUP(C1,'Agatti Data'!A:J,10,0)</f>
        <v>0.17160372023809523</v>
      </c>
      <c r="H8" s="178"/>
      <c r="I8" s="179"/>
      <c r="J8" s="22"/>
    </row>
    <row r="11" spans="1:11" ht="26">
      <c r="B11" s="180" t="s">
        <v>15</v>
      </c>
      <c r="C11" s="180"/>
      <c r="D11" s="180"/>
      <c r="E11" s="180"/>
      <c r="F11" s="180"/>
      <c r="G11" s="180"/>
      <c r="H11" s="180"/>
      <c r="I11" s="180"/>
      <c r="J11" s="180"/>
    </row>
    <row r="12" spans="1:11" ht="56" customHeight="1">
      <c r="A12" s="159"/>
      <c r="B12" s="160" t="s">
        <v>13</v>
      </c>
      <c r="C12" s="17" t="s">
        <v>10</v>
      </c>
      <c r="D12" s="17" t="s">
        <v>11</v>
      </c>
      <c r="E12" s="17" t="s">
        <v>12</v>
      </c>
      <c r="F12" s="17" t="s">
        <v>45</v>
      </c>
      <c r="G12" s="17" t="s">
        <v>10</v>
      </c>
      <c r="H12" s="17" t="s">
        <v>11</v>
      </c>
      <c r="I12" s="17" t="s">
        <v>12</v>
      </c>
      <c r="J12" s="17" t="s">
        <v>41</v>
      </c>
    </row>
    <row r="13" spans="1:11" ht="16" customHeight="1">
      <c r="A13" s="159"/>
      <c r="B13" s="161"/>
      <c r="C13" s="162">
        <f ca="1">YEAR(C1)</f>
        <v>2026</v>
      </c>
      <c r="D13" s="162"/>
      <c r="E13" s="162"/>
      <c r="F13" s="162"/>
      <c r="G13" s="163">
        <f ca="1">C13-1</f>
        <v>2025</v>
      </c>
      <c r="H13" s="163"/>
      <c r="I13" s="163"/>
      <c r="J13" s="163"/>
    </row>
    <row r="14" spans="1:11" ht="16">
      <c r="A14" s="159"/>
      <c r="B14" s="18">
        <f ca="1">C1-1</f>
        <v>46026</v>
      </c>
      <c r="C14" s="19">
        <f ca="1">VLOOKUP(B14,'Agatti Data'!A:D,4,0)</f>
        <v>4.54</v>
      </c>
      <c r="D14" s="19">
        <f ca="1">VLOOKUP(B14,'Agatti Data'!A:C,3,0)</f>
        <v>1233</v>
      </c>
      <c r="E14" s="40">
        <f ca="1">VLOOKUP('Agatti Dashboard'!B14,'Agatti Data'!A:I,9,0)</f>
        <v>0.17125000000000001</v>
      </c>
      <c r="F14" s="19">
        <f ca="1">VLOOKUP(B14,'Agatti Data'!A:E,5,0)</f>
        <v>210</v>
      </c>
      <c r="G14" s="19">
        <f ca="1">VLOOKUP(B14-365,'Agatti Data'!A:D,4,0)</f>
        <v>3.75</v>
      </c>
      <c r="H14" s="19">
        <f ca="1">VLOOKUP(B14-365,'Agatti Data'!A:C,3,0)</f>
        <v>1098.1999999999998</v>
      </c>
      <c r="I14" s="20">
        <f ca="1">VLOOKUP(B14-365,'Agatti Data'!A:I,9,0)</f>
        <v>0.15252777777777776</v>
      </c>
      <c r="J14" s="19">
        <f ca="1">VLOOKUP(B14-365,'Agatti Data'!A:E,5,0)</f>
        <v>0</v>
      </c>
    </row>
    <row r="15" spans="1:11" ht="16">
      <c r="A15" s="159"/>
      <c r="B15" s="18">
        <f t="shared" ref="B15:B20" ca="1" si="0">B14-1</f>
        <v>46025</v>
      </c>
      <c r="C15" s="19">
        <f ca="1">VLOOKUP(B15,'Agatti Data'!A:D,4,0)</f>
        <v>4.09</v>
      </c>
      <c r="D15" s="19">
        <f ca="1">VLOOKUP(B15,'Agatti Data'!A:C,3,0)</f>
        <v>1098</v>
      </c>
      <c r="E15" s="40">
        <f ca="1">VLOOKUP('Agatti Dashboard'!B15,'Agatti Data'!A:I,9,0)</f>
        <v>0.1525</v>
      </c>
      <c r="F15" s="19">
        <f ca="1">VLOOKUP(B15,'Agatti Data'!A:E,5,0)</f>
        <v>238</v>
      </c>
      <c r="G15" s="19">
        <f ca="1">VLOOKUP(B15-365,'Agatti Data'!A:D,4,0)</f>
        <v>4.2300000000000004</v>
      </c>
      <c r="H15" s="19">
        <f ca="1">VLOOKUP(B15-365,'Agatti Data'!A:C,3,0)</f>
        <v>1214.7</v>
      </c>
      <c r="I15" s="20">
        <f ca="1">VLOOKUP(B15-365,'Agatti Data'!A:I,9,0)</f>
        <v>0.16870833333333335</v>
      </c>
      <c r="J15" s="19">
        <f ca="1">VLOOKUP(B15-365,'Agatti Data'!A:E,5,0)</f>
        <v>0</v>
      </c>
    </row>
    <row r="16" spans="1:11" ht="16">
      <c r="A16" s="159"/>
      <c r="B16" s="18">
        <f t="shared" ca="1" si="0"/>
        <v>46024</v>
      </c>
      <c r="C16" s="19">
        <f ca="1">VLOOKUP(B16,'Agatti Data'!A:D,4,0)</f>
        <v>4.41</v>
      </c>
      <c r="D16" s="19">
        <f ca="1">VLOOKUP(B16,'Agatti Data'!A:C,3,0)</f>
        <v>1193</v>
      </c>
      <c r="E16" s="40">
        <f ca="1">VLOOKUP('Agatti Dashboard'!B16,'Agatti Data'!A:I,9,0)</f>
        <v>0.16569444444444445</v>
      </c>
      <c r="F16" s="19">
        <f ca="1">VLOOKUP(B16,'Agatti Data'!A:E,5,0)</f>
        <v>212</v>
      </c>
      <c r="G16" s="19">
        <f ca="1">VLOOKUP(B16-365,'Agatti Data'!A:D,4,0)</f>
        <v>4.45</v>
      </c>
      <c r="H16" s="19">
        <f ca="1">VLOOKUP(B16-365,'Agatti Data'!A:C,3,0)</f>
        <v>1131.7</v>
      </c>
      <c r="I16" s="20">
        <f ca="1">VLOOKUP(B16-365,'Agatti Data'!A:I,9,0)</f>
        <v>0.15718055555555557</v>
      </c>
      <c r="J16" s="19">
        <f ca="1">VLOOKUP(B16-365,'Agatti Data'!A:E,5,0)</f>
        <v>0</v>
      </c>
    </row>
    <row r="17" spans="1:10" ht="16">
      <c r="A17" s="159"/>
      <c r="B17" s="18">
        <f t="shared" ca="1" si="0"/>
        <v>46023</v>
      </c>
      <c r="C17" s="19">
        <f ca="1">VLOOKUP(B17,'Agatti Data'!A:D,4,0)</f>
        <v>3.73</v>
      </c>
      <c r="D17" s="19">
        <f ca="1">VLOOKUP(B17,'Agatti Data'!A:C,3,0)</f>
        <v>973</v>
      </c>
      <c r="E17" s="40">
        <f ca="1">VLOOKUP('Agatti Dashboard'!B17,'Agatti Data'!A:I,9,0)</f>
        <v>0.13513888888888889</v>
      </c>
      <c r="F17" s="19">
        <f ca="1">VLOOKUP(B17,'Agatti Data'!A:E,5,0)</f>
        <v>213</v>
      </c>
      <c r="G17" s="19">
        <f ca="1">VLOOKUP(B17-365,'Agatti Data'!A:D,4,0)</f>
        <v>4.78</v>
      </c>
      <c r="H17" s="19">
        <f ca="1">VLOOKUP(B17-365,'Agatti Data'!A:C,3,0)</f>
        <v>1238.5999999999999</v>
      </c>
      <c r="I17" s="20">
        <f ca="1">VLOOKUP(B17-365,'Agatti Data'!A:I,9,0)</f>
        <v>0.17202777777777775</v>
      </c>
      <c r="J17" s="19">
        <f ca="1">VLOOKUP(B17-365,'Agatti Data'!A:E,5,0)</f>
        <v>0</v>
      </c>
    </row>
    <row r="18" spans="1:10" ht="16">
      <c r="A18" s="159"/>
      <c r="B18" s="18">
        <f t="shared" ca="1" si="0"/>
        <v>46022</v>
      </c>
      <c r="C18" s="19">
        <f ca="1">VLOOKUP(B18,'Agatti Data'!A:D,4,0)</f>
        <v>3.39</v>
      </c>
      <c r="D18" s="19">
        <f ca="1">VLOOKUP(B18,'Agatti Data'!A:C,3,0)</f>
        <v>932</v>
      </c>
      <c r="E18" s="40">
        <f ca="1">VLOOKUP('Agatti Dashboard'!B18,'Agatti Data'!A:I,9,0)</f>
        <v>0.12944444444444445</v>
      </c>
      <c r="F18" s="19">
        <f ca="1">VLOOKUP(B18,'Agatti Data'!A:E,5,0)</f>
        <v>220</v>
      </c>
      <c r="G18" s="19">
        <f ca="1">VLOOKUP(B18-365,'Agatti Data'!A:D,4,0)</f>
        <v>4.5599999999999996</v>
      </c>
      <c r="H18" s="19">
        <f ca="1">VLOOKUP(B18-365,'Agatti Data'!A:C,3,0)</f>
        <v>1248.5</v>
      </c>
      <c r="I18" s="20">
        <f ca="1">VLOOKUP(B18-365,'Agatti Data'!A:I,9,0)</f>
        <v>0.17340277777777777</v>
      </c>
      <c r="J18" s="19">
        <f ca="1">VLOOKUP(B18-365,'Agatti Data'!A:E,5,0)</f>
        <v>0</v>
      </c>
    </row>
    <row r="19" spans="1:10" ht="16">
      <c r="A19" s="159"/>
      <c r="B19" s="18">
        <f t="shared" ca="1" si="0"/>
        <v>46021</v>
      </c>
      <c r="C19" s="19">
        <f ca="1">VLOOKUP(B19,'Agatti Data'!A:D,4,0)</f>
        <v>4.76</v>
      </c>
      <c r="D19" s="19">
        <f ca="1">VLOOKUP(B19,'Agatti Data'!A:C,3,0)</f>
        <v>1296</v>
      </c>
      <c r="E19" s="40">
        <f ca="1">VLOOKUP('Agatti Dashboard'!B19,'Agatti Data'!A:I,9,0)</f>
        <v>0.18</v>
      </c>
      <c r="F19" s="19">
        <f ca="1">VLOOKUP(B19,'Agatti Data'!A:E,5,0)</f>
        <v>199</v>
      </c>
      <c r="G19" s="19">
        <f ca="1">VLOOKUP(B19-365,'Agatti Data'!A:D,4,0)</f>
        <v>4.68</v>
      </c>
      <c r="H19" s="19">
        <f ca="1">VLOOKUP(B19-365,'Agatti Data'!A:C,3,0)</f>
        <v>1267</v>
      </c>
      <c r="I19" s="20">
        <f ca="1">VLOOKUP(B19-365,'Agatti Data'!A:I,9,0)</f>
        <v>0.17597222222222222</v>
      </c>
      <c r="J19" s="19">
        <f ca="1">VLOOKUP(B19-365,'Agatti Data'!A:E,5,0)</f>
        <v>0</v>
      </c>
    </row>
    <row r="20" spans="1:10" ht="16">
      <c r="A20" s="159"/>
      <c r="B20" s="18">
        <f t="shared" ca="1" si="0"/>
        <v>46020</v>
      </c>
      <c r="C20" s="19">
        <f ca="1">VLOOKUP(B20,'Agatti Data'!A:D,4,0)</f>
        <v>4.83</v>
      </c>
      <c r="D20" s="19">
        <f ca="1">VLOOKUP(B20,'Agatti Data'!A:C,3,0)</f>
        <v>1296</v>
      </c>
      <c r="E20" s="40">
        <f ca="1">VLOOKUP('Agatti Dashboard'!B20,'Agatti Data'!A:I,9,0)</f>
        <v>0.18</v>
      </c>
      <c r="F20" s="19">
        <f ca="1">VLOOKUP(B20,'Agatti Data'!A:E,5,0)</f>
        <v>198</v>
      </c>
      <c r="G20" s="19">
        <f ca="1">VLOOKUP(B20-365,'Agatti Data'!A:D,4,0)</f>
        <v>4.3</v>
      </c>
      <c r="H20" s="19">
        <f ca="1">VLOOKUP(B20-365,'Agatti Data'!A:C,3,0)</f>
        <v>1182.8</v>
      </c>
      <c r="I20" s="20">
        <f ca="1">VLOOKUP(B20-365,'Agatti Data'!A:I,9,0)</f>
        <v>0.16427777777777777</v>
      </c>
      <c r="J20" s="19">
        <f ca="1">VLOOKUP(B20-365,'Agatti Data'!A:E,5,0)</f>
        <v>0</v>
      </c>
    </row>
  </sheetData>
  <mergeCells count="16">
    <mergeCell ref="A12:A20"/>
    <mergeCell ref="B12:B13"/>
    <mergeCell ref="C13:F13"/>
    <mergeCell ref="G13:J13"/>
    <mergeCell ref="B1:B3"/>
    <mergeCell ref="C1:E3"/>
    <mergeCell ref="B4:J4"/>
    <mergeCell ref="B5:C5"/>
    <mergeCell ref="D5:E5"/>
    <mergeCell ref="F5:G5"/>
    <mergeCell ref="H5:J5"/>
    <mergeCell ref="B6:G6"/>
    <mergeCell ref="H6:J6"/>
    <mergeCell ref="H7:I7"/>
    <mergeCell ref="H8:I8"/>
    <mergeCell ref="B11:J11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3D48-D23E-7949-8F90-7AF187E605A2}">
  <dimension ref="A1:P22"/>
  <sheetViews>
    <sheetView topLeftCell="A4" zoomScale="92" workbookViewId="0">
      <selection activeCell="H20" sqref="H20"/>
    </sheetView>
  </sheetViews>
  <sheetFormatPr baseColWidth="10" defaultRowHeight="15"/>
  <cols>
    <col min="1" max="1" width="10.83203125" style="15"/>
    <col min="2" max="2" width="13.1640625" style="15" bestFit="1" customWidth="1"/>
    <col min="3" max="3" width="16.6640625" style="15" bestFit="1" customWidth="1"/>
    <col min="4" max="4" width="10.33203125" style="15" bestFit="1" customWidth="1"/>
    <col min="5" max="5" width="12" style="15" customWidth="1"/>
    <col min="6" max="6" width="11" style="15" bestFit="1" customWidth="1"/>
    <col min="7" max="7" width="10.6640625" style="15" bestFit="1" customWidth="1"/>
    <col min="8" max="8" width="12.83203125" style="15" customWidth="1"/>
    <col min="9" max="9" width="11" style="15" bestFit="1" customWidth="1"/>
    <col min="10" max="10" width="11.83203125" style="15" bestFit="1" customWidth="1"/>
    <col min="11" max="11" width="11.5" style="15" bestFit="1" customWidth="1"/>
    <col min="12" max="12" width="11.1640625" style="15" customWidth="1"/>
    <col min="13" max="13" width="7.6640625" style="15" customWidth="1"/>
    <col min="14" max="14" width="10" style="15" bestFit="1" customWidth="1"/>
    <col min="15" max="16384" width="10.83203125" style="15"/>
  </cols>
  <sheetData>
    <row r="1" spans="1:16" ht="15" customHeight="1">
      <c r="B1" s="181" t="s">
        <v>13</v>
      </c>
      <c r="C1" s="165">
        <f ca="1">'SECI O&amp;M Dashboard'!E3</f>
        <v>46027</v>
      </c>
      <c r="D1" s="165"/>
      <c r="E1" s="165"/>
      <c r="F1" s="25"/>
      <c r="G1" s="25"/>
    </row>
    <row r="2" spans="1:16" ht="15" customHeight="1">
      <c r="B2" s="181"/>
      <c r="C2" s="165"/>
      <c r="D2" s="165"/>
      <c r="E2" s="165"/>
      <c r="F2" s="25"/>
      <c r="G2" s="25"/>
    </row>
    <row r="3" spans="1:16" ht="15" customHeight="1">
      <c r="B3" s="181"/>
      <c r="C3" s="165"/>
      <c r="D3" s="165"/>
      <c r="E3" s="165"/>
      <c r="F3" s="25"/>
      <c r="G3" s="25"/>
      <c r="O3"/>
    </row>
    <row r="4" spans="1:16" ht="29">
      <c r="B4" s="187" t="s">
        <v>82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</row>
    <row r="5" spans="1:16" ht="45" customHeight="1">
      <c r="B5" s="188" t="s">
        <v>33</v>
      </c>
      <c r="C5" s="189"/>
      <c r="D5" s="189"/>
      <c r="E5" s="190">
        <f ca="1">C1</f>
        <v>46027</v>
      </c>
      <c r="F5" s="190"/>
      <c r="G5" s="191"/>
      <c r="H5" s="174" t="s">
        <v>34</v>
      </c>
      <c r="I5" s="174"/>
      <c r="J5" s="174"/>
      <c r="K5" s="174"/>
      <c r="L5" s="174" t="s">
        <v>35</v>
      </c>
      <c r="M5" s="174"/>
      <c r="N5" s="174"/>
      <c r="O5" s="174"/>
    </row>
    <row r="6" spans="1:16" ht="16">
      <c r="B6" s="182" t="s">
        <v>32</v>
      </c>
      <c r="C6" s="182"/>
      <c r="D6" s="182"/>
      <c r="E6" s="182"/>
      <c r="F6" s="182"/>
      <c r="G6" s="182"/>
      <c r="H6" s="182"/>
      <c r="I6" s="182"/>
      <c r="J6" s="182"/>
      <c r="K6" s="182"/>
      <c r="L6" s="183" t="s">
        <v>36</v>
      </c>
      <c r="M6" s="183"/>
      <c r="N6" s="183"/>
      <c r="O6" s="183"/>
    </row>
    <row r="7" spans="1:16" ht="21" customHeight="1">
      <c r="B7" s="174" t="s">
        <v>17</v>
      </c>
      <c r="C7" s="174"/>
      <c r="D7" s="174"/>
      <c r="E7" s="174"/>
      <c r="F7" s="184" t="s">
        <v>18</v>
      </c>
      <c r="G7" s="184"/>
      <c r="H7" s="174" t="s">
        <v>17</v>
      </c>
      <c r="I7" s="174"/>
      <c r="J7" s="184" t="s">
        <v>18</v>
      </c>
      <c r="K7" s="184"/>
      <c r="L7" s="174" t="s">
        <v>17</v>
      </c>
      <c r="M7" s="174"/>
      <c r="N7" s="184" t="s">
        <v>18</v>
      </c>
      <c r="O7" s="184"/>
    </row>
    <row r="8" spans="1:16" ht="68">
      <c r="B8" s="26" t="s">
        <v>44</v>
      </c>
      <c r="C8" s="26" t="s">
        <v>43</v>
      </c>
      <c r="D8" s="26" t="s">
        <v>12</v>
      </c>
      <c r="E8" s="26" t="s">
        <v>19</v>
      </c>
      <c r="F8" s="27" t="s">
        <v>37</v>
      </c>
      <c r="G8" s="27" t="s">
        <v>38</v>
      </c>
      <c r="H8" s="26" t="s">
        <v>43</v>
      </c>
      <c r="I8" s="26" t="s">
        <v>12</v>
      </c>
      <c r="J8" s="27" t="s">
        <v>37</v>
      </c>
      <c r="K8" s="27" t="s">
        <v>38</v>
      </c>
      <c r="L8" s="26" t="s">
        <v>43</v>
      </c>
      <c r="M8" s="26" t="s">
        <v>12</v>
      </c>
      <c r="N8" s="27" t="s">
        <v>37</v>
      </c>
      <c r="O8" s="27" t="s">
        <v>38</v>
      </c>
    </row>
    <row r="9" spans="1:16" s="44" customFormat="1" ht="19" customHeight="1">
      <c r="B9" s="23">
        <f ca="1">VLOOKUP(C1,'Kaveratti Data'!A:D,4,0)</f>
        <v>4.3</v>
      </c>
      <c r="C9" s="42">
        <f ca="1">VLOOKUP(C1,'Kaveratti Data'!A:C,3,0)/10^6</f>
        <v>5.5370000000000003E-3</v>
      </c>
      <c r="D9" s="38">
        <f ca="1">VLOOKUP(C1,'Kaveratti Data'!A:N,14,0)</f>
        <v>0.16479166666666667</v>
      </c>
      <c r="E9" s="23">
        <f ca="1">VLOOKUP(C1,'Kaveratti Data'!A:E,5,0)</f>
        <v>938</v>
      </c>
      <c r="F9" s="43">
        <f ca="1">VLOOKUP(C1,'Kaveratti Data'!A:G,6,0)</f>
        <v>1275</v>
      </c>
      <c r="G9" s="43">
        <f ca="1">VLOOKUP(C1,'Kaveratti Data'!A:H,7,0)</f>
        <v>1434</v>
      </c>
      <c r="H9" s="41">
        <f ca="1">VLOOKUP(C1,'Kaveratti Data'!A:K,11,0)/10^6</f>
        <v>1.6155374000000002</v>
      </c>
      <c r="I9" s="38">
        <f ca="1">VLOOKUP(C1,'Kaveratti Data'!A:O,15,0)</f>
        <v>0.17171953656462585</v>
      </c>
      <c r="J9" s="43">
        <f ca="1">VLOOKUP(C1,'Kaveratti Data'!A:M,12,0)</f>
        <v>87752.61</v>
      </c>
      <c r="K9" s="43">
        <f ca="1">VLOOKUP(C1,'Kaveratti Data'!A:M,13,0)</f>
        <v>96962</v>
      </c>
      <c r="L9" s="22"/>
      <c r="M9" s="22"/>
      <c r="N9" s="22"/>
      <c r="O9" s="22"/>
    </row>
    <row r="12" spans="1:16" ht="26">
      <c r="B12" s="180" t="s">
        <v>15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</row>
    <row r="13" spans="1:16" ht="16" customHeight="1">
      <c r="B13" s="35"/>
      <c r="C13" s="185" t="s">
        <v>17</v>
      </c>
      <c r="D13" s="185"/>
      <c r="E13" s="185"/>
      <c r="F13" s="185"/>
      <c r="G13" s="186" t="s">
        <v>18</v>
      </c>
      <c r="H13" s="186"/>
      <c r="I13" s="185" t="s">
        <v>17</v>
      </c>
      <c r="J13" s="185"/>
      <c r="K13" s="185"/>
      <c r="L13" s="185"/>
      <c r="M13" s="186" t="s">
        <v>18</v>
      </c>
      <c r="N13" s="186"/>
    </row>
    <row r="14" spans="1:16" ht="64" customHeight="1">
      <c r="A14" s="159"/>
      <c r="B14" s="37" t="s">
        <v>13</v>
      </c>
      <c r="C14" s="17" t="s">
        <v>44</v>
      </c>
      <c r="D14" s="17" t="s">
        <v>11</v>
      </c>
      <c r="E14" s="17" t="s">
        <v>12</v>
      </c>
      <c r="F14" s="17" t="s">
        <v>19</v>
      </c>
      <c r="G14" s="28" t="s">
        <v>40</v>
      </c>
      <c r="H14" s="28" t="s">
        <v>38</v>
      </c>
      <c r="I14" s="17" t="s">
        <v>44</v>
      </c>
      <c r="J14" s="17" t="s">
        <v>11</v>
      </c>
      <c r="K14" s="17" t="s">
        <v>12</v>
      </c>
      <c r="L14" s="17" t="s">
        <v>19</v>
      </c>
      <c r="M14" s="28" t="s">
        <v>40</v>
      </c>
      <c r="N14" s="28" t="s">
        <v>38</v>
      </c>
    </row>
    <row r="15" spans="1:16" ht="16" customHeight="1">
      <c r="A15" s="159"/>
      <c r="B15" s="36"/>
      <c r="C15" s="162">
        <f ca="1">YEAR(C1)</f>
        <v>2026</v>
      </c>
      <c r="D15" s="162"/>
      <c r="E15" s="162"/>
      <c r="F15" s="162"/>
      <c r="G15" s="162"/>
      <c r="H15" s="162"/>
      <c r="I15" s="163">
        <f ca="1">C15-1</f>
        <v>2025</v>
      </c>
      <c r="J15" s="163"/>
      <c r="K15" s="163"/>
      <c r="L15" s="163"/>
      <c r="M15" s="163"/>
      <c r="N15" s="163"/>
    </row>
    <row r="16" spans="1:16" ht="16">
      <c r="A16" s="159"/>
      <c r="B16" s="18">
        <f ca="1">C1-1</f>
        <v>46026</v>
      </c>
      <c r="C16" s="19">
        <f ca="1">VLOOKUP(B16,'Kaveratti Data'!A:D,4,0)</f>
        <v>4.47</v>
      </c>
      <c r="D16" s="19">
        <f ca="1">VLOOKUP(B16,'Kaveratti Data'!A:C,3,0)</f>
        <v>5621</v>
      </c>
      <c r="E16" s="20">
        <f ca="1">VLOOKUP(B16,'Kaveratti Data'!A:N,14,0)</f>
        <v>0.16729166666666667</v>
      </c>
      <c r="F16" s="19">
        <f ca="1">VLOOKUP(B16,'Kaveratti Data'!A:E,5,0)</f>
        <v>935</v>
      </c>
      <c r="G16" s="19">
        <f ca="1">VLOOKUP(B16,'Kaveratti Data'!A:G,6,0)</f>
        <v>1143</v>
      </c>
      <c r="H16" s="19">
        <f ca="1">VLOOKUP(B16,'Kaveratti Data'!A:H,7,0)</f>
        <v>1383</v>
      </c>
      <c r="I16" s="19">
        <f ca="1">VLOOKUP(B16-366,'Kaveratti Data'!A:D,4,0)</f>
        <v>4.9000000000000004</v>
      </c>
      <c r="J16" s="19">
        <f ca="1">VLOOKUP(B16-366,'Kaveratti Data'!A:C,3,0)</f>
        <v>6073.6</v>
      </c>
      <c r="K16" s="20">
        <f ca="1">VLOOKUP(B16-366,'Kaveratti Data'!A:N,14,0)</f>
        <v>0.18076190476190476</v>
      </c>
      <c r="L16" s="19">
        <f ca="1">VLOOKUP(B16-366,'Kaveratti Data'!A:E,5,0)</f>
        <v>0</v>
      </c>
      <c r="M16" s="19">
        <f ca="1">VLOOKUP(B16-366,'Kaveratti Data'!A:G,6,0)</f>
        <v>0</v>
      </c>
      <c r="N16" s="19">
        <f ca="1">VLOOKUP(B16-366,'Kaveratti Data'!A:H,7,0)</f>
        <v>0</v>
      </c>
      <c r="O16" s="16"/>
      <c r="P16" s="16"/>
    </row>
    <row r="17" spans="1:16" ht="16">
      <c r="A17" s="159"/>
      <c r="B17" s="18">
        <f t="shared" ref="B17:B22" ca="1" si="0">B16-1</f>
        <v>46025</v>
      </c>
      <c r="C17" s="19">
        <f ca="1">VLOOKUP(B17,'Kaveratti Data'!A:D,4,0)</f>
        <v>4</v>
      </c>
      <c r="D17" s="19">
        <f ca="1">VLOOKUP(B17,'Kaveratti Data'!A:C,3,0)</f>
        <v>4941</v>
      </c>
      <c r="E17" s="20">
        <f ca="1">VLOOKUP(B17,'Kaveratti Data'!A:N,14,0)</f>
        <v>0.14705357142857142</v>
      </c>
      <c r="F17" s="19">
        <f ca="1">VLOOKUP(B17,'Kaveratti Data'!A:E,5,0)</f>
        <v>1103</v>
      </c>
      <c r="G17" s="19">
        <f ca="1">VLOOKUP(B17,'Kaveratti Data'!A:G,6,0)</f>
        <v>1131</v>
      </c>
      <c r="H17" s="19">
        <f ca="1">VLOOKUP(B17,'Kaveratti Data'!A:H,7,0)</f>
        <v>1274</v>
      </c>
      <c r="I17" s="19">
        <f ca="1">VLOOKUP(B17-366,'Kaveratti Data'!A:D,4,0)</f>
        <v>5.13</v>
      </c>
      <c r="J17" s="19">
        <f ca="1">VLOOKUP(B17-366,'Kaveratti Data'!A:C,3,0)</f>
        <v>6401.3999999999987</v>
      </c>
      <c r="K17" s="20">
        <f ca="1">VLOOKUP(B17-366,'Kaveratti Data'!A:N,14,0)</f>
        <v>0.1905178571428571</v>
      </c>
      <c r="L17" s="19">
        <f ca="1">VLOOKUP(B17-366,'Kaveratti Data'!A:E,5,0)</f>
        <v>0</v>
      </c>
      <c r="M17" s="19">
        <f ca="1">VLOOKUP(B17-366,'Kaveratti Data'!A:G,6,0)</f>
        <v>0</v>
      </c>
      <c r="N17" s="19">
        <f ca="1">VLOOKUP(B17-366,'Kaveratti Data'!A:H,7,0)</f>
        <v>0</v>
      </c>
      <c r="O17" s="16"/>
      <c r="P17" s="16"/>
    </row>
    <row r="18" spans="1:16" ht="16">
      <c r="A18" s="159"/>
      <c r="B18" s="18">
        <f t="shared" ca="1" si="0"/>
        <v>46024</v>
      </c>
      <c r="C18" s="19">
        <f ca="1">VLOOKUP(B18,'Kaveratti Data'!A:D,4,0)</f>
        <v>5.24</v>
      </c>
      <c r="D18" s="19">
        <f ca="1">VLOOKUP(B18,'Kaveratti Data'!A:C,3,0)</f>
        <v>6537</v>
      </c>
      <c r="E18" s="20">
        <f ca="1">VLOOKUP(B18,'Kaveratti Data'!A:N,14,0)</f>
        <v>0.19455357142857144</v>
      </c>
      <c r="F18" s="19">
        <f ca="1">VLOOKUP(B18,'Kaveratti Data'!A:E,5,0)</f>
        <v>1073</v>
      </c>
      <c r="G18" s="19">
        <f ca="1">VLOOKUP(B18,'Kaveratti Data'!A:G,6,0)</f>
        <v>1337</v>
      </c>
      <c r="H18" s="19">
        <f ca="1">VLOOKUP(B18,'Kaveratti Data'!A:H,7,0)</f>
        <v>1511</v>
      </c>
      <c r="I18" s="19">
        <f ca="1">VLOOKUP(B18-366,'Kaveratti Data'!A:D,4,0)</f>
        <v>5.39</v>
      </c>
      <c r="J18" s="19">
        <f ca="1">VLOOKUP(B18-366,'Kaveratti Data'!A:C,3,0)</f>
        <v>6691.3</v>
      </c>
      <c r="K18" s="20">
        <f ca="1">VLOOKUP(B18-366,'Kaveratti Data'!A:N,14,0)</f>
        <v>0.19914583333333333</v>
      </c>
      <c r="L18" s="19">
        <f ca="1">VLOOKUP(B18-366,'Kaveratti Data'!A:E,5,0)</f>
        <v>0</v>
      </c>
      <c r="M18" s="19">
        <f ca="1">VLOOKUP(B18-366,'Kaveratti Data'!A:G,6,0)</f>
        <v>0</v>
      </c>
      <c r="N18" s="19">
        <f ca="1">VLOOKUP(B18-366,'Kaveratti Data'!A:H,7,0)</f>
        <v>0</v>
      </c>
      <c r="O18" s="16"/>
      <c r="P18" s="16"/>
    </row>
    <row r="19" spans="1:16" ht="16">
      <c r="A19" s="159"/>
      <c r="B19" s="18">
        <f t="shared" ca="1" si="0"/>
        <v>46023</v>
      </c>
      <c r="C19" s="19">
        <f ca="1">VLOOKUP(B19,'Kaveratti Data'!A:D,4,0)</f>
        <v>4.67</v>
      </c>
      <c r="D19" s="19">
        <f ca="1">VLOOKUP(B19,'Kaveratti Data'!A:C,3,0)</f>
        <v>5913</v>
      </c>
      <c r="E19" s="20">
        <f ca="1">VLOOKUP(B19,'Kaveratti Data'!A:N,14,0)</f>
        <v>0.17598214285714286</v>
      </c>
      <c r="F19" s="19">
        <f ca="1">VLOOKUP(B19,'Kaveratti Data'!A:E,5,0)</f>
        <v>994</v>
      </c>
      <c r="G19" s="19">
        <f ca="1">VLOOKUP(B19,'Kaveratti Data'!A:G,6,0)</f>
        <v>1387</v>
      </c>
      <c r="H19" s="19">
        <f ca="1">VLOOKUP(B19,'Kaveratti Data'!A:H,7,0)</f>
        <v>1491</v>
      </c>
      <c r="I19" s="19">
        <f ca="1">VLOOKUP(B19-366,'Kaveratti Data'!A:D,4,0)</f>
        <v>4.97</v>
      </c>
      <c r="J19" s="19">
        <f ca="1">VLOOKUP(B19-366,'Kaveratti Data'!A:C,3,0)</f>
        <v>6218.7999999999993</v>
      </c>
      <c r="K19" s="20">
        <f ca="1">VLOOKUP(B19-366,'Kaveratti Data'!A:N,14,0)</f>
        <v>0.18508333333333332</v>
      </c>
      <c r="L19" s="19">
        <f ca="1">VLOOKUP(B19-366,'Kaveratti Data'!A:E,5,0)</f>
        <v>0</v>
      </c>
      <c r="M19" s="19">
        <f ca="1">VLOOKUP(B19-366,'Kaveratti Data'!A:G,6,0)</f>
        <v>0</v>
      </c>
      <c r="N19" s="19">
        <f ca="1">VLOOKUP(B19-366,'Kaveratti Data'!A:H,7,0)</f>
        <v>0</v>
      </c>
      <c r="O19" s="16"/>
      <c r="P19" s="16"/>
    </row>
    <row r="20" spans="1:16" ht="16">
      <c r="A20" s="159"/>
      <c r="B20" s="18">
        <f t="shared" ca="1" si="0"/>
        <v>46022</v>
      </c>
      <c r="C20" s="19">
        <f ca="1">VLOOKUP(B20,'Kaveratti Data'!A:D,4,0)</f>
        <v>4.1500000000000004</v>
      </c>
      <c r="D20" s="19">
        <f ca="1">VLOOKUP(B20,'Kaveratti Data'!A:C,3,0)</f>
        <v>5248</v>
      </c>
      <c r="E20" s="20">
        <f ca="1">VLOOKUP(B20,'Kaveratti Data'!A:N,14,0)</f>
        <v>0.15619047619047619</v>
      </c>
      <c r="F20" s="19">
        <f ca="1">VLOOKUP(B20,'Kaveratti Data'!A:E,5,0)</f>
        <v>968</v>
      </c>
      <c r="G20" s="19">
        <f ca="1">VLOOKUP(B20,'Kaveratti Data'!A:G,6,0)</f>
        <v>1223</v>
      </c>
      <c r="H20" s="19">
        <f ca="1">VLOOKUP(B20,'Kaveratti Data'!A:H,7,0)</f>
        <v>1379</v>
      </c>
      <c r="I20" s="19">
        <f ca="1">VLOOKUP(B20-366,'Kaveratti Data'!A:D,4,0)</f>
        <v>4.9000000000000004</v>
      </c>
      <c r="J20" s="19">
        <f ca="1">VLOOKUP(B20-366,'Kaveratti Data'!A:C,3,0)</f>
        <v>6097.8000000000011</v>
      </c>
      <c r="K20" s="20">
        <f ca="1">VLOOKUP(B20-366,'Kaveratti Data'!A:N,14,0)</f>
        <v>0.1814821428571429</v>
      </c>
      <c r="L20" s="19">
        <f ca="1">VLOOKUP(B20-366,'Kaveratti Data'!A:E,5,0)</f>
        <v>0</v>
      </c>
      <c r="M20" s="19">
        <f ca="1">VLOOKUP(B20-366,'Kaveratti Data'!A:G,6,0)</f>
        <v>0</v>
      </c>
      <c r="N20" s="19">
        <f ca="1">VLOOKUP(B20-366,'Kaveratti Data'!A:H,7,0)</f>
        <v>0</v>
      </c>
      <c r="O20" s="16"/>
      <c r="P20" s="16"/>
    </row>
    <row r="21" spans="1:16" ht="16">
      <c r="A21" s="159"/>
      <c r="B21" s="18">
        <f t="shared" ca="1" si="0"/>
        <v>46021</v>
      </c>
      <c r="C21" s="19">
        <f ca="1">VLOOKUP(B21,'Kaveratti Data'!A:D,4,0)</f>
        <v>4.9400000000000004</v>
      </c>
      <c r="D21" s="19">
        <f ca="1">VLOOKUP(B21,'Kaveratti Data'!A:C,3,0)</f>
        <v>6218</v>
      </c>
      <c r="E21" s="20">
        <f ca="1">VLOOKUP(B21,'Kaveratti Data'!A:N,14,0)</f>
        <v>0.18505952380952381</v>
      </c>
      <c r="F21" s="19">
        <f ca="1">VLOOKUP(B21,'Kaveratti Data'!A:E,5,0)</f>
        <v>943</v>
      </c>
      <c r="G21" s="19">
        <f ca="1">VLOOKUP(B21,'Kaveratti Data'!A:G,6,0)</f>
        <v>1320</v>
      </c>
      <c r="H21" s="19">
        <f ca="1">VLOOKUP(B21,'Kaveratti Data'!A:H,7,0)</f>
        <v>1490</v>
      </c>
      <c r="I21" s="19">
        <f ca="1">VLOOKUP(B21-366,'Kaveratti Data'!A:D,4,0)</f>
        <v>3.52</v>
      </c>
      <c r="J21" s="19">
        <f ca="1">VLOOKUP(B21-366,'Kaveratti Data'!A:C,3,0)</f>
        <v>4405.9000000000005</v>
      </c>
      <c r="K21" s="20">
        <f ca="1">VLOOKUP(B21-366,'Kaveratti Data'!A:N,14,0)</f>
        <v>0.1311279761904762</v>
      </c>
      <c r="L21" s="19">
        <f ca="1">VLOOKUP(B21-366,'Kaveratti Data'!A:E,5,0)</f>
        <v>0</v>
      </c>
      <c r="M21" s="19">
        <f ca="1">VLOOKUP(B21-366,'Kaveratti Data'!A:G,6,0)</f>
        <v>0</v>
      </c>
      <c r="N21" s="19">
        <f ca="1">VLOOKUP(B21-366,'Kaveratti Data'!A:H,7,0)</f>
        <v>0</v>
      </c>
      <c r="O21" s="16"/>
      <c r="P21" s="16"/>
    </row>
    <row r="22" spans="1:16" ht="16">
      <c r="A22" s="159"/>
      <c r="B22" s="18">
        <f t="shared" ca="1" si="0"/>
        <v>46020</v>
      </c>
      <c r="C22" s="19">
        <f ca="1">VLOOKUP(B22,'Kaveratti Data'!A:D,4,0)</f>
        <v>4.8600000000000003</v>
      </c>
      <c r="D22" s="19">
        <f ca="1">VLOOKUP(B22,'Kaveratti Data'!A:C,3,0)</f>
        <v>6048</v>
      </c>
      <c r="E22" s="20">
        <f ca="1">VLOOKUP(B22,'Kaveratti Data'!A:N,14,0)</f>
        <v>0.18</v>
      </c>
      <c r="F22" s="19">
        <f ca="1">VLOOKUP(B22,'Kaveratti Data'!A:E,5,0)</f>
        <v>992</v>
      </c>
      <c r="G22" s="19">
        <f ca="1">VLOOKUP(B22,'Kaveratti Data'!A:G,6,0)</f>
        <v>1336</v>
      </c>
      <c r="H22" s="19">
        <f ca="1">VLOOKUP(B22,'Kaveratti Data'!A:H,7,0)</f>
        <v>1508</v>
      </c>
      <c r="I22" s="19">
        <f ca="1">VLOOKUP(B22-366,'Kaveratti Data'!A:D,4,0)</f>
        <v>4.6900000000000004</v>
      </c>
      <c r="J22" s="19">
        <f ca="1">VLOOKUP(B22-366,'Kaveratti Data'!A:C,3,0)</f>
        <v>5981.0999999999995</v>
      </c>
      <c r="K22" s="20">
        <f ca="1">VLOOKUP(B22-366,'Kaveratti Data'!A:N,14,0)</f>
        <v>0.17800892857142855</v>
      </c>
      <c r="L22" s="19">
        <f ca="1">VLOOKUP(B22-366,'Kaveratti Data'!A:E,5,0)</f>
        <v>0</v>
      </c>
      <c r="M22" s="19">
        <f ca="1">VLOOKUP(B22-366,'Kaveratti Data'!A:G,6,0)</f>
        <v>0</v>
      </c>
      <c r="N22" s="19">
        <f ca="1">VLOOKUP(B22-366,'Kaveratti Data'!A:H,7,0)</f>
        <v>0</v>
      </c>
      <c r="O22" s="16"/>
      <c r="P22" s="16"/>
    </row>
  </sheetData>
  <mergeCells count="23">
    <mergeCell ref="B1:B3"/>
    <mergeCell ref="C1:E3"/>
    <mergeCell ref="B4:O4"/>
    <mergeCell ref="B5:D5"/>
    <mergeCell ref="E5:G5"/>
    <mergeCell ref="H5:K5"/>
    <mergeCell ref="L5:O5"/>
    <mergeCell ref="A14:A22"/>
    <mergeCell ref="C15:H15"/>
    <mergeCell ref="I15:N15"/>
    <mergeCell ref="B6:K6"/>
    <mergeCell ref="L6:O6"/>
    <mergeCell ref="B7:E7"/>
    <mergeCell ref="F7:G7"/>
    <mergeCell ref="H7:I7"/>
    <mergeCell ref="J7:K7"/>
    <mergeCell ref="L7:M7"/>
    <mergeCell ref="N7:O7"/>
    <mergeCell ref="B12:N12"/>
    <mergeCell ref="C13:F13"/>
    <mergeCell ref="G13:H13"/>
    <mergeCell ref="I13:L13"/>
    <mergeCell ref="M13:N13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E3F3-182A-C542-B32C-943A9E31DF74}">
  <dimension ref="A1:K1319"/>
  <sheetViews>
    <sheetView zoomScale="108" zoomScaleNormal="108" workbookViewId="0">
      <pane ySplit="1" topLeftCell="A828" activePane="bottomLeft" state="frozen"/>
      <selection pane="bottomLeft" activeCell="D861" sqref="D861"/>
    </sheetView>
  </sheetViews>
  <sheetFormatPr baseColWidth="10" defaultColWidth="14.5" defaultRowHeight="15" customHeight="1"/>
  <cols>
    <col min="1" max="1" width="13" bestFit="1" customWidth="1"/>
    <col min="2" max="2" width="12.1640625" style="11" customWidth="1"/>
    <col min="3" max="3" width="21.1640625" bestFit="1" customWidth="1"/>
    <col min="4" max="4" width="17" style="5" bestFit="1" customWidth="1"/>
    <col min="5" max="5" width="24.6640625" style="5" bestFit="1" customWidth="1"/>
    <col min="6" max="6" width="23.5" bestFit="1" customWidth="1"/>
    <col min="7" max="7" width="19" bestFit="1" customWidth="1"/>
    <col min="8" max="8" width="23.1640625" bestFit="1" customWidth="1"/>
    <col min="9" max="9" width="15.33203125" bestFit="1" customWidth="1"/>
    <col min="10" max="10" width="18.5" bestFit="1" customWidth="1"/>
    <col min="11" max="16" width="8.6640625" customWidth="1"/>
  </cols>
  <sheetData>
    <row r="1" spans="1:10" ht="17">
      <c r="A1" s="1" t="s">
        <v>0</v>
      </c>
      <c r="B1" s="1" t="s">
        <v>6</v>
      </c>
      <c r="C1" s="2" t="s">
        <v>7</v>
      </c>
      <c r="D1" s="3" t="s">
        <v>1</v>
      </c>
      <c r="E1" s="3" t="s">
        <v>42</v>
      </c>
      <c r="F1" s="2" t="s">
        <v>2</v>
      </c>
      <c r="G1" s="2" t="s">
        <v>3</v>
      </c>
      <c r="H1" s="2" t="s">
        <v>8</v>
      </c>
      <c r="I1" s="2" t="s">
        <v>4</v>
      </c>
      <c r="J1" s="2" t="s">
        <v>5</v>
      </c>
    </row>
    <row r="2" spans="1:10" ht="15" customHeight="1">
      <c r="A2" s="14">
        <v>45170</v>
      </c>
      <c r="B2" s="10">
        <v>1</v>
      </c>
      <c r="C2">
        <v>0</v>
      </c>
      <c r="F2" s="62">
        <v>1</v>
      </c>
      <c r="G2" s="62">
        <v>1</v>
      </c>
      <c r="H2" s="2">
        <f>C2</f>
        <v>0</v>
      </c>
      <c r="I2" s="12">
        <f>C2/(300*24)</f>
        <v>0</v>
      </c>
      <c r="J2" s="12">
        <f>H2/(24*B2*300)</f>
        <v>0</v>
      </c>
    </row>
    <row r="3" spans="1:10" ht="15" customHeight="1">
      <c r="A3" s="14">
        <v>45171</v>
      </c>
      <c r="B3" s="10">
        <v>2</v>
      </c>
      <c r="C3">
        <v>0</v>
      </c>
      <c r="F3" s="62">
        <v>1</v>
      </c>
      <c r="G3" s="62">
        <v>1</v>
      </c>
      <c r="H3" s="2">
        <f t="shared" ref="H3:H41" si="0">C3+H2</f>
        <v>0</v>
      </c>
      <c r="I3" s="12">
        <f t="shared" ref="I3:I66" si="1">C3/(300*24)</f>
        <v>0</v>
      </c>
      <c r="J3" s="12">
        <f t="shared" ref="J3:J66" si="2">H3/(24*B3*300)</f>
        <v>0</v>
      </c>
    </row>
    <row r="4" spans="1:10" ht="15" customHeight="1">
      <c r="A4" s="14">
        <v>45172</v>
      </c>
      <c r="B4" s="10">
        <v>3</v>
      </c>
      <c r="C4">
        <v>0</v>
      </c>
      <c r="F4" s="62">
        <v>1</v>
      </c>
      <c r="G4" s="62">
        <v>1</v>
      </c>
      <c r="H4" s="2">
        <f t="shared" si="0"/>
        <v>0</v>
      </c>
      <c r="I4" s="12">
        <f t="shared" si="1"/>
        <v>0</v>
      </c>
      <c r="J4" s="12">
        <f t="shared" si="2"/>
        <v>0</v>
      </c>
    </row>
    <row r="5" spans="1:10" ht="15" customHeight="1">
      <c r="A5" s="14">
        <v>45173</v>
      </c>
      <c r="B5" s="10">
        <f>VLOOKUP(A5,'BADI SID DATA'!A:B,2,0)</f>
        <v>157</v>
      </c>
      <c r="C5">
        <v>0</v>
      </c>
      <c r="F5" s="62">
        <v>1</v>
      </c>
      <c r="G5" s="62">
        <v>1</v>
      </c>
      <c r="H5" s="2">
        <f t="shared" si="0"/>
        <v>0</v>
      </c>
      <c r="I5" s="12">
        <f t="shared" si="1"/>
        <v>0</v>
      </c>
      <c r="J5" s="12">
        <f t="shared" si="2"/>
        <v>0</v>
      </c>
    </row>
    <row r="6" spans="1:10" ht="15" customHeight="1">
      <c r="A6" s="14">
        <v>45174</v>
      </c>
      <c r="B6" s="10">
        <f>VLOOKUP(A6,'BADI SID DATA'!A:B,2,0)</f>
        <v>158</v>
      </c>
      <c r="C6">
        <v>0</v>
      </c>
      <c r="F6" s="62">
        <v>1</v>
      </c>
      <c r="G6" s="62">
        <v>1</v>
      </c>
      <c r="H6" s="2">
        <f t="shared" si="0"/>
        <v>0</v>
      </c>
      <c r="I6" s="12">
        <f t="shared" si="1"/>
        <v>0</v>
      </c>
      <c r="J6" s="12">
        <f t="shared" si="2"/>
        <v>0</v>
      </c>
    </row>
    <row r="7" spans="1:10" ht="15" customHeight="1">
      <c r="A7" s="14">
        <v>45175</v>
      </c>
      <c r="B7" s="10">
        <f>VLOOKUP(A7,'BADI SID DATA'!A:B,2,0)</f>
        <v>159</v>
      </c>
      <c r="C7">
        <v>0</v>
      </c>
      <c r="F7" s="62">
        <v>1</v>
      </c>
      <c r="G7" s="62">
        <v>1</v>
      </c>
      <c r="H7" s="2">
        <f t="shared" si="0"/>
        <v>0</v>
      </c>
      <c r="I7" s="12">
        <f t="shared" si="1"/>
        <v>0</v>
      </c>
      <c r="J7" s="12">
        <f t="shared" si="2"/>
        <v>0</v>
      </c>
    </row>
    <row r="8" spans="1:10" ht="15" customHeight="1">
      <c r="A8" s="14">
        <v>45176</v>
      </c>
      <c r="B8" s="10">
        <f>VLOOKUP(A8,'BADI SID DATA'!A:B,2,0)</f>
        <v>160</v>
      </c>
      <c r="C8">
        <v>0</v>
      </c>
      <c r="F8" s="62">
        <v>1</v>
      </c>
      <c r="G8" s="62">
        <v>1</v>
      </c>
      <c r="H8" s="2">
        <f t="shared" si="0"/>
        <v>0</v>
      </c>
      <c r="I8" s="12">
        <f t="shared" si="1"/>
        <v>0</v>
      </c>
      <c r="J8" s="12">
        <f t="shared" si="2"/>
        <v>0</v>
      </c>
    </row>
    <row r="9" spans="1:10" ht="15" customHeight="1">
      <c r="A9" s="14">
        <v>45177</v>
      </c>
      <c r="B9" s="10">
        <f>VLOOKUP(A9,'BADI SID DATA'!A:B,2,0)</f>
        <v>161</v>
      </c>
      <c r="C9">
        <v>0</v>
      </c>
      <c r="F9" s="62">
        <v>1</v>
      </c>
      <c r="G9" s="62">
        <v>1</v>
      </c>
      <c r="H9" s="2">
        <f t="shared" si="0"/>
        <v>0</v>
      </c>
      <c r="I9" s="12">
        <f t="shared" si="1"/>
        <v>0</v>
      </c>
      <c r="J9" s="12">
        <f t="shared" si="2"/>
        <v>0</v>
      </c>
    </row>
    <row r="10" spans="1:10" ht="15" customHeight="1">
      <c r="A10" s="14">
        <v>45178</v>
      </c>
      <c r="B10" s="10">
        <f>VLOOKUP(A10,'BADI SID DATA'!A:B,2,0)</f>
        <v>162</v>
      </c>
      <c r="C10">
        <v>0</v>
      </c>
      <c r="F10" s="62">
        <v>1</v>
      </c>
      <c r="G10" s="62">
        <v>1</v>
      </c>
      <c r="H10" s="2">
        <f t="shared" si="0"/>
        <v>0</v>
      </c>
      <c r="I10" s="12">
        <f t="shared" si="1"/>
        <v>0</v>
      </c>
      <c r="J10" s="12">
        <f t="shared" si="2"/>
        <v>0</v>
      </c>
    </row>
    <row r="11" spans="1:10" ht="15" customHeight="1">
      <c r="A11" s="14">
        <v>45179</v>
      </c>
      <c r="B11" s="10">
        <f>VLOOKUP(A11,'BADI SID DATA'!A:B,2,0)</f>
        <v>163</v>
      </c>
      <c r="C11">
        <v>0</v>
      </c>
      <c r="F11" s="62">
        <v>1</v>
      </c>
      <c r="G11" s="62">
        <v>1</v>
      </c>
      <c r="H11" s="2">
        <f t="shared" si="0"/>
        <v>0</v>
      </c>
      <c r="I11" s="12">
        <f t="shared" si="1"/>
        <v>0</v>
      </c>
      <c r="J11" s="12">
        <f t="shared" si="2"/>
        <v>0</v>
      </c>
    </row>
    <row r="12" spans="1:10" ht="15" customHeight="1">
      <c r="A12" s="14">
        <v>45180</v>
      </c>
      <c r="B12" s="10">
        <f>VLOOKUP(A12,'BADI SID DATA'!A:B,2,0)</f>
        <v>164</v>
      </c>
      <c r="C12">
        <v>0</v>
      </c>
      <c r="F12" s="62">
        <v>1</v>
      </c>
      <c r="G12" s="62">
        <v>1</v>
      </c>
      <c r="H12" s="2">
        <f t="shared" si="0"/>
        <v>0</v>
      </c>
      <c r="I12" s="12">
        <f t="shared" si="1"/>
        <v>0</v>
      </c>
      <c r="J12" s="12">
        <f t="shared" si="2"/>
        <v>0</v>
      </c>
    </row>
    <row r="13" spans="1:10" ht="15" customHeight="1">
      <c r="A13" s="14">
        <v>45181</v>
      </c>
      <c r="B13" s="10">
        <f>VLOOKUP(A13,'BADI SID DATA'!A:B,2,0)</f>
        <v>165</v>
      </c>
      <c r="C13">
        <v>0</v>
      </c>
      <c r="F13" s="62">
        <v>1</v>
      </c>
      <c r="G13" s="62">
        <v>1</v>
      </c>
      <c r="H13" s="2">
        <f t="shared" si="0"/>
        <v>0</v>
      </c>
      <c r="I13" s="12">
        <f t="shared" si="1"/>
        <v>0</v>
      </c>
      <c r="J13" s="12">
        <f t="shared" si="2"/>
        <v>0</v>
      </c>
    </row>
    <row r="14" spans="1:10" ht="15" customHeight="1">
      <c r="A14" s="14">
        <v>45182</v>
      </c>
      <c r="B14" s="10">
        <f>VLOOKUP(A14,'BADI SID DATA'!A:B,2,0)</f>
        <v>166</v>
      </c>
      <c r="C14">
        <v>0</v>
      </c>
      <c r="F14" s="62">
        <v>1</v>
      </c>
      <c r="G14" s="62">
        <v>1</v>
      </c>
      <c r="H14" s="2">
        <f t="shared" si="0"/>
        <v>0</v>
      </c>
      <c r="I14" s="12">
        <f t="shared" si="1"/>
        <v>0</v>
      </c>
      <c r="J14" s="12">
        <f t="shared" si="2"/>
        <v>0</v>
      </c>
    </row>
    <row r="15" spans="1:10" ht="15" customHeight="1">
      <c r="A15" s="14">
        <v>45183</v>
      </c>
      <c r="B15" s="10">
        <f>VLOOKUP(A15,'BADI SID DATA'!A:B,2,0)</f>
        <v>167</v>
      </c>
      <c r="C15">
        <v>0</v>
      </c>
      <c r="F15" s="62">
        <v>1</v>
      </c>
      <c r="G15" s="62">
        <v>1</v>
      </c>
      <c r="H15" s="2">
        <f t="shared" si="0"/>
        <v>0</v>
      </c>
      <c r="I15" s="12">
        <f t="shared" si="1"/>
        <v>0</v>
      </c>
      <c r="J15" s="12">
        <f t="shared" si="2"/>
        <v>0</v>
      </c>
    </row>
    <row r="16" spans="1:10" ht="15" customHeight="1">
      <c r="A16" s="14">
        <v>45184</v>
      </c>
      <c r="B16" s="10">
        <f>VLOOKUP(A16,'BADI SID DATA'!A:B,2,0)</f>
        <v>168</v>
      </c>
      <c r="C16">
        <v>0</v>
      </c>
      <c r="F16" s="62">
        <v>1</v>
      </c>
      <c r="G16" s="62">
        <v>1</v>
      </c>
      <c r="H16" s="2">
        <f t="shared" si="0"/>
        <v>0</v>
      </c>
      <c r="I16" s="12">
        <f t="shared" si="1"/>
        <v>0</v>
      </c>
      <c r="J16" s="12">
        <f t="shared" si="2"/>
        <v>0</v>
      </c>
    </row>
    <row r="17" spans="1:10" ht="15" customHeight="1">
      <c r="A17" s="14">
        <v>45185</v>
      </c>
      <c r="B17" s="10">
        <f>VLOOKUP(A17,'BADI SID DATA'!A:B,2,0)</f>
        <v>169</v>
      </c>
      <c r="C17">
        <v>0</v>
      </c>
      <c r="F17" s="62">
        <v>1</v>
      </c>
      <c r="G17" s="62">
        <v>1</v>
      </c>
      <c r="H17" s="2">
        <f t="shared" si="0"/>
        <v>0</v>
      </c>
      <c r="I17" s="12">
        <f t="shared" si="1"/>
        <v>0</v>
      </c>
      <c r="J17" s="12">
        <f t="shared" si="2"/>
        <v>0</v>
      </c>
    </row>
    <row r="18" spans="1:10" ht="15" customHeight="1">
      <c r="A18" s="14">
        <v>45186</v>
      </c>
      <c r="B18" s="10">
        <f>VLOOKUP(A18,'BADI SID DATA'!A:B,2,0)</f>
        <v>170</v>
      </c>
      <c r="C18">
        <v>0</v>
      </c>
      <c r="F18" s="62">
        <v>1</v>
      </c>
      <c r="G18" s="62">
        <v>1</v>
      </c>
      <c r="H18" s="2">
        <f t="shared" si="0"/>
        <v>0</v>
      </c>
      <c r="I18" s="12">
        <f t="shared" si="1"/>
        <v>0</v>
      </c>
      <c r="J18" s="12">
        <f t="shared" si="2"/>
        <v>0</v>
      </c>
    </row>
    <row r="19" spans="1:10" ht="15" customHeight="1">
      <c r="A19" s="14">
        <v>45187</v>
      </c>
      <c r="B19" s="10">
        <v>1</v>
      </c>
      <c r="C19">
        <v>1539.3999999999999</v>
      </c>
      <c r="F19" s="62">
        <v>1</v>
      </c>
      <c r="G19" s="62">
        <v>1</v>
      </c>
      <c r="H19" s="2">
        <f t="shared" si="0"/>
        <v>1539.3999999999999</v>
      </c>
      <c r="I19" s="12">
        <f t="shared" si="1"/>
        <v>0.21380555555555553</v>
      </c>
      <c r="J19" s="12">
        <f t="shared" si="2"/>
        <v>0.21380555555555553</v>
      </c>
    </row>
    <row r="20" spans="1:10" ht="15" customHeight="1">
      <c r="A20" s="14">
        <v>45188</v>
      </c>
      <c r="B20" s="10">
        <v>2</v>
      </c>
      <c r="C20">
        <v>1622.1</v>
      </c>
      <c r="F20" s="62">
        <v>1</v>
      </c>
      <c r="G20" s="62">
        <v>1</v>
      </c>
      <c r="H20" s="2">
        <f t="shared" si="0"/>
        <v>3161.5</v>
      </c>
      <c r="I20" s="12">
        <f t="shared" si="1"/>
        <v>0.22529166666666667</v>
      </c>
      <c r="J20" s="12">
        <f t="shared" si="2"/>
        <v>0.21954861111111112</v>
      </c>
    </row>
    <row r="21" spans="1:10" ht="15" customHeight="1">
      <c r="A21" s="14">
        <v>45189</v>
      </c>
      <c r="B21" s="10">
        <v>3</v>
      </c>
      <c r="C21">
        <v>1314.1000000000001</v>
      </c>
      <c r="F21" s="62">
        <v>1</v>
      </c>
      <c r="G21" s="62">
        <v>1</v>
      </c>
      <c r="H21" s="2">
        <f t="shared" si="0"/>
        <v>4475.6000000000004</v>
      </c>
      <c r="I21" s="12">
        <f t="shared" si="1"/>
        <v>0.18251388888888892</v>
      </c>
      <c r="J21" s="12">
        <f t="shared" si="2"/>
        <v>0.20720370370370372</v>
      </c>
    </row>
    <row r="22" spans="1:10" ht="15" customHeight="1">
      <c r="A22" s="14">
        <v>45190</v>
      </c>
      <c r="B22" s="10">
        <v>4</v>
      </c>
      <c r="C22">
        <v>581.59999999999991</v>
      </c>
      <c r="F22" s="62">
        <v>1</v>
      </c>
      <c r="G22" s="62">
        <v>1</v>
      </c>
      <c r="H22" s="2">
        <f t="shared" si="0"/>
        <v>5057.2000000000007</v>
      </c>
      <c r="I22" s="12">
        <f t="shared" si="1"/>
        <v>8.0777777777777768E-2</v>
      </c>
      <c r="J22" s="12">
        <f t="shared" si="2"/>
        <v>0.17559722222222224</v>
      </c>
    </row>
    <row r="23" spans="1:10" ht="15" customHeight="1">
      <c r="A23" s="14">
        <v>45191</v>
      </c>
      <c r="B23" s="10">
        <v>5</v>
      </c>
      <c r="C23">
        <v>438.9</v>
      </c>
      <c r="F23" s="62">
        <v>1</v>
      </c>
      <c r="G23" s="62">
        <v>1</v>
      </c>
      <c r="H23" s="2">
        <f t="shared" si="0"/>
        <v>5496.1</v>
      </c>
      <c r="I23" s="12">
        <f t="shared" si="1"/>
        <v>6.095833333333333E-2</v>
      </c>
      <c r="J23" s="12">
        <f t="shared" si="2"/>
        <v>0.15266944444444444</v>
      </c>
    </row>
    <row r="24" spans="1:10" ht="15" customHeight="1">
      <c r="A24" s="14">
        <v>45192</v>
      </c>
      <c r="B24" s="10">
        <v>6</v>
      </c>
      <c r="C24">
        <v>1537.7</v>
      </c>
      <c r="F24" s="62">
        <v>1</v>
      </c>
      <c r="G24" s="62">
        <v>1</v>
      </c>
      <c r="H24" s="2">
        <f t="shared" si="0"/>
        <v>7033.8</v>
      </c>
      <c r="I24" s="12">
        <f t="shared" si="1"/>
        <v>0.21356944444444445</v>
      </c>
      <c r="J24" s="12">
        <f t="shared" si="2"/>
        <v>0.16281944444444446</v>
      </c>
    </row>
    <row r="25" spans="1:10" ht="15" customHeight="1">
      <c r="A25" s="14">
        <v>45193</v>
      </c>
      <c r="B25" s="10">
        <v>7</v>
      </c>
      <c r="C25">
        <v>1380.5</v>
      </c>
      <c r="F25" s="62">
        <v>1</v>
      </c>
      <c r="G25" s="62">
        <v>1</v>
      </c>
      <c r="H25" s="2">
        <f t="shared" si="0"/>
        <v>8414.2999999999993</v>
      </c>
      <c r="I25" s="12">
        <f t="shared" si="1"/>
        <v>0.19173611111111111</v>
      </c>
      <c r="J25" s="12">
        <f t="shared" si="2"/>
        <v>0.16695039682539681</v>
      </c>
    </row>
    <row r="26" spans="1:10" ht="15" customHeight="1">
      <c r="A26" s="14">
        <v>45194</v>
      </c>
      <c r="B26" s="10">
        <v>8</v>
      </c>
      <c r="C26">
        <v>1627.3</v>
      </c>
      <c r="F26" s="62">
        <v>1</v>
      </c>
      <c r="G26" s="62">
        <v>1</v>
      </c>
      <c r="H26" s="2">
        <f t="shared" si="0"/>
        <v>10041.599999999999</v>
      </c>
      <c r="I26" s="12">
        <f t="shared" si="1"/>
        <v>0.22601388888888888</v>
      </c>
      <c r="J26" s="12">
        <f t="shared" si="2"/>
        <v>0.17433333333333331</v>
      </c>
    </row>
    <row r="27" spans="1:10" ht="15" customHeight="1">
      <c r="A27" s="14">
        <v>45195</v>
      </c>
      <c r="B27" s="10">
        <v>9</v>
      </c>
      <c r="C27">
        <v>1651.9</v>
      </c>
      <c r="F27" s="62">
        <v>1</v>
      </c>
      <c r="G27" s="62">
        <v>1</v>
      </c>
      <c r="H27" s="2">
        <f t="shared" si="0"/>
        <v>11693.499999999998</v>
      </c>
      <c r="I27" s="12">
        <f t="shared" si="1"/>
        <v>0.22943055555555558</v>
      </c>
      <c r="J27" s="12">
        <f t="shared" si="2"/>
        <v>0.18045524691358023</v>
      </c>
    </row>
    <row r="28" spans="1:10" ht="15" customHeight="1">
      <c r="A28" s="14">
        <v>45196</v>
      </c>
      <c r="B28" s="10">
        <v>10</v>
      </c>
      <c r="C28">
        <v>1436.4</v>
      </c>
      <c r="F28" s="62">
        <v>1</v>
      </c>
      <c r="G28" s="62">
        <v>1</v>
      </c>
      <c r="H28" s="2">
        <f t="shared" si="0"/>
        <v>13129.899999999998</v>
      </c>
      <c r="I28" s="12">
        <f t="shared" si="1"/>
        <v>0.19950000000000001</v>
      </c>
      <c r="J28" s="12">
        <f t="shared" si="2"/>
        <v>0.18235972222222219</v>
      </c>
    </row>
    <row r="29" spans="1:10" ht="15" customHeight="1">
      <c r="A29" s="14">
        <v>45197</v>
      </c>
      <c r="B29" s="10">
        <v>11</v>
      </c>
      <c r="C29">
        <v>1020.1999999999999</v>
      </c>
      <c r="F29" s="62">
        <v>1</v>
      </c>
      <c r="G29" s="62">
        <v>1</v>
      </c>
      <c r="H29" s="2">
        <f t="shared" si="0"/>
        <v>14150.099999999999</v>
      </c>
      <c r="I29" s="12">
        <f t="shared" si="1"/>
        <v>0.14169444444444443</v>
      </c>
      <c r="J29" s="12">
        <f t="shared" si="2"/>
        <v>0.17866287878787876</v>
      </c>
    </row>
    <row r="30" spans="1:10" ht="15" customHeight="1">
      <c r="A30" s="14">
        <v>45198</v>
      </c>
      <c r="B30" s="10">
        <v>12</v>
      </c>
      <c r="C30">
        <v>927.3</v>
      </c>
      <c r="F30" s="62">
        <v>1</v>
      </c>
      <c r="G30" s="62">
        <v>1</v>
      </c>
      <c r="H30" s="2">
        <f t="shared" si="0"/>
        <v>15077.399999999998</v>
      </c>
      <c r="I30" s="12">
        <f t="shared" si="1"/>
        <v>0.12879166666666667</v>
      </c>
      <c r="J30" s="12">
        <f t="shared" si="2"/>
        <v>0.17450694444444442</v>
      </c>
    </row>
    <row r="31" spans="1:10" ht="15" customHeight="1">
      <c r="A31" s="14">
        <v>45199</v>
      </c>
      <c r="B31" s="10">
        <v>13</v>
      </c>
      <c r="C31">
        <v>1604</v>
      </c>
      <c r="F31" s="62">
        <v>1</v>
      </c>
      <c r="G31" s="62">
        <v>1</v>
      </c>
      <c r="H31" s="2">
        <f t="shared" si="0"/>
        <v>16681.399999999998</v>
      </c>
      <c r="I31" s="12">
        <f t="shared" si="1"/>
        <v>0.22277777777777777</v>
      </c>
      <c r="J31" s="12">
        <f t="shared" si="2"/>
        <v>0.17822008547008544</v>
      </c>
    </row>
    <row r="32" spans="1:10" ht="15" customHeight="1">
      <c r="A32" s="14">
        <v>45200</v>
      </c>
      <c r="B32" s="10">
        <v>14</v>
      </c>
      <c r="C32">
        <v>1572.9</v>
      </c>
      <c r="F32" s="62">
        <v>1</v>
      </c>
      <c r="G32" s="62">
        <v>1</v>
      </c>
      <c r="H32" s="2">
        <f t="shared" si="0"/>
        <v>18254.3</v>
      </c>
      <c r="I32" s="12">
        <f t="shared" si="1"/>
        <v>0.21845833333333334</v>
      </c>
      <c r="J32" s="12">
        <f t="shared" si="2"/>
        <v>0.18109424603174604</v>
      </c>
    </row>
    <row r="33" spans="1:10" ht="15" customHeight="1">
      <c r="A33" s="14">
        <v>45201</v>
      </c>
      <c r="B33" s="10">
        <v>15</v>
      </c>
      <c r="C33">
        <v>1419.5</v>
      </c>
      <c r="F33" s="62">
        <v>1</v>
      </c>
      <c r="G33" s="62">
        <v>1</v>
      </c>
      <c r="H33" s="2">
        <f t="shared" si="0"/>
        <v>19673.8</v>
      </c>
      <c r="I33" s="12">
        <f t="shared" si="1"/>
        <v>0.19715277777777779</v>
      </c>
      <c r="J33" s="12">
        <f t="shared" si="2"/>
        <v>0.18216481481481481</v>
      </c>
    </row>
    <row r="34" spans="1:10" ht="15" customHeight="1">
      <c r="A34" s="14">
        <v>45202</v>
      </c>
      <c r="B34" s="10">
        <v>16</v>
      </c>
      <c r="C34">
        <v>1515.9</v>
      </c>
      <c r="F34" s="62">
        <v>1</v>
      </c>
      <c r="G34" s="62">
        <v>1</v>
      </c>
      <c r="H34" s="2">
        <f t="shared" si="0"/>
        <v>21189.7</v>
      </c>
      <c r="I34" s="12">
        <f t="shared" si="1"/>
        <v>0.21054166666666668</v>
      </c>
      <c r="J34" s="12">
        <f t="shared" si="2"/>
        <v>0.18393836805555555</v>
      </c>
    </row>
    <row r="35" spans="1:10" ht="15" customHeight="1">
      <c r="A35" s="14">
        <v>45203</v>
      </c>
      <c r="B35" s="10">
        <v>17</v>
      </c>
      <c r="C35">
        <v>1603.3</v>
      </c>
      <c r="F35" s="62">
        <v>1</v>
      </c>
      <c r="G35" s="62">
        <v>1</v>
      </c>
      <c r="H35" s="2">
        <f t="shared" si="0"/>
        <v>22793</v>
      </c>
      <c r="I35" s="12">
        <f t="shared" si="1"/>
        <v>0.22268055555555555</v>
      </c>
      <c r="J35" s="12">
        <f t="shared" si="2"/>
        <v>0.18621732026143792</v>
      </c>
    </row>
    <row r="36" spans="1:10" ht="15" customHeight="1">
      <c r="A36" s="14">
        <v>45204</v>
      </c>
      <c r="B36" s="10">
        <v>18</v>
      </c>
      <c r="C36">
        <v>1501.2</v>
      </c>
      <c r="F36" s="62">
        <v>1</v>
      </c>
      <c r="G36" s="62">
        <v>1</v>
      </c>
      <c r="H36" s="2">
        <f t="shared" si="0"/>
        <v>24294.2</v>
      </c>
      <c r="I36" s="12">
        <f t="shared" si="1"/>
        <v>0.20850000000000002</v>
      </c>
      <c r="J36" s="12">
        <f t="shared" si="2"/>
        <v>0.18745524691358026</v>
      </c>
    </row>
    <row r="37" spans="1:10" ht="15" customHeight="1">
      <c r="A37" s="14">
        <v>45205</v>
      </c>
      <c r="B37" s="10">
        <v>19</v>
      </c>
      <c r="C37">
        <v>1621.3</v>
      </c>
      <c r="F37" s="62">
        <v>1</v>
      </c>
      <c r="G37" s="62">
        <v>1</v>
      </c>
      <c r="H37" s="2">
        <f t="shared" si="0"/>
        <v>25915.5</v>
      </c>
      <c r="I37" s="12">
        <f t="shared" si="1"/>
        <v>0.22518055555555555</v>
      </c>
      <c r="J37" s="12">
        <f t="shared" si="2"/>
        <v>0.1894407894736842</v>
      </c>
    </row>
    <row r="38" spans="1:10" ht="15" customHeight="1">
      <c r="A38" s="14">
        <v>45206</v>
      </c>
      <c r="B38" s="10">
        <v>20</v>
      </c>
      <c r="C38">
        <v>1616.1000000000001</v>
      </c>
      <c r="F38" s="62">
        <v>1</v>
      </c>
      <c r="G38" s="62">
        <v>1</v>
      </c>
      <c r="H38" s="2">
        <f t="shared" si="0"/>
        <v>27531.599999999999</v>
      </c>
      <c r="I38" s="12">
        <f t="shared" si="1"/>
        <v>0.22445833333333334</v>
      </c>
      <c r="J38" s="12">
        <f t="shared" si="2"/>
        <v>0.19119166666666665</v>
      </c>
    </row>
    <row r="39" spans="1:10" ht="15" customHeight="1">
      <c r="A39" s="14">
        <v>45207</v>
      </c>
      <c r="B39" s="10">
        <v>21</v>
      </c>
      <c r="C39">
        <v>1650</v>
      </c>
      <c r="F39" s="62">
        <v>1</v>
      </c>
      <c r="G39" s="62">
        <v>1</v>
      </c>
      <c r="H39" s="2">
        <f t="shared" si="0"/>
        <v>29181.599999999999</v>
      </c>
      <c r="I39" s="12">
        <f t="shared" si="1"/>
        <v>0.22916666666666666</v>
      </c>
      <c r="J39" s="12">
        <f t="shared" si="2"/>
        <v>0.19299999999999998</v>
      </c>
    </row>
    <row r="40" spans="1:10" ht="15" customHeight="1">
      <c r="A40" s="14">
        <v>45208</v>
      </c>
      <c r="B40" s="10">
        <v>22</v>
      </c>
      <c r="C40">
        <v>1504.8</v>
      </c>
      <c r="F40" s="62">
        <v>1</v>
      </c>
      <c r="G40" s="62">
        <v>1</v>
      </c>
      <c r="H40" s="2">
        <f t="shared" si="0"/>
        <v>30686.399999999998</v>
      </c>
      <c r="I40" s="12">
        <f t="shared" si="1"/>
        <v>0.20899999999999999</v>
      </c>
      <c r="J40" s="12">
        <f t="shared" si="2"/>
        <v>0.19372727272727272</v>
      </c>
    </row>
    <row r="41" spans="1:10" ht="15" customHeight="1">
      <c r="A41" s="14">
        <v>45209</v>
      </c>
      <c r="B41" s="10">
        <v>23</v>
      </c>
      <c r="C41">
        <v>1637.2</v>
      </c>
      <c r="F41" s="62">
        <v>1</v>
      </c>
      <c r="G41" s="62">
        <v>1</v>
      </c>
      <c r="H41" s="2">
        <f t="shared" si="0"/>
        <v>32323.599999999999</v>
      </c>
      <c r="I41" s="12">
        <f t="shared" si="1"/>
        <v>0.22738888888888889</v>
      </c>
      <c r="J41" s="12">
        <f t="shared" si="2"/>
        <v>0.19519082125603865</v>
      </c>
    </row>
    <row r="42" spans="1:10" ht="15" customHeight="1">
      <c r="A42" s="14">
        <v>45210</v>
      </c>
      <c r="B42" s="10">
        <v>24</v>
      </c>
      <c r="C42">
        <v>1519.8000000000002</v>
      </c>
      <c r="F42" s="62">
        <v>1</v>
      </c>
      <c r="G42" s="62">
        <v>1</v>
      </c>
      <c r="H42" s="2">
        <f t="shared" ref="H42:H105" si="3">C42+H41</f>
        <v>33843.4</v>
      </c>
      <c r="I42" s="12">
        <f t="shared" si="1"/>
        <v>0.21108333333333335</v>
      </c>
      <c r="J42" s="12">
        <f t="shared" si="2"/>
        <v>0.19585300925925928</v>
      </c>
    </row>
    <row r="43" spans="1:10" ht="15" customHeight="1">
      <c r="A43" s="14">
        <v>45211</v>
      </c>
      <c r="B43" s="10">
        <v>25</v>
      </c>
      <c r="C43">
        <v>451.29999999999995</v>
      </c>
      <c r="F43" s="62">
        <v>1</v>
      </c>
      <c r="G43" s="62">
        <v>1</v>
      </c>
      <c r="H43" s="2">
        <f t="shared" si="3"/>
        <v>34294.700000000004</v>
      </c>
      <c r="I43" s="12">
        <f t="shared" si="1"/>
        <v>6.2680555555555545E-2</v>
      </c>
      <c r="J43" s="12">
        <f t="shared" si="2"/>
        <v>0.19052611111111115</v>
      </c>
    </row>
    <row r="44" spans="1:10" ht="15" customHeight="1">
      <c r="A44" s="14">
        <v>45212</v>
      </c>
      <c r="B44" s="10">
        <v>26</v>
      </c>
      <c r="C44">
        <v>1339.2</v>
      </c>
      <c r="F44" s="62">
        <v>1</v>
      </c>
      <c r="G44" s="62">
        <v>1</v>
      </c>
      <c r="H44" s="2">
        <f t="shared" si="3"/>
        <v>35633.9</v>
      </c>
      <c r="I44" s="12">
        <f t="shared" si="1"/>
        <v>0.186</v>
      </c>
      <c r="J44" s="12">
        <f t="shared" si="2"/>
        <v>0.19035202991452993</v>
      </c>
    </row>
    <row r="45" spans="1:10" ht="15" customHeight="1">
      <c r="A45" s="14">
        <v>45213</v>
      </c>
      <c r="B45" s="10">
        <v>27</v>
      </c>
      <c r="C45">
        <v>902.3</v>
      </c>
      <c r="F45" s="62">
        <v>1</v>
      </c>
      <c r="G45" s="62">
        <v>1</v>
      </c>
      <c r="H45" s="2">
        <f t="shared" si="3"/>
        <v>36536.200000000004</v>
      </c>
      <c r="I45" s="12">
        <f t="shared" si="1"/>
        <v>0.12531944444444443</v>
      </c>
      <c r="J45" s="12">
        <f t="shared" si="2"/>
        <v>0.1879434156378601</v>
      </c>
    </row>
    <row r="46" spans="1:10" ht="15" customHeight="1">
      <c r="A46" s="14">
        <v>45214</v>
      </c>
      <c r="B46" s="10">
        <v>28</v>
      </c>
      <c r="C46">
        <v>600.9</v>
      </c>
      <c r="F46" s="62">
        <v>1</v>
      </c>
      <c r="G46" s="62">
        <v>0.81111111111111112</v>
      </c>
      <c r="H46" s="2">
        <f t="shared" si="3"/>
        <v>37137.100000000006</v>
      </c>
      <c r="I46" s="12">
        <f t="shared" si="1"/>
        <v>8.3458333333333329E-2</v>
      </c>
      <c r="J46" s="12">
        <f t="shared" si="2"/>
        <v>0.18421180555555558</v>
      </c>
    </row>
    <row r="47" spans="1:10" ht="15" customHeight="1">
      <c r="A47" s="14">
        <v>45215</v>
      </c>
      <c r="B47" s="10">
        <v>29</v>
      </c>
      <c r="C47">
        <v>1172.1999999999998</v>
      </c>
      <c r="F47" s="62">
        <v>1</v>
      </c>
      <c r="G47" s="62">
        <v>1</v>
      </c>
      <c r="H47" s="2">
        <f t="shared" si="3"/>
        <v>38309.300000000003</v>
      </c>
      <c r="I47" s="12">
        <f t="shared" si="1"/>
        <v>0.16280555555555554</v>
      </c>
      <c r="J47" s="12">
        <f t="shared" si="2"/>
        <v>0.18347365900383142</v>
      </c>
    </row>
    <row r="48" spans="1:10" ht="15" customHeight="1">
      <c r="A48" s="14">
        <v>45216</v>
      </c>
      <c r="B48" s="10">
        <v>30</v>
      </c>
      <c r="C48">
        <v>1439.7</v>
      </c>
      <c r="F48" s="62">
        <v>1</v>
      </c>
      <c r="G48" s="62">
        <v>1</v>
      </c>
      <c r="H48" s="2">
        <f t="shared" si="3"/>
        <v>39749</v>
      </c>
      <c r="I48" s="12">
        <f t="shared" si="1"/>
        <v>0.19995833333333335</v>
      </c>
      <c r="J48" s="12">
        <f t="shared" si="2"/>
        <v>0.18402314814814816</v>
      </c>
    </row>
    <row r="49" spans="1:10" ht="15" customHeight="1">
      <c r="A49" s="14">
        <v>45217</v>
      </c>
      <c r="B49" s="10">
        <v>31</v>
      </c>
      <c r="C49">
        <v>1209.8</v>
      </c>
      <c r="F49" s="62">
        <v>1</v>
      </c>
      <c r="G49" s="62">
        <v>1</v>
      </c>
      <c r="H49" s="2">
        <f t="shared" si="3"/>
        <v>40958.800000000003</v>
      </c>
      <c r="I49" s="12">
        <f t="shared" si="1"/>
        <v>0.16802777777777778</v>
      </c>
      <c r="J49" s="12">
        <f t="shared" si="2"/>
        <v>0.18350716845878137</v>
      </c>
    </row>
    <row r="50" spans="1:10" ht="15" customHeight="1">
      <c r="A50" s="14">
        <v>45218</v>
      </c>
      <c r="B50" s="10">
        <v>32</v>
      </c>
      <c r="C50">
        <v>775.9</v>
      </c>
      <c r="F50" s="62">
        <v>1</v>
      </c>
      <c r="G50" s="62">
        <v>1</v>
      </c>
      <c r="H50" s="2">
        <f t="shared" si="3"/>
        <v>41734.700000000004</v>
      </c>
      <c r="I50" s="12">
        <f t="shared" si="1"/>
        <v>0.10776388888888888</v>
      </c>
      <c r="J50" s="12">
        <f t="shared" si="2"/>
        <v>0.18114019097222225</v>
      </c>
    </row>
    <row r="51" spans="1:10" ht="15" customHeight="1">
      <c r="A51" s="14">
        <v>45219</v>
      </c>
      <c r="B51" s="10">
        <v>33</v>
      </c>
      <c r="C51">
        <v>1051.4000000000001</v>
      </c>
      <c r="F51" s="62">
        <v>1</v>
      </c>
      <c r="G51" s="62">
        <v>1</v>
      </c>
      <c r="H51" s="2">
        <f t="shared" si="3"/>
        <v>42786.100000000006</v>
      </c>
      <c r="I51" s="12">
        <f t="shared" si="1"/>
        <v>0.14602777777777778</v>
      </c>
      <c r="J51" s="12">
        <f t="shared" si="2"/>
        <v>0.18007617845117849</v>
      </c>
    </row>
    <row r="52" spans="1:10" ht="15" customHeight="1">
      <c r="A52" s="14">
        <v>45220</v>
      </c>
      <c r="B52" s="10">
        <v>34</v>
      </c>
      <c r="C52">
        <v>1205.5</v>
      </c>
      <c r="F52" s="62">
        <v>1</v>
      </c>
      <c r="G52" s="62">
        <v>1</v>
      </c>
      <c r="H52" s="2">
        <f t="shared" si="3"/>
        <v>43991.600000000006</v>
      </c>
      <c r="I52" s="12">
        <f t="shared" si="1"/>
        <v>0.16743055555555555</v>
      </c>
      <c r="J52" s="12">
        <f t="shared" si="2"/>
        <v>0.17970424836601309</v>
      </c>
    </row>
    <row r="53" spans="1:10" ht="15" customHeight="1">
      <c r="A53" s="14">
        <v>45221</v>
      </c>
      <c r="B53" s="10">
        <v>35</v>
      </c>
      <c r="C53">
        <v>1234.8000000000002</v>
      </c>
      <c r="F53" s="62">
        <v>1</v>
      </c>
      <c r="G53" s="62">
        <v>1</v>
      </c>
      <c r="H53" s="2">
        <f t="shared" si="3"/>
        <v>45226.400000000009</v>
      </c>
      <c r="I53" s="12">
        <f t="shared" si="1"/>
        <v>0.17150000000000001</v>
      </c>
      <c r="J53" s="12">
        <f t="shared" si="2"/>
        <v>0.17946984126984131</v>
      </c>
    </row>
    <row r="54" spans="1:10" ht="15" customHeight="1">
      <c r="A54" s="14">
        <v>45222</v>
      </c>
      <c r="B54" s="10">
        <v>36</v>
      </c>
      <c r="C54">
        <v>809.90000000000009</v>
      </c>
      <c r="F54" s="62">
        <v>1</v>
      </c>
      <c r="G54" s="62">
        <v>0.72916666666666652</v>
      </c>
      <c r="H54" s="2">
        <f t="shared" si="3"/>
        <v>46036.30000000001</v>
      </c>
      <c r="I54" s="12">
        <f t="shared" si="1"/>
        <v>0.11248611111111112</v>
      </c>
      <c r="J54" s="12">
        <f t="shared" si="2"/>
        <v>0.17760918209876547</v>
      </c>
    </row>
    <row r="55" spans="1:10" ht="15" customHeight="1">
      <c r="A55" s="14">
        <v>45223</v>
      </c>
      <c r="B55" s="10">
        <v>37</v>
      </c>
      <c r="C55">
        <v>1285.1999999999998</v>
      </c>
      <c r="F55" s="62">
        <v>1</v>
      </c>
      <c r="G55" s="62">
        <v>1</v>
      </c>
      <c r="H55" s="2">
        <f t="shared" si="3"/>
        <v>47321.500000000007</v>
      </c>
      <c r="I55" s="12">
        <f t="shared" si="1"/>
        <v>0.17849999999999996</v>
      </c>
      <c r="J55" s="12">
        <f t="shared" si="2"/>
        <v>0.17763325825825829</v>
      </c>
    </row>
    <row r="56" spans="1:10" ht="15" customHeight="1">
      <c r="A56" s="14">
        <v>45224</v>
      </c>
      <c r="B56" s="10">
        <v>38</v>
      </c>
      <c r="C56">
        <v>1380.8</v>
      </c>
      <c r="F56" s="62">
        <v>1</v>
      </c>
      <c r="G56" s="62">
        <v>1</v>
      </c>
      <c r="H56" s="2">
        <f t="shared" si="3"/>
        <v>48702.30000000001</v>
      </c>
      <c r="I56" s="12">
        <f t="shared" si="1"/>
        <v>0.19177777777777777</v>
      </c>
      <c r="J56" s="12">
        <f t="shared" si="2"/>
        <v>0.1780054824561404</v>
      </c>
    </row>
    <row r="57" spans="1:10" ht="15" customHeight="1">
      <c r="A57" s="14">
        <v>45225</v>
      </c>
      <c r="B57" s="10">
        <v>39</v>
      </c>
      <c r="C57">
        <v>1276.3999999999999</v>
      </c>
      <c r="F57" s="62">
        <v>1</v>
      </c>
      <c r="G57" s="62">
        <v>1</v>
      </c>
      <c r="H57" s="2">
        <f t="shared" si="3"/>
        <v>49978.700000000012</v>
      </c>
      <c r="I57" s="12">
        <f t="shared" si="1"/>
        <v>0.17727777777777776</v>
      </c>
      <c r="J57" s="12">
        <f t="shared" si="2"/>
        <v>0.17798682336182339</v>
      </c>
    </row>
    <row r="58" spans="1:10" ht="15" customHeight="1">
      <c r="A58" s="14">
        <v>45226</v>
      </c>
      <c r="B58" s="10">
        <v>40</v>
      </c>
      <c r="C58">
        <v>1390.5</v>
      </c>
      <c r="F58" s="62">
        <v>1</v>
      </c>
      <c r="G58" s="62">
        <v>1</v>
      </c>
      <c r="H58" s="2">
        <f t="shared" si="3"/>
        <v>51369.200000000012</v>
      </c>
      <c r="I58" s="12">
        <f t="shared" si="1"/>
        <v>0.19312499999999999</v>
      </c>
      <c r="J58" s="12">
        <f t="shared" si="2"/>
        <v>0.17836527777777783</v>
      </c>
    </row>
    <row r="59" spans="1:10" ht="15" customHeight="1">
      <c r="A59" s="14">
        <v>45227</v>
      </c>
      <c r="B59" s="10">
        <v>41</v>
      </c>
      <c r="C59">
        <v>1356.8</v>
      </c>
      <c r="F59" s="62">
        <v>1</v>
      </c>
      <c r="G59" s="62">
        <v>1</v>
      </c>
      <c r="H59" s="2">
        <f t="shared" si="3"/>
        <v>52726.000000000015</v>
      </c>
      <c r="I59" s="12">
        <f t="shared" si="1"/>
        <v>0.18844444444444444</v>
      </c>
      <c r="J59" s="12">
        <f t="shared" si="2"/>
        <v>0.17861111111111116</v>
      </c>
    </row>
    <row r="60" spans="1:10" ht="15" customHeight="1">
      <c r="A60" s="14">
        <v>45228</v>
      </c>
      <c r="B60" s="10">
        <v>42</v>
      </c>
      <c r="C60">
        <v>1159.7</v>
      </c>
      <c r="F60" s="62">
        <v>1</v>
      </c>
      <c r="G60" s="62">
        <v>1</v>
      </c>
      <c r="H60" s="2">
        <f t="shared" si="3"/>
        <v>53885.700000000012</v>
      </c>
      <c r="I60" s="12">
        <f t="shared" si="1"/>
        <v>0.16106944444444446</v>
      </c>
      <c r="J60" s="12">
        <f t="shared" si="2"/>
        <v>0.17819345238095241</v>
      </c>
    </row>
    <row r="61" spans="1:10" ht="15" customHeight="1">
      <c r="A61" s="14">
        <v>45229</v>
      </c>
      <c r="B61" s="10">
        <v>43</v>
      </c>
      <c r="C61">
        <v>720.4</v>
      </c>
      <c r="F61" s="62">
        <v>1</v>
      </c>
      <c r="G61" s="62">
        <v>1</v>
      </c>
      <c r="H61" s="2">
        <f t="shared" si="3"/>
        <v>54606.100000000013</v>
      </c>
      <c r="I61" s="12">
        <f t="shared" si="1"/>
        <v>0.10005555555555555</v>
      </c>
      <c r="J61" s="12">
        <f t="shared" si="2"/>
        <v>0.17637629198966412</v>
      </c>
    </row>
    <row r="62" spans="1:10" ht="15" customHeight="1">
      <c r="A62" s="14">
        <v>45230</v>
      </c>
      <c r="B62" s="10">
        <v>44</v>
      </c>
      <c r="C62">
        <v>881.2</v>
      </c>
      <c r="F62" s="62">
        <v>1</v>
      </c>
      <c r="G62" s="62">
        <v>1</v>
      </c>
      <c r="H62" s="2">
        <f t="shared" si="3"/>
        <v>55487.30000000001</v>
      </c>
      <c r="I62" s="12">
        <f t="shared" si="1"/>
        <v>0.12238888888888889</v>
      </c>
      <c r="J62" s="12">
        <f t="shared" si="2"/>
        <v>0.17514930555555558</v>
      </c>
    </row>
    <row r="63" spans="1:10" ht="15" customHeight="1">
      <c r="A63" s="14">
        <v>45231</v>
      </c>
      <c r="B63" s="10">
        <v>45</v>
      </c>
      <c r="C63">
        <v>486.1</v>
      </c>
      <c r="F63" s="62">
        <v>1</v>
      </c>
      <c r="G63" s="62">
        <v>1</v>
      </c>
      <c r="H63" s="2">
        <f t="shared" si="3"/>
        <v>55973.400000000009</v>
      </c>
      <c r="I63" s="12">
        <f t="shared" si="1"/>
        <v>6.7513888888888887E-2</v>
      </c>
      <c r="J63" s="12">
        <f t="shared" si="2"/>
        <v>0.17275740740740744</v>
      </c>
    </row>
    <row r="64" spans="1:10" ht="15" customHeight="1">
      <c r="A64" s="14">
        <v>45232</v>
      </c>
      <c r="B64" s="10">
        <v>46</v>
      </c>
      <c r="C64">
        <v>1040</v>
      </c>
      <c r="F64" s="62">
        <v>1</v>
      </c>
      <c r="G64" s="62">
        <v>1</v>
      </c>
      <c r="H64" s="2">
        <f t="shared" si="3"/>
        <v>57013.400000000009</v>
      </c>
      <c r="I64" s="12">
        <f t="shared" si="1"/>
        <v>0.14444444444444443</v>
      </c>
      <c r="J64" s="12">
        <f t="shared" si="2"/>
        <v>0.17214190821256042</v>
      </c>
    </row>
    <row r="65" spans="1:10" ht="15" customHeight="1">
      <c r="A65" s="14">
        <v>45233</v>
      </c>
      <c r="B65" s="10">
        <v>47</v>
      </c>
      <c r="C65">
        <v>1192.0999999999999</v>
      </c>
      <c r="F65" s="62">
        <v>1</v>
      </c>
      <c r="G65" s="62">
        <v>1</v>
      </c>
      <c r="H65" s="2">
        <f t="shared" si="3"/>
        <v>58205.500000000007</v>
      </c>
      <c r="I65" s="12">
        <f t="shared" si="1"/>
        <v>0.16556944444444444</v>
      </c>
      <c r="J65" s="12">
        <f t="shared" si="2"/>
        <v>0.17200206855791964</v>
      </c>
    </row>
    <row r="66" spans="1:10" ht="15" customHeight="1">
      <c r="A66" s="14">
        <v>45234</v>
      </c>
      <c r="B66" s="10">
        <v>48</v>
      </c>
      <c r="C66">
        <v>656.8</v>
      </c>
      <c r="F66" s="62">
        <v>1</v>
      </c>
      <c r="G66" s="62">
        <v>1</v>
      </c>
      <c r="H66" s="2">
        <f t="shared" si="3"/>
        <v>58862.30000000001</v>
      </c>
      <c r="I66" s="12">
        <f t="shared" si="1"/>
        <v>9.1222222222222218E-2</v>
      </c>
      <c r="J66" s="12">
        <f t="shared" si="2"/>
        <v>0.17031915509259263</v>
      </c>
    </row>
    <row r="67" spans="1:10" ht="15" customHeight="1">
      <c r="A67" s="14">
        <v>45235</v>
      </c>
      <c r="B67" s="10">
        <v>49</v>
      </c>
      <c r="C67">
        <v>1008.8</v>
      </c>
      <c r="F67" s="62">
        <v>1</v>
      </c>
      <c r="G67" s="62">
        <v>1</v>
      </c>
      <c r="H67" s="2">
        <f t="shared" si="3"/>
        <v>59871.100000000013</v>
      </c>
      <c r="I67" s="12">
        <f t="shared" ref="I67:I130" si="4">C67/(300*24)</f>
        <v>0.1401111111111111</v>
      </c>
      <c r="J67" s="12">
        <f t="shared" ref="J67:J130" si="5">H67/(24*B67*300)</f>
        <v>0.16970266439909301</v>
      </c>
    </row>
    <row r="68" spans="1:10" ht="15" customHeight="1">
      <c r="A68" s="14">
        <v>45236</v>
      </c>
      <c r="B68" s="10">
        <v>50</v>
      </c>
      <c r="C68">
        <v>923.5</v>
      </c>
      <c r="F68" s="62">
        <v>1</v>
      </c>
      <c r="G68" s="62">
        <v>1</v>
      </c>
      <c r="H68" s="2">
        <f t="shared" si="3"/>
        <v>60794.600000000013</v>
      </c>
      <c r="I68" s="12">
        <f t="shared" si="4"/>
        <v>0.1282638888888889</v>
      </c>
      <c r="J68" s="12">
        <f t="shared" si="5"/>
        <v>0.16887388888888893</v>
      </c>
    </row>
    <row r="69" spans="1:10" ht="15" customHeight="1">
      <c r="A69" s="14">
        <v>45237</v>
      </c>
      <c r="B69" s="10">
        <v>51</v>
      </c>
      <c r="C69">
        <v>1444.6</v>
      </c>
      <c r="F69" s="62">
        <v>1</v>
      </c>
      <c r="G69" s="62">
        <v>1</v>
      </c>
      <c r="H69" s="2">
        <f t="shared" si="3"/>
        <v>62239.200000000012</v>
      </c>
      <c r="I69" s="12">
        <f t="shared" si="4"/>
        <v>0.20063888888888887</v>
      </c>
      <c r="J69" s="12">
        <f t="shared" si="5"/>
        <v>0.16949673202614382</v>
      </c>
    </row>
    <row r="70" spans="1:10" ht="15" customHeight="1">
      <c r="A70" s="14">
        <v>45238</v>
      </c>
      <c r="B70" s="10">
        <v>52</v>
      </c>
      <c r="C70">
        <v>1336.1</v>
      </c>
      <c r="F70" s="62">
        <v>1</v>
      </c>
      <c r="G70" s="62">
        <v>1</v>
      </c>
      <c r="H70" s="2">
        <f t="shared" si="3"/>
        <v>63575.30000000001</v>
      </c>
      <c r="I70" s="12">
        <f t="shared" si="4"/>
        <v>0.18556944444444443</v>
      </c>
      <c r="J70" s="12">
        <f t="shared" si="5"/>
        <v>0.16980582264957267</v>
      </c>
    </row>
    <row r="71" spans="1:10" ht="15" customHeight="1">
      <c r="A71" s="14">
        <v>45239</v>
      </c>
      <c r="B71" s="10">
        <v>53</v>
      </c>
      <c r="C71">
        <v>658.5</v>
      </c>
      <c r="F71" s="62">
        <v>1</v>
      </c>
      <c r="G71" s="62">
        <v>1</v>
      </c>
      <c r="H71" s="2">
        <f t="shared" si="3"/>
        <v>64233.80000000001</v>
      </c>
      <c r="I71" s="12">
        <f t="shared" si="4"/>
        <v>9.1458333333333336E-2</v>
      </c>
      <c r="J71" s="12">
        <f t="shared" si="5"/>
        <v>0.16832756813417193</v>
      </c>
    </row>
    <row r="72" spans="1:10" ht="15" customHeight="1">
      <c r="A72" s="14">
        <v>45240</v>
      </c>
      <c r="B72" s="10">
        <v>54</v>
      </c>
      <c r="C72">
        <v>1397.4</v>
      </c>
      <c r="F72" s="62">
        <v>1</v>
      </c>
      <c r="G72" s="62">
        <v>1</v>
      </c>
      <c r="H72" s="2">
        <f t="shared" si="3"/>
        <v>65631.200000000012</v>
      </c>
      <c r="I72" s="12">
        <f t="shared" si="4"/>
        <v>0.19408333333333336</v>
      </c>
      <c r="J72" s="12">
        <f t="shared" si="5"/>
        <v>0.16880452674897123</v>
      </c>
    </row>
    <row r="73" spans="1:10" ht="15" customHeight="1">
      <c r="A73" s="14">
        <v>45241</v>
      </c>
      <c r="B73" s="10">
        <v>55</v>
      </c>
      <c r="C73">
        <v>1363.1</v>
      </c>
      <c r="F73" s="62">
        <v>1</v>
      </c>
      <c r="G73" s="62">
        <v>1</v>
      </c>
      <c r="H73" s="2">
        <f t="shared" si="3"/>
        <v>66994.300000000017</v>
      </c>
      <c r="I73" s="12">
        <f t="shared" si="4"/>
        <v>0.18931944444444443</v>
      </c>
      <c r="J73" s="12">
        <f t="shared" si="5"/>
        <v>0.1691775252525253</v>
      </c>
    </row>
    <row r="74" spans="1:10" ht="15" customHeight="1">
      <c r="A74" s="14">
        <v>45242</v>
      </c>
      <c r="B74" s="10">
        <v>56</v>
      </c>
      <c r="C74">
        <v>393.8</v>
      </c>
      <c r="F74" s="62">
        <v>1</v>
      </c>
      <c r="G74" s="62">
        <v>1</v>
      </c>
      <c r="H74" s="2">
        <f t="shared" si="3"/>
        <v>67388.10000000002</v>
      </c>
      <c r="I74" s="12">
        <f t="shared" si="4"/>
        <v>5.4694444444444448E-2</v>
      </c>
      <c r="J74" s="12">
        <f t="shared" si="5"/>
        <v>0.16713318452380957</v>
      </c>
    </row>
    <row r="75" spans="1:10" ht="15" customHeight="1">
      <c r="A75" s="14">
        <v>45243</v>
      </c>
      <c r="B75" s="10">
        <v>57</v>
      </c>
      <c r="C75">
        <v>1212.0999999999999</v>
      </c>
      <c r="F75" s="62">
        <v>1</v>
      </c>
      <c r="G75" s="62">
        <v>1</v>
      </c>
      <c r="H75" s="2">
        <f t="shared" si="3"/>
        <v>68600.200000000026</v>
      </c>
      <c r="I75" s="12">
        <f t="shared" si="4"/>
        <v>0.1683472222222222</v>
      </c>
      <c r="J75" s="12">
        <f t="shared" si="5"/>
        <v>0.16715448343079928</v>
      </c>
    </row>
    <row r="76" spans="1:10" ht="15" customHeight="1">
      <c r="A76" s="14">
        <v>45244</v>
      </c>
      <c r="B76" s="10">
        <v>58</v>
      </c>
      <c r="C76">
        <v>1326.7</v>
      </c>
      <c r="F76" s="62">
        <v>1</v>
      </c>
      <c r="G76" s="62">
        <v>1</v>
      </c>
      <c r="H76" s="2">
        <f t="shared" si="3"/>
        <v>69926.900000000023</v>
      </c>
      <c r="I76" s="12">
        <f t="shared" si="4"/>
        <v>0.18426388888888889</v>
      </c>
      <c r="J76" s="12">
        <f t="shared" si="5"/>
        <v>0.16744947318007669</v>
      </c>
    </row>
    <row r="77" spans="1:10" ht="15" customHeight="1">
      <c r="A77" s="14">
        <v>45245</v>
      </c>
      <c r="B77" s="10">
        <v>59</v>
      </c>
      <c r="C77">
        <v>1258.3</v>
      </c>
      <c r="F77" s="62">
        <v>1</v>
      </c>
      <c r="G77" s="62">
        <v>1</v>
      </c>
      <c r="H77" s="2">
        <f t="shared" si="3"/>
        <v>71185.200000000026</v>
      </c>
      <c r="I77" s="12">
        <f t="shared" si="4"/>
        <v>0.17476388888888889</v>
      </c>
      <c r="J77" s="12">
        <f t="shared" si="5"/>
        <v>0.16757344632768367</v>
      </c>
    </row>
    <row r="78" spans="1:10" ht="15" customHeight="1">
      <c r="A78" s="14">
        <v>45246</v>
      </c>
      <c r="B78" s="10">
        <v>60</v>
      </c>
      <c r="C78">
        <v>1034.8</v>
      </c>
      <c r="F78" s="62">
        <v>1</v>
      </c>
      <c r="G78" s="62">
        <v>1</v>
      </c>
      <c r="H78" s="2">
        <f t="shared" si="3"/>
        <v>72220.000000000029</v>
      </c>
      <c r="I78" s="12">
        <f t="shared" si="4"/>
        <v>0.14372222222222222</v>
      </c>
      <c r="J78" s="12">
        <f t="shared" si="5"/>
        <v>0.16717592592592601</v>
      </c>
    </row>
    <row r="79" spans="1:10" ht="15" customHeight="1">
      <c r="A79" s="14">
        <v>45247</v>
      </c>
      <c r="B79" s="10">
        <v>61</v>
      </c>
      <c r="C79">
        <v>946.3</v>
      </c>
      <c r="F79" s="62">
        <v>1</v>
      </c>
      <c r="G79" s="62">
        <v>1</v>
      </c>
      <c r="H79" s="2">
        <f t="shared" si="3"/>
        <v>73166.300000000032</v>
      </c>
      <c r="I79" s="12">
        <f t="shared" si="4"/>
        <v>0.13143055555555555</v>
      </c>
      <c r="J79" s="12">
        <f t="shared" si="5"/>
        <v>0.1665899362477232</v>
      </c>
    </row>
    <row r="80" spans="1:10" ht="15" customHeight="1">
      <c r="A80" s="14">
        <v>45248</v>
      </c>
      <c r="B80" s="10">
        <v>62</v>
      </c>
      <c r="C80">
        <v>1041.8</v>
      </c>
      <c r="F80" s="62">
        <v>1</v>
      </c>
      <c r="G80" s="62">
        <v>1</v>
      </c>
      <c r="H80" s="2">
        <f t="shared" si="3"/>
        <v>74208.100000000035</v>
      </c>
      <c r="I80" s="12">
        <f t="shared" si="4"/>
        <v>0.14469444444444443</v>
      </c>
      <c r="J80" s="12">
        <f t="shared" si="5"/>
        <v>0.16623678315412194</v>
      </c>
    </row>
    <row r="81" spans="1:10" ht="15" customHeight="1">
      <c r="A81" s="14">
        <v>45249</v>
      </c>
      <c r="B81" s="10">
        <v>63</v>
      </c>
      <c r="C81">
        <v>1046.9000000000001</v>
      </c>
      <c r="F81" s="62">
        <v>1</v>
      </c>
      <c r="G81" s="62">
        <v>1</v>
      </c>
      <c r="H81" s="2">
        <f t="shared" si="3"/>
        <v>75255.000000000029</v>
      </c>
      <c r="I81" s="12">
        <f t="shared" si="4"/>
        <v>0.1454027777777778</v>
      </c>
      <c r="J81" s="12">
        <f t="shared" si="5"/>
        <v>0.16590608465608472</v>
      </c>
    </row>
    <row r="82" spans="1:10" ht="15" customHeight="1">
      <c r="A82" s="14">
        <v>45250</v>
      </c>
      <c r="B82" s="10">
        <v>64</v>
      </c>
      <c r="C82">
        <v>1267</v>
      </c>
      <c r="F82" s="62">
        <v>1</v>
      </c>
      <c r="G82" s="62">
        <v>1</v>
      </c>
      <c r="H82" s="2">
        <f t="shared" si="3"/>
        <v>76522.000000000029</v>
      </c>
      <c r="I82" s="12">
        <f t="shared" si="4"/>
        <v>0.17597222222222222</v>
      </c>
      <c r="J82" s="12">
        <f t="shared" si="5"/>
        <v>0.16606336805555563</v>
      </c>
    </row>
    <row r="83" spans="1:10" ht="15" customHeight="1">
      <c r="A83" s="14">
        <v>45251</v>
      </c>
      <c r="B83" s="10">
        <v>65</v>
      </c>
      <c r="C83">
        <v>1208</v>
      </c>
      <c r="F83" s="62">
        <v>1</v>
      </c>
      <c r="G83" s="62">
        <v>1</v>
      </c>
      <c r="H83" s="2">
        <f t="shared" si="3"/>
        <v>77730.000000000029</v>
      </c>
      <c r="I83" s="12">
        <f t="shared" si="4"/>
        <v>0.16777777777777778</v>
      </c>
      <c r="J83" s="12">
        <f t="shared" si="5"/>
        <v>0.16608974358974365</v>
      </c>
    </row>
    <row r="84" spans="1:10" ht="15" customHeight="1">
      <c r="A84" s="14">
        <v>45252</v>
      </c>
      <c r="B84" s="10">
        <v>66</v>
      </c>
      <c r="C84">
        <v>1277</v>
      </c>
      <c r="F84" s="62">
        <v>1</v>
      </c>
      <c r="G84" s="62">
        <v>1</v>
      </c>
      <c r="H84" s="2">
        <f t="shared" si="3"/>
        <v>79007.000000000029</v>
      </c>
      <c r="I84" s="12">
        <f t="shared" si="4"/>
        <v>0.17736111111111111</v>
      </c>
      <c r="J84" s="12">
        <f t="shared" si="5"/>
        <v>0.16626052188552196</v>
      </c>
    </row>
    <row r="85" spans="1:10" ht="15" customHeight="1">
      <c r="A85" s="14">
        <v>45253</v>
      </c>
      <c r="B85" s="10">
        <v>67</v>
      </c>
      <c r="C85">
        <v>1104</v>
      </c>
      <c r="F85" s="62">
        <v>1</v>
      </c>
      <c r="G85" s="62">
        <v>1</v>
      </c>
      <c r="H85" s="2">
        <f t="shared" si="3"/>
        <v>80111.000000000029</v>
      </c>
      <c r="I85" s="12">
        <f t="shared" si="4"/>
        <v>0.15333333333333332</v>
      </c>
      <c r="J85" s="12">
        <f t="shared" si="5"/>
        <v>0.1660675787728027</v>
      </c>
    </row>
    <row r="86" spans="1:10" ht="15" customHeight="1">
      <c r="A86" s="14">
        <v>45254</v>
      </c>
      <c r="B86" s="10">
        <v>68</v>
      </c>
      <c r="C86">
        <v>526</v>
      </c>
      <c r="F86" s="62">
        <v>1</v>
      </c>
      <c r="G86" s="62">
        <v>1</v>
      </c>
      <c r="H86" s="2">
        <f t="shared" si="3"/>
        <v>80637.000000000029</v>
      </c>
      <c r="I86" s="12">
        <f t="shared" si="4"/>
        <v>7.3055555555555554E-2</v>
      </c>
      <c r="J86" s="12">
        <f t="shared" si="5"/>
        <v>0.16469975490196084</v>
      </c>
    </row>
    <row r="87" spans="1:10" ht="15" customHeight="1">
      <c r="A87" s="14">
        <v>45255</v>
      </c>
      <c r="B87" s="10">
        <v>69</v>
      </c>
      <c r="C87">
        <v>1161</v>
      </c>
      <c r="F87" s="62">
        <v>1</v>
      </c>
      <c r="G87" s="62">
        <v>1</v>
      </c>
      <c r="H87" s="2">
        <f t="shared" si="3"/>
        <v>81798.000000000029</v>
      </c>
      <c r="I87" s="12">
        <f t="shared" si="4"/>
        <v>0.16125</v>
      </c>
      <c r="J87" s="12">
        <f t="shared" si="5"/>
        <v>0.16464975845410634</v>
      </c>
    </row>
    <row r="88" spans="1:10" ht="15" customHeight="1">
      <c r="A88" s="14">
        <v>45256</v>
      </c>
      <c r="B88" s="10">
        <v>70</v>
      </c>
      <c r="C88">
        <v>1226</v>
      </c>
      <c r="F88" s="62">
        <v>1</v>
      </c>
      <c r="G88" s="62">
        <v>0.95833333333333348</v>
      </c>
      <c r="H88" s="2">
        <f t="shared" si="3"/>
        <v>83024.000000000029</v>
      </c>
      <c r="I88" s="12">
        <f t="shared" si="4"/>
        <v>0.17027777777777778</v>
      </c>
      <c r="J88" s="12">
        <f t="shared" si="5"/>
        <v>0.16473015873015878</v>
      </c>
    </row>
    <row r="89" spans="1:10" ht="15" customHeight="1">
      <c r="A89" s="14">
        <v>45257</v>
      </c>
      <c r="B89" s="10">
        <v>71</v>
      </c>
      <c r="C89">
        <v>605</v>
      </c>
      <c r="F89" s="62">
        <v>1</v>
      </c>
      <c r="G89" s="62">
        <v>1</v>
      </c>
      <c r="H89" s="2">
        <f t="shared" si="3"/>
        <v>83629.000000000029</v>
      </c>
      <c r="I89" s="12">
        <f t="shared" si="4"/>
        <v>8.4027777777777785E-2</v>
      </c>
      <c r="J89" s="12">
        <f t="shared" si="5"/>
        <v>0.16359350547730836</v>
      </c>
    </row>
    <row r="90" spans="1:10" ht="15" customHeight="1">
      <c r="A90" s="14">
        <v>45258</v>
      </c>
      <c r="B90" s="10">
        <v>72</v>
      </c>
      <c r="C90">
        <v>1303</v>
      </c>
      <c r="F90" s="62">
        <v>1</v>
      </c>
      <c r="G90" s="62">
        <v>1</v>
      </c>
      <c r="H90" s="2">
        <f t="shared" si="3"/>
        <v>84932.000000000029</v>
      </c>
      <c r="I90" s="12">
        <f t="shared" si="4"/>
        <v>0.18097222222222223</v>
      </c>
      <c r="J90" s="12">
        <f t="shared" si="5"/>
        <v>0.16383487654320994</v>
      </c>
    </row>
    <row r="91" spans="1:10" ht="15" customHeight="1">
      <c r="A91" s="14">
        <v>45259</v>
      </c>
      <c r="B91" s="10">
        <v>73</v>
      </c>
      <c r="C91">
        <v>1040</v>
      </c>
      <c r="F91" s="62">
        <v>1</v>
      </c>
      <c r="G91" s="62">
        <v>1</v>
      </c>
      <c r="H91" s="2">
        <f t="shared" si="3"/>
        <v>85972.000000000029</v>
      </c>
      <c r="I91" s="12">
        <f t="shared" si="4"/>
        <v>0.14444444444444443</v>
      </c>
      <c r="J91" s="12">
        <f t="shared" si="5"/>
        <v>0.1635692541856926</v>
      </c>
    </row>
    <row r="92" spans="1:10" ht="15" customHeight="1">
      <c r="A92" s="14">
        <v>45260</v>
      </c>
      <c r="B92" s="10">
        <v>74</v>
      </c>
      <c r="C92">
        <v>1302</v>
      </c>
      <c r="F92" s="62">
        <v>1</v>
      </c>
      <c r="G92" s="62">
        <v>1</v>
      </c>
      <c r="H92" s="2">
        <f t="shared" si="3"/>
        <v>87274.000000000029</v>
      </c>
      <c r="I92" s="12">
        <f t="shared" si="4"/>
        <v>0.18083333333333335</v>
      </c>
      <c r="J92" s="12">
        <f t="shared" si="5"/>
        <v>0.1638025525525526</v>
      </c>
    </row>
    <row r="93" spans="1:10" ht="15" customHeight="1">
      <c r="A93" s="14">
        <v>45261</v>
      </c>
      <c r="B93" s="10">
        <v>75</v>
      </c>
      <c r="C93">
        <v>1166</v>
      </c>
      <c r="F93" s="62">
        <v>1</v>
      </c>
      <c r="G93" s="62">
        <v>1</v>
      </c>
      <c r="H93" s="2">
        <f t="shared" si="3"/>
        <v>88440.000000000029</v>
      </c>
      <c r="I93" s="12">
        <f t="shared" si="4"/>
        <v>0.16194444444444445</v>
      </c>
      <c r="J93" s="12">
        <f t="shared" si="5"/>
        <v>0.16377777777777783</v>
      </c>
    </row>
    <row r="94" spans="1:10" ht="15" customHeight="1">
      <c r="A94" s="14">
        <v>45262</v>
      </c>
      <c r="B94" s="10">
        <v>76</v>
      </c>
      <c r="C94">
        <v>1108</v>
      </c>
      <c r="F94" s="62">
        <v>1</v>
      </c>
      <c r="G94" s="62">
        <v>1</v>
      </c>
      <c r="H94" s="2">
        <f t="shared" si="3"/>
        <v>89548.000000000029</v>
      </c>
      <c r="I94" s="12">
        <f t="shared" si="4"/>
        <v>0.15388888888888888</v>
      </c>
      <c r="J94" s="12">
        <f t="shared" si="5"/>
        <v>0.16364766081871351</v>
      </c>
    </row>
    <row r="95" spans="1:10" ht="15" customHeight="1">
      <c r="A95" s="14">
        <v>45263</v>
      </c>
      <c r="B95" s="10">
        <v>77</v>
      </c>
      <c r="C95">
        <v>731</v>
      </c>
      <c r="F95" s="62">
        <v>1</v>
      </c>
      <c r="G95" s="62">
        <v>1</v>
      </c>
      <c r="H95" s="2">
        <f t="shared" si="3"/>
        <v>90279.000000000029</v>
      </c>
      <c r="I95" s="12">
        <f t="shared" si="4"/>
        <v>0.10152777777777777</v>
      </c>
      <c r="J95" s="12">
        <f t="shared" si="5"/>
        <v>0.16284090909090915</v>
      </c>
    </row>
    <row r="96" spans="1:10" ht="15" customHeight="1">
      <c r="A96" s="14">
        <v>45264</v>
      </c>
      <c r="B96" s="10">
        <v>78</v>
      </c>
      <c r="C96">
        <v>1039</v>
      </c>
      <c r="F96" s="62">
        <v>1</v>
      </c>
      <c r="G96" s="62">
        <v>1</v>
      </c>
      <c r="H96" s="2">
        <f t="shared" si="3"/>
        <v>91318.000000000029</v>
      </c>
      <c r="I96" s="12">
        <f t="shared" si="4"/>
        <v>0.14430555555555555</v>
      </c>
      <c r="J96" s="12">
        <f t="shared" si="5"/>
        <v>0.1626032763532764</v>
      </c>
    </row>
    <row r="97" spans="1:10" ht="15" customHeight="1">
      <c r="A97" s="14">
        <v>45265</v>
      </c>
      <c r="B97" s="10">
        <v>79</v>
      </c>
      <c r="C97">
        <v>1183</v>
      </c>
      <c r="F97" s="62">
        <v>1</v>
      </c>
      <c r="G97" s="62">
        <v>1</v>
      </c>
      <c r="H97" s="2">
        <f t="shared" si="3"/>
        <v>92501.000000000029</v>
      </c>
      <c r="I97" s="12">
        <f t="shared" si="4"/>
        <v>0.16430555555555557</v>
      </c>
      <c r="J97" s="12">
        <f t="shared" si="5"/>
        <v>0.16262482419127994</v>
      </c>
    </row>
    <row r="98" spans="1:10" ht="15" customHeight="1">
      <c r="A98" s="14">
        <v>45266</v>
      </c>
      <c r="B98" s="10">
        <v>80</v>
      </c>
      <c r="C98">
        <v>1241</v>
      </c>
      <c r="F98" s="62">
        <v>1</v>
      </c>
      <c r="G98" s="62">
        <v>1</v>
      </c>
      <c r="H98" s="2">
        <f t="shared" si="3"/>
        <v>93742.000000000029</v>
      </c>
      <c r="I98" s="12">
        <f t="shared" si="4"/>
        <v>0.1723611111111111</v>
      </c>
      <c r="J98" s="12">
        <f t="shared" si="5"/>
        <v>0.16274652777777782</v>
      </c>
    </row>
    <row r="99" spans="1:10" ht="15" customHeight="1">
      <c r="A99" s="14">
        <v>45267</v>
      </c>
      <c r="B99" s="10">
        <v>81</v>
      </c>
      <c r="C99">
        <v>1163</v>
      </c>
      <c r="F99" s="62">
        <v>1</v>
      </c>
      <c r="G99" s="62">
        <v>1</v>
      </c>
      <c r="H99" s="2">
        <f t="shared" si="3"/>
        <v>94905.000000000029</v>
      </c>
      <c r="I99" s="12">
        <f t="shared" si="4"/>
        <v>0.16152777777777777</v>
      </c>
      <c r="J99" s="12">
        <f t="shared" si="5"/>
        <v>0.16273148148148153</v>
      </c>
    </row>
    <row r="100" spans="1:10" ht="15" customHeight="1">
      <c r="A100" s="14">
        <v>45268</v>
      </c>
      <c r="B100" s="10">
        <v>82</v>
      </c>
      <c r="C100">
        <v>1145</v>
      </c>
      <c r="F100" s="62">
        <v>1</v>
      </c>
      <c r="G100" s="62">
        <v>1</v>
      </c>
      <c r="H100" s="2">
        <f t="shared" si="3"/>
        <v>96050.000000000029</v>
      </c>
      <c r="I100" s="12">
        <f t="shared" si="4"/>
        <v>0.15902777777777777</v>
      </c>
      <c r="J100" s="12">
        <f t="shared" si="5"/>
        <v>0.16268631436314368</v>
      </c>
    </row>
    <row r="101" spans="1:10" ht="15" customHeight="1">
      <c r="A101" s="14">
        <v>45269</v>
      </c>
      <c r="B101" s="10">
        <v>83</v>
      </c>
      <c r="C101">
        <v>796</v>
      </c>
      <c r="F101" s="62">
        <v>1</v>
      </c>
      <c r="G101" s="62">
        <v>1</v>
      </c>
      <c r="H101" s="2">
        <f t="shared" si="3"/>
        <v>96846.000000000029</v>
      </c>
      <c r="I101" s="12">
        <f t="shared" si="4"/>
        <v>0.11055555555555556</v>
      </c>
      <c r="J101" s="12">
        <f t="shared" si="5"/>
        <v>0.16205823293172697</v>
      </c>
    </row>
    <row r="102" spans="1:10" ht="15" customHeight="1">
      <c r="A102" s="14">
        <v>45270</v>
      </c>
      <c r="B102" s="10">
        <v>84</v>
      </c>
      <c r="C102">
        <v>1092</v>
      </c>
      <c r="F102" s="62">
        <v>1</v>
      </c>
      <c r="G102" s="62">
        <v>1</v>
      </c>
      <c r="H102" s="2">
        <f t="shared" si="3"/>
        <v>97938.000000000029</v>
      </c>
      <c r="I102" s="12">
        <f t="shared" si="4"/>
        <v>0.15166666666666667</v>
      </c>
      <c r="J102" s="12">
        <f t="shared" si="5"/>
        <v>0.16193452380952386</v>
      </c>
    </row>
    <row r="103" spans="1:10" ht="15" customHeight="1">
      <c r="A103" s="14">
        <v>45271</v>
      </c>
      <c r="B103" s="10">
        <v>85</v>
      </c>
      <c r="C103">
        <v>1036</v>
      </c>
      <c r="F103" s="62">
        <v>1</v>
      </c>
      <c r="G103" s="62">
        <v>1</v>
      </c>
      <c r="H103" s="2">
        <f t="shared" si="3"/>
        <v>98974.000000000029</v>
      </c>
      <c r="I103" s="12">
        <f t="shared" si="4"/>
        <v>0.1438888888888889</v>
      </c>
      <c r="J103" s="12">
        <f t="shared" si="5"/>
        <v>0.16172222222222227</v>
      </c>
    </row>
    <row r="104" spans="1:10" ht="15" customHeight="1">
      <c r="A104" s="14">
        <v>45272</v>
      </c>
      <c r="B104" s="10">
        <v>86</v>
      </c>
      <c r="C104">
        <v>819</v>
      </c>
      <c r="F104" s="62">
        <v>1</v>
      </c>
      <c r="G104" s="62">
        <v>1</v>
      </c>
      <c r="H104" s="2">
        <f t="shared" si="3"/>
        <v>99793.000000000029</v>
      </c>
      <c r="I104" s="12">
        <f t="shared" si="4"/>
        <v>0.11375</v>
      </c>
      <c r="J104" s="12">
        <f t="shared" si="5"/>
        <v>0.16116440568475457</v>
      </c>
    </row>
    <row r="105" spans="1:10" ht="15" customHeight="1">
      <c r="A105" s="14">
        <v>45273</v>
      </c>
      <c r="B105" s="10">
        <v>87</v>
      </c>
      <c r="C105">
        <v>587</v>
      </c>
      <c r="F105" s="62">
        <v>1</v>
      </c>
      <c r="G105" s="62">
        <v>1</v>
      </c>
      <c r="H105" s="2">
        <f t="shared" si="3"/>
        <v>100380.00000000003</v>
      </c>
      <c r="I105" s="12">
        <f t="shared" si="4"/>
        <v>8.1527777777777782E-2</v>
      </c>
      <c r="J105" s="12">
        <f t="shared" si="5"/>
        <v>0.16024904214559391</v>
      </c>
    </row>
    <row r="106" spans="1:10" ht="15" customHeight="1">
      <c r="A106" s="14">
        <v>45274</v>
      </c>
      <c r="B106" s="10">
        <v>88</v>
      </c>
      <c r="C106">
        <v>1136</v>
      </c>
      <c r="F106" s="62">
        <v>1</v>
      </c>
      <c r="G106" s="62">
        <v>1</v>
      </c>
      <c r="H106" s="2">
        <f t="shared" ref="H106:H169" si="6">C106+H105</f>
        <v>101516.00000000003</v>
      </c>
      <c r="I106" s="12">
        <f t="shared" si="4"/>
        <v>0.15777777777777777</v>
      </c>
      <c r="J106" s="12">
        <f t="shared" si="5"/>
        <v>0.16022095959595964</v>
      </c>
    </row>
    <row r="107" spans="1:10" ht="15" customHeight="1">
      <c r="A107" s="14">
        <v>45275</v>
      </c>
      <c r="B107" s="10">
        <v>89</v>
      </c>
      <c r="C107">
        <v>814</v>
      </c>
      <c r="F107" s="62">
        <v>1</v>
      </c>
      <c r="G107" s="62">
        <v>1</v>
      </c>
      <c r="H107" s="2">
        <f t="shared" si="6"/>
        <v>102330.00000000003</v>
      </c>
      <c r="I107" s="12">
        <f t="shared" si="4"/>
        <v>0.11305555555555556</v>
      </c>
      <c r="J107" s="12">
        <f t="shared" si="5"/>
        <v>0.15969101123595511</v>
      </c>
    </row>
    <row r="108" spans="1:10" ht="15" customHeight="1">
      <c r="A108" s="14">
        <v>45276</v>
      </c>
      <c r="B108" s="10">
        <v>90</v>
      </c>
      <c r="C108">
        <v>1244</v>
      </c>
      <c r="F108" s="62">
        <v>1</v>
      </c>
      <c r="G108" s="62">
        <v>1</v>
      </c>
      <c r="H108" s="2">
        <f t="shared" si="6"/>
        <v>103574.00000000003</v>
      </c>
      <c r="I108" s="12">
        <f t="shared" si="4"/>
        <v>0.17277777777777778</v>
      </c>
      <c r="J108" s="12">
        <f t="shared" si="5"/>
        <v>0.15983641975308646</v>
      </c>
    </row>
    <row r="109" spans="1:10" ht="15" customHeight="1">
      <c r="A109" s="14">
        <v>45277</v>
      </c>
      <c r="B109" s="10">
        <v>91</v>
      </c>
      <c r="C109">
        <v>1051</v>
      </c>
      <c r="F109" s="62">
        <v>1</v>
      </c>
      <c r="G109" s="62">
        <v>1</v>
      </c>
      <c r="H109" s="2">
        <f t="shared" si="6"/>
        <v>104625.00000000003</v>
      </c>
      <c r="I109" s="12">
        <f t="shared" si="4"/>
        <v>0.14597222222222223</v>
      </c>
      <c r="J109" s="12">
        <f t="shared" si="5"/>
        <v>0.15968406593406598</v>
      </c>
    </row>
    <row r="110" spans="1:10" ht="15" customHeight="1">
      <c r="A110" s="14">
        <v>45278</v>
      </c>
      <c r="B110" s="10">
        <v>92</v>
      </c>
      <c r="C110">
        <v>949</v>
      </c>
      <c r="F110" s="62">
        <v>1</v>
      </c>
      <c r="G110" s="62">
        <v>1</v>
      </c>
      <c r="H110" s="2">
        <f t="shared" si="6"/>
        <v>105574.00000000003</v>
      </c>
      <c r="I110" s="12">
        <f t="shared" si="4"/>
        <v>0.13180555555555556</v>
      </c>
      <c r="J110" s="12">
        <f t="shared" si="5"/>
        <v>0.15938103864734304</v>
      </c>
    </row>
    <row r="111" spans="1:10" ht="15" customHeight="1">
      <c r="A111" s="14">
        <v>45279</v>
      </c>
      <c r="B111" s="10">
        <v>93</v>
      </c>
      <c r="C111">
        <v>302</v>
      </c>
      <c r="F111" s="62">
        <v>1</v>
      </c>
      <c r="G111" s="62">
        <v>1</v>
      </c>
      <c r="H111" s="2">
        <f t="shared" si="6"/>
        <v>105876.00000000003</v>
      </c>
      <c r="I111" s="12">
        <f t="shared" si="4"/>
        <v>4.1944444444444444E-2</v>
      </c>
      <c r="J111" s="12">
        <f t="shared" si="5"/>
        <v>0.15811827956989252</v>
      </c>
    </row>
    <row r="112" spans="1:10" ht="15" customHeight="1">
      <c r="A112" s="14">
        <v>45280</v>
      </c>
      <c r="B112" s="10">
        <v>94</v>
      </c>
      <c r="C112">
        <v>1182</v>
      </c>
      <c r="F112" s="62">
        <v>1</v>
      </c>
      <c r="G112" s="62">
        <v>1</v>
      </c>
      <c r="H112" s="2">
        <f t="shared" si="6"/>
        <v>107058.00000000003</v>
      </c>
      <c r="I112" s="12">
        <f t="shared" si="4"/>
        <v>0.16416666666666666</v>
      </c>
      <c r="J112" s="12">
        <f t="shared" si="5"/>
        <v>0.15818262411347522</v>
      </c>
    </row>
    <row r="113" spans="1:10" ht="15" customHeight="1">
      <c r="A113" s="14">
        <v>45281</v>
      </c>
      <c r="B113" s="10">
        <v>95</v>
      </c>
      <c r="C113">
        <v>1020</v>
      </c>
      <c r="F113" s="62">
        <v>1</v>
      </c>
      <c r="G113" s="62">
        <v>1</v>
      </c>
      <c r="H113" s="2">
        <f t="shared" si="6"/>
        <v>108078.00000000003</v>
      </c>
      <c r="I113" s="12">
        <f t="shared" si="4"/>
        <v>0.14166666666666666</v>
      </c>
      <c r="J113" s="12">
        <f t="shared" si="5"/>
        <v>0.1580087719298246</v>
      </c>
    </row>
    <row r="114" spans="1:10" ht="15" customHeight="1">
      <c r="A114" s="14">
        <v>45282</v>
      </c>
      <c r="B114" s="10">
        <v>96</v>
      </c>
      <c r="C114">
        <v>1025</v>
      </c>
      <c r="F114" s="62">
        <v>1</v>
      </c>
      <c r="G114" s="62">
        <v>1</v>
      </c>
      <c r="H114" s="2">
        <f t="shared" si="6"/>
        <v>109103.00000000003</v>
      </c>
      <c r="I114" s="12">
        <f t="shared" si="4"/>
        <v>0.1423611111111111</v>
      </c>
      <c r="J114" s="12">
        <f t="shared" si="5"/>
        <v>0.15784577546296299</v>
      </c>
    </row>
    <row r="115" spans="1:10" ht="15" customHeight="1">
      <c r="A115" s="14">
        <v>45283</v>
      </c>
      <c r="B115" s="10">
        <v>97</v>
      </c>
      <c r="C115">
        <v>1020</v>
      </c>
      <c r="F115" s="62">
        <v>1</v>
      </c>
      <c r="G115" s="62">
        <v>1</v>
      </c>
      <c r="H115" s="2">
        <f t="shared" si="6"/>
        <v>110123.00000000003</v>
      </c>
      <c r="I115" s="12">
        <f t="shared" si="4"/>
        <v>0.14166666666666666</v>
      </c>
      <c r="J115" s="12">
        <f t="shared" si="5"/>
        <v>0.1576789805269187</v>
      </c>
    </row>
    <row r="116" spans="1:10" ht="15" customHeight="1">
      <c r="A116" s="14">
        <v>45284</v>
      </c>
      <c r="B116" s="10">
        <v>98</v>
      </c>
      <c r="C116">
        <v>1006</v>
      </c>
      <c r="F116" s="62">
        <v>1</v>
      </c>
      <c r="G116" s="62">
        <v>1</v>
      </c>
      <c r="H116" s="2">
        <f t="shared" si="6"/>
        <v>111129.00000000003</v>
      </c>
      <c r="I116" s="12">
        <f t="shared" si="4"/>
        <v>0.13972222222222222</v>
      </c>
      <c r="J116" s="12">
        <f t="shared" si="5"/>
        <v>0.15749574829931978</v>
      </c>
    </row>
    <row r="117" spans="1:10" ht="15" customHeight="1">
      <c r="A117" s="14">
        <v>45285</v>
      </c>
      <c r="B117" s="10">
        <v>99</v>
      </c>
      <c r="C117">
        <v>1091</v>
      </c>
      <c r="F117" s="62">
        <v>1</v>
      </c>
      <c r="G117" s="62">
        <v>1</v>
      </c>
      <c r="H117" s="2">
        <f t="shared" si="6"/>
        <v>112220.00000000003</v>
      </c>
      <c r="I117" s="12">
        <f t="shared" si="4"/>
        <v>0.15152777777777779</v>
      </c>
      <c r="J117" s="12">
        <f t="shared" si="5"/>
        <v>0.15743546576879913</v>
      </c>
    </row>
    <row r="118" spans="1:10" ht="15" customHeight="1">
      <c r="A118" s="14">
        <v>45286</v>
      </c>
      <c r="B118" s="10">
        <v>100</v>
      </c>
      <c r="C118">
        <v>1069</v>
      </c>
      <c r="F118" s="62">
        <v>1</v>
      </c>
      <c r="G118" s="62">
        <v>1</v>
      </c>
      <c r="H118" s="2">
        <f t="shared" si="6"/>
        <v>113289.00000000003</v>
      </c>
      <c r="I118" s="12">
        <f t="shared" si="4"/>
        <v>0.14847222222222223</v>
      </c>
      <c r="J118" s="12">
        <f t="shared" si="5"/>
        <v>0.15734583333333338</v>
      </c>
    </row>
    <row r="119" spans="1:10" ht="15" customHeight="1">
      <c r="A119" s="14">
        <v>45287</v>
      </c>
      <c r="B119" s="10">
        <v>101</v>
      </c>
      <c r="C119">
        <v>1250</v>
      </c>
      <c r="F119" s="62">
        <v>1</v>
      </c>
      <c r="G119" s="62">
        <v>1</v>
      </c>
      <c r="H119" s="2">
        <f t="shared" si="6"/>
        <v>114539.00000000003</v>
      </c>
      <c r="I119" s="12">
        <f t="shared" si="4"/>
        <v>0.1736111111111111</v>
      </c>
      <c r="J119" s="12">
        <f t="shared" si="5"/>
        <v>0.1575068756875688</v>
      </c>
    </row>
    <row r="120" spans="1:10" ht="15" customHeight="1">
      <c r="A120" s="14">
        <v>45288</v>
      </c>
      <c r="B120" s="10">
        <v>102</v>
      </c>
      <c r="C120">
        <v>1230</v>
      </c>
      <c r="F120" s="62">
        <v>1</v>
      </c>
      <c r="G120" s="62">
        <v>0.85833333333333339</v>
      </c>
      <c r="H120" s="2">
        <f t="shared" si="6"/>
        <v>115769.00000000003</v>
      </c>
      <c r="I120" s="12">
        <f t="shared" si="4"/>
        <v>0.17083333333333334</v>
      </c>
      <c r="J120" s="12">
        <f t="shared" si="5"/>
        <v>0.1576375272331155</v>
      </c>
    </row>
    <row r="121" spans="1:10" ht="15" customHeight="1">
      <c r="A121" s="14">
        <v>45289</v>
      </c>
      <c r="B121" s="10">
        <v>103</v>
      </c>
      <c r="C121">
        <v>1228</v>
      </c>
      <c r="F121" s="62">
        <v>1</v>
      </c>
      <c r="G121" s="62">
        <v>0.94861111111111107</v>
      </c>
      <c r="H121" s="2">
        <f t="shared" si="6"/>
        <v>116997.00000000003</v>
      </c>
      <c r="I121" s="12">
        <f t="shared" si="4"/>
        <v>0.17055555555555554</v>
      </c>
      <c r="J121" s="12">
        <f t="shared" si="5"/>
        <v>0.15776294498381882</v>
      </c>
    </row>
    <row r="122" spans="1:10" ht="15" customHeight="1">
      <c r="A122" s="14">
        <v>45290</v>
      </c>
      <c r="B122" s="10">
        <v>104</v>
      </c>
      <c r="C122">
        <v>854</v>
      </c>
      <c r="F122" s="62">
        <v>1</v>
      </c>
      <c r="G122" s="62">
        <v>0.98888888888888893</v>
      </c>
      <c r="H122" s="2">
        <f t="shared" si="6"/>
        <v>117851.00000000003</v>
      </c>
      <c r="I122" s="12">
        <f t="shared" si="4"/>
        <v>0.11861111111111111</v>
      </c>
      <c r="J122" s="12">
        <f t="shared" si="5"/>
        <v>0.15738648504273509</v>
      </c>
    </row>
    <row r="123" spans="1:10" ht="15" customHeight="1">
      <c r="A123" s="14">
        <v>45291</v>
      </c>
      <c r="B123" s="10">
        <v>105</v>
      </c>
      <c r="C123">
        <v>1089</v>
      </c>
      <c r="F123" s="62">
        <v>1</v>
      </c>
      <c r="G123" s="62">
        <v>1</v>
      </c>
      <c r="H123" s="2">
        <f t="shared" si="6"/>
        <v>118940.00000000003</v>
      </c>
      <c r="I123" s="12">
        <f t="shared" si="4"/>
        <v>0.15125</v>
      </c>
      <c r="J123" s="12">
        <f t="shared" si="5"/>
        <v>0.15732804232804237</v>
      </c>
    </row>
    <row r="124" spans="1:10" ht="15" customHeight="1">
      <c r="A124" s="14">
        <v>45292</v>
      </c>
      <c r="B124" s="10">
        <v>106</v>
      </c>
      <c r="C124">
        <v>1024</v>
      </c>
      <c r="F124" s="62">
        <v>1</v>
      </c>
      <c r="G124" s="62">
        <v>0.81111111111111112</v>
      </c>
      <c r="H124" s="2">
        <f t="shared" si="6"/>
        <v>119964.00000000003</v>
      </c>
      <c r="I124" s="12">
        <f t="shared" si="4"/>
        <v>0.14222222222222222</v>
      </c>
      <c r="J124" s="12">
        <f t="shared" si="5"/>
        <v>0.157185534591195</v>
      </c>
    </row>
    <row r="125" spans="1:10" ht="15" customHeight="1">
      <c r="A125" s="14">
        <v>45293</v>
      </c>
      <c r="B125" s="10">
        <v>107</v>
      </c>
      <c r="C125">
        <v>819</v>
      </c>
      <c r="F125" s="62">
        <v>1</v>
      </c>
      <c r="G125" s="62">
        <v>1</v>
      </c>
      <c r="H125" s="2">
        <f t="shared" si="6"/>
        <v>120783.00000000003</v>
      </c>
      <c r="I125" s="12">
        <f t="shared" si="4"/>
        <v>0.11375</v>
      </c>
      <c r="J125" s="12">
        <f t="shared" si="5"/>
        <v>0.15677959501557637</v>
      </c>
    </row>
    <row r="126" spans="1:10" ht="15" customHeight="1">
      <c r="A126" s="14">
        <v>45294</v>
      </c>
      <c r="B126" s="10">
        <v>108</v>
      </c>
      <c r="C126">
        <v>742</v>
      </c>
      <c r="F126" s="62">
        <v>1</v>
      </c>
      <c r="G126" s="62">
        <v>1</v>
      </c>
      <c r="H126" s="2">
        <f t="shared" si="6"/>
        <v>121525.00000000003</v>
      </c>
      <c r="I126" s="12">
        <f t="shared" si="4"/>
        <v>0.10305555555555555</v>
      </c>
      <c r="J126" s="12">
        <f t="shared" si="5"/>
        <v>0.15628215020576136</v>
      </c>
    </row>
    <row r="127" spans="1:10" ht="15" customHeight="1">
      <c r="A127" s="14">
        <v>45295</v>
      </c>
      <c r="B127" s="10">
        <v>109</v>
      </c>
      <c r="C127">
        <v>622</v>
      </c>
      <c r="F127" s="62">
        <v>1</v>
      </c>
      <c r="G127" s="62">
        <v>1</v>
      </c>
      <c r="H127" s="2">
        <f t="shared" si="6"/>
        <v>122147.00000000003</v>
      </c>
      <c r="I127" s="12">
        <f t="shared" si="4"/>
        <v>8.638888888888889E-2</v>
      </c>
      <c r="J127" s="12">
        <f t="shared" si="5"/>
        <v>0.15564092762487261</v>
      </c>
    </row>
    <row r="128" spans="1:10" ht="15" customHeight="1">
      <c r="A128" s="14">
        <v>45296</v>
      </c>
      <c r="B128" s="10">
        <v>110</v>
      </c>
      <c r="C128">
        <v>655</v>
      </c>
      <c r="F128" s="62">
        <v>1</v>
      </c>
      <c r="G128" s="62">
        <v>1</v>
      </c>
      <c r="H128" s="2">
        <f t="shared" si="6"/>
        <v>122802.00000000003</v>
      </c>
      <c r="I128" s="12">
        <f t="shared" si="4"/>
        <v>9.0972222222222218E-2</v>
      </c>
      <c r="J128" s="12">
        <f t="shared" si="5"/>
        <v>0.15505303030303033</v>
      </c>
    </row>
    <row r="129" spans="1:10" ht="15" customHeight="1">
      <c r="A129" s="14">
        <v>45297</v>
      </c>
      <c r="B129" s="10">
        <v>111</v>
      </c>
      <c r="C129">
        <v>1006</v>
      </c>
      <c r="F129" s="62">
        <v>1</v>
      </c>
      <c r="G129" s="62">
        <v>0.97777777777777786</v>
      </c>
      <c r="H129" s="2">
        <f t="shared" si="6"/>
        <v>123808.00000000003</v>
      </c>
      <c r="I129" s="12">
        <f t="shared" si="4"/>
        <v>0.13972222222222222</v>
      </c>
      <c r="J129" s="12">
        <f t="shared" si="5"/>
        <v>0.15491491491491496</v>
      </c>
    </row>
    <row r="130" spans="1:10" ht="15" customHeight="1">
      <c r="A130" s="14">
        <v>45298</v>
      </c>
      <c r="B130" s="10">
        <v>112</v>
      </c>
      <c r="C130">
        <v>1170</v>
      </c>
      <c r="F130" s="62">
        <v>1</v>
      </c>
      <c r="G130" s="62">
        <v>1</v>
      </c>
      <c r="H130" s="2">
        <f t="shared" si="6"/>
        <v>124978.00000000003</v>
      </c>
      <c r="I130" s="12">
        <f t="shared" si="4"/>
        <v>0.16250000000000001</v>
      </c>
      <c r="J130" s="12">
        <f t="shared" si="5"/>
        <v>0.15498263888888891</v>
      </c>
    </row>
    <row r="131" spans="1:10" ht="15" customHeight="1">
      <c r="A131" s="14">
        <v>45299</v>
      </c>
      <c r="B131" s="10">
        <v>113</v>
      </c>
      <c r="C131">
        <v>1149</v>
      </c>
      <c r="F131" s="62">
        <v>1</v>
      </c>
      <c r="G131" s="62">
        <v>1</v>
      </c>
      <c r="H131" s="2">
        <f t="shared" si="6"/>
        <v>126127.00000000003</v>
      </c>
      <c r="I131" s="12">
        <f t="shared" ref="I131:I194" si="7">C131/(300*24)</f>
        <v>0.15958333333333333</v>
      </c>
      <c r="J131" s="12">
        <f t="shared" ref="J131:J194" si="8">H131/(24*B131*300)</f>
        <v>0.15502335299901676</v>
      </c>
    </row>
    <row r="132" spans="1:10" ht="15" customHeight="1">
      <c r="A132" s="14">
        <v>45300</v>
      </c>
      <c r="B132" s="10">
        <v>114</v>
      </c>
      <c r="C132">
        <v>1010</v>
      </c>
      <c r="F132" s="62">
        <v>1</v>
      </c>
      <c r="G132" s="62">
        <v>1</v>
      </c>
      <c r="H132" s="2">
        <f t="shared" si="6"/>
        <v>127137.00000000003</v>
      </c>
      <c r="I132" s="12">
        <f t="shared" si="7"/>
        <v>0.14027777777777778</v>
      </c>
      <c r="J132" s="12">
        <f t="shared" si="8"/>
        <v>0.15489400584795326</v>
      </c>
    </row>
    <row r="133" spans="1:10" ht="15" customHeight="1">
      <c r="A133" s="14">
        <v>45301</v>
      </c>
      <c r="B133" s="10">
        <v>115</v>
      </c>
      <c r="C133">
        <v>972</v>
      </c>
      <c r="F133" s="62">
        <v>1</v>
      </c>
      <c r="G133" s="62">
        <v>0.81388888888888888</v>
      </c>
      <c r="H133" s="2">
        <f t="shared" si="6"/>
        <v>128109.00000000003</v>
      </c>
      <c r="I133" s="12">
        <f t="shared" si="7"/>
        <v>0.13500000000000001</v>
      </c>
      <c r="J133" s="12">
        <f t="shared" si="8"/>
        <v>0.15472101449275366</v>
      </c>
    </row>
    <row r="134" spans="1:10" ht="15" customHeight="1">
      <c r="A134" s="14">
        <v>45302</v>
      </c>
      <c r="B134" s="10">
        <v>116</v>
      </c>
      <c r="C134">
        <v>1293</v>
      </c>
      <c r="F134" s="62">
        <v>1</v>
      </c>
      <c r="G134" s="62">
        <v>1</v>
      </c>
      <c r="H134" s="2">
        <f t="shared" si="6"/>
        <v>129402.00000000003</v>
      </c>
      <c r="I134" s="12">
        <f t="shared" si="7"/>
        <v>0.17958333333333334</v>
      </c>
      <c r="J134" s="12">
        <f t="shared" si="8"/>
        <v>0.15493534482758625</v>
      </c>
    </row>
    <row r="135" spans="1:10" ht="15" customHeight="1">
      <c r="A135" s="14">
        <v>45303</v>
      </c>
      <c r="B135" s="10">
        <v>117</v>
      </c>
      <c r="C135">
        <v>1239</v>
      </c>
      <c r="F135" s="62">
        <v>1</v>
      </c>
      <c r="G135" s="62">
        <v>1</v>
      </c>
      <c r="H135" s="2">
        <f t="shared" si="6"/>
        <v>130641.00000000003</v>
      </c>
      <c r="I135" s="12">
        <f t="shared" si="7"/>
        <v>0.17208333333333334</v>
      </c>
      <c r="J135" s="12">
        <f t="shared" si="8"/>
        <v>0.15508190883190887</v>
      </c>
    </row>
    <row r="136" spans="1:10" ht="15" customHeight="1">
      <c r="A136" s="14">
        <v>45304</v>
      </c>
      <c r="B136" s="10">
        <v>118</v>
      </c>
      <c r="C136">
        <v>1243</v>
      </c>
      <c r="F136" s="62">
        <v>1</v>
      </c>
      <c r="G136" s="62">
        <v>1</v>
      </c>
      <c r="H136" s="2">
        <f t="shared" si="6"/>
        <v>131884.00000000003</v>
      </c>
      <c r="I136" s="12">
        <f t="shared" si="7"/>
        <v>0.1726388888888889</v>
      </c>
      <c r="J136" s="12">
        <f t="shared" si="8"/>
        <v>0.15523069679849344</v>
      </c>
    </row>
    <row r="137" spans="1:10" ht="15" customHeight="1">
      <c r="A137" s="14">
        <v>45305</v>
      </c>
      <c r="B137" s="10">
        <v>119</v>
      </c>
      <c r="C137">
        <v>1209</v>
      </c>
      <c r="F137" s="62">
        <v>1</v>
      </c>
      <c r="G137" s="62">
        <v>1</v>
      </c>
      <c r="H137" s="2">
        <f t="shared" si="6"/>
        <v>133093.00000000003</v>
      </c>
      <c r="I137" s="12">
        <f t="shared" si="7"/>
        <v>0.16791666666666666</v>
      </c>
      <c r="J137" s="12">
        <f t="shared" si="8"/>
        <v>0.15533730158730163</v>
      </c>
    </row>
    <row r="138" spans="1:10" ht="15" customHeight="1">
      <c r="A138" s="14">
        <v>45306</v>
      </c>
      <c r="B138" s="10">
        <v>120</v>
      </c>
      <c r="C138">
        <v>1224</v>
      </c>
      <c r="F138" s="62">
        <v>1</v>
      </c>
      <c r="G138" s="62">
        <v>1</v>
      </c>
      <c r="H138" s="2">
        <f t="shared" si="6"/>
        <v>134317.00000000003</v>
      </c>
      <c r="I138" s="12">
        <f t="shared" si="7"/>
        <v>0.17</v>
      </c>
      <c r="J138" s="12">
        <f t="shared" si="8"/>
        <v>0.15545949074074078</v>
      </c>
    </row>
    <row r="139" spans="1:10" ht="15" customHeight="1">
      <c r="A139" s="14">
        <v>45307</v>
      </c>
      <c r="B139" s="10">
        <v>121</v>
      </c>
      <c r="C139">
        <v>1254</v>
      </c>
      <c r="F139" s="62">
        <v>1</v>
      </c>
      <c r="G139" s="62">
        <v>1</v>
      </c>
      <c r="H139" s="2">
        <f t="shared" si="6"/>
        <v>135571.00000000003</v>
      </c>
      <c r="I139" s="12">
        <f t="shared" si="7"/>
        <v>0.17416666666666666</v>
      </c>
      <c r="J139" s="12">
        <f t="shared" si="8"/>
        <v>0.15561409550045918</v>
      </c>
    </row>
    <row r="140" spans="1:10" ht="15" customHeight="1">
      <c r="A140" s="14">
        <v>45308</v>
      </c>
      <c r="B140" s="10">
        <v>122</v>
      </c>
      <c r="C140">
        <v>1159</v>
      </c>
      <c r="F140" s="62">
        <v>1</v>
      </c>
      <c r="G140" s="62">
        <v>1</v>
      </c>
      <c r="H140" s="2">
        <f t="shared" si="6"/>
        <v>136730.00000000003</v>
      </c>
      <c r="I140" s="12">
        <f t="shared" si="7"/>
        <v>0.16097222222222221</v>
      </c>
      <c r="J140" s="12">
        <f t="shared" si="8"/>
        <v>0.15565801457194903</v>
      </c>
    </row>
    <row r="141" spans="1:10" ht="15" customHeight="1">
      <c r="A141" s="14">
        <v>45309</v>
      </c>
      <c r="B141" s="10">
        <v>123</v>
      </c>
      <c r="C141">
        <v>208</v>
      </c>
      <c r="F141" s="62">
        <v>1</v>
      </c>
      <c r="G141" s="62">
        <v>0.86944444444444446</v>
      </c>
      <c r="H141" s="2">
        <f t="shared" si="6"/>
        <v>136938.00000000003</v>
      </c>
      <c r="I141" s="12">
        <f t="shared" si="7"/>
        <v>2.8888888888888888E-2</v>
      </c>
      <c r="J141" s="12">
        <f t="shared" si="8"/>
        <v>0.15462737127371276</v>
      </c>
    </row>
    <row r="142" spans="1:10" ht="15" customHeight="1">
      <c r="A142" s="14">
        <v>45310</v>
      </c>
      <c r="B142" s="10">
        <v>124</v>
      </c>
      <c r="C142">
        <v>822</v>
      </c>
      <c r="F142" s="62">
        <v>1</v>
      </c>
      <c r="G142" s="62">
        <v>0.88888888888888884</v>
      </c>
      <c r="H142" s="2">
        <f t="shared" si="6"/>
        <v>137760.00000000003</v>
      </c>
      <c r="I142" s="12">
        <f t="shared" si="7"/>
        <v>0.11416666666666667</v>
      </c>
      <c r="J142" s="12">
        <f t="shared" si="8"/>
        <v>0.15430107526881723</v>
      </c>
    </row>
    <row r="143" spans="1:10" ht="15" customHeight="1">
      <c r="A143" s="14">
        <v>45311</v>
      </c>
      <c r="B143" s="10">
        <v>125</v>
      </c>
      <c r="C143">
        <v>899</v>
      </c>
      <c r="F143" s="62">
        <v>1</v>
      </c>
      <c r="G143" s="62">
        <v>1</v>
      </c>
      <c r="H143" s="2">
        <f t="shared" si="6"/>
        <v>138659.00000000003</v>
      </c>
      <c r="I143" s="12">
        <f t="shared" si="7"/>
        <v>0.12486111111111112</v>
      </c>
      <c r="J143" s="12">
        <f t="shared" si="8"/>
        <v>0.15406555555555559</v>
      </c>
    </row>
    <row r="144" spans="1:10" ht="15" customHeight="1">
      <c r="A144" s="14">
        <v>45312</v>
      </c>
      <c r="B144" s="10">
        <v>126</v>
      </c>
      <c r="C144">
        <v>1121</v>
      </c>
      <c r="F144" s="62">
        <v>1</v>
      </c>
      <c r="G144" s="62">
        <v>1</v>
      </c>
      <c r="H144" s="2">
        <f t="shared" si="6"/>
        <v>139780.00000000003</v>
      </c>
      <c r="I144" s="12">
        <f t="shared" si="7"/>
        <v>0.15569444444444444</v>
      </c>
      <c r="J144" s="12">
        <f t="shared" si="8"/>
        <v>0.15407848324514994</v>
      </c>
    </row>
    <row r="145" spans="1:10" ht="15" customHeight="1">
      <c r="A145" s="14">
        <v>45313</v>
      </c>
      <c r="B145" s="10">
        <v>127</v>
      </c>
      <c r="C145">
        <v>1276</v>
      </c>
      <c r="F145" s="62">
        <v>1</v>
      </c>
      <c r="G145" s="62">
        <v>1</v>
      </c>
      <c r="H145" s="2">
        <f t="shared" si="6"/>
        <v>141056.00000000003</v>
      </c>
      <c r="I145" s="12">
        <f t="shared" si="7"/>
        <v>0.17722222222222223</v>
      </c>
      <c r="J145" s="12">
        <f t="shared" si="8"/>
        <v>0.15426071741032374</v>
      </c>
    </row>
    <row r="146" spans="1:10" ht="15" customHeight="1">
      <c r="A146" s="14">
        <v>45314</v>
      </c>
      <c r="B146" s="10">
        <v>128</v>
      </c>
      <c r="C146">
        <v>1304</v>
      </c>
      <c r="F146" s="62">
        <v>1</v>
      </c>
      <c r="G146" s="62">
        <v>1</v>
      </c>
      <c r="H146" s="2">
        <f t="shared" si="6"/>
        <v>142360.00000000003</v>
      </c>
      <c r="I146" s="12">
        <f t="shared" si="7"/>
        <v>0.18111111111111111</v>
      </c>
      <c r="J146" s="12">
        <f t="shared" si="8"/>
        <v>0.15447048611111114</v>
      </c>
    </row>
    <row r="147" spans="1:10" ht="15" customHeight="1">
      <c r="A147" s="14">
        <v>45315</v>
      </c>
      <c r="B147" s="10">
        <v>129</v>
      </c>
      <c r="C147">
        <v>1388</v>
      </c>
      <c r="F147" s="62">
        <v>1</v>
      </c>
      <c r="G147" s="62">
        <v>1</v>
      </c>
      <c r="H147" s="2">
        <f t="shared" si="6"/>
        <v>143748.00000000003</v>
      </c>
      <c r="I147" s="12">
        <f t="shared" si="7"/>
        <v>0.19277777777777777</v>
      </c>
      <c r="J147" s="12">
        <f t="shared" si="8"/>
        <v>0.15476744186046515</v>
      </c>
    </row>
    <row r="148" spans="1:10" ht="15" customHeight="1">
      <c r="A148" s="14">
        <v>45316</v>
      </c>
      <c r="B148" s="10">
        <v>130</v>
      </c>
      <c r="C148">
        <v>1488</v>
      </c>
      <c r="F148" s="62">
        <v>1</v>
      </c>
      <c r="G148" s="62">
        <v>1</v>
      </c>
      <c r="H148" s="2">
        <f t="shared" si="6"/>
        <v>145236.00000000003</v>
      </c>
      <c r="I148" s="12">
        <f t="shared" si="7"/>
        <v>0.20666666666666667</v>
      </c>
      <c r="J148" s="12">
        <f t="shared" si="8"/>
        <v>0.1551666666666667</v>
      </c>
    </row>
    <row r="149" spans="1:10" ht="15" customHeight="1">
      <c r="A149" s="14">
        <v>45317</v>
      </c>
      <c r="B149" s="10">
        <v>131</v>
      </c>
      <c r="C149">
        <v>1476</v>
      </c>
      <c r="F149" s="62">
        <v>1</v>
      </c>
      <c r="G149" s="62">
        <v>1</v>
      </c>
      <c r="H149" s="2">
        <f t="shared" si="6"/>
        <v>146712.00000000003</v>
      </c>
      <c r="I149" s="12">
        <f t="shared" si="7"/>
        <v>0.20499999999999999</v>
      </c>
      <c r="J149" s="12">
        <f t="shared" si="8"/>
        <v>0.15554707379134863</v>
      </c>
    </row>
    <row r="150" spans="1:10" ht="15" customHeight="1">
      <c r="A150" s="14">
        <v>45318</v>
      </c>
      <c r="B150" s="10">
        <v>132</v>
      </c>
      <c r="C150">
        <v>1327</v>
      </c>
      <c r="F150" s="62">
        <v>1</v>
      </c>
      <c r="G150" s="62">
        <v>1</v>
      </c>
      <c r="H150" s="2">
        <f t="shared" si="6"/>
        <v>148039.00000000003</v>
      </c>
      <c r="I150" s="12">
        <f t="shared" si="7"/>
        <v>0.18430555555555556</v>
      </c>
      <c r="J150" s="12">
        <f t="shared" si="8"/>
        <v>0.1557649410774411</v>
      </c>
    </row>
    <row r="151" spans="1:10" ht="15" customHeight="1">
      <c r="A151" s="14">
        <v>45319</v>
      </c>
      <c r="B151" s="10">
        <v>133</v>
      </c>
      <c r="C151">
        <v>1263</v>
      </c>
      <c r="F151" s="62">
        <v>1</v>
      </c>
      <c r="G151" s="62">
        <v>1</v>
      </c>
      <c r="H151" s="2">
        <f t="shared" si="6"/>
        <v>149302.00000000003</v>
      </c>
      <c r="I151" s="12">
        <f t="shared" si="7"/>
        <v>0.17541666666666667</v>
      </c>
      <c r="J151" s="12">
        <f t="shared" si="8"/>
        <v>0.15591269841269845</v>
      </c>
    </row>
    <row r="152" spans="1:10" ht="15" customHeight="1">
      <c r="A152" s="14">
        <v>45320</v>
      </c>
      <c r="B152" s="10">
        <v>134</v>
      </c>
      <c r="C152">
        <v>1252</v>
      </c>
      <c r="F152" s="62">
        <v>1</v>
      </c>
      <c r="G152" s="62">
        <v>1</v>
      </c>
      <c r="H152" s="2">
        <f t="shared" si="6"/>
        <v>150554.00000000003</v>
      </c>
      <c r="I152" s="12">
        <f t="shared" si="7"/>
        <v>0.1738888888888889</v>
      </c>
      <c r="J152" s="12">
        <f t="shared" si="8"/>
        <v>0.1560468490878939</v>
      </c>
    </row>
    <row r="153" spans="1:10" ht="15" customHeight="1">
      <c r="A153" s="14">
        <v>45321</v>
      </c>
      <c r="B153" s="10">
        <v>135</v>
      </c>
      <c r="C153">
        <v>1447</v>
      </c>
      <c r="F153" s="62">
        <v>1</v>
      </c>
      <c r="G153" s="62">
        <v>1</v>
      </c>
      <c r="H153" s="2">
        <f t="shared" si="6"/>
        <v>152001.00000000003</v>
      </c>
      <c r="I153" s="12">
        <f t="shared" si="7"/>
        <v>0.20097222222222222</v>
      </c>
      <c r="J153" s="12">
        <f t="shared" si="8"/>
        <v>0.15637962962962965</v>
      </c>
    </row>
    <row r="154" spans="1:10" ht="15" customHeight="1">
      <c r="A154" s="14">
        <v>45322</v>
      </c>
      <c r="B154" s="10">
        <v>136</v>
      </c>
      <c r="C154">
        <v>1390</v>
      </c>
      <c r="F154" s="62">
        <v>1</v>
      </c>
      <c r="G154" s="62">
        <v>1</v>
      </c>
      <c r="H154" s="2">
        <f t="shared" si="6"/>
        <v>153391.00000000003</v>
      </c>
      <c r="I154" s="12">
        <f t="shared" si="7"/>
        <v>0.19305555555555556</v>
      </c>
      <c r="J154" s="12">
        <f t="shared" si="8"/>
        <v>0.15664930555555559</v>
      </c>
    </row>
    <row r="155" spans="1:10" ht="15" customHeight="1">
      <c r="A155" s="14">
        <v>45323</v>
      </c>
      <c r="B155" s="10">
        <v>137</v>
      </c>
      <c r="C155">
        <v>1395</v>
      </c>
      <c r="F155" s="62">
        <v>1</v>
      </c>
      <c r="G155" s="62">
        <v>1</v>
      </c>
      <c r="H155" s="2">
        <f t="shared" si="6"/>
        <v>154786.00000000003</v>
      </c>
      <c r="I155" s="12">
        <f t="shared" si="7"/>
        <v>0.19375000000000001</v>
      </c>
      <c r="J155" s="12">
        <f t="shared" si="8"/>
        <v>0.15692011354420116</v>
      </c>
    </row>
    <row r="156" spans="1:10" ht="15" customHeight="1">
      <c r="A156" s="14">
        <v>45324</v>
      </c>
      <c r="B156" s="10">
        <v>138</v>
      </c>
      <c r="C156">
        <v>1396</v>
      </c>
      <c r="F156" s="62">
        <v>1</v>
      </c>
      <c r="G156" s="62">
        <v>1</v>
      </c>
      <c r="H156" s="2">
        <f t="shared" si="6"/>
        <v>156182.00000000003</v>
      </c>
      <c r="I156" s="12">
        <f t="shared" si="7"/>
        <v>0.19388888888888889</v>
      </c>
      <c r="J156" s="12">
        <f t="shared" si="8"/>
        <v>0.15718800322061194</v>
      </c>
    </row>
    <row r="157" spans="1:10" ht="15" customHeight="1">
      <c r="A157" s="14">
        <v>45325</v>
      </c>
      <c r="B157" s="10">
        <v>139</v>
      </c>
      <c r="C157">
        <v>1502</v>
      </c>
      <c r="F157" s="62">
        <v>1</v>
      </c>
      <c r="G157" s="62">
        <v>1</v>
      </c>
      <c r="H157" s="2">
        <f t="shared" si="6"/>
        <v>157684.00000000003</v>
      </c>
      <c r="I157" s="12">
        <f t="shared" si="7"/>
        <v>0.20861111111111111</v>
      </c>
      <c r="J157" s="12">
        <f t="shared" si="8"/>
        <v>0.15755795363709035</v>
      </c>
    </row>
    <row r="158" spans="1:10" ht="15" customHeight="1">
      <c r="A158" s="14">
        <v>45326</v>
      </c>
      <c r="B158" s="10">
        <v>140</v>
      </c>
      <c r="C158">
        <v>1349</v>
      </c>
      <c r="F158" s="62">
        <v>1</v>
      </c>
      <c r="G158" s="62">
        <v>1</v>
      </c>
      <c r="H158" s="2">
        <f t="shared" si="6"/>
        <v>159033.00000000003</v>
      </c>
      <c r="I158" s="12">
        <f t="shared" si="7"/>
        <v>0.18736111111111112</v>
      </c>
      <c r="J158" s="12">
        <f t="shared" si="8"/>
        <v>0.15777083333333336</v>
      </c>
    </row>
    <row r="159" spans="1:10" ht="15" customHeight="1">
      <c r="A159" s="14">
        <v>45327</v>
      </c>
      <c r="B159" s="10">
        <v>141</v>
      </c>
      <c r="C159">
        <v>1375</v>
      </c>
      <c r="F159" s="62">
        <v>1</v>
      </c>
      <c r="G159" s="62">
        <v>1</v>
      </c>
      <c r="H159" s="2">
        <f t="shared" si="6"/>
        <v>160408.00000000003</v>
      </c>
      <c r="I159" s="12">
        <f t="shared" si="7"/>
        <v>0.19097222222222221</v>
      </c>
      <c r="J159" s="12">
        <f t="shared" si="8"/>
        <v>0.15800630417651698</v>
      </c>
    </row>
    <row r="160" spans="1:10" ht="15" customHeight="1">
      <c r="A160" s="14">
        <v>45328</v>
      </c>
      <c r="B160" s="10">
        <v>142</v>
      </c>
      <c r="C160">
        <v>1412</v>
      </c>
      <c r="F160" s="62">
        <v>1</v>
      </c>
      <c r="G160" s="62">
        <v>1</v>
      </c>
      <c r="H160" s="2">
        <f t="shared" si="6"/>
        <v>161820.00000000003</v>
      </c>
      <c r="I160" s="12">
        <f t="shared" si="7"/>
        <v>0.19611111111111112</v>
      </c>
      <c r="J160" s="12">
        <f t="shared" si="8"/>
        <v>0.15827464788732398</v>
      </c>
    </row>
    <row r="161" spans="1:10" ht="15" customHeight="1">
      <c r="A161" s="14">
        <v>45329</v>
      </c>
      <c r="B161" s="10">
        <v>143</v>
      </c>
      <c r="C161">
        <v>1393</v>
      </c>
      <c r="F161" s="62">
        <v>1</v>
      </c>
      <c r="G161" s="62">
        <v>1</v>
      </c>
      <c r="H161" s="2">
        <f t="shared" si="6"/>
        <v>163213.00000000003</v>
      </c>
      <c r="I161" s="12">
        <f t="shared" si="7"/>
        <v>0.19347222222222221</v>
      </c>
      <c r="J161" s="12">
        <f t="shared" si="8"/>
        <v>0.1585207847707848</v>
      </c>
    </row>
    <row r="162" spans="1:10" ht="15" customHeight="1">
      <c r="A162" s="14">
        <v>45330</v>
      </c>
      <c r="B162" s="10">
        <v>144</v>
      </c>
      <c r="C162">
        <v>1187</v>
      </c>
      <c r="F162" s="62">
        <v>1</v>
      </c>
      <c r="G162" s="62">
        <v>1</v>
      </c>
      <c r="H162" s="2">
        <f t="shared" si="6"/>
        <v>164400.00000000003</v>
      </c>
      <c r="I162" s="12">
        <f t="shared" si="7"/>
        <v>0.16486111111111112</v>
      </c>
      <c r="J162" s="12">
        <f t="shared" si="8"/>
        <v>0.15856481481481485</v>
      </c>
    </row>
    <row r="163" spans="1:10" ht="15" customHeight="1">
      <c r="A163" s="14">
        <v>45331</v>
      </c>
      <c r="B163" s="10">
        <v>145</v>
      </c>
      <c r="C163">
        <v>1378</v>
      </c>
      <c r="F163" s="62">
        <v>1</v>
      </c>
      <c r="G163" s="62">
        <v>1</v>
      </c>
      <c r="H163" s="2">
        <f t="shared" si="6"/>
        <v>165778.00000000003</v>
      </c>
      <c r="I163" s="12">
        <f t="shared" si="7"/>
        <v>0.19138888888888889</v>
      </c>
      <c r="J163" s="12">
        <f t="shared" si="8"/>
        <v>0.15879118773946363</v>
      </c>
    </row>
    <row r="164" spans="1:10" ht="15" customHeight="1">
      <c r="A164" s="14">
        <v>45332</v>
      </c>
      <c r="B164" s="10">
        <v>146</v>
      </c>
      <c r="C164">
        <v>1346</v>
      </c>
      <c r="F164" s="62">
        <v>1</v>
      </c>
      <c r="G164" s="62">
        <v>1</v>
      </c>
      <c r="H164" s="2">
        <f t="shared" si="6"/>
        <v>167124.00000000003</v>
      </c>
      <c r="I164" s="12">
        <f t="shared" si="7"/>
        <v>0.18694444444444444</v>
      </c>
      <c r="J164" s="12">
        <f t="shared" si="8"/>
        <v>0.15898401826484021</v>
      </c>
    </row>
    <row r="165" spans="1:10" ht="15" customHeight="1">
      <c r="A165" s="14">
        <v>45333</v>
      </c>
      <c r="B165" s="10">
        <v>147</v>
      </c>
      <c r="C165">
        <v>1429</v>
      </c>
      <c r="F165" s="62">
        <v>1</v>
      </c>
      <c r="G165" s="62">
        <v>1</v>
      </c>
      <c r="H165" s="2">
        <f t="shared" si="6"/>
        <v>168553.00000000003</v>
      </c>
      <c r="I165" s="12">
        <f t="shared" si="7"/>
        <v>0.19847222222222222</v>
      </c>
      <c r="J165" s="12">
        <f t="shared" si="8"/>
        <v>0.15925264550264553</v>
      </c>
    </row>
    <row r="166" spans="1:10" ht="15" customHeight="1">
      <c r="A166" s="14">
        <v>45334</v>
      </c>
      <c r="B166" s="10">
        <v>148</v>
      </c>
      <c r="C166">
        <v>1450</v>
      </c>
      <c r="F166" s="62">
        <v>1</v>
      </c>
      <c r="G166" s="62">
        <v>1</v>
      </c>
      <c r="H166" s="2">
        <f t="shared" si="6"/>
        <v>170003.00000000003</v>
      </c>
      <c r="I166" s="12">
        <f t="shared" si="7"/>
        <v>0.2013888888888889</v>
      </c>
      <c r="J166" s="12">
        <f t="shared" si="8"/>
        <v>0.15953734984984988</v>
      </c>
    </row>
    <row r="167" spans="1:10" ht="15" customHeight="1">
      <c r="A167" s="14">
        <v>45335</v>
      </c>
      <c r="B167" s="10">
        <v>149</v>
      </c>
      <c r="C167">
        <v>1475</v>
      </c>
      <c r="F167" s="62">
        <v>1</v>
      </c>
      <c r="G167" s="62">
        <v>1</v>
      </c>
      <c r="H167" s="2">
        <f t="shared" si="6"/>
        <v>171478.00000000003</v>
      </c>
      <c r="I167" s="12">
        <f t="shared" si="7"/>
        <v>0.2048611111111111</v>
      </c>
      <c r="J167" s="12">
        <f t="shared" si="8"/>
        <v>0.15984153616703956</v>
      </c>
    </row>
    <row r="168" spans="1:10" ht="15" customHeight="1">
      <c r="A168" s="14">
        <v>45336</v>
      </c>
      <c r="B168" s="10">
        <v>150</v>
      </c>
      <c r="C168">
        <v>1216</v>
      </c>
      <c r="F168" s="62">
        <v>1</v>
      </c>
      <c r="G168" s="62">
        <v>1</v>
      </c>
      <c r="H168" s="2">
        <f t="shared" si="6"/>
        <v>172694.00000000003</v>
      </c>
      <c r="I168" s="12">
        <f t="shared" si="7"/>
        <v>0.16888888888888889</v>
      </c>
      <c r="J168" s="12">
        <f t="shared" si="8"/>
        <v>0.15990185185185188</v>
      </c>
    </row>
    <row r="169" spans="1:10" ht="15" customHeight="1">
      <c r="A169" s="14">
        <v>45337</v>
      </c>
      <c r="B169" s="10">
        <v>151</v>
      </c>
      <c r="C169">
        <v>1343</v>
      </c>
      <c r="F169" s="62">
        <v>1</v>
      </c>
      <c r="G169" s="62">
        <v>1</v>
      </c>
      <c r="H169" s="2">
        <f t="shared" si="6"/>
        <v>174037.00000000003</v>
      </c>
      <c r="I169" s="12">
        <f t="shared" si="7"/>
        <v>0.18652777777777776</v>
      </c>
      <c r="J169" s="12">
        <f t="shared" si="8"/>
        <v>0.16007818248712291</v>
      </c>
    </row>
    <row r="170" spans="1:10" ht="15" customHeight="1">
      <c r="A170" s="14">
        <v>45338</v>
      </c>
      <c r="B170" s="10">
        <v>152</v>
      </c>
      <c r="C170">
        <v>1401</v>
      </c>
      <c r="F170" s="62">
        <v>1</v>
      </c>
      <c r="G170" s="62">
        <v>1</v>
      </c>
      <c r="H170" s="2">
        <f t="shared" ref="H170:H214" si="9">C170+H169</f>
        <v>175438.00000000003</v>
      </c>
      <c r="I170" s="12">
        <f t="shared" si="7"/>
        <v>0.19458333333333333</v>
      </c>
      <c r="J170" s="12">
        <f t="shared" si="8"/>
        <v>0.16030519005847957</v>
      </c>
    </row>
    <row r="171" spans="1:10" ht="15" customHeight="1">
      <c r="A171" s="14">
        <v>45339</v>
      </c>
      <c r="B171" s="10">
        <v>153</v>
      </c>
      <c r="C171">
        <v>1217</v>
      </c>
      <c r="F171" s="62">
        <v>1</v>
      </c>
      <c r="G171" s="62">
        <v>1</v>
      </c>
      <c r="H171" s="2">
        <f t="shared" si="9"/>
        <v>176655.00000000003</v>
      </c>
      <c r="I171" s="12">
        <f t="shared" si="7"/>
        <v>0.16902777777777778</v>
      </c>
      <c r="J171" s="12">
        <f t="shared" si="8"/>
        <v>0.16036220043572988</v>
      </c>
    </row>
    <row r="172" spans="1:10" ht="15" customHeight="1">
      <c r="A172" s="14">
        <v>45340</v>
      </c>
      <c r="B172" s="10">
        <v>154</v>
      </c>
      <c r="C172">
        <v>1439</v>
      </c>
      <c r="F172" s="62">
        <v>1</v>
      </c>
      <c r="G172" s="62">
        <v>1</v>
      </c>
      <c r="H172" s="2">
        <f t="shared" si="9"/>
        <v>178094.00000000003</v>
      </c>
      <c r="I172" s="12">
        <f t="shared" si="7"/>
        <v>0.1998611111111111</v>
      </c>
      <c r="J172" s="12">
        <f t="shared" si="8"/>
        <v>0.16061868686868688</v>
      </c>
    </row>
    <row r="173" spans="1:10" ht="15" customHeight="1">
      <c r="A173" s="14">
        <v>45341</v>
      </c>
      <c r="B173" s="10">
        <v>155</v>
      </c>
      <c r="C173">
        <v>1266</v>
      </c>
      <c r="F173" s="62">
        <v>1</v>
      </c>
      <c r="G173" s="62">
        <v>1</v>
      </c>
      <c r="H173" s="2">
        <f t="shared" si="9"/>
        <v>179360.00000000003</v>
      </c>
      <c r="I173" s="12">
        <f t="shared" si="7"/>
        <v>0.17583333333333334</v>
      </c>
      <c r="J173" s="12">
        <f t="shared" si="8"/>
        <v>0.16071684587813623</v>
      </c>
    </row>
    <row r="174" spans="1:10" ht="15" customHeight="1">
      <c r="A174" s="14">
        <v>45342</v>
      </c>
      <c r="B174" s="10">
        <v>156</v>
      </c>
      <c r="C174">
        <v>1144</v>
      </c>
      <c r="F174" s="62">
        <v>1</v>
      </c>
      <c r="G174" s="62">
        <v>1</v>
      </c>
      <c r="H174" s="2">
        <f t="shared" si="9"/>
        <v>180504.00000000003</v>
      </c>
      <c r="I174" s="12">
        <f t="shared" si="7"/>
        <v>0.15888888888888889</v>
      </c>
      <c r="J174" s="12">
        <f t="shared" si="8"/>
        <v>0.16070512820512822</v>
      </c>
    </row>
    <row r="175" spans="1:10" ht="15" customHeight="1">
      <c r="A175" s="14">
        <v>45343</v>
      </c>
      <c r="B175" s="10">
        <v>157</v>
      </c>
      <c r="C175">
        <v>1415</v>
      </c>
      <c r="F175" s="62">
        <v>1</v>
      </c>
      <c r="G175" s="62">
        <v>1</v>
      </c>
      <c r="H175" s="2">
        <f t="shared" si="9"/>
        <v>181919.00000000003</v>
      </c>
      <c r="I175" s="12">
        <f t="shared" si="7"/>
        <v>0.19652777777777777</v>
      </c>
      <c r="J175" s="12">
        <f t="shared" si="8"/>
        <v>0.16093329794762917</v>
      </c>
    </row>
    <row r="176" spans="1:10" ht="15" customHeight="1">
      <c r="A176" s="14">
        <v>45344</v>
      </c>
      <c r="B176" s="10">
        <v>158</v>
      </c>
      <c r="C176">
        <v>1319</v>
      </c>
      <c r="F176" s="62">
        <v>1</v>
      </c>
      <c r="G176" s="62">
        <v>1</v>
      </c>
      <c r="H176" s="2">
        <f t="shared" si="9"/>
        <v>183238.00000000003</v>
      </c>
      <c r="I176" s="12">
        <f t="shared" si="7"/>
        <v>0.18319444444444444</v>
      </c>
      <c r="J176" s="12">
        <f t="shared" si="8"/>
        <v>0.16107419127988751</v>
      </c>
    </row>
    <row r="177" spans="1:10" ht="15" customHeight="1">
      <c r="A177" s="14">
        <v>45345</v>
      </c>
      <c r="B177" s="10">
        <v>159</v>
      </c>
      <c r="C177">
        <v>1216</v>
      </c>
      <c r="F177" s="62">
        <v>1</v>
      </c>
      <c r="G177" s="62">
        <v>0.80277777777777792</v>
      </c>
      <c r="H177" s="2">
        <f t="shared" si="9"/>
        <v>184454.00000000003</v>
      </c>
      <c r="I177" s="12">
        <f t="shared" si="7"/>
        <v>0.16888888888888889</v>
      </c>
      <c r="J177" s="12">
        <f t="shared" si="8"/>
        <v>0.16112334032145356</v>
      </c>
    </row>
    <row r="178" spans="1:10" ht="15" customHeight="1">
      <c r="A178" s="14">
        <v>45346</v>
      </c>
      <c r="B178" s="10">
        <v>160</v>
      </c>
      <c r="C178">
        <v>1571</v>
      </c>
      <c r="F178" s="62">
        <v>1</v>
      </c>
      <c r="G178" s="62">
        <v>1</v>
      </c>
      <c r="H178" s="2">
        <f t="shared" si="9"/>
        <v>186025.00000000003</v>
      </c>
      <c r="I178" s="12">
        <f t="shared" si="7"/>
        <v>0.21819444444444444</v>
      </c>
      <c r="J178" s="12">
        <f t="shared" si="8"/>
        <v>0.16148003472222225</v>
      </c>
    </row>
    <row r="179" spans="1:10" ht="15" customHeight="1">
      <c r="A179" s="14">
        <v>45347</v>
      </c>
      <c r="B179" s="10">
        <v>161</v>
      </c>
      <c r="C179">
        <v>1592</v>
      </c>
      <c r="F179" s="62">
        <v>1</v>
      </c>
      <c r="G179" s="62">
        <v>1</v>
      </c>
      <c r="H179" s="2">
        <f t="shared" si="9"/>
        <v>187617.00000000003</v>
      </c>
      <c r="I179" s="12">
        <f t="shared" si="7"/>
        <v>0.22111111111111112</v>
      </c>
      <c r="J179" s="12">
        <f t="shared" si="8"/>
        <v>0.16185041407867498</v>
      </c>
    </row>
    <row r="180" spans="1:10" ht="15" customHeight="1">
      <c r="A180" s="14">
        <v>45348</v>
      </c>
      <c r="B180" s="10">
        <v>162</v>
      </c>
      <c r="C180">
        <v>1485</v>
      </c>
      <c r="F180" s="62">
        <v>1</v>
      </c>
      <c r="G180" s="62">
        <v>0.9375</v>
      </c>
      <c r="H180" s="2">
        <f t="shared" si="9"/>
        <v>189102.00000000003</v>
      </c>
      <c r="I180" s="12">
        <f t="shared" si="7"/>
        <v>0.20624999999999999</v>
      </c>
      <c r="J180" s="12">
        <f t="shared" si="8"/>
        <v>0.16212448559670783</v>
      </c>
    </row>
    <row r="181" spans="1:10" ht="15" customHeight="1">
      <c r="A181" s="14">
        <v>45349</v>
      </c>
      <c r="B181" s="10">
        <v>163</v>
      </c>
      <c r="C181">
        <v>1366</v>
      </c>
      <c r="F181" s="62">
        <v>1</v>
      </c>
      <c r="G181" s="62">
        <v>0.81944444444444442</v>
      </c>
      <c r="H181" s="2">
        <f t="shared" si="9"/>
        <v>190468.00000000003</v>
      </c>
      <c r="I181" s="12">
        <f t="shared" si="7"/>
        <v>0.18972222222222221</v>
      </c>
      <c r="J181" s="12">
        <f t="shared" si="8"/>
        <v>0.16229379686434903</v>
      </c>
    </row>
    <row r="182" spans="1:10" ht="15" customHeight="1">
      <c r="A182" s="14">
        <v>45350</v>
      </c>
      <c r="B182" s="10">
        <v>164</v>
      </c>
      <c r="C182">
        <v>1399</v>
      </c>
      <c r="F182" s="62">
        <v>1</v>
      </c>
      <c r="G182" s="62">
        <v>1</v>
      </c>
      <c r="H182" s="2">
        <f t="shared" si="9"/>
        <v>191867.00000000003</v>
      </c>
      <c r="I182" s="12">
        <f t="shared" si="7"/>
        <v>0.19430555555555556</v>
      </c>
      <c r="J182" s="12">
        <f t="shared" si="8"/>
        <v>0.16248899051490517</v>
      </c>
    </row>
    <row r="183" spans="1:10" ht="15" customHeight="1">
      <c r="A183" s="14">
        <v>45351</v>
      </c>
      <c r="B183" s="10">
        <v>165</v>
      </c>
      <c r="C183">
        <v>1371</v>
      </c>
      <c r="F183" s="62">
        <v>1</v>
      </c>
      <c r="G183" s="62">
        <v>0.87499999999999989</v>
      </c>
      <c r="H183" s="2">
        <f t="shared" si="9"/>
        <v>193238.00000000003</v>
      </c>
      <c r="I183" s="12">
        <f t="shared" si="7"/>
        <v>0.19041666666666668</v>
      </c>
      <c r="J183" s="12">
        <f t="shared" si="8"/>
        <v>0.1626582491582492</v>
      </c>
    </row>
    <row r="184" spans="1:10" ht="15" customHeight="1">
      <c r="A184" s="14">
        <v>45352</v>
      </c>
      <c r="B184" s="10">
        <v>166</v>
      </c>
      <c r="C184">
        <v>1131</v>
      </c>
      <c r="F184" s="62">
        <v>1</v>
      </c>
      <c r="G184" s="62">
        <v>0.87361111111111112</v>
      </c>
      <c r="H184" s="2">
        <f t="shared" si="9"/>
        <v>194369.00000000003</v>
      </c>
      <c r="I184" s="12">
        <f t="shared" si="7"/>
        <v>0.15708333333333332</v>
      </c>
      <c r="J184" s="12">
        <f t="shared" si="8"/>
        <v>0.16262466532797862</v>
      </c>
    </row>
    <row r="185" spans="1:10" ht="15" customHeight="1">
      <c r="A185" s="14">
        <v>45353</v>
      </c>
      <c r="B185" s="10">
        <v>167</v>
      </c>
      <c r="C185">
        <v>1029</v>
      </c>
      <c r="F185" s="62">
        <v>1</v>
      </c>
      <c r="G185" s="62">
        <v>1</v>
      </c>
      <c r="H185" s="2">
        <f t="shared" si="9"/>
        <v>195398.00000000003</v>
      </c>
      <c r="I185" s="12">
        <f t="shared" si="7"/>
        <v>0.14291666666666666</v>
      </c>
      <c r="J185" s="12">
        <f t="shared" si="8"/>
        <v>0.1625066533599468</v>
      </c>
    </row>
    <row r="186" spans="1:10" ht="15" customHeight="1">
      <c r="A186" s="14">
        <v>45354</v>
      </c>
      <c r="B186" s="10">
        <v>168</v>
      </c>
      <c r="C186">
        <v>1466</v>
      </c>
      <c r="F186" s="62">
        <v>1</v>
      </c>
      <c r="G186" s="62">
        <v>1</v>
      </c>
      <c r="H186" s="2">
        <f t="shared" si="9"/>
        <v>196864.00000000003</v>
      </c>
      <c r="I186" s="12">
        <f t="shared" si="7"/>
        <v>0.2036111111111111</v>
      </c>
      <c r="J186" s="12">
        <f t="shared" si="8"/>
        <v>0.16275132275132279</v>
      </c>
    </row>
    <row r="187" spans="1:10" ht="15" customHeight="1">
      <c r="A187" s="14">
        <v>45355</v>
      </c>
      <c r="B187" s="10">
        <v>169</v>
      </c>
      <c r="C187">
        <v>1466</v>
      </c>
      <c r="F187" s="62">
        <v>1</v>
      </c>
      <c r="G187" s="62">
        <v>1</v>
      </c>
      <c r="H187" s="2">
        <f t="shared" si="9"/>
        <v>198330.00000000003</v>
      </c>
      <c r="I187" s="12">
        <f t="shared" si="7"/>
        <v>0.2036111111111111</v>
      </c>
      <c r="J187" s="12">
        <f t="shared" si="8"/>
        <v>0.16299309664694284</v>
      </c>
    </row>
    <row r="188" spans="1:10" ht="15" customHeight="1">
      <c r="A188" s="14">
        <v>45356</v>
      </c>
      <c r="B188" s="10">
        <v>170</v>
      </c>
      <c r="C188">
        <v>1535</v>
      </c>
      <c r="F188" s="62">
        <v>1</v>
      </c>
      <c r="G188" s="62">
        <v>1</v>
      </c>
      <c r="H188" s="2">
        <f t="shared" si="9"/>
        <v>199865.00000000003</v>
      </c>
      <c r="I188" s="12">
        <f t="shared" si="7"/>
        <v>0.21319444444444444</v>
      </c>
      <c r="J188" s="12">
        <f t="shared" si="8"/>
        <v>0.16328839869281048</v>
      </c>
    </row>
    <row r="189" spans="1:10" ht="15" customHeight="1">
      <c r="A189" s="14">
        <v>45357</v>
      </c>
      <c r="B189" s="10">
        <v>171</v>
      </c>
      <c r="C189">
        <v>1534</v>
      </c>
      <c r="F189" s="62">
        <v>1</v>
      </c>
      <c r="G189" s="62">
        <v>1</v>
      </c>
      <c r="H189" s="2">
        <f t="shared" si="9"/>
        <v>201399.00000000003</v>
      </c>
      <c r="I189" s="12">
        <f t="shared" si="7"/>
        <v>0.21305555555555555</v>
      </c>
      <c r="J189" s="12">
        <f t="shared" si="8"/>
        <v>0.16357943469785577</v>
      </c>
    </row>
    <row r="190" spans="1:10" ht="15" customHeight="1">
      <c r="A190" s="14">
        <v>45358</v>
      </c>
      <c r="B190" s="10">
        <v>172</v>
      </c>
      <c r="C190">
        <v>1591</v>
      </c>
      <c r="F190" s="62">
        <v>1</v>
      </c>
      <c r="G190" s="62">
        <v>1</v>
      </c>
      <c r="H190" s="2">
        <f t="shared" si="9"/>
        <v>202990.00000000003</v>
      </c>
      <c r="I190" s="12">
        <f t="shared" si="7"/>
        <v>0.22097222222222221</v>
      </c>
      <c r="J190" s="12">
        <f t="shared" si="8"/>
        <v>0.16391311369509046</v>
      </c>
    </row>
    <row r="191" spans="1:10" ht="15" customHeight="1">
      <c r="A191" s="14">
        <v>45359</v>
      </c>
      <c r="B191" s="10">
        <v>173</v>
      </c>
      <c r="C191">
        <v>1516</v>
      </c>
      <c r="F191" s="62">
        <v>1</v>
      </c>
      <c r="G191" s="62">
        <v>1</v>
      </c>
      <c r="H191" s="2">
        <f t="shared" si="9"/>
        <v>204506.00000000003</v>
      </c>
      <c r="I191" s="12">
        <f t="shared" si="7"/>
        <v>0.21055555555555555</v>
      </c>
      <c r="J191" s="12">
        <f t="shared" si="8"/>
        <v>0.16418272318561339</v>
      </c>
    </row>
    <row r="192" spans="1:10" ht="15" customHeight="1">
      <c r="A192" s="14">
        <v>45360</v>
      </c>
      <c r="B192" s="10">
        <v>174</v>
      </c>
      <c r="C192">
        <v>1304</v>
      </c>
      <c r="F192" s="62">
        <v>1</v>
      </c>
      <c r="G192" s="62">
        <v>0.88888888888888884</v>
      </c>
      <c r="H192" s="2">
        <f t="shared" si="9"/>
        <v>205810.00000000003</v>
      </c>
      <c r="I192" s="12">
        <f t="shared" si="7"/>
        <v>0.18111111111111111</v>
      </c>
      <c r="J192" s="12">
        <f t="shared" si="8"/>
        <v>0.16428001277139209</v>
      </c>
    </row>
    <row r="193" spans="1:10" ht="15" customHeight="1">
      <c r="A193" s="14">
        <v>45361</v>
      </c>
      <c r="B193" s="10">
        <v>175</v>
      </c>
      <c r="C193">
        <v>1552</v>
      </c>
      <c r="F193" s="62">
        <v>1</v>
      </c>
      <c r="G193" s="62">
        <v>1</v>
      </c>
      <c r="H193" s="2">
        <f t="shared" si="9"/>
        <v>207362.00000000003</v>
      </c>
      <c r="I193" s="12">
        <f t="shared" si="7"/>
        <v>0.21555555555555556</v>
      </c>
      <c r="J193" s="12">
        <f t="shared" si="8"/>
        <v>0.1645730158730159</v>
      </c>
    </row>
    <row r="194" spans="1:10" ht="15" customHeight="1">
      <c r="A194" s="14">
        <v>45362</v>
      </c>
      <c r="B194" s="10">
        <v>176</v>
      </c>
      <c r="C194">
        <v>1461</v>
      </c>
      <c r="F194" s="62">
        <v>1</v>
      </c>
      <c r="G194" s="62">
        <v>1</v>
      </c>
      <c r="H194" s="2">
        <f t="shared" si="9"/>
        <v>208823.00000000003</v>
      </c>
      <c r="I194" s="12">
        <f t="shared" si="7"/>
        <v>0.20291666666666666</v>
      </c>
      <c r="J194" s="12">
        <f t="shared" si="8"/>
        <v>0.16479087752525254</v>
      </c>
    </row>
    <row r="195" spans="1:10" ht="15" customHeight="1">
      <c r="A195" s="14">
        <v>45363</v>
      </c>
      <c r="B195" s="10">
        <v>177</v>
      </c>
      <c r="C195">
        <v>1506</v>
      </c>
      <c r="F195" s="62">
        <v>1</v>
      </c>
      <c r="G195" s="62">
        <v>1</v>
      </c>
      <c r="H195" s="2">
        <f t="shared" si="9"/>
        <v>210329.00000000003</v>
      </c>
      <c r="I195" s="12">
        <f t="shared" ref="I195:I258" si="10">C195/(300*24)</f>
        <v>0.20916666666666667</v>
      </c>
      <c r="J195" s="12">
        <f t="shared" ref="J195:J258" si="11">H195/(24*B195*300)</f>
        <v>0.16504158819836789</v>
      </c>
    </row>
    <row r="196" spans="1:10" ht="15" customHeight="1">
      <c r="A196" s="14">
        <v>45364</v>
      </c>
      <c r="B196" s="10">
        <v>178</v>
      </c>
      <c r="C196">
        <v>1438</v>
      </c>
      <c r="F196" s="62">
        <v>1</v>
      </c>
      <c r="G196" s="62">
        <v>1</v>
      </c>
      <c r="H196" s="2">
        <f t="shared" si="9"/>
        <v>211767.00000000003</v>
      </c>
      <c r="I196" s="12">
        <f t="shared" si="10"/>
        <v>0.19972222222222222</v>
      </c>
      <c r="J196" s="12">
        <f t="shared" si="11"/>
        <v>0.16523642322097382</v>
      </c>
    </row>
    <row r="197" spans="1:10" ht="15" customHeight="1">
      <c r="A197" s="14">
        <v>45365</v>
      </c>
      <c r="B197" s="10">
        <v>179</v>
      </c>
      <c r="C197">
        <v>1483</v>
      </c>
      <c r="F197" s="62">
        <v>1</v>
      </c>
      <c r="G197" s="62">
        <v>1</v>
      </c>
      <c r="H197" s="2">
        <f t="shared" si="9"/>
        <v>213250.00000000003</v>
      </c>
      <c r="I197" s="12">
        <f t="shared" si="10"/>
        <v>0.20597222222222222</v>
      </c>
      <c r="J197" s="12">
        <f t="shared" si="11"/>
        <v>0.16546399751707017</v>
      </c>
    </row>
    <row r="198" spans="1:10" ht="15" customHeight="1">
      <c r="A198" s="14">
        <v>45366</v>
      </c>
      <c r="B198" s="10">
        <v>180</v>
      </c>
      <c r="C198">
        <v>1582</v>
      </c>
      <c r="F198" s="62">
        <v>1</v>
      </c>
      <c r="G198" s="62">
        <v>1</v>
      </c>
      <c r="H198" s="2">
        <f t="shared" si="9"/>
        <v>214832.00000000003</v>
      </c>
      <c r="I198" s="12">
        <f t="shared" si="10"/>
        <v>0.21972222222222224</v>
      </c>
      <c r="J198" s="12">
        <f t="shared" si="11"/>
        <v>0.16576543209876546</v>
      </c>
    </row>
    <row r="199" spans="1:10" ht="15" customHeight="1">
      <c r="A199" s="14">
        <v>45367</v>
      </c>
      <c r="B199" s="10">
        <v>181</v>
      </c>
      <c r="C199">
        <v>1582</v>
      </c>
      <c r="F199" s="62">
        <v>1</v>
      </c>
      <c r="G199" s="62">
        <v>1</v>
      </c>
      <c r="H199" s="2">
        <f t="shared" si="9"/>
        <v>216414.00000000003</v>
      </c>
      <c r="I199" s="12">
        <f t="shared" si="10"/>
        <v>0.21972222222222224</v>
      </c>
      <c r="J199" s="12">
        <f t="shared" si="11"/>
        <v>0.16606353591160222</v>
      </c>
    </row>
    <row r="200" spans="1:10" ht="15" customHeight="1">
      <c r="A200" s="14">
        <v>45368</v>
      </c>
      <c r="B200" s="10">
        <v>182</v>
      </c>
      <c r="C200">
        <v>1476</v>
      </c>
      <c r="F200" s="62">
        <v>1</v>
      </c>
      <c r="G200" s="62">
        <v>1</v>
      </c>
      <c r="H200" s="2">
        <f t="shared" si="9"/>
        <v>217890.00000000003</v>
      </c>
      <c r="I200" s="12">
        <f t="shared" si="10"/>
        <v>0.20499999999999999</v>
      </c>
      <c r="J200" s="12">
        <f t="shared" si="11"/>
        <v>0.16627747252747255</v>
      </c>
    </row>
    <row r="201" spans="1:10" ht="15" customHeight="1">
      <c r="A201" s="14">
        <v>45369</v>
      </c>
      <c r="B201" s="10">
        <v>183</v>
      </c>
      <c r="C201">
        <v>1488</v>
      </c>
      <c r="F201" s="62">
        <v>1</v>
      </c>
      <c r="G201" s="62">
        <v>1</v>
      </c>
      <c r="H201" s="2">
        <f t="shared" si="9"/>
        <v>219378.00000000003</v>
      </c>
      <c r="I201" s="12">
        <f t="shared" si="10"/>
        <v>0.20666666666666667</v>
      </c>
      <c r="J201" s="12">
        <f t="shared" si="11"/>
        <v>0.16649817850637524</v>
      </c>
    </row>
    <row r="202" spans="1:10" ht="15" customHeight="1">
      <c r="A202" s="14">
        <v>45370</v>
      </c>
      <c r="B202" s="10">
        <v>184</v>
      </c>
      <c r="C202">
        <v>1553</v>
      </c>
      <c r="F202" s="62">
        <v>1</v>
      </c>
      <c r="G202" s="62">
        <v>1</v>
      </c>
      <c r="H202" s="2">
        <f t="shared" si="9"/>
        <v>220931.00000000003</v>
      </c>
      <c r="I202" s="12">
        <f t="shared" si="10"/>
        <v>0.21569444444444444</v>
      </c>
      <c r="J202" s="12">
        <f t="shared" si="11"/>
        <v>0.16676554951690822</v>
      </c>
    </row>
    <row r="203" spans="1:10" ht="15" customHeight="1">
      <c r="A203" s="14">
        <v>45371</v>
      </c>
      <c r="B203" s="10">
        <v>185</v>
      </c>
      <c r="C203">
        <v>1494</v>
      </c>
      <c r="F203" s="62">
        <v>1</v>
      </c>
      <c r="G203" s="62">
        <v>1</v>
      </c>
      <c r="H203" s="2">
        <f t="shared" si="9"/>
        <v>222425.00000000003</v>
      </c>
      <c r="I203" s="12">
        <f t="shared" si="10"/>
        <v>0.20749999999999999</v>
      </c>
      <c r="J203" s="12">
        <f t="shared" si="11"/>
        <v>0.16698573573573575</v>
      </c>
    </row>
    <row r="204" spans="1:10" ht="15" customHeight="1">
      <c r="A204" s="14">
        <v>45372</v>
      </c>
      <c r="B204" s="10">
        <v>186</v>
      </c>
      <c r="C204">
        <v>1505.6</v>
      </c>
      <c r="F204" s="62">
        <v>1</v>
      </c>
      <c r="G204" s="62">
        <v>1</v>
      </c>
      <c r="H204" s="2">
        <f t="shared" si="9"/>
        <v>223930.60000000003</v>
      </c>
      <c r="I204" s="12">
        <f t="shared" si="10"/>
        <v>0.20911111111111111</v>
      </c>
      <c r="J204" s="12">
        <f t="shared" si="11"/>
        <v>0.1672122162485066</v>
      </c>
    </row>
    <row r="205" spans="1:10" ht="15" customHeight="1">
      <c r="A205" s="14">
        <v>45373</v>
      </c>
      <c r="B205" s="10">
        <v>187</v>
      </c>
      <c r="C205">
        <v>1561.3000000000002</v>
      </c>
      <c r="F205" s="62">
        <v>1</v>
      </c>
      <c r="G205" s="62">
        <v>1</v>
      </c>
      <c r="H205" s="2">
        <f t="shared" si="9"/>
        <v>225491.90000000002</v>
      </c>
      <c r="I205" s="12">
        <f t="shared" si="10"/>
        <v>0.21684722222222225</v>
      </c>
      <c r="J205" s="12">
        <f t="shared" si="11"/>
        <v>0.16747764408793822</v>
      </c>
    </row>
    <row r="206" spans="1:10" ht="15" customHeight="1">
      <c r="A206" s="14">
        <v>45374</v>
      </c>
      <c r="B206" s="10">
        <v>188</v>
      </c>
      <c r="C206">
        <v>1510</v>
      </c>
      <c r="F206" s="62">
        <v>1</v>
      </c>
      <c r="G206" s="62">
        <v>1</v>
      </c>
      <c r="H206" s="2">
        <f t="shared" si="9"/>
        <v>227001.90000000002</v>
      </c>
      <c r="I206" s="12">
        <f t="shared" si="10"/>
        <v>0.20972222222222223</v>
      </c>
      <c r="J206" s="12">
        <f t="shared" si="11"/>
        <v>0.16770234929078015</v>
      </c>
    </row>
    <row r="207" spans="1:10" ht="15" customHeight="1">
      <c r="A207" s="14">
        <v>45375</v>
      </c>
      <c r="B207" s="10">
        <v>189</v>
      </c>
      <c r="C207">
        <v>1494</v>
      </c>
      <c r="F207" s="62">
        <v>1</v>
      </c>
      <c r="G207" s="62">
        <v>1</v>
      </c>
      <c r="H207" s="2">
        <f t="shared" si="9"/>
        <v>228495.90000000002</v>
      </c>
      <c r="I207" s="12">
        <f t="shared" si="10"/>
        <v>0.20749999999999999</v>
      </c>
      <c r="J207" s="12">
        <f t="shared" si="11"/>
        <v>0.16791291887125223</v>
      </c>
    </row>
    <row r="208" spans="1:10" ht="15" customHeight="1">
      <c r="A208" s="14">
        <v>45376</v>
      </c>
      <c r="B208" s="10">
        <v>190</v>
      </c>
      <c r="C208">
        <v>1567</v>
      </c>
      <c r="F208" s="62">
        <v>1</v>
      </c>
      <c r="G208" s="62">
        <v>1</v>
      </c>
      <c r="H208" s="2">
        <f t="shared" si="9"/>
        <v>230062.90000000002</v>
      </c>
      <c r="I208" s="12">
        <f t="shared" si="10"/>
        <v>0.21763888888888888</v>
      </c>
      <c r="J208" s="12">
        <f t="shared" si="11"/>
        <v>0.168174634502924</v>
      </c>
    </row>
    <row r="209" spans="1:10" ht="15" customHeight="1">
      <c r="A209" s="14">
        <v>45377</v>
      </c>
      <c r="B209" s="10">
        <v>191</v>
      </c>
      <c r="C209">
        <v>1520</v>
      </c>
      <c r="F209" s="62">
        <v>1</v>
      </c>
      <c r="G209" s="62">
        <v>1</v>
      </c>
      <c r="H209" s="2">
        <f t="shared" si="9"/>
        <v>231582.90000000002</v>
      </c>
      <c r="I209" s="12">
        <f t="shared" si="10"/>
        <v>0.21111111111111111</v>
      </c>
      <c r="J209" s="12">
        <f t="shared" si="11"/>
        <v>0.16839943280977315</v>
      </c>
    </row>
    <row r="210" spans="1:10" ht="15" customHeight="1">
      <c r="A210" s="14">
        <v>45378</v>
      </c>
      <c r="B210" s="10">
        <v>192</v>
      </c>
      <c r="C210">
        <v>1501</v>
      </c>
      <c r="F210" s="62">
        <v>1</v>
      </c>
      <c r="G210" s="62">
        <v>1</v>
      </c>
      <c r="H210" s="2">
        <f t="shared" si="9"/>
        <v>233083.90000000002</v>
      </c>
      <c r="I210" s="12">
        <f t="shared" si="10"/>
        <v>0.20847222222222223</v>
      </c>
      <c r="J210" s="12">
        <f t="shared" si="11"/>
        <v>0.16860814525462964</v>
      </c>
    </row>
    <row r="211" spans="1:10" ht="15" customHeight="1">
      <c r="A211" s="14">
        <v>45379</v>
      </c>
      <c r="B211" s="10">
        <v>193</v>
      </c>
      <c r="C211">
        <v>1407</v>
      </c>
      <c r="F211" s="62">
        <v>1</v>
      </c>
      <c r="G211" s="62">
        <v>1</v>
      </c>
      <c r="H211" s="2">
        <f t="shared" si="9"/>
        <v>234490.90000000002</v>
      </c>
      <c r="I211" s="12">
        <f t="shared" si="10"/>
        <v>0.19541666666666666</v>
      </c>
      <c r="J211" s="12">
        <f t="shared" si="11"/>
        <v>0.16874704951065056</v>
      </c>
    </row>
    <row r="212" spans="1:10" ht="15" customHeight="1">
      <c r="A212" s="14">
        <v>45380</v>
      </c>
      <c r="B212" s="10">
        <v>194</v>
      </c>
      <c r="C212">
        <v>1585</v>
      </c>
      <c r="F212" s="62">
        <v>1</v>
      </c>
      <c r="G212" s="62">
        <v>1</v>
      </c>
      <c r="H212" s="2">
        <f t="shared" si="9"/>
        <v>236075.90000000002</v>
      </c>
      <c r="I212" s="12">
        <f t="shared" si="10"/>
        <v>0.22013888888888888</v>
      </c>
      <c r="J212" s="12">
        <f t="shared" si="11"/>
        <v>0.16901195589919818</v>
      </c>
    </row>
    <row r="213" spans="1:10" ht="15" customHeight="1">
      <c r="A213" s="14">
        <v>45381</v>
      </c>
      <c r="B213" s="10">
        <v>195</v>
      </c>
      <c r="C213">
        <v>1556</v>
      </c>
      <c r="F213" s="62">
        <v>1</v>
      </c>
      <c r="G213" s="62">
        <v>1</v>
      </c>
      <c r="H213" s="2">
        <f t="shared" si="9"/>
        <v>237631.90000000002</v>
      </c>
      <c r="I213" s="12">
        <f t="shared" si="10"/>
        <v>0.21611111111111111</v>
      </c>
      <c r="J213" s="12">
        <f t="shared" si="11"/>
        <v>0.16925349002849005</v>
      </c>
    </row>
    <row r="214" spans="1:10" ht="15" customHeight="1">
      <c r="A214" s="14">
        <v>45382</v>
      </c>
      <c r="B214" s="10">
        <v>196</v>
      </c>
      <c r="C214">
        <v>1581</v>
      </c>
      <c r="F214" s="62">
        <v>1</v>
      </c>
      <c r="G214" s="62">
        <v>1</v>
      </c>
      <c r="H214" s="2">
        <f t="shared" si="9"/>
        <v>239212.90000000002</v>
      </c>
      <c r="I214" s="12">
        <f t="shared" si="10"/>
        <v>0.21958333333333332</v>
      </c>
      <c r="J214" s="12">
        <f t="shared" si="11"/>
        <v>0.16951027494331067</v>
      </c>
    </row>
    <row r="215" spans="1:10" ht="15" customHeight="1">
      <c r="A215" s="14">
        <v>45383</v>
      </c>
      <c r="B215" s="10">
        <f>VLOOKUP(A215,'BADI SID DATA'!A:B,2,0)</f>
        <v>1</v>
      </c>
      <c r="C215" s="4">
        <v>1466</v>
      </c>
      <c r="D215" s="3"/>
      <c r="E215" s="3"/>
      <c r="F215" s="65">
        <v>1</v>
      </c>
      <c r="G215" s="65">
        <v>0.77083333333333337</v>
      </c>
      <c r="H215" s="2">
        <f>C215</f>
        <v>1466</v>
      </c>
      <c r="I215" s="12">
        <f t="shared" si="10"/>
        <v>0.2036111111111111</v>
      </c>
      <c r="J215" s="12">
        <f t="shared" si="11"/>
        <v>0.2036111111111111</v>
      </c>
    </row>
    <row r="216" spans="1:10" ht="15" customHeight="1">
      <c r="A216" s="14">
        <v>45384</v>
      </c>
      <c r="B216" s="10">
        <f>VLOOKUP(A216,'BADI SID DATA'!A:B,2,0)</f>
        <v>2</v>
      </c>
      <c r="C216" s="4">
        <v>1585</v>
      </c>
      <c r="D216" s="3"/>
      <c r="E216" s="3"/>
      <c r="F216" s="65">
        <v>1</v>
      </c>
      <c r="G216" s="65">
        <v>1</v>
      </c>
      <c r="H216" s="2">
        <f t="shared" ref="H216:H279" si="12">C216+H215</f>
        <v>3051</v>
      </c>
      <c r="I216" s="12">
        <f t="shared" si="10"/>
        <v>0.22013888888888888</v>
      </c>
      <c r="J216" s="12">
        <f t="shared" si="11"/>
        <v>0.21187500000000001</v>
      </c>
    </row>
    <row r="217" spans="1:10" ht="15" customHeight="1">
      <c r="A217" s="14">
        <v>45385</v>
      </c>
      <c r="B217" s="10">
        <f>VLOOKUP(A217,'BADI SID DATA'!A:B,2,0)</f>
        <v>3</v>
      </c>
      <c r="C217" s="4">
        <v>1293</v>
      </c>
      <c r="D217" s="3"/>
      <c r="E217" s="3"/>
      <c r="F217" s="65">
        <v>1</v>
      </c>
      <c r="G217" s="65">
        <v>1</v>
      </c>
      <c r="H217" s="2">
        <f t="shared" si="12"/>
        <v>4344</v>
      </c>
      <c r="I217" s="12">
        <f t="shared" si="10"/>
        <v>0.17958333333333334</v>
      </c>
      <c r="J217" s="12">
        <f t="shared" si="11"/>
        <v>0.2011111111111111</v>
      </c>
    </row>
    <row r="218" spans="1:10" ht="15" customHeight="1">
      <c r="A218" s="14">
        <v>45386</v>
      </c>
      <c r="B218" s="10">
        <f>VLOOKUP(A218,'BADI SID DATA'!A:B,2,0)</f>
        <v>4</v>
      </c>
      <c r="C218" s="4">
        <v>1610</v>
      </c>
      <c r="D218" s="3"/>
      <c r="E218" s="3"/>
      <c r="F218" s="65">
        <v>1</v>
      </c>
      <c r="G218" s="65">
        <v>1</v>
      </c>
      <c r="H218" s="2">
        <f t="shared" si="12"/>
        <v>5954</v>
      </c>
      <c r="I218" s="12">
        <f t="shared" si="10"/>
        <v>0.22361111111111112</v>
      </c>
      <c r="J218" s="12">
        <f t="shared" si="11"/>
        <v>0.20673611111111112</v>
      </c>
    </row>
    <row r="219" spans="1:10" ht="15" customHeight="1">
      <c r="A219" s="14">
        <v>45387</v>
      </c>
      <c r="B219" s="10">
        <f>VLOOKUP(A219,'BADI SID DATA'!A:B,2,0)</f>
        <v>5</v>
      </c>
      <c r="C219" s="4">
        <v>1616</v>
      </c>
      <c r="D219" s="3"/>
      <c r="E219" s="3"/>
      <c r="F219" s="65">
        <v>1</v>
      </c>
      <c r="G219" s="65">
        <v>1</v>
      </c>
      <c r="H219" s="2">
        <f t="shared" si="12"/>
        <v>7570</v>
      </c>
      <c r="I219" s="12">
        <f t="shared" si="10"/>
        <v>0.22444444444444445</v>
      </c>
      <c r="J219" s="12">
        <f t="shared" si="11"/>
        <v>0.21027777777777779</v>
      </c>
    </row>
    <row r="220" spans="1:10" ht="15" customHeight="1">
      <c r="A220" s="14">
        <v>45388</v>
      </c>
      <c r="B220" s="10">
        <f>VLOOKUP(A220,'BADI SID DATA'!A:B,2,0)</f>
        <v>6</v>
      </c>
      <c r="C220" s="4">
        <v>1430</v>
      </c>
      <c r="D220" s="3"/>
      <c r="E220" s="3"/>
      <c r="F220" s="65">
        <v>1</v>
      </c>
      <c r="G220" s="65">
        <v>0.78472222222222221</v>
      </c>
      <c r="H220" s="2">
        <f t="shared" si="12"/>
        <v>9000</v>
      </c>
      <c r="I220" s="12">
        <f t="shared" si="10"/>
        <v>0.1986111111111111</v>
      </c>
      <c r="J220" s="12">
        <f t="shared" si="11"/>
        <v>0.20833333333333334</v>
      </c>
    </row>
    <row r="221" spans="1:10" ht="15" customHeight="1">
      <c r="A221" s="14">
        <v>45389</v>
      </c>
      <c r="B221" s="10">
        <f>VLOOKUP(A221,'BADI SID DATA'!A:B,2,0)</f>
        <v>7</v>
      </c>
      <c r="C221" s="4">
        <v>1280</v>
      </c>
      <c r="D221" s="3"/>
      <c r="E221" s="3"/>
      <c r="F221" s="65">
        <v>1</v>
      </c>
      <c r="G221" s="65">
        <v>0.86388888888888893</v>
      </c>
      <c r="H221" s="2">
        <f t="shared" si="12"/>
        <v>10280</v>
      </c>
      <c r="I221" s="12">
        <f t="shared" si="10"/>
        <v>0.17777777777777778</v>
      </c>
      <c r="J221" s="12">
        <f t="shared" si="11"/>
        <v>0.20396825396825397</v>
      </c>
    </row>
    <row r="222" spans="1:10" ht="15" customHeight="1">
      <c r="A222" s="14">
        <v>45390</v>
      </c>
      <c r="B222" s="10">
        <f>VLOOKUP(A222,'BADI SID DATA'!A:B,2,0)</f>
        <v>8</v>
      </c>
      <c r="C222" s="4">
        <v>1548</v>
      </c>
      <c r="D222" s="3"/>
      <c r="E222" s="3"/>
      <c r="F222" s="65">
        <v>1</v>
      </c>
      <c r="G222" s="65">
        <v>1</v>
      </c>
      <c r="H222" s="2">
        <f t="shared" si="12"/>
        <v>11828</v>
      </c>
      <c r="I222" s="12">
        <f t="shared" si="10"/>
        <v>0.215</v>
      </c>
      <c r="J222" s="12">
        <f t="shared" si="11"/>
        <v>0.20534722222222221</v>
      </c>
    </row>
    <row r="223" spans="1:10" ht="15" customHeight="1">
      <c r="A223" s="14">
        <v>45391</v>
      </c>
      <c r="B223" s="10">
        <f>VLOOKUP(A223,'BADI SID DATA'!A:B,2,0)</f>
        <v>9</v>
      </c>
      <c r="C223" s="4">
        <v>1599</v>
      </c>
      <c r="D223" s="3"/>
      <c r="E223" s="3"/>
      <c r="F223" s="65">
        <v>1</v>
      </c>
      <c r="G223" s="65">
        <v>1</v>
      </c>
      <c r="H223" s="2">
        <f t="shared" si="12"/>
        <v>13427</v>
      </c>
      <c r="I223" s="12">
        <f t="shared" si="10"/>
        <v>0.22208333333333333</v>
      </c>
      <c r="J223" s="12">
        <f t="shared" si="11"/>
        <v>0.2072067901234568</v>
      </c>
    </row>
    <row r="224" spans="1:10" ht="15" customHeight="1">
      <c r="A224" s="14">
        <v>45392</v>
      </c>
      <c r="B224" s="10">
        <f>VLOOKUP(A224,'BADI SID DATA'!A:B,2,0)</f>
        <v>10</v>
      </c>
      <c r="C224" s="4">
        <v>1566</v>
      </c>
      <c r="D224" s="3"/>
      <c r="E224" s="3"/>
      <c r="F224" s="65">
        <v>1</v>
      </c>
      <c r="G224" s="65">
        <v>1</v>
      </c>
      <c r="H224" s="2">
        <f t="shared" si="12"/>
        <v>14993</v>
      </c>
      <c r="I224" s="12">
        <f t="shared" si="10"/>
        <v>0.2175</v>
      </c>
      <c r="J224" s="12">
        <f t="shared" si="11"/>
        <v>0.20823611111111112</v>
      </c>
    </row>
    <row r="225" spans="1:10" ht="15" customHeight="1">
      <c r="A225" s="14">
        <v>45393</v>
      </c>
      <c r="B225" s="10">
        <f>VLOOKUP(A225,'BADI SID DATA'!A:B,2,0)</f>
        <v>11</v>
      </c>
      <c r="C225" s="4">
        <v>1301</v>
      </c>
      <c r="D225" s="3"/>
      <c r="E225" s="3"/>
      <c r="F225" s="65">
        <v>1</v>
      </c>
      <c r="G225" s="65">
        <v>0.9013888888888888</v>
      </c>
      <c r="H225" s="2">
        <f t="shared" si="12"/>
        <v>16294</v>
      </c>
      <c r="I225" s="12">
        <f t="shared" si="10"/>
        <v>0.18069444444444444</v>
      </c>
      <c r="J225" s="12">
        <f t="shared" si="11"/>
        <v>0.20573232323232324</v>
      </c>
    </row>
    <row r="226" spans="1:10" ht="15" customHeight="1">
      <c r="A226" s="14">
        <v>45394</v>
      </c>
      <c r="B226" s="10">
        <f>VLOOKUP(A226,'BADI SID DATA'!A:B,2,0)</f>
        <v>12</v>
      </c>
      <c r="C226" s="4">
        <v>1563</v>
      </c>
      <c r="D226" s="3"/>
      <c r="E226" s="3"/>
      <c r="F226" s="65">
        <v>1</v>
      </c>
      <c r="G226" s="65">
        <v>1</v>
      </c>
      <c r="H226" s="2">
        <f t="shared" si="12"/>
        <v>17857</v>
      </c>
      <c r="I226" s="12">
        <f t="shared" si="10"/>
        <v>0.21708333333333332</v>
      </c>
      <c r="J226" s="12">
        <f t="shared" si="11"/>
        <v>0.20667824074074073</v>
      </c>
    </row>
    <row r="227" spans="1:10" ht="15" customHeight="1">
      <c r="A227" s="14">
        <v>45395</v>
      </c>
      <c r="B227" s="10">
        <f>VLOOKUP(A227,'BADI SID DATA'!A:B,2,0)</f>
        <v>13</v>
      </c>
      <c r="C227" s="4">
        <v>1369</v>
      </c>
      <c r="D227" s="3"/>
      <c r="E227" s="3"/>
      <c r="F227" s="65">
        <v>1</v>
      </c>
      <c r="G227" s="65">
        <v>0.98888888888888893</v>
      </c>
      <c r="H227" s="2">
        <f t="shared" si="12"/>
        <v>19226</v>
      </c>
      <c r="I227" s="12">
        <f t="shared" si="10"/>
        <v>0.19013888888888889</v>
      </c>
      <c r="J227" s="12">
        <f t="shared" si="11"/>
        <v>0.20540598290598291</v>
      </c>
    </row>
    <row r="228" spans="1:10" ht="15" customHeight="1">
      <c r="A228" s="14">
        <v>45396</v>
      </c>
      <c r="B228" s="10">
        <f>VLOOKUP(A228,'BADI SID DATA'!A:B,2,0)</f>
        <v>14</v>
      </c>
      <c r="C228" s="4">
        <v>823</v>
      </c>
      <c r="D228" s="3"/>
      <c r="E228" s="3"/>
      <c r="F228" s="65">
        <v>1</v>
      </c>
      <c r="G228" s="65">
        <v>0.82638888888888884</v>
      </c>
      <c r="H228" s="2">
        <f t="shared" si="12"/>
        <v>20049</v>
      </c>
      <c r="I228" s="12">
        <f t="shared" si="10"/>
        <v>0.11430555555555555</v>
      </c>
      <c r="J228" s="12">
        <f t="shared" si="11"/>
        <v>0.19889880952380953</v>
      </c>
    </row>
    <row r="229" spans="1:10" ht="15" customHeight="1">
      <c r="A229" s="14">
        <v>45397</v>
      </c>
      <c r="B229" s="10">
        <f>VLOOKUP(A229,'BADI SID DATA'!A:B,2,0)</f>
        <v>15</v>
      </c>
      <c r="C229" s="4">
        <v>1488</v>
      </c>
      <c r="D229" s="3"/>
      <c r="E229" s="3"/>
      <c r="F229" s="65">
        <v>1</v>
      </c>
      <c r="G229" s="65">
        <v>1</v>
      </c>
      <c r="H229" s="2">
        <f t="shared" si="12"/>
        <v>21537</v>
      </c>
      <c r="I229" s="12">
        <f t="shared" si="10"/>
        <v>0.20666666666666667</v>
      </c>
      <c r="J229" s="12">
        <f t="shared" si="11"/>
        <v>0.19941666666666666</v>
      </c>
    </row>
    <row r="230" spans="1:10" ht="15" customHeight="1">
      <c r="A230" s="14">
        <v>45398</v>
      </c>
      <c r="B230" s="10">
        <f>VLOOKUP(A230,'BADI SID DATA'!A:B,2,0)</f>
        <v>16</v>
      </c>
      <c r="C230" s="4">
        <v>1426</v>
      </c>
      <c r="D230" s="3"/>
      <c r="E230" s="3"/>
      <c r="F230" s="65">
        <v>1</v>
      </c>
      <c r="G230" s="65">
        <v>1</v>
      </c>
      <c r="H230" s="2">
        <f t="shared" si="12"/>
        <v>22963</v>
      </c>
      <c r="I230" s="12">
        <f t="shared" si="10"/>
        <v>0.19805555555555557</v>
      </c>
      <c r="J230" s="12">
        <f t="shared" si="11"/>
        <v>0.19933159722222221</v>
      </c>
    </row>
    <row r="231" spans="1:10" ht="15" customHeight="1">
      <c r="A231" s="14">
        <v>45399</v>
      </c>
      <c r="B231" s="10">
        <f>VLOOKUP(A231,'BADI SID DATA'!A:B,2,0)</f>
        <v>17</v>
      </c>
      <c r="C231" s="4">
        <v>1527</v>
      </c>
      <c r="D231" s="3"/>
      <c r="E231" s="3"/>
      <c r="F231" s="65">
        <v>1</v>
      </c>
      <c r="G231" s="65">
        <v>1</v>
      </c>
      <c r="H231" s="2">
        <f t="shared" si="12"/>
        <v>24490</v>
      </c>
      <c r="I231" s="12">
        <f t="shared" si="10"/>
        <v>0.21208333333333335</v>
      </c>
      <c r="J231" s="12">
        <f t="shared" si="11"/>
        <v>0.20008169934640524</v>
      </c>
    </row>
    <row r="232" spans="1:10" ht="15" customHeight="1">
      <c r="A232" s="14">
        <v>45400</v>
      </c>
      <c r="B232" s="10">
        <f>VLOOKUP(A232,'BADI SID DATA'!A:B,2,0)</f>
        <v>18</v>
      </c>
      <c r="C232" s="4">
        <v>1536</v>
      </c>
      <c r="D232" s="3"/>
      <c r="E232" s="3"/>
      <c r="F232" s="65">
        <v>1</v>
      </c>
      <c r="G232" s="65">
        <v>1</v>
      </c>
      <c r="H232" s="2">
        <f t="shared" si="12"/>
        <v>26026</v>
      </c>
      <c r="I232" s="12">
        <f t="shared" si="10"/>
        <v>0.21333333333333335</v>
      </c>
      <c r="J232" s="12">
        <f t="shared" si="11"/>
        <v>0.20081790123456791</v>
      </c>
    </row>
    <row r="233" spans="1:10" ht="15" customHeight="1">
      <c r="A233" s="14">
        <v>45401</v>
      </c>
      <c r="B233" s="10">
        <f>VLOOKUP(A233,'BADI SID DATA'!A:B,2,0)</f>
        <v>19</v>
      </c>
      <c r="C233" s="4">
        <v>1442</v>
      </c>
      <c r="D233" s="3"/>
      <c r="E233" s="3"/>
      <c r="F233" s="65">
        <v>1</v>
      </c>
      <c r="G233" s="65">
        <v>0.79861111111111116</v>
      </c>
      <c r="H233" s="2">
        <f t="shared" si="12"/>
        <v>27468</v>
      </c>
      <c r="I233" s="12">
        <f t="shared" si="10"/>
        <v>0.20027777777777778</v>
      </c>
      <c r="J233" s="12">
        <f t="shared" si="11"/>
        <v>0.20078947368421052</v>
      </c>
    </row>
    <row r="234" spans="1:10" ht="15" customHeight="1">
      <c r="A234" s="14">
        <v>45402</v>
      </c>
      <c r="B234" s="10">
        <f>VLOOKUP(A234,'BADI SID DATA'!A:B,2,0)</f>
        <v>20</v>
      </c>
      <c r="C234" s="4">
        <v>1455</v>
      </c>
      <c r="D234" s="3"/>
      <c r="E234" s="3"/>
      <c r="F234" s="65">
        <v>1</v>
      </c>
      <c r="G234" s="65">
        <v>0.8041666666666667</v>
      </c>
      <c r="H234" s="2">
        <f t="shared" si="12"/>
        <v>28923</v>
      </c>
      <c r="I234" s="12">
        <f t="shared" si="10"/>
        <v>0.20208333333333334</v>
      </c>
      <c r="J234" s="12">
        <f t="shared" si="11"/>
        <v>0.20085416666666667</v>
      </c>
    </row>
    <row r="235" spans="1:10" ht="15" customHeight="1">
      <c r="A235" s="14">
        <v>45403</v>
      </c>
      <c r="B235" s="10">
        <f>VLOOKUP(A235,'BADI SID DATA'!A:B,2,0)</f>
        <v>21</v>
      </c>
      <c r="C235" s="4">
        <v>350</v>
      </c>
      <c r="D235" s="3"/>
      <c r="E235" s="3"/>
      <c r="F235" s="65">
        <v>1</v>
      </c>
      <c r="G235" s="65">
        <v>0.19444444444444431</v>
      </c>
      <c r="H235" s="2">
        <f t="shared" si="12"/>
        <v>29273</v>
      </c>
      <c r="I235" s="12">
        <f t="shared" si="10"/>
        <v>4.8611111111111112E-2</v>
      </c>
      <c r="J235" s="12">
        <f t="shared" si="11"/>
        <v>0.19360449735449736</v>
      </c>
    </row>
    <row r="236" spans="1:10" ht="15" customHeight="1">
      <c r="A236" s="14">
        <v>45404</v>
      </c>
      <c r="B236" s="10">
        <f>VLOOKUP(A236,'BADI SID DATA'!A:B,2,0)</f>
        <v>22</v>
      </c>
      <c r="C236" s="4">
        <v>549</v>
      </c>
      <c r="D236" s="3"/>
      <c r="E236" s="3"/>
      <c r="F236" s="65">
        <v>1</v>
      </c>
      <c r="G236" s="65">
        <v>0.38055555555555554</v>
      </c>
      <c r="H236" s="2">
        <f t="shared" si="12"/>
        <v>29822</v>
      </c>
      <c r="I236" s="12">
        <f t="shared" si="10"/>
        <v>7.6249999999999998E-2</v>
      </c>
      <c r="J236" s="12">
        <f t="shared" si="11"/>
        <v>0.18827020202020203</v>
      </c>
    </row>
    <row r="237" spans="1:10" ht="15" customHeight="1">
      <c r="A237" s="14">
        <v>45405</v>
      </c>
      <c r="B237" s="10">
        <f>VLOOKUP(A237,'BADI SID DATA'!A:B,2,0)</f>
        <v>23</v>
      </c>
      <c r="C237" s="4">
        <v>1462</v>
      </c>
      <c r="D237" s="3"/>
      <c r="E237" s="3"/>
      <c r="F237" s="65">
        <v>1</v>
      </c>
      <c r="G237" s="65">
        <v>0.75138888888888888</v>
      </c>
      <c r="H237" s="2">
        <f t="shared" si="12"/>
        <v>31284</v>
      </c>
      <c r="I237" s="12">
        <f t="shared" si="10"/>
        <v>0.20305555555555554</v>
      </c>
      <c r="J237" s="12">
        <f t="shared" si="11"/>
        <v>0.18891304347826088</v>
      </c>
    </row>
    <row r="238" spans="1:10" ht="15" customHeight="1">
      <c r="A238" s="14">
        <v>45406</v>
      </c>
      <c r="B238" s="10">
        <f>VLOOKUP(A238,'BADI SID DATA'!A:B,2,0)</f>
        <v>24</v>
      </c>
      <c r="C238" s="4">
        <v>1356</v>
      </c>
      <c r="D238" s="3"/>
      <c r="E238" s="3"/>
      <c r="F238" s="65">
        <v>1</v>
      </c>
      <c r="G238" s="65">
        <v>0.81527777777777777</v>
      </c>
      <c r="H238" s="2">
        <f t="shared" si="12"/>
        <v>32640</v>
      </c>
      <c r="I238" s="12">
        <f t="shared" si="10"/>
        <v>0.18833333333333332</v>
      </c>
      <c r="J238" s="12">
        <f t="shared" si="11"/>
        <v>0.18888888888888888</v>
      </c>
    </row>
    <row r="239" spans="1:10" ht="15" customHeight="1">
      <c r="A239" s="14">
        <v>45407</v>
      </c>
      <c r="B239" s="10">
        <f>VLOOKUP(A239,'BADI SID DATA'!A:B,2,0)</f>
        <v>25</v>
      </c>
      <c r="C239" s="4">
        <v>1578</v>
      </c>
      <c r="D239" s="3"/>
      <c r="E239" s="3"/>
      <c r="F239" s="65">
        <v>1</v>
      </c>
      <c r="G239" s="65">
        <v>1</v>
      </c>
      <c r="H239" s="2">
        <f t="shared" si="12"/>
        <v>34218</v>
      </c>
      <c r="I239" s="12">
        <f t="shared" si="10"/>
        <v>0.21916666666666668</v>
      </c>
      <c r="J239" s="12">
        <f t="shared" si="11"/>
        <v>0.19009999999999999</v>
      </c>
    </row>
    <row r="240" spans="1:10" ht="15" customHeight="1">
      <c r="A240" s="14">
        <v>45408</v>
      </c>
      <c r="B240" s="10">
        <f>VLOOKUP(A240,'BADI SID DATA'!A:B,2,0)</f>
        <v>26</v>
      </c>
      <c r="C240" s="4">
        <v>1295</v>
      </c>
      <c r="D240" s="3"/>
      <c r="E240" s="3"/>
      <c r="F240" s="65">
        <v>1</v>
      </c>
      <c r="G240" s="65">
        <v>0.9736111111111112</v>
      </c>
      <c r="H240" s="2">
        <f t="shared" si="12"/>
        <v>35513</v>
      </c>
      <c r="I240" s="12">
        <f t="shared" si="10"/>
        <v>0.17986111111111111</v>
      </c>
      <c r="J240" s="12">
        <f t="shared" si="11"/>
        <v>0.18970619658119658</v>
      </c>
    </row>
    <row r="241" spans="1:10" ht="15" customHeight="1">
      <c r="A241" s="14">
        <v>45409</v>
      </c>
      <c r="B241" s="10">
        <f>VLOOKUP(A241,'BADI SID DATA'!A:B,2,0)</f>
        <v>27</v>
      </c>
      <c r="C241" s="4">
        <v>788</v>
      </c>
      <c r="D241" s="3"/>
      <c r="E241" s="3"/>
      <c r="F241" s="65">
        <v>1</v>
      </c>
      <c r="G241" s="65">
        <v>0.64583333333333337</v>
      </c>
      <c r="H241" s="2">
        <f t="shared" si="12"/>
        <v>36301</v>
      </c>
      <c r="I241" s="12">
        <f t="shared" si="10"/>
        <v>0.10944444444444444</v>
      </c>
      <c r="J241" s="12">
        <f t="shared" si="11"/>
        <v>0.18673353909465021</v>
      </c>
    </row>
    <row r="242" spans="1:10" ht="15" customHeight="1">
      <c r="A242" s="14">
        <v>45410</v>
      </c>
      <c r="B242" s="10">
        <f>VLOOKUP(A242,'BADI SID DATA'!A:B,2,0)</f>
        <v>28</v>
      </c>
      <c r="C242" s="4">
        <v>1267</v>
      </c>
      <c r="D242" s="3"/>
      <c r="E242" s="3"/>
      <c r="F242" s="65">
        <v>1</v>
      </c>
      <c r="G242" s="65">
        <v>0.70694444444444449</v>
      </c>
      <c r="H242" s="2">
        <f t="shared" si="12"/>
        <v>37568</v>
      </c>
      <c r="I242" s="12">
        <f t="shared" si="10"/>
        <v>0.17597222222222222</v>
      </c>
      <c r="J242" s="12">
        <f t="shared" si="11"/>
        <v>0.18634920634920635</v>
      </c>
    </row>
    <row r="243" spans="1:10" ht="15" customHeight="1">
      <c r="A243" s="14">
        <v>45411</v>
      </c>
      <c r="B243" s="10">
        <f>VLOOKUP(A243,'BADI SID DATA'!A:B,2,0)</f>
        <v>29</v>
      </c>
      <c r="C243" s="4">
        <v>1246</v>
      </c>
      <c r="D243" s="3"/>
      <c r="E243" s="3"/>
      <c r="F243" s="65">
        <v>1</v>
      </c>
      <c r="G243" s="65">
        <v>1</v>
      </c>
      <c r="H243" s="2">
        <f t="shared" si="12"/>
        <v>38814</v>
      </c>
      <c r="I243" s="12">
        <f t="shared" si="10"/>
        <v>0.17305555555555555</v>
      </c>
      <c r="J243" s="12">
        <f t="shared" si="11"/>
        <v>0.18589080459770116</v>
      </c>
    </row>
    <row r="244" spans="1:10" ht="15" customHeight="1">
      <c r="A244" s="14">
        <v>45412</v>
      </c>
      <c r="B244" s="10">
        <f>VLOOKUP(A244,'BADI SID DATA'!A:B,2,0)</f>
        <v>30</v>
      </c>
      <c r="C244" s="4">
        <v>888</v>
      </c>
      <c r="D244" s="3"/>
      <c r="E244" s="3"/>
      <c r="F244" s="65">
        <v>1</v>
      </c>
      <c r="G244" s="65">
        <v>0.83194444444444449</v>
      </c>
      <c r="H244" s="2">
        <f t="shared" si="12"/>
        <v>39702</v>
      </c>
      <c r="I244" s="12">
        <f t="shared" si="10"/>
        <v>0.12333333333333334</v>
      </c>
      <c r="J244" s="12">
        <f t="shared" si="11"/>
        <v>0.18380555555555556</v>
      </c>
    </row>
    <row r="245" spans="1:10" ht="15" customHeight="1">
      <c r="A245" s="14">
        <v>45413</v>
      </c>
      <c r="B245" s="10">
        <f>VLOOKUP(A245,'BADI SID DATA'!A:B,2,0)</f>
        <v>31</v>
      </c>
      <c r="C245" s="4">
        <v>1305</v>
      </c>
      <c r="D245" s="3"/>
      <c r="E245" s="3"/>
      <c r="F245" s="65">
        <v>1</v>
      </c>
      <c r="G245" s="65">
        <v>0.74027777777777781</v>
      </c>
      <c r="H245" s="2">
        <f t="shared" si="12"/>
        <v>41007</v>
      </c>
      <c r="I245" s="12">
        <f t="shared" si="10"/>
        <v>0.18124999999999999</v>
      </c>
      <c r="J245" s="12">
        <f t="shared" si="11"/>
        <v>0.18372311827956989</v>
      </c>
    </row>
    <row r="246" spans="1:10" ht="15" customHeight="1">
      <c r="A246" s="14">
        <v>45414</v>
      </c>
      <c r="B246" s="10">
        <f>VLOOKUP(A246,'BADI SID DATA'!A:B,2,0)</f>
        <v>32</v>
      </c>
      <c r="C246" s="4">
        <v>902</v>
      </c>
      <c r="D246" s="3"/>
      <c r="E246" s="3"/>
      <c r="F246" s="65">
        <v>1</v>
      </c>
      <c r="G246" s="65">
        <v>0.4902777777777777</v>
      </c>
      <c r="H246" s="2">
        <f t="shared" si="12"/>
        <v>41909</v>
      </c>
      <c r="I246" s="12">
        <f t="shared" si="10"/>
        <v>0.12527777777777777</v>
      </c>
      <c r="J246" s="12">
        <f t="shared" si="11"/>
        <v>0.18189670138888889</v>
      </c>
    </row>
    <row r="247" spans="1:10" ht="15" customHeight="1">
      <c r="A247" s="14">
        <v>45415</v>
      </c>
      <c r="B247" s="10">
        <f>VLOOKUP(A247,'BADI SID DATA'!A:B,2,0)</f>
        <v>33</v>
      </c>
      <c r="C247" s="4">
        <v>1432</v>
      </c>
      <c r="D247" s="3"/>
      <c r="E247" s="3"/>
      <c r="F247" s="65">
        <v>1</v>
      </c>
      <c r="G247" s="65">
        <v>0.79166666666666663</v>
      </c>
      <c r="H247" s="2">
        <f t="shared" si="12"/>
        <v>43341</v>
      </c>
      <c r="I247" s="12">
        <f t="shared" si="10"/>
        <v>0.19888888888888889</v>
      </c>
      <c r="J247" s="12">
        <f t="shared" si="11"/>
        <v>0.18241161616161616</v>
      </c>
    </row>
    <row r="248" spans="1:10" ht="15" customHeight="1">
      <c r="A248" s="14">
        <v>45416</v>
      </c>
      <c r="B248" s="10">
        <f>VLOOKUP(A248,'BADI SID DATA'!A:B,2,0)</f>
        <v>34</v>
      </c>
      <c r="C248" s="4">
        <v>1520</v>
      </c>
      <c r="D248" s="3"/>
      <c r="E248" s="3"/>
      <c r="F248" s="65">
        <v>1</v>
      </c>
      <c r="G248" s="65">
        <v>1</v>
      </c>
      <c r="H248" s="2">
        <f t="shared" si="12"/>
        <v>44861</v>
      </c>
      <c r="I248" s="12">
        <f t="shared" si="10"/>
        <v>0.21111111111111111</v>
      </c>
      <c r="J248" s="12">
        <f t="shared" si="11"/>
        <v>0.18325571895424836</v>
      </c>
    </row>
    <row r="249" spans="1:10" ht="15" customHeight="1">
      <c r="A249" s="14">
        <v>45417</v>
      </c>
      <c r="B249" s="10">
        <f>VLOOKUP(A249,'BADI SID DATA'!A:B,2,0)</f>
        <v>35</v>
      </c>
      <c r="C249" s="4">
        <v>1389</v>
      </c>
      <c r="D249" s="3"/>
      <c r="E249" s="3"/>
      <c r="F249" s="65">
        <v>1</v>
      </c>
      <c r="G249" s="65">
        <v>0.83472222222222214</v>
      </c>
      <c r="H249" s="2">
        <f t="shared" si="12"/>
        <v>46250</v>
      </c>
      <c r="I249" s="12">
        <f t="shared" si="10"/>
        <v>0.19291666666666665</v>
      </c>
      <c r="J249" s="12">
        <f t="shared" si="11"/>
        <v>0.18353174603174602</v>
      </c>
    </row>
    <row r="250" spans="1:10" ht="15" customHeight="1">
      <c r="A250" s="14">
        <v>45418</v>
      </c>
      <c r="B250" s="10">
        <f>VLOOKUP(A250,'BADI SID DATA'!A:B,2,0)</f>
        <v>36</v>
      </c>
      <c r="C250" s="4">
        <v>1537</v>
      </c>
      <c r="D250" s="3"/>
      <c r="E250" s="3"/>
      <c r="F250" s="65">
        <v>1</v>
      </c>
      <c r="G250" s="65">
        <v>1</v>
      </c>
      <c r="H250" s="2">
        <f t="shared" si="12"/>
        <v>47787</v>
      </c>
      <c r="I250" s="12">
        <f t="shared" si="10"/>
        <v>0.21347222222222223</v>
      </c>
      <c r="J250" s="12">
        <f t="shared" si="11"/>
        <v>0.18436342592592592</v>
      </c>
    </row>
    <row r="251" spans="1:10" ht="15" customHeight="1">
      <c r="A251" s="14">
        <v>45419</v>
      </c>
      <c r="B251" s="10">
        <f>VLOOKUP(A251,'BADI SID DATA'!A:B,2,0)</f>
        <v>37</v>
      </c>
      <c r="C251" s="4">
        <v>1266</v>
      </c>
      <c r="D251" s="3"/>
      <c r="E251" s="3"/>
      <c r="F251" s="65">
        <v>1</v>
      </c>
      <c r="G251" s="65">
        <v>1</v>
      </c>
      <c r="H251" s="2">
        <f t="shared" si="12"/>
        <v>49053</v>
      </c>
      <c r="I251" s="12">
        <f t="shared" si="10"/>
        <v>0.17583333333333334</v>
      </c>
      <c r="J251" s="12">
        <f t="shared" si="11"/>
        <v>0.18413288288288288</v>
      </c>
    </row>
    <row r="252" spans="1:10" ht="15" customHeight="1">
      <c r="A252" s="14">
        <v>45420</v>
      </c>
      <c r="B252" s="10">
        <f>VLOOKUP(A252,'BADI SID DATA'!A:B,2,0)</f>
        <v>38</v>
      </c>
      <c r="C252" s="4">
        <v>1178</v>
      </c>
      <c r="D252" s="3"/>
      <c r="E252" s="3"/>
      <c r="F252" s="65">
        <v>1</v>
      </c>
      <c r="G252" s="65">
        <v>0.86249999999999982</v>
      </c>
      <c r="H252" s="2">
        <f t="shared" si="12"/>
        <v>50231</v>
      </c>
      <c r="I252" s="12">
        <f t="shared" si="10"/>
        <v>0.16361111111111112</v>
      </c>
      <c r="J252" s="12">
        <f t="shared" si="11"/>
        <v>0.18359283625730993</v>
      </c>
    </row>
    <row r="253" spans="1:10" ht="15" customHeight="1">
      <c r="A253" s="14">
        <v>45421</v>
      </c>
      <c r="B253" s="10">
        <f>VLOOKUP(A253,'BADI SID DATA'!A:B,2,0)</f>
        <v>39</v>
      </c>
      <c r="C253" s="4">
        <v>1497</v>
      </c>
      <c r="D253" s="3"/>
      <c r="E253" s="3"/>
      <c r="F253" s="65">
        <v>1</v>
      </c>
      <c r="G253" s="65">
        <v>1</v>
      </c>
      <c r="H253" s="2">
        <f t="shared" si="12"/>
        <v>51728</v>
      </c>
      <c r="I253" s="12">
        <f t="shared" si="10"/>
        <v>0.20791666666666667</v>
      </c>
      <c r="J253" s="12">
        <f t="shared" si="11"/>
        <v>0.18421652421652421</v>
      </c>
    </row>
    <row r="254" spans="1:10" ht="15" customHeight="1">
      <c r="A254" s="14">
        <v>45422</v>
      </c>
      <c r="B254" s="10">
        <f>VLOOKUP(A254,'BADI SID DATA'!A:B,2,0)</f>
        <v>40</v>
      </c>
      <c r="C254" s="4">
        <v>1147</v>
      </c>
      <c r="D254" s="3"/>
      <c r="E254" s="3"/>
      <c r="F254" s="65">
        <v>1</v>
      </c>
      <c r="G254" s="65">
        <v>1</v>
      </c>
      <c r="H254" s="2">
        <f t="shared" si="12"/>
        <v>52875</v>
      </c>
      <c r="I254" s="12">
        <f t="shared" si="10"/>
        <v>0.15930555555555556</v>
      </c>
      <c r="J254" s="12">
        <f t="shared" si="11"/>
        <v>0.18359375</v>
      </c>
    </row>
    <row r="255" spans="1:10" ht="15" customHeight="1">
      <c r="A255" s="14">
        <v>45423</v>
      </c>
      <c r="B255" s="10">
        <f>VLOOKUP(A255,'BADI SID DATA'!A:B,2,0)</f>
        <v>41</v>
      </c>
      <c r="C255" s="4">
        <v>1483</v>
      </c>
      <c r="D255" s="3"/>
      <c r="E255" s="3"/>
      <c r="F255" s="65">
        <v>1</v>
      </c>
      <c r="G255" s="65">
        <v>1</v>
      </c>
      <c r="H255" s="2">
        <f t="shared" si="12"/>
        <v>54358</v>
      </c>
      <c r="I255" s="12">
        <f t="shared" si="10"/>
        <v>0.20597222222222222</v>
      </c>
      <c r="J255" s="12">
        <f t="shared" si="11"/>
        <v>0.18413956639566395</v>
      </c>
    </row>
    <row r="256" spans="1:10" ht="15" customHeight="1">
      <c r="A256" s="14">
        <v>45424</v>
      </c>
      <c r="B256" s="10">
        <f>VLOOKUP(A256,'BADI SID DATA'!A:B,2,0)</f>
        <v>42</v>
      </c>
      <c r="C256" s="4">
        <v>1063</v>
      </c>
      <c r="D256" s="3"/>
      <c r="E256" s="3"/>
      <c r="F256" s="65">
        <v>1</v>
      </c>
      <c r="G256" s="65">
        <v>0.66666666666666674</v>
      </c>
      <c r="H256" s="2">
        <f t="shared" si="12"/>
        <v>55421</v>
      </c>
      <c r="I256" s="12">
        <f t="shared" si="10"/>
        <v>0.14763888888888888</v>
      </c>
      <c r="J256" s="12">
        <f t="shared" si="11"/>
        <v>0.18327050264550265</v>
      </c>
    </row>
    <row r="257" spans="1:10" ht="15" customHeight="1">
      <c r="A257" s="14">
        <v>45425</v>
      </c>
      <c r="B257" s="10">
        <f>VLOOKUP(A257,'BADI SID DATA'!A:B,2,0)</f>
        <v>43</v>
      </c>
      <c r="C257" s="4">
        <v>1485</v>
      </c>
      <c r="D257" s="3"/>
      <c r="E257" s="3"/>
      <c r="F257" s="65">
        <v>1</v>
      </c>
      <c r="G257" s="65">
        <v>0.78472222222222221</v>
      </c>
      <c r="H257" s="2">
        <f t="shared" si="12"/>
        <v>56906</v>
      </c>
      <c r="I257" s="12">
        <f t="shared" si="10"/>
        <v>0.20624999999999999</v>
      </c>
      <c r="J257" s="12">
        <f t="shared" si="11"/>
        <v>0.18380490956072351</v>
      </c>
    </row>
    <row r="258" spans="1:10" ht="15" customHeight="1">
      <c r="A258" s="14">
        <v>45426</v>
      </c>
      <c r="B258" s="10">
        <f>VLOOKUP(A258,'BADI SID DATA'!A:B,2,0)</f>
        <v>44</v>
      </c>
      <c r="C258" s="4">
        <v>1478</v>
      </c>
      <c r="D258" s="3"/>
      <c r="E258" s="3"/>
      <c r="F258" s="65">
        <v>1</v>
      </c>
      <c r="G258" s="65">
        <v>1</v>
      </c>
      <c r="H258" s="2">
        <f t="shared" si="12"/>
        <v>58384</v>
      </c>
      <c r="I258" s="12">
        <f t="shared" si="10"/>
        <v>0.20527777777777778</v>
      </c>
      <c r="J258" s="12">
        <f t="shared" si="11"/>
        <v>0.18429292929292929</v>
      </c>
    </row>
    <row r="259" spans="1:10" ht="15" customHeight="1">
      <c r="A259" s="14">
        <v>45427</v>
      </c>
      <c r="B259" s="10">
        <f>VLOOKUP(A259,'BADI SID DATA'!A:B,2,0)</f>
        <v>45</v>
      </c>
      <c r="C259" s="4">
        <v>1550</v>
      </c>
      <c r="D259" s="3"/>
      <c r="E259" s="3"/>
      <c r="F259" s="65">
        <v>1</v>
      </c>
      <c r="G259" s="65">
        <v>1</v>
      </c>
      <c r="H259" s="2">
        <f t="shared" si="12"/>
        <v>59934</v>
      </c>
      <c r="I259" s="12">
        <f t="shared" ref="I259:I322" si="13">C259/(300*24)</f>
        <v>0.21527777777777779</v>
      </c>
      <c r="J259" s="12">
        <f t="shared" ref="J259:J322" si="14">H259/(24*B259*300)</f>
        <v>0.18498148148148147</v>
      </c>
    </row>
    <row r="260" spans="1:10" ht="15" customHeight="1">
      <c r="A260" s="14">
        <v>45428</v>
      </c>
      <c r="B260" s="10">
        <f>VLOOKUP(A260,'BADI SID DATA'!A:B,2,0)</f>
        <v>46</v>
      </c>
      <c r="C260" s="4">
        <v>1505.7</v>
      </c>
      <c r="D260" s="3"/>
      <c r="E260" s="3"/>
      <c r="F260" s="65">
        <v>1</v>
      </c>
      <c r="G260" s="65">
        <v>0.85</v>
      </c>
      <c r="H260" s="2">
        <f t="shared" si="12"/>
        <v>61439.7</v>
      </c>
      <c r="I260" s="12">
        <f t="shared" si="13"/>
        <v>0.20912500000000001</v>
      </c>
      <c r="J260" s="12">
        <f t="shared" si="14"/>
        <v>0.18550634057971013</v>
      </c>
    </row>
    <row r="261" spans="1:10" ht="15" customHeight="1">
      <c r="A261" s="14">
        <v>45429</v>
      </c>
      <c r="B261" s="10">
        <f>VLOOKUP(A261,'BADI SID DATA'!A:B,2,0)</f>
        <v>47</v>
      </c>
      <c r="C261" s="4">
        <v>1561.6000000000001</v>
      </c>
      <c r="D261" s="3"/>
      <c r="E261" s="3"/>
      <c r="F261" s="65">
        <v>1</v>
      </c>
      <c r="G261" s="65">
        <v>1</v>
      </c>
      <c r="H261" s="2">
        <f t="shared" si="12"/>
        <v>63001.299999999996</v>
      </c>
      <c r="I261" s="12">
        <f t="shared" si="13"/>
        <v>0.21688888888888891</v>
      </c>
      <c r="J261" s="12">
        <f t="shared" si="14"/>
        <v>0.18617405437352244</v>
      </c>
    </row>
    <row r="262" spans="1:10" ht="15" customHeight="1">
      <c r="A262" s="14">
        <v>45430</v>
      </c>
      <c r="B262" s="10">
        <f>VLOOKUP(A262,'BADI SID DATA'!A:B,2,0)</f>
        <v>48</v>
      </c>
      <c r="C262" s="4">
        <v>868.30000000000007</v>
      </c>
      <c r="D262" s="3"/>
      <c r="E262" s="3"/>
      <c r="F262" s="65">
        <v>1</v>
      </c>
      <c r="G262" s="65">
        <v>0.79861111111111116</v>
      </c>
      <c r="H262" s="2">
        <f t="shared" si="12"/>
        <v>63869.599999999999</v>
      </c>
      <c r="I262" s="12">
        <f t="shared" si="13"/>
        <v>0.12059722222222223</v>
      </c>
      <c r="J262" s="12">
        <f t="shared" si="14"/>
        <v>0.18480787037037036</v>
      </c>
    </row>
    <row r="263" spans="1:10" ht="15" customHeight="1">
      <c r="A263" s="14">
        <v>45431</v>
      </c>
      <c r="B263" s="10">
        <f>VLOOKUP(A263,'BADI SID DATA'!A:B,2,0)</f>
        <v>49</v>
      </c>
      <c r="C263" s="4">
        <v>185.39999999999998</v>
      </c>
      <c r="D263" s="3"/>
      <c r="E263" s="3"/>
      <c r="F263" s="65">
        <v>1</v>
      </c>
      <c r="G263" s="65">
        <v>0.97916666666666652</v>
      </c>
      <c r="H263" s="2">
        <f t="shared" si="12"/>
        <v>64055</v>
      </c>
      <c r="I263" s="12">
        <f t="shared" si="13"/>
        <v>2.5749999999999995E-2</v>
      </c>
      <c r="J263" s="12">
        <f t="shared" si="14"/>
        <v>0.18156179138321996</v>
      </c>
    </row>
    <row r="264" spans="1:10" ht="15" customHeight="1">
      <c r="A264" s="14">
        <v>45432</v>
      </c>
      <c r="B264" s="10">
        <f>VLOOKUP(A264,'BADI SID DATA'!A:B,2,0)</f>
        <v>50</v>
      </c>
      <c r="C264" s="4">
        <v>361</v>
      </c>
      <c r="D264" s="3"/>
      <c r="E264" s="3"/>
      <c r="F264" s="65">
        <v>1</v>
      </c>
      <c r="G264" s="65">
        <v>1</v>
      </c>
      <c r="H264" s="2">
        <f t="shared" si="12"/>
        <v>64416</v>
      </c>
      <c r="I264" s="12">
        <f t="shared" si="13"/>
        <v>5.0138888888888886E-2</v>
      </c>
      <c r="J264" s="12">
        <f t="shared" si="14"/>
        <v>0.17893333333333333</v>
      </c>
    </row>
    <row r="265" spans="1:10" ht="15" customHeight="1">
      <c r="A265" s="14">
        <v>45433</v>
      </c>
      <c r="B265" s="10">
        <f>VLOOKUP(A265,'BADI SID DATA'!A:B,2,0)</f>
        <v>51</v>
      </c>
      <c r="C265" s="4">
        <v>409</v>
      </c>
      <c r="D265" s="3"/>
      <c r="E265" s="3"/>
      <c r="F265" s="65">
        <v>1</v>
      </c>
      <c r="G265" s="65">
        <v>1</v>
      </c>
      <c r="H265" s="2">
        <f t="shared" si="12"/>
        <v>64825</v>
      </c>
      <c r="I265" s="12">
        <f t="shared" si="13"/>
        <v>5.6805555555555554E-2</v>
      </c>
      <c r="J265" s="12">
        <f t="shared" si="14"/>
        <v>0.17653867102396514</v>
      </c>
    </row>
    <row r="266" spans="1:10" ht="15" customHeight="1">
      <c r="A266" s="14">
        <v>45434</v>
      </c>
      <c r="B266" s="10">
        <f>VLOOKUP(A266,'BADI SID DATA'!A:B,2,0)</f>
        <v>52</v>
      </c>
      <c r="C266" s="4">
        <v>365</v>
      </c>
      <c r="D266" s="3"/>
      <c r="E266" s="3"/>
      <c r="F266" s="65">
        <v>1</v>
      </c>
      <c r="G266" s="65">
        <v>1</v>
      </c>
      <c r="H266" s="2">
        <f t="shared" si="12"/>
        <v>65190</v>
      </c>
      <c r="I266" s="12">
        <f t="shared" si="13"/>
        <v>5.0694444444444445E-2</v>
      </c>
      <c r="J266" s="12">
        <f t="shared" si="14"/>
        <v>0.17411858974358974</v>
      </c>
    </row>
    <row r="267" spans="1:10" ht="15" customHeight="1">
      <c r="A267" s="14">
        <v>45435</v>
      </c>
      <c r="B267" s="10">
        <f>VLOOKUP(A267,'BADI SID DATA'!A:B,2,0)</f>
        <v>53</v>
      </c>
      <c r="C267" s="4">
        <v>179</v>
      </c>
      <c r="D267" s="3"/>
      <c r="E267" s="3"/>
      <c r="F267" s="65">
        <v>1</v>
      </c>
      <c r="G267" s="65">
        <v>1</v>
      </c>
      <c r="H267" s="2">
        <f t="shared" si="12"/>
        <v>65369</v>
      </c>
      <c r="I267" s="12">
        <f t="shared" si="13"/>
        <v>2.4861111111111112E-2</v>
      </c>
      <c r="J267" s="12">
        <f t="shared" si="14"/>
        <v>0.1713024109014675</v>
      </c>
    </row>
    <row r="268" spans="1:10" ht="15" customHeight="1">
      <c r="A268" s="14">
        <v>45436</v>
      </c>
      <c r="B268" s="10">
        <f>VLOOKUP(A268,'BADI SID DATA'!A:B,2,0)</f>
        <v>54</v>
      </c>
      <c r="C268" s="4">
        <v>557.29999999999995</v>
      </c>
      <c r="D268" s="3"/>
      <c r="E268" s="3"/>
      <c r="F268" s="65">
        <v>1</v>
      </c>
      <c r="G268" s="65">
        <v>1</v>
      </c>
      <c r="H268" s="2">
        <f t="shared" si="12"/>
        <v>65926.3</v>
      </c>
      <c r="I268" s="12">
        <f t="shared" si="13"/>
        <v>7.7402777777777765E-2</v>
      </c>
      <c r="J268" s="12">
        <f t="shared" si="14"/>
        <v>0.16956352880658437</v>
      </c>
    </row>
    <row r="269" spans="1:10" ht="15" customHeight="1">
      <c r="A269" s="14">
        <v>45437</v>
      </c>
      <c r="B269" s="10">
        <f>VLOOKUP(A269,'BADI SID DATA'!A:B,2,0)</f>
        <v>55</v>
      </c>
      <c r="C269" s="4">
        <v>740.40000000000009</v>
      </c>
      <c r="D269" s="3"/>
      <c r="E269" s="3"/>
      <c r="F269" s="65">
        <v>1</v>
      </c>
      <c r="G269" s="65">
        <v>1</v>
      </c>
      <c r="H269" s="2">
        <f t="shared" si="12"/>
        <v>66666.7</v>
      </c>
      <c r="I269" s="12">
        <f t="shared" si="13"/>
        <v>0.10283333333333335</v>
      </c>
      <c r="J269" s="12">
        <f t="shared" si="14"/>
        <v>0.16835025252525251</v>
      </c>
    </row>
    <row r="270" spans="1:10" ht="15" customHeight="1">
      <c r="A270" s="14">
        <v>45438</v>
      </c>
      <c r="B270" s="10">
        <f>VLOOKUP(A270,'BADI SID DATA'!A:B,2,0)</f>
        <v>56</v>
      </c>
      <c r="C270" s="4">
        <v>1107.3000000000002</v>
      </c>
      <c r="D270" s="3"/>
      <c r="E270" s="3"/>
      <c r="F270" s="65">
        <v>1</v>
      </c>
      <c r="G270" s="65">
        <v>1</v>
      </c>
      <c r="H270" s="2">
        <f t="shared" si="12"/>
        <v>67774</v>
      </c>
      <c r="I270" s="12">
        <f t="shared" si="13"/>
        <v>0.15379166666666669</v>
      </c>
      <c r="J270" s="12">
        <f t="shared" si="14"/>
        <v>0.16809027777777777</v>
      </c>
    </row>
    <row r="271" spans="1:10" ht="15" customHeight="1">
      <c r="A271" s="14">
        <v>45439</v>
      </c>
      <c r="B271" s="10">
        <f>VLOOKUP(A271,'BADI SID DATA'!A:B,2,0)</f>
        <v>57</v>
      </c>
      <c r="C271" s="4">
        <v>718</v>
      </c>
      <c r="D271" s="3"/>
      <c r="E271" s="3"/>
      <c r="F271" s="65">
        <v>1</v>
      </c>
      <c r="G271" s="65">
        <v>1</v>
      </c>
      <c r="H271" s="2">
        <f t="shared" si="12"/>
        <v>68492</v>
      </c>
      <c r="I271" s="12">
        <f t="shared" si="13"/>
        <v>9.9722222222222226E-2</v>
      </c>
      <c r="J271" s="12">
        <f t="shared" si="14"/>
        <v>0.16689083820662767</v>
      </c>
    </row>
    <row r="272" spans="1:10" ht="15" customHeight="1">
      <c r="A272" s="14">
        <v>45440</v>
      </c>
      <c r="B272" s="10">
        <f>VLOOKUP(A272,'BADI SID DATA'!A:B,2,0)</f>
        <v>58</v>
      </c>
      <c r="C272" s="4">
        <v>597</v>
      </c>
      <c r="D272" s="3"/>
      <c r="E272" s="3"/>
      <c r="F272" s="65">
        <v>1</v>
      </c>
      <c r="G272" s="65">
        <v>1</v>
      </c>
      <c r="H272" s="2">
        <f t="shared" si="12"/>
        <v>69089</v>
      </c>
      <c r="I272" s="12">
        <f t="shared" si="13"/>
        <v>8.2916666666666666E-2</v>
      </c>
      <c r="J272" s="12">
        <f t="shared" si="14"/>
        <v>0.16544300766283526</v>
      </c>
    </row>
    <row r="273" spans="1:10" ht="15" customHeight="1">
      <c r="A273" s="14">
        <v>45441</v>
      </c>
      <c r="B273" s="10">
        <f>VLOOKUP(A273,'BADI SID DATA'!A:B,2,0)</f>
        <v>59</v>
      </c>
      <c r="C273" s="4">
        <v>727.7</v>
      </c>
      <c r="D273" s="3"/>
      <c r="E273" s="3"/>
      <c r="F273" s="65">
        <v>1</v>
      </c>
      <c r="G273" s="65">
        <v>1</v>
      </c>
      <c r="H273" s="2">
        <f t="shared" si="12"/>
        <v>69816.7</v>
      </c>
      <c r="I273" s="12">
        <f t="shared" si="13"/>
        <v>0.10106944444444445</v>
      </c>
      <c r="J273" s="12">
        <f t="shared" si="14"/>
        <v>0.16435193032015066</v>
      </c>
    </row>
    <row r="274" spans="1:10" ht="15" customHeight="1">
      <c r="A274" s="14">
        <v>45442</v>
      </c>
      <c r="B274" s="10">
        <f>VLOOKUP(A274,'BADI SID DATA'!A:B,2,0)</f>
        <v>60</v>
      </c>
      <c r="C274" s="4">
        <v>351</v>
      </c>
      <c r="D274" s="3"/>
      <c r="E274" s="3"/>
      <c r="F274" s="65">
        <v>1</v>
      </c>
      <c r="G274" s="65">
        <v>1</v>
      </c>
      <c r="H274" s="2">
        <f t="shared" si="12"/>
        <v>70167.7</v>
      </c>
      <c r="I274" s="12">
        <f t="shared" si="13"/>
        <v>4.8750000000000002E-2</v>
      </c>
      <c r="J274" s="12">
        <f t="shared" si="14"/>
        <v>0.16242523148148147</v>
      </c>
    </row>
    <row r="275" spans="1:10" ht="15" customHeight="1">
      <c r="A275" s="14">
        <v>45443</v>
      </c>
      <c r="B275" s="10">
        <f>VLOOKUP(A275,'BADI SID DATA'!A:B,2,0)</f>
        <v>61</v>
      </c>
      <c r="C275" s="4">
        <v>870.2</v>
      </c>
      <c r="D275" s="3"/>
      <c r="E275" s="3"/>
      <c r="F275" s="65">
        <v>1</v>
      </c>
      <c r="G275" s="65">
        <v>1</v>
      </c>
      <c r="H275" s="2">
        <f t="shared" si="12"/>
        <v>71037.899999999994</v>
      </c>
      <c r="I275" s="12">
        <f t="shared" si="13"/>
        <v>0.12086111111111111</v>
      </c>
      <c r="J275" s="12">
        <f t="shared" si="14"/>
        <v>0.16174385245901637</v>
      </c>
    </row>
    <row r="276" spans="1:10" ht="15" customHeight="1">
      <c r="A276" s="14">
        <v>45444</v>
      </c>
      <c r="B276" s="10">
        <f>VLOOKUP(A276,'BADI SID DATA'!A:B,2,0)</f>
        <v>62</v>
      </c>
      <c r="C276" s="4">
        <v>1053.2</v>
      </c>
      <c r="D276" s="3">
        <v>3.63</v>
      </c>
      <c r="E276" s="3"/>
      <c r="F276" s="65">
        <v>1</v>
      </c>
      <c r="G276" s="65">
        <v>1</v>
      </c>
      <c r="H276" s="2">
        <f t="shared" si="12"/>
        <v>72091.099999999991</v>
      </c>
      <c r="I276" s="12">
        <f t="shared" si="13"/>
        <v>0.14627777777777778</v>
      </c>
      <c r="J276" s="12">
        <f t="shared" si="14"/>
        <v>0.16149439964157705</v>
      </c>
    </row>
    <row r="277" spans="1:10" ht="15" customHeight="1">
      <c r="A277" s="14">
        <v>45445</v>
      </c>
      <c r="B277" s="10">
        <f>VLOOKUP(A277,'BADI SID DATA'!A:B,2,0)</f>
        <v>63</v>
      </c>
      <c r="C277" s="4">
        <v>980.5</v>
      </c>
      <c r="D277" s="3">
        <v>3.91</v>
      </c>
      <c r="E277" s="3"/>
      <c r="F277" s="65">
        <v>1</v>
      </c>
      <c r="G277" s="65">
        <v>0.87638888888888899</v>
      </c>
      <c r="H277" s="2">
        <f t="shared" si="12"/>
        <v>73071.599999999991</v>
      </c>
      <c r="I277" s="12">
        <f t="shared" si="13"/>
        <v>0.13618055555555555</v>
      </c>
      <c r="J277" s="12">
        <f t="shared" si="14"/>
        <v>0.16109259259259257</v>
      </c>
    </row>
    <row r="278" spans="1:10" ht="15" customHeight="1">
      <c r="A278" s="14">
        <v>45446</v>
      </c>
      <c r="B278" s="10">
        <f>VLOOKUP(A278,'BADI SID DATA'!A:B,2,0)</f>
        <v>64</v>
      </c>
      <c r="C278" s="4">
        <v>1481.6999999999998</v>
      </c>
      <c r="D278" s="3">
        <v>5.5</v>
      </c>
      <c r="E278" s="3"/>
      <c r="F278" s="65">
        <v>1</v>
      </c>
      <c r="G278" s="65">
        <v>0.86111111111111116</v>
      </c>
      <c r="H278" s="2">
        <f t="shared" si="12"/>
        <v>74553.299999999988</v>
      </c>
      <c r="I278" s="12">
        <f t="shared" si="13"/>
        <v>0.20579166666666665</v>
      </c>
      <c r="J278" s="12">
        <f t="shared" si="14"/>
        <v>0.16179101562499998</v>
      </c>
    </row>
    <row r="279" spans="1:10" ht="15" customHeight="1">
      <c r="A279" s="14">
        <v>45447</v>
      </c>
      <c r="B279" s="10">
        <f>VLOOKUP(A279,'BADI SID DATA'!A:B,2,0)</f>
        <v>65</v>
      </c>
      <c r="C279" s="4">
        <v>1378</v>
      </c>
      <c r="D279" s="3">
        <v>5.04</v>
      </c>
      <c r="E279" s="3"/>
      <c r="F279" s="65">
        <v>1</v>
      </c>
      <c r="G279" s="65">
        <v>1</v>
      </c>
      <c r="H279" s="2">
        <f t="shared" si="12"/>
        <v>75931.299999999988</v>
      </c>
      <c r="I279" s="12">
        <f t="shared" si="13"/>
        <v>0.19138888888888889</v>
      </c>
      <c r="J279" s="12">
        <f t="shared" si="14"/>
        <v>0.16224636752136751</v>
      </c>
    </row>
    <row r="280" spans="1:10" ht="15" customHeight="1">
      <c r="A280" s="14">
        <v>45448</v>
      </c>
      <c r="B280" s="10">
        <f>VLOOKUP(A280,'BADI SID DATA'!A:B,2,0)</f>
        <v>66</v>
      </c>
      <c r="C280" s="4">
        <v>1052</v>
      </c>
      <c r="D280" s="3">
        <v>3.66</v>
      </c>
      <c r="E280" s="3"/>
      <c r="F280" s="65">
        <v>1</v>
      </c>
      <c r="G280" s="65">
        <v>1</v>
      </c>
      <c r="H280" s="2">
        <f t="shared" ref="H280:H343" si="15">C280+H279</f>
        <v>76983.299999999988</v>
      </c>
      <c r="I280" s="12">
        <f t="shared" si="13"/>
        <v>0.14611111111111111</v>
      </c>
      <c r="J280" s="12">
        <f t="shared" si="14"/>
        <v>0.1620018939393939</v>
      </c>
    </row>
    <row r="281" spans="1:10" ht="15" customHeight="1">
      <c r="A281" s="14">
        <v>45449</v>
      </c>
      <c r="B281" s="10">
        <f>VLOOKUP(A281,'BADI SID DATA'!A:B,2,0)</f>
        <v>67</v>
      </c>
      <c r="C281" s="4">
        <v>919</v>
      </c>
      <c r="D281" s="3">
        <v>3.22</v>
      </c>
      <c r="E281" s="3"/>
      <c r="F281" s="65">
        <v>1</v>
      </c>
      <c r="G281" s="65">
        <v>1</v>
      </c>
      <c r="H281" s="2">
        <f t="shared" si="15"/>
        <v>77902.299999999988</v>
      </c>
      <c r="I281" s="12">
        <f t="shared" si="13"/>
        <v>0.12763888888888889</v>
      </c>
      <c r="J281" s="12">
        <f t="shared" si="14"/>
        <v>0.16148901326699833</v>
      </c>
    </row>
    <row r="282" spans="1:10" ht="15" customHeight="1">
      <c r="A282" s="14">
        <v>45450</v>
      </c>
      <c r="B282" s="10">
        <f>VLOOKUP(A282,'BADI SID DATA'!A:B,2,0)</f>
        <v>68</v>
      </c>
      <c r="C282" s="4">
        <v>650</v>
      </c>
      <c r="D282" s="3">
        <v>2.12</v>
      </c>
      <c r="E282" s="3"/>
      <c r="F282" s="65">
        <v>1</v>
      </c>
      <c r="G282" s="65">
        <v>1</v>
      </c>
      <c r="H282" s="2">
        <f t="shared" si="15"/>
        <v>78552.299999999988</v>
      </c>
      <c r="I282" s="12">
        <f t="shared" si="13"/>
        <v>9.0277777777777776E-2</v>
      </c>
      <c r="J282" s="12">
        <f t="shared" si="14"/>
        <v>0.16044178921568625</v>
      </c>
    </row>
    <row r="283" spans="1:10" ht="15" customHeight="1">
      <c r="A283" s="14">
        <v>45451</v>
      </c>
      <c r="B283" s="10">
        <f>VLOOKUP(A283,'BADI SID DATA'!A:B,2,0)</f>
        <v>69</v>
      </c>
      <c r="C283" s="4">
        <v>984</v>
      </c>
      <c r="D283" s="3">
        <v>3.4</v>
      </c>
      <c r="E283" s="3"/>
      <c r="F283" s="65">
        <v>1</v>
      </c>
      <c r="G283" s="65">
        <v>1</v>
      </c>
      <c r="H283" s="2">
        <f t="shared" si="15"/>
        <v>79536.299999999988</v>
      </c>
      <c r="I283" s="12">
        <f t="shared" si="13"/>
        <v>0.13666666666666666</v>
      </c>
      <c r="J283" s="12">
        <f t="shared" si="14"/>
        <v>0.1600972222222222</v>
      </c>
    </row>
    <row r="284" spans="1:10" ht="15" customHeight="1">
      <c r="A284" s="14">
        <v>45452</v>
      </c>
      <c r="B284" s="10">
        <f>VLOOKUP(A284,'BADI SID DATA'!A:B,2,0)</f>
        <v>70</v>
      </c>
      <c r="C284" s="4">
        <v>1439</v>
      </c>
      <c r="D284" s="3">
        <v>5.17</v>
      </c>
      <c r="E284" s="3"/>
      <c r="F284" s="65">
        <v>1</v>
      </c>
      <c r="G284" s="65">
        <v>1</v>
      </c>
      <c r="H284" s="2">
        <f t="shared" si="15"/>
        <v>80975.299999999988</v>
      </c>
      <c r="I284" s="12">
        <f t="shared" si="13"/>
        <v>0.1998611111111111</v>
      </c>
      <c r="J284" s="12">
        <f t="shared" si="14"/>
        <v>0.16066527777777775</v>
      </c>
    </row>
    <row r="285" spans="1:10" ht="15" customHeight="1">
      <c r="A285" s="14">
        <v>45453</v>
      </c>
      <c r="B285" s="10">
        <f>VLOOKUP(A285,'BADI SID DATA'!A:B,2,0)</f>
        <v>71</v>
      </c>
      <c r="C285" s="4">
        <v>1400</v>
      </c>
      <c r="D285" s="3">
        <v>5.01</v>
      </c>
      <c r="E285" s="3"/>
      <c r="F285" s="65">
        <v>1</v>
      </c>
      <c r="G285" s="65">
        <v>1</v>
      </c>
      <c r="H285" s="2">
        <f t="shared" si="15"/>
        <v>82375.299999999988</v>
      </c>
      <c r="I285" s="12">
        <f t="shared" si="13"/>
        <v>0.19444444444444445</v>
      </c>
      <c r="J285" s="12">
        <f t="shared" si="14"/>
        <v>0.16114104068857588</v>
      </c>
    </row>
    <row r="286" spans="1:10" ht="15" customHeight="1">
      <c r="A286" s="14">
        <v>45454</v>
      </c>
      <c r="B286" s="10">
        <f>VLOOKUP(A286,'BADI SID DATA'!A:B,2,0)</f>
        <v>72</v>
      </c>
      <c r="C286" s="4">
        <v>1353</v>
      </c>
      <c r="D286" s="3">
        <v>4.83</v>
      </c>
      <c r="E286" s="3"/>
      <c r="F286" s="65">
        <v>1</v>
      </c>
      <c r="G286" s="65">
        <v>1</v>
      </c>
      <c r="H286" s="2">
        <f t="shared" si="15"/>
        <v>83728.299999999988</v>
      </c>
      <c r="I286" s="12">
        <f t="shared" si="13"/>
        <v>0.18791666666666668</v>
      </c>
      <c r="J286" s="12">
        <f t="shared" si="14"/>
        <v>0.16151292438271603</v>
      </c>
    </row>
    <row r="287" spans="1:10" ht="15" customHeight="1">
      <c r="A287" s="14">
        <v>45455</v>
      </c>
      <c r="B287" s="10">
        <f>VLOOKUP(A287,'BADI SID DATA'!A:B,2,0)</f>
        <v>73</v>
      </c>
      <c r="C287" s="4">
        <v>1440</v>
      </c>
      <c r="D287" s="3">
        <v>5.15</v>
      </c>
      <c r="E287" s="3"/>
      <c r="F287" s="65">
        <v>1</v>
      </c>
      <c r="G287" s="65">
        <v>1</v>
      </c>
      <c r="H287" s="2">
        <f t="shared" si="15"/>
        <v>85168.299999999988</v>
      </c>
      <c r="I287" s="12">
        <f t="shared" si="13"/>
        <v>0.2</v>
      </c>
      <c r="J287" s="12">
        <f t="shared" si="14"/>
        <v>0.16204014459665142</v>
      </c>
    </row>
    <row r="288" spans="1:10" ht="15" customHeight="1">
      <c r="A288" s="14">
        <v>45456</v>
      </c>
      <c r="B288" s="10">
        <f>VLOOKUP(A288,'BADI SID DATA'!A:B,2,0)</f>
        <v>74</v>
      </c>
      <c r="C288" s="4">
        <v>1228</v>
      </c>
      <c r="D288" s="3">
        <v>4.29</v>
      </c>
      <c r="E288" s="3"/>
      <c r="F288" s="65">
        <v>1</v>
      </c>
      <c r="G288" s="65">
        <v>1</v>
      </c>
      <c r="H288" s="2">
        <f t="shared" si="15"/>
        <v>86396.299999999988</v>
      </c>
      <c r="I288" s="12">
        <f t="shared" si="13"/>
        <v>0.17055555555555554</v>
      </c>
      <c r="J288" s="12">
        <f t="shared" si="14"/>
        <v>0.16215521771771771</v>
      </c>
    </row>
    <row r="289" spans="1:10" ht="15" customHeight="1">
      <c r="A289" s="14">
        <v>45457</v>
      </c>
      <c r="B289" s="10">
        <f>VLOOKUP(A289,'BADI SID DATA'!A:B,2,0)</f>
        <v>75</v>
      </c>
      <c r="C289" s="4">
        <v>1639</v>
      </c>
      <c r="D289" s="3">
        <v>6.16</v>
      </c>
      <c r="E289" s="3"/>
      <c r="F289" s="65">
        <v>1</v>
      </c>
      <c r="G289" s="65">
        <v>1</v>
      </c>
      <c r="H289" s="2">
        <f t="shared" si="15"/>
        <v>88035.299999999988</v>
      </c>
      <c r="I289" s="12">
        <f t="shared" si="13"/>
        <v>0.22763888888888889</v>
      </c>
      <c r="J289" s="12">
        <f t="shared" si="14"/>
        <v>0.1630283333333333</v>
      </c>
    </row>
    <row r="290" spans="1:10" ht="15" customHeight="1">
      <c r="A290" s="14">
        <v>45458</v>
      </c>
      <c r="B290" s="10">
        <f>VLOOKUP(A290,'BADI SID DATA'!A:B,2,0)</f>
        <v>76</v>
      </c>
      <c r="C290" s="4">
        <v>1324.1</v>
      </c>
      <c r="D290" s="3">
        <v>4.79</v>
      </c>
      <c r="E290" s="3"/>
      <c r="F290" s="65">
        <v>1</v>
      </c>
      <c r="G290" s="65">
        <v>1</v>
      </c>
      <c r="H290" s="2">
        <f t="shared" si="15"/>
        <v>89359.4</v>
      </c>
      <c r="I290" s="12">
        <f t="shared" si="13"/>
        <v>0.18390277777777778</v>
      </c>
      <c r="J290" s="12">
        <f t="shared" si="14"/>
        <v>0.16330299707602339</v>
      </c>
    </row>
    <row r="291" spans="1:10" ht="15" customHeight="1">
      <c r="A291" s="14">
        <v>45459</v>
      </c>
      <c r="B291" s="10">
        <f>VLOOKUP(A291,'BADI SID DATA'!A:B,2,0)</f>
        <v>77</v>
      </c>
      <c r="C291" s="4">
        <v>895.6</v>
      </c>
      <c r="D291" s="3">
        <v>3.03</v>
      </c>
      <c r="E291" s="3"/>
      <c r="F291" s="65">
        <v>1</v>
      </c>
      <c r="G291" s="65">
        <v>1</v>
      </c>
      <c r="H291" s="2">
        <f t="shared" si="15"/>
        <v>90255</v>
      </c>
      <c r="I291" s="12">
        <f t="shared" si="13"/>
        <v>0.1243888888888889</v>
      </c>
      <c r="J291" s="12">
        <f t="shared" si="14"/>
        <v>0.16279761904761905</v>
      </c>
    </row>
    <row r="292" spans="1:10" ht="15" customHeight="1">
      <c r="A292" s="14">
        <v>45460</v>
      </c>
      <c r="B292" s="10">
        <f>VLOOKUP(A292,'BADI SID DATA'!A:B,2,0)</f>
        <v>78</v>
      </c>
      <c r="C292" s="4">
        <v>1164.2</v>
      </c>
      <c r="D292" s="3">
        <v>4.16</v>
      </c>
      <c r="E292" s="3"/>
      <c r="F292" s="65">
        <v>1</v>
      </c>
      <c r="G292" s="65">
        <v>1</v>
      </c>
      <c r="H292" s="2">
        <f t="shared" si="15"/>
        <v>91419.199999999997</v>
      </c>
      <c r="I292" s="12">
        <f t="shared" si="13"/>
        <v>0.16169444444444445</v>
      </c>
      <c r="J292" s="12">
        <f t="shared" si="14"/>
        <v>0.16278347578347577</v>
      </c>
    </row>
    <row r="293" spans="1:10" ht="15" customHeight="1">
      <c r="A293" s="14">
        <v>45461</v>
      </c>
      <c r="B293" s="10">
        <f>VLOOKUP(A293,'BADI SID DATA'!A:B,2,0)</f>
        <v>79</v>
      </c>
      <c r="C293" s="4">
        <v>1276.3</v>
      </c>
      <c r="D293" s="3">
        <v>4.51</v>
      </c>
      <c r="E293" s="3"/>
      <c r="F293" s="65">
        <v>1</v>
      </c>
      <c r="G293" s="65">
        <v>1</v>
      </c>
      <c r="H293" s="2">
        <f t="shared" si="15"/>
        <v>92695.5</v>
      </c>
      <c r="I293" s="12">
        <f t="shared" si="13"/>
        <v>0.17726388888888889</v>
      </c>
      <c r="J293" s="12">
        <f t="shared" si="14"/>
        <v>0.16296677215189873</v>
      </c>
    </row>
    <row r="294" spans="1:10" ht="15" customHeight="1">
      <c r="A294" s="14">
        <v>45462</v>
      </c>
      <c r="B294" s="10">
        <f>VLOOKUP(A294,'BADI SID DATA'!A:B,2,0)</f>
        <v>80</v>
      </c>
      <c r="C294" s="4">
        <v>1259</v>
      </c>
      <c r="D294" s="3">
        <v>4.4400000000000004</v>
      </c>
      <c r="E294" s="3"/>
      <c r="F294" s="65">
        <v>1</v>
      </c>
      <c r="G294" s="65">
        <v>1</v>
      </c>
      <c r="H294" s="2">
        <f t="shared" si="15"/>
        <v>93954.5</v>
      </c>
      <c r="I294" s="12">
        <f t="shared" si="13"/>
        <v>0.17486111111111111</v>
      </c>
      <c r="J294" s="12">
        <f t="shared" si="14"/>
        <v>0.16311545138888889</v>
      </c>
    </row>
    <row r="295" spans="1:10" ht="15" customHeight="1">
      <c r="A295" s="14">
        <v>45463</v>
      </c>
      <c r="B295" s="10">
        <f>VLOOKUP(A295,'BADI SID DATA'!A:B,2,0)</f>
        <v>81</v>
      </c>
      <c r="C295" s="4">
        <v>1139.3000000000002</v>
      </c>
      <c r="D295" s="3">
        <v>3.94</v>
      </c>
      <c r="E295" s="3"/>
      <c r="F295" s="65">
        <v>1</v>
      </c>
      <c r="G295" s="65">
        <v>1</v>
      </c>
      <c r="H295" s="2">
        <f t="shared" si="15"/>
        <v>95093.8</v>
      </c>
      <c r="I295" s="12">
        <f t="shared" si="13"/>
        <v>0.15823611111111113</v>
      </c>
      <c r="J295" s="12">
        <f t="shared" si="14"/>
        <v>0.16305521262002745</v>
      </c>
    </row>
    <row r="296" spans="1:10" ht="15" customHeight="1">
      <c r="A296" s="14">
        <v>45464</v>
      </c>
      <c r="B296" s="10">
        <f>VLOOKUP(A296,'BADI SID DATA'!A:B,2,0)</f>
        <v>82</v>
      </c>
      <c r="C296" s="4">
        <v>479.90000000000003</v>
      </c>
      <c r="D296" s="3">
        <v>1.6</v>
      </c>
      <c r="E296" s="3"/>
      <c r="F296" s="65">
        <v>1</v>
      </c>
      <c r="G296" s="65">
        <v>1</v>
      </c>
      <c r="H296" s="2">
        <f t="shared" si="15"/>
        <v>95573.7</v>
      </c>
      <c r="I296" s="12">
        <f t="shared" si="13"/>
        <v>6.6652777777777783E-2</v>
      </c>
      <c r="J296" s="12">
        <f t="shared" si="14"/>
        <v>0.16187957317073171</v>
      </c>
    </row>
    <row r="297" spans="1:10" ht="15" customHeight="1">
      <c r="A297" s="14">
        <v>45465</v>
      </c>
      <c r="B297" s="10">
        <f>VLOOKUP(A297,'BADI SID DATA'!A:B,2,0)</f>
        <v>83</v>
      </c>
      <c r="C297" s="4">
        <v>295.20000000000005</v>
      </c>
      <c r="D297" s="3">
        <v>0.96</v>
      </c>
      <c r="E297" s="3"/>
      <c r="F297" s="65">
        <v>1</v>
      </c>
      <c r="G297" s="65">
        <v>1</v>
      </c>
      <c r="H297" s="2">
        <f t="shared" si="15"/>
        <v>95868.9</v>
      </c>
      <c r="I297" s="12">
        <f t="shared" si="13"/>
        <v>4.1000000000000009E-2</v>
      </c>
      <c r="J297" s="12">
        <f t="shared" si="14"/>
        <v>0.16042319277108433</v>
      </c>
    </row>
    <row r="298" spans="1:10" ht="15" customHeight="1">
      <c r="A298" s="14">
        <v>45466</v>
      </c>
      <c r="B298" s="10">
        <f>VLOOKUP(A298,'BADI SID DATA'!A:B,2,0)</f>
        <v>84</v>
      </c>
      <c r="C298" s="4">
        <v>505.5</v>
      </c>
      <c r="D298" s="3">
        <v>1.62</v>
      </c>
      <c r="E298" s="3"/>
      <c r="F298" s="65">
        <v>1</v>
      </c>
      <c r="G298" s="65">
        <v>1</v>
      </c>
      <c r="H298" s="2">
        <f t="shared" si="15"/>
        <v>96374.399999999994</v>
      </c>
      <c r="I298" s="12">
        <f t="shared" si="13"/>
        <v>7.0208333333333331E-2</v>
      </c>
      <c r="J298" s="12">
        <f t="shared" si="14"/>
        <v>0.15934920634920635</v>
      </c>
    </row>
    <row r="299" spans="1:10" ht="15" customHeight="1">
      <c r="A299" s="14">
        <v>45467</v>
      </c>
      <c r="B299" s="10">
        <f>VLOOKUP(A299,'BADI SID DATA'!A:B,2,0)</f>
        <v>85</v>
      </c>
      <c r="C299" s="4">
        <v>478.2</v>
      </c>
      <c r="D299" s="3">
        <v>1.3</v>
      </c>
      <c r="E299" s="3"/>
      <c r="F299" s="65">
        <v>1</v>
      </c>
      <c r="G299" s="65">
        <v>1</v>
      </c>
      <c r="H299" s="2">
        <f t="shared" si="15"/>
        <v>96852.599999999991</v>
      </c>
      <c r="I299" s="12">
        <f t="shared" si="13"/>
        <v>6.6416666666666666E-2</v>
      </c>
      <c r="J299" s="12">
        <f t="shared" si="14"/>
        <v>0.15825588235294116</v>
      </c>
    </row>
    <row r="300" spans="1:10" ht="15" customHeight="1">
      <c r="A300" s="14">
        <v>45468</v>
      </c>
      <c r="B300" s="10">
        <f>VLOOKUP(A300,'BADI SID DATA'!A:B,2,0)</f>
        <v>86</v>
      </c>
      <c r="C300" s="4">
        <v>1158.5999999999999</v>
      </c>
      <c r="D300" s="3">
        <v>4.0999999999999996</v>
      </c>
      <c r="E300" s="3"/>
      <c r="F300" s="65">
        <v>1</v>
      </c>
      <c r="G300" s="65">
        <v>1</v>
      </c>
      <c r="H300" s="2">
        <f t="shared" si="15"/>
        <v>98011.199999999997</v>
      </c>
      <c r="I300" s="12">
        <f t="shared" si="13"/>
        <v>0.16091666666666665</v>
      </c>
      <c r="J300" s="12">
        <f t="shared" si="14"/>
        <v>0.15828682170542635</v>
      </c>
    </row>
    <row r="301" spans="1:10" ht="15" customHeight="1">
      <c r="A301" s="14">
        <v>45469</v>
      </c>
      <c r="B301" s="10">
        <f>VLOOKUP(A301,'BADI SID DATA'!A:B,2,0)</f>
        <v>87</v>
      </c>
      <c r="C301" s="4">
        <v>491.1</v>
      </c>
      <c r="D301" s="3">
        <v>1.64</v>
      </c>
      <c r="E301" s="3"/>
      <c r="F301" s="65">
        <v>1</v>
      </c>
      <c r="G301" s="65">
        <v>1</v>
      </c>
      <c r="H301" s="2">
        <f t="shared" si="15"/>
        <v>98502.3</v>
      </c>
      <c r="I301" s="12">
        <f t="shared" si="13"/>
        <v>6.8208333333333343E-2</v>
      </c>
      <c r="J301" s="12">
        <f t="shared" si="14"/>
        <v>0.15725143678160919</v>
      </c>
    </row>
    <row r="302" spans="1:10" ht="15" customHeight="1">
      <c r="A302" s="14">
        <v>45470</v>
      </c>
      <c r="B302" s="10">
        <f>VLOOKUP(A302,'BADI SID DATA'!A:B,2,0)</f>
        <v>88</v>
      </c>
      <c r="C302" s="4">
        <v>644.79999999999995</v>
      </c>
      <c r="D302" s="3">
        <v>2.13</v>
      </c>
      <c r="E302" s="3"/>
      <c r="F302" s="65">
        <v>1</v>
      </c>
      <c r="G302" s="65">
        <v>1</v>
      </c>
      <c r="H302" s="2">
        <f t="shared" si="15"/>
        <v>99147.1</v>
      </c>
      <c r="I302" s="12">
        <f t="shared" si="13"/>
        <v>8.9555555555555555E-2</v>
      </c>
      <c r="J302" s="12">
        <f t="shared" si="14"/>
        <v>0.15648216540404042</v>
      </c>
    </row>
    <row r="303" spans="1:10" ht="15" customHeight="1">
      <c r="A303" s="14">
        <v>45471</v>
      </c>
      <c r="B303" s="10">
        <f>VLOOKUP(A303,'BADI SID DATA'!A:B,2,0)</f>
        <v>89</v>
      </c>
      <c r="C303" s="4">
        <v>1574</v>
      </c>
      <c r="D303" s="3">
        <v>5.08</v>
      </c>
      <c r="E303" s="3"/>
      <c r="F303" s="65">
        <v>1</v>
      </c>
      <c r="G303" s="65">
        <v>1</v>
      </c>
      <c r="H303" s="2">
        <f t="shared" si="15"/>
        <v>100721.1</v>
      </c>
      <c r="I303" s="12">
        <f t="shared" si="13"/>
        <v>0.21861111111111112</v>
      </c>
      <c r="J303" s="12">
        <f t="shared" si="14"/>
        <v>0.1571802434456929</v>
      </c>
    </row>
    <row r="304" spans="1:10" ht="15" customHeight="1">
      <c r="A304" s="14">
        <v>45472</v>
      </c>
      <c r="B304" s="10">
        <f>VLOOKUP(A304,'BADI SID DATA'!A:B,2,0)</f>
        <v>90</v>
      </c>
      <c r="C304" s="4">
        <v>1322.1</v>
      </c>
      <c r="D304" s="3">
        <v>2.94</v>
      </c>
      <c r="E304" s="3"/>
      <c r="F304" s="65">
        <v>1</v>
      </c>
      <c r="G304" s="65">
        <v>1</v>
      </c>
      <c r="H304" s="2">
        <f t="shared" si="15"/>
        <v>102043.20000000001</v>
      </c>
      <c r="I304" s="12">
        <f t="shared" si="13"/>
        <v>0.18362499999999998</v>
      </c>
      <c r="J304" s="12">
        <f t="shared" si="14"/>
        <v>0.1574740740740741</v>
      </c>
    </row>
    <row r="305" spans="1:10" ht="15" customHeight="1">
      <c r="A305" s="14">
        <v>45473</v>
      </c>
      <c r="B305" s="10">
        <f>VLOOKUP(A305,'BADI SID DATA'!A:B,2,0)</f>
        <v>91</v>
      </c>
      <c r="C305" s="4">
        <v>983</v>
      </c>
      <c r="D305" s="3">
        <v>3.32</v>
      </c>
      <c r="E305" s="3"/>
      <c r="F305" s="65">
        <v>1</v>
      </c>
      <c r="G305" s="65">
        <v>1</v>
      </c>
      <c r="H305" s="2">
        <f t="shared" si="15"/>
        <v>103026.20000000001</v>
      </c>
      <c r="I305" s="12">
        <f t="shared" si="13"/>
        <v>0.13652777777777778</v>
      </c>
      <c r="J305" s="12">
        <f t="shared" si="14"/>
        <v>0.15724389499389502</v>
      </c>
    </row>
    <row r="306" spans="1:10" ht="15" customHeight="1">
      <c r="A306" s="14">
        <v>45474</v>
      </c>
      <c r="B306" s="10">
        <f>VLOOKUP(A306,'BADI SID DATA'!A:B,2,0)</f>
        <v>92</v>
      </c>
      <c r="C306" s="4">
        <v>769.1</v>
      </c>
      <c r="D306" s="3">
        <v>2.5499999999999998</v>
      </c>
      <c r="E306" s="3"/>
      <c r="F306" s="65">
        <v>1</v>
      </c>
      <c r="G306" s="65">
        <v>1</v>
      </c>
      <c r="H306" s="2">
        <f t="shared" si="15"/>
        <v>103795.30000000002</v>
      </c>
      <c r="I306" s="12">
        <f t="shared" si="13"/>
        <v>0.10681944444444445</v>
      </c>
      <c r="J306" s="12">
        <f t="shared" si="14"/>
        <v>0.15669580314009665</v>
      </c>
    </row>
    <row r="307" spans="1:10" ht="15" customHeight="1">
      <c r="A307" s="14">
        <v>45475</v>
      </c>
      <c r="B307" s="10">
        <f>VLOOKUP(A307,'BADI SID DATA'!A:B,2,0)</f>
        <v>93</v>
      </c>
      <c r="C307" s="4">
        <v>1476.4</v>
      </c>
      <c r="D307" s="3">
        <v>5.45</v>
      </c>
      <c r="E307" s="3"/>
      <c r="F307" s="65">
        <v>1</v>
      </c>
      <c r="G307" s="65">
        <v>1</v>
      </c>
      <c r="H307" s="2">
        <f t="shared" si="15"/>
        <v>105271.70000000001</v>
      </c>
      <c r="I307" s="12">
        <f t="shared" si="13"/>
        <v>0.20505555555555557</v>
      </c>
      <c r="J307" s="12">
        <f t="shared" si="14"/>
        <v>0.15721580047789727</v>
      </c>
    </row>
    <row r="308" spans="1:10" ht="15" customHeight="1">
      <c r="A308" s="14">
        <v>45476</v>
      </c>
      <c r="B308" s="10">
        <f>VLOOKUP(A308,'BADI SID DATA'!A:B,2,0)</f>
        <v>94</v>
      </c>
      <c r="C308" s="4">
        <v>1568.9</v>
      </c>
      <c r="D308" s="3">
        <v>5.92</v>
      </c>
      <c r="E308" s="3"/>
      <c r="F308" s="65">
        <v>1</v>
      </c>
      <c r="G308" s="65">
        <v>1</v>
      </c>
      <c r="H308" s="2">
        <f t="shared" si="15"/>
        <v>106840.6</v>
      </c>
      <c r="I308" s="12">
        <f t="shared" si="13"/>
        <v>0.21790277777777778</v>
      </c>
      <c r="J308" s="12">
        <f t="shared" si="14"/>
        <v>0.15786140661938536</v>
      </c>
    </row>
    <row r="309" spans="1:10" ht="15" customHeight="1">
      <c r="A309" s="14">
        <v>45477</v>
      </c>
      <c r="B309" s="10">
        <f>VLOOKUP(A309,'BADI SID DATA'!A:B,2,0)</f>
        <v>95</v>
      </c>
      <c r="C309" s="4">
        <v>1434.4</v>
      </c>
      <c r="D309" s="3">
        <v>5.23</v>
      </c>
      <c r="E309" s="3"/>
      <c r="F309" s="65">
        <v>1</v>
      </c>
      <c r="G309" s="65">
        <v>1</v>
      </c>
      <c r="H309" s="2">
        <f t="shared" si="15"/>
        <v>108275</v>
      </c>
      <c r="I309" s="12">
        <f t="shared" si="13"/>
        <v>0.19922222222222224</v>
      </c>
      <c r="J309" s="12">
        <f t="shared" si="14"/>
        <v>0.15829678362573099</v>
      </c>
    </row>
    <row r="310" spans="1:10" ht="15" customHeight="1">
      <c r="A310" s="14">
        <v>45478</v>
      </c>
      <c r="B310" s="10">
        <f>VLOOKUP(A310,'BADI SID DATA'!A:B,2,0)</f>
        <v>96</v>
      </c>
      <c r="C310" s="4">
        <v>1001.9</v>
      </c>
      <c r="D310" s="3">
        <v>3.45</v>
      </c>
      <c r="E310" s="3"/>
      <c r="F310" s="65">
        <v>1</v>
      </c>
      <c r="G310" s="65">
        <v>1</v>
      </c>
      <c r="H310" s="2">
        <f t="shared" si="15"/>
        <v>109276.9</v>
      </c>
      <c r="I310" s="12">
        <f t="shared" si="13"/>
        <v>0.13915277777777776</v>
      </c>
      <c r="J310" s="12">
        <f t="shared" si="14"/>
        <v>0.15809736689814813</v>
      </c>
    </row>
    <row r="311" spans="1:10" ht="15" customHeight="1">
      <c r="A311" s="14">
        <v>45479</v>
      </c>
      <c r="B311" s="10">
        <f>VLOOKUP(A311,'BADI SID DATA'!A:B,2,0)</f>
        <v>97</v>
      </c>
      <c r="C311" s="4">
        <v>1276</v>
      </c>
      <c r="D311" s="3">
        <v>4.6399999999999997</v>
      </c>
      <c r="E311" s="3"/>
      <c r="F311" s="65">
        <v>1</v>
      </c>
      <c r="G311" s="65">
        <v>1</v>
      </c>
      <c r="H311" s="2">
        <f t="shared" si="15"/>
        <v>110552.9</v>
      </c>
      <c r="I311" s="12">
        <f t="shared" si="13"/>
        <v>0.17722222222222223</v>
      </c>
      <c r="J311" s="12">
        <f t="shared" si="14"/>
        <v>0.15829453035509736</v>
      </c>
    </row>
    <row r="312" spans="1:10" ht="15" customHeight="1">
      <c r="A312" s="14">
        <v>45480</v>
      </c>
      <c r="B312" s="10">
        <f>VLOOKUP(A312,'BADI SID DATA'!A:B,2,0)</f>
        <v>98</v>
      </c>
      <c r="C312" s="4">
        <v>989.3</v>
      </c>
      <c r="D312" s="3">
        <v>3.56</v>
      </c>
      <c r="E312" s="3"/>
      <c r="F312" s="65">
        <v>1</v>
      </c>
      <c r="G312" s="65">
        <v>1</v>
      </c>
      <c r="H312" s="2">
        <f t="shared" si="15"/>
        <v>111542.2</v>
      </c>
      <c r="I312" s="12">
        <f t="shared" si="13"/>
        <v>0.13740277777777776</v>
      </c>
      <c r="J312" s="12">
        <f t="shared" si="14"/>
        <v>0.1580813492063492</v>
      </c>
    </row>
    <row r="313" spans="1:10" ht="15" customHeight="1">
      <c r="A313" s="14">
        <v>45481</v>
      </c>
      <c r="B313" s="10">
        <f>VLOOKUP(A313,'BADI SID DATA'!A:B,2,0)</f>
        <v>99</v>
      </c>
      <c r="C313" s="4">
        <v>857</v>
      </c>
      <c r="D313" s="3">
        <v>2.97</v>
      </c>
      <c r="E313" s="3"/>
      <c r="F313" s="65">
        <v>1</v>
      </c>
      <c r="G313" s="65">
        <v>1</v>
      </c>
      <c r="H313" s="2">
        <f t="shared" si="15"/>
        <v>112399.2</v>
      </c>
      <c r="I313" s="12">
        <f t="shared" si="13"/>
        <v>0.11902777777777777</v>
      </c>
      <c r="J313" s="12">
        <f t="shared" si="14"/>
        <v>0.15768686868686868</v>
      </c>
    </row>
    <row r="314" spans="1:10" ht="15" customHeight="1">
      <c r="A314" s="14">
        <v>45482</v>
      </c>
      <c r="B314" s="10">
        <f>VLOOKUP(A314,'BADI SID DATA'!A:B,2,0)</f>
        <v>100</v>
      </c>
      <c r="C314" s="4">
        <v>654.6</v>
      </c>
      <c r="D314" s="3">
        <v>2.19</v>
      </c>
      <c r="E314" s="3"/>
      <c r="F314" s="65">
        <v>1</v>
      </c>
      <c r="G314" s="65">
        <v>1</v>
      </c>
      <c r="H314" s="2">
        <f t="shared" si="15"/>
        <v>113053.8</v>
      </c>
      <c r="I314" s="12">
        <f t="shared" si="13"/>
        <v>9.0916666666666673E-2</v>
      </c>
      <c r="J314" s="12">
        <f t="shared" si="14"/>
        <v>0.15701916666666668</v>
      </c>
    </row>
    <row r="315" spans="1:10" ht="15" customHeight="1">
      <c r="A315" s="14">
        <v>45483</v>
      </c>
      <c r="B315" s="10">
        <f>VLOOKUP(A315,'BADI SID DATA'!A:B,2,0)</f>
        <v>101</v>
      </c>
      <c r="C315" s="4">
        <v>92.5</v>
      </c>
      <c r="D315" s="3">
        <v>0.37</v>
      </c>
      <c r="E315" s="3"/>
      <c r="F315" s="65">
        <v>1</v>
      </c>
      <c r="G315" s="65">
        <v>1</v>
      </c>
      <c r="H315" s="2">
        <f t="shared" si="15"/>
        <v>113146.3</v>
      </c>
      <c r="I315" s="12">
        <f t="shared" si="13"/>
        <v>1.2847222222222222E-2</v>
      </c>
      <c r="J315" s="12">
        <f t="shared" si="14"/>
        <v>0.15559172167216723</v>
      </c>
    </row>
    <row r="316" spans="1:10" ht="15" customHeight="1">
      <c r="A316" s="14">
        <v>45484</v>
      </c>
      <c r="B316" s="10">
        <f>VLOOKUP(A316,'BADI SID DATA'!A:B,2,0)</f>
        <v>102</v>
      </c>
      <c r="C316" s="4">
        <v>912.90000000000009</v>
      </c>
      <c r="D316" s="3">
        <v>3.11</v>
      </c>
      <c r="E316" s="3"/>
      <c r="F316" s="65">
        <v>1</v>
      </c>
      <c r="G316" s="65">
        <v>1</v>
      </c>
      <c r="H316" s="2">
        <f t="shared" si="15"/>
        <v>114059.2</v>
      </c>
      <c r="I316" s="12">
        <f t="shared" si="13"/>
        <v>0.12679166666666669</v>
      </c>
      <c r="J316" s="12">
        <f t="shared" si="14"/>
        <v>0.15530936819172114</v>
      </c>
    </row>
    <row r="317" spans="1:10" ht="15" customHeight="1">
      <c r="A317" s="14">
        <v>45485</v>
      </c>
      <c r="B317" s="10">
        <f>VLOOKUP(A317,'BADI SID DATA'!A:B,2,0)</f>
        <v>103</v>
      </c>
      <c r="C317" s="4">
        <v>557.40000000000009</v>
      </c>
      <c r="D317" s="3">
        <v>1.83</v>
      </c>
      <c r="E317" s="3"/>
      <c r="F317" s="65">
        <v>1</v>
      </c>
      <c r="G317" s="65">
        <v>1</v>
      </c>
      <c r="H317" s="2">
        <f t="shared" si="15"/>
        <v>114616.59999999999</v>
      </c>
      <c r="I317" s="12">
        <f t="shared" si="13"/>
        <v>7.7416666666666675E-2</v>
      </c>
      <c r="J317" s="12">
        <f t="shared" si="14"/>
        <v>0.15455312837108953</v>
      </c>
    </row>
    <row r="318" spans="1:10" ht="15" customHeight="1">
      <c r="A318" s="14">
        <v>45486</v>
      </c>
      <c r="B318" s="10">
        <f>VLOOKUP(A318,'BADI SID DATA'!A:B,2,0)</f>
        <v>104</v>
      </c>
      <c r="C318" s="4">
        <v>1177.2</v>
      </c>
      <c r="D318" s="3">
        <v>4.0999999999999996</v>
      </c>
      <c r="E318" s="3"/>
      <c r="F318" s="65">
        <v>1</v>
      </c>
      <c r="G318" s="65">
        <v>1</v>
      </c>
      <c r="H318" s="2">
        <f t="shared" si="15"/>
        <v>115793.79999999999</v>
      </c>
      <c r="I318" s="12">
        <f t="shared" si="13"/>
        <v>0.16350000000000001</v>
      </c>
      <c r="J318" s="12">
        <f t="shared" si="14"/>
        <v>0.15463915598290598</v>
      </c>
    </row>
    <row r="319" spans="1:10" ht="15" customHeight="1">
      <c r="A319" s="14">
        <v>45487</v>
      </c>
      <c r="B319" s="10">
        <f>VLOOKUP(A319,'BADI SID DATA'!A:B,2,0)</f>
        <v>105</v>
      </c>
      <c r="C319" s="4">
        <v>1116.2</v>
      </c>
      <c r="D319" s="3">
        <v>3.89</v>
      </c>
      <c r="E319" s="3"/>
      <c r="F319" s="65">
        <v>1</v>
      </c>
      <c r="G319" s="65">
        <v>1</v>
      </c>
      <c r="H319" s="2">
        <f t="shared" si="15"/>
        <v>116909.99999999999</v>
      </c>
      <c r="I319" s="12">
        <f t="shared" si="13"/>
        <v>0.15502777777777779</v>
      </c>
      <c r="J319" s="12">
        <f t="shared" si="14"/>
        <v>0.15464285714285714</v>
      </c>
    </row>
    <row r="320" spans="1:10" ht="15" customHeight="1">
      <c r="A320" s="14">
        <v>45488</v>
      </c>
      <c r="B320" s="10">
        <f>VLOOKUP(A320,'BADI SID DATA'!A:B,2,0)</f>
        <v>106</v>
      </c>
      <c r="C320" s="4">
        <v>172</v>
      </c>
      <c r="D320" s="3">
        <v>0.65</v>
      </c>
      <c r="E320" s="3"/>
      <c r="F320" s="65">
        <v>1</v>
      </c>
      <c r="G320" s="65">
        <v>1</v>
      </c>
      <c r="H320" s="2">
        <f t="shared" si="15"/>
        <v>117081.99999999999</v>
      </c>
      <c r="I320" s="12">
        <f t="shared" si="13"/>
        <v>2.388888888888889E-2</v>
      </c>
      <c r="J320" s="12">
        <f t="shared" si="14"/>
        <v>0.15340932914046121</v>
      </c>
    </row>
    <row r="321" spans="1:10" ht="15" customHeight="1">
      <c r="A321" s="14">
        <v>45489</v>
      </c>
      <c r="B321" s="10">
        <f>VLOOKUP(A321,'BADI SID DATA'!A:B,2,0)</f>
        <v>107</v>
      </c>
      <c r="C321" s="4">
        <v>1166.1999999999998</v>
      </c>
      <c r="D321" s="3">
        <v>4.0999999999999996</v>
      </c>
      <c r="E321" s="3"/>
      <c r="F321" s="65">
        <v>1</v>
      </c>
      <c r="G321" s="65">
        <v>1</v>
      </c>
      <c r="H321" s="2">
        <f t="shared" si="15"/>
        <v>118248.19999999998</v>
      </c>
      <c r="I321" s="12">
        <f t="shared" si="13"/>
        <v>0.16197222222222218</v>
      </c>
      <c r="J321" s="12">
        <f t="shared" si="14"/>
        <v>0.15348935617860848</v>
      </c>
    </row>
    <row r="322" spans="1:10" ht="15" customHeight="1">
      <c r="A322" s="14">
        <v>45490</v>
      </c>
      <c r="B322" s="10">
        <f>VLOOKUP(A322,'BADI SID DATA'!A:B,2,0)</f>
        <v>108</v>
      </c>
      <c r="C322" s="4">
        <v>370.3</v>
      </c>
      <c r="D322" s="3">
        <v>1.2</v>
      </c>
      <c r="E322" s="3"/>
      <c r="F322" s="65">
        <v>1</v>
      </c>
      <c r="G322" s="65">
        <v>1</v>
      </c>
      <c r="H322" s="2">
        <f t="shared" si="15"/>
        <v>118618.49999999999</v>
      </c>
      <c r="I322" s="12">
        <f t="shared" si="13"/>
        <v>5.1430555555555556E-2</v>
      </c>
      <c r="J322" s="12">
        <f t="shared" si="14"/>
        <v>0.1525443672839506</v>
      </c>
    </row>
    <row r="323" spans="1:10" ht="15" customHeight="1">
      <c r="A323" s="14">
        <v>45491</v>
      </c>
      <c r="B323" s="10">
        <f>VLOOKUP(A323,'BADI SID DATA'!A:B,2,0)</f>
        <v>109</v>
      </c>
      <c r="C323" s="4">
        <v>530</v>
      </c>
      <c r="D323" s="3">
        <v>1.81</v>
      </c>
      <c r="E323" s="3"/>
      <c r="F323" s="65">
        <v>1</v>
      </c>
      <c r="G323" s="65">
        <v>1</v>
      </c>
      <c r="H323" s="2">
        <f t="shared" si="15"/>
        <v>119148.49999999999</v>
      </c>
      <c r="I323" s="12">
        <f t="shared" ref="I323:I386" si="16">C323/(300*24)</f>
        <v>7.3611111111111113E-2</v>
      </c>
      <c r="J323" s="12">
        <f t="shared" ref="J323:J386" si="17">H323/(24*B323*300)</f>
        <v>0.1518202089704383</v>
      </c>
    </row>
    <row r="324" spans="1:10" ht="15" customHeight="1">
      <c r="A324" s="14">
        <v>45492</v>
      </c>
      <c r="B324" s="10">
        <f>VLOOKUP(A324,'BADI SID DATA'!A:B,2,0)</f>
        <v>110</v>
      </c>
      <c r="C324" s="4">
        <v>1260</v>
      </c>
      <c r="D324" s="3">
        <v>4.5</v>
      </c>
      <c r="E324" s="3"/>
      <c r="F324" s="65">
        <v>1</v>
      </c>
      <c r="G324" s="65">
        <v>1</v>
      </c>
      <c r="H324" s="2">
        <f t="shared" si="15"/>
        <v>120408.49999999999</v>
      </c>
      <c r="I324" s="12">
        <f t="shared" si="16"/>
        <v>0.17499999999999999</v>
      </c>
      <c r="J324" s="12">
        <f t="shared" si="17"/>
        <v>0.15203093434343432</v>
      </c>
    </row>
    <row r="325" spans="1:10" ht="15" customHeight="1">
      <c r="A325" s="14">
        <v>45493</v>
      </c>
      <c r="B325" s="10">
        <f>VLOOKUP(A325,'BADI SID DATA'!A:B,2,0)</f>
        <v>111</v>
      </c>
      <c r="C325" s="4">
        <v>1376</v>
      </c>
      <c r="D325" s="3">
        <v>4.9400000000000004</v>
      </c>
      <c r="E325" s="3"/>
      <c r="F325" s="65">
        <v>1</v>
      </c>
      <c r="G325" s="65">
        <v>1</v>
      </c>
      <c r="H325" s="2">
        <f t="shared" si="15"/>
        <v>121784.49999999999</v>
      </c>
      <c r="I325" s="12">
        <f t="shared" si="16"/>
        <v>0.19111111111111112</v>
      </c>
      <c r="J325" s="12">
        <f t="shared" si="17"/>
        <v>0.152383008008008</v>
      </c>
    </row>
    <row r="326" spans="1:10" ht="15" customHeight="1">
      <c r="A326" s="14">
        <v>45494</v>
      </c>
      <c r="B326" s="10">
        <f>VLOOKUP(A326,'BADI SID DATA'!A:B,2,0)</f>
        <v>112</v>
      </c>
      <c r="C326" s="4">
        <v>1411</v>
      </c>
      <c r="D326" s="3">
        <v>5.1100000000000003</v>
      </c>
      <c r="E326" s="3"/>
      <c r="F326" s="65">
        <v>1</v>
      </c>
      <c r="G326" s="65">
        <v>1</v>
      </c>
      <c r="H326" s="2">
        <f t="shared" si="15"/>
        <v>123195.49999999999</v>
      </c>
      <c r="I326" s="12">
        <f t="shared" si="16"/>
        <v>0.19597222222222221</v>
      </c>
      <c r="J326" s="12">
        <f t="shared" si="17"/>
        <v>0.15277219742063491</v>
      </c>
    </row>
    <row r="327" spans="1:10" ht="15" customHeight="1">
      <c r="A327" s="14">
        <v>45495</v>
      </c>
      <c r="B327" s="10">
        <f>VLOOKUP(A327,'BADI SID DATA'!A:B,2,0)</f>
        <v>113</v>
      </c>
      <c r="C327" s="4">
        <v>579</v>
      </c>
      <c r="D327" s="3">
        <v>1.89</v>
      </c>
      <c r="E327" s="3"/>
      <c r="F327" s="65">
        <v>1</v>
      </c>
      <c r="G327" s="65">
        <v>1</v>
      </c>
      <c r="H327" s="2">
        <f t="shared" si="15"/>
        <v>123774.49999999999</v>
      </c>
      <c r="I327" s="12">
        <f t="shared" si="16"/>
        <v>8.0416666666666664E-2</v>
      </c>
      <c r="J327" s="12">
        <f t="shared" si="17"/>
        <v>0.15213188298918387</v>
      </c>
    </row>
    <row r="328" spans="1:10" ht="15" customHeight="1">
      <c r="A328" s="14">
        <v>45496</v>
      </c>
      <c r="B328" s="10">
        <f>VLOOKUP(A328,'BADI SID DATA'!A:B,2,0)</f>
        <v>114</v>
      </c>
      <c r="C328" s="4">
        <v>1348</v>
      </c>
      <c r="D328" s="3">
        <v>4.7300000000000004</v>
      </c>
      <c r="E328" s="3"/>
      <c r="F328" s="65">
        <v>1</v>
      </c>
      <c r="G328" s="65">
        <v>1</v>
      </c>
      <c r="H328" s="2">
        <f t="shared" si="15"/>
        <v>125122.49999999999</v>
      </c>
      <c r="I328" s="12">
        <f t="shared" si="16"/>
        <v>0.18722222222222223</v>
      </c>
      <c r="J328" s="12">
        <f t="shared" si="17"/>
        <v>0.15243969298245613</v>
      </c>
    </row>
    <row r="329" spans="1:10" ht="15" customHeight="1">
      <c r="A329" s="14">
        <v>45497</v>
      </c>
      <c r="B329" s="10">
        <f>VLOOKUP(A329,'BADI SID DATA'!A:B,2,0)</f>
        <v>115</v>
      </c>
      <c r="C329" s="4">
        <v>1290</v>
      </c>
      <c r="D329" s="3">
        <v>4.49</v>
      </c>
      <c r="E329" s="3"/>
      <c r="F329" s="65">
        <v>1</v>
      </c>
      <c r="G329" s="65">
        <v>1</v>
      </c>
      <c r="H329" s="2">
        <f t="shared" si="15"/>
        <v>126412.49999999999</v>
      </c>
      <c r="I329" s="12">
        <f t="shared" si="16"/>
        <v>0.17916666666666667</v>
      </c>
      <c r="J329" s="12">
        <f t="shared" si="17"/>
        <v>0.15267210144927534</v>
      </c>
    </row>
    <row r="330" spans="1:10" ht="15" customHeight="1">
      <c r="A330" s="14">
        <v>45498</v>
      </c>
      <c r="B330" s="10">
        <f>VLOOKUP(A330,'BADI SID DATA'!A:B,2,0)</f>
        <v>116</v>
      </c>
      <c r="C330" s="4">
        <v>903</v>
      </c>
      <c r="D330" s="3">
        <v>3</v>
      </c>
      <c r="E330" s="3"/>
      <c r="F330" s="65">
        <v>1</v>
      </c>
      <c r="G330" s="65">
        <v>1</v>
      </c>
      <c r="H330" s="2">
        <f t="shared" si="15"/>
        <v>127315.49999999999</v>
      </c>
      <c r="I330" s="12">
        <f t="shared" si="16"/>
        <v>0.12541666666666668</v>
      </c>
      <c r="J330" s="12">
        <f t="shared" si="17"/>
        <v>0.15243714080459769</v>
      </c>
    </row>
    <row r="331" spans="1:10" ht="15" customHeight="1">
      <c r="A331" s="14">
        <v>45499</v>
      </c>
      <c r="B331" s="10">
        <f>VLOOKUP(A331,'BADI SID DATA'!A:B,2,0)</f>
        <v>117</v>
      </c>
      <c r="C331" s="4">
        <v>1585</v>
      </c>
      <c r="D331" s="3">
        <v>5.75</v>
      </c>
      <c r="E331" s="3"/>
      <c r="F331" s="65">
        <v>1</v>
      </c>
      <c r="G331" s="65">
        <v>1</v>
      </c>
      <c r="H331" s="2">
        <f t="shared" si="15"/>
        <v>128900.49999999999</v>
      </c>
      <c r="I331" s="12">
        <f t="shared" si="16"/>
        <v>0.22013888888888888</v>
      </c>
      <c r="J331" s="12">
        <f t="shared" si="17"/>
        <v>0.15301578822412154</v>
      </c>
    </row>
    <row r="332" spans="1:10" ht="15" customHeight="1">
      <c r="A332" s="14">
        <v>45500</v>
      </c>
      <c r="B332" s="10">
        <f>VLOOKUP(A332,'BADI SID DATA'!A:B,2,0)</f>
        <v>118</v>
      </c>
      <c r="C332" s="4">
        <v>1315.2</v>
      </c>
      <c r="D332" s="3">
        <v>4.7300000000000004</v>
      </c>
      <c r="E332" s="3"/>
      <c r="F332" s="65">
        <v>1</v>
      </c>
      <c r="G332" s="65">
        <v>1</v>
      </c>
      <c r="H332" s="2">
        <f t="shared" si="15"/>
        <v>130215.69999999998</v>
      </c>
      <c r="I332" s="12">
        <f t="shared" si="16"/>
        <v>0.18266666666666667</v>
      </c>
      <c r="J332" s="12">
        <f t="shared" si="17"/>
        <v>0.15326706685499056</v>
      </c>
    </row>
    <row r="333" spans="1:10" ht="15" customHeight="1">
      <c r="A333" s="14">
        <v>45501</v>
      </c>
      <c r="B333" s="10">
        <f>VLOOKUP(A333,'BADI SID DATA'!A:B,2,0)</f>
        <v>119</v>
      </c>
      <c r="C333" s="4">
        <v>1407.9</v>
      </c>
      <c r="D333" s="3">
        <v>5.0599999999999996</v>
      </c>
      <c r="E333" s="3"/>
      <c r="F333" s="65">
        <v>1</v>
      </c>
      <c r="G333" s="65">
        <v>1</v>
      </c>
      <c r="H333" s="2">
        <f t="shared" si="15"/>
        <v>131623.59999999998</v>
      </c>
      <c r="I333" s="12">
        <f t="shared" si="16"/>
        <v>0.19554166666666667</v>
      </c>
      <c r="J333" s="12">
        <f t="shared" si="17"/>
        <v>0.15362231559290379</v>
      </c>
    </row>
    <row r="334" spans="1:10" ht="15" customHeight="1">
      <c r="A334" s="14">
        <v>45502</v>
      </c>
      <c r="B334" s="10">
        <f>VLOOKUP(A334,'BADI SID DATA'!A:B,2,0)</f>
        <v>120</v>
      </c>
      <c r="C334" s="4">
        <v>1248.5999999999999</v>
      </c>
      <c r="D334" s="3">
        <v>4.4000000000000004</v>
      </c>
      <c r="E334" s="3"/>
      <c r="F334" s="65">
        <v>1</v>
      </c>
      <c r="G334" s="65">
        <v>1</v>
      </c>
      <c r="H334" s="2">
        <f t="shared" si="15"/>
        <v>132872.19999999998</v>
      </c>
      <c r="I334" s="12">
        <f t="shared" si="16"/>
        <v>0.17341666666666666</v>
      </c>
      <c r="J334" s="12">
        <f t="shared" si="17"/>
        <v>0.15378726851851851</v>
      </c>
    </row>
    <row r="335" spans="1:10" ht="15" customHeight="1">
      <c r="A335" s="14">
        <v>45503</v>
      </c>
      <c r="B335" s="10">
        <f>VLOOKUP(A335,'BADI SID DATA'!A:B,2,0)</f>
        <v>121</v>
      </c>
      <c r="C335" s="4">
        <v>389.7</v>
      </c>
      <c r="D335" s="3">
        <v>1.29</v>
      </c>
      <c r="E335" s="3"/>
      <c r="F335" s="65">
        <v>1</v>
      </c>
      <c r="G335" s="65">
        <v>1</v>
      </c>
      <c r="H335" s="2">
        <f t="shared" si="15"/>
        <v>133261.9</v>
      </c>
      <c r="I335" s="12">
        <f t="shared" si="16"/>
        <v>5.4125E-2</v>
      </c>
      <c r="J335" s="12">
        <f t="shared" si="17"/>
        <v>0.15296361340679521</v>
      </c>
    </row>
    <row r="336" spans="1:10" ht="15" customHeight="1">
      <c r="A336" s="14">
        <v>45504</v>
      </c>
      <c r="B336" s="10">
        <f>VLOOKUP(A336,'BADI SID DATA'!A:B,2,0)</f>
        <v>122</v>
      </c>
      <c r="C336" s="4">
        <v>220.10000000000002</v>
      </c>
      <c r="D336" s="3">
        <v>0.75</v>
      </c>
      <c r="E336" s="3"/>
      <c r="F336" s="65">
        <v>0.72757503647124733</v>
      </c>
      <c r="G336" s="65">
        <v>1</v>
      </c>
      <c r="H336" s="2">
        <f t="shared" si="15"/>
        <v>133482</v>
      </c>
      <c r="I336" s="12">
        <f t="shared" si="16"/>
        <v>3.0569444444444448E-2</v>
      </c>
      <c r="J336" s="12">
        <f t="shared" si="17"/>
        <v>0.1519603825136612</v>
      </c>
    </row>
    <row r="337" spans="1:10" ht="15" customHeight="1">
      <c r="A337" s="14">
        <v>45505</v>
      </c>
      <c r="B337" s="10">
        <f>VLOOKUP(A337,'BADI SID DATA'!A:B,2,0)</f>
        <v>123</v>
      </c>
      <c r="C337" s="4">
        <v>1180</v>
      </c>
      <c r="D337" s="63">
        <v>4.1100000000000003</v>
      </c>
      <c r="E337" s="3"/>
      <c r="F337" s="65">
        <v>1</v>
      </c>
      <c r="G337" s="65">
        <v>1</v>
      </c>
      <c r="H337" s="2">
        <f t="shared" si="15"/>
        <v>134662</v>
      </c>
      <c r="I337" s="12">
        <f t="shared" si="16"/>
        <v>0.16388888888888889</v>
      </c>
      <c r="J337" s="12">
        <f t="shared" si="17"/>
        <v>0.15205736224028907</v>
      </c>
    </row>
    <row r="338" spans="1:10" ht="15" customHeight="1">
      <c r="A338" s="14">
        <v>45506</v>
      </c>
      <c r="B338" s="10">
        <f>VLOOKUP(A338,'BADI SID DATA'!A:B,2,0)</f>
        <v>124</v>
      </c>
      <c r="C338" s="4">
        <v>1266</v>
      </c>
      <c r="D338" s="63">
        <v>4.54</v>
      </c>
      <c r="E338" s="3"/>
      <c r="F338" s="65">
        <v>1</v>
      </c>
      <c r="G338" s="65">
        <v>1</v>
      </c>
      <c r="H338" s="2">
        <f t="shared" si="15"/>
        <v>135928</v>
      </c>
      <c r="I338" s="12">
        <f t="shared" si="16"/>
        <v>0.17583333333333334</v>
      </c>
      <c r="J338" s="12">
        <f t="shared" si="17"/>
        <v>0.15224910394265234</v>
      </c>
    </row>
    <row r="339" spans="1:10" ht="15" customHeight="1">
      <c r="A339" s="14">
        <v>45507</v>
      </c>
      <c r="B339" s="10">
        <f>VLOOKUP(A339,'BADI SID DATA'!A:B,2,0)</f>
        <v>125</v>
      </c>
      <c r="C339" s="4">
        <v>1385</v>
      </c>
      <c r="D339" s="63">
        <v>4.95</v>
      </c>
      <c r="E339" s="3"/>
      <c r="F339" s="65">
        <v>1</v>
      </c>
      <c r="G339" s="65">
        <v>1</v>
      </c>
      <c r="H339" s="2">
        <f t="shared" si="15"/>
        <v>137313</v>
      </c>
      <c r="I339" s="12">
        <f t="shared" si="16"/>
        <v>0.19236111111111112</v>
      </c>
      <c r="J339" s="12">
        <f t="shared" si="17"/>
        <v>0.15257000000000001</v>
      </c>
    </row>
    <row r="340" spans="1:10" ht="15" customHeight="1">
      <c r="A340" s="14">
        <v>45508</v>
      </c>
      <c r="B340" s="10">
        <f>VLOOKUP(A340,'BADI SID DATA'!A:B,2,0)</f>
        <v>126</v>
      </c>
      <c r="C340" s="4">
        <v>1564</v>
      </c>
      <c r="D340" s="63">
        <v>5.75</v>
      </c>
      <c r="E340" s="3"/>
      <c r="F340" s="65">
        <v>1</v>
      </c>
      <c r="G340" s="65">
        <v>1</v>
      </c>
      <c r="H340" s="2">
        <f t="shared" si="15"/>
        <v>138877</v>
      </c>
      <c r="I340" s="12">
        <f t="shared" si="16"/>
        <v>0.21722222222222223</v>
      </c>
      <c r="J340" s="12">
        <f t="shared" si="17"/>
        <v>0.15308311287477955</v>
      </c>
    </row>
    <row r="341" spans="1:10" ht="15" customHeight="1">
      <c r="A341" s="14">
        <v>45509</v>
      </c>
      <c r="B341" s="10">
        <f>VLOOKUP(A341,'BADI SID DATA'!A:B,2,0)</f>
        <v>127</v>
      </c>
      <c r="C341" s="4">
        <v>1024</v>
      </c>
      <c r="D341" s="63">
        <v>3.57</v>
      </c>
      <c r="E341" s="3"/>
      <c r="F341" s="65">
        <v>1</v>
      </c>
      <c r="G341" s="65">
        <v>1</v>
      </c>
      <c r="H341" s="2">
        <f t="shared" si="15"/>
        <v>139901</v>
      </c>
      <c r="I341" s="12">
        <f t="shared" si="16"/>
        <v>0.14222222222222222</v>
      </c>
      <c r="J341" s="12">
        <f t="shared" si="17"/>
        <v>0.15299759405074365</v>
      </c>
    </row>
    <row r="342" spans="1:10" ht="15" customHeight="1">
      <c r="A342" s="14">
        <v>45510</v>
      </c>
      <c r="B342" s="10">
        <f>VLOOKUP(A342,'BADI SID DATA'!A:B,2,0)</f>
        <v>128</v>
      </c>
      <c r="C342" s="4">
        <v>602</v>
      </c>
      <c r="D342" s="63">
        <v>1.99</v>
      </c>
      <c r="E342" s="3"/>
      <c r="F342" s="65">
        <v>1</v>
      </c>
      <c r="G342" s="65">
        <v>1</v>
      </c>
      <c r="H342" s="2">
        <f t="shared" si="15"/>
        <v>140503</v>
      </c>
      <c r="I342" s="12">
        <f t="shared" si="16"/>
        <v>8.3611111111111108E-2</v>
      </c>
      <c r="J342" s="12">
        <f t="shared" si="17"/>
        <v>0.15245551215277778</v>
      </c>
    </row>
    <row r="343" spans="1:10" ht="15" customHeight="1">
      <c r="A343" s="14">
        <v>45511</v>
      </c>
      <c r="B343" s="10">
        <f>VLOOKUP(A343,'BADI SID DATA'!A:B,2,0)</f>
        <v>129</v>
      </c>
      <c r="C343" s="4">
        <v>795</v>
      </c>
      <c r="D343" s="63">
        <v>2.7</v>
      </c>
      <c r="E343" s="3"/>
      <c r="F343" s="65">
        <v>1</v>
      </c>
      <c r="G343" s="65">
        <v>1</v>
      </c>
      <c r="H343" s="2">
        <f t="shared" si="15"/>
        <v>141298</v>
      </c>
      <c r="I343" s="12">
        <f t="shared" si="16"/>
        <v>0.11041666666666666</v>
      </c>
      <c r="J343" s="12">
        <f t="shared" si="17"/>
        <v>0.15212962962962964</v>
      </c>
    </row>
    <row r="344" spans="1:10" ht="15" customHeight="1">
      <c r="A344" s="14">
        <v>45512</v>
      </c>
      <c r="B344" s="10">
        <f>VLOOKUP(A344,'BADI SID DATA'!A:B,2,0)</f>
        <v>130</v>
      </c>
      <c r="C344" s="4">
        <v>1040</v>
      </c>
      <c r="D344" s="63">
        <v>3.59</v>
      </c>
      <c r="E344" s="3"/>
      <c r="F344" s="65">
        <v>1</v>
      </c>
      <c r="G344" s="65">
        <v>1</v>
      </c>
      <c r="H344" s="2">
        <f t="shared" ref="H344:H384" si="18">C344+H343</f>
        <v>142338</v>
      </c>
      <c r="I344" s="12">
        <f t="shared" si="16"/>
        <v>0.14444444444444443</v>
      </c>
      <c r="J344" s="12">
        <f t="shared" si="17"/>
        <v>0.15207051282051282</v>
      </c>
    </row>
    <row r="345" spans="1:10" ht="15" customHeight="1">
      <c r="A345" s="14">
        <v>45513</v>
      </c>
      <c r="B345" s="10">
        <f>VLOOKUP(A345,'BADI SID DATA'!A:B,2,0)</f>
        <v>131</v>
      </c>
      <c r="C345" s="4">
        <v>1171</v>
      </c>
      <c r="D345" s="63">
        <v>4.8099999999999996</v>
      </c>
      <c r="E345" s="3"/>
      <c r="F345" s="65">
        <v>1</v>
      </c>
      <c r="G345" s="65">
        <v>1</v>
      </c>
      <c r="H345" s="2">
        <f t="shared" si="18"/>
        <v>143509</v>
      </c>
      <c r="I345" s="12">
        <f t="shared" si="16"/>
        <v>0.16263888888888889</v>
      </c>
      <c r="J345" s="12">
        <f t="shared" si="17"/>
        <v>0.15215118744698897</v>
      </c>
    </row>
    <row r="346" spans="1:10" ht="15" customHeight="1">
      <c r="A346" s="14">
        <v>45514</v>
      </c>
      <c r="B346" s="10">
        <f>VLOOKUP(A346,'BADI SID DATA'!A:B,2,0)</f>
        <v>132</v>
      </c>
      <c r="C346" s="4">
        <v>720</v>
      </c>
      <c r="D346" s="63">
        <v>2.48</v>
      </c>
      <c r="E346" s="3"/>
      <c r="F346" s="65">
        <v>1</v>
      </c>
      <c r="G346" s="65">
        <v>1</v>
      </c>
      <c r="H346" s="2">
        <f t="shared" si="18"/>
        <v>144229</v>
      </c>
      <c r="I346" s="12">
        <f t="shared" si="16"/>
        <v>0.1</v>
      </c>
      <c r="J346" s="12">
        <f t="shared" si="17"/>
        <v>0.15175610269360271</v>
      </c>
    </row>
    <row r="347" spans="1:10" ht="15" customHeight="1">
      <c r="A347" s="14">
        <v>45515</v>
      </c>
      <c r="B347" s="10">
        <f>VLOOKUP(A347,'BADI SID DATA'!A:B,2,0)</f>
        <v>133</v>
      </c>
      <c r="C347" s="4">
        <v>1414</v>
      </c>
      <c r="D347" s="63">
        <v>5.19</v>
      </c>
      <c r="E347" s="3"/>
      <c r="F347" s="65">
        <v>1</v>
      </c>
      <c r="G347" s="65">
        <v>1</v>
      </c>
      <c r="H347" s="2">
        <f t="shared" si="18"/>
        <v>145643</v>
      </c>
      <c r="I347" s="12">
        <f t="shared" si="16"/>
        <v>0.19638888888888889</v>
      </c>
      <c r="J347" s="12">
        <f t="shared" si="17"/>
        <v>0.15209168755221386</v>
      </c>
    </row>
    <row r="348" spans="1:10" ht="15" customHeight="1">
      <c r="A348" s="14">
        <v>45516</v>
      </c>
      <c r="B348" s="10">
        <f>VLOOKUP(A348,'BADI SID DATA'!A:B,2,0)</f>
        <v>134</v>
      </c>
      <c r="C348" s="4">
        <v>1590</v>
      </c>
      <c r="D348" s="63">
        <v>5.74</v>
      </c>
      <c r="E348" s="3"/>
      <c r="F348" s="65">
        <v>1</v>
      </c>
      <c r="G348" s="65">
        <v>1</v>
      </c>
      <c r="H348" s="2">
        <f t="shared" si="18"/>
        <v>147233</v>
      </c>
      <c r="I348" s="12">
        <f t="shared" si="16"/>
        <v>0.22083333333333333</v>
      </c>
      <c r="J348" s="12">
        <f t="shared" si="17"/>
        <v>0.1526046849087894</v>
      </c>
    </row>
    <row r="349" spans="1:10" ht="15" customHeight="1">
      <c r="A349" s="14">
        <v>45517</v>
      </c>
      <c r="B349" s="10">
        <f>VLOOKUP(A349,'BADI SID DATA'!A:B,2,0)</f>
        <v>135</v>
      </c>
      <c r="C349" s="4">
        <v>1319.6999999999998</v>
      </c>
      <c r="D349" s="63">
        <v>4.6500000000000004</v>
      </c>
      <c r="E349" s="3"/>
      <c r="F349" s="65">
        <v>1</v>
      </c>
      <c r="G349" s="65">
        <v>1</v>
      </c>
      <c r="H349" s="2">
        <f t="shared" si="18"/>
        <v>148552.70000000001</v>
      </c>
      <c r="I349" s="12">
        <f t="shared" si="16"/>
        <v>0.18329166666666663</v>
      </c>
      <c r="J349" s="12">
        <f t="shared" si="17"/>
        <v>0.15283199588477367</v>
      </c>
    </row>
    <row r="350" spans="1:10" ht="15" customHeight="1">
      <c r="A350" s="14">
        <v>45518</v>
      </c>
      <c r="B350" s="10">
        <f>VLOOKUP(A350,'BADI SID DATA'!A:B,2,0)</f>
        <v>136</v>
      </c>
      <c r="C350" s="4">
        <v>116.8</v>
      </c>
      <c r="D350" s="63">
        <v>0.48</v>
      </c>
      <c r="E350" s="3"/>
      <c r="F350" s="65">
        <v>1</v>
      </c>
      <c r="G350" s="65">
        <v>0.88055555555555565</v>
      </c>
      <c r="H350" s="2">
        <f t="shared" si="18"/>
        <v>148669.5</v>
      </c>
      <c r="I350" s="12">
        <f t="shared" si="16"/>
        <v>1.6222222222222221E-2</v>
      </c>
      <c r="J350" s="12">
        <f t="shared" si="17"/>
        <v>0.15182751225490196</v>
      </c>
    </row>
    <row r="351" spans="1:10" ht="15" customHeight="1">
      <c r="A351" s="14">
        <v>45519</v>
      </c>
      <c r="B351" s="10">
        <f>VLOOKUP(A351,'BADI SID DATA'!A:B,2,0)</f>
        <v>137</v>
      </c>
      <c r="C351" s="4">
        <v>205.5</v>
      </c>
      <c r="D351" s="63">
        <v>0.73</v>
      </c>
      <c r="E351" s="3"/>
      <c r="F351" s="65">
        <v>1</v>
      </c>
      <c r="G351" s="65">
        <v>1</v>
      </c>
      <c r="H351" s="2">
        <f t="shared" si="18"/>
        <v>148875</v>
      </c>
      <c r="I351" s="12">
        <f t="shared" si="16"/>
        <v>2.8541666666666667E-2</v>
      </c>
      <c r="J351" s="12">
        <f t="shared" si="17"/>
        <v>0.15092761557177617</v>
      </c>
    </row>
    <row r="352" spans="1:10" ht="15" customHeight="1">
      <c r="A352" s="14">
        <v>45520</v>
      </c>
      <c r="B352" s="10">
        <f>VLOOKUP(A352,'BADI SID DATA'!A:B,2,0)</f>
        <v>138</v>
      </c>
      <c r="C352" s="4">
        <v>398.3</v>
      </c>
      <c r="D352" s="63">
        <v>1.35</v>
      </c>
      <c r="E352" s="3"/>
      <c r="F352" s="65">
        <v>1</v>
      </c>
      <c r="G352" s="65">
        <v>1</v>
      </c>
      <c r="H352" s="2">
        <f t="shared" si="18"/>
        <v>149273.29999999999</v>
      </c>
      <c r="I352" s="12">
        <f t="shared" si="16"/>
        <v>5.5319444444444449E-2</v>
      </c>
      <c r="J352" s="12">
        <f t="shared" si="17"/>
        <v>0.15023480273752013</v>
      </c>
    </row>
    <row r="353" spans="1:10" ht="15" customHeight="1">
      <c r="A353" s="14">
        <v>45521</v>
      </c>
      <c r="B353" s="10">
        <f>VLOOKUP(A353,'BADI SID DATA'!A:B,2,0)</f>
        <v>139</v>
      </c>
      <c r="C353" s="4">
        <v>393.4</v>
      </c>
      <c r="D353" s="63">
        <v>1.35</v>
      </c>
      <c r="E353" s="3"/>
      <c r="F353" s="65">
        <v>1</v>
      </c>
      <c r="G353" s="65">
        <v>1</v>
      </c>
      <c r="H353" s="2">
        <f t="shared" si="18"/>
        <v>149666.69999999998</v>
      </c>
      <c r="I353" s="12">
        <f t="shared" si="16"/>
        <v>5.4638888888888883E-2</v>
      </c>
      <c r="J353" s="12">
        <f t="shared" si="17"/>
        <v>0.14954706235011989</v>
      </c>
    </row>
    <row r="354" spans="1:10" ht="15" customHeight="1">
      <c r="A354" s="14">
        <v>45522</v>
      </c>
      <c r="B354" s="10">
        <f>VLOOKUP(A354,'BADI SID DATA'!A:B,2,0)</f>
        <v>140</v>
      </c>
      <c r="C354" s="4">
        <v>526.29999999999995</v>
      </c>
      <c r="D354" s="63">
        <v>1.83</v>
      </c>
      <c r="E354" s="3"/>
      <c r="F354" s="65">
        <v>1</v>
      </c>
      <c r="G354" s="65">
        <v>1</v>
      </c>
      <c r="H354" s="2">
        <f t="shared" si="18"/>
        <v>150192.99999999997</v>
      </c>
      <c r="I354" s="12">
        <f t="shared" si="16"/>
        <v>7.3097222222222216E-2</v>
      </c>
      <c r="J354" s="12">
        <f t="shared" si="17"/>
        <v>0.14900099206349204</v>
      </c>
    </row>
    <row r="355" spans="1:10" ht="15" customHeight="1">
      <c r="A355" s="14">
        <v>45523</v>
      </c>
      <c r="B355" s="10">
        <f>VLOOKUP(A355,'BADI SID DATA'!A:B,2,0)</f>
        <v>141</v>
      </c>
      <c r="C355" s="4">
        <v>897.19999999999993</v>
      </c>
      <c r="D355" s="63">
        <v>2.96</v>
      </c>
      <c r="E355" s="3"/>
      <c r="F355" s="65">
        <v>1</v>
      </c>
      <c r="G355" s="65">
        <v>1</v>
      </c>
      <c r="H355" s="2">
        <f t="shared" si="18"/>
        <v>151090.19999999998</v>
      </c>
      <c r="I355" s="12">
        <f t="shared" si="16"/>
        <v>0.1246111111111111</v>
      </c>
      <c r="J355" s="12">
        <f t="shared" si="17"/>
        <v>0.14882801418439714</v>
      </c>
    </row>
    <row r="356" spans="1:10" ht="15" customHeight="1">
      <c r="A356" s="14">
        <v>45524</v>
      </c>
      <c r="B356" s="10">
        <f>VLOOKUP(A356,'BADI SID DATA'!A:B,2,0)</f>
        <v>142</v>
      </c>
      <c r="C356" s="4">
        <v>1085.1999999999998</v>
      </c>
      <c r="D356" s="63">
        <v>3.97</v>
      </c>
      <c r="E356" s="3"/>
      <c r="F356" s="65">
        <v>1</v>
      </c>
      <c r="G356" s="65">
        <v>1</v>
      </c>
      <c r="H356" s="2">
        <f t="shared" si="18"/>
        <v>152175.4</v>
      </c>
      <c r="I356" s="12">
        <f t="shared" si="16"/>
        <v>0.1507222222222222</v>
      </c>
      <c r="J356" s="12">
        <f t="shared" si="17"/>
        <v>0.14884135367762127</v>
      </c>
    </row>
    <row r="357" spans="1:10" ht="15" customHeight="1">
      <c r="A357" s="14">
        <v>45525</v>
      </c>
      <c r="B357" s="10">
        <f>VLOOKUP(A357,'BADI SID DATA'!A:B,2,0)</f>
        <v>143</v>
      </c>
      <c r="C357" s="4">
        <v>35.699999999999996</v>
      </c>
      <c r="D357" s="63">
        <v>0.22</v>
      </c>
      <c r="E357" s="3"/>
      <c r="F357" s="65">
        <v>1</v>
      </c>
      <c r="G357" s="65">
        <v>1</v>
      </c>
      <c r="H357" s="2">
        <f t="shared" si="18"/>
        <v>152211.1</v>
      </c>
      <c r="I357" s="12">
        <f t="shared" si="16"/>
        <v>4.9583333333333328E-3</v>
      </c>
      <c r="J357" s="12">
        <f t="shared" si="17"/>
        <v>0.14783517871017871</v>
      </c>
    </row>
    <row r="358" spans="1:10" ht="15" customHeight="1">
      <c r="A358" s="14">
        <v>45526</v>
      </c>
      <c r="B358" s="10">
        <f>VLOOKUP(A358,'BADI SID DATA'!A:B,2,0)</f>
        <v>144</v>
      </c>
      <c r="C358" s="4">
        <v>1606</v>
      </c>
      <c r="D358" s="63">
        <v>5.97</v>
      </c>
      <c r="E358" s="3"/>
      <c r="F358" s="65">
        <v>1</v>
      </c>
      <c r="G358" s="65">
        <v>0.98888888888888893</v>
      </c>
      <c r="H358" s="2">
        <f t="shared" si="18"/>
        <v>153817.1</v>
      </c>
      <c r="I358" s="12">
        <f t="shared" si="16"/>
        <v>0.22305555555555556</v>
      </c>
      <c r="J358" s="12">
        <f t="shared" si="17"/>
        <v>0.14835754243827162</v>
      </c>
    </row>
    <row r="359" spans="1:10" ht="15" customHeight="1">
      <c r="A359" s="14">
        <v>45527</v>
      </c>
      <c r="B359" s="10">
        <f>VLOOKUP(A359,'BADI SID DATA'!A:B,2,0)</f>
        <v>145</v>
      </c>
      <c r="C359" s="4">
        <v>1587.4999999999998</v>
      </c>
      <c r="D359" s="63">
        <v>5.76</v>
      </c>
      <c r="E359" s="3"/>
      <c r="F359" s="65">
        <v>1</v>
      </c>
      <c r="G359" s="65">
        <v>1</v>
      </c>
      <c r="H359" s="2">
        <f t="shared" si="18"/>
        <v>155404.6</v>
      </c>
      <c r="I359" s="12">
        <f t="shared" si="16"/>
        <v>0.22048611111111108</v>
      </c>
      <c r="J359" s="12">
        <f t="shared" si="17"/>
        <v>0.14885498084291188</v>
      </c>
    </row>
    <row r="360" spans="1:10" ht="15" customHeight="1">
      <c r="A360" s="14">
        <v>45528</v>
      </c>
      <c r="B360" s="10">
        <f>VLOOKUP(A360,'BADI SID DATA'!A:B,2,0)</f>
        <v>146</v>
      </c>
      <c r="C360" s="4">
        <v>1359.4</v>
      </c>
      <c r="D360" s="63">
        <v>4.8600000000000003</v>
      </c>
      <c r="E360" s="3"/>
      <c r="F360" s="65">
        <v>1</v>
      </c>
      <c r="G360" s="65">
        <v>1</v>
      </c>
      <c r="H360" s="2">
        <f t="shared" si="18"/>
        <v>156764</v>
      </c>
      <c r="I360" s="12">
        <f t="shared" si="16"/>
        <v>0.18880555555555556</v>
      </c>
      <c r="J360" s="12">
        <f t="shared" si="17"/>
        <v>0.14912861491628615</v>
      </c>
    </row>
    <row r="361" spans="1:10" ht="15" customHeight="1">
      <c r="A361" s="14">
        <v>45529</v>
      </c>
      <c r="B361" s="10">
        <f>VLOOKUP(A361,'BADI SID DATA'!A:B,2,0)</f>
        <v>147</v>
      </c>
      <c r="C361" s="4">
        <v>1370.8999999999999</v>
      </c>
      <c r="D361" s="63">
        <v>4.93</v>
      </c>
      <c r="E361" s="3"/>
      <c r="F361" s="65">
        <v>1</v>
      </c>
      <c r="G361" s="65">
        <v>1</v>
      </c>
      <c r="H361" s="2">
        <f t="shared" si="18"/>
        <v>158134.9</v>
      </c>
      <c r="I361" s="12">
        <f t="shared" si="16"/>
        <v>0.19040277777777775</v>
      </c>
      <c r="J361" s="12">
        <f t="shared" si="17"/>
        <v>0.14940939153439153</v>
      </c>
    </row>
    <row r="362" spans="1:10" ht="15" customHeight="1">
      <c r="A362" s="14">
        <v>45530</v>
      </c>
      <c r="B362" s="10">
        <f>VLOOKUP(A362,'BADI SID DATA'!A:B,2,0)</f>
        <v>148</v>
      </c>
      <c r="C362" s="4">
        <v>1631.1</v>
      </c>
      <c r="D362" s="63">
        <v>6.17</v>
      </c>
      <c r="E362" s="3"/>
      <c r="F362" s="65">
        <v>1</v>
      </c>
      <c r="G362" s="65">
        <v>0.99444444444444446</v>
      </c>
      <c r="H362" s="2">
        <f t="shared" si="18"/>
        <v>159766</v>
      </c>
      <c r="I362" s="12">
        <f t="shared" si="16"/>
        <v>0.22654166666666664</v>
      </c>
      <c r="J362" s="12">
        <f t="shared" si="17"/>
        <v>0.14993055555555557</v>
      </c>
    </row>
    <row r="363" spans="1:10" ht="15" customHeight="1">
      <c r="A363" s="14">
        <v>45531</v>
      </c>
      <c r="B363" s="10">
        <f>VLOOKUP(A363,'BADI SID DATA'!A:B,2,0)</f>
        <v>149</v>
      </c>
      <c r="C363" s="4">
        <v>1605</v>
      </c>
      <c r="D363" s="63">
        <v>5.94</v>
      </c>
      <c r="E363" s="3"/>
      <c r="F363" s="65">
        <v>1</v>
      </c>
      <c r="G363" s="65">
        <v>0.98888888888888893</v>
      </c>
      <c r="H363" s="2">
        <f t="shared" si="18"/>
        <v>161371</v>
      </c>
      <c r="I363" s="12">
        <f t="shared" si="16"/>
        <v>0.22291666666666668</v>
      </c>
      <c r="J363" s="12">
        <f t="shared" si="17"/>
        <v>0.15042039522744222</v>
      </c>
    </row>
    <row r="364" spans="1:10" ht="15" customHeight="1">
      <c r="A364" s="14">
        <v>45532</v>
      </c>
      <c r="B364" s="10">
        <f>VLOOKUP(A364,'BADI SID DATA'!A:B,2,0)</f>
        <v>150</v>
      </c>
      <c r="C364" s="4">
        <v>1628.3</v>
      </c>
      <c r="D364" s="63">
        <v>5.82</v>
      </c>
      <c r="E364" s="3"/>
      <c r="F364" s="65">
        <v>1</v>
      </c>
      <c r="G364" s="65">
        <v>1</v>
      </c>
      <c r="H364" s="2">
        <f t="shared" si="18"/>
        <v>162999.29999999999</v>
      </c>
      <c r="I364" s="12">
        <f t="shared" si="16"/>
        <v>0.22615277777777776</v>
      </c>
      <c r="J364" s="12">
        <f t="shared" si="17"/>
        <v>0.15092527777777776</v>
      </c>
    </row>
    <row r="365" spans="1:10" ht="15" customHeight="1">
      <c r="A365" s="14">
        <v>45533</v>
      </c>
      <c r="B365" s="10">
        <f>VLOOKUP(A365,'BADI SID DATA'!A:B,2,0)</f>
        <v>151</v>
      </c>
      <c r="C365" s="4">
        <v>1180.4000000000001</v>
      </c>
      <c r="D365" s="63">
        <v>4.07</v>
      </c>
      <c r="E365" s="3"/>
      <c r="F365" s="65">
        <v>1</v>
      </c>
      <c r="G365" s="65">
        <v>1</v>
      </c>
      <c r="H365" s="2">
        <f t="shared" si="18"/>
        <v>164179.69999999998</v>
      </c>
      <c r="I365" s="12">
        <f t="shared" si="16"/>
        <v>0.16394444444444445</v>
      </c>
      <c r="J365" s="12">
        <f t="shared" si="17"/>
        <v>0.15101149742457687</v>
      </c>
    </row>
    <row r="366" spans="1:10" ht="15" customHeight="1">
      <c r="A366" s="14">
        <v>45534</v>
      </c>
      <c r="B366" s="10">
        <f>VLOOKUP(A366,'BADI SID DATA'!A:B,2,0)</f>
        <v>152</v>
      </c>
      <c r="C366" s="4">
        <v>1532.6</v>
      </c>
      <c r="D366" s="63">
        <v>5.57</v>
      </c>
      <c r="E366" s="3"/>
      <c r="F366" s="65">
        <v>1</v>
      </c>
      <c r="G366" s="65">
        <v>1</v>
      </c>
      <c r="H366" s="2">
        <f t="shared" si="18"/>
        <v>165712.29999999999</v>
      </c>
      <c r="I366" s="12">
        <f t="shared" si="16"/>
        <v>0.21286111111111111</v>
      </c>
      <c r="J366" s="12">
        <f t="shared" si="17"/>
        <v>0.15141840277777777</v>
      </c>
    </row>
    <row r="367" spans="1:10" ht="15" customHeight="1">
      <c r="A367" s="14">
        <v>45535</v>
      </c>
      <c r="B367" s="10">
        <f>VLOOKUP(A367,'BADI SID DATA'!A:B,2,0)</f>
        <v>153</v>
      </c>
      <c r="C367" s="4">
        <v>1593.5000000000002</v>
      </c>
      <c r="D367" s="3">
        <v>5.77</v>
      </c>
      <c r="E367" s="3"/>
      <c r="F367" s="65">
        <v>1</v>
      </c>
      <c r="G367" s="65">
        <v>1</v>
      </c>
      <c r="H367" s="2">
        <f t="shared" si="18"/>
        <v>167305.79999999999</v>
      </c>
      <c r="I367" s="12">
        <f t="shared" si="16"/>
        <v>0.22131944444444449</v>
      </c>
      <c r="J367" s="12">
        <f t="shared" si="17"/>
        <v>0.15187527233115466</v>
      </c>
    </row>
    <row r="368" spans="1:10" ht="15" customHeight="1">
      <c r="A368" s="14">
        <v>45536</v>
      </c>
      <c r="B368" s="10">
        <f>VLOOKUP(A368,'BADI SID DATA'!A:B,2,0)</f>
        <v>154</v>
      </c>
      <c r="C368" s="4">
        <v>750.6</v>
      </c>
      <c r="D368" s="3">
        <v>2.52</v>
      </c>
      <c r="E368" s="3"/>
      <c r="F368" s="65">
        <v>1</v>
      </c>
      <c r="G368" s="65">
        <v>1</v>
      </c>
      <c r="H368" s="2">
        <f t="shared" si="18"/>
        <v>168056.4</v>
      </c>
      <c r="I368" s="12">
        <f t="shared" si="16"/>
        <v>0.10425000000000001</v>
      </c>
      <c r="J368" s="12">
        <f t="shared" si="17"/>
        <v>0.15156601731601732</v>
      </c>
    </row>
    <row r="369" spans="1:10" ht="15" customHeight="1">
      <c r="A369" s="14">
        <v>45537</v>
      </c>
      <c r="B369" s="10">
        <f>VLOOKUP(A369,'BADI SID DATA'!A:B,2,0)</f>
        <v>155</v>
      </c>
      <c r="C369" s="4">
        <v>1600.6</v>
      </c>
      <c r="D369" s="3">
        <v>5.63</v>
      </c>
      <c r="E369" s="3"/>
      <c r="F369" s="65">
        <v>1</v>
      </c>
      <c r="G369" s="65">
        <v>1</v>
      </c>
      <c r="H369" s="2">
        <f t="shared" si="18"/>
        <v>169657</v>
      </c>
      <c r="I369" s="12">
        <f t="shared" si="16"/>
        <v>0.22230555555555553</v>
      </c>
      <c r="J369" s="12">
        <f t="shared" si="17"/>
        <v>0.15202240143369175</v>
      </c>
    </row>
    <row r="370" spans="1:10" ht="15" customHeight="1">
      <c r="A370" s="14">
        <v>45538</v>
      </c>
      <c r="B370" s="10">
        <f>VLOOKUP(A370,'BADI SID DATA'!A:B,2,0)</f>
        <v>156</v>
      </c>
      <c r="C370" s="4">
        <v>1588.5</v>
      </c>
      <c r="D370" s="3">
        <v>5.73</v>
      </c>
      <c r="E370" s="3"/>
      <c r="F370" s="65">
        <v>1</v>
      </c>
      <c r="G370" s="65">
        <v>1</v>
      </c>
      <c r="H370" s="2">
        <f t="shared" si="18"/>
        <v>171245.5</v>
      </c>
      <c r="I370" s="12">
        <f t="shared" si="16"/>
        <v>0.22062499999999999</v>
      </c>
      <c r="J370" s="12">
        <f t="shared" si="17"/>
        <v>0.15246216168091167</v>
      </c>
    </row>
    <row r="371" spans="1:10" ht="15" customHeight="1">
      <c r="A371" s="14">
        <v>45539</v>
      </c>
      <c r="B371" s="10">
        <f>VLOOKUP(A371,'BADI SID DATA'!A:B,2,0)</f>
        <v>157</v>
      </c>
      <c r="C371" s="4">
        <v>1676</v>
      </c>
      <c r="D371" s="3">
        <v>6.02</v>
      </c>
      <c r="E371" s="3"/>
      <c r="F371" s="65">
        <v>1</v>
      </c>
      <c r="G371" s="65">
        <v>1</v>
      </c>
      <c r="H371" s="2">
        <f t="shared" si="18"/>
        <v>172921.5</v>
      </c>
      <c r="I371" s="12">
        <f t="shared" si="16"/>
        <v>0.23277777777777778</v>
      </c>
      <c r="J371" s="12">
        <f t="shared" si="17"/>
        <v>0.15297372611464968</v>
      </c>
    </row>
    <row r="372" spans="1:10" ht="15" customHeight="1">
      <c r="A372" s="14">
        <v>45540</v>
      </c>
      <c r="B372" s="10">
        <f>VLOOKUP(A372,'BADI SID DATA'!A:B,2,0)</f>
        <v>158</v>
      </c>
      <c r="C372" s="4">
        <v>1676.6</v>
      </c>
      <c r="D372" s="3">
        <v>6.06</v>
      </c>
      <c r="E372" s="3"/>
      <c r="F372" s="65">
        <v>1</v>
      </c>
      <c r="G372" s="65">
        <v>1</v>
      </c>
      <c r="H372" s="2">
        <f t="shared" si="18"/>
        <v>174598.1</v>
      </c>
      <c r="I372" s="12">
        <f t="shared" si="16"/>
        <v>0.2328611111111111</v>
      </c>
      <c r="J372" s="12">
        <f t="shared" si="17"/>
        <v>0.15347934247538678</v>
      </c>
    </row>
    <row r="373" spans="1:10" ht="15" customHeight="1">
      <c r="A373" s="14">
        <v>45541</v>
      </c>
      <c r="B373" s="10">
        <f>VLOOKUP(A373,'BADI SID DATA'!A:B,2,0)</f>
        <v>159</v>
      </c>
      <c r="C373" s="4">
        <v>1560.2</v>
      </c>
      <c r="D373" s="3">
        <v>5.55</v>
      </c>
      <c r="E373" s="3"/>
      <c r="F373" s="65">
        <v>1</v>
      </c>
      <c r="G373" s="65">
        <v>1</v>
      </c>
      <c r="H373" s="2">
        <f t="shared" si="18"/>
        <v>176158.30000000002</v>
      </c>
      <c r="I373" s="12">
        <f t="shared" si="16"/>
        <v>0.21669444444444444</v>
      </c>
      <c r="J373" s="12">
        <f t="shared" si="17"/>
        <v>0.15387692173305381</v>
      </c>
    </row>
    <row r="374" spans="1:10" ht="15" customHeight="1">
      <c r="A374" s="14">
        <v>45542</v>
      </c>
      <c r="B374" s="10">
        <f>VLOOKUP(A374,'BADI SID DATA'!A:B,2,0)</f>
        <v>160</v>
      </c>
      <c r="C374" s="4">
        <v>1061.9000000000001</v>
      </c>
      <c r="D374" s="3">
        <v>3.65</v>
      </c>
      <c r="E374" s="3"/>
      <c r="F374" s="65">
        <v>1</v>
      </c>
      <c r="G374" s="65">
        <v>1</v>
      </c>
      <c r="H374" s="2">
        <f t="shared" si="18"/>
        <v>177220.2</v>
      </c>
      <c r="I374" s="12">
        <f t="shared" si="16"/>
        <v>0.14748611111111112</v>
      </c>
      <c r="J374" s="12">
        <f t="shared" si="17"/>
        <v>0.15383697916666667</v>
      </c>
    </row>
    <row r="375" spans="1:10" ht="15" customHeight="1">
      <c r="A375" s="14">
        <v>45543</v>
      </c>
      <c r="B375" s="10">
        <f>VLOOKUP(A375,'BADI SID DATA'!A:B,2,0)</f>
        <v>161</v>
      </c>
      <c r="C375" s="4">
        <v>220.8</v>
      </c>
      <c r="D375" s="3">
        <v>3.65</v>
      </c>
      <c r="E375" s="3"/>
      <c r="F375" s="65">
        <v>1</v>
      </c>
      <c r="G375" s="65">
        <v>0.43611111111111101</v>
      </c>
      <c r="H375" s="2">
        <f t="shared" si="18"/>
        <v>177441</v>
      </c>
      <c r="I375" s="12">
        <f t="shared" si="16"/>
        <v>3.0666666666666668E-2</v>
      </c>
      <c r="J375" s="12">
        <f t="shared" si="17"/>
        <v>0.15307194616977227</v>
      </c>
    </row>
    <row r="376" spans="1:10" ht="15" customHeight="1">
      <c r="A376" s="14">
        <v>45544</v>
      </c>
      <c r="B376" s="10">
        <f>VLOOKUP(A376,'BADI SID DATA'!A:B,2,0)</f>
        <v>162</v>
      </c>
      <c r="C376" s="4">
        <v>1424.2</v>
      </c>
      <c r="D376" s="3">
        <v>5.33</v>
      </c>
      <c r="E376" s="3"/>
      <c r="F376" s="65">
        <v>1</v>
      </c>
      <c r="G376" s="65">
        <v>1</v>
      </c>
      <c r="H376" s="2">
        <f t="shared" si="18"/>
        <v>178865.2</v>
      </c>
      <c r="I376" s="12">
        <f t="shared" si="16"/>
        <v>0.19780555555555557</v>
      </c>
      <c r="J376" s="12">
        <f t="shared" si="17"/>
        <v>0.15334807956104254</v>
      </c>
    </row>
    <row r="377" spans="1:10" ht="15" customHeight="1">
      <c r="A377" s="14">
        <v>45545</v>
      </c>
      <c r="B377" s="10">
        <f>VLOOKUP(A377,'BADI SID DATA'!A:B,2,0)</f>
        <v>163</v>
      </c>
      <c r="C377" s="4">
        <v>1468.8</v>
      </c>
      <c r="D377" s="3">
        <v>5.55</v>
      </c>
      <c r="E377" s="3"/>
      <c r="F377" s="65">
        <v>1</v>
      </c>
      <c r="G377" s="65">
        <v>0.9652777777777779</v>
      </c>
      <c r="H377" s="2">
        <f t="shared" si="18"/>
        <v>180334</v>
      </c>
      <c r="I377" s="12">
        <f t="shared" si="16"/>
        <v>0.20399999999999999</v>
      </c>
      <c r="J377" s="12">
        <f t="shared" si="17"/>
        <v>0.15365882753919563</v>
      </c>
    </row>
    <row r="378" spans="1:10" ht="15" customHeight="1">
      <c r="A378" s="14">
        <v>45546</v>
      </c>
      <c r="B378" s="10">
        <f>VLOOKUP(A378,'BADI SID DATA'!A:B,2,0)</f>
        <v>164</v>
      </c>
      <c r="C378" s="4">
        <v>1696.1999999999998</v>
      </c>
      <c r="D378" s="3">
        <v>6.11</v>
      </c>
      <c r="E378" s="3"/>
      <c r="F378" s="65">
        <v>1</v>
      </c>
      <c r="G378" s="65">
        <v>1</v>
      </c>
      <c r="H378" s="2">
        <f t="shared" si="18"/>
        <v>182030.2</v>
      </c>
      <c r="I378" s="12">
        <f t="shared" si="16"/>
        <v>0.23558333333333331</v>
      </c>
      <c r="J378" s="12">
        <f t="shared" si="17"/>
        <v>0.1541583672086721</v>
      </c>
    </row>
    <row r="379" spans="1:10" ht="15" customHeight="1">
      <c r="A379" s="14">
        <v>45547</v>
      </c>
      <c r="B379" s="10">
        <f>VLOOKUP(A379,'BADI SID DATA'!A:B,2,0)</f>
        <v>165</v>
      </c>
      <c r="C379" s="4">
        <v>1481.3</v>
      </c>
      <c r="D379" s="3">
        <v>5.24</v>
      </c>
      <c r="E379" s="3"/>
      <c r="F379" s="65">
        <v>1</v>
      </c>
      <c r="G379" s="65">
        <v>1</v>
      </c>
      <c r="H379" s="2">
        <f t="shared" si="18"/>
        <v>183511.5</v>
      </c>
      <c r="I379" s="12">
        <f t="shared" si="16"/>
        <v>0.20573611111111109</v>
      </c>
      <c r="J379" s="12">
        <f t="shared" si="17"/>
        <v>0.15447095959595961</v>
      </c>
    </row>
    <row r="380" spans="1:10" ht="15" customHeight="1">
      <c r="A380" s="14">
        <v>45548</v>
      </c>
      <c r="B380" s="10">
        <f>VLOOKUP(A380,'BADI SID DATA'!A:B,2,0)</f>
        <v>166</v>
      </c>
      <c r="C380" s="4">
        <v>1323.3000000000002</v>
      </c>
      <c r="D380" s="3">
        <v>4.62</v>
      </c>
      <c r="E380" s="3"/>
      <c r="F380" s="65">
        <v>1</v>
      </c>
      <c r="G380" s="65">
        <v>1</v>
      </c>
      <c r="H380" s="2">
        <f t="shared" si="18"/>
        <v>184834.8</v>
      </c>
      <c r="I380" s="12">
        <f t="shared" si="16"/>
        <v>0.18379166666666669</v>
      </c>
      <c r="J380" s="12">
        <f t="shared" si="17"/>
        <v>0.15464759036144576</v>
      </c>
    </row>
    <row r="381" spans="1:10" ht="15" customHeight="1">
      <c r="A381" s="14">
        <v>45549</v>
      </c>
      <c r="B381" s="10">
        <f>VLOOKUP(A381,'BADI SID DATA'!A:B,2,0)</f>
        <v>167</v>
      </c>
      <c r="C381" s="4">
        <v>1154.3000000000002</v>
      </c>
      <c r="D381" s="3">
        <v>4.0199999999999996</v>
      </c>
      <c r="E381" s="3"/>
      <c r="F381" s="65">
        <v>1</v>
      </c>
      <c r="G381" s="65">
        <v>1</v>
      </c>
      <c r="H381" s="2">
        <f t="shared" si="18"/>
        <v>185989.09999999998</v>
      </c>
      <c r="I381" s="12">
        <f t="shared" si="16"/>
        <v>0.16031944444444446</v>
      </c>
      <c r="J381" s="12">
        <f t="shared" si="17"/>
        <v>0.15468155355954755</v>
      </c>
    </row>
    <row r="382" spans="1:10" ht="15" customHeight="1">
      <c r="A382" s="14">
        <v>45550</v>
      </c>
      <c r="B382" s="10">
        <f>VLOOKUP(A382,'BADI SID DATA'!A:B,2,0)</f>
        <v>168</v>
      </c>
      <c r="C382" s="4">
        <v>1489.5</v>
      </c>
      <c r="D382" s="3">
        <v>5.46</v>
      </c>
      <c r="E382" s="3"/>
      <c r="F382" s="65">
        <v>1</v>
      </c>
      <c r="G382" s="65">
        <v>1</v>
      </c>
      <c r="H382" s="2">
        <f t="shared" si="18"/>
        <v>187478.59999999998</v>
      </c>
      <c r="I382" s="12">
        <f t="shared" si="16"/>
        <v>0.206875</v>
      </c>
      <c r="J382" s="12">
        <f t="shared" si="17"/>
        <v>0.15499222883597882</v>
      </c>
    </row>
    <row r="383" spans="1:10" ht="15" customHeight="1">
      <c r="A383" s="14">
        <v>45551</v>
      </c>
      <c r="B383" s="10">
        <f>VLOOKUP(A383,'BADI SID DATA'!A:B,2,0)</f>
        <v>169</v>
      </c>
      <c r="C383" s="4">
        <v>1667.5000000000002</v>
      </c>
      <c r="D383" s="3">
        <v>6.08</v>
      </c>
      <c r="E383" s="3"/>
      <c r="F383" s="65">
        <v>1</v>
      </c>
      <c r="G383" s="65">
        <v>1</v>
      </c>
      <c r="H383" s="2">
        <f t="shared" si="18"/>
        <v>189146.09999999998</v>
      </c>
      <c r="I383" s="12">
        <f t="shared" si="16"/>
        <v>0.23159722222222226</v>
      </c>
      <c r="J383" s="12">
        <f t="shared" si="17"/>
        <v>0.1554455128205128</v>
      </c>
    </row>
    <row r="384" spans="1:10" ht="15" customHeight="1">
      <c r="A384" s="14">
        <v>45552</v>
      </c>
      <c r="B384" s="10">
        <f>VLOOKUP(A384,'BADI SID DATA'!A:B,2,0)</f>
        <v>170</v>
      </c>
      <c r="C384" s="4">
        <v>1700.4</v>
      </c>
      <c r="D384" s="3">
        <v>6.18</v>
      </c>
      <c r="E384" s="3"/>
      <c r="F384" s="65">
        <v>1</v>
      </c>
      <c r="G384" s="65">
        <v>1</v>
      </c>
      <c r="H384" s="2">
        <f t="shared" si="18"/>
        <v>190846.49999999997</v>
      </c>
      <c r="I384" s="12">
        <f t="shared" si="16"/>
        <v>0.23616666666666669</v>
      </c>
      <c r="J384" s="12">
        <f t="shared" si="17"/>
        <v>0.15592034313725489</v>
      </c>
    </row>
    <row r="385" spans="1:10" ht="15" customHeight="1">
      <c r="A385" s="14">
        <v>45553</v>
      </c>
      <c r="B385" s="10">
        <f>VLOOKUP(A385,'BADI SID DATA'!A:B,2,0)</f>
        <v>171</v>
      </c>
      <c r="C385" s="4">
        <v>1674.3000000000002</v>
      </c>
      <c r="D385" s="3">
        <v>6.07</v>
      </c>
      <c r="E385" s="3"/>
      <c r="F385" s="65">
        <v>1</v>
      </c>
      <c r="G385" s="65">
        <v>1</v>
      </c>
      <c r="H385" s="2">
        <f>C385</f>
        <v>1674.3000000000002</v>
      </c>
      <c r="I385" s="12">
        <f t="shared" si="16"/>
        <v>0.2325416666666667</v>
      </c>
      <c r="J385" s="12">
        <f>H385/(24*B385*300)</f>
        <v>1.3598927875243666E-3</v>
      </c>
    </row>
    <row r="386" spans="1:10" ht="15" customHeight="1">
      <c r="A386" s="14">
        <v>45554</v>
      </c>
      <c r="B386" s="10">
        <f>VLOOKUP(A386,'BADI SID DATA'!A:B,2,0)</f>
        <v>172</v>
      </c>
      <c r="C386" s="4">
        <v>1685.8000000000002</v>
      </c>
      <c r="D386" s="3">
        <v>6.17</v>
      </c>
      <c r="E386" s="3"/>
      <c r="F386" s="65">
        <v>1</v>
      </c>
      <c r="G386" s="65">
        <v>1</v>
      </c>
      <c r="H386" s="2">
        <f>H385+C386</f>
        <v>3360.1000000000004</v>
      </c>
      <c r="I386" s="12">
        <f t="shared" si="16"/>
        <v>0.23413888888888892</v>
      </c>
      <c r="J386" s="12">
        <f t="shared" si="17"/>
        <v>2.7132590439276488E-3</v>
      </c>
    </row>
    <row r="387" spans="1:10" ht="15" customHeight="1">
      <c r="A387" s="14">
        <v>45555</v>
      </c>
      <c r="B387" s="10">
        <f>VLOOKUP(A387,'BADI SID DATA'!A:B,2,0)</f>
        <v>173</v>
      </c>
      <c r="C387" s="4">
        <v>1579.6</v>
      </c>
      <c r="D387" s="3">
        <v>5.74</v>
      </c>
      <c r="E387" s="3"/>
      <c r="F387" s="65">
        <v>1</v>
      </c>
      <c r="G387" s="65">
        <v>1</v>
      </c>
      <c r="H387" s="2">
        <f t="shared" ref="H387:H450" si="19">H386+C387</f>
        <v>4939.7000000000007</v>
      </c>
      <c r="I387" s="12">
        <f t="shared" ref="I387:I450" si="20">C387/(300*24)</f>
        <v>0.21938888888888888</v>
      </c>
      <c r="J387" s="12">
        <f t="shared" ref="J387:J450" si="21">H387/(24*B387*300)</f>
        <v>3.9657193320488124E-3</v>
      </c>
    </row>
    <row r="388" spans="1:10" ht="15" customHeight="1">
      <c r="A388" s="14">
        <v>45556</v>
      </c>
      <c r="B388" s="10">
        <f>VLOOKUP(A388,'BADI SID DATA'!A:B,2,0)</f>
        <v>174</v>
      </c>
      <c r="C388" s="4">
        <v>1716.1</v>
      </c>
      <c r="D388" s="3">
        <v>6.32</v>
      </c>
      <c r="E388" s="3"/>
      <c r="F388" s="65">
        <v>1</v>
      </c>
      <c r="G388" s="65">
        <v>1</v>
      </c>
      <c r="H388" s="2">
        <f t="shared" si="19"/>
        <v>6655.8000000000011</v>
      </c>
      <c r="I388" s="12">
        <f t="shared" si="20"/>
        <v>0.23834722222222221</v>
      </c>
      <c r="J388" s="12">
        <f t="shared" si="21"/>
        <v>5.3127394636015334E-3</v>
      </c>
    </row>
    <row r="389" spans="1:10" ht="15" customHeight="1">
      <c r="A389" s="14">
        <v>45557</v>
      </c>
      <c r="B389" s="10">
        <f>VLOOKUP(A389,'BADI SID DATA'!A:B,2,0)</f>
        <v>175</v>
      </c>
      <c r="C389" s="4">
        <v>1543.3999999999999</v>
      </c>
      <c r="D389" s="3">
        <v>5.63</v>
      </c>
      <c r="E389" s="3"/>
      <c r="F389" s="65">
        <v>1</v>
      </c>
      <c r="G389" s="65">
        <v>1</v>
      </c>
      <c r="H389" s="2">
        <f t="shared" si="19"/>
        <v>8199.2000000000007</v>
      </c>
      <c r="I389" s="12">
        <f t="shared" si="20"/>
        <v>0.21436111111111109</v>
      </c>
      <c r="J389" s="12">
        <f t="shared" si="21"/>
        <v>6.5073015873015876E-3</v>
      </c>
    </row>
    <row r="390" spans="1:10" ht="15" customHeight="1">
      <c r="A390" s="14">
        <v>45558</v>
      </c>
      <c r="B390" s="10">
        <f>VLOOKUP(A390,'BADI SID DATA'!A:B,2,0)</f>
        <v>176</v>
      </c>
      <c r="C390" s="4">
        <v>1630</v>
      </c>
      <c r="D390" s="3">
        <v>6.05</v>
      </c>
      <c r="E390" s="3"/>
      <c r="F390" s="65">
        <v>1</v>
      </c>
      <c r="G390" s="65">
        <v>1</v>
      </c>
      <c r="H390" s="2">
        <f t="shared" si="19"/>
        <v>9829.2000000000007</v>
      </c>
      <c r="I390" s="12">
        <f t="shared" si="20"/>
        <v>0.22638888888888889</v>
      </c>
      <c r="J390" s="12">
        <f t="shared" si="21"/>
        <v>7.756628787878788E-3</v>
      </c>
    </row>
    <row r="391" spans="1:10" ht="15" customHeight="1">
      <c r="A391" s="14">
        <v>45559</v>
      </c>
      <c r="B391" s="10">
        <f>VLOOKUP(A391,'BADI SID DATA'!A:B,2,0)</f>
        <v>177</v>
      </c>
      <c r="C391" s="4">
        <v>1116.5</v>
      </c>
      <c r="D391" s="3">
        <v>4.7300000000000004</v>
      </c>
      <c r="E391" s="3"/>
      <c r="F391" s="65">
        <v>1</v>
      </c>
      <c r="G391" s="65">
        <v>1</v>
      </c>
      <c r="H391" s="2">
        <f t="shared" si="19"/>
        <v>10945.7</v>
      </c>
      <c r="I391" s="12">
        <f t="shared" si="20"/>
        <v>0.15506944444444445</v>
      </c>
      <c r="J391" s="12">
        <f t="shared" si="21"/>
        <v>8.5889045825486513E-3</v>
      </c>
    </row>
    <row r="392" spans="1:10" ht="15" customHeight="1">
      <c r="A392" s="14">
        <v>45560</v>
      </c>
      <c r="B392" s="10">
        <f>VLOOKUP(A392,'BADI SID DATA'!A:B,2,0)</f>
        <v>178</v>
      </c>
      <c r="C392" s="4">
        <v>1553.6999999999998</v>
      </c>
      <c r="D392" s="3">
        <v>5.61</v>
      </c>
      <c r="E392" s="3"/>
      <c r="F392" s="65">
        <v>1</v>
      </c>
      <c r="G392" s="65">
        <v>1</v>
      </c>
      <c r="H392" s="2">
        <f t="shared" si="19"/>
        <v>12499.400000000001</v>
      </c>
      <c r="I392" s="12">
        <f t="shared" si="20"/>
        <v>0.21579166666666663</v>
      </c>
      <c r="J392" s="12">
        <f t="shared" si="21"/>
        <v>9.7529650436953812E-3</v>
      </c>
    </row>
    <row r="393" spans="1:10" ht="15" customHeight="1">
      <c r="A393" s="14">
        <v>45561</v>
      </c>
      <c r="B393" s="10">
        <f>VLOOKUP(A393,'BADI SID DATA'!A:B,2,0)</f>
        <v>179</v>
      </c>
      <c r="C393" s="4">
        <v>1395.4</v>
      </c>
      <c r="D393" s="3">
        <v>4.84</v>
      </c>
      <c r="E393" s="3"/>
      <c r="F393" s="65">
        <v>1</v>
      </c>
      <c r="G393" s="65">
        <v>1</v>
      </c>
      <c r="H393" s="2">
        <f t="shared" si="19"/>
        <v>13894.800000000001</v>
      </c>
      <c r="I393" s="12">
        <f t="shared" si="20"/>
        <v>0.19380555555555556</v>
      </c>
      <c r="J393" s="12">
        <f t="shared" si="21"/>
        <v>1.0781191806331473E-2</v>
      </c>
    </row>
    <row r="394" spans="1:10" ht="15" customHeight="1">
      <c r="A394" s="14">
        <v>45562</v>
      </c>
      <c r="B394" s="10">
        <f>VLOOKUP(A394,'BADI SID DATA'!A:B,2,0)</f>
        <v>180</v>
      </c>
      <c r="C394" s="4">
        <v>1545.3000000000002</v>
      </c>
      <c r="D394" s="3">
        <v>5.56</v>
      </c>
      <c r="E394" s="3"/>
      <c r="F394" s="65">
        <v>1</v>
      </c>
      <c r="G394" s="65">
        <v>1</v>
      </c>
      <c r="H394" s="2">
        <f t="shared" si="19"/>
        <v>15440.100000000002</v>
      </c>
      <c r="I394" s="12">
        <f t="shared" si="20"/>
        <v>0.21462500000000004</v>
      </c>
      <c r="J394" s="12">
        <f t="shared" si="21"/>
        <v>1.1913657407407409E-2</v>
      </c>
    </row>
    <row r="395" spans="1:10" ht="15" customHeight="1">
      <c r="A395" s="14">
        <v>45563</v>
      </c>
      <c r="B395" s="10">
        <f>VLOOKUP(A395,'BADI SID DATA'!A:B,2,0)</f>
        <v>181</v>
      </c>
      <c r="C395" s="4">
        <v>1622.5</v>
      </c>
      <c r="D395" s="3">
        <v>5.93</v>
      </c>
      <c r="E395" s="3"/>
      <c r="F395" s="65">
        <v>1</v>
      </c>
      <c r="G395" s="65">
        <v>1</v>
      </c>
      <c r="H395" s="2">
        <f t="shared" si="19"/>
        <v>17062.600000000002</v>
      </c>
      <c r="I395" s="12">
        <f t="shared" si="20"/>
        <v>0.22534722222222223</v>
      </c>
      <c r="J395" s="12">
        <f t="shared" si="21"/>
        <v>1.3092848373235115E-2</v>
      </c>
    </row>
    <row r="396" spans="1:10" ht="15" customHeight="1">
      <c r="A396" s="14">
        <v>45564</v>
      </c>
      <c r="B396" s="10">
        <f>VLOOKUP(A396,'BADI SID DATA'!A:B,2,0)</f>
        <v>182</v>
      </c>
      <c r="C396" s="4">
        <v>1568.6</v>
      </c>
      <c r="D396" s="3">
        <v>5.69</v>
      </c>
      <c r="E396" s="3"/>
      <c r="F396" s="65">
        <v>1</v>
      </c>
      <c r="G396" s="65">
        <v>1</v>
      </c>
      <c r="H396" s="2">
        <f t="shared" si="19"/>
        <v>18631.2</v>
      </c>
      <c r="I396" s="12">
        <f t="shared" si="20"/>
        <v>0.21786111111111109</v>
      </c>
      <c r="J396" s="12">
        <f t="shared" si="21"/>
        <v>1.4217948717948719E-2</v>
      </c>
    </row>
    <row r="397" spans="1:10" ht="15" customHeight="1">
      <c r="A397" s="14">
        <v>45565</v>
      </c>
      <c r="B397" s="10">
        <f>VLOOKUP(A397,'BADI SID DATA'!A:B,2,0)</f>
        <v>183</v>
      </c>
      <c r="C397" s="4">
        <v>1318.6</v>
      </c>
      <c r="D397" s="3">
        <v>4.72</v>
      </c>
      <c r="E397" s="3"/>
      <c r="F397" s="65">
        <v>1</v>
      </c>
      <c r="G397" s="65">
        <v>1</v>
      </c>
      <c r="H397" s="2">
        <f t="shared" si="19"/>
        <v>19949.8</v>
      </c>
      <c r="I397" s="12">
        <f t="shared" si="20"/>
        <v>0.18313888888888888</v>
      </c>
      <c r="J397" s="12">
        <f t="shared" si="21"/>
        <v>1.5141013964784455E-2</v>
      </c>
    </row>
    <row r="398" spans="1:10" ht="15" customHeight="1">
      <c r="A398" s="14">
        <v>45566</v>
      </c>
      <c r="B398" s="10">
        <f>VLOOKUP(A398,'BADI SID DATA'!A:B,2,0)</f>
        <v>184</v>
      </c>
      <c r="C398" s="4">
        <v>248.20000000000002</v>
      </c>
      <c r="D398" s="63">
        <v>0.83</v>
      </c>
      <c r="E398" s="3"/>
      <c r="F398" s="65">
        <v>1</v>
      </c>
      <c r="G398" s="65">
        <v>1</v>
      </c>
      <c r="H398" s="2">
        <f t="shared" si="19"/>
        <v>20198</v>
      </c>
      <c r="I398" s="12">
        <f t="shared" si="20"/>
        <v>3.4472222222222224E-2</v>
      </c>
      <c r="J398" s="12">
        <f t="shared" si="21"/>
        <v>1.5246074879227052E-2</v>
      </c>
    </row>
    <row r="399" spans="1:10" ht="15" customHeight="1">
      <c r="A399" s="14">
        <v>45567</v>
      </c>
      <c r="B399" s="10">
        <f>VLOOKUP(A399,'BADI SID DATA'!A:B,2,0)</f>
        <v>185</v>
      </c>
      <c r="C399" s="4">
        <v>1483.9</v>
      </c>
      <c r="D399" s="63">
        <v>5.35</v>
      </c>
      <c r="E399" s="3"/>
      <c r="F399" s="65">
        <v>1</v>
      </c>
      <c r="G399" s="65">
        <v>1</v>
      </c>
      <c r="H399" s="2">
        <f t="shared" si="19"/>
        <v>21681.9</v>
      </c>
      <c r="I399" s="12">
        <f t="shared" si="20"/>
        <v>0.20609722222222224</v>
      </c>
      <c r="J399" s="12">
        <f t="shared" si="21"/>
        <v>1.6277702702702703E-2</v>
      </c>
    </row>
    <row r="400" spans="1:10" ht="15" customHeight="1">
      <c r="A400" s="14">
        <v>45568</v>
      </c>
      <c r="B400" s="10">
        <f>VLOOKUP(A400,'BADI SID DATA'!A:B,2,0)</f>
        <v>186</v>
      </c>
      <c r="C400" s="4">
        <v>1161.2</v>
      </c>
      <c r="D400" s="63">
        <v>4.13</v>
      </c>
      <c r="E400" s="3"/>
      <c r="F400" s="65">
        <v>1</v>
      </c>
      <c r="G400" s="65">
        <v>1</v>
      </c>
      <c r="H400" s="2">
        <f t="shared" si="19"/>
        <v>22843.100000000002</v>
      </c>
      <c r="I400" s="12">
        <f t="shared" si="20"/>
        <v>0.1612777777777778</v>
      </c>
      <c r="J400" s="12">
        <f t="shared" si="21"/>
        <v>1.7057272998805259E-2</v>
      </c>
    </row>
    <row r="401" spans="1:10" ht="15" customHeight="1">
      <c r="A401" s="14">
        <v>45569</v>
      </c>
      <c r="B401" s="10">
        <f>VLOOKUP(A401,'BADI SID DATA'!A:B,2,0)</f>
        <v>187</v>
      </c>
      <c r="C401" s="4">
        <v>1394.8000000000002</v>
      </c>
      <c r="D401" s="63">
        <v>4.9400000000000004</v>
      </c>
      <c r="E401" s="3"/>
      <c r="F401" s="65">
        <v>1</v>
      </c>
      <c r="G401" s="65">
        <v>1</v>
      </c>
      <c r="H401" s="2">
        <f t="shared" si="19"/>
        <v>24237.9</v>
      </c>
      <c r="I401" s="12">
        <f t="shared" si="20"/>
        <v>0.19372222222222224</v>
      </c>
      <c r="J401" s="12">
        <f t="shared" si="21"/>
        <v>1.8002005347593584E-2</v>
      </c>
    </row>
    <row r="402" spans="1:10" ht="15" customHeight="1">
      <c r="A402" s="14">
        <v>45570</v>
      </c>
      <c r="B402" s="10">
        <f>VLOOKUP(A402,'BADI SID DATA'!A:B,2,0)</f>
        <v>188</v>
      </c>
      <c r="C402" s="4">
        <v>809.2</v>
      </c>
      <c r="D402" s="63">
        <v>2.72</v>
      </c>
      <c r="E402" s="3"/>
      <c r="F402" s="65">
        <v>1</v>
      </c>
      <c r="G402" s="65">
        <v>1</v>
      </c>
      <c r="H402" s="2">
        <f t="shared" si="19"/>
        <v>25047.100000000002</v>
      </c>
      <c r="I402" s="12">
        <f t="shared" si="20"/>
        <v>0.1123888888888889</v>
      </c>
      <c r="J402" s="12">
        <f t="shared" si="21"/>
        <v>1.8504063238770688E-2</v>
      </c>
    </row>
    <row r="403" spans="1:10" ht="15" customHeight="1">
      <c r="A403" s="14">
        <v>45571</v>
      </c>
      <c r="B403" s="10">
        <f>VLOOKUP(A403,'BADI SID DATA'!A:B,2,0)</f>
        <v>189</v>
      </c>
      <c r="C403" s="4">
        <v>1606.3999999999999</v>
      </c>
      <c r="D403" s="63">
        <v>5.79</v>
      </c>
      <c r="E403" s="3"/>
      <c r="F403" s="65">
        <v>1</v>
      </c>
      <c r="G403" s="65">
        <v>1</v>
      </c>
      <c r="H403" s="2">
        <f t="shared" si="19"/>
        <v>26653.500000000004</v>
      </c>
      <c r="I403" s="12">
        <f t="shared" si="20"/>
        <v>0.22311111111111109</v>
      </c>
      <c r="J403" s="12">
        <f t="shared" si="21"/>
        <v>1.9586640211640215E-2</v>
      </c>
    </row>
    <row r="404" spans="1:10" ht="15" customHeight="1">
      <c r="A404" s="14">
        <v>45572</v>
      </c>
      <c r="B404" s="10">
        <f>VLOOKUP(A404,'BADI SID DATA'!A:B,2,0)</f>
        <v>190</v>
      </c>
      <c r="C404" s="4">
        <v>720.7</v>
      </c>
      <c r="D404" s="63">
        <v>2.5099999999999998</v>
      </c>
      <c r="E404" s="3"/>
      <c r="F404" s="65">
        <v>1</v>
      </c>
      <c r="G404" s="65">
        <v>1</v>
      </c>
      <c r="H404" s="2">
        <f t="shared" si="19"/>
        <v>27374.200000000004</v>
      </c>
      <c r="I404" s="12">
        <f t="shared" si="20"/>
        <v>0.10009722222222223</v>
      </c>
      <c r="J404" s="12">
        <f t="shared" si="21"/>
        <v>2.0010380116959069E-2</v>
      </c>
    </row>
    <row r="405" spans="1:10" ht="15" customHeight="1">
      <c r="A405" s="14">
        <v>45573</v>
      </c>
      <c r="B405" s="10">
        <f>VLOOKUP(A405,'BADI SID DATA'!A:B,2,0)</f>
        <v>191</v>
      </c>
      <c r="C405" s="4">
        <v>877.8</v>
      </c>
      <c r="D405" s="63">
        <v>2.98</v>
      </c>
      <c r="E405" s="3"/>
      <c r="F405" s="65">
        <v>1</v>
      </c>
      <c r="G405" s="65">
        <v>1</v>
      </c>
      <c r="H405" s="2">
        <f t="shared" si="19"/>
        <v>28252.000000000004</v>
      </c>
      <c r="I405" s="12">
        <f t="shared" si="20"/>
        <v>0.12191666666666666</v>
      </c>
      <c r="J405" s="12">
        <f t="shared" si="21"/>
        <v>2.0543920884235022E-2</v>
      </c>
    </row>
    <row r="406" spans="1:10" ht="15" customHeight="1">
      <c r="A406" s="14">
        <v>45574</v>
      </c>
      <c r="B406" s="10">
        <f>VLOOKUP(A406,'BADI SID DATA'!A:B,2,0)</f>
        <v>192</v>
      </c>
      <c r="C406" s="4">
        <v>238.9</v>
      </c>
      <c r="D406" s="63">
        <v>0.64</v>
      </c>
      <c r="E406" s="3"/>
      <c r="F406" s="65">
        <v>1</v>
      </c>
      <c r="G406" s="65">
        <v>1</v>
      </c>
      <c r="H406" s="2">
        <f t="shared" si="19"/>
        <v>28490.900000000005</v>
      </c>
      <c r="I406" s="12">
        <f t="shared" si="20"/>
        <v>3.3180555555555553E-2</v>
      </c>
      <c r="J406" s="12">
        <f t="shared" si="21"/>
        <v>2.060973668981482E-2</v>
      </c>
    </row>
    <row r="407" spans="1:10" ht="15" customHeight="1">
      <c r="A407" s="14">
        <v>45575</v>
      </c>
      <c r="B407" s="10">
        <f>VLOOKUP(A407,'BADI SID DATA'!A:B,2,0)</f>
        <v>193</v>
      </c>
      <c r="C407" s="4">
        <v>933.00000000000011</v>
      </c>
      <c r="D407" s="63">
        <v>3.25</v>
      </c>
      <c r="E407" s="3"/>
      <c r="F407" s="65">
        <v>1</v>
      </c>
      <c r="G407" s="65">
        <v>1</v>
      </c>
      <c r="H407" s="2">
        <f t="shared" si="19"/>
        <v>29423.900000000005</v>
      </c>
      <c r="I407" s="12">
        <f t="shared" si="20"/>
        <v>0.12958333333333336</v>
      </c>
      <c r="J407" s="12">
        <f t="shared" si="21"/>
        <v>2.1174366724237195E-2</v>
      </c>
    </row>
    <row r="408" spans="1:10" ht="15" customHeight="1">
      <c r="A408" s="14">
        <v>45576</v>
      </c>
      <c r="B408" s="10">
        <f>VLOOKUP(A408,'BADI SID DATA'!A:B,2,0)</f>
        <v>194</v>
      </c>
      <c r="C408" s="4">
        <v>519.6</v>
      </c>
      <c r="D408" s="63">
        <v>1.68</v>
      </c>
      <c r="E408" s="3"/>
      <c r="F408" s="65">
        <v>1</v>
      </c>
      <c r="G408" s="65">
        <v>0.83333333333333326</v>
      </c>
      <c r="H408" s="2">
        <f t="shared" si="19"/>
        <v>29943.500000000004</v>
      </c>
      <c r="I408" s="12">
        <f t="shared" si="20"/>
        <v>7.2166666666666671E-2</v>
      </c>
      <c r="J408" s="12">
        <f t="shared" si="21"/>
        <v>2.1437213631156932E-2</v>
      </c>
    </row>
    <row r="409" spans="1:10" ht="15" customHeight="1">
      <c r="A409" s="14">
        <v>45577</v>
      </c>
      <c r="B409" s="10">
        <f>VLOOKUP(A409,'BADI SID DATA'!A:B,2,0)</f>
        <v>195</v>
      </c>
      <c r="C409" s="4">
        <v>528.20000000000005</v>
      </c>
      <c r="D409" s="63">
        <v>1.73</v>
      </c>
      <c r="E409" s="3"/>
      <c r="F409" s="65">
        <v>1</v>
      </c>
      <c r="G409" s="65">
        <v>1</v>
      </c>
      <c r="H409" s="2">
        <f t="shared" si="19"/>
        <v>30471.700000000004</v>
      </c>
      <c r="I409" s="12">
        <f t="shared" si="20"/>
        <v>7.3361111111111113E-2</v>
      </c>
      <c r="J409" s="12">
        <f t="shared" si="21"/>
        <v>2.1703490028490032E-2</v>
      </c>
    </row>
    <row r="410" spans="1:10" ht="15" customHeight="1">
      <c r="A410" s="14">
        <v>45578</v>
      </c>
      <c r="B410" s="10">
        <f>VLOOKUP(A410,'BADI SID DATA'!A:B,2,0)</f>
        <v>196</v>
      </c>
      <c r="C410" s="4">
        <v>1211</v>
      </c>
      <c r="D410" s="63">
        <v>4.4800000000000004</v>
      </c>
      <c r="E410" s="3"/>
      <c r="F410" s="65">
        <v>1</v>
      </c>
      <c r="G410" s="65">
        <v>1</v>
      </c>
      <c r="H410" s="2">
        <f t="shared" si="19"/>
        <v>31682.700000000004</v>
      </c>
      <c r="I410" s="12">
        <f t="shared" si="20"/>
        <v>0.16819444444444445</v>
      </c>
      <c r="J410" s="12">
        <f t="shared" si="21"/>
        <v>2.245089285714286E-2</v>
      </c>
    </row>
    <row r="411" spans="1:10" ht="15" customHeight="1">
      <c r="A411" s="14">
        <v>45579</v>
      </c>
      <c r="B411" s="10">
        <f>VLOOKUP(A411,'BADI SID DATA'!A:B,2,0)</f>
        <v>197</v>
      </c>
      <c r="C411" s="4">
        <v>1553</v>
      </c>
      <c r="D411" s="63">
        <v>5.37</v>
      </c>
      <c r="E411" s="3"/>
      <c r="F411" s="65">
        <v>1</v>
      </c>
      <c r="G411" s="65">
        <v>1</v>
      </c>
      <c r="H411" s="2">
        <f t="shared" si="19"/>
        <v>33235.700000000004</v>
      </c>
      <c r="I411" s="12">
        <f t="shared" si="20"/>
        <v>0.21569444444444444</v>
      </c>
      <c r="J411" s="12">
        <f t="shared" si="21"/>
        <v>2.3431824591088554E-2</v>
      </c>
    </row>
    <row r="412" spans="1:10" ht="15" customHeight="1">
      <c r="A412" s="14">
        <v>45580</v>
      </c>
      <c r="B412" s="10">
        <f>VLOOKUP(A412,'BADI SID DATA'!A:B,2,0)</f>
        <v>198</v>
      </c>
      <c r="C412" s="4">
        <v>1404</v>
      </c>
      <c r="D412" s="63">
        <v>4.84</v>
      </c>
      <c r="E412" s="3"/>
      <c r="F412" s="65">
        <v>1</v>
      </c>
      <c r="G412" s="65">
        <v>1</v>
      </c>
      <c r="H412" s="2">
        <f t="shared" si="19"/>
        <v>34639.700000000004</v>
      </c>
      <c r="I412" s="12">
        <f t="shared" si="20"/>
        <v>0.19500000000000001</v>
      </c>
      <c r="J412" s="12">
        <f t="shared" si="21"/>
        <v>2.4298330527497199E-2</v>
      </c>
    </row>
    <row r="413" spans="1:10" ht="15" customHeight="1">
      <c r="A413" s="14">
        <v>45581</v>
      </c>
      <c r="B413" s="10">
        <f>VLOOKUP(A413,'BADI SID DATA'!A:B,2,0)</f>
        <v>199</v>
      </c>
      <c r="C413" s="4">
        <v>615</v>
      </c>
      <c r="D413" s="63">
        <v>2</v>
      </c>
      <c r="E413" s="3"/>
      <c r="F413" s="65">
        <v>1</v>
      </c>
      <c r="G413" s="65">
        <v>1</v>
      </c>
      <c r="H413" s="2">
        <f t="shared" si="19"/>
        <v>35254.700000000004</v>
      </c>
      <c r="I413" s="12">
        <f t="shared" si="20"/>
        <v>8.5416666666666669E-2</v>
      </c>
      <c r="J413" s="12">
        <f t="shared" si="21"/>
        <v>2.4605457844779455E-2</v>
      </c>
    </row>
    <row r="414" spans="1:10" ht="15" customHeight="1">
      <c r="A414" s="14">
        <v>45582</v>
      </c>
      <c r="B414" s="10">
        <f>VLOOKUP(A414,'BADI SID DATA'!A:B,2,0)</f>
        <v>200</v>
      </c>
      <c r="C414" s="4">
        <v>1272</v>
      </c>
      <c r="D414" s="63">
        <v>4.42</v>
      </c>
      <c r="E414" s="3"/>
      <c r="F414" s="65">
        <v>1</v>
      </c>
      <c r="G414" s="65">
        <v>1</v>
      </c>
      <c r="H414" s="2">
        <f t="shared" si="19"/>
        <v>36526.700000000004</v>
      </c>
      <c r="I414" s="12">
        <f t="shared" si="20"/>
        <v>0.17666666666666667</v>
      </c>
      <c r="J414" s="12">
        <f t="shared" si="21"/>
        <v>2.5365763888888893E-2</v>
      </c>
    </row>
    <row r="415" spans="1:10" ht="15" customHeight="1">
      <c r="A415" s="14">
        <v>45583</v>
      </c>
      <c r="B415" s="10">
        <f>VLOOKUP(A415,'BADI SID DATA'!A:B,2,0)</f>
        <v>201</v>
      </c>
      <c r="C415" s="4">
        <v>1569</v>
      </c>
      <c r="D415" s="63">
        <v>5.39</v>
      </c>
      <c r="E415" s="3"/>
      <c r="F415" s="65">
        <v>1</v>
      </c>
      <c r="G415" s="65">
        <v>1</v>
      </c>
      <c r="H415" s="2">
        <f t="shared" si="19"/>
        <v>38095.700000000004</v>
      </c>
      <c r="I415" s="12">
        <f t="shared" si="20"/>
        <v>0.21791666666666668</v>
      </c>
      <c r="J415" s="12">
        <f t="shared" si="21"/>
        <v>2.6323728579325596E-2</v>
      </c>
    </row>
    <row r="416" spans="1:10" ht="15" customHeight="1">
      <c r="A416" s="14">
        <v>45584</v>
      </c>
      <c r="B416" s="10">
        <f>VLOOKUP(A416,'BADI SID DATA'!A:B,2,0)</f>
        <v>202</v>
      </c>
      <c r="C416" s="4">
        <v>985</v>
      </c>
      <c r="D416" s="63">
        <v>3.7</v>
      </c>
      <c r="E416" s="3"/>
      <c r="F416" s="65">
        <v>1</v>
      </c>
      <c r="G416" s="65">
        <v>0.78333333333333333</v>
      </c>
      <c r="H416" s="2">
        <f t="shared" si="19"/>
        <v>39080.700000000004</v>
      </c>
      <c r="I416" s="12">
        <f t="shared" si="20"/>
        <v>0.13680555555555557</v>
      </c>
      <c r="J416" s="12">
        <f t="shared" si="21"/>
        <v>2.6870668316831686E-2</v>
      </c>
    </row>
    <row r="417" spans="1:10" ht="15" customHeight="1">
      <c r="A417" s="14">
        <v>45585</v>
      </c>
      <c r="B417" s="10">
        <f>VLOOKUP(A417,'BADI SID DATA'!A:B,2,0)</f>
        <v>203</v>
      </c>
      <c r="C417" s="4">
        <v>1495</v>
      </c>
      <c r="D417" s="63">
        <v>5.25</v>
      </c>
      <c r="E417" s="3"/>
      <c r="F417" s="65">
        <v>1</v>
      </c>
      <c r="G417" s="65">
        <v>1</v>
      </c>
      <c r="H417" s="2">
        <f t="shared" si="19"/>
        <v>40575.700000000004</v>
      </c>
      <c r="I417" s="12">
        <f t="shared" si="20"/>
        <v>0.2076388888888889</v>
      </c>
      <c r="J417" s="12">
        <f t="shared" si="21"/>
        <v>2.7761152162014233E-2</v>
      </c>
    </row>
    <row r="418" spans="1:10" ht="15" customHeight="1">
      <c r="A418" s="14">
        <v>45586</v>
      </c>
      <c r="B418" s="10">
        <f>VLOOKUP(A418,'BADI SID DATA'!A:B,2,0)</f>
        <v>204</v>
      </c>
      <c r="C418" s="4">
        <v>1105</v>
      </c>
      <c r="D418" s="63">
        <v>3.81</v>
      </c>
      <c r="E418" s="3"/>
      <c r="F418" s="65">
        <v>1</v>
      </c>
      <c r="G418" s="65">
        <v>1</v>
      </c>
      <c r="H418" s="2">
        <f t="shared" si="19"/>
        <v>41680.700000000004</v>
      </c>
      <c r="I418" s="12">
        <f t="shared" si="20"/>
        <v>0.15347222222222223</v>
      </c>
      <c r="J418" s="12">
        <f t="shared" si="21"/>
        <v>2.8377382897603488E-2</v>
      </c>
    </row>
    <row r="419" spans="1:10" ht="15" customHeight="1">
      <c r="A419" s="14">
        <v>45587</v>
      </c>
      <c r="B419" s="10">
        <f>VLOOKUP(A419,'BADI SID DATA'!A:B,2,0)</f>
        <v>205</v>
      </c>
      <c r="C419" s="4">
        <v>1454</v>
      </c>
      <c r="D419" s="63">
        <v>5.03</v>
      </c>
      <c r="E419" s="3"/>
      <c r="F419" s="65">
        <v>1</v>
      </c>
      <c r="G419" s="65">
        <v>1</v>
      </c>
      <c r="H419" s="2">
        <f t="shared" si="19"/>
        <v>43134.700000000004</v>
      </c>
      <c r="I419" s="12">
        <f t="shared" si="20"/>
        <v>0.20194444444444445</v>
      </c>
      <c r="J419" s="12">
        <f t="shared" si="21"/>
        <v>2.9224051490514907E-2</v>
      </c>
    </row>
    <row r="420" spans="1:10" ht="15" customHeight="1">
      <c r="A420" s="14">
        <v>45588</v>
      </c>
      <c r="B420" s="10">
        <f>VLOOKUP(A420,'BADI SID DATA'!A:B,2,0)</f>
        <v>206</v>
      </c>
      <c r="C420" s="4">
        <v>1519</v>
      </c>
      <c r="D420" s="63">
        <v>5.4</v>
      </c>
      <c r="E420" s="3"/>
      <c r="F420" s="65">
        <v>1</v>
      </c>
      <c r="G420" s="65">
        <v>1</v>
      </c>
      <c r="H420" s="2">
        <f t="shared" si="19"/>
        <v>44653.700000000004</v>
      </c>
      <c r="I420" s="12">
        <f t="shared" si="20"/>
        <v>0.21097222222222223</v>
      </c>
      <c r="J420" s="12">
        <f t="shared" si="21"/>
        <v>3.0106324163969796E-2</v>
      </c>
    </row>
    <row r="421" spans="1:10" ht="15" customHeight="1">
      <c r="A421" s="14">
        <v>45589</v>
      </c>
      <c r="B421" s="10">
        <f>VLOOKUP(A421,'BADI SID DATA'!A:B,2,0)</f>
        <v>207</v>
      </c>
      <c r="C421" s="4">
        <v>703</v>
      </c>
      <c r="D421" s="63">
        <v>2.3199999999999998</v>
      </c>
      <c r="E421" s="3"/>
      <c r="F421" s="65">
        <v>1</v>
      </c>
      <c r="G421" s="65">
        <v>1</v>
      </c>
      <c r="H421" s="2">
        <f t="shared" si="19"/>
        <v>45356.700000000004</v>
      </c>
      <c r="I421" s="12">
        <f t="shared" si="20"/>
        <v>9.7638888888888886E-2</v>
      </c>
      <c r="J421" s="12">
        <f t="shared" si="21"/>
        <v>3.0432568438003224E-2</v>
      </c>
    </row>
    <row r="422" spans="1:10" ht="15" customHeight="1">
      <c r="A422" s="14">
        <v>45590</v>
      </c>
      <c r="B422" s="10">
        <f>VLOOKUP(A422,'BADI SID DATA'!A:B,2,0)</f>
        <v>208</v>
      </c>
      <c r="C422" s="4">
        <v>1565.5</v>
      </c>
      <c r="D422" s="63">
        <v>5.66</v>
      </c>
      <c r="E422" s="3"/>
      <c r="F422" s="65">
        <v>1</v>
      </c>
      <c r="G422" s="65">
        <v>1</v>
      </c>
      <c r="H422" s="2">
        <f t="shared" si="19"/>
        <v>46922.200000000004</v>
      </c>
      <c r="I422" s="12">
        <f t="shared" si="20"/>
        <v>0.21743055555555554</v>
      </c>
      <c r="J422" s="12">
        <f t="shared" si="21"/>
        <v>3.1331597222222222E-2</v>
      </c>
    </row>
    <row r="423" spans="1:10" ht="15" customHeight="1">
      <c r="A423" s="14">
        <v>45591</v>
      </c>
      <c r="B423" s="10">
        <f>VLOOKUP(A423,'BADI SID DATA'!A:B,2,0)</f>
        <v>209</v>
      </c>
      <c r="C423" s="4">
        <v>1403.6999999999998</v>
      </c>
      <c r="D423" s="63">
        <v>4.9800000000000004</v>
      </c>
      <c r="E423" s="3"/>
      <c r="F423" s="65">
        <v>1</v>
      </c>
      <c r="G423" s="65">
        <v>1</v>
      </c>
      <c r="H423" s="2">
        <f t="shared" si="19"/>
        <v>48325.9</v>
      </c>
      <c r="I423" s="12">
        <f t="shared" si="20"/>
        <v>0.19495833333333332</v>
      </c>
      <c r="J423" s="12">
        <f t="shared" si="21"/>
        <v>3.2114500265816054E-2</v>
      </c>
    </row>
    <row r="424" spans="1:10" ht="15" customHeight="1">
      <c r="A424" s="14">
        <v>45592</v>
      </c>
      <c r="B424" s="10">
        <f>VLOOKUP(A424,'BADI SID DATA'!A:B,2,0)</f>
        <v>210</v>
      </c>
      <c r="C424" s="4">
        <v>1422.5</v>
      </c>
      <c r="D424" s="63">
        <v>5.23</v>
      </c>
      <c r="E424" s="3"/>
      <c r="F424" s="65">
        <v>1</v>
      </c>
      <c r="G424" s="65">
        <v>1</v>
      </c>
      <c r="H424" s="2">
        <f t="shared" si="19"/>
        <v>49748.4</v>
      </c>
      <c r="I424" s="12">
        <f t="shared" si="20"/>
        <v>0.19756944444444444</v>
      </c>
      <c r="J424" s="12">
        <f t="shared" si="21"/>
        <v>3.2902380952380954E-2</v>
      </c>
    </row>
    <row r="425" spans="1:10" ht="15" customHeight="1">
      <c r="A425" s="14">
        <v>45593</v>
      </c>
      <c r="B425" s="10">
        <f>VLOOKUP(A425,'BADI SID DATA'!A:B,2,0)</f>
        <v>211</v>
      </c>
      <c r="C425" s="4">
        <v>1505.9</v>
      </c>
      <c r="D425" s="63">
        <v>5.4</v>
      </c>
      <c r="E425" s="3"/>
      <c r="F425" s="65">
        <v>1</v>
      </c>
      <c r="G425" s="65">
        <v>1</v>
      </c>
      <c r="H425" s="2">
        <f t="shared" si="19"/>
        <v>51254.3</v>
      </c>
      <c r="I425" s="12">
        <f t="shared" si="20"/>
        <v>0.2091527777777778</v>
      </c>
      <c r="J425" s="12">
        <f t="shared" si="21"/>
        <v>3.3737690889942079E-2</v>
      </c>
    </row>
    <row r="426" spans="1:10" ht="15" customHeight="1">
      <c r="A426" s="14">
        <v>45594</v>
      </c>
      <c r="B426" s="10">
        <f>VLOOKUP(A426,'BADI SID DATA'!A:B,2,0)</f>
        <v>212</v>
      </c>
      <c r="C426" s="4">
        <v>1390.3</v>
      </c>
      <c r="D426" s="63">
        <v>5.12</v>
      </c>
      <c r="E426" s="3"/>
      <c r="F426" s="65">
        <v>1</v>
      </c>
      <c r="G426" s="65">
        <v>0.79027777777777775</v>
      </c>
      <c r="H426" s="2">
        <f t="shared" si="19"/>
        <v>52644.600000000006</v>
      </c>
      <c r="I426" s="12">
        <f t="shared" si="20"/>
        <v>0.19309722222222223</v>
      </c>
      <c r="J426" s="12">
        <f t="shared" si="21"/>
        <v>3.4489386792452836E-2</v>
      </c>
    </row>
    <row r="427" spans="1:10" ht="15" customHeight="1">
      <c r="A427" s="14">
        <v>45595</v>
      </c>
      <c r="B427" s="10">
        <f>VLOOKUP(A427,'BADI SID DATA'!A:B,2,0)</f>
        <v>213</v>
      </c>
      <c r="C427" s="4">
        <v>1306</v>
      </c>
      <c r="D427" s="63">
        <v>4.5999999999999996</v>
      </c>
      <c r="E427" s="3"/>
      <c r="F427" s="65">
        <v>1</v>
      </c>
      <c r="G427" s="65">
        <v>1</v>
      </c>
      <c r="H427" s="2">
        <f t="shared" si="19"/>
        <v>53950.600000000006</v>
      </c>
      <c r="I427" s="12">
        <f t="shared" si="20"/>
        <v>0.18138888888888888</v>
      </c>
      <c r="J427" s="12">
        <f t="shared" si="21"/>
        <v>3.5179055816379763E-2</v>
      </c>
    </row>
    <row r="428" spans="1:10" ht="15" customHeight="1">
      <c r="A428" s="14">
        <v>45596</v>
      </c>
      <c r="B428" s="10">
        <f>VLOOKUP(A428,'BADI SID DATA'!A:B,2,0)</f>
        <v>214</v>
      </c>
      <c r="C428" s="4">
        <v>1290.1999999999998</v>
      </c>
      <c r="D428" s="63">
        <v>5.48</v>
      </c>
      <c r="E428" s="3"/>
      <c r="F428" s="65">
        <v>1</v>
      </c>
      <c r="G428" s="65">
        <v>0.76111111111111107</v>
      </c>
      <c r="H428" s="2">
        <f t="shared" si="19"/>
        <v>55240.800000000003</v>
      </c>
      <c r="I428" s="12">
        <f t="shared" si="20"/>
        <v>0.17919444444444441</v>
      </c>
      <c r="J428" s="12">
        <f t="shared" si="21"/>
        <v>3.5852024922118385E-2</v>
      </c>
    </row>
    <row r="429" spans="1:10" ht="15" customHeight="1">
      <c r="A429" s="14">
        <v>45597</v>
      </c>
      <c r="B429" s="10">
        <f>VLOOKUP(A429,'BADI SID DATA'!A:B,2,0)</f>
        <v>215</v>
      </c>
      <c r="C429" s="4">
        <v>1320</v>
      </c>
      <c r="D429" s="63">
        <v>4.54</v>
      </c>
      <c r="E429" s="3"/>
      <c r="F429" s="65">
        <v>1</v>
      </c>
      <c r="G429" s="65">
        <v>1</v>
      </c>
      <c r="H429" s="2">
        <f t="shared" si="19"/>
        <v>56560.800000000003</v>
      </c>
      <c r="I429" s="12">
        <f t="shared" si="20"/>
        <v>0.18333333333333332</v>
      </c>
      <c r="J429" s="12">
        <f t="shared" si="21"/>
        <v>3.6537984496124033E-2</v>
      </c>
    </row>
    <row r="430" spans="1:10" ht="15" customHeight="1">
      <c r="A430" s="14">
        <v>45598</v>
      </c>
      <c r="B430" s="10">
        <f>VLOOKUP(A430,'BADI SID DATA'!A:B,2,0)</f>
        <v>216</v>
      </c>
      <c r="C430" s="4">
        <v>1218</v>
      </c>
      <c r="D430" s="63">
        <v>4.24</v>
      </c>
      <c r="E430" s="3"/>
      <c r="F430" s="65">
        <v>1</v>
      </c>
      <c r="G430" s="65">
        <v>1</v>
      </c>
      <c r="H430" s="2">
        <f t="shared" si="19"/>
        <v>57778.8</v>
      </c>
      <c r="I430" s="12">
        <f t="shared" si="20"/>
        <v>0.16916666666666666</v>
      </c>
      <c r="J430" s="12">
        <f t="shared" si="21"/>
        <v>3.7152006172839508E-2</v>
      </c>
    </row>
    <row r="431" spans="1:10" ht="15" customHeight="1">
      <c r="A431" s="14">
        <v>45599</v>
      </c>
      <c r="B431" s="10">
        <f>VLOOKUP(A431,'BADI SID DATA'!A:B,2,0)</f>
        <v>217</v>
      </c>
      <c r="C431" s="4">
        <v>1020</v>
      </c>
      <c r="D431" s="63">
        <v>3.73</v>
      </c>
      <c r="E431" s="3"/>
      <c r="F431" s="65">
        <v>1</v>
      </c>
      <c r="G431" s="65">
        <v>0.93888888888888888</v>
      </c>
      <c r="H431" s="2">
        <f t="shared" si="19"/>
        <v>58798.8</v>
      </c>
      <c r="I431" s="12">
        <f t="shared" si="20"/>
        <v>0.14166666666666666</v>
      </c>
      <c r="J431" s="12">
        <f t="shared" si="21"/>
        <v>3.7633640552995395E-2</v>
      </c>
    </row>
    <row r="432" spans="1:10" ht="15" customHeight="1">
      <c r="A432" s="14">
        <v>45600</v>
      </c>
      <c r="B432" s="10">
        <f>VLOOKUP(A432,'BADI SID DATA'!A:B,2,0)</f>
        <v>218</v>
      </c>
      <c r="C432" s="4">
        <v>566</v>
      </c>
      <c r="D432" s="63">
        <v>1.91</v>
      </c>
      <c r="E432" s="3"/>
      <c r="F432" s="65">
        <v>1</v>
      </c>
      <c r="G432" s="65">
        <v>0.65416666666666679</v>
      </c>
      <c r="H432" s="2">
        <f t="shared" si="19"/>
        <v>59364.800000000003</v>
      </c>
      <c r="I432" s="12">
        <f t="shared" si="20"/>
        <v>7.8611111111111118E-2</v>
      </c>
      <c r="J432" s="12">
        <f t="shared" si="21"/>
        <v>3.7821610601427115E-2</v>
      </c>
    </row>
    <row r="433" spans="1:10" ht="15" customHeight="1">
      <c r="A433" s="14">
        <v>45601</v>
      </c>
      <c r="B433" s="10">
        <f>VLOOKUP(A433,'BADI SID DATA'!A:B,2,0)</f>
        <v>219</v>
      </c>
      <c r="C433" s="4">
        <v>1225</v>
      </c>
      <c r="D433" s="63">
        <v>4.5199999999999996</v>
      </c>
      <c r="E433" s="3"/>
      <c r="F433" s="65">
        <v>1</v>
      </c>
      <c r="G433" s="65">
        <v>1</v>
      </c>
      <c r="H433" s="2">
        <f t="shared" si="19"/>
        <v>60589.8</v>
      </c>
      <c r="I433" s="12">
        <f t="shared" si="20"/>
        <v>0.1701388888888889</v>
      </c>
      <c r="J433" s="12">
        <f t="shared" si="21"/>
        <v>3.8425799086757993E-2</v>
      </c>
    </row>
    <row r="434" spans="1:10" ht="15" customHeight="1">
      <c r="A434" s="14">
        <v>45602</v>
      </c>
      <c r="B434" s="10">
        <f>VLOOKUP(A434,'BADI SID DATA'!A:B,2,0)</f>
        <v>220</v>
      </c>
      <c r="C434" s="4">
        <v>1325</v>
      </c>
      <c r="D434" s="63">
        <v>4.6900000000000004</v>
      </c>
      <c r="E434" s="3"/>
      <c r="F434" s="65">
        <v>1</v>
      </c>
      <c r="G434" s="65">
        <v>1</v>
      </c>
      <c r="H434" s="2">
        <f t="shared" si="19"/>
        <v>61914.8</v>
      </c>
      <c r="I434" s="12">
        <f t="shared" si="20"/>
        <v>0.18402777777777779</v>
      </c>
      <c r="J434" s="12">
        <f t="shared" si="21"/>
        <v>3.9087626262626261E-2</v>
      </c>
    </row>
    <row r="435" spans="1:10" ht="15" customHeight="1">
      <c r="A435" s="14">
        <v>45603</v>
      </c>
      <c r="B435" s="10">
        <f>VLOOKUP(A435,'BADI SID DATA'!A:B,2,0)</f>
        <v>221</v>
      </c>
      <c r="C435" s="4">
        <v>1359</v>
      </c>
      <c r="D435" s="63">
        <v>4.8600000000000003</v>
      </c>
      <c r="E435" s="3"/>
      <c r="F435" s="65">
        <v>1</v>
      </c>
      <c r="G435" s="65">
        <v>1</v>
      </c>
      <c r="H435" s="2">
        <f t="shared" si="19"/>
        <v>63273.8</v>
      </c>
      <c r="I435" s="12">
        <f t="shared" si="20"/>
        <v>0.18875</v>
      </c>
      <c r="J435" s="12">
        <f t="shared" si="21"/>
        <v>3.9764831573655103E-2</v>
      </c>
    </row>
    <row r="436" spans="1:10" ht="15" customHeight="1">
      <c r="A436" s="14">
        <v>45604</v>
      </c>
      <c r="B436" s="10">
        <f>VLOOKUP(A436,'BADI SID DATA'!A:B,2,0)</f>
        <v>222</v>
      </c>
      <c r="C436" s="4">
        <v>1363</v>
      </c>
      <c r="D436" s="63">
        <v>4.8099999999999996</v>
      </c>
      <c r="E436" s="3"/>
      <c r="F436" s="65">
        <v>1</v>
      </c>
      <c r="G436" s="65">
        <v>1</v>
      </c>
      <c r="H436" s="2">
        <f t="shared" si="19"/>
        <v>64636.800000000003</v>
      </c>
      <c r="I436" s="12">
        <f t="shared" si="20"/>
        <v>0.18930555555555556</v>
      </c>
      <c r="J436" s="12">
        <f t="shared" si="21"/>
        <v>4.0438438438438438E-2</v>
      </c>
    </row>
    <row r="437" spans="1:10" ht="15" customHeight="1">
      <c r="A437" s="14">
        <v>45605</v>
      </c>
      <c r="B437" s="10">
        <f>VLOOKUP(A437,'BADI SID DATA'!A:B,2,0)</f>
        <v>223</v>
      </c>
      <c r="C437" s="4">
        <v>1217</v>
      </c>
      <c r="D437" s="63">
        <v>4.28</v>
      </c>
      <c r="E437" s="3"/>
      <c r="F437" s="65">
        <v>1</v>
      </c>
      <c r="G437" s="65">
        <v>1</v>
      </c>
      <c r="H437" s="2">
        <f t="shared" si="19"/>
        <v>65853.8</v>
      </c>
      <c r="I437" s="12">
        <f t="shared" si="20"/>
        <v>0.16902777777777778</v>
      </c>
      <c r="J437" s="12">
        <f t="shared" si="21"/>
        <v>4.1015072247135027E-2</v>
      </c>
    </row>
    <row r="438" spans="1:10" ht="15" customHeight="1">
      <c r="A438" s="14">
        <v>45606</v>
      </c>
      <c r="B438" s="10">
        <f>VLOOKUP(A438,'BADI SID DATA'!A:B,2,0)</f>
        <v>224</v>
      </c>
      <c r="C438" s="4">
        <v>1300</v>
      </c>
      <c r="D438" s="63">
        <v>4.6100000000000003</v>
      </c>
      <c r="E438" s="3"/>
      <c r="F438" s="65">
        <v>1</v>
      </c>
      <c r="G438" s="65">
        <v>1</v>
      </c>
      <c r="H438" s="2">
        <f t="shared" si="19"/>
        <v>67153.8</v>
      </c>
      <c r="I438" s="12">
        <f t="shared" si="20"/>
        <v>0.18055555555555555</v>
      </c>
      <c r="J438" s="12">
        <f t="shared" si="21"/>
        <v>4.1638020833333338E-2</v>
      </c>
    </row>
    <row r="439" spans="1:10" ht="15" customHeight="1">
      <c r="A439" s="14">
        <v>45607</v>
      </c>
      <c r="B439" s="10">
        <f>VLOOKUP(A439,'BADI SID DATA'!A:B,2,0)</f>
        <v>225</v>
      </c>
      <c r="C439" s="4">
        <v>1277</v>
      </c>
      <c r="D439" s="63">
        <v>4.4800000000000004</v>
      </c>
      <c r="E439" s="3"/>
      <c r="F439" s="65">
        <v>1</v>
      </c>
      <c r="G439" s="65">
        <v>1</v>
      </c>
      <c r="H439" s="2">
        <f t="shared" si="19"/>
        <v>68430.8</v>
      </c>
      <c r="I439" s="12">
        <f t="shared" si="20"/>
        <v>0.17736111111111111</v>
      </c>
      <c r="J439" s="12">
        <f t="shared" si="21"/>
        <v>4.2241234567901235E-2</v>
      </c>
    </row>
    <row r="440" spans="1:10" ht="15" customHeight="1">
      <c r="A440" s="14">
        <v>45608</v>
      </c>
      <c r="B440" s="10">
        <f>VLOOKUP(A440,'BADI SID DATA'!A:B,2,0)</f>
        <v>226</v>
      </c>
      <c r="C440" s="4">
        <v>1201</v>
      </c>
      <c r="D440" s="63">
        <v>4.18</v>
      </c>
      <c r="E440" s="3"/>
      <c r="F440" s="65">
        <v>1</v>
      </c>
      <c r="G440" s="65">
        <v>1</v>
      </c>
      <c r="H440" s="2">
        <f t="shared" si="19"/>
        <v>69631.8</v>
      </c>
      <c r="I440" s="12">
        <f t="shared" si="20"/>
        <v>0.16680555555555557</v>
      </c>
      <c r="J440" s="12">
        <f t="shared" si="21"/>
        <v>4.2792404129793515E-2</v>
      </c>
    </row>
    <row r="441" spans="1:10" ht="15" customHeight="1">
      <c r="A441" s="14">
        <v>45609</v>
      </c>
      <c r="B441" s="10">
        <f>VLOOKUP(A441,'BADI SID DATA'!A:B,2,0)</f>
        <v>227</v>
      </c>
      <c r="C441" s="4">
        <v>850</v>
      </c>
      <c r="D441" s="63">
        <v>3.48</v>
      </c>
      <c r="E441" s="3"/>
      <c r="F441" s="65">
        <v>1</v>
      </c>
      <c r="G441" s="65">
        <v>0.9013888888888888</v>
      </c>
      <c r="H441" s="2">
        <f t="shared" si="19"/>
        <v>70481.8</v>
      </c>
      <c r="I441" s="12">
        <f t="shared" si="20"/>
        <v>0.11805555555555555</v>
      </c>
      <c r="J441" s="12">
        <f t="shared" si="21"/>
        <v>4.3123959862946648E-2</v>
      </c>
    </row>
    <row r="442" spans="1:10" ht="15" customHeight="1">
      <c r="A442" s="14">
        <v>45610</v>
      </c>
      <c r="B442" s="10">
        <f>VLOOKUP(A442,'BADI SID DATA'!A:B,2,0)</f>
        <v>228</v>
      </c>
      <c r="C442" s="4">
        <v>868</v>
      </c>
      <c r="D442" s="63">
        <v>2.9</v>
      </c>
      <c r="E442" s="3"/>
      <c r="F442" s="65">
        <v>1</v>
      </c>
      <c r="G442" s="65">
        <v>1</v>
      </c>
      <c r="H442" s="2">
        <f t="shared" si="19"/>
        <v>71349.8</v>
      </c>
      <c r="I442" s="12">
        <f t="shared" si="20"/>
        <v>0.12055555555555555</v>
      </c>
      <c r="J442" s="12">
        <f t="shared" si="21"/>
        <v>4.3463572124756336E-2</v>
      </c>
    </row>
    <row r="443" spans="1:10" ht="15" customHeight="1">
      <c r="A443" s="14">
        <v>45611</v>
      </c>
      <c r="B443" s="10">
        <f>VLOOKUP(A443,'BADI SID DATA'!A:B,2,0)</f>
        <v>229</v>
      </c>
      <c r="C443" s="4">
        <v>1279</v>
      </c>
      <c r="D443" s="63">
        <v>4.6500000000000004</v>
      </c>
      <c r="E443" s="3"/>
      <c r="F443" s="65">
        <v>1</v>
      </c>
      <c r="G443" s="65">
        <v>1</v>
      </c>
      <c r="H443" s="2">
        <f t="shared" si="19"/>
        <v>72628.800000000003</v>
      </c>
      <c r="I443" s="12">
        <f t="shared" si="20"/>
        <v>0.1776388888888889</v>
      </c>
      <c r="J443" s="12">
        <f t="shared" si="21"/>
        <v>4.4049490538573509E-2</v>
      </c>
    </row>
    <row r="444" spans="1:10" ht="15" customHeight="1">
      <c r="A444" s="14">
        <v>45612</v>
      </c>
      <c r="B444" s="10">
        <f>VLOOKUP(A444,'BADI SID DATA'!A:B,2,0)</f>
        <v>230</v>
      </c>
      <c r="C444" s="4">
        <v>728</v>
      </c>
      <c r="D444" s="63">
        <v>2.57</v>
      </c>
      <c r="E444" s="3"/>
      <c r="F444" s="65">
        <v>1</v>
      </c>
      <c r="G444" s="65">
        <v>1</v>
      </c>
      <c r="H444" s="2">
        <f t="shared" si="19"/>
        <v>73356.800000000003</v>
      </c>
      <c r="I444" s="12">
        <f t="shared" si="20"/>
        <v>0.10111111111111111</v>
      </c>
      <c r="J444" s="12">
        <f t="shared" si="21"/>
        <v>4.4297584541062807E-2</v>
      </c>
    </row>
    <row r="445" spans="1:10" ht="15" customHeight="1">
      <c r="A445" s="14">
        <v>45613</v>
      </c>
      <c r="B445" s="10">
        <f>VLOOKUP(A445,'BADI SID DATA'!A:B,2,0)</f>
        <v>231</v>
      </c>
      <c r="C445" s="4">
        <v>862</v>
      </c>
      <c r="D445" s="63">
        <v>3.1</v>
      </c>
      <c r="E445" s="3"/>
      <c r="F445" s="65">
        <v>1</v>
      </c>
      <c r="G445" s="65">
        <v>1</v>
      </c>
      <c r="H445" s="2">
        <f t="shared" si="19"/>
        <v>74218.8</v>
      </c>
      <c r="I445" s="12">
        <f t="shared" si="20"/>
        <v>0.11972222222222222</v>
      </c>
      <c r="J445" s="12">
        <f t="shared" si="21"/>
        <v>4.4624098124098129E-2</v>
      </c>
    </row>
    <row r="446" spans="1:10" ht="15" customHeight="1">
      <c r="A446" s="14">
        <v>45614</v>
      </c>
      <c r="B446" s="10">
        <f>VLOOKUP(A446,'BADI SID DATA'!A:B,2,0)</f>
        <v>232</v>
      </c>
      <c r="C446" s="4">
        <v>755</v>
      </c>
      <c r="D446" s="63">
        <v>2.57</v>
      </c>
      <c r="E446" s="3"/>
      <c r="F446" s="65">
        <v>1</v>
      </c>
      <c r="G446" s="65">
        <v>1</v>
      </c>
      <c r="H446" s="2">
        <f t="shared" si="19"/>
        <v>74973.8</v>
      </c>
      <c r="I446" s="12">
        <f t="shared" si="20"/>
        <v>0.10486111111111111</v>
      </c>
      <c r="J446" s="12">
        <f t="shared" si="21"/>
        <v>4.4883740421455938E-2</v>
      </c>
    </row>
    <row r="447" spans="1:10" ht="15" customHeight="1">
      <c r="A447" s="14">
        <v>45615</v>
      </c>
      <c r="B447" s="10">
        <f>VLOOKUP(A447,'BADI SID DATA'!A:B,2,0)</f>
        <v>233</v>
      </c>
      <c r="C447" s="4">
        <v>1084</v>
      </c>
      <c r="D447" s="63">
        <v>3.75</v>
      </c>
      <c r="E447" s="3"/>
      <c r="F447" s="65">
        <v>1</v>
      </c>
      <c r="G447" s="65">
        <v>1</v>
      </c>
      <c r="H447" s="2">
        <f t="shared" si="19"/>
        <v>76057.8</v>
      </c>
      <c r="I447" s="12">
        <f t="shared" si="20"/>
        <v>0.15055555555555555</v>
      </c>
      <c r="J447" s="12">
        <f t="shared" si="21"/>
        <v>4.5337267525035765E-2</v>
      </c>
    </row>
    <row r="448" spans="1:10" ht="15" customHeight="1">
      <c r="A448" s="14">
        <v>45616</v>
      </c>
      <c r="B448" s="10">
        <f>VLOOKUP(A448,'BADI SID DATA'!A:B,2,0)</f>
        <v>234</v>
      </c>
      <c r="C448" s="4">
        <v>708</v>
      </c>
      <c r="D448" s="63">
        <v>2.34</v>
      </c>
      <c r="E448" s="3"/>
      <c r="F448" s="65">
        <v>1</v>
      </c>
      <c r="G448" s="65">
        <v>1</v>
      </c>
      <c r="H448" s="2">
        <f t="shared" si="19"/>
        <v>76765.8</v>
      </c>
      <c r="I448" s="12">
        <f t="shared" si="20"/>
        <v>9.8333333333333328E-2</v>
      </c>
      <c r="J448" s="12">
        <f t="shared" si="21"/>
        <v>4.5563746438746437E-2</v>
      </c>
    </row>
    <row r="449" spans="1:10" ht="15" customHeight="1">
      <c r="A449" s="14">
        <v>45617</v>
      </c>
      <c r="B449" s="10">
        <f>VLOOKUP(A449,'BADI SID DATA'!A:B,2,0)</f>
        <v>235</v>
      </c>
      <c r="C449" s="4">
        <v>778.19999999999993</v>
      </c>
      <c r="D449" s="63">
        <v>2.59</v>
      </c>
      <c r="E449" s="3"/>
      <c r="F449" s="65">
        <v>1</v>
      </c>
      <c r="G449" s="65">
        <v>1</v>
      </c>
      <c r="H449" s="2">
        <f t="shared" si="19"/>
        <v>77544</v>
      </c>
      <c r="I449" s="12">
        <f t="shared" si="20"/>
        <v>0.10808333333333332</v>
      </c>
      <c r="J449" s="12">
        <f t="shared" si="21"/>
        <v>4.5829787234042553E-2</v>
      </c>
    </row>
    <row r="450" spans="1:10" ht="15" customHeight="1">
      <c r="A450" s="14">
        <v>45618</v>
      </c>
      <c r="B450" s="10">
        <f>VLOOKUP(A450,'BADI SID DATA'!A:B,2,0)</f>
        <v>236</v>
      </c>
      <c r="C450" s="4">
        <v>1268</v>
      </c>
      <c r="D450" s="63">
        <v>4.5599999999999996</v>
      </c>
      <c r="E450" s="3"/>
      <c r="F450" s="65">
        <v>1</v>
      </c>
      <c r="G450" s="65">
        <v>1</v>
      </c>
      <c r="H450" s="2">
        <f t="shared" si="19"/>
        <v>78812</v>
      </c>
      <c r="I450" s="12">
        <f t="shared" si="20"/>
        <v>0.17611111111111111</v>
      </c>
      <c r="J450" s="12">
        <f t="shared" si="21"/>
        <v>4.6381826741996236E-2</v>
      </c>
    </row>
    <row r="451" spans="1:10" ht="15" customHeight="1">
      <c r="A451" s="14">
        <v>45619</v>
      </c>
      <c r="B451" s="10">
        <f>VLOOKUP(A451,'BADI SID DATA'!A:B,2,0)</f>
        <v>237</v>
      </c>
      <c r="C451" s="4">
        <v>952.59999999999991</v>
      </c>
      <c r="D451" s="63">
        <v>3.31</v>
      </c>
      <c r="E451" s="3"/>
      <c r="F451" s="65">
        <v>1</v>
      </c>
      <c r="G451" s="65">
        <v>1</v>
      </c>
      <c r="H451" s="2">
        <f t="shared" ref="H451:H514" si="22">H450+C451</f>
        <v>79764.600000000006</v>
      </c>
      <c r="I451" s="12">
        <f t="shared" ref="I451:I514" si="23">C451/(300*24)</f>
        <v>0.13230555555555554</v>
      </c>
      <c r="J451" s="12">
        <f t="shared" ref="J451:J514" si="24">H451/(24*B451*300)</f>
        <v>4.6744374120956403E-2</v>
      </c>
    </row>
    <row r="452" spans="1:10" ht="15" customHeight="1">
      <c r="A452" s="14">
        <v>45620</v>
      </c>
      <c r="B452" s="10">
        <f>VLOOKUP(A452,'BADI SID DATA'!A:B,2,0)</f>
        <v>238</v>
      </c>
      <c r="C452" s="4">
        <v>1169.0999999999999</v>
      </c>
      <c r="D452" s="63">
        <v>4.21</v>
      </c>
      <c r="E452" s="3"/>
      <c r="F452" s="65">
        <v>1</v>
      </c>
      <c r="G452" s="65">
        <v>1</v>
      </c>
      <c r="H452" s="2">
        <f t="shared" si="22"/>
        <v>80933.700000000012</v>
      </c>
      <c r="I452" s="12">
        <f t="shared" si="23"/>
        <v>0.16237499999999999</v>
      </c>
      <c r="J452" s="12">
        <f t="shared" si="24"/>
        <v>4.7230217086834739E-2</v>
      </c>
    </row>
    <row r="453" spans="1:10" ht="15" customHeight="1">
      <c r="A453" s="14">
        <v>45621</v>
      </c>
      <c r="B453" s="10">
        <f>VLOOKUP(A453,'BADI SID DATA'!A:B,2,0)</f>
        <v>239</v>
      </c>
      <c r="C453" s="4">
        <v>1351</v>
      </c>
      <c r="D453" s="63">
        <v>4.83</v>
      </c>
      <c r="E453" s="3"/>
      <c r="F453" s="65">
        <v>1</v>
      </c>
      <c r="G453" s="65">
        <v>1</v>
      </c>
      <c r="H453" s="2">
        <f t="shared" si="22"/>
        <v>82284.700000000012</v>
      </c>
      <c r="I453" s="12">
        <f t="shared" si="23"/>
        <v>0.18763888888888888</v>
      </c>
      <c r="J453" s="12">
        <f t="shared" si="24"/>
        <v>4.7817701069270115E-2</v>
      </c>
    </row>
    <row r="454" spans="1:10" ht="15" customHeight="1">
      <c r="A454" s="14">
        <v>45622</v>
      </c>
      <c r="B454" s="10">
        <f>VLOOKUP(A454,'BADI SID DATA'!A:B,2,0)</f>
        <v>240</v>
      </c>
      <c r="C454" s="4">
        <v>1235</v>
      </c>
      <c r="D454" s="63">
        <v>4.46</v>
      </c>
      <c r="E454" s="3"/>
      <c r="F454" s="65">
        <v>1</v>
      </c>
      <c r="G454" s="65">
        <v>1</v>
      </c>
      <c r="H454" s="2">
        <f t="shared" si="22"/>
        <v>83519.700000000012</v>
      </c>
      <c r="I454" s="12">
        <f t="shared" si="23"/>
        <v>0.17152777777777778</v>
      </c>
      <c r="J454" s="12">
        <f t="shared" si="24"/>
        <v>4.8333159722222227E-2</v>
      </c>
    </row>
    <row r="455" spans="1:10" ht="15" customHeight="1">
      <c r="A455" s="14">
        <v>45623</v>
      </c>
      <c r="B455" s="10">
        <f>VLOOKUP(A455,'BADI SID DATA'!A:B,2,0)</f>
        <v>241</v>
      </c>
      <c r="C455" s="4">
        <v>1207.8</v>
      </c>
      <c r="D455" s="63">
        <v>4.3</v>
      </c>
      <c r="E455" s="3"/>
      <c r="F455" s="65">
        <v>1</v>
      </c>
      <c r="G455" s="65">
        <v>1</v>
      </c>
      <c r="H455" s="2">
        <f t="shared" si="22"/>
        <v>84727.500000000015</v>
      </c>
      <c r="I455" s="12">
        <f t="shared" si="23"/>
        <v>0.16774999999999998</v>
      </c>
      <c r="J455" s="12">
        <f t="shared" si="24"/>
        <v>4.8828665283540809E-2</v>
      </c>
    </row>
    <row r="456" spans="1:10" ht="15" customHeight="1">
      <c r="A456" s="14">
        <v>45624</v>
      </c>
      <c r="B456" s="10">
        <f>VLOOKUP(A456,'BADI SID DATA'!A:B,2,0)</f>
        <v>242</v>
      </c>
      <c r="C456" s="4">
        <v>972.9</v>
      </c>
      <c r="D456" s="63">
        <v>3.36</v>
      </c>
      <c r="E456" s="3"/>
      <c r="F456" s="65">
        <v>1</v>
      </c>
      <c r="G456" s="65">
        <v>1</v>
      </c>
      <c r="H456" s="2">
        <f t="shared" si="22"/>
        <v>85700.400000000009</v>
      </c>
      <c r="I456" s="12">
        <f t="shared" si="23"/>
        <v>0.135125</v>
      </c>
      <c r="J456" s="12">
        <f t="shared" si="24"/>
        <v>4.9185261707988988E-2</v>
      </c>
    </row>
    <row r="457" spans="1:10" ht="15" customHeight="1">
      <c r="A457" s="14">
        <v>45625</v>
      </c>
      <c r="B457" s="10">
        <f>VLOOKUP(A457,'BADI SID DATA'!A:B,2,0)</f>
        <v>243</v>
      </c>
      <c r="C457" s="4">
        <v>1173.0999999999999</v>
      </c>
      <c r="D457" s="63">
        <v>4.0599999999999996</v>
      </c>
      <c r="E457" s="3"/>
      <c r="F457" s="65">
        <v>1</v>
      </c>
      <c r="G457" s="65">
        <v>1</v>
      </c>
      <c r="H457" s="2">
        <f t="shared" si="22"/>
        <v>86873.500000000015</v>
      </c>
      <c r="I457" s="12">
        <f t="shared" si="23"/>
        <v>0.16293055555555555</v>
      </c>
      <c r="J457" s="12">
        <f t="shared" si="24"/>
        <v>4.9653349336991323E-2</v>
      </c>
    </row>
    <row r="458" spans="1:10" ht="15" customHeight="1">
      <c r="A458" s="14">
        <v>45626</v>
      </c>
      <c r="B458" s="10">
        <f>VLOOKUP(A458,'BADI SID DATA'!A:B,2,0)</f>
        <v>244</v>
      </c>
      <c r="C458" s="4">
        <v>1202.0999999999999</v>
      </c>
      <c r="D458" s="63">
        <v>4.2</v>
      </c>
      <c r="E458" s="3"/>
      <c r="F458" s="65">
        <v>1</v>
      </c>
      <c r="G458" s="65">
        <v>1</v>
      </c>
      <c r="H458" s="2">
        <f t="shared" si="22"/>
        <v>88075.60000000002</v>
      </c>
      <c r="I458" s="12">
        <f t="shared" si="23"/>
        <v>0.16695833333333332</v>
      </c>
      <c r="J458" s="12">
        <f t="shared" si="24"/>
        <v>5.013410746812387E-2</v>
      </c>
    </row>
    <row r="459" spans="1:10" ht="15" customHeight="1">
      <c r="A459" s="14">
        <v>45627</v>
      </c>
      <c r="B459" s="10">
        <f>VLOOKUP(A459,'BADI SID DATA'!A:B,2,0)</f>
        <v>245</v>
      </c>
      <c r="C459" s="4">
        <v>817.69999999999993</v>
      </c>
      <c r="D459" s="63">
        <v>2.83</v>
      </c>
      <c r="E459" s="3"/>
      <c r="F459" s="65">
        <v>1</v>
      </c>
      <c r="G459" s="65">
        <v>1</v>
      </c>
      <c r="H459" s="2">
        <f t="shared" si="22"/>
        <v>88893.300000000017</v>
      </c>
      <c r="I459" s="12">
        <f t="shared" si="23"/>
        <v>0.11356944444444443</v>
      </c>
      <c r="J459" s="12">
        <f t="shared" si="24"/>
        <v>5.0393027210884365E-2</v>
      </c>
    </row>
    <row r="460" spans="1:10" ht="15" customHeight="1">
      <c r="A460" s="14">
        <v>45628</v>
      </c>
      <c r="B460" s="10">
        <f>VLOOKUP(A460,'BADI SID DATA'!A:B,2,0)</f>
        <v>246</v>
      </c>
      <c r="C460" s="4">
        <v>736.6</v>
      </c>
      <c r="D460" s="63">
        <v>2.4900000000000002</v>
      </c>
      <c r="E460" s="3"/>
      <c r="F460" s="65">
        <v>1</v>
      </c>
      <c r="G460" s="65">
        <v>1</v>
      </c>
      <c r="H460" s="2">
        <f t="shared" si="22"/>
        <v>89629.900000000023</v>
      </c>
      <c r="I460" s="12">
        <f t="shared" si="23"/>
        <v>0.10230555555555555</v>
      </c>
      <c r="J460" s="12">
        <f t="shared" si="24"/>
        <v>5.0604053748870836E-2</v>
      </c>
    </row>
    <row r="461" spans="1:10" ht="15" customHeight="1">
      <c r="A461" s="14">
        <v>45629</v>
      </c>
      <c r="B461" s="10">
        <f>VLOOKUP(A461,'BADI SID DATA'!A:B,2,0)</f>
        <v>247</v>
      </c>
      <c r="C461" s="4">
        <v>1095</v>
      </c>
      <c r="D461" s="63">
        <v>3.88</v>
      </c>
      <c r="E461" s="3"/>
      <c r="F461" s="65">
        <v>1</v>
      </c>
      <c r="G461" s="65">
        <v>1</v>
      </c>
      <c r="H461" s="2">
        <f t="shared" si="22"/>
        <v>90724.900000000023</v>
      </c>
      <c r="I461" s="12">
        <f t="shared" si="23"/>
        <v>0.15208333333333332</v>
      </c>
      <c r="J461" s="12">
        <f t="shared" si="24"/>
        <v>5.1014901034637891E-2</v>
      </c>
    </row>
    <row r="462" spans="1:10" ht="15" customHeight="1">
      <c r="A462" s="14">
        <v>45630</v>
      </c>
      <c r="B462" s="10">
        <f>VLOOKUP(A462,'BADI SID DATA'!A:B,2,0)</f>
        <v>248</v>
      </c>
      <c r="C462" s="4">
        <v>1203.0999999999999</v>
      </c>
      <c r="D462" s="63">
        <v>4.4000000000000004</v>
      </c>
      <c r="E462" s="3"/>
      <c r="F462" s="65">
        <v>1</v>
      </c>
      <c r="G462" s="65">
        <v>1</v>
      </c>
      <c r="H462" s="2">
        <f t="shared" si="22"/>
        <v>91928.000000000029</v>
      </c>
      <c r="I462" s="12">
        <f t="shared" si="23"/>
        <v>0.1670972222222222</v>
      </c>
      <c r="J462" s="12">
        <f t="shared" si="24"/>
        <v>5.1482974910394282E-2</v>
      </c>
    </row>
    <row r="463" spans="1:10" ht="15" customHeight="1">
      <c r="A463" s="14">
        <v>45631</v>
      </c>
      <c r="B463" s="10">
        <f>VLOOKUP(A463,'BADI SID DATA'!A:B,2,0)</f>
        <v>249</v>
      </c>
      <c r="C463" s="4">
        <v>1139</v>
      </c>
      <c r="D463" s="63">
        <v>4.09</v>
      </c>
      <c r="E463" s="3"/>
      <c r="F463" s="65">
        <v>1</v>
      </c>
      <c r="G463" s="65">
        <v>1</v>
      </c>
      <c r="H463" s="2">
        <f t="shared" si="22"/>
        <v>93067.000000000029</v>
      </c>
      <c r="I463" s="12">
        <f t="shared" si="23"/>
        <v>0.15819444444444444</v>
      </c>
      <c r="J463" s="12">
        <f t="shared" si="24"/>
        <v>5.1911535029004925E-2</v>
      </c>
    </row>
    <row r="464" spans="1:10" ht="15" customHeight="1">
      <c r="A464" s="14">
        <v>45632</v>
      </c>
      <c r="B464" s="10">
        <f>VLOOKUP(A464,'BADI SID DATA'!A:B,2,0)</f>
        <v>250</v>
      </c>
      <c r="C464" s="4">
        <v>831</v>
      </c>
      <c r="D464" s="63">
        <v>2.95</v>
      </c>
      <c r="E464" s="3"/>
      <c r="F464" s="65">
        <v>1</v>
      </c>
      <c r="G464" s="65">
        <v>1</v>
      </c>
      <c r="H464" s="2">
        <f t="shared" si="22"/>
        <v>93898.000000000029</v>
      </c>
      <c r="I464" s="12">
        <f t="shared" si="23"/>
        <v>0.11541666666666667</v>
      </c>
      <c r="J464" s="12">
        <f t="shared" si="24"/>
        <v>5.2165555555555569E-2</v>
      </c>
    </row>
    <row r="465" spans="1:10" ht="15" customHeight="1">
      <c r="A465" s="14">
        <v>45633</v>
      </c>
      <c r="B465" s="10">
        <f>VLOOKUP(A465,'BADI SID DATA'!A:B,2,0)</f>
        <v>251</v>
      </c>
      <c r="C465" s="4">
        <v>1045</v>
      </c>
      <c r="D465" s="63">
        <v>3.75</v>
      </c>
      <c r="E465" s="3"/>
      <c r="F465" s="65">
        <v>1</v>
      </c>
      <c r="G465" s="65">
        <v>1</v>
      </c>
      <c r="H465" s="2">
        <f t="shared" si="22"/>
        <v>94943.000000000029</v>
      </c>
      <c r="I465" s="12">
        <f t="shared" si="23"/>
        <v>0.1451388888888889</v>
      </c>
      <c r="J465" s="12">
        <f t="shared" si="24"/>
        <v>5.2535967242142559E-2</v>
      </c>
    </row>
    <row r="466" spans="1:10" ht="15" customHeight="1">
      <c r="A466" s="14">
        <v>45634</v>
      </c>
      <c r="B466" s="10">
        <f>VLOOKUP(A466,'BADI SID DATA'!A:B,2,0)</f>
        <v>252</v>
      </c>
      <c r="C466" s="4">
        <v>1220.6999999999998</v>
      </c>
      <c r="D466" s="63">
        <v>4.43</v>
      </c>
      <c r="E466" s="3"/>
      <c r="F466" s="65">
        <v>1</v>
      </c>
      <c r="G466" s="65">
        <v>1</v>
      </c>
      <c r="H466" s="2">
        <f t="shared" si="22"/>
        <v>96163.700000000026</v>
      </c>
      <c r="I466" s="12">
        <f t="shared" si="23"/>
        <v>0.16954166666666665</v>
      </c>
      <c r="J466" s="12">
        <f t="shared" si="24"/>
        <v>5.3000275573192257E-2</v>
      </c>
    </row>
    <row r="467" spans="1:10" ht="15" customHeight="1">
      <c r="A467" s="14">
        <v>45635</v>
      </c>
      <c r="B467" s="10">
        <f>VLOOKUP(A467,'BADI SID DATA'!A:B,2,0)</f>
        <v>253</v>
      </c>
      <c r="C467" s="4">
        <v>411.20000000000005</v>
      </c>
      <c r="D467" s="63">
        <v>1.4</v>
      </c>
      <c r="E467" s="3"/>
      <c r="F467" s="65">
        <v>1</v>
      </c>
      <c r="G467" s="65">
        <v>1</v>
      </c>
      <c r="H467" s="2">
        <f t="shared" si="22"/>
        <v>96574.900000000023</v>
      </c>
      <c r="I467" s="12">
        <f t="shared" si="23"/>
        <v>5.7111111111111119E-2</v>
      </c>
      <c r="J467" s="12">
        <f t="shared" si="24"/>
        <v>5.301652393500221E-2</v>
      </c>
    </row>
    <row r="468" spans="1:10" ht="15" customHeight="1">
      <c r="A468" s="14">
        <v>45636</v>
      </c>
      <c r="B468" s="10">
        <f>VLOOKUP(A468,'BADI SID DATA'!A:B,2,0)</f>
        <v>254</v>
      </c>
      <c r="C468" s="4">
        <v>1173.8</v>
      </c>
      <c r="D468" s="63">
        <v>4.22</v>
      </c>
      <c r="E468" s="3"/>
      <c r="F468" s="65">
        <v>1</v>
      </c>
      <c r="G468" s="65">
        <v>1</v>
      </c>
      <c r="H468" s="2">
        <f t="shared" si="22"/>
        <v>97748.700000000026</v>
      </c>
      <c r="I468" s="12">
        <f t="shared" si="23"/>
        <v>0.16302777777777777</v>
      </c>
      <c r="J468" s="12">
        <f t="shared" si="24"/>
        <v>5.3449639107611566E-2</v>
      </c>
    </row>
    <row r="469" spans="1:10" ht="15" customHeight="1">
      <c r="A469" s="14">
        <v>45637</v>
      </c>
      <c r="B469" s="10">
        <f>VLOOKUP(A469,'BADI SID DATA'!A:B,2,0)</f>
        <v>255</v>
      </c>
      <c r="C469" s="4">
        <v>1209.9000000000001</v>
      </c>
      <c r="D469" s="63">
        <v>4.37</v>
      </c>
      <c r="E469" s="3"/>
      <c r="F469" s="65">
        <v>1</v>
      </c>
      <c r="G469" s="65">
        <v>1</v>
      </c>
      <c r="H469" s="2">
        <f t="shared" si="22"/>
        <v>98958.60000000002</v>
      </c>
      <c r="I469" s="12">
        <f t="shared" si="23"/>
        <v>0.16804166666666667</v>
      </c>
      <c r="J469" s="12">
        <f t="shared" si="24"/>
        <v>5.389901960784315E-2</v>
      </c>
    </row>
    <row r="470" spans="1:10" ht="15" customHeight="1">
      <c r="A470" s="14">
        <v>45638</v>
      </c>
      <c r="B470" s="10">
        <f>VLOOKUP(A470,'BADI SID DATA'!A:B,2,0)</f>
        <v>256</v>
      </c>
      <c r="C470" s="4">
        <v>1126.5999999999999</v>
      </c>
      <c r="D470" s="63">
        <v>4.03</v>
      </c>
      <c r="E470" s="3"/>
      <c r="F470" s="65">
        <v>1</v>
      </c>
      <c r="G470" s="65">
        <v>1</v>
      </c>
      <c r="H470" s="2">
        <f t="shared" si="22"/>
        <v>100085.20000000003</v>
      </c>
      <c r="I470" s="12">
        <f t="shared" si="23"/>
        <v>0.15647222222222221</v>
      </c>
      <c r="J470" s="12">
        <f t="shared" si="24"/>
        <v>5.4299696180555572E-2</v>
      </c>
    </row>
    <row r="471" spans="1:10" ht="15" customHeight="1">
      <c r="A471" s="14">
        <v>45639</v>
      </c>
      <c r="B471" s="10">
        <f>VLOOKUP(A471,'BADI SID DATA'!A:B,2,0)</f>
        <v>257</v>
      </c>
      <c r="C471" s="4">
        <v>516.29999999999995</v>
      </c>
      <c r="D471" s="63">
        <v>1.74</v>
      </c>
      <c r="E471" s="3"/>
      <c r="F471" s="65">
        <v>1</v>
      </c>
      <c r="G471" s="65">
        <v>1</v>
      </c>
      <c r="H471" s="2">
        <f t="shared" si="22"/>
        <v>100601.50000000003</v>
      </c>
      <c r="I471" s="12">
        <f t="shared" si="23"/>
        <v>7.1708333333333332E-2</v>
      </c>
      <c r="J471" s="12">
        <f t="shared" si="24"/>
        <v>5.4367434068309572E-2</v>
      </c>
    </row>
    <row r="472" spans="1:10" ht="15" customHeight="1">
      <c r="A472" s="14">
        <v>45640</v>
      </c>
      <c r="B472" s="10">
        <f>VLOOKUP(A472,'BADI SID DATA'!A:B,2,0)</f>
        <v>258</v>
      </c>
      <c r="C472" s="4">
        <v>311.10000000000002</v>
      </c>
      <c r="D472" s="63">
        <v>1.04</v>
      </c>
      <c r="E472" s="3"/>
      <c r="F472" s="65">
        <v>1</v>
      </c>
      <c r="G472" s="65">
        <v>1</v>
      </c>
      <c r="H472" s="2">
        <f t="shared" si="22"/>
        <v>100912.60000000003</v>
      </c>
      <c r="I472" s="12">
        <f t="shared" si="23"/>
        <v>4.3208333333333335E-2</v>
      </c>
      <c r="J472" s="12">
        <f t="shared" si="24"/>
        <v>5.4324181739879435E-2</v>
      </c>
    </row>
    <row r="473" spans="1:10" ht="15" customHeight="1">
      <c r="A473" s="14">
        <v>45641</v>
      </c>
      <c r="B473" s="10">
        <f>VLOOKUP(A473,'BADI SID DATA'!A:B,2,0)</f>
        <v>259</v>
      </c>
      <c r="C473" s="4">
        <v>1191.5</v>
      </c>
      <c r="D473" s="63">
        <v>4.3600000000000003</v>
      </c>
      <c r="E473" s="3"/>
      <c r="F473" s="65">
        <v>1</v>
      </c>
      <c r="G473" s="65">
        <v>1</v>
      </c>
      <c r="H473" s="2">
        <f t="shared" si="22"/>
        <v>102104.10000000003</v>
      </c>
      <c r="I473" s="12">
        <f t="shared" si="23"/>
        <v>0.16548611111111111</v>
      </c>
      <c r="J473" s="12">
        <f t="shared" si="24"/>
        <v>5.4753378378378396E-2</v>
      </c>
    </row>
    <row r="474" spans="1:10" ht="15" customHeight="1">
      <c r="A474" s="14">
        <v>45642</v>
      </c>
      <c r="B474" s="10">
        <f>VLOOKUP(A474,'BADI SID DATA'!A:B,2,0)</f>
        <v>260</v>
      </c>
      <c r="C474" s="4">
        <v>1231.7</v>
      </c>
      <c r="D474" s="63">
        <v>4.57</v>
      </c>
      <c r="E474" s="3"/>
      <c r="F474" s="65">
        <v>1</v>
      </c>
      <c r="G474" s="65">
        <v>1</v>
      </c>
      <c r="H474" s="2">
        <f t="shared" si="22"/>
        <v>103335.80000000003</v>
      </c>
      <c r="I474" s="12">
        <f t="shared" si="23"/>
        <v>0.17106944444444444</v>
      </c>
      <c r="J474" s="12">
        <f t="shared" si="24"/>
        <v>5.5200747863247877E-2</v>
      </c>
    </row>
    <row r="475" spans="1:10" ht="15" customHeight="1">
      <c r="A475" s="14">
        <v>45643</v>
      </c>
      <c r="B475" s="10">
        <f>VLOOKUP(A475,'BADI SID DATA'!A:B,2,0)</f>
        <v>261</v>
      </c>
      <c r="C475" s="4">
        <v>1072</v>
      </c>
      <c r="D475" s="63">
        <v>3.86</v>
      </c>
      <c r="E475" s="3"/>
      <c r="F475" s="65">
        <v>1</v>
      </c>
      <c r="G475" s="65">
        <v>1</v>
      </c>
      <c r="H475" s="2">
        <f t="shared" si="22"/>
        <v>104407.80000000003</v>
      </c>
      <c r="I475" s="12">
        <f t="shared" si="23"/>
        <v>0.14888888888888888</v>
      </c>
      <c r="J475" s="12">
        <f t="shared" si="24"/>
        <v>5.5559706257982136E-2</v>
      </c>
    </row>
    <row r="476" spans="1:10" ht="15" customHeight="1">
      <c r="A476" s="14">
        <v>45644</v>
      </c>
      <c r="B476" s="10">
        <f>VLOOKUP(A476,'BADI SID DATA'!A:B,2,0)</f>
        <v>262</v>
      </c>
      <c r="C476" s="4">
        <v>1210.2</v>
      </c>
      <c r="D476" s="63">
        <v>4.3499999999999996</v>
      </c>
      <c r="E476" s="3"/>
      <c r="F476" s="65">
        <v>1</v>
      </c>
      <c r="G476" s="65">
        <v>1</v>
      </c>
      <c r="H476" s="2">
        <f t="shared" si="22"/>
        <v>105618.00000000003</v>
      </c>
      <c r="I476" s="12">
        <f t="shared" si="23"/>
        <v>0.16808333333333333</v>
      </c>
      <c r="J476" s="12">
        <f t="shared" si="24"/>
        <v>5.5989185750636147E-2</v>
      </c>
    </row>
    <row r="477" spans="1:10" ht="15" customHeight="1">
      <c r="A477" s="14">
        <v>45645</v>
      </c>
      <c r="B477" s="10">
        <f>VLOOKUP(A477,'BADI SID DATA'!A:B,2,0)</f>
        <v>263</v>
      </c>
      <c r="C477" s="4">
        <v>1188.6999999999998</v>
      </c>
      <c r="D477" s="63">
        <v>4.3499999999999996</v>
      </c>
      <c r="E477" s="3"/>
      <c r="F477" s="65">
        <v>1</v>
      </c>
      <c r="G477" s="65">
        <v>1</v>
      </c>
      <c r="H477" s="2">
        <f t="shared" si="22"/>
        <v>106806.70000000003</v>
      </c>
      <c r="I477" s="12">
        <f t="shared" si="23"/>
        <v>0.1650972222222222</v>
      </c>
      <c r="J477" s="12">
        <f t="shared" si="24"/>
        <v>5.6404045204900735E-2</v>
      </c>
    </row>
    <row r="478" spans="1:10" ht="15" customHeight="1">
      <c r="A478" s="14">
        <v>45646</v>
      </c>
      <c r="B478" s="10">
        <f>VLOOKUP(A478,'BADI SID DATA'!A:B,2,0)</f>
        <v>264</v>
      </c>
      <c r="C478" s="4">
        <v>1014.5000000000001</v>
      </c>
      <c r="D478" s="63">
        <v>3.66</v>
      </c>
      <c r="E478" s="3"/>
      <c r="F478" s="65">
        <v>1</v>
      </c>
      <c r="G478" s="65">
        <v>1</v>
      </c>
      <c r="H478" s="2">
        <f t="shared" si="22"/>
        <v>107821.20000000003</v>
      </c>
      <c r="I478" s="12">
        <f t="shared" si="23"/>
        <v>0.14090277777777779</v>
      </c>
      <c r="J478" s="12">
        <f t="shared" si="24"/>
        <v>5.6724116161616177E-2</v>
      </c>
    </row>
    <row r="479" spans="1:10" ht="15" customHeight="1">
      <c r="A479" s="14">
        <v>45647</v>
      </c>
      <c r="B479" s="10">
        <f>VLOOKUP(A479,'BADI SID DATA'!A:B,2,0)</f>
        <v>265</v>
      </c>
      <c r="C479" s="4">
        <v>1195.9000000000001</v>
      </c>
      <c r="D479" s="63">
        <v>4.34</v>
      </c>
      <c r="E479" s="3"/>
      <c r="F479" s="65">
        <v>1</v>
      </c>
      <c r="G479" s="65">
        <v>1</v>
      </c>
      <c r="H479" s="2">
        <f t="shared" si="22"/>
        <v>109017.10000000002</v>
      </c>
      <c r="I479" s="12">
        <f t="shared" si="23"/>
        <v>0.16609722222222223</v>
      </c>
      <c r="J479" s="12">
        <f t="shared" si="24"/>
        <v>5.7136844863731669E-2</v>
      </c>
    </row>
    <row r="480" spans="1:10" ht="15" customHeight="1">
      <c r="A480" s="14">
        <v>45648</v>
      </c>
      <c r="B480" s="10">
        <f>VLOOKUP(A480,'BADI SID DATA'!A:B,2,0)</f>
        <v>266</v>
      </c>
      <c r="C480" s="4">
        <v>1345.9</v>
      </c>
      <c r="D480" s="63">
        <v>4.91</v>
      </c>
      <c r="E480" s="3"/>
      <c r="F480" s="65">
        <v>1</v>
      </c>
      <c r="G480" s="65">
        <v>1</v>
      </c>
      <c r="H480" s="2">
        <f t="shared" si="22"/>
        <v>110363.00000000001</v>
      </c>
      <c r="I480" s="12">
        <f t="shared" si="23"/>
        <v>0.18693055555555557</v>
      </c>
      <c r="J480" s="12">
        <f t="shared" si="24"/>
        <v>5.7624791144527995E-2</v>
      </c>
    </row>
    <row r="481" spans="1:10" ht="15" customHeight="1">
      <c r="A481" s="14">
        <v>45649</v>
      </c>
      <c r="B481" s="10">
        <f>VLOOKUP(A481,'BADI SID DATA'!A:B,2,0)</f>
        <v>267</v>
      </c>
      <c r="C481" s="4">
        <v>1353.2</v>
      </c>
      <c r="D481" s="63">
        <v>4.9800000000000004</v>
      </c>
      <c r="E481" s="3"/>
      <c r="F481" s="65">
        <v>1</v>
      </c>
      <c r="G481" s="65">
        <v>1</v>
      </c>
      <c r="H481" s="2">
        <f t="shared" si="22"/>
        <v>111716.20000000001</v>
      </c>
      <c r="I481" s="12">
        <f t="shared" si="23"/>
        <v>0.18794444444444444</v>
      </c>
      <c r="J481" s="12">
        <f t="shared" si="24"/>
        <v>5.8112879733666259E-2</v>
      </c>
    </row>
    <row r="482" spans="1:10" ht="15" customHeight="1">
      <c r="A482" s="14">
        <v>45650</v>
      </c>
      <c r="B482" s="10">
        <f>VLOOKUP(A482,'BADI SID DATA'!A:B,2,0)</f>
        <v>268</v>
      </c>
      <c r="C482" s="4">
        <v>1259.7</v>
      </c>
      <c r="D482" s="63">
        <v>4.67</v>
      </c>
      <c r="E482" s="3"/>
      <c r="F482" s="65">
        <v>1</v>
      </c>
      <c r="G482" s="65">
        <v>1</v>
      </c>
      <c r="H482" s="2">
        <f t="shared" si="22"/>
        <v>112975.90000000001</v>
      </c>
      <c r="I482" s="12">
        <f t="shared" si="23"/>
        <v>0.17495833333333333</v>
      </c>
      <c r="J482" s="12">
        <f t="shared" si="24"/>
        <v>5.8548870232172479E-2</v>
      </c>
    </row>
    <row r="483" spans="1:10" ht="15" customHeight="1">
      <c r="A483" s="14">
        <v>45651</v>
      </c>
      <c r="B483" s="10">
        <f>VLOOKUP(A483,'BADI SID DATA'!A:B,2,0)</f>
        <v>269</v>
      </c>
      <c r="C483" s="4">
        <v>1342.9</v>
      </c>
      <c r="D483" s="63">
        <v>4.95</v>
      </c>
      <c r="E483" s="3"/>
      <c r="F483" s="65">
        <v>1</v>
      </c>
      <c r="G483" s="65">
        <v>1</v>
      </c>
      <c r="H483" s="2">
        <f t="shared" si="22"/>
        <v>114318.8</v>
      </c>
      <c r="I483" s="12">
        <f t="shared" si="23"/>
        <v>0.1865138888888889</v>
      </c>
      <c r="J483" s="12">
        <f t="shared" si="24"/>
        <v>5.9024576621230895E-2</v>
      </c>
    </row>
    <row r="484" spans="1:10" ht="15" customHeight="1">
      <c r="A484" s="14">
        <v>45652</v>
      </c>
      <c r="B484" s="10">
        <f>VLOOKUP(A484,'BADI SID DATA'!A:B,2,0)</f>
        <v>270</v>
      </c>
      <c r="C484" s="4">
        <v>1152.6999999999998</v>
      </c>
      <c r="D484" s="63">
        <v>4.17</v>
      </c>
      <c r="E484" s="3"/>
      <c r="F484" s="65">
        <v>1</v>
      </c>
      <c r="G484" s="65">
        <v>1</v>
      </c>
      <c r="H484" s="2">
        <f t="shared" si="22"/>
        <v>115471.5</v>
      </c>
      <c r="I484" s="12">
        <f t="shared" si="23"/>
        <v>0.1600972222222222</v>
      </c>
      <c r="J484" s="12">
        <f t="shared" si="24"/>
        <v>5.9398919753086421E-2</v>
      </c>
    </row>
    <row r="485" spans="1:10" ht="15" customHeight="1">
      <c r="A485" s="14">
        <v>45653</v>
      </c>
      <c r="B485" s="10">
        <f>VLOOKUP(A485,'BADI SID DATA'!A:B,2,0)</f>
        <v>271</v>
      </c>
      <c r="C485" s="4">
        <v>1138.4000000000001</v>
      </c>
      <c r="D485" s="63">
        <v>4.1100000000000003</v>
      </c>
      <c r="E485" s="3"/>
      <c r="F485" s="65">
        <v>1</v>
      </c>
      <c r="G485" s="65">
        <v>1</v>
      </c>
      <c r="H485" s="2">
        <f t="shared" si="22"/>
        <v>116609.9</v>
      </c>
      <c r="I485" s="12">
        <f t="shared" si="23"/>
        <v>0.15811111111111112</v>
      </c>
      <c r="J485" s="12">
        <f t="shared" si="24"/>
        <v>5.9763171381713817E-2</v>
      </c>
    </row>
    <row r="486" spans="1:10" ht="15" customHeight="1">
      <c r="A486" s="14">
        <v>45654</v>
      </c>
      <c r="B486" s="10">
        <f>VLOOKUP(A486,'BADI SID DATA'!A:B,2,0)</f>
        <v>272</v>
      </c>
      <c r="C486" s="4">
        <v>1145.5</v>
      </c>
      <c r="D486" s="63">
        <v>4.22</v>
      </c>
      <c r="E486" s="3"/>
      <c r="F486" s="65">
        <v>1</v>
      </c>
      <c r="G486" s="65">
        <v>1</v>
      </c>
      <c r="H486" s="2">
        <f t="shared" si="22"/>
        <v>117755.4</v>
      </c>
      <c r="I486" s="12">
        <f t="shared" si="23"/>
        <v>0.15909722222222222</v>
      </c>
      <c r="J486" s="12">
        <f t="shared" si="24"/>
        <v>6.0128370098039216E-2</v>
      </c>
    </row>
    <row r="487" spans="1:10" ht="15" customHeight="1">
      <c r="A487" s="14">
        <v>45655</v>
      </c>
      <c r="B487" s="10">
        <f>VLOOKUP(A487,'BADI SID DATA'!A:B,2,0)</f>
        <v>273</v>
      </c>
      <c r="C487" s="4">
        <v>1182.8</v>
      </c>
      <c r="D487" s="63">
        <v>4.3</v>
      </c>
      <c r="E487" s="3"/>
      <c r="F487" s="65">
        <v>1</v>
      </c>
      <c r="G487" s="65">
        <v>1</v>
      </c>
      <c r="H487" s="2">
        <f t="shared" si="22"/>
        <v>118938.2</v>
      </c>
      <c r="I487" s="12">
        <f t="shared" si="23"/>
        <v>0.16427777777777777</v>
      </c>
      <c r="J487" s="12">
        <f t="shared" si="24"/>
        <v>6.0509869759869758E-2</v>
      </c>
    </row>
    <row r="488" spans="1:10" ht="15" customHeight="1">
      <c r="A488" s="14">
        <v>45656</v>
      </c>
      <c r="B488" s="10">
        <f>VLOOKUP(A488,'BADI SID DATA'!A:B,2,0)</f>
        <v>274</v>
      </c>
      <c r="C488" s="4">
        <v>1267</v>
      </c>
      <c r="D488" s="63">
        <v>4.68</v>
      </c>
      <c r="E488" s="3"/>
      <c r="F488" s="65">
        <v>1</v>
      </c>
      <c r="G488" s="65">
        <v>1</v>
      </c>
      <c r="H488" s="2">
        <f t="shared" si="22"/>
        <v>120205.2</v>
      </c>
      <c r="I488" s="12">
        <f t="shared" si="23"/>
        <v>0.17597222222222222</v>
      </c>
      <c r="J488" s="12">
        <f t="shared" si="24"/>
        <v>6.0931265206812649E-2</v>
      </c>
    </row>
    <row r="489" spans="1:10" ht="15" customHeight="1">
      <c r="A489" s="14">
        <v>45657</v>
      </c>
      <c r="B489" s="10">
        <f>VLOOKUP(A489,'BADI SID DATA'!A:B,2,0)</f>
        <v>275</v>
      </c>
      <c r="C489" s="4">
        <v>1248.5</v>
      </c>
      <c r="D489" s="63">
        <v>4.5599999999999996</v>
      </c>
      <c r="E489" s="3"/>
      <c r="F489" s="65">
        <v>1</v>
      </c>
      <c r="G489" s="65">
        <v>1</v>
      </c>
      <c r="H489" s="2">
        <f t="shared" si="22"/>
        <v>121453.7</v>
      </c>
      <c r="I489" s="12">
        <f t="shared" si="23"/>
        <v>0.17340277777777777</v>
      </c>
      <c r="J489" s="12">
        <f t="shared" si="24"/>
        <v>6.1340252525252527E-2</v>
      </c>
    </row>
    <row r="490" spans="1:10" ht="15" customHeight="1">
      <c r="A490" s="14">
        <v>45658</v>
      </c>
      <c r="B490" s="10">
        <f>VLOOKUP(A490,'BADI SID DATA'!A:B,2,0)</f>
        <v>276</v>
      </c>
      <c r="C490" s="4">
        <v>1238.5999999999999</v>
      </c>
      <c r="D490" s="63">
        <v>4.78</v>
      </c>
      <c r="E490" s="3"/>
      <c r="F490" s="65">
        <v>1</v>
      </c>
      <c r="G490" s="65">
        <v>1</v>
      </c>
      <c r="H490" s="2">
        <f t="shared" si="22"/>
        <v>122692.3</v>
      </c>
      <c r="I490" s="12">
        <f t="shared" si="23"/>
        <v>0.17202777777777775</v>
      </c>
      <c r="J490" s="12">
        <f t="shared" si="24"/>
        <v>6.174129428341385E-2</v>
      </c>
    </row>
    <row r="491" spans="1:10" ht="15" customHeight="1">
      <c r="A491" s="14">
        <v>45659</v>
      </c>
      <c r="B491" s="10">
        <f>VLOOKUP(A491,'BADI SID DATA'!A:B,2,0)</f>
        <v>277</v>
      </c>
      <c r="C491" s="4">
        <v>1131.7</v>
      </c>
      <c r="D491" s="63">
        <v>4.45</v>
      </c>
      <c r="E491" s="3"/>
      <c r="F491" s="65">
        <v>1</v>
      </c>
      <c r="G491" s="65">
        <v>0.96527777777777779</v>
      </c>
      <c r="H491" s="2">
        <f t="shared" si="22"/>
        <v>123824</v>
      </c>
      <c r="I491" s="12">
        <f t="shared" si="23"/>
        <v>0.15718055555555557</v>
      </c>
      <c r="J491" s="12">
        <f t="shared" si="24"/>
        <v>6.2085840352988364E-2</v>
      </c>
    </row>
    <row r="492" spans="1:10" ht="15" customHeight="1">
      <c r="A492" s="14">
        <v>45660</v>
      </c>
      <c r="B492" s="10">
        <f>VLOOKUP(A492,'BADI SID DATA'!A:B,2,0)</f>
        <v>278</v>
      </c>
      <c r="C492" s="4">
        <v>1214.7</v>
      </c>
      <c r="D492" s="63">
        <v>4.2300000000000004</v>
      </c>
      <c r="E492" s="3"/>
      <c r="F492" s="65">
        <v>1</v>
      </c>
      <c r="G492" s="65">
        <v>1</v>
      </c>
      <c r="H492" s="2">
        <f t="shared" si="22"/>
        <v>125038.7</v>
      </c>
      <c r="I492" s="12">
        <f t="shared" si="23"/>
        <v>0.16870833333333335</v>
      </c>
      <c r="J492" s="12">
        <f t="shared" si="24"/>
        <v>6.2469374500399681E-2</v>
      </c>
    </row>
    <row r="493" spans="1:10" ht="15" customHeight="1">
      <c r="A493" s="14">
        <v>45661</v>
      </c>
      <c r="B493" s="10">
        <f>VLOOKUP(A493,'BADI SID DATA'!A:B,2,0)</f>
        <v>279</v>
      </c>
      <c r="C493" s="4">
        <v>1098.1999999999998</v>
      </c>
      <c r="D493" s="63">
        <v>3.75</v>
      </c>
      <c r="E493" s="3"/>
      <c r="F493" s="65">
        <v>1</v>
      </c>
      <c r="G493" s="65">
        <v>1</v>
      </c>
      <c r="H493" s="2">
        <f t="shared" si="22"/>
        <v>126136.9</v>
      </c>
      <c r="I493" s="12">
        <f t="shared" si="23"/>
        <v>0.15252777777777776</v>
      </c>
      <c r="J493" s="12">
        <f t="shared" si="24"/>
        <v>6.2792164476304257E-2</v>
      </c>
    </row>
    <row r="494" spans="1:10" ht="15" customHeight="1">
      <c r="A494" s="14">
        <v>45662</v>
      </c>
      <c r="B494" s="10">
        <f>VLOOKUP(A494,'BADI SID DATA'!A:B,2,0)</f>
        <v>280</v>
      </c>
      <c r="C494" s="4">
        <v>559.1</v>
      </c>
      <c r="D494" s="63">
        <v>1.83</v>
      </c>
      <c r="E494" s="3"/>
      <c r="F494" s="65">
        <v>1</v>
      </c>
      <c r="G494" s="65">
        <v>1</v>
      </c>
      <c r="H494" s="2">
        <f t="shared" si="22"/>
        <v>126696</v>
      </c>
      <c r="I494" s="12">
        <f t="shared" si="23"/>
        <v>7.7652777777777779E-2</v>
      </c>
      <c r="J494" s="12">
        <f t="shared" si="24"/>
        <v>6.2845238095238093E-2</v>
      </c>
    </row>
    <row r="495" spans="1:10" ht="15" customHeight="1">
      <c r="A495" s="14">
        <v>45663</v>
      </c>
      <c r="B495" s="10">
        <f>VLOOKUP(A495,'BADI SID DATA'!A:B,2,0)</f>
        <v>281</v>
      </c>
      <c r="C495" s="4">
        <v>1168.5</v>
      </c>
      <c r="D495" s="63">
        <v>4.21</v>
      </c>
      <c r="E495" s="3"/>
      <c r="F495" s="65">
        <v>1</v>
      </c>
      <c r="G495" s="65">
        <v>1</v>
      </c>
      <c r="H495" s="2">
        <f t="shared" si="22"/>
        <v>127864.5</v>
      </c>
      <c r="I495" s="12">
        <f t="shared" si="23"/>
        <v>0.16229166666666667</v>
      </c>
      <c r="J495" s="12">
        <f t="shared" si="24"/>
        <v>6.3199139976275201E-2</v>
      </c>
    </row>
    <row r="496" spans="1:10" ht="15" customHeight="1">
      <c r="A496" s="14">
        <v>45664</v>
      </c>
      <c r="B496" s="10">
        <f>VLOOKUP(A496,'BADI SID DATA'!A:B,2,0)</f>
        <v>282</v>
      </c>
      <c r="C496" s="4">
        <v>1260.8</v>
      </c>
      <c r="D496" s="63">
        <v>4.5</v>
      </c>
      <c r="E496" s="3"/>
      <c r="F496" s="65">
        <v>1</v>
      </c>
      <c r="G496" s="65">
        <v>1</v>
      </c>
      <c r="H496" s="2">
        <f t="shared" si="22"/>
        <v>129125.3</v>
      </c>
      <c r="I496" s="12">
        <f t="shared" si="23"/>
        <v>0.17511111111111111</v>
      </c>
      <c r="J496" s="12">
        <f t="shared" si="24"/>
        <v>6.3595990937746261E-2</v>
      </c>
    </row>
    <row r="497" spans="1:10" ht="15" customHeight="1">
      <c r="A497" s="14">
        <v>45665</v>
      </c>
      <c r="B497" s="10">
        <f>VLOOKUP(A497,'BADI SID DATA'!A:B,2,0)</f>
        <v>283</v>
      </c>
      <c r="C497" s="4">
        <v>1112.8</v>
      </c>
      <c r="D497" s="63">
        <v>3.98</v>
      </c>
      <c r="E497" s="3"/>
      <c r="F497" s="65">
        <v>1</v>
      </c>
      <c r="G497" s="65">
        <v>1</v>
      </c>
      <c r="H497" s="2">
        <f t="shared" si="22"/>
        <v>130238.1</v>
      </c>
      <c r="I497" s="12">
        <f t="shared" si="23"/>
        <v>0.15455555555555556</v>
      </c>
      <c r="J497" s="12">
        <f t="shared" si="24"/>
        <v>6.3917402826855124E-2</v>
      </c>
    </row>
    <row r="498" spans="1:10" ht="15" customHeight="1">
      <c r="A498" s="14">
        <v>45666</v>
      </c>
      <c r="B498" s="10">
        <f>VLOOKUP(A498,'BADI SID DATA'!A:B,2,0)</f>
        <v>284</v>
      </c>
      <c r="C498" s="4">
        <v>1099.9000000000001</v>
      </c>
      <c r="D498" s="63">
        <v>4.22</v>
      </c>
      <c r="E498" s="3"/>
      <c r="F498" s="65">
        <v>1</v>
      </c>
      <c r="G498" s="65">
        <v>1</v>
      </c>
      <c r="H498" s="2">
        <f t="shared" si="22"/>
        <v>131338</v>
      </c>
      <c r="I498" s="12">
        <f t="shared" si="23"/>
        <v>0.15276388888888889</v>
      </c>
      <c r="J498" s="12">
        <f t="shared" si="24"/>
        <v>6.4230242566510179E-2</v>
      </c>
    </row>
    <row r="499" spans="1:10" ht="15" customHeight="1">
      <c r="A499" s="14">
        <v>45667</v>
      </c>
      <c r="B499" s="10">
        <f>VLOOKUP(A499,'BADI SID DATA'!A:B,2,0)</f>
        <v>285</v>
      </c>
      <c r="C499" s="4">
        <v>1201.0999999999999</v>
      </c>
      <c r="D499" s="63">
        <v>4.1900000000000004</v>
      </c>
      <c r="E499" s="3"/>
      <c r="F499" s="65">
        <v>1</v>
      </c>
      <c r="G499" s="65">
        <v>1</v>
      </c>
      <c r="H499" s="2">
        <f t="shared" si="22"/>
        <v>132539.1</v>
      </c>
      <c r="I499" s="12">
        <f t="shared" si="23"/>
        <v>0.16681944444444444</v>
      </c>
      <c r="J499" s="12">
        <f t="shared" si="24"/>
        <v>6.4590204678362573E-2</v>
      </c>
    </row>
    <row r="500" spans="1:10" ht="15" customHeight="1">
      <c r="A500" s="14">
        <v>45668</v>
      </c>
      <c r="B500" s="10">
        <f>VLOOKUP(A500,'BADI SID DATA'!A:B,2,0)</f>
        <v>286</v>
      </c>
      <c r="C500" s="4">
        <v>972.6</v>
      </c>
      <c r="D500" s="63">
        <v>3.36</v>
      </c>
      <c r="E500" s="3"/>
      <c r="F500" s="65">
        <v>1</v>
      </c>
      <c r="G500" s="65">
        <v>0.8930555555555556</v>
      </c>
      <c r="H500" s="2">
        <f t="shared" si="22"/>
        <v>133511.70000000001</v>
      </c>
      <c r="I500" s="12">
        <f t="shared" si="23"/>
        <v>0.13508333333333333</v>
      </c>
      <c r="J500" s="12">
        <f t="shared" si="24"/>
        <v>6.4836684149184157E-2</v>
      </c>
    </row>
    <row r="501" spans="1:10" ht="15" customHeight="1">
      <c r="A501" s="14">
        <v>45669</v>
      </c>
      <c r="B501" s="10">
        <f>VLOOKUP(A501,'BADI SID DATA'!A:B,2,0)</f>
        <v>287</v>
      </c>
      <c r="C501" s="4">
        <v>1228.5999999999999</v>
      </c>
      <c r="D501" s="63">
        <v>4.29</v>
      </c>
      <c r="E501" s="3"/>
      <c r="F501" s="65">
        <v>1</v>
      </c>
      <c r="G501" s="65">
        <v>1</v>
      </c>
      <c r="H501" s="2">
        <f t="shared" si="22"/>
        <v>134740.30000000002</v>
      </c>
      <c r="I501" s="12">
        <f t="shared" si="23"/>
        <v>0.17063888888888887</v>
      </c>
      <c r="J501" s="12">
        <f t="shared" si="24"/>
        <v>6.520533294618662E-2</v>
      </c>
    </row>
    <row r="502" spans="1:10" ht="15" customHeight="1">
      <c r="A502" s="14">
        <v>45670</v>
      </c>
      <c r="B502" s="10">
        <f>VLOOKUP(A502,'BADI SID DATA'!A:B,2,0)</f>
        <v>288</v>
      </c>
      <c r="C502" s="4">
        <v>958.8</v>
      </c>
      <c r="D502" s="63">
        <v>3.33</v>
      </c>
      <c r="E502" s="3"/>
      <c r="F502" s="65">
        <v>1</v>
      </c>
      <c r="G502" s="65">
        <v>1</v>
      </c>
      <c r="H502" s="2">
        <f t="shared" si="22"/>
        <v>135699.1</v>
      </c>
      <c r="I502" s="12">
        <f t="shared" si="23"/>
        <v>0.13316666666666666</v>
      </c>
      <c r="J502" s="12">
        <f t="shared" si="24"/>
        <v>6.5441309799382716E-2</v>
      </c>
    </row>
    <row r="503" spans="1:10" ht="15" customHeight="1">
      <c r="A503" s="14">
        <v>45671</v>
      </c>
      <c r="B503" s="10">
        <f>VLOOKUP(A503,'BADI SID DATA'!A:B,2,0)</f>
        <v>289</v>
      </c>
      <c r="C503" s="4">
        <v>534.4</v>
      </c>
      <c r="D503" s="63">
        <v>1.82</v>
      </c>
      <c r="E503" s="3"/>
      <c r="F503" s="65">
        <v>1</v>
      </c>
      <c r="G503" s="65">
        <v>0.96111111111111114</v>
      </c>
      <c r="H503" s="2">
        <f t="shared" si="22"/>
        <v>136233.5</v>
      </c>
      <c r="I503" s="12">
        <f t="shared" si="23"/>
        <v>7.4222222222222217E-2</v>
      </c>
      <c r="J503" s="12">
        <f t="shared" si="24"/>
        <v>6.5471693579392545E-2</v>
      </c>
    </row>
    <row r="504" spans="1:10" ht="15" customHeight="1">
      <c r="A504" s="14">
        <v>45672</v>
      </c>
      <c r="B504" s="10">
        <f>VLOOKUP(A504,'BADI SID DATA'!A:B,2,0)</f>
        <v>290</v>
      </c>
      <c r="C504" s="4">
        <v>806.5</v>
      </c>
      <c r="D504" s="63">
        <v>2.72</v>
      </c>
      <c r="E504" s="3"/>
      <c r="F504" s="65">
        <v>1</v>
      </c>
      <c r="G504" s="65">
        <v>1</v>
      </c>
      <c r="H504" s="2">
        <f t="shared" si="22"/>
        <v>137040</v>
      </c>
      <c r="I504" s="12">
        <f t="shared" si="23"/>
        <v>0.11201388888888889</v>
      </c>
      <c r="J504" s="12">
        <f t="shared" si="24"/>
        <v>6.5632183908045982E-2</v>
      </c>
    </row>
    <row r="505" spans="1:10" ht="15" customHeight="1">
      <c r="A505" s="14">
        <v>45673</v>
      </c>
      <c r="B505" s="10">
        <f>VLOOKUP(A505,'BADI SID DATA'!A:B,2,0)</f>
        <v>291</v>
      </c>
      <c r="C505" s="4">
        <v>1022.1</v>
      </c>
      <c r="D505" s="63">
        <v>3.73</v>
      </c>
      <c r="E505" s="3"/>
      <c r="F505" s="65">
        <v>1</v>
      </c>
      <c r="G505" s="65">
        <v>1</v>
      </c>
      <c r="H505" s="2">
        <f t="shared" si="22"/>
        <v>138062.1</v>
      </c>
      <c r="I505" s="12">
        <f t="shared" si="23"/>
        <v>0.14195833333333333</v>
      </c>
      <c r="J505" s="12">
        <f t="shared" si="24"/>
        <v>6.5894473081328758E-2</v>
      </c>
    </row>
    <row r="506" spans="1:10" ht="15" customHeight="1">
      <c r="A506" s="14">
        <v>45674</v>
      </c>
      <c r="B506" s="10">
        <f>VLOOKUP(A506,'BADI SID DATA'!A:B,2,0)</f>
        <v>292</v>
      </c>
      <c r="C506" s="4">
        <v>1344.4</v>
      </c>
      <c r="D506" s="63">
        <v>4.91</v>
      </c>
      <c r="E506" s="3"/>
      <c r="F506" s="65">
        <v>1</v>
      </c>
      <c r="G506" s="65">
        <v>1</v>
      </c>
      <c r="H506" s="2">
        <f t="shared" si="22"/>
        <v>139406.5</v>
      </c>
      <c r="I506" s="12">
        <f t="shared" si="23"/>
        <v>0.18672222222222223</v>
      </c>
      <c r="J506" s="12">
        <f t="shared" si="24"/>
        <v>6.6308266742770169E-2</v>
      </c>
    </row>
    <row r="507" spans="1:10" ht="15" customHeight="1">
      <c r="A507" s="14">
        <v>45675</v>
      </c>
      <c r="B507" s="10">
        <f>VLOOKUP(A507,'BADI SID DATA'!A:B,2,0)</f>
        <v>293</v>
      </c>
      <c r="C507" s="4">
        <v>1069.5999999999999</v>
      </c>
      <c r="D507" s="63">
        <v>3.84</v>
      </c>
      <c r="E507" s="3"/>
      <c r="F507" s="65">
        <v>1</v>
      </c>
      <c r="G507" s="65">
        <v>1</v>
      </c>
      <c r="H507" s="2">
        <f t="shared" si="22"/>
        <v>140476.1</v>
      </c>
      <c r="I507" s="12">
        <f t="shared" si="23"/>
        <v>0.14855555555555555</v>
      </c>
      <c r="J507" s="12">
        <f t="shared" si="24"/>
        <v>6.6588974213120974E-2</v>
      </c>
    </row>
    <row r="508" spans="1:10" ht="15" customHeight="1">
      <c r="A508" s="14">
        <v>45676</v>
      </c>
      <c r="B508" s="10">
        <f>VLOOKUP(A508,'BADI SID DATA'!A:B,2,0)</f>
        <v>294</v>
      </c>
      <c r="C508" s="4">
        <v>1126.5999999999999</v>
      </c>
      <c r="D508" s="63">
        <v>3.89</v>
      </c>
      <c r="E508" s="3"/>
      <c r="F508" s="65">
        <v>1</v>
      </c>
      <c r="G508" s="65">
        <v>1</v>
      </c>
      <c r="H508" s="2">
        <f t="shared" si="22"/>
        <v>141602.70000000001</v>
      </c>
      <c r="I508" s="12">
        <f t="shared" si="23"/>
        <v>0.15647222222222221</v>
      </c>
      <c r="J508" s="12">
        <f t="shared" si="24"/>
        <v>6.6894699546485262E-2</v>
      </c>
    </row>
    <row r="509" spans="1:10" ht="15" customHeight="1">
      <c r="A509" s="14">
        <v>45677</v>
      </c>
      <c r="B509" s="10">
        <f>VLOOKUP(A509,'BADI SID DATA'!A:B,2,0)</f>
        <v>295</v>
      </c>
      <c r="C509" s="4">
        <v>1200.2</v>
      </c>
      <c r="D509" s="63">
        <v>4.4000000000000004</v>
      </c>
      <c r="E509" s="3"/>
      <c r="F509" s="65">
        <v>1</v>
      </c>
      <c r="G509" s="65">
        <v>1</v>
      </c>
      <c r="H509" s="2">
        <f t="shared" si="22"/>
        <v>142802.90000000002</v>
      </c>
      <c r="I509" s="12">
        <f t="shared" si="23"/>
        <v>0.16669444444444445</v>
      </c>
      <c r="J509" s="12">
        <f t="shared" si="24"/>
        <v>6.7233003766478353E-2</v>
      </c>
    </row>
    <row r="510" spans="1:10" ht="15" customHeight="1">
      <c r="A510" s="14">
        <v>45678</v>
      </c>
      <c r="B510" s="10">
        <f>VLOOKUP(A510,'BADI SID DATA'!A:B,2,0)</f>
        <v>296</v>
      </c>
      <c r="C510" s="4">
        <v>1241.3</v>
      </c>
      <c r="D510" s="63">
        <v>4.4000000000000004</v>
      </c>
      <c r="E510" s="3"/>
      <c r="F510" s="65">
        <v>1</v>
      </c>
      <c r="G510" s="65">
        <v>1</v>
      </c>
      <c r="H510" s="2">
        <f t="shared" si="22"/>
        <v>144044.20000000001</v>
      </c>
      <c r="I510" s="12">
        <f t="shared" si="23"/>
        <v>0.17240277777777777</v>
      </c>
      <c r="J510" s="12">
        <f t="shared" si="24"/>
        <v>6.7588307057057068E-2</v>
      </c>
    </row>
    <row r="511" spans="1:10" ht="15" customHeight="1">
      <c r="A511" s="14">
        <v>45679</v>
      </c>
      <c r="B511" s="10">
        <f>VLOOKUP(A511,'BADI SID DATA'!A:B,2,0)</f>
        <v>297</v>
      </c>
      <c r="C511" s="4">
        <v>1151.0999999999999</v>
      </c>
      <c r="D511" s="63">
        <v>4.17</v>
      </c>
      <c r="E511" s="3"/>
      <c r="F511" s="65">
        <v>1</v>
      </c>
      <c r="G511" s="65">
        <v>1</v>
      </c>
      <c r="H511" s="2">
        <f t="shared" si="22"/>
        <v>145195.30000000002</v>
      </c>
      <c r="I511" s="12">
        <f t="shared" si="23"/>
        <v>0.15987499999999999</v>
      </c>
      <c r="J511" s="12">
        <f t="shared" si="24"/>
        <v>6.7899036662925558E-2</v>
      </c>
    </row>
    <row r="512" spans="1:10" ht="15" customHeight="1">
      <c r="A512" s="14">
        <v>45680</v>
      </c>
      <c r="B512" s="10">
        <f>VLOOKUP(A512,'BADI SID DATA'!A:B,2,0)</f>
        <v>298</v>
      </c>
      <c r="C512" s="4">
        <v>1082.5</v>
      </c>
      <c r="D512" s="63">
        <v>3.75</v>
      </c>
      <c r="E512" s="3"/>
      <c r="F512" s="65">
        <v>1</v>
      </c>
      <c r="G512" s="65">
        <v>1</v>
      </c>
      <c r="H512" s="2">
        <f t="shared" si="22"/>
        <v>146277.80000000002</v>
      </c>
      <c r="I512" s="12">
        <f t="shared" si="23"/>
        <v>0.15034722222222222</v>
      </c>
      <c r="J512" s="12">
        <f t="shared" si="24"/>
        <v>6.8175708426547355E-2</v>
      </c>
    </row>
    <row r="513" spans="1:10" ht="15" customHeight="1">
      <c r="A513" s="14">
        <v>45681</v>
      </c>
      <c r="B513" s="10">
        <f>VLOOKUP(A513,'BADI SID DATA'!A:B,2,0)</f>
        <v>299</v>
      </c>
      <c r="C513" s="4">
        <v>1195.2</v>
      </c>
      <c r="D513" s="63">
        <v>4.34</v>
      </c>
      <c r="E513" s="3"/>
      <c r="F513" s="65">
        <v>1</v>
      </c>
      <c r="G513" s="65">
        <v>1</v>
      </c>
      <c r="H513" s="2">
        <f t="shared" si="22"/>
        <v>147473.00000000003</v>
      </c>
      <c r="I513" s="12">
        <f t="shared" si="23"/>
        <v>0.16600000000000001</v>
      </c>
      <c r="J513" s="12">
        <f t="shared" si="24"/>
        <v>6.8502879970271283E-2</v>
      </c>
    </row>
    <row r="514" spans="1:10" ht="15" customHeight="1">
      <c r="A514" s="14">
        <v>45682</v>
      </c>
      <c r="B514" s="10">
        <f>VLOOKUP(A514,'BADI SID DATA'!A:B,2,0)</f>
        <v>300</v>
      </c>
      <c r="C514" s="4">
        <v>1326.9</v>
      </c>
      <c r="D514" s="63">
        <v>4.82</v>
      </c>
      <c r="E514" s="3"/>
      <c r="F514" s="65">
        <v>1</v>
      </c>
      <c r="G514" s="65">
        <v>1</v>
      </c>
      <c r="H514" s="2">
        <f t="shared" si="22"/>
        <v>148799.90000000002</v>
      </c>
      <c r="I514" s="12">
        <f t="shared" si="23"/>
        <v>0.18429166666666669</v>
      </c>
      <c r="J514" s="12">
        <f t="shared" si="24"/>
        <v>6.8888842592592606E-2</v>
      </c>
    </row>
    <row r="515" spans="1:10" ht="15" customHeight="1">
      <c r="A515" s="14">
        <v>45683</v>
      </c>
      <c r="B515" s="10">
        <f>VLOOKUP(A515,'BADI SID DATA'!A:B,2,0)</f>
        <v>301</v>
      </c>
      <c r="C515" s="4">
        <v>1305.0999999999999</v>
      </c>
      <c r="D515" s="63">
        <v>4.5999999999999996</v>
      </c>
      <c r="E515" s="3"/>
      <c r="F515" s="65">
        <v>1</v>
      </c>
      <c r="G515" s="65">
        <v>1</v>
      </c>
      <c r="H515" s="2">
        <f t="shared" ref="H515:H578" si="25">H514+C515</f>
        <v>150105.00000000003</v>
      </c>
      <c r="I515" s="12">
        <f t="shared" ref="I515:I578" si="26">C515/(300*24)</f>
        <v>0.18126388888888886</v>
      </c>
      <c r="J515" s="12">
        <f t="shared" ref="J515:J578" si="27">H515/(24*B515*300)</f>
        <v>6.9262181616832799E-2</v>
      </c>
    </row>
    <row r="516" spans="1:10" ht="15" customHeight="1">
      <c r="A516" s="14">
        <v>45684</v>
      </c>
      <c r="B516" s="10">
        <f>VLOOKUP(A516,'BADI SID DATA'!A:B,2,0)</f>
        <v>302</v>
      </c>
      <c r="C516" s="4">
        <v>1154.0999999999999</v>
      </c>
      <c r="D516" s="63">
        <v>4.1900000000000004</v>
      </c>
      <c r="E516" s="3"/>
      <c r="F516" s="65">
        <v>1</v>
      </c>
      <c r="G516" s="65">
        <v>1</v>
      </c>
      <c r="H516" s="2">
        <f t="shared" si="25"/>
        <v>151259.10000000003</v>
      </c>
      <c r="I516" s="12">
        <f t="shared" si="26"/>
        <v>0.16029166666666667</v>
      </c>
      <c r="J516" s="12">
        <f t="shared" si="27"/>
        <v>6.9563603752759398E-2</v>
      </c>
    </row>
    <row r="517" spans="1:10" ht="15" customHeight="1">
      <c r="A517" s="14">
        <v>45685</v>
      </c>
      <c r="B517" s="10">
        <f>VLOOKUP(A517,'BADI SID DATA'!A:B,2,0)</f>
        <v>303</v>
      </c>
      <c r="C517" s="4">
        <v>1238.3000000000002</v>
      </c>
      <c r="D517" s="63">
        <v>4.82</v>
      </c>
      <c r="E517" s="3"/>
      <c r="F517" s="65">
        <v>0.843218012081274</v>
      </c>
      <c r="G517" s="65">
        <v>1</v>
      </c>
      <c r="H517" s="2">
        <f t="shared" si="25"/>
        <v>152497.40000000002</v>
      </c>
      <c r="I517" s="12">
        <f t="shared" si="26"/>
        <v>0.17198611111111115</v>
      </c>
      <c r="J517" s="12">
        <f t="shared" si="27"/>
        <v>6.9901631829849667E-2</v>
      </c>
    </row>
    <row r="518" spans="1:10" ht="15" customHeight="1">
      <c r="A518" s="14">
        <v>45686</v>
      </c>
      <c r="B518" s="10">
        <f>VLOOKUP(A518,'BADI SID DATA'!A:B,2,0)</f>
        <v>304</v>
      </c>
      <c r="C518" s="4">
        <v>1283.5999999999999</v>
      </c>
      <c r="D518" s="63">
        <v>4.92</v>
      </c>
      <c r="E518" s="3"/>
      <c r="F518" s="65">
        <v>0.97364085667215816</v>
      </c>
      <c r="G518" s="65">
        <v>1</v>
      </c>
      <c r="H518" s="2">
        <f t="shared" si="25"/>
        <v>153781.00000000003</v>
      </c>
      <c r="I518" s="12">
        <f t="shared" si="26"/>
        <v>0.17827777777777776</v>
      </c>
      <c r="J518" s="12">
        <f t="shared" si="27"/>
        <v>7.0258132309941532E-2</v>
      </c>
    </row>
    <row r="519" spans="1:10" ht="15" customHeight="1">
      <c r="A519" s="14">
        <v>45687</v>
      </c>
      <c r="B519" s="10">
        <f>VLOOKUP(A519,'BADI SID DATA'!A:B,2,0)</f>
        <v>305</v>
      </c>
      <c r="C519" s="4">
        <v>1220.6999999999998</v>
      </c>
      <c r="D519" s="63">
        <v>4.43</v>
      </c>
      <c r="E519" s="3"/>
      <c r="F519" s="65">
        <v>0.97364085667215816</v>
      </c>
      <c r="G519" s="65">
        <v>1</v>
      </c>
      <c r="H519" s="2">
        <f t="shared" si="25"/>
        <v>155001.70000000004</v>
      </c>
      <c r="I519" s="12">
        <f t="shared" si="26"/>
        <v>0.16954166666666665</v>
      </c>
      <c r="J519" s="12">
        <f t="shared" si="27"/>
        <v>7.0583652094717689E-2</v>
      </c>
    </row>
    <row r="520" spans="1:10" ht="15" customHeight="1">
      <c r="A520" s="14">
        <v>45688</v>
      </c>
      <c r="B520" s="10">
        <f>VLOOKUP(A520,'BADI SID DATA'!A:B,2,0)</f>
        <v>306</v>
      </c>
      <c r="C520" s="4">
        <v>1278.3</v>
      </c>
      <c r="D520" s="63">
        <v>4.4800000000000004</v>
      </c>
      <c r="E520" s="3"/>
      <c r="F520" s="65">
        <v>0.97364085667215816</v>
      </c>
      <c r="G520" s="65">
        <v>1</v>
      </c>
      <c r="H520" s="2">
        <f t="shared" si="25"/>
        <v>156280.00000000003</v>
      </c>
      <c r="I520" s="12">
        <f t="shared" si="26"/>
        <v>0.17754166666666665</v>
      </c>
      <c r="J520" s="12">
        <f t="shared" si="27"/>
        <v>7.093318809005085E-2</v>
      </c>
    </row>
    <row r="521" spans="1:10" ht="15" customHeight="1">
      <c r="A521" s="14">
        <v>45689</v>
      </c>
      <c r="B521" s="10">
        <f>VLOOKUP(A521,'BADI SID DATA'!A:B,2,0)</f>
        <v>307</v>
      </c>
      <c r="C521" s="4">
        <v>1064.5999999999999</v>
      </c>
      <c r="D521" s="63">
        <v>3.65</v>
      </c>
      <c r="E521" s="3"/>
      <c r="F521" s="65">
        <v>0.97364085667215816</v>
      </c>
      <c r="G521" s="65">
        <v>1</v>
      </c>
      <c r="H521" s="2">
        <f t="shared" si="25"/>
        <v>157344.60000000003</v>
      </c>
      <c r="I521" s="12">
        <f t="shared" si="26"/>
        <v>0.14786111111111111</v>
      </c>
      <c r="J521" s="12">
        <f t="shared" si="27"/>
        <v>7.1183767643865373E-2</v>
      </c>
    </row>
    <row r="522" spans="1:10" ht="15" customHeight="1">
      <c r="A522" s="14">
        <v>45690</v>
      </c>
      <c r="B522" s="10">
        <f>VLOOKUP(A522,'BADI SID DATA'!A:B,2,0)</f>
        <v>308</v>
      </c>
      <c r="C522" s="4">
        <v>1064.4000000000001</v>
      </c>
      <c r="D522" s="63">
        <v>3.65</v>
      </c>
      <c r="E522" s="3"/>
      <c r="F522" s="65">
        <v>0.97364085667215816</v>
      </c>
      <c r="G522" s="65">
        <v>1</v>
      </c>
      <c r="H522" s="2">
        <f t="shared" si="25"/>
        <v>158409.00000000003</v>
      </c>
      <c r="I522" s="12">
        <f t="shared" si="26"/>
        <v>0.14783333333333334</v>
      </c>
      <c r="J522" s="12">
        <f t="shared" si="27"/>
        <v>7.1432629870129882E-2</v>
      </c>
    </row>
    <row r="523" spans="1:10" ht="15" customHeight="1">
      <c r="A523" s="14">
        <v>45691</v>
      </c>
      <c r="B523" s="10">
        <f>VLOOKUP(A523,'BADI SID DATA'!A:B,2,0)</f>
        <v>309</v>
      </c>
      <c r="C523" s="4">
        <v>1153.3000000000002</v>
      </c>
      <c r="D523" s="63">
        <v>4.17</v>
      </c>
      <c r="E523" s="3"/>
      <c r="F523" s="65">
        <v>0.97364085667215816</v>
      </c>
      <c r="G523" s="65">
        <v>1</v>
      </c>
      <c r="H523" s="2">
        <f t="shared" si="25"/>
        <v>159562.30000000002</v>
      </c>
      <c r="I523" s="12">
        <f t="shared" si="26"/>
        <v>0.16018055555555558</v>
      </c>
      <c r="J523" s="12">
        <f t="shared" si="27"/>
        <v>7.1719839985616693E-2</v>
      </c>
    </row>
    <row r="524" spans="1:10" ht="15" customHeight="1">
      <c r="A524" s="14">
        <v>45692</v>
      </c>
      <c r="B524" s="10">
        <f>VLOOKUP(A524,'BADI SID DATA'!A:B,2,0)</f>
        <v>310</v>
      </c>
      <c r="C524" s="4">
        <v>1177.9000000000001</v>
      </c>
      <c r="D524" s="63">
        <v>4.22</v>
      </c>
      <c r="E524" s="3"/>
      <c r="F524" s="65">
        <v>0.97364085667215816</v>
      </c>
      <c r="G524" s="65">
        <v>1</v>
      </c>
      <c r="H524" s="2">
        <f t="shared" si="25"/>
        <v>160740.20000000001</v>
      </c>
      <c r="I524" s="12">
        <f t="shared" si="26"/>
        <v>0.16359722222222223</v>
      </c>
      <c r="J524" s="12">
        <f t="shared" si="27"/>
        <v>7.2016218637992832E-2</v>
      </c>
    </row>
    <row r="525" spans="1:10" ht="15" customHeight="1">
      <c r="A525" s="14">
        <v>45693</v>
      </c>
      <c r="B525" s="10">
        <f>VLOOKUP(A525,'BADI SID DATA'!A:B,2,0)</f>
        <v>311</v>
      </c>
      <c r="C525" s="4">
        <v>1149.9000000000001</v>
      </c>
      <c r="D525" s="63">
        <v>4.17</v>
      </c>
      <c r="E525" s="3"/>
      <c r="F525" s="65">
        <v>0.97364085667215816</v>
      </c>
      <c r="G525" s="65">
        <v>1</v>
      </c>
      <c r="H525" s="2">
        <f t="shared" si="25"/>
        <v>161890.1</v>
      </c>
      <c r="I525" s="12">
        <f t="shared" si="26"/>
        <v>0.15970833333333334</v>
      </c>
      <c r="J525" s="12">
        <f t="shared" si="27"/>
        <v>7.2298186852447308E-2</v>
      </c>
    </row>
    <row r="526" spans="1:10" ht="15" customHeight="1">
      <c r="A526" s="14">
        <v>45694</v>
      </c>
      <c r="B526" s="10">
        <f>VLOOKUP(A526,'BADI SID DATA'!A:B,2,0)</f>
        <v>312</v>
      </c>
      <c r="C526" s="4">
        <v>1140</v>
      </c>
      <c r="D526" s="63">
        <v>4.0599999999999996</v>
      </c>
      <c r="E526" s="3"/>
      <c r="F526" s="65">
        <v>0.97364085667215816</v>
      </c>
      <c r="G526" s="65">
        <v>1</v>
      </c>
      <c r="H526" s="2">
        <f t="shared" si="25"/>
        <v>163030.1</v>
      </c>
      <c r="I526" s="12">
        <f t="shared" si="26"/>
        <v>0.15833333333333333</v>
      </c>
      <c r="J526" s="12">
        <f t="shared" si="27"/>
        <v>7.2573940527065534E-2</v>
      </c>
    </row>
    <row r="527" spans="1:10" ht="15" customHeight="1">
      <c r="A527" s="14">
        <v>45695</v>
      </c>
      <c r="B527" s="10">
        <f>VLOOKUP(A527,'BADI SID DATA'!A:B,2,0)</f>
        <v>313</v>
      </c>
      <c r="C527" s="4">
        <v>824.3</v>
      </c>
      <c r="D527" s="63">
        <v>3.41</v>
      </c>
      <c r="E527" s="3"/>
      <c r="F527" s="65">
        <v>0.98023064250411862</v>
      </c>
      <c r="G527" s="65">
        <v>0.79166666666666652</v>
      </c>
      <c r="H527" s="2">
        <f t="shared" si="25"/>
        <v>163854.39999999999</v>
      </c>
      <c r="I527" s="12">
        <f t="shared" si="26"/>
        <v>0.11448611111111111</v>
      </c>
      <c r="J527" s="12">
        <f t="shared" si="27"/>
        <v>7.2707845225417109E-2</v>
      </c>
    </row>
    <row r="528" spans="1:10" ht="15" customHeight="1">
      <c r="A528" s="14">
        <v>45696</v>
      </c>
      <c r="B528" s="10">
        <f>VLOOKUP(A528,'BADI SID DATA'!A:B,2,0)</f>
        <v>314</v>
      </c>
      <c r="C528" s="4">
        <v>1223.2</v>
      </c>
      <c r="D528" s="63">
        <v>5.07</v>
      </c>
      <c r="E528" s="3"/>
      <c r="F528" s="65">
        <v>1</v>
      </c>
      <c r="G528" s="65">
        <v>0.95833333333333348</v>
      </c>
      <c r="H528" s="2">
        <f t="shared" si="25"/>
        <v>165077.6</v>
      </c>
      <c r="I528" s="12">
        <f t="shared" si="26"/>
        <v>0.16988888888888889</v>
      </c>
      <c r="J528" s="12">
        <f t="shared" si="27"/>
        <v>7.3017338995046005E-2</v>
      </c>
    </row>
    <row r="529" spans="1:10" ht="15" customHeight="1">
      <c r="A529" s="14">
        <v>45697</v>
      </c>
      <c r="B529" s="10">
        <f>VLOOKUP(A529,'BADI SID DATA'!A:B,2,0)</f>
        <v>315</v>
      </c>
      <c r="C529" s="4">
        <v>1282</v>
      </c>
      <c r="D529" s="63">
        <v>4.7300000000000004</v>
      </c>
      <c r="E529" s="3"/>
      <c r="F529" s="65">
        <v>1</v>
      </c>
      <c r="G529" s="65">
        <v>1</v>
      </c>
      <c r="H529" s="2">
        <f t="shared" si="25"/>
        <v>166359.6</v>
      </c>
      <c r="I529" s="12">
        <f t="shared" si="26"/>
        <v>0.17805555555555555</v>
      </c>
      <c r="J529" s="12">
        <f t="shared" si="27"/>
        <v>7.3350793650793653E-2</v>
      </c>
    </row>
    <row r="530" spans="1:10" ht="15" customHeight="1">
      <c r="A530" s="14">
        <v>45698</v>
      </c>
      <c r="B530" s="10">
        <f>VLOOKUP(A530,'BADI SID DATA'!A:B,2,0)</f>
        <v>316</v>
      </c>
      <c r="C530" s="4">
        <v>1288.5999999999999</v>
      </c>
      <c r="D530" s="63">
        <v>4.49</v>
      </c>
      <c r="E530" s="3"/>
      <c r="F530" s="65">
        <v>1</v>
      </c>
      <c r="G530" s="65">
        <v>1</v>
      </c>
      <c r="H530" s="2">
        <f t="shared" si="25"/>
        <v>167648.20000000001</v>
      </c>
      <c r="I530" s="12">
        <f t="shared" si="26"/>
        <v>0.1789722222222222</v>
      </c>
      <c r="J530" s="12">
        <f t="shared" si="27"/>
        <v>7.3685038677918424E-2</v>
      </c>
    </row>
    <row r="531" spans="1:10" ht="15" customHeight="1">
      <c r="A531" s="14">
        <v>45699</v>
      </c>
      <c r="B531" s="10">
        <f>VLOOKUP(A531,'BADI SID DATA'!A:B,2,0)</f>
        <v>317</v>
      </c>
      <c r="C531" s="4">
        <v>1232</v>
      </c>
      <c r="D531" s="63">
        <v>4.32</v>
      </c>
      <c r="E531" s="3"/>
      <c r="F531" s="65">
        <v>1</v>
      </c>
      <c r="G531" s="65">
        <v>1</v>
      </c>
      <c r="H531" s="2">
        <f t="shared" si="25"/>
        <v>168880.2</v>
      </c>
      <c r="I531" s="12">
        <f t="shared" si="26"/>
        <v>0.1711111111111111</v>
      </c>
      <c r="J531" s="12">
        <f t="shared" si="27"/>
        <v>7.3992376445846483E-2</v>
      </c>
    </row>
    <row r="532" spans="1:10" ht="15" customHeight="1">
      <c r="A532" s="14">
        <v>45700</v>
      </c>
      <c r="B532" s="10">
        <f>VLOOKUP(A532,'BADI SID DATA'!A:B,2,0)</f>
        <v>318</v>
      </c>
      <c r="C532" s="4">
        <v>1326.5</v>
      </c>
      <c r="D532" s="63">
        <v>4.82</v>
      </c>
      <c r="E532" s="3"/>
      <c r="F532" s="65">
        <v>1</v>
      </c>
      <c r="G532" s="65">
        <v>1</v>
      </c>
      <c r="H532" s="2">
        <f t="shared" si="25"/>
        <v>170206.7</v>
      </c>
      <c r="I532" s="12">
        <f t="shared" si="26"/>
        <v>0.1842361111111111</v>
      </c>
      <c r="J532" s="12">
        <f t="shared" si="27"/>
        <v>7.4339054856743539E-2</v>
      </c>
    </row>
    <row r="533" spans="1:10" ht="15" customHeight="1">
      <c r="A533" s="14">
        <v>45701</v>
      </c>
      <c r="B533" s="10">
        <f>VLOOKUP(A533,'BADI SID DATA'!A:B,2,0)</f>
        <v>319</v>
      </c>
      <c r="C533" s="4">
        <v>1416.6</v>
      </c>
      <c r="D533" s="63">
        <v>4.92</v>
      </c>
      <c r="E533" s="3"/>
      <c r="F533" s="65">
        <v>1</v>
      </c>
      <c r="G533" s="65">
        <v>1</v>
      </c>
      <c r="H533" s="2">
        <f t="shared" si="25"/>
        <v>171623.30000000002</v>
      </c>
      <c r="I533" s="12">
        <f t="shared" si="26"/>
        <v>0.19674999999999998</v>
      </c>
      <c r="J533" s="12">
        <f t="shared" si="27"/>
        <v>7.4722788227098574E-2</v>
      </c>
    </row>
    <row r="534" spans="1:10" ht="15" customHeight="1">
      <c r="A534" s="14">
        <v>45702</v>
      </c>
      <c r="B534" s="10">
        <f>VLOOKUP(A534,'BADI SID DATA'!A:B,2,0)</f>
        <v>320</v>
      </c>
      <c r="C534" s="4">
        <v>1337.4</v>
      </c>
      <c r="D534" s="63">
        <v>4.5999999999999996</v>
      </c>
      <c r="E534" s="3"/>
      <c r="F534" s="65">
        <v>1</v>
      </c>
      <c r="G534" s="65">
        <v>1</v>
      </c>
      <c r="H534" s="2">
        <f t="shared" si="25"/>
        <v>172960.7</v>
      </c>
      <c r="I534" s="12">
        <f t="shared" si="26"/>
        <v>0.18575000000000003</v>
      </c>
      <c r="J534" s="12">
        <f t="shared" si="27"/>
        <v>7.5069748263888889E-2</v>
      </c>
    </row>
    <row r="535" spans="1:10" ht="15" customHeight="1">
      <c r="A535" s="14">
        <v>45703</v>
      </c>
      <c r="B535" s="10">
        <f>VLOOKUP(A535,'BADI SID DATA'!A:B,2,0)</f>
        <v>321</v>
      </c>
      <c r="C535" s="4">
        <v>1343.6</v>
      </c>
      <c r="D535" s="63">
        <v>4.67</v>
      </c>
      <c r="E535" s="3"/>
      <c r="F535" s="65">
        <v>1</v>
      </c>
      <c r="G535" s="65">
        <v>1</v>
      </c>
      <c r="H535" s="2">
        <f t="shared" si="25"/>
        <v>174304.30000000002</v>
      </c>
      <c r="I535" s="12">
        <f t="shared" si="26"/>
        <v>0.18661111111111109</v>
      </c>
      <c r="J535" s="12">
        <f t="shared" si="27"/>
        <v>7.5417229145032891E-2</v>
      </c>
    </row>
    <row r="536" spans="1:10" ht="15" customHeight="1">
      <c r="A536" s="14">
        <v>45704</v>
      </c>
      <c r="B536" s="10">
        <f>VLOOKUP(A536,'BADI SID DATA'!A:B,2,0)</f>
        <v>322</v>
      </c>
      <c r="C536" s="4">
        <v>58.599999999999994</v>
      </c>
      <c r="D536" s="63">
        <v>4.46</v>
      </c>
      <c r="E536" s="3"/>
      <c r="F536" s="65">
        <v>1</v>
      </c>
      <c r="G536" s="65">
        <v>0.22916666666666674</v>
      </c>
      <c r="H536" s="2">
        <f t="shared" si="25"/>
        <v>174362.90000000002</v>
      </c>
      <c r="I536" s="12">
        <f t="shared" si="26"/>
        <v>8.1388888888888882E-3</v>
      </c>
      <c r="J536" s="12">
        <f t="shared" si="27"/>
        <v>7.5208290200138042E-2</v>
      </c>
    </row>
    <row r="537" spans="1:10" ht="15" customHeight="1">
      <c r="A537" s="14">
        <v>45705</v>
      </c>
      <c r="B537" s="10">
        <f>VLOOKUP(A537,'BADI SID DATA'!A:B,2,0)</f>
        <v>323</v>
      </c>
      <c r="C537" s="4">
        <v>1333.6</v>
      </c>
      <c r="D537" s="63">
        <v>4.6100000000000003</v>
      </c>
      <c r="E537" s="3"/>
      <c r="F537" s="65">
        <v>1</v>
      </c>
      <c r="G537" s="65">
        <v>1</v>
      </c>
      <c r="H537" s="2">
        <f t="shared" si="25"/>
        <v>175696.50000000003</v>
      </c>
      <c r="I537" s="12">
        <f t="shared" si="26"/>
        <v>0.1852222222222222</v>
      </c>
      <c r="J537" s="12">
        <f t="shared" si="27"/>
        <v>7.5548890608875138E-2</v>
      </c>
    </row>
    <row r="538" spans="1:10" ht="15" customHeight="1">
      <c r="A538" s="14">
        <v>45706</v>
      </c>
      <c r="B538" s="10">
        <f>VLOOKUP(A538,'BADI SID DATA'!A:B,2,0)</f>
        <v>324</v>
      </c>
      <c r="C538" s="4">
        <v>1263.5</v>
      </c>
      <c r="D538" s="63">
        <v>4.5199999999999996</v>
      </c>
      <c r="E538" s="3"/>
      <c r="F538" s="65">
        <v>1</v>
      </c>
      <c r="G538" s="65">
        <v>1</v>
      </c>
      <c r="H538" s="2">
        <f t="shared" si="25"/>
        <v>176960.00000000003</v>
      </c>
      <c r="I538" s="12">
        <f t="shared" si="26"/>
        <v>0.17548611111111112</v>
      </c>
      <c r="J538" s="12">
        <f t="shared" si="27"/>
        <v>7.5857338820301795E-2</v>
      </c>
    </row>
    <row r="539" spans="1:10" ht="15" customHeight="1">
      <c r="A539" s="14">
        <v>45707</v>
      </c>
      <c r="B539" s="10">
        <f>VLOOKUP(A539,'BADI SID DATA'!A:B,2,0)</f>
        <v>325</v>
      </c>
      <c r="C539" s="4">
        <v>1325.1</v>
      </c>
      <c r="D539" s="63">
        <v>4.66</v>
      </c>
      <c r="E539" s="3"/>
      <c r="F539" s="65">
        <v>1</v>
      </c>
      <c r="G539" s="65">
        <v>1</v>
      </c>
      <c r="H539" s="2">
        <f t="shared" si="25"/>
        <v>178285.10000000003</v>
      </c>
      <c r="I539" s="12">
        <f t="shared" si="26"/>
        <v>0.18404166666666666</v>
      </c>
      <c r="J539" s="12">
        <f t="shared" si="27"/>
        <v>7.6190213675213683E-2</v>
      </c>
    </row>
    <row r="540" spans="1:10" ht="15" customHeight="1">
      <c r="A540" s="14">
        <v>45708</v>
      </c>
      <c r="B540" s="10">
        <f>VLOOKUP(A540,'BADI SID DATA'!A:B,2,0)</f>
        <v>326</v>
      </c>
      <c r="C540" s="4">
        <v>1370.2</v>
      </c>
      <c r="D540" s="63">
        <v>4.66</v>
      </c>
      <c r="E540" s="3"/>
      <c r="F540" s="65">
        <v>1</v>
      </c>
      <c r="G540" s="65">
        <v>1</v>
      </c>
      <c r="H540" s="2">
        <f t="shared" si="25"/>
        <v>179655.30000000005</v>
      </c>
      <c r="I540" s="12">
        <f t="shared" si="26"/>
        <v>0.19030555555555556</v>
      </c>
      <c r="J540" s="12">
        <f t="shared" si="27"/>
        <v>7.6540260736196339E-2</v>
      </c>
    </row>
    <row r="541" spans="1:10" ht="15" customHeight="1">
      <c r="A541" s="14">
        <v>45709</v>
      </c>
      <c r="B541" s="10">
        <f>VLOOKUP(A541,'BADI SID DATA'!A:B,2,0)</f>
        <v>327</v>
      </c>
      <c r="C541" s="4">
        <v>1292.8000000000002</v>
      </c>
      <c r="D541" s="63">
        <v>4.3899999999999997</v>
      </c>
      <c r="E541" s="3"/>
      <c r="F541" s="65">
        <v>1</v>
      </c>
      <c r="G541" s="65">
        <v>0.89583333333333337</v>
      </c>
      <c r="H541" s="2">
        <f t="shared" si="25"/>
        <v>180948.10000000003</v>
      </c>
      <c r="I541" s="12">
        <f t="shared" si="26"/>
        <v>0.17955555555555558</v>
      </c>
      <c r="J541" s="12">
        <f t="shared" si="27"/>
        <v>7.6855292218824339E-2</v>
      </c>
    </row>
    <row r="542" spans="1:10" ht="15" customHeight="1">
      <c r="A542" s="14">
        <v>45710</v>
      </c>
      <c r="B542" s="10">
        <f>VLOOKUP(A542,'BADI SID DATA'!A:B,2,0)</f>
        <v>328</v>
      </c>
      <c r="C542" s="4">
        <v>598.4</v>
      </c>
      <c r="D542" s="63">
        <v>2</v>
      </c>
      <c r="E542" s="3"/>
      <c r="F542" s="65">
        <v>1</v>
      </c>
      <c r="G542" s="65">
        <v>0.60416666666666674</v>
      </c>
      <c r="H542" s="2">
        <f t="shared" si="25"/>
        <v>181546.50000000003</v>
      </c>
      <c r="I542" s="12">
        <f t="shared" si="26"/>
        <v>8.3111111111111108E-2</v>
      </c>
      <c r="J542" s="12">
        <f t="shared" si="27"/>
        <v>7.6874364837398387E-2</v>
      </c>
    </row>
    <row r="543" spans="1:10" ht="15" customHeight="1">
      <c r="A543" s="14">
        <v>45711</v>
      </c>
      <c r="B543" s="10">
        <f>VLOOKUP(A543,'BADI SID DATA'!A:B,2,0)</f>
        <v>329</v>
      </c>
      <c r="C543" s="4">
        <v>1249.0999999999999</v>
      </c>
      <c r="D543" s="63">
        <v>4.29</v>
      </c>
      <c r="E543" s="3"/>
      <c r="F543" s="65">
        <v>1</v>
      </c>
      <c r="G543" s="65">
        <v>1</v>
      </c>
      <c r="H543" s="2">
        <f t="shared" si="25"/>
        <v>182795.60000000003</v>
      </c>
      <c r="I543" s="12">
        <f t="shared" si="26"/>
        <v>0.17348611111111109</v>
      </c>
      <c r="J543" s="12">
        <f t="shared" si="27"/>
        <v>7.7168017561634591E-2</v>
      </c>
    </row>
    <row r="544" spans="1:10" ht="15" customHeight="1">
      <c r="A544" s="14">
        <v>45712</v>
      </c>
      <c r="B544" s="10">
        <f>VLOOKUP(A544,'BADI SID DATA'!A:B,2,0)</f>
        <v>330</v>
      </c>
      <c r="C544" s="4">
        <v>1390.2</v>
      </c>
      <c r="D544" s="63">
        <v>4.71</v>
      </c>
      <c r="E544" s="3"/>
      <c r="F544" s="65">
        <v>1</v>
      </c>
      <c r="G544" s="65">
        <v>1</v>
      </c>
      <c r="H544" s="2">
        <f t="shared" si="25"/>
        <v>184185.80000000005</v>
      </c>
      <c r="I544" s="12">
        <f t="shared" si="26"/>
        <v>0.19308333333333333</v>
      </c>
      <c r="J544" s="12">
        <f t="shared" si="27"/>
        <v>7.7519276094276113E-2</v>
      </c>
    </row>
    <row r="545" spans="1:10" ht="15" customHeight="1">
      <c r="A545" s="14">
        <v>45713</v>
      </c>
      <c r="B545" s="10">
        <f>VLOOKUP(A545,'BADI SID DATA'!A:B,2,0)</f>
        <v>331</v>
      </c>
      <c r="C545" s="4">
        <v>1441.2</v>
      </c>
      <c r="D545" s="63">
        <v>4.82</v>
      </c>
      <c r="E545" s="3"/>
      <c r="F545" s="65">
        <v>1</v>
      </c>
      <c r="G545" s="65">
        <v>1</v>
      </c>
      <c r="H545" s="2">
        <f t="shared" si="25"/>
        <v>185627.00000000006</v>
      </c>
      <c r="I545" s="12">
        <f t="shared" si="26"/>
        <v>0.20016666666666666</v>
      </c>
      <c r="J545" s="12">
        <f t="shared" si="27"/>
        <v>7.788981201745554E-2</v>
      </c>
    </row>
    <row r="546" spans="1:10" ht="15" customHeight="1">
      <c r="A546" s="14">
        <v>45714</v>
      </c>
      <c r="B546" s="10">
        <f>VLOOKUP(A546,'BADI SID DATA'!A:B,2,0)</f>
        <v>332</v>
      </c>
      <c r="C546" s="4">
        <v>1279.9000000000001</v>
      </c>
      <c r="D546" s="63">
        <v>4.37</v>
      </c>
      <c r="E546" s="3"/>
      <c r="F546" s="65">
        <v>1</v>
      </c>
      <c r="G546" s="65">
        <v>1</v>
      </c>
      <c r="H546" s="2">
        <f t="shared" si="25"/>
        <v>186906.90000000005</v>
      </c>
      <c r="I546" s="12">
        <f t="shared" si="26"/>
        <v>0.17776388888888889</v>
      </c>
      <c r="J546" s="12">
        <f t="shared" si="27"/>
        <v>7.8190637550200823E-2</v>
      </c>
    </row>
    <row r="547" spans="1:10" ht="15" customHeight="1">
      <c r="A547" s="14">
        <v>45715</v>
      </c>
      <c r="B547" s="10">
        <f>VLOOKUP(A547,'BADI SID DATA'!A:B,2,0)</f>
        <v>333</v>
      </c>
      <c r="C547" s="4">
        <v>1262.2</v>
      </c>
      <c r="D547" s="63">
        <v>4.2</v>
      </c>
      <c r="E547" s="3"/>
      <c r="F547" s="65">
        <v>1</v>
      </c>
      <c r="G547" s="65">
        <v>1</v>
      </c>
      <c r="H547" s="2">
        <f t="shared" si="25"/>
        <v>188169.10000000006</v>
      </c>
      <c r="I547" s="12">
        <f t="shared" si="26"/>
        <v>0.17530555555555558</v>
      </c>
      <c r="J547" s="12">
        <f t="shared" si="27"/>
        <v>7.8482273940607306E-2</v>
      </c>
    </row>
    <row r="548" spans="1:10" ht="15" customHeight="1">
      <c r="A548" s="14">
        <v>45716</v>
      </c>
      <c r="B548" s="10">
        <f>VLOOKUP(A548,'BADI SID DATA'!A:B,2,0)</f>
        <v>334</v>
      </c>
      <c r="C548" s="4">
        <v>1336.6</v>
      </c>
      <c r="D548" s="63">
        <v>4.53</v>
      </c>
      <c r="E548" s="3"/>
      <c r="F548" s="65">
        <v>1</v>
      </c>
      <c r="G548" s="65">
        <v>1</v>
      </c>
      <c r="H548" s="2">
        <f t="shared" si="25"/>
        <v>189505.70000000007</v>
      </c>
      <c r="I548" s="12">
        <f t="shared" si="26"/>
        <v>0.18563888888888888</v>
      </c>
      <c r="J548" s="12">
        <f t="shared" si="27"/>
        <v>7.8803102129075209E-2</v>
      </c>
    </row>
    <row r="549" spans="1:10" ht="15" customHeight="1">
      <c r="A549" s="14">
        <v>45717</v>
      </c>
      <c r="B549" s="10">
        <f>VLOOKUP(A549,'BADI SID DATA'!A:B,2,0)</f>
        <v>335</v>
      </c>
      <c r="C549" s="4">
        <v>1237.4000000000001</v>
      </c>
      <c r="D549" s="63">
        <v>4.22</v>
      </c>
      <c r="E549" s="3"/>
      <c r="F549" s="65">
        <v>1</v>
      </c>
      <c r="G549" s="65">
        <v>0.9722222222222221</v>
      </c>
      <c r="H549" s="2">
        <f t="shared" si="25"/>
        <v>190743.10000000006</v>
      </c>
      <c r="I549" s="12">
        <f t="shared" si="26"/>
        <v>0.17186111111111113</v>
      </c>
      <c r="J549" s="12">
        <f t="shared" si="27"/>
        <v>7.9080887230514124E-2</v>
      </c>
    </row>
    <row r="550" spans="1:10" ht="15" customHeight="1">
      <c r="A550" s="14">
        <v>45718</v>
      </c>
      <c r="B550" s="10">
        <f>VLOOKUP(A550,'BADI SID DATA'!A:B,2,0)</f>
        <v>336</v>
      </c>
      <c r="C550" s="4">
        <v>960.5</v>
      </c>
      <c r="D550" s="63">
        <v>3.12</v>
      </c>
      <c r="E550" s="3"/>
      <c r="F550" s="65">
        <v>1</v>
      </c>
      <c r="G550" s="65">
        <v>1</v>
      </c>
      <c r="H550" s="2">
        <f t="shared" si="25"/>
        <v>191703.60000000006</v>
      </c>
      <c r="I550" s="12">
        <f t="shared" si="26"/>
        <v>0.13340277777777779</v>
      </c>
      <c r="J550" s="12">
        <f t="shared" si="27"/>
        <v>7.9242559523809555E-2</v>
      </c>
    </row>
    <row r="551" spans="1:10" ht="15" customHeight="1">
      <c r="A551" s="14">
        <v>45719</v>
      </c>
      <c r="B551" s="10">
        <f>VLOOKUP(A551,'BADI SID DATA'!A:B,2,0)</f>
        <v>337</v>
      </c>
      <c r="C551" s="4">
        <v>1272.6000000000001</v>
      </c>
      <c r="D551" s="63">
        <v>4.22</v>
      </c>
      <c r="E551" s="3"/>
      <c r="F551" s="65">
        <v>1</v>
      </c>
      <c r="G551" s="65">
        <v>1</v>
      </c>
      <c r="H551" s="2">
        <f t="shared" si="25"/>
        <v>192976.20000000007</v>
      </c>
      <c r="I551" s="12">
        <f t="shared" si="26"/>
        <v>0.17675000000000002</v>
      </c>
      <c r="J551" s="12">
        <f t="shared" si="27"/>
        <v>7.9531899109792317E-2</v>
      </c>
    </row>
    <row r="552" spans="1:10" ht="15" customHeight="1">
      <c r="A552" s="14">
        <v>45720</v>
      </c>
      <c r="B552" s="10">
        <f>VLOOKUP(A552,'BADI SID DATA'!A:B,2,0)</f>
        <v>338</v>
      </c>
      <c r="C552" s="4">
        <v>1250.9000000000001</v>
      </c>
      <c r="D552" s="63">
        <v>4.2300000000000004</v>
      </c>
      <c r="E552" s="3"/>
      <c r="F552" s="65">
        <v>1</v>
      </c>
      <c r="G552" s="65">
        <v>1</v>
      </c>
      <c r="H552" s="2">
        <f t="shared" si="25"/>
        <v>194227.10000000006</v>
      </c>
      <c r="I552" s="12">
        <f t="shared" si="26"/>
        <v>0.17373611111111112</v>
      </c>
      <c r="J552" s="12">
        <f t="shared" si="27"/>
        <v>7.9810609796186746E-2</v>
      </c>
    </row>
    <row r="553" spans="1:10" ht="15" customHeight="1">
      <c r="A553" s="14">
        <v>45721</v>
      </c>
      <c r="B553" s="10">
        <f>VLOOKUP(A553,'BADI SID DATA'!A:B,2,0)</f>
        <v>339</v>
      </c>
      <c r="C553" s="4">
        <v>1461.2</v>
      </c>
      <c r="D553" s="63">
        <v>4.93</v>
      </c>
      <c r="E553" s="3"/>
      <c r="F553" s="65">
        <v>1</v>
      </c>
      <c r="G553" s="65">
        <v>1</v>
      </c>
      <c r="H553" s="2">
        <f t="shared" si="25"/>
        <v>195688.30000000008</v>
      </c>
      <c r="I553" s="12">
        <f t="shared" si="26"/>
        <v>0.20294444444444446</v>
      </c>
      <c r="J553" s="12">
        <f t="shared" si="27"/>
        <v>8.0173836447066563E-2</v>
      </c>
    </row>
    <row r="554" spans="1:10" ht="15" customHeight="1">
      <c r="A554" s="14">
        <v>45722</v>
      </c>
      <c r="B554" s="10">
        <f>VLOOKUP(A554,'BADI SID DATA'!A:B,2,0)</f>
        <v>340</v>
      </c>
      <c r="C554" s="4">
        <v>1381.9</v>
      </c>
      <c r="D554" s="63">
        <v>4.72</v>
      </c>
      <c r="E554" s="3"/>
      <c r="F554" s="65">
        <v>1</v>
      </c>
      <c r="G554" s="65">
        <v>1</v>
      </c>
      <c r="H554" s="2">
        <f t="shared" si="25"/>
        <v>197070.20000000007</v>
      </c>
      <c r="I554" s="12">
        <f t="shared" si="26"/>
        <v>0.19193055555555558</v>
      </c>
      <c r="J554" s="12">
        <f t="shared" si="27"/>
        <v>8.0502532679738587E-2</v>
      </c>
    </row>
    <row r="555" spans="1:10" ht="15" customHeight="1">
      <c r="A555" s="14">
        <v>45723</v>
      </c>
      <c r="B555" s="10">
        <f>VLOOKUP(A555,'BADI SID DATA'!A:B,2,0)</f>
        <v>341</v>
      </c>
      <c r="C555" s="4">
        <v>1391.5</v>
      </c>
      <c r="D555" s="63">
        <v>4.71</v>
      </c>
      <c r="E555" s="3"/>
      <c r="F555" s="65">
        <v>1</v>
      </c>
      <c r="G555" s="65">
        <v>0.95277777777777772</v>
      </c>
      <c r="H555" s="2">
        <f t="shared" si="25"/>
        <v>198461.70000000007</v>
      </c>
      <c r="I555" s="12">
        <f t="shared" si="26"/>
        <v>0.1932638888888889</v>
      </c>
      <c r="J555" s="12">
        <f t="shared" si="27"/>
        <v>8.0833211143695044E-2</v>
      </c>
    </row>
    <row r="556" spans="1:10" ht="15" customHeight="1">
      <c r="A556" s="14">
        <v>45724</v>
      </c>
      <c r="B556" s="10">
        <f>VLOOKUP(A556,'BADI SID DATA'!A:B,2,0)</f>
        <v>342</v>
      </c>
      <c r="C556" s="4">
        <v>1481</v>
      </c>
      <c r="D556" s="63">
        <v>5.09</v>
      </c>
      <c r="E556" s="3"/>
      <c r="F556" s="65">
        <v>1</v>
      </c>
      <c r="G556" s="65">
        <v>1</v>
      </c>
      <c r="H556" s="2">
        <f t="shared" si="25"/>
        <v>199942.70000000007</v>
      </c>
      <c r="I556" s="12">
        <f t="shared" si="26"/>
        <v>0.20569444444444446</v>
      </c>
      <c r="J556" s="12">
        <f t="shared" si="27"/>
        <v>8.1198302469135827E-2</v>
      </c>
    </row>
    <row r="557" spans="1:10" ht="15" customHeight="1">
      <c r="A557" s="14">
        <v>45725</v>
      </c>
      <c r="B557" s="10">
        <f>VLOOKUP(A557,'BADI SID DATA'!A:B,2,0)</f>
        <v>343</v>
      </c>
      <c r="C557" s="4">
        <v>1426.8</v>
      </c>
      <c r="D557" s="63">
        <v>4.91</v>
      </c>
      <c r="E557" s="3"/>
      <c r="F557" s="65">
        <v>1</v>
      </c>
      <c r="G557" s="65">
        <v>1</v>
      </c>
      <c r="H557" s="2">
        <f t="shared" si="25"/>
        <v>201369.50000000006</v>
      </c>
      <c r="I557" s="12">
        <f t="shared" si="26"/>
        <v>0.19816666666666666</v>
      </c>
      <c r="J557" s="12">
        <f t="shared" si="27"/>
        <v>8.1539318108195688E-2</v>
      </c>
    </row>
    <row r="558" spans="1:10" ht="15" customHeight="1">
      <c r="A558" s="14">
        <v>45726</v>
      </c>
      <c r="B558" s="10">
        <f>VLOOKUP(A558,'BADI SID DATA'!A:B,2,0)</f>
        <v>344</v>
      </c>
      <c r="C558" s="4">
        <v>1371.6</v>
      </c>
      <c r="D558" s="63">
        <v>4.72</v>
      </c>
      <c r="E558" s="3"/>
      <c r="F558" s="65">
        <v>1</v>
      </c>
      <c r="G558" s="65">
        <v>0.8833333333333333</v>
      </c>
      <c r="H558" s="2">
        <f t="shared" si="25"/>
        <v>202741.10000000006</v>
      </c>
      <c r="I558" s="12">
        <f t="shared" si="26"/>
        <v>0.19049999999999997</v>
      </c>
      <c r="J558" s="12">
        <f t="shared" si="27"/>
        <v>8.1856064276485813E-2</v>
      </c>
    </row>
    <row r="559" spans="1:10" ht="15" customHeight="1">
      <c r="A559" s="14">
        <v>45727</v>
      </c>
      <c r="B559" s="10">
        <f>VLOOKUP(A559,'BADI SID DATA'!A:B,2,0)</f>
        <v>345</v>
      </c>
      <c r="C559" s="4">
        <v>1230.5999999999999</v>
      </c>
      <c r="D559" s="63">
        <v>4.21</v>
      </c>
      <c r="E559" s="3"/>
      <c r="F559" s="65">
        <v>1</v>
      </c>
      <c r="G559" s="65">
        <v>0.90555555555555545</v>
      </c>
      <c r="H559" s="2">
        <f t="shared" si="25"/>
        <v>203971.70000000007</v>
      </c>
      <c r="I559" s="12">
        <f t="shared" si="26"/>
        <v>0.17091666666666666</v>
      </c>
      <c r="J559" s="12">
        <f t="shared" si="27"/>
        <v>8.2114210950080549E-2</v>
      </c>
    </row>
    <row r="560" spans="1:10" ht="15" customHeight="1">
      <c r="A560" s="14">
        <v>45728</v>
      </c>
      <c r="B560" s="10">
        <f>VLOOKUP(A560,'BADI SID DATA'!A:B,2,0)</f>
        <v>346</v>
      </c>
      <c r="C560" s="4">
        <v>1043.4000000000001</v>
      </c>
      <c r="D560" s="63">
        <v>3.49</v>
      </c>
      <c r="E560" s="3"/>
      <c r="F560" s="65">
        <v>1</v>
      </c>
      <c r="G560" s="65">
        <v>1</v>
      </c>
      <c r="H560" s="2">
        <f t="shared" si="25"/>
        <v>205015.10000000006</v>
      </c>
      <c r="I560" s="12">
        <f t="shared" si="26"/>
        <v>0.14491666666666667</v>
      </c>
      <c r="J560" s="12">
        <f t="shared" si="27"/>
        <v>8.2295720937700725E-2</v>
      </c>
    </row>
    <row r="561" spans="1:10" ht="15" customHeight="1">
      <c r="A561" s="14">
        <v>45729</v>
      </c>
      <c r="B561" s="10">
        <f>VLOOKUP(A561,'BADI SID DATA'!A:B,2,0)</f>
        <v>347</v>
      </c>
      <c r="C561" s="4">
        <v>1395.2</v>
      </c>
      <c r="D561" s="63">
        <v>4.97</v>
      </c>
      <c r="E561" s="3"/>
      <c r="F561" s="65">
        <v>1</v>
      </c>
      <c r="G561" s="65">
        <v>1</v>
      </c>
      <c r="H561" s="2">
        <f t="shared" si="25"/>
        <v>206410.30000000008</v>
      </c>
      <c r="I561" s="12">
        <f t="shared" si="26"/>
        <v>0.19377777777777777</v>
      </c>
      <c r="J561" s="12">
        <f t="shared" si="27"/>
        <v>8.2616994876721125E-2</v>
      </c>
    </row>
    <row r="562" spans="1:10" ht="15" customHeight="1">
      <c r="A562" s="14">
        <v>45730</v>
      </c>
      <c r="B562" s="10">
        <f>VLOOKUP(A562,'BADI SID DATA'!A:B,2,0)</f>
        <v>348</v>
      </c>
      <c r="C562" s="4">
        <v>1386.2</v>
      </c>
      <c r="D562" s="63">
        <v>4.8600000000000003</v>
      </c>
      <c r="E562" s="3"/>
      <c r="F562" s="65">
        <v>1</v>
      </c>
      <c r="G562" s="65">
        <v>1</v>
      </c>
      <c r="H562" s="2">
        <f t="shared" si="25"/>
        <v>207796.50000000009</v>
      </c>
      <c r="I562" s="12">
        <f t="shared" si="26"/>
        <v>0.1925277777777778</v>
      </c>
      <c r="J562" s="12">
        <f t="shared" si="27"/>
        <v>8.2932830459770152E-2</v>
      </c>
    </row>
    <row r="563" spans="1:10" ht="15" customHeight="1">
      <c r="A563" s="14">
        <v>45731</v>
      </c>
      <c r="B563" s="10">
        <f>VLOOKUP(A563,'BADI SID DATA'!A:B,2,0)</f>
        <v>349</v>
      </c>
      <c r="C563" s="4">
        <v>1584.6999999999998</v>
      </c>
      <c r="D563" s="63">
        <v>5.67</v>
      </c>
      <c r="E563" s="3"/>
      <c r="F563" s="65">
        <v>1</v>
      </c>
      <c r="G563" s="65">
        <v>1</v>
      </c>
      <c r="H563" s="2">
        <f t="shared" si="25"/>
        <v>209381.2000000001</v>
      </c>
      <c r="I563" s="12">
        <f t="shared" si="26"/>
        <v>0.22009722222222219</v>
      </c>
      <c r="J563" s="12">
        <f t="shared" si="27"/>
        <v>8.3325851639605264E-2</v>
      </c>
    </row>
    <row r="564" spans="1:10" ht="15" customHeight="1">
      <c r="A564" s="14">
        <v>45732</v>
      </c>
      <c r="B564" s="10">
        <f>VLOOKUP(A564,'BADI SID DATA'!A:B,2,0)</f>
        <v>350</v>
      </c>
      <c r="C564" s="4">
        <v>1479.8000000000002</v>
      </c>
      <c r="D564" s="63">
        <v>5.35</v>
      </c>
      <c r="E564" s="3"/>
      <c r="F564" s="65">
        <v>1</v>
      </c>
      <c r="G564" s="65">
        <v>1</v>
      </c>
      <c r="H564" s="2">
        <f t="shared" si="25"/>
        <v>210861.00000000009</v>
      </c>
      <c r="I564" s="12">
        <f t="shared" si="26"/>
        <v>0.20552777777777781</v>
      </c>
      <c r="J564" s="12">
        <f t="shared" si="27"/>
        <v>8.3675000000000041E-2</v>
      </c>
    </row>
    <row r="565" spans="1:10" ht="15" customHeight="1">
      <c r="A565" s="14">
        <v>45733</v>
      </c>
      <c r="B565" s="10">
        <f>VLOOKUP(A565,'BADI SID DATA'!A:B,2,0)</f>
        <v>351</v>
      </c>
      <c r="C565" s="4">
        <v>582.4</v>
      </c>
      <c r="D565" s="63">
        <v>1.89</v>
      </c>
      <c r="E565" s="3"/>
      <c r="F565" s="65">
        <v>1</v>
      </c>
      <c r="G565" s="65">
        <v>1</v>
      </c>
      <c r="H565" s="2">
        <f t="shared" si="25"/>
        <v>211443.40000000008</v>
      </c>
      <c r="I565" s="12">
        <f t="shared" si="26"/>
        <v>8.0888888888888885E-2</v>
      </c>
      <c r="J565" s="12">
        <f t="shared" si="27"/>
        <v>8.3667062361506839E-2</v>
      </c>
    </row>
    <row r="566" spans="1:10" ht="15" customHeight="1">
      <c r="A566" s="14">
        <v>45734</v>
      </c>
      <c r="B566" s="10">
        <f>VLOOKUP(A566,'BADI SID DATA'!A:B,2,0)</f>
        <v>352</v>
      </c>
      <c r="C566" s="4">
        <v>1564.9</v>
      </c>
      <c r="D566" s="63">
        <v>5.65</v>
      </c>
      <c r="E566" s="3"/>
      <c r="F566" s="65">
        <v>1</v>
      </c>
      <c r="G566" s="65">
        <v>1</v>
      </c>
      <c r="H566" s="2">
        <f t="shared" si="25"/>
        <v>213008.30000000008</v>
      </c>
      <c r="I566" s="12">
        <f t="shared" si="26"/>
        <v>0.21734722222222225</v>
      </c>
      <c r="J566" s="12">
        <f t="shared" si="27"/>
        <v>8.4046835542929327E-2</v>
      </c>
    </row>
    <row r="567" spans="1:10" ht="15" customHeight="1">
      <c r="A567" s="14">
        <v>45735</v>
      </c>
      <c r="B567" s="10">
        <f>VLOOKUP(A567,'BADI SID DATA'!A:B,2,0)</f>
        <v>353</v>
      </c>
      <c r="C567" s="4">
        <v>1514.1</v>
      </c>
      <c r="D567" s="63">
        <v>5.39</v>
      </c>
      <c r="E567" s="3"/>
      <c r="F567" s="65">
        <v>1</v>
      </c>
      <c r="G567" s="65">
        <v>1</v>
      </c>
      <c r="H567" s="2">
        <f t="shared" si="25"/>
        <v>214522.40000000008</v>
      </c>
      <c r="I567" s="12">
        <f t="shared" si="26"/>
        <v>0.21029166666666665</v>
      </c>
      <c r="J567" s="12">
        <f t="shared" si="27"/>
        <v>8.4404469625432826E-2</v>
      </c>
    </row>
    <row r="568" spans="1:10" ht="15" customHeight="1">
      <c r="A568" s="14">
        <v>45736</v>
      </c>
      <c r="B568" s="10">
        <f>VLOOKUP(A568,'BADI SID DATA'!A:B,2,0)</f>
        <v>354</v>
      </c>
      <c r="C568" s="4">
        <v>1519.8</v>
      </c>
      <c r="D568" s="63">
        <v>5.57</v>
      </c>
      <c r="E568" s="3"/>
      <c r="F568" s="65">
        <v>1</v>
      </c>
      <c r="G568" s="65">
        <v>1</v>
      </c>
      <c r="H568" s="2">
        <f t="shared" si="25"/>
        <v>216042.20000000007</v>
      </c>
      <c r="I568" s="12">
        <f t="shared" si="26"/>
        <v>0.21108333333333332</v>
      </c>
      <c r="J568" s="12">
        <f t="shared" si="27"/>
        <v>8.4762319522912771E-2</v>
      </c>
    </row>
    <row r="569" spans="1:10" ht="15" customHeight="1">
      <c r="A569" s="14">
        <v>45737</v>
      </c>
      <c r="B569" s="10">
        <f>VLOOKUP(A569,'BADI SID DATA'!A:B,2,0)</f>
        <v>355</v>
      </c>
      <c r="C569" s="4">
        <v>1052.5</v>
      </c>
      <c r="D569" s="63">
        <v>4.3899999999999997</v>
      </c>
      <c r="E569" s="3"/>
      <c r="F569" s="65">
        <v>0.91005631086630534</v>
      </c>
      <c r="G569" s="65">
        <v>1</v>
      </c>
      <c r="H569" s="2">
        <f t="shared" si="25"/>
        <v>217094.70000000007</v>
      </c>
      <c r="I569" s="12">
        <f t="shared" si="26"/>
        <v>0.14618055555555556</v>
      </c>
      <c r="J569" s="12">
        <f t="shared" si="27"/>
        <v>8.4935328638497676E-2</v>
      </c>
    </row>
    <row r="570" spans="1:10" ht="15" customHeight="1">
      <c r="A570" s="14">
        <v>45738</v>
      </c>
      <c r="B570" s="10">
        <f>VLOOKUP(A570,'BADI SID DATA'!A:B,2,0)</f>
        <v>356</v>
      </c>
      <c r="C570" s="4">
        <v>1550.5</v>
      </c>
      <c r="D570" s="63">
        <v>5.81</v>
      </c>
      <c r="E570" s="3"/>
      <c r="F570" s="65">
        <v>0.97034596375617788</v>
      </c>
      <c r="G570" s="65">
        <v>1</v>
      </c>
      <c r="H570" s="2">
        <f t="shared" si="25"/>
        <v>218645.20000000007</v>
      </c>
      <c r="I570" s="12">
        <f t="shared" si="26"/>
        <v>0.21534722222222222</v>
      </c>
      <c r="J570" s="12">
        <f t="shared" si="27"/>
        <v>8.5301654182272188E-2</v>
      </c>
    </row>
    <row r="571" spans="1:10" ht="15" customHeight="1">
      <c r="A571" s="14">
        <v>45739</v>
      </c>
      <c r="B571" s="10">
        <f>VLOOKUP(A571,'BADI SID DATA'!A:B,2,0)</f>
        <v>357</v>
      </c>
      <c r="C571" s="4">
        <v>1573.4</v>
      </c>
      <c r="D571" s="63">
        <v>5.87</v>
      </c>
      <c r="E571" s="3"/>
      <c r="F571" s="65">
        <v>0.97034596375617788</v>
      </c>
      <c r="G571" s="65">
        <v>1</v>
      </c>
      <c r="H571" s="2">
        <f t="shared" si="25"/>
        <v>220218.60000000006</v>
      </c>
      <c r="I571" s="12">
        <f t="shared" si="26"/>
        <v>0.21852777777777779</v>
      </c>
      <c r="J571" s="12">
        <f t="shared" si="27"/>
        <v>8.5674836601307217E-2</v>
      </c>
    </row>
    <row r="572" spans="1:10" ht="15" customHeight="1">
      <c r="A572" s="14">
        <v>45740</v>
      </c>
      <c r="B572" s="10">
        <f>VLOOKUP(A572,'BADI SID DATA'!A:B,2,0)</f>
        <v>358</v>
      </c>
      <c r="C572" s="4">
        <v>1422.6</v>
      </c>
      <c r="D572" s="63">
        <v>5.2</v>
      </c>
      <c r="E572" s="3"/>
      <c r="F572" s="65">
        <v>0.97034596375617788</v>
      </c>
      <c r="G572" s="65">
        <v>1</v>
      </c>
      <c r="H572" s="2">
        <f t="shared" si="25"/>
        <v>221641.20000000007</v>
      </c>
      <c r="I572" s="12">
        <f t="shared" si="26"/>
        <v>0.19758333333333333</v>
      </c>
      <c r="J572" s="12">
        <f t="shared" si="27"/>
        <v>8.5987430167597786E-2</v>
      </c>
    </row>
    <row r="573" spans="1:10" ht="15" customHeight="1">
      <c r="A573" s="14">
        <v>45741</v>
      </c>
      <c r="B573" s="10">
        <f>VLOOKUP(A573,'BADI SID DATA'!A:B,2,0)</f>
        <v>359</v>
      </c>
      <c r="C573" s="4">
        <v>1653.6</v>
      </c>
      <c r="D573" s="63">
        <v>5.94</v>
      </c>
      <c r="E573" s="3"/>
      <c r="F573" s="65">
        <v>1</v>
      </c>
      <c r="G573" s="65">
        <v>1</v>
      </c>
      <c r="H573" s="2">
        <f t="shared" si="25"/>
        <v>223294.80000000008</v>
      </c>
      <c r="I573" s="12">
        <f t="shared" si="26"/>
        <v>0.22966666666666666</v>
      </c>
      <c r="J573" s="12">
        <f t="shared" si="27"/>
        <v>8.6387650882079878E-2</v>
      </c>
    </row>
    <row r="574" spans="1:10" ht="15" customHeight="1">
      <c r="A574" s="14">
        <v>45742</v>
      </c>
      <c r="B574" s="10">
        <f>VLOOKUP(A574,'BADI SID DATA'!A:B,2,0)</f>
        <v>360</v>
      </c>
      <c r="C574" s="4">
        <v>1575.3</v>
      </c>
      <c r="D574" s="63">
        <v>5.66</v>
      </c>
      <c r="E574" s="3"/>
      <c r="F574" s="65">
        <v>1</v>
      </c>
      <c r="G574" s="65">
        <v>1</v>
      </c>
      <c r="H574" s="2">
        <f t="shared" si="25"/>
        <v>224870.10000000006</v>
      </c>
      <c r="I574" s="12">
        <f t="shared" si="26"/>
        <v>0.21879166666666666</v>
      </c>
      <c r="J574" s="12">
        <f t="shared" si="27"/>
        <v>8.6755439814814844E-2</v>
      </c>
    </row>
    <row r="575" spans="1:10" ht="15" customHeight="1">
      <c r="A575" s="14">
        <v>45743</v>
      </c>
      <c r="B575" s="10">
        <f>VLOOKUP(A575,'BADI SID DATA'!A:B,2,0)</f>
        <v>361</v>
      </c>
      <c r="C575" s="4">
        <v>1550.7</v>
      </c>
      <c r="D575" s="63">
        <v>5.54</v>
      </c>
      <c r="E575" s="3"/>
      <c r="F575" s="65">
        <v>1</v>
      </c>
      <c r="G575" s="65">
        <v>1</v>
      </c>
      <c r="H575" s="2">
        <f t="shared" si="25"/>
        <v>226420.80000000008</v>
      </c>
      <c r="I575" s="12">
        <f t="shared" si="26"/>
        <v>0.21537500000000001</v>
      </c>
      <c r="J575" s="12">
        <f t="shared" si="27"/>
        <v>8.7111726685133922E-2</v>
      </c>
    </row>
    <row r="576" spans="1:10" ht="15" customHeight="1">
      <c r="A576" s="14">
        <v>45744</v>
      </c>
      <c r="B576" s="10">
        <f>VLOOKUP(A576,'BADI SID DATA'!A:B,2,0)</f>
        <v>362</v>
      </c>
      <c r="C576" s="4">
        <v>1553.2</v>
      </c>
      <c r="D576" s="63">
        <v>5.53</v>
      </c>
      <c r="E576" s="3"/>
      <c r="F576" s="65">
        <v>1</v>
      </c>
      <c r="G576" s="65">
        <v>1</v>
      </c>
      <c r="H576" s="2">
        <f t="shared" si="25"/>
        <v>227974.00000000009</v>
      </c>
      <c r="I576" s="12">
        <f t="shared" si="26"/>
        <v>0.21572222222222223</v>
      </c>
      <c r="J576" s="12">
        <f t="shared" si="27"/>
        <v>8.7467004297114834E-2</v>
      </c>
    </row>
    <row r="577" spans="1:10" ht="15" customHeight="1">
      <c r="A577" s="14">
        <v>45745</v>
      </c>
      <c r="B577" s="10">
        <f>VLOOKUP(A577,'BADI SID DATA'!A:B,2,0)</f>
        <v>363</v>
      </c>
      <c r="C577" s="4">
        <v>1560.3000000000002</v>
      </c>
      <c r="D577" s="63">
        <v>5.57</v>
      </c>
      <c r="E577" s="3"/>
      <c r="F577" s="65">
        <v>1</v>
      </c>
      <c r="G577" s="65">
        <v>1</v>
      </c>
      <c r="H577" s="2">
        <f t="shared" si="25"/>
        <v>229534.30000000008</v>
      </c>
      <c r="I577" s="12">
        <f t="shared" si="26"/>
        <v>0.21670833333333336</v>
      </c>
      <c r="J577" s="12">
        <f t="shared" si="27"/>
        <v>8.7823041016222861E-2</v>
      </c>
    </row>
    <row r="578" spans="1:10" ht="15" customHeight="1">
      <c r="A578" s="14">
        <v>45746</v>
      </c>
      <c r="B578" s="10">
        <f>VLOOKUP(A578,'BADI SID DATA'!A:B,2,0)</f>
        <v>364</v>
      </c>
      <c r="C578" s="4">
        <v>1565.2999999999997</v>
      </c>
      <c r="D578" s="63">
        <v>5.6</v>
      </c>
      <c r="E578" s="3"/>
      <c r="F578" s="65">
        <v>1</v>
      </c>
      <c r="G578" s="65">
        <v>1</v>
      </c>
      <c r="H578" s="2">
        <f t="shared" si="25"/>
        <v>231099.60000000006</v>
      </c>
      <c r="I578" s="12">
        <f t="shared" si="26"/>
        <v>0.21740277777777775</v>
      </c>
      <c r="J578" s="12">
        <f t="shared" si="27"/>
        <v>8.8179029304029322E-2</v>
      </c>
    </row>
    <row r="579" spans="1:10" ht="15" customHeight="1">
      <c r="A579" s="14">
        <v>45747</v>
      </c>
      <c r="B579" s="10">
        <f>VLOOKUP(A579,'BADI SID DATA'!A:B,2,0)</f>
        <v>365</v>
      </c>
      <c r="C579" s="4">
        <v>1431.4</v>
      </c>
      <c r="D579" s="63">
        <v>5.09</v>
      </c>
      <c r="E579" s="3"/>
      <c r="F579" s="65">
        <v>1</v>
      </c>
      <c r="G579" s="65">
        <v>1</v>
      </c>
      <c r="H579" s="2">
        <f t="shared" ref="H579:H642" si="28">H578+C579</f>
        <v>232531.00000000006</v>
      </c>
      <c r="I579" s="12">
        <f t="shared" ref="I579:I642" si="29">C579/(300*24)</f>
        <v>0.19880555555555557</v>
      </c>
      <c r="J579" s="12">
        <f t="shared" ref="J579:J642" si="30">H579/(24*B579*300)</f>
        <v>8.8482115677321185E-2</v>
      </c>
    </row>
    <row r="580" spans="1:10" ht="15" customHeight="1">
      <c r="A580" s="14">
        <v>45748</v>
      </c>
      <c r="B580" s="10">
        <f>VLOOKUP(A580,'BADI SID DATA'!A:B,2,0)</f>
        <v>1</v>
      </c>
      <c r="C580">
        <v>1412.7</v>
      </c>
      <c r="D580" s="64">
        <v>5.0199999999999996</v>
      </c>
      <c r="F580" s="62">
        <v>1</v>
      </c>
      <c r="G580" s="62">
        <v>1</v>
      </c>
      <c r="H580" s="2">
        <f>C580</f>
        <v>1412.7</v>
      </c>
      <c r="I580" s="12">
        <f t="shared" si="29"/>
        <v>0.19620833333333335</v>
      </c>
      <c r="J580" s="12">
        <f t="shared" si="30"/>
        <v>0.19620833333333335</v>
      </c>
    </row>
    <row r="581" spans="1:10" ht="15" customHeight="1">
      <c r="A581" s="14">
        <v>45749</v>
      </c>
      <c r="B581" s="10">
        <f>VLOOKUP(A581,'BADI SID DATA'!A:B,2,0)</f>
        <v>2</v>
      </c>
      <c r="C581">
        <v>1523.9</v>
      </c>
      <c r="D581" s="64">
        <v>5.48</v>
      </c>
      <c r="F581" s="62">
        <v>1</v>
      </c>
      <c r="G581" s="62">
        <v>1</v>
      </c>
      <c r="H581" s="2">
        <f t="shared" si="28"/>
        <v>2936.6000000000004</v>
      </c>
      <c r="I581" s="12">
        <f t="shared" si="29"/>
        <v>0.2116527777777778</v>
      </c>
      <c r="J581" s="12">
        <f t="shared" si="30"/>
        <v>0.20393055555555559</v>
      </c>
    </row>
    <row r="582" spans="1:10" ht="15" customHeight="1">
      <c r="A582" s="14">
        <v>45750</v>
      </c>
      <c r="B582" s="10">
        <f>VLOOKUP(A582,'BADI SID DATA'!A:B,2,0)</f>
        <v>3</v>
      </c>
      <c r="C582">
        <v>1374.7</v>
      </c>
      <c r="D582" s="64">
        <v>4.8899999999999997</v>
      </c>
      <c r="F582" s="62">
        <v>1</v>
      </c>
      <c r="G582" s="62">
        <v>1</v>
      </c>
      <c r="H582" s="2">
        <f t="shared" si="28"/>
        <v>4311.3</v>
      </c>
      <c r="I582" s="12">
        <f t="shared" si="29"/>
        <v>0.19093055555555558</v>
      </c>
      <c r="J582" s="12">
        <f t="shared" si="30"/>
        <v>0.19959722222222223</v>
      </c>
    </row>
    <row r="583" spans="1:10" ht="15" customHeight="1">
      <c r="A583" s="14">
        <v>45751</v>
      </c>
      <c r="B583" s="10">
        <f>VLOOKUP(A583,'BADI SID DATA'!A:B,2,0)</f>
        <v>4</v>
      </c>
      <c r="C583">
        <v>1491.5</v>
      </c>
      <c r="D583" s="64">
        <v>5.44</v>
      </c>
      <c r="F583" s="62">
        <v>1</v>
      </c>
      <c r="G583" s="62">
        <v>1</v>
      </c>
      <c r="H583" s="2">
        <f t="shared" si="28"/>
        <v>5802.8</v>
      </c>
      <c r="I583" s="12">
        <f t="shared" si="29"/>
        <v>0.20715277777777777</v>
      </c>
      <c r="J583" s="12">
        <f t="shared" si="30"/>
        <v>0.20148611111111112</v>
      </c>
    </row>
    <row r="584" spans="1:10" ht="15" customHeight="1">
      <c r="A584" s="14">
        <v>45752</v>
      </c>
      <c r="B584" s="10">
        <f>VLOOKUP(A584,'BADI SID DATA'!A:B,2,0)</f>
        <v>5</v>
      </c>
      <c r="C584">
        <v>1650.1000000000001</v>
      </c>
      <c r="D584" s="64">
        <v>5.92</v>
      </c>
      <c r="F584" s="62">
        <v>1</v>
      </c>
      <c r="G584" s="62">
        <v>1</v>
      </c>
      <c r="H584" s="2">
        <f t="shared" si="28"/>
        <v>7452.9000000000005</v>
      </c>
      <c r="I584" s="12">
        <f t="shared" si="29"/>
        <v>0.22918055555555558</v>
      </c>
      <c r="J584" s="12">
        <f t="shared" si="30"/>
        <v>0.20702500000000001</v>
      </c>
    </row>
    <row r="585" spans="1:10" ht="15" customHeight="1">
      <c r="A585" s="14">
        <v>45753</v>
      </c>
      <c r="B585" s="10">
        <f>VLOOKUP(A585,'BADI SID DATA'!A:B,2,0)</f>
        <v>6</v>
      </c>
      <c r="C585">
        <v>1623.1000000000001</v>
      </c>
      <c r="D585" s="64">
        <v>5.76</v>
      </c>
      <c r="F585" s="62">
        <v>1</v>
      </c>
      <c r="G585" s="62">
        <v>1</v>
      </c>
      <c r="H585" s="2">
        <f t="shared" si="28"/>
        <v>9076</v>
      </c>
      <c r="I585" s="12">
        <f t="shared" si="29"/>
        <v>0.22543055555555558</v>
      </c>
      <c r="J585" s="12">
        <f t="shared" si="30"/>
        <v>0.21009259259259258</v>
      </c>
    </row>
    <row r="586" spans="1:10" ht="15" customHeight="1">
      <c r="A586" s="14">
        <v>45754</v>
      </c>
      <c r="B586" s="10">
        <f>VLOOKUP(A586,'BADI SID DATA'!A:B,2,0)</f>
        <v>7</v>
      </c>
      <c r="C586">
        <v>1570.5</v>
      </c>
      <c r="D586" s="64">
        <v>5.54</v>
      </c>
      <c r="F586" s="62">
        <v>1</v>
      </c>
      <c r="G586" s="62">
        <v>1</v>
      </c>
      <c r="H586" s="2">
        <f t="shared" si="28"/>
        <v>10646.5</v>
      </c>
      <c r="I586" s="12">
        <f t="shared" si="29"/>
        <v>0.21812500000000001</v>
      </c>
      <c r="J586" s="12">
        <f t="shared" si="30"/>
        <v>0.21124007936507935</v>
      </c>
    </row>
    <row r="587" spans="1:10" ht="15" customHeight="1">
      <c r="A587" s="14">
        <v>45755</v>
      </c>
      <c r="B587" s="10">
        <f>VLOOKUP(A587,'BADI SID DATA'!A:B,2,0)</f>
        <v>8</v>
      </c>
      <c r="C587">
        <v>1583.4</v>
      </c>
      <c r="D587" s="64">
        <v>5.61</v>
      </c>
      <c r="F587" s="62">
        <v>1</v>
      </c>
      <c r="G587" s="62">
        <v>1</v>
      </c>
      <c r="H587" s="2">
        <f t="shared" si="28"/>
        <v>12229.9</v>
      </c>
      <c r="I587" s="12">
        <f t="shared" si="29"/>
        <v>0.21991666666666668</v>
      </c>
      <c r="J587" s="12">
        <f t="shared" si="30"/>
        <v>0.21232465277777776</v>
      </c>
    </row>
    <row r="588" spans="1:10" ht="15" customHeight="1">
      <c r="A588" s="14">
        <v>45756</v>
      </c>
      <c r="B588" s="10">
        <f>VLOOKUP(A588,'BADI SID DATA'!A:B,2,0)</f>
        <v>9</v>
      </c>
      <c r="C588">
        <v>1535.7</v>
      </c>
      <c r="D588" s="64">
        <v>5.49</v>
      </c>
      <c r="F588" s="62">
        <v>1</v>
      </c>
      <c r="G588" s="62">
        <v>1</v>
      </c>
      <c r="H588" s="2">
        <f t="shared" si="28"/>
        <v>13765.6</v>
      </c>
      <c r="I588" s="12">
        <f t="shared" si="29"/>
        <v>0.21329166666666668</v>
      </c>
      <c r="J588" s="12">
        <f t="shared" si="30"/>
        <v>0.21243209876543209</v>
      </c>
    </row>
    <row r="589" spans="1:10" ht="15" customHeight="1">
      <c r="A589" s="14">
        <v>45757</v>
      </c>
      <c r="B589" s="10">
        <f>VLOOKUP(A589,'BADI SID DATA'!A:B,2,0)</f>
        <v>10</v>
      </c>
      <c r="C589">
        <v>1519</v>
      </c>
      <c r="D589" s="64">
        <v>5.39</v>
      </c>
      <c r="F589" s="62">
        <v>1</v>
      </c>
      <c r="G589" s="62">
        <v>1</v>
      </c>
      <c r="H589" s="2">
        <f t="shared" si="28"/>
        <v>15284.6</v>
      </c>
      <c r="I589" s="12">
        <f t="shared" si="29"/>
        <v>0.21097222222222223</v>
      </c>
      <c r="J589" s="12">
        <f t="shared" si="30"/>
        <v>0.21228611111111112</v>
      </c>
    </row>
    <row r="590" spans="1:10" ht="15" customHeight="1">
      <c r="A590" s="14">
        <v>45758</v>
      </c>
      <c r="B590" s="10">
        <f>VLOOKUP(A590,'BADI SID DATA'!A:B,2,0)</f>
        <v>11</v>
      </c>
      <c r="C590">
        <v>1526.1999999999998</v>
      </c>
      <c r="D590" s="64">
        <v>5.46</v>
      </c>
      <c r="F590" s="62">
        <v>1</v>
      </c>
      <c r="G590" s="62">
        <v>1</v>
      </c>
      <c r="H590" s="2">
        <f t="shared" si="28"/>
        <v>16810.8</v>
      </c>
      <c r="I590" s="12">
        <f t="shared" si="29"/>
        <v>0.2119722222222222</v>
      </c>
      <c r="J590" s="12">
        <f t="shared" si="30"/>
        <v>0.21225757575757576</v>
      </c>
    </row>
    <row r="591" spans="1:10" ht="15" customHeight="1">
      <c r="A591" s="14">
        <v>45759</v>
      </c>
      <c r="B591" s="10">
        <f>VLOOKUP(A591,'BADI SID DATA'!A:B,2,0)</f>
        <v>12</v>
      </c>
      <c r="C591">
        <v>1437.6</v>
      </c>
      <c r="D591" s="64">
        <v>5.04</v>
      </c>
      <c r="F591" s="62">
        <v>1</v>
      </c>
      <c r="G591" s="62">
        <v>1</v>
      </c>
      <c r="H591" s="2">
        <f t="shared" si="28"/>
        <v>18248.399999999998</v>
      </c>
      <c r="I591" s="12">
        <f t="shared" si="29"/>
        <v>0.19966666666666666</v>
      </c>
      <c r="J591" s="12">
        <f t="shared" si="30"/>
        <v>0.2112083333333333</v>
      </c>
    </row>
    <row r="592" spans="1:10" ht="15" customHeight="1">
      <c r="A592" s="14">
        <v>45760</v>
      </c>
      <c r="B592" s="10">
        <f>VLOOKUP(A592,'BADI SID DATA'!A:B,2,0)</f>
        <v>13</v>
      </c>
      <c r="C592">
        <v>1511.9</v>
      </c>
      <c r="D592" s="64">
        <v>5.36</v>
      </c>
      <c r="F592" s="62">
        <v>1</v>
      </c>
      <c r="G592" s="62">
        <v>1</v>
      </c>
      <c r="H592" s="2">
        <f t="shared" si="28"/>
        <v>19760.3</v>
      </c>
      <c r="I592" s="12">
        <f t="shared" si="29"/>
        <v>0.20998611111111112</v>
      </c>
      <c r="J592" s="12">
        <f t="shared" si="30"/>
        <v>0.21111431623931623</v>
      </c>
    </row>
    <row r="593" spans="1:10" ht="15" customHeight="1">
      <c r="A593" s="14">
        <v>45761</v>
      </c>
      <c r="B593" s="10">
        <f>VLOOKUP(A593,'BADI SID DATA'!A:B,2,0)</f>
        <v>14</v>
      </c>
      <c r="C593">
        <v>1588.1</v>
      </c>
      <c r="D593" s="64">
        <v>5.59</v>
      </c>
      <c r="F593" s="62">
        <v>1</v>
      </c>
      <c r="G593" s="62">
        <v>1</v>
      </c>
      <c r="H593" s="2">
        <f t="shared" si="28"/>
        <v>21348.399999999998</v>
      </c>
      <c r="I593" s="12">
        <f t="shared" si="29"/>
        <v>0.22056944444444443</v>
      </c>
      <c r="J593" s="12">
        <f t="shared" si="30"/>
        <v>0.21178968253968253</v>
      </c>
    </row>
    <row r="594" spans="1:10" ht="15" customHeight="1">
      <c r="A594" s="14">
        <v>45762</v>
      </c>
      <c r="B594" s="10">
        <f>VLOOKUP(A594,'BADI SID DATA'!A:B,2,0)</f>
        <v>15</v>
      </c>
      <c r="C594">
        <v>1567</v>
      </c>
      <c r="D594" s="64">
        <v>5.59</v>
      </c>
      <c r="F594" s="62">
        <v>1</v>
      </c>
      <c r="G594" s="62">
        <v>1</v>
      </c>
      <c r="H594" s="2">
        <f t="shared" si="28"/>
        <v>22915.399999999998</v>
      </c>
      <c r="I594" s="12">
        <f t="shared" si="29"/>
        <v>0.21763888888888888</v>
      </c>
      <c r="J594" s="12">
        <f t="shared" si="30"/>
        <v>0.21217962962962961</v>
      </c>
    </row>
    <row r="595" spans="1:10" ht="15" customHeight="1">
      <c r="A595" s="14">
        <v>45763</v>
      </c>
      <c r="B595" s="10">
        <f>VLOOKUP(A595,'BADI SID DATA'!A:B,2,0)</f>
        <v>16</v>
      </c>
      <c r="C595">
        <v>1589.6999999999998</v>
      </c>
      <c r="D595" s="64">
        <v>5.66</v>
      </c>
      <c r="F595" s="62">
        <v>1</v>
      </c>
      <c r="G595" s="62">
        <v>1</v>
      </c>
      <c r="H595" s="2">
        <f t="shared" si="28"/>
        <v>24505.1</v>
      </c>
      <c r="I595" s="12">
        <f t="shared" si="29"/>
        <v>0.22079166666666664</v>
      </c>
      <c r="J595" s="12">
        <f t="shared" si="30"/>
        <v>0.21271788194444444</v>
      </c>
    </row>
    <row r="596" spans="1:10" ht="15" customHeight="1">
      <c r="A596" s="14">
        <v>45764</v>
      </c>
      <c r="B596" s="10">
        <f>VLOOKUP(A596,'BADI SID DATA'!A:B,2,0)</f>
        <v>17</v>
      </c>
      <c r="C596">
        <v>1589.8000000000002</v>
      </c>
      <c r="D596" s="64">
        <v>5.62</v>
      </c>
      <c r="F596" s="62">
        <v>1</v>
      </c>
      <c r="G596" s="62">
        <v>1</v>
      </c>
      <c r="H596" s="2">
        <f t="shared" si="28"/>
        <v>26094.899999999998</v>
      </c>
      <c r="I596" s="12">
        <f t="shared" si="29"/>
        <v>0.22080555555555559</v>
      </c>
      <c r="J596" s="12">
        <f t="shared" si="30"/>
        <v>0.21319362745098036</v>
      </c>
    </row>
    <row r="597" spans="1:10" ht="15" customHeight="1">
      <c r="A597" s="14">
        <v>45765</v>
      </c>
      <c r="B597" s="10">
        <f>VLOOKUP(A597,'BADI SID DATA'!A:B,2,0)</f>
        <v>18</v>
      </c>
      <c r="C597">
        <v>1589.3</v>
      </c>
      <c r="D597" s="64">
        <v>5.65</v>
      </c>
      <c r="F597" s="62">
        <v>1</v>
      </c>
      <c r="G597" s="62">
        <v>1</v>
      </c>
      <c r="H597" s="2">
        <f t="shared" si="28"/>
        <v>27684.199999999997</v>
      </c>
      <c r="I597" s="12">
        <f t="shared" si="29"/>
        <v>0.22073611111111111</v>
      </c>
      <c r="J597" s="12">
        <f t="shared" si="30"/>
        <v>0.21361265432098764</v>
      </c>
    </row>
    <row r="598" spans="1:10" ht="15" customHeight="1">
      <c r="A598" s="14">
        <v>45766</v>
      </c>
      <c r="B598" s="10">
        <f>VLOOKUP(A598,'BADI SID DATA'!A:B,2,0)</f>
        <v>19</v>
      </c>
      <c r="C598">
        <v>1568</v>
      </c>
      <c r="D598" s="64">
        <v>5.8</v>
      </c>
      <c r="F598" s="62">
        <v>1</v>
      </c>
      <c r="G598" s="62">
        <v>0.8027777777777777</v>
      </c>
      <c r="H598" s="2">
        <f t="shared" si="28"/>
        <v>29252.199999999997</v>
      </c>
      <c r="I598" s="12">
        <f t="shared" si="29"/>
        <v>0.21777777777777776</v>
      </c>
      <c r="J598" s="12">
        <f t="shared" si="30"/>
        <v>0.21383187134502921</v>
      </c>
    </row>
    <row r="599" spans="1:10" ht="15" customHeight="1">
      <c r="A599" s="14">
        <v>45767</v>
      </c>
      <c r="B599" s="10">
        <f>VLOOKUP(A599,'BADI SID DATA'!A:B,2,0)</f>
        <v>20</v>
      </c>
      <c r="C599">
        <v>1601.5</v>
      </c>
      <c r="D599" s="64">
        <v>5.72</v>
      </c>
      <c r="F599" s="62">
        <v>1</v>
      </c>
      <c r="G599" s="62">
        <v>1</v>
      </c>
      <c r="H599" s="2">
        <f t="shared" si="28"/>
        <v>30853.699999999997</v>
      </c>
      <c r="I599" s="12">
        <f t="shared" si="29"/>
        <v>0.22243055555555555</v>
      </c>
      <c r="J599" s="12">
        <f t="shared" si="30"/>
        <v>0.21426180555555555</v>
      </c>
    </row>
    <row r="600" spans="1:10" ht="15" customHeight="1">
      <c r="A600" s="14">
        <v>45768</v>
      </c>
      <c r="B600" s="10">
        <f>VLOOKUP(A600,'BADI SID DATA'!A:B,2,0)</f>
        <v>21</v>
      </c>
      <c r="C600">
        <v>1548.1999999999998</v>
      </c>
      <c r="D600" s="64">
        <v>5.56</v>
      </c>
      <c r="F600" s="62">
        <v>1</v>
      </c>
      <c r="G600" s="62">
        <v>1</v>
      </c>
      <c r="H600" s="2">
        <f t="shared" si="28"/>
        <v>32401.899999999998</v>
      </c>
      <c r="I600" s="12">
        <f t="shared" si="29"/>
        <v>0.21502777777777776</v>
      </c>
      <c r="J600" s="12">
        <f t="shared" si="30"/>
        <v>0.21429828042328042</v>
      </c>
    </row>
    <row r="601" spans="1:10" ht="15" customHeight="1">
      <c r="A601" s="14">
        <v>45769</v>
      </c>
      <c r="B601" s="10">
        <f>VLOOKUP(A601,'BADI SID DATA'!A:B,2,0)</f>
        <v>22</v>
      </c>
      <c r="C601">
        <v>1353.5</v>
      </c>
      <c r="D601" s="64">
        <v>4.84</v>
      </c>
      <c r="F601" s="62">
        <v>1</v>
      </c>
      <c r="G601" s="62">
        <v>1</v>
      </c>
      <c r="H601" s="2">
        <f t="shared" si="28"/>
        <v>33755.399999999994</v>
      </c>
      <c r="I601" s="12">
        <f t="shared" si="29"/>
        <v>0.1879861111111111</v>
      </c>
      <c r="J601" s="12">
        <f t="shared" si="30"/>
        <v>0.2131022727272727</v>
      </c>
    </row>
    <row r="602" spans="1:10" ht="15" customHeight="1">
      <c r="A602" s="14">
        <v>45770</v>
      </c>
      <c r="B602" s="10">
        <f>VLOOKUP(A602,'BADI SID DATA'!A:B,2,0)</f>
        <v>23</v>
      </c>
      <c r="C602">
        <v>856.00000000000011</v>
      </c>
      <c r="D602" s="64">
        <v>2.88</v>
      </c>
      <c r="F602" s="62">
        <v>1</v>
      </c>
      <c r="G602" s="62">
        <v>0.8125</v>
      </c>
      <c r="H602" s="2">
        <f t="shared" si="28"/>
        <v>34611.399999999994</v>
      </c>
      <c r="I602" s="12">
        <f t="shared" si="29"/>
        <v>0.11888888888888891</v>
      </c>
      <c r="J602" s="12">
        <f t="shared" si="30"/>
        <v>0.20900603864734296</v>
      </c>
    </row>
    <row r="603" spans="1:10" ht="15" customHeight="1">
      <c r="A603" s="14">
        <v>45771</v>
      </c>
      <c r="B603" s="10">
        <f>VLOOKUP(A603,'BADI SID DATA'!A:B,2,0)</f>
        <v>24</v>
      </c>
      <c r="C603">
        <v>1541.6</v>
      </c>
      <c r="D603" s="64">
        <v>5.45</v>
      </c>
      <c r="F603" s="62">
        <v>1</v>
      </c>
      <c r="G603" s="62">
        <v>1</v>
      </c>
      <c r="H603" s="2">
        <f t="shared" si="28"/>
        <v>36152.999999999993</v>
      </c>
      <c r="I603" s="12">
        <f t="shared" si="29"/>
        <v>0.21411111111111109</v>
      </c>
      <c r="J603" s="12">
        <f t="shared" si="30"/>
        <v>0.20921874999999995</v>
      </c>
    </row>
    <row r="604" spans="1:10" ht="15" customHeight="1">
      <c r="A604" s="14">
        <v>45772</v>
      </c>
      <c r="B604" s="10">
        <f>VLOOKUP(A604,'BADI SID DATA'!A:B,2,0)</f>
        <v>25</v>
      </c>
      <c r="C604">
        <v>1640.5</v>
      </c>
      <c r="D604" s="64">
        <v>5.94</v>
      </c>
      <c r="F604" s="62">
        <v>1</v>
      </c>
      <c r="G604" s="62">
        <v>1</v>
      </c>
      <c r="H604" s="2">
        <f t="shared" si="28"/>
        <v>37793.499999999993</v>
      </c>
      <c r="I604" s="12">
        <f t="shared" si="29"/>
        <v>0.22784722222222223</v>
      </c>
      <c r="J604" s="12">
        <f t="shared" si="30"/>
        <v>0.20996388888888884</v>
      </c>
    </row>
    <row r="605" spans="1:10" ht="15" customHeight="1">
      <c r="A605" s="14">
        <v>45773</v>
      </c>
      <c r="B605" s="10">
        <f>VLOOKUP(A605,'BADI SID DATA'!A:B,2,0)</f>
        <v>26</v>
      </c>
      <c r="C605">
        <v>1632.1</v>
      </c>
      <c r="D605" s="64">
        <v>5.75</v>
      </c>
      <c r="F605" s="62">
        <v>1</v>
      </c>
      <c r="G605" s="62">
        <v>1</v>
      </c>
      <c r="H605" s="2">
        <f t="shared" si="28"/>
        <v>39425.599999999991</v>
      </c>
      <c r="I605" s="12">
        <f t="shared" si="29"/>
        <v>0.22668055555555555</v>
      </c>
      <c r="J605" s="12">
        <f t="shared" si="30"/>
        <v>0.21060683760683757</v>
      </c>
    </row>
    <row r="606" spans="1:10" ht="15" customHeight="1">
      <c r="A606" s="14">
        <v>45774</v>
      </c>
      <c r="B606" s="10">
        <f>VLOOKUP(A606,'BADI SID DATA'!A:B,2,0)</f>
        <v>27</v>
      </c>
      <c r="C606">
        <v>1631.8</v>
      </c>
      <c r="D606" s="64">
        <v>5.71</v>
      </c>
      <c r="F606" s="62">
        <v>1</v>
      </c>
      <c r="G606" s="62">
        <v>1</v>
      </c>
      <c r="H606" s="2">
        <f t="shared" si="28"/>
        <v>41057.399999999994</v>
      </c>
      <c r="I606" s="12">
        <f t="shared" si="29"/>
        <v>0.22663888888888889</v>
      </c>
      <c r="J606" s="12">
        <f t="shared" si="30"/>
        <v>0.21120061728395059</v>
      </c>
    </row>
    <row r="607" spans="1:10" ht="15" customHeight="1">
      <c r="A607" s="14">
        <v>45775</v>
      </c>
      <c r="B607" s="10">
        <f>VLOOKUP(A607,'BADI SID DATA'!A:B,2,0)</f>
        <v>28</v>
      </c>
      <c r="C607">
        <v>1552.1</v>
      </c>
      <c r="D607" s="64">
        <v>5.43</v>
      </c>
      <c r="F607" s="62">
        <v>1</v>
      </c>
      <c r="G607" s="62">
        <v>1</v>
      </c>
      <c r="H607" s="2">
        <f t="shared" si="28"/>
        <v>42609.499999999993</v>
      </c>
      <c r="I607" s="12">
        <f t="shared" si="29"/>
        <v>0.21556944444444442</v>
      </c>
      <c r="J607" s="12">
        <f t="shared" si="30"/>
        <v>0.21135664682539679</v>
      </c>
    </row>
    <row r="608" spans="1:10" ht="15" customHeight="1">
      <c r="A608" s="14">
        <v>45776</v>
      </c>
      <c r="B608" s="10">
        <f>VLOOKUP(A608,'BADI SID DATA'!A:B,2,0)</f>
        <v>29</v>
      </c>
      <c r="C608">
        <v>1614.8</v>
      </c>
      <c r="D608" s="64">
        <v>5.67</v>
      </c>
      <c r="F608" s="62">
        <v>1</v>
      </c>
      <c r="G608" s="62">
        <v>1</v>
      </c>
      <c r="H608" s="2">
        <f t="shared" si="28"/>
        <v>44224.299999999996</v>
      </c>
      <c r="I608" s="12">
        <f t="shared" si="29"/>
        <v>0.22427777777777777</v>
      </c>
      <c r="J608" s="12">
        <f t="shared" si="30"/>
        <v>0.21180220306513409</v>
      </c>
    </row>
    <row r="609" spans="1:10" ht="15" customHeight="1">
      <c r="A609" s="14">
        <v>45777</v>
      </c>
      <c r="B609" s="10">
        <f>VLOOKUP(A609,'BADI SID DATA'!A:B,2,0)</f>
        <v>30</v>
      </c>
      <c r="C609">
        <v>1420.4</v>
      </c>
      <c r="D609" s="64">
        <v>4.97</v>
      </c>
      <c r="F609" s="62">
        <v>1</v>
      </c>
      <c r="G609" s="62">
        <v>0.92638888888888893</v>
      </c>
      <c r="H609" s="2">
        <f t="shared" si="28"/>
        <v>45644.7</v>
      </c>
      <c r="I609" s="12">
        <f t="shared" si="29"/>
        <v>0.1972777777777778</v>
      </c>
      <c r="J609" s="12">
        <f t="shared" si="30"/>
        <v>0.21131805555555555</v>
      </c>
    </row>
    <row r="610" spans="1:10" ht="15" customHeight="1">
      <c r="A610" s="14">
        <v>45778</v>
      </c>
      <c r="B610" s="10">
        <f>VLOOKUP(A610,'BADI SID DATA'!A:B,2,0)</f>
        <v>31</v>
      </c>
      <c r="C610">
        <v>1131.1999999999998</v>
      </c>
      <c r="D610" s="64">
        <v>4.09</v>
      </c>
      <c r="F610" s="62">
        <v>1</v>
      </c>
      <c r="G610" s="62">
        <v>0.52083333333333326</v>
      </c>
      <c r="H610" s="2">
        <f t="shared" si="28"/>
        <v>46775.899999999994</v>
      </c>
      <c r="I610" s="12">
        <f t="shared" si="29"/>
        <v>0.15711111111111109</v>
      </c>
      <c r="J610" s="12">
        <f t="shared" si="30"/>
        <v>0.20956944444444442</v>
      </c>
    </row>
    <row r="611" spans="1:10" ht="15" customHeight="1">
      <c r="A611" s="14">
        <v>45779</v>
      </c>
      <c r="B611" s="10">
        <f>VLOOKUP(A611,'BADI SID DATA'!A:B,2,0)</f>
        <v>32</v>
      </c>
      <c r="C611">
        <v>1185.3</v>
      </c>
      <c r="D611" s="64">
        <v>4.33</v>
      </c>
      <c r="F611" s="62">
        <v>1</v>
      </c>
      <c r="G611" s="62">
        <v>0.71805555555555556</v>
      </c>
      <c r="H611" s="2">
        <f t="shared" si="28"/>
        <v>47961.2</v>
      </c>
      <c r="I611" s="12">
        <f t="shared" si="29"/>
        <v>0.16462499999999999</v>
      </c>
      <c r="J611" s="12">
        <f t="shared" si="30"/>
        <v>0.20816493055555554</v>
      </c>
    </row>
    <row r="612" spans="1:10" ht="15" customHeight="1">
      <c r="A612" s="14">
        <v>45780</v>
      </c>
      <c r="B612" s="10">
        <f>VLOOKUP(A612,'BADI SID DATA'!A:B,2,0)</f>
        <v>33</v>
      </c>
      <c r="C612">
        <v>1337.8</v>
      </c>
      <c r="D612" s="64">
        <v>4.58</v>
      </c>
      <c r="F612" s="62">
        <v>1</v>
      </c>
      <c r="G612" s="62">
        <v>0.90555555555555556</v>
      </c>
      <c r="H612" s="2">
        <f t="shared" si="28"/>
        <v>49299</v>
      </c>
      <c r="I612" s="12">
        <f t="shared" si="29"/>
        <v>0.18580555555555556</v>
      </c>
      <c r="J612" s="12">
        <f t="shared" si="30"/>
        <v>0.20748737373737375</v>
      </c>
    </row>
    <row r="613" spans="1:10" ht="15" customHeight="1">
      <c r="A613" s="14">
        <v>45781</v>
      </c>
      <c r="B613" s="10">
        <f>VLOOKUP(A613,'BADI SID DATA'!A:B,2,0)</f>
        <v>34</v>
      </c>
      <c r="C613">
        <v>1433.6</v>
      </c>
      <c r="D613" s="64">
        <v>5.09</v>
      </c>
      <c r="F613" s="62">
        <v>1</v>
      </c>
      <c r="G613" s="62">
        <v>0.92500000000000004</v>
      </c>
      <c r="H613" s="2">
        <f t="shared" si="28"/>
        <v>50732.6</v>
      </c>
      <c r="I613" s="12">
        <f t="shared" si="29"/>
        <v>0.1991111111111111</v>
      </c>
      <c r="J613" s="12">
        <f t="shared" si="30"/>
        <v>0.20724101307189541</v>
      </c>
    </row>
    <row r="614" spans="1:10" ht="15" customHeight="1">
      <c r="A614" s="14">
        <v>45782</v>
      </c>
      <c r="B614" s="10">
        <f>VLOOKUP(A614,'BADI SID DATA'!A:B,2,0)</f>
        <v>35</v>
      </c>
      <c r="C614">
        <v>1558.3000000000002</v>
      </c>
      <c r="D614" s="64">
        <v>5.69</v>
      </c>
      <c r="F614" s="62">
        <v>1</v>
      </c>
      <c r="G614" s="62">
        <v>0.97222222222222232</v>
      </c>
      <c r="H614" s="2">
        <f t="shared" si="28"/>
        <v>52290.9</v>
      </c>
      <c r="I614" s="12">
        <f t="shared" si="29"/>
        <v>0.21643055555555557</v>
      </c>
      <c r="J614" s="12">
        <f t="shared" si="30"/>
        <v>0.20750357142857143</v>
      </c>
    </row>
    <row r="615" spans="1:10" ht="15" customHeight="1">
      <c r="A615" s="14">
        <v>45783</v>
      </c>
      <c r="B615" s="10">
        <f>VLOOKUP(A615,'BADI SID DATA'!A:B,2,0)</f>
        <v>36</v>
      </c>
      <c r="C615">
        <v>1613.9</v>
      </c>
      <c r="D615" s="64">
        <v>5.79</v>
      </c>
      <c r="F615" s="62">
        <v>1</v>
      </c>
      <c r="G615" s="62">
        <v>1</v>
      </c>
      <c r="H615" s="2">
        <f t="shared" si="28"/>
        <v>53904.800000000003</v>
      </c>
      <c r="I615" s="12">
        <f t="shared" si="29"/>
        <v>0.22415277777777778</v>
      </c>
      <c r="J615" s="12">
        <f t="shared" si="30"/>
        <v>0.20796604938271607</v>
      </c>
    </row>
    <row r="616" spans="1:10" ht="15" customHeight="1">
      <c r="A616" s="14">
        <v>45784</v>
      </c>
      <c r="B616" s="10">
        <f>VLOOKUP(A616,'BADI SID DATA'!A:B,2,0)</f>
        <v>37</v>
      </c>
      <c r="C616">
        <v>1646</v>
      </c>
      <c r="D616" s="64">
        <v>5.99</v>
      </c>
      <c r="F616" s="62">
        <v>1</v>
      </c>
      <c r="G616" s="62">
        <v>1</v>
      </c>
      <c r="H616" s="2">
        <f t="shared" si="28"/>
        <v>55550.8</v>
      </c>
      <c r="I616" s="12">
        <f t="shared" si="29"/>
        <v>0.2286111111111111</v>
      </c>
      <c r="J616" s="12">
        <f t="shared" si="30"/>
        <v>0.20852402402402404</v>
      </c>
    </row>
    <row r="617" spans="1:10" ht="15" customHeight="1">
      <c r="A617" s="14">
        <v>45785</v>
      </c>
      <c r="B617" s="10">
        <f>VLOOKUP(A617,'BADI SID DATA'!A:B,2,0)</f>
        <v>38</v>
      </c>
      <c r="C617">
        <v>1686</v>
      </c>
      <c r="D617" s="64">
        <v>6.79</v>
      </c>
      <c r="F617" s="62">
        <v>1</v>
      </c>
      <c r="G617" s="62">
        <v>1</v>
      </c>
      <c r="H617" s="2">
        <f t="shared" si="28"/>
        <v>57236.800000000003</v>
      </c>
      <c r="I617" s="12">
        <f t="shared" si="29"/>
        <v>0.23416666666666666</v>
      </c>
      <c r="J617" s="12">
        <f t="shared" si="30"/>
        <v>0.20919883040935675</v>
      </c>
    </row>
    <row r="618" spans="1:10" ht="15" customHeight="1">
      <c r="A618" s="14">
        <v>45786</v>
      </c>
      <c r="B618" s="10">
        <f>VLOOKUP(A618,'BADI SID DATA'!A:B,2,0)</f>
        <v>39</v>
      </c>
      <c r="C618">
        <v>1685</v>
      </c>
      <c r="D618" s="64">
        <v>6.12</v>
      </c>
      <c r="F618" s="62">
        <v>1</v>
      </c>
      <c r="G618" s="62">
        <v>1</v>
      </c>
      <c r="H618" s="2">
        <f t="shared" si="28"/>
        <v>58921.8</v>
      </c>
      <c r="I618" s="12">
        <f t="shared" si="29"/>
        <v>0.23402777777777778</v>
      </c>
      <c r="J618" s="12">
        <f t="shared" si="30"/>
        <v>0.2098354700854701</v>
      </c>
    </row>
    <row r="619" spans="1:10" ht="15" customHeight="1">
      <c r="A619" s="14">
        <v>45787</v>
      </c>
      <c r="B619" s="10">
        <f>VLOOKUP(A619,'BADI SID DATA'!A:B,2,0)</f>
        <v>40</v>
      </c>
      <c r="C619">
        <v>1521.4</v>
      </c>
      <c r="D619" s="64">
        <v>5.45</v>
      </c>
      <c r="F619" s="62">
        <v>1</v>
      </c>
      <c r="G619" s="62">
        <v>1</v>
      </c>
      <c r="H619" s="2">
        <f t="shared" si="28"/>
        <v>60443.200000000004</v>
      </c>
      <c r="I619" s="12">
        <f t="shared" si="29"/>
        <v>0.21130555555555558</v>
      </c>
      <c r="J619" s="12">
        <f t="shared" si="30"/>
        <v>0.20987222222222224</v>
      </c>
    </row>
    <row r="620" spans="1:10" ht="15" customHeight="1">
      <c r="A620" s="14">
        <v>45788</v>
      </c>
      <c r="B620" s="10">
        <f>VLOOKUP(A620,'BADI SID DATA'!A:B,2,0)</f>
        <v>41</v>
      </c>
      <c r="C620">
        <v>1317.4</v>
      </c>
      <c r="D620" s="64">
        <v>4.82</v>
      </c>
      <c r="F620" s="62">
        <v>0.98517298187808899</v>
      </c>
      <c r="G620" s="62">
        <v>1</v>
      </c>
      <c r="H620" s="2">
        <f t="shared" si="28"/>
        <v>61760.600000000006</v>
      </c>
      <c r="I620" s="12">
        <f t="shared" si="29"/>
        <v>0.18297222222222223</v>
      </c>
      <c r="J620" s="12">
        <f t="shared" si="30"/>
        <v>0.20921612466124664</v>
      </c>
    </row>
    <row r="621" spans="1:10" ht="15" customHeight="1">
      <c r="A621" s="14">
        <v>45789</v>
      </c>
      <c r="B621" s="10">
        <f>VLOOKUP(A621,'BADI SID DATA'!A:B,2,0)</f>
        <v>42</v>
      </c>
      <c r="C621">
        <v>1244.5</v>
      </c>
      <c r="D621" s="64">
        <v>4.32</v>
      </c>
      <c r="F621" s="62">
        <v>1</v>
      </c>
      <c r="G621" s="62">
        <v>1</v>
      </c>
      <c r="H621" s="2">
        <f t="shared" si="28"/>
        <v>63005.100000000006</v>
      </c>
      <c r="I621" s="12">
        <f t="shared" si="29"/>
        <v>0.17284722222222224</v>
      </c>
      <c r="J621" s="12">
        <f t="shared" si="30"/>
        <v>0.20835019841269845</v>
      </c>
    </row>
    <row r="622" spans="1:10" ht="15" customHeight="1">
      <c r="A622" s="14">
        <v>45790</v>
      </c>
      <c r="B622" s="10">
        <f>VLOOKUP(A622,'BADI SID DATA'!A:B,2,0)</f>
        <v>43</v>
      </c>
      <c r="C622">
        <v>851.7</v>
      </c>
      <c r="D622" s="64">
        <v>2.83</v>
      </c>
      <c r="F622" s="62">
        <v>1</v>
      </c>
      <c r="G622" s="62">
        <v>1</v>
      </c>
      <c r="H622" s="2">
        <f t="shared" si="28"/>
        <v>63856.800000000003</v>
      </c>
      <c r="I622" s="12">
        <f t="shared" si="29"/>
        <v>0.11829166666666667</v>
      </c>
      <c r="J622" s="12">
        <f t="shared" si="30"/>
        <v>0.20625581395348838</v>
      </c>
    </row>
    <row r="623" spans="1:10" ht="15" customHeight="1">
      <c r="A623" s="14">
        <v>45791</v>
      </c>
      <c r="B623" s="10">
        <f>VLOOKUP(A623,'BADI SID DATA'!A:B,2,0)</f>
        <v>44</v>
      </c>
      <c r="C623">
        <v>1067.8000000000002</v>
      </c>
      <c r="D623" s="64">
        <v>3.62</v>
      </c>
      <c r="F623" s="62">
        <v>1</v>
      </c>
      <c r="G623" s="62">
        <v>1</v>
      </c>
      <c r="H623" s="2">
        <f t="shared" si="28"/>
        <v>64924.600000000006</v>
      </c>
      <c r="I623" s="12">
        <f t="shared" si="29"/>
        <v>0.14830555555555558</v>
      </c>
      <c r="J623" s="12">
        <f t="shared" si="30"/>
        <v>0.20493876262626265</v>
      </c>
    </row>
    <row r="624" spans="1:10" ht="15" customHeight="1">
      <c r="A624" s="14">
        <v>45792</v>
      </c>
      <c r="B624" s="10">
        <f>VLOOKUP(A624,'BADI SID DATA'!A:B,2,0)</f>
        <v>45</v>
      </c>
      <c r="C624">
        <v>1523</v>
      </c>
      <c r="D624" s="64">
        <v>5.41</v>
      </c>
      <c r="F624" s="62">
        <v>1</v>
      </c>
      <c r="G624" s="62">
        <v>1</v>
      </c>
      <c r="H624" s="2">
        <f t="shared" si="28"/>
        <v>66447.600000000006</v>
      </c>
      <c r="I624" s="12">
        <f t="shared" si="29"/>
        <v>0.21152777777777779</v>
      </c>
      <c r="J624" s="12">
        <f t="shared" si="30"/>
        <v>0.2050851851851852</v>
      </c>
    </row>
    <row r="625" spans="1:10" ht="15" customHeight="1">
      <c r="A625" s="14">
        <v>45793</v>
      </c>
      <c r="B625" s="10">
        <f>VLOOKUP(A625,'BADI SID DATA'!A:B,2,0)</f>
        <v>46</v>
      </c>
      <c r="C625">
        <v>1622.6999999999998</v>
      </c>
      <c r="D625" s="64">
        <v>5.83</v>
      </c>
      <c r="F625" s="62">
        <v>1</v>
      </c>
      <c r="G625" s="62">
        <v>1</v>
      </c>
      <c r="H625" s="2">
        <f t="shared" si="28"/>
        <v>68070.3</v>
      </c>
      <c r="I625" s="12">
        <f t="shared" si="29"/>
        <v>0.22537499999999996</v>
      </c>
      <c r="J625" s="12">
        <f t="shared" si="30"/>
        <v>0.20552626811594205</v>
      </c>
    </row>
    <row r="626" spans="1:10" ht="15" customHeight="1">
      <c r="A626" s="14">
        <v>45794</v>
      </c>
      <c r="B626" s="10">
        <f>VLOOKUP(A626,'BADI SID DATA'!A:B,2,0)</f>
        <v>47</v>
      </c>
      <c r="C626">
        <v>1276.5</v>
      </c>
      <c r="D626" s="64">
        <v>4.54</v>
      </c>
      <c r="F626" s="62">
        <v>1</v>
      </c>
      <c r="G626" s="62">
        <v>1</v>
      </c>
      <c r="H626" s="2">
        <f t="shared" si="28"/>
        <v>69346.8</v>
      </c>
      <c r="I626" s="12">
        <f t="shared" si="29"/>
        <v>0.17729166666666665</v>
      </c>
      <c r="J626" s="12">
        <f t="shared" si="30"/>
        <v>0.20492553191489363</v>
      </c>
    </row>
    <row r="627" spans="1:10" ht="15" customHeight="1">
      <c r="A627" s="14">
        <v>45795</v>
      </c>
      <c r="B627" s="10">
        <f>VLOOKUP(A627,'BADI SID DATA'!A:B,2,0)</f>
        <v>48</v>
      </c>
      <c r="C627">
        <v>1485.3</v>
      </c>
      <c r="D627" s="64">
        <v>5.23</v>
      </c>
      <c r="F627" s="62">
        <v>1</v>
      </c>
      <c r="G627" s="62">
        <v>1</v>
      </c>
      <c r="H627" s="2">
        <f t="shared" si="28"/>
        <v>70832.100000000006</v>
      </c>
      <c r="I627" s="12">
        <f t="shared" si="29"/>
        <v>0.20629166666666665</v>
      </c>
      <c r="J627" s="12">
        <f t="shared" si="30"/>
        <v>0.20495399305555556</v>
      </c>
    </row>
    <row r="628" spans="1:10" ht="15" customHeight="1">
      <c r="A628" s="14">
        <v>45796</v>
      </c>
      <c r="B628" s="10">
        <f>VLOOKUP(A628,'BADI SID DATA'!A:B,2,0)</f>
        <v>49</v>
      </c>
      <c r="C628">
        <v>1084.5</v>
      </c>
      <c r="D628" s="64">
        <v>3.8</v>
      </c>
      <c r="F628" s="62">
        <v>1</v>
      </c>
      <c r="G628" s="62">
        <v>1</v>
      </c>
      <c r="H628" s="2">
        <f t="shared" si="28"/>
        <v>71916.600000000006</v>
      </c>
      <c r="I628" s="12">
        <f t="shared" si="29"/>
        <v>0.15062500000000001</v>
      </c>
      <c r="J628" s="12">
        <f t="shared" si="30"/>
        <v>0.20384523809523811</v>
      </c>
    </row>
    <row r="629" spans="1:10" ht="15" customHeight="1">
      <c r="A629" s="14">
        <v>45797</v>
      </c>
      <c r="B629" s="10">
        <f>VLOOKUP(A629,'BADI SID DATA'!A:B,2,0)</f>
        <v>50</v>
      </c>
      <c r="C629">
        <v>813.4</v>
      </c>
      <c r="D629" s="64">
        <v>2.66</v>
      </c>
      <c r="F629" s="62">
        <v>1</v>
      </c>
      <c r="G629" s="62">
        <v>1</v>
      </c>
      <c r="H629" s="2">
        <f t="shared" si="28"/>
        <v>72730</v>
      </c>
      <c r="I629" s="12">
        <f t="shared" si="29"/>
        <v>0.11297222222222222</v>
      </c>
      <c r="J629" s="12">
        <f t="shared" si="30"/>
        <v>0.20202777777777778</v>
      </c>
    </row>
    <row r="630" spans="1:10" ht="15" customHeight="1">
      <c r="A630" s="14">
        <v>45798</v>
      </c>
      <c r="B630" s="10">
        <f>VLOOKUP(A630,'BADI SID DATA'!A:B,2,0)</f>
        <v>51</v>
      </c>
      <c r="C630">
        <v>920.09999999999991</v>
      </c>
      <c r="D630" s="64">
        <v>3.04</v>
      </c>
      <c r="F630" s="62">
        <v>1</v>
      </c>
      <c r="G630" s="62">
        <v>1</v>
      </c>
      <c r="H630" s="2">
        <f t="shared" si="28"/>
        <v>73650.100000000006</v>
      </c>
      <c r="I630" s="12">
        <f t="shared" si="29"/>
        <v>0.12779166666666666</v>
      </c>
      <c r="J630" s="12">
        <f t="shared" si="30"/>
        <v>0.20057216775599129</v>
      </c>
    </row>
    <row r="631" spans="1:10" ht="15" customHeight="1">
      <c r="A631" s="14">
        <v>45799</v>
      </c>
      <c r="B631" s="10">
        <f>VLOOKUP(A631,'BADI SID DATA'!A:B,2,0)</f>
        <v>52</v>
      </c>
      <c r="C631">
        <v>1532.9</v>
      </c>
      <c r="D631" s="64">
        <v>5.49</v>
      </c>
      <c r="F631" s="62">
        <v>1</v>
      </c>
      <c r="G631" s="62">
        <v>1</v>
      </c>
      <c r="H631" s="2">
        <f t="shared" si="28"/>
        <v>75183</v>
      </c>
      <c r="I631" s="12">
        <f t="shared" si="29"/>
        <v>0.2129027777777778</v>
      </c>
      <c r="J631" s="12">
        <f t="shared" si="30"/>
        <v>0.20080929487179489</v>
      </c>
    </row>
    <row r="632" spans="1:10" ht="15" customHeight="1">
      <c r="A632" s="14">
        <v>45800</v>
      </c>
      <c r="B632" s="10">
        <f>VLOOKUP(A632,'BADI SID DATA'!A:B,2,0)</f>
        <v>53</v>
      </c>
      <c r="C632">
        <v>716.2</v>
      </c>
      <c r="D632" s="64">
        <v>2.56</v>
      </c>
      <c r="F632" s="62">
        <v>1</v>
      </c>
      <c r="G632" s="62">
        <v>1</v>
      </c>
      <c r="H632" s="2">
        <f t="shared" si="28"/>
        <v>75899.199999999997</v>
      </c>
      <c r="I632" s="12">
        <f t="shared" si="29"/>
        <v>9.9472222222222226E-2</v>
      </c>
      <c r="J632" s="12">
        <f t="shared" si="30"/>
        <v>0.19889727463312368</v>
      </c>
    </row>
    <row r="633" spans="1:10" ht="15" customHeight="1">
      <c r="A633" s="14">
        <v>45801</v>
      </c>
      <c r="B633" s="10">
        <f>VLOOKUP(A633,'BADI SID DATA'!A:B,2,0)</f>
        <v>54</v>
      </c>
      <c r="C633">
        <v>1224.3</v>
      </c>
      <c r="D633" s="64">
        <v>4.3499999999999996</v>
      </c>
      <c r="F633" s="62">
        <v>1</v>
      </c>
      <c r="G633" s="62">
        <v>1</v>
      </c>
      <c r="H633" s="2">
        <f t="shared" si="28"/>
        <v>77123.5</v>
      </c>
      <c r="I633" s="12">
        <f t="shared" si="29"/>
        <v>0.17004166666666665</v>
      </c>
      <c r="J633" s="12">
        <f t="shared" si="30"/>
        <v>0.19836291152263374</v>
      </c>
    </row>
    <row r="634" spans="1:10" ht="15" customHeight="1">
      <c r="A634" s="14">
        <v>45802</v>
      </c>
      <c r="B634" s="10">
        <f>VLOOKUP(A634,'BADI SID DATA'!A:B,2,0)</f>
        <v>55</v>
      </c>
      <c r="C634">
        <v>397.40000000000003</v>
      </c>
      <c r="D634" s="64">
        <v>1.29</v>
      </c>
      <c r="F634" s="62">
        <v>1</v>
      </c>
      <c r="G634" s="62">
        <v>1</v>
      </c>
      <c r="H634" s="2">
        <f t="shared" si="28"/>
        <v>77520.899999999994</v>
      </c>
      <c r="I634" s="12">
        <f t="shared" si="29"/>
        <v>5.5194444444444449E-2</v>
      </c>
      <c r="J634" s="12">
        <f t="shared" si="30"/>
        <v>0.19575984848484848</v>
      </c>
    </row>
    <row r="635" spans="1:10" ht="15" customHeight="1">
      <c r="A635" s="14">
        <v>45803</v>
      </c>
      <c r="B635" s="10">
        <f>VLOOKUP(A635,'BADI SID DATA'!A:B,2,0)</f>
        <v>56</v>
      </c>
      <c r="C635">
        <v>314</v>
      </c>
      <c r="D635" s="64">
        <v>1.06</v>
      </c>
      <c r="F635" s="62">
        <v>1</v>
      </c>
      <c r="G635" s="62">
        <v>1</v>
      </c>
      <c r="H635" s="2">
        <f t="shared" si="28"/>
        <v>77834.899999999994</v>
      </c>
      <c r="I635" s="12">
        <f t="shared" si="29"/>
        <v>4.3611111111111114E-2</v>
      </c>
      <c r="J635" s="12">
        <f t="shared" si="30"/>
        <v>0.19304290674603172</v>
      </c>
    </row>
    <row r="636" spans="1:10" ht="15" customHeight="1">
      <c r="A636" s="14">
        <v>45804</v>
      </c>
      <c r="B636" s="10">
        <f>VLOOKUP(A636,'BADI SID DATA'!A:B,2,0)</f>
        <v>57</v>
      </c>
      <c r="C636">
        <v>1553.1000000000001</v>
      </c>
      <c r="D636" s="64">
        <v>5.61</v>
      </c>
      <c r="F636" s="62">
        <v>1</v>
      </c>
      <c r="G636" s="62">
        <v>1</v>
      </c>
      <c r="H636" s="2">
        <f t="shared" si="28"/>
        <v>79388</v>
      </c>
      <c r="I636" s="12">
        <f t="shared" si="29"/>
        <v>0.21570833333333336</v>
      </c>
      <c r="J636" s="12">
        <f t="shared" si="30"/>
        <v>0.19344054580896686</v>
      </c>
    </row>
    <row r="637" spans="1:10" ht="15" customHeight="1">
      <c r="A637" s="14">
        <v>45805</v>
      </c>
      <c r="B637" s="10">
        <f>VLOOKUP(A637,'BADI SID DATA'!A:B,2,0)</f>
        <v>58</v>
      </c>
      <c r="C637">
        <v>891.2</v>
      </c>
      <c r="D637" s="64">
        <v>3.04</v>
      </c>
      <c r="F637" s="62">
        <v>1</v>
      </c>
      <c r="G637" s="62">
        <v>1</v>
      </c>
      <c r="H637" s="2">
        <f t="shared" si="28"/>
        <v>80279.199999999997</v>
      </c>
      <c r="I637" s="12">
        <f t="shared" si="29"/>
        <v>0.12377777777777778</v>
      </c>
      <c r="J637" s="12">
        <f t="shared" si="30"/>
        <v>0.19223946360153257</v>
      </c>
    </row>
    <row r="638" spans="1:10" ht="15" customHeight="1">
      <c r="A638" s="14">
        <v>45806</v>
      </c>
      <c r="B638" s="10">
        <f>VLOOKUP(A638,'BADI SID DATA'!A:B,2,0)</f>
        <v>59</v>
      </c>
      <c r="C638">
        <v>120.4</v>
      </c>
      <c r="D638" s="64">
        <v>0.47</v>
      </c>
      <c r="F638" s="62">
        <v>1</v>
      </c>
      <c r="G638" s="62">
        <v>1</v>
      </c>
      <c r="H638" s="2">
        <f t="shared" si="28"/>
        <v>80399.599999999991</v>
      </c>
      <c r="I638" s="12">
        <f t="shared" si="29"/>
        <v>1.6722222222222222E-2</v>
      </c>
      <c r="J638" s="12">
        <f t="shared" si="30"/>
        <v>0.18926459510357813</v>
      </c>
    </row>
    <row r="639" spans="1:10" ht="15" customHeight="1">
      <c r="A639" s="14">
        <v>45807</v>
      </c>
      <c r="B639" s="10">
        <f>VLOOKUP(A639,'BADI SID DATA'!A:B,2,0)</f>
        <v>60</v>
      </c>
      <c r="C639">
        <v>0</v>
      </c>
      <c r="D639" s="64">
        <v>0</v>
      </c>
      <c r="F639" s="62">
        <v>1</v>
      </c>
      <c r="G639" s="62">
        <v>0</v>
      </c>
      <c r="H639" s="2">
        <f t="shared" si="28"/>
        <v>80399.599999999991</v>
      </c>
      <c r="I639" s="12">
        <f t="shared" si="29"/>
        <v>0</v>
      </c>
      <c r="J639" s="12">
        <f t="shared" si="30"/>
        <v>0.18611018518518516</v>
      </c>
    </row>
    <row r="640" spans="1:10" ht="15" customHeight="1">
      <c r="A640" s="14">
        <v>45808</v>
      </c>
      <c r="B640" s="10">
        <f>VLOOKUP(A640,'BADI SID DATA'!A:B,2,0)</f>
        <v>61</v>
      </c>
      <c r="C640">
        <v>1059.7</v>
      </c>
      <c r="D640" s="64">
        <v>4.3899999999999997</v>
      </c>
      <c r="F640" s="62">
        <v>1</v>
      </c>
      <c r="G640" s="62">
        <v>0.72222222222222221</v>
      </c>
      <c r="H640" s="2">
        <f t="shared" si="28"/>
        <v>81459.299999999988</v>
      </c>
      <c r="I640" s="12">
        <f t="shared" si="29"/>
        <v>0.14718055555555556</v>
      </c>
      <c r="J640" s="12">
        <f t="shared" si="30"/>
        <v>0.1854719945355191</v>
      </c>
    </row>
    <row r="641" spans="1:10" ht="15" customHeight="1">
      <c r="A641" s="14">
        <v>45809</v>
      </c>
      <c r="B641" s="10">
        <f>VLOOKUP(A641,'BADI SID DATA'!A:B,2,0)</f>
        <v>62</v>
      </c>
      <c r="C641">
        <v>1640.6</v>
      </c>
      <c r="D641" s="64">
        <v>6.02</v>
      </c>
      <c r="F641" s="62">
        <v>1</v>
      </c>
      <c r="G641" s="62">
        <v>0.92638888888888871</v>
      </c>
      <c r="H641" s="2">
        <f t="shared" si="28"/>
        <v>83099.899999999994</v>
      </c>
      <c r="I641" s="12">
        <f t="shared" si="29"/>
        <v>0.2278611111111111</v>
      </c>
      <c r="J641" s="12">
        <f t="shared" si="30"/>
        <v>0.18615568996415768</v>
      </c>
    </row>
    <row r="642" spans="1:10" ht="15" customHeight="1">
      <c r="A642" s="14">
        <v>45810</v>
      </c>
      <c r="B642" s="10">
        <f>VLOOKUP(A642,'BADI SID DATA'!A:B,2,0)</f>
        <v>63</v>
      </c>
      <c r="C642">
        <v>1583.9</v>
      </c>
      <c r="D642" s="64">
        <v>5.69</v>
      </c>
      <c r="F642" s="62">
        <v>1</v>
      </c>
      <c r="G642" s="62">
        <v>1</v>
      </c>
      <c r="H642" s="2">
        <f t="shared" si="28"/>
        <v>84683.799999999988</v>
      </c>
      <c r="I642" s="12">
        <f t="shared" si="29"/>
        <v>0.21998611111111113</v>
      </c>
      <c r="J642" s="12">
        <f t="shared" si="30"/>
        <v>0.18669268077601409</v>
      </c>
    </row>
    <row r="643" spans="1:10" ht="15" customHeight="1">
      <c r="A643" s="14">
        <v>45811</v>
      </c>
      <c r="B643" s="10">
        <f>VLOOKUP(A643,'BADI SID DATA'!A:B,2,0)</f>
        <v>64</v>
      </c>
      <c r="C643">
        <v>1340.3999999999999</v>
      </c>
      <c r="D643" s="64">
        <v>4.8099999999999996</v>
      </c>
      <c r="F643" s="62">
        <v>1</v>
      </c>
      <c r="G643" s="62">
        <v>1</v>
      </c>
      <c r="H643" s="2">
        <f t="shared" ref="H643:H706" si="31">H642+C643</f>
        <v>86024.199999999983</v>
      </c>
      <c r="I643" s="12">
        <f t="shared" ref="I643:I706" si="32">C643/(300*24)</f>
        <v>0.18616666666666665</v>
      </c>
      <c r="J643" s="12">
        <f t="shared" ref="J643:J706" si="33">H643/(24*B643*300)</f>
        <v>0.18668446180555551</v>
      </c>
    </row>
    <row r="644" spans="1:10" ht="15" customHeight="1">
      <c r="A644" s="14">
        <v>45812</v>
      </c>
      <c r="B644" s="10">
        <f>VLOOKUP(A644,'BADI SID DATA'!A:B,2,0)</f>
        <v>65</v>
      </c>
      <c r="C644">
        <v>1463.3</v>
      </c>
      <c r="D644" s="64">
        <v>5.25</v>
      </c>
      <c r="F644" s="62">
        <v>1</v>
      </c>
      <c r="G644" s="62">
        <v>1</v>
      </c>
      <c r="H644" s="2">
        <f t="shared" si="31"/>
        <v>87487.499999999985</v>
      </c>
      <c r="I644" s="12">
        <f t="shared" si="32"/>
        <v>0.20323611111111112</v>
      </c>
      <c r="J644" s="12">
        <f t="shared" si="33"/>
        <v>0.18693910256410254</v>
      </c>
    </row>
    <row r="645" spans="1:10" ht="15" customHeight="1">
      <c r="A645" s="14">
        <v>45813</v>
      </c>
      <c r="B645" s="10">
        <f>VLOOKUP(A645,'BADI SID DATA'!A:B,2,0)</f>
        <v>66</v>
      </c>
      <c r="C645">
        <v>1629.3000000000002</v>
      </c>
      <c r="D645" s="64">
        <v>5.84</v>
      </c>
      <c r="F645" s="62">
        <v>1</v>
      </c>
      <c r="G645" s="62">
        <v>1</v>
      </c>
      <c r="H645" s="2">
        <f t="shared" si="31"/>
        <v>89116.799999999988</v>
      </c>
      <c r="I645" s="12">
        <f t="shared" si="32"/>
        <v>0.2262916666666667</v>
      </c>
      <c r="J645" s="12">
        <f t="shared" si="33"/>
        <v>0.1875353535353535</v>
      </c>
    </row>
    <row r="646" spans="1:10" ht="15" customHeight="1">
      <c r="A646" s="14">
        <v>45814</v>
      </c>
      <c r="B646" s="10">
        <f>VLOOKUP(A646,'BADI SID DATA'!A:B,2,0)</f>
        <v>67</v>
      </c>
      <c r="C646">
        <v>1665.7</v>
      </c>
      <c r="D646" s="64">
        <v>6.01</v>
      </c>
      <c r="F646" s="62">
        <v>1</v>
      </c>
      <c r="G646" s="62">
        <v>1</v>
      </c>
      <c r="H646" s="2">
        <f t="shared" si="31"/>
        <v>90782.499999999985</v>
      </c>
      <c r="I646" s="12">
        <f t="shared" si="32"/>
        <v>0.23134722222222223</v>
      </c>
      <c r="J646" s="12">
        <f t="shared" si="33"/>
        <v>0.18818926202321723</v>
      </c>
    </row>
    <row r="647" spans="1:10" ht="15" customHeight="1">
      <c r="A647" s="14">
        <v>45815</v>
      </c>
      <c r="B647" s="10">
        <f>VLOOKUP(A647,'BADI SID DATA'!A:B,2,0)</f>
        <v>68</v>
      </c>
      <c r="C647">
        <v>1660</v>
      </c>
      <c r="D647" s="64">
        <v>6.13</v>
      </c>
      <c r="F647" s="62">
        <v>1</v>
      </c>
      <c r="G647" s="62">
        <v>1</v>
      </c>
      <c r="H647" s="2">
        <f t="shared" si="31"/>
        <v>92442.499999999985</v>
      </c>
      <c r="I647" s="12">
        <f t="shared" si="32"/>
        <v>0.23055555555555557</v>
      </c>
      <c r="J647" s="12">
        <f t="shared" si="33"/>
        <v>0.18881229575163397</v>
      </c>
    </row>
    <row r="648" spans="1:10" ht="15" customHeight="1">
      <c r="A648" s="14">
        <v>45816</v>
      </c>
      <c r="B648" s="10">
        <f>VLOOKUP(A648,'BADI SID DATA'!A:B,2,0)</f>
        <v>69</v>
      </c>
      <c r="C648">
        <v>1525.7</v>
      </c>
      <c r="D648" s="64">
        <v>5.6</v>
      </c>
      <c r="F648" s="62">
        <v>1</v>
      </c>
      <c r="G648" s="62">
        <v>1</v>
      </c>
      <c r="H648" s="2">
        <f t="shared" si="31"/>
        <v>93968.199999999983</v>
      </c>
      <c r="I648" s="12">
        <f t="shared" si="32"/>
        <v>0.21190277777777777</v>
      </c>
      <c r="J648" s="12">
        <f t="shared" si="33"/>
        <v>0.18914694041867952</v>
      </c>
    </row>
    <row r="649" spans="1:10" ht="15" customHeight="1">
      <c r="A649" s="14">
        <v>45817</v>
      </c>
      <c r="B649" s="10">
        <f>VLOOKUP(A649,'BADI SID DATA'!A:B,2,0)</f>
        <v>70</v>
      </c>
      <c r="C649">
        <v>1653.8999999999999</v>
      </c>
      <c r="D649" s="64">
        <v>6.07</v>
      </c>
      <c r="F649" s="62">
        <v>1</v>
      </c>
      <c r="G649" s="62">
        <v>1</v>
      </c>
      <c r="H649" s="2">
        <f t="shared" si="31"/>
        <v>95622.099999999977</v>
      </c>
      <c r="I649" s="12">
        <f t="shared" si="32"/>
        <v>0.22970833333333332</v>
      </c>
      <c r="J649" s="12">
        <f t="shared" si="33"/>
        <v>0.18972638888888885</v>
      </c>
    </row>
    <row r="650" spans="1:10" ht="15" customHeight="1">
      <c r="A650" s="14">
        <v>45818</v>
      </c>
      <c r="B650" s="10">
        <f>VLOOKUP(A650,'BADI SID DATA'!A:B,2,0)</f>
        <v>71</v>
      </c>
      <c r="C650">
        <v>1479.4</v>
      </c>
      <c r="D650" s="64">
        <v>5.27</v>
      </c>
      <c r="F650" s="62">
        <v>1</v>
      </c>
      <c r="G650" s="62">
        <v>1</v>
      </c>
      <c r="H650" s="2">
        <f t="shared" si="31"/>
        <v>97101.499999999971</v>
      </c>
      <c r="I650" s="12">
        <f t="shared" si="32"/>
        <v>0.20547222222222222</v>
      </c>
      <c r="J650" s="12">
        <f t="shared" si="33"/>
        <v>0.18994816118935831</v>
      </c>
    </row>
    <row r="651" spans="1:10" ht="15" customHeight="1">
      <c r="A651" s="14">
        <v>45819</v>
      </c>
      <c r="B651" s="10">
        <f>VLOOKUP(A651,'BADI SID DATA'!A:B,2,0)</f>
        <v>72</v>
      </c>
      <c r="C651">
        <v>1391.8</v>
      </c>
      <c r="D651" s="64">
        <v>4.8899999999999997</v>
      </c>
      <c r="F651" s="62">
        <v>1</v>
      </c>
      <c r="G651" s="62">
        <v>1</v>
      </c>
      <c r="H651" s="2">
        <f t="shared" si="31"/>
        <v>98493.299999999974</v>
      </c>
      <c r="I651" s="12">
        <f t="shared" si="32"/>
        <v>0.19330555555555554</v>
      </c>
      <c r="J651" s="12">
        <f t="shared" si="33"/>
        <v>0.18999479166666661</v>
      </c>
    </row>
    <row r="652" spans="1:10" ht="15" customHeight="1">
      <c r="A652" s="14">
        <v>45820</v>
      </c>
      <c r="B652" s="10">
        <f>VLOOKUP(A652,'BADI SID DATA'!A:B,2,0)</f>
        <v>73</v>
      </c>
      <c r="C652">
        <v>837.8</v>
      </c>
      <c r="D652" s="64">
        <v>2.77</v>
      </c>
      <c r="F652" s="62">
        <v>1</v>
      </c>
      <c r="G652" s="62">
        <v>1</v>
      </c>
      <c r="H652" s="2">
        <f t="shared" si="31"/>
        <v>99331.099999999977</v>
      </c>
      <c r="I652" s="12">
        <f t="shared" si="32"/>
        <v>0.11636111111111111</v>
      </c>
      <c r="J652" s="12">
        <f t="shared" si="33"/>
        <v>0.18898611111111108</v>
      </c>
    </row>
    <row r="653" spans="1:10" ht="15" customHeight="1">
      <c r="A653" s="14">
        <v>45821</v>
      </c>
      <c r="B653" s="10">
        <f>VLOOKUP(A653,'BADI SID DATA'!A:B,2,0)</f>
        <v>74</v>
      </c>
      <c r="C653">
        <v>762.7</v>
      </c>
      <c r="D653" s="64">
        <v>2.54</v>
      </c>
      <c r="F653" s="62">
        <v>1</v>
      </c>
      <c r="G653" s="62">
        <v>1</v>
      </c>
      <c r="H653" s="2">
        <f t="shared" si="31"/>
        <v>100093.79999999997</v>
      </c>
      <c r="I653" s="12">
        <f t="shared" si="32"/>
        <v>0.10593055555555556</v>
      </c>
      <c r="J653" s="12">
        <f t="shared" si="33"/>
        <v>0.18786373873873868</v>
      </c>
    </row>
    <row r="654" spans="1:10" ht="15" customHeight="1">
      <c r="A654" s="14">
        <v>45822</v>
      </c>
      <c r="B654" s="10">
        <f>VLOOKUP(A654,'BADI SID DATA'!A:B,2,0)</f>
        <v>75</v>
      </c>
      <c r="C654">
        <v>329.6</v>
      </c>
      <c r="D654" s="64">
        <v>1.1000000000000001</v>
      </c>
      <c r="F654" s="62">
        <v>1</v>
      </c>
      <c r="G654" s="62">
        <v>1</v>
      </c>
      <c r="H654" s="2">
        <f t="shared" si="31"/>
        <v>100423.39999999998</v>
      </c>
      <c r="I654" s="12">
        <f t="shared" si="32"/>
        <v>4.5777777777777778E-2</v>
      </c>
      <c r="J654" s="12">
        <f t="shared" si="33"/>
        <v>0.18596925925925922</v>
      </c>
    </row>
    <row r="655" spans="1:10" ht="15" customHeight="1">
      <c r="A655" s="14">
        <v>45823</v>
      </c>
      <c r="B655" s="10">
        <f>VLOOKUP(A655,'BADI SID DATA'!A:B,2,0)</f>
        <v>76</v>
      </c>
      <c r="C655">
        <v>291.8</v>
      </c>
      <c r="D655" s="64">
        <v>0.96</v>
      </c>
      <c r="F655" s="62">
        <v>1</v>
      </c>
      <c r="G655" s="62">
        <v>1</v>
      </c>
      <c r="H655" s="2">
        <f t="shared" si="31"/>
        <v>100715.19999999998</v>
      </c>
      <c r="I655" s="12">
        <f t="shared" si="32"/>
        <v>4.0527777777777781E-2</v>
      </c>
      <c r="J655" s="12">
        <f t="shared" si="33"/>
        <v>0.18405555555555553</v>
      </c>
    </row>
    <row r="656" spans="1:10" ht="15" customHeight="1">
      <c r="A656" s="14">
        <v>45824</v>
      </c>
      <c r="B656" s="10">
        <f>VLOOKUP(A656,'BADI SID DATA'!A:B,2,0)</f>
        <v>77</v>
      </c>
      <c r="C656">
        <v>646.5</v>
      </c>
      <c r="D656" s="64">
        <v>2.35</v>
      </c>
      <c r="F656" s="62">
        <v>1</v>
      </c>
      <c r="G656" s="62">
        <v>1</v>
      </c>
      <c r="H656" s="2">
        <f t="shared" si="31"/>
        <v>101361.69999999998</v>
      </c>
      <c r="I656" s="12">
        <f t="shared" si="32"/>
        <v>8.9791666666666672E-2</v>
      </c>
      <c r="J656" s="12">
        <f t="shared" si="33"/>
        <v>0.18283134920634916</v>
      </c>
    </row>
    <row r="657" spans="1:10" ht="15" customHeight="1">
      <c r="A657" s="14">
        <v>45825</v>
      </c>
      <c r="B657" s="10">
        <f>VLOOKUP(A657,'BADI SID DATA'!A:B,2,0)</f>
        <v>78</v>
      </c>
      <c r="C657">
        <v>1124.5999999999999</v>
      </c>
      <c r="D657" s="64">
        <v>4.03</v>
      </c>
      <c r="F657" s="62">
        <v>1</v>
      </c>
      <c r="G657" s="62">
        <v>1</v>
      </c>
      <c r="H657" s="2">
        <f t="shared" si="31"/>
        <v>102486.29999999999</v>
      </c>
      <c r="I657" s="12">
        <f t="shared" si="32"/>
        <v>0.15619444444444444</v>
      </c>
      <c r="J657" s="12">
        <f t="shared" si="33"/>
        <v>0.18248985042735041</v>
      </c>
    </row>
    <row r="658" spans="1:10" ht="15" customHeight="1">
      <c r="A658" s="14">
        <v>45826</v>
      </c>
      <c r="B658" s="10">
        <f>VLOOKUP(A658,'BADI SID DATA'!A:B,2,0)</f>
        <v>79</v>
      </c>
      <c r="C658">
        <v>1505.8000000000002</v>
      </c>
      <c r="D658" s="64">
        <v>5.44</v>
      </c>
      <c r="F658" s="62">
        <v>1</v>
      </c>
      <c r="G658" s="62">
        <v>1</v>
      </c>
      <c r="H658" s="2">
        <f t="shared" si="31"/>
        <v>103992.09999999999</v>
      </c>
      <c r="I658" s="12">
        <f t="shared" si="32"/>
        <v>0.2091388888888889</v>
      </c>
      <c r="J658" s="12">
        <f t="shared" si="33"/>
        <v>0.18282718002812939</v>
      </c>
    </row>
    <row r="659" spans="1:10" ht="15" customHeight="1">
      <c r="A659" s="14">
        <v>45827</v>
      </c>
      <c r="B659" s="10">
        <f>VLOOKUP(A659,'BADI SID DATA'!A:B,2,0)</f>
        <v>80</v>
      </c>
      <c r="C659">
        <v>1324.4</v>
      </c>
      <c r="D659" s="64">
        <v>4.66</v>
      </c>
      <c r="F659" s="62">
        <v>1</v>
      </c>
      <c r="G659" s="62">
        <v>1</v>
      </c>
      <c r="H659" s="2">
        <f t="shared" si="31"/>
        <v>105316.49999999999</v>
      </c>
      <c r="I659" s="12">
        <f t="shared" si="32"/>
        <v>0.18394444444444447</v>
      </c>
      <c r="J659" s="12">
        <f t="shared" si="33"/>
        <v>0.1828411458333333</v>
      </c>
    </row>
    <row r="660" spans="1:10" ht="15" customHeight="1">
      <c r="A660" s="14">
        <v>45828</v>
      </c>
      <c r="B660" s="10">
        <f>VLOOKUP(A660,'BADI SID DATA'!A:B,2,0)</f>
        <v>81</v>
      </c>
      <c r="C660">
        <v>1648.1999999999998</v>
      </c>
      <c r="D660" s="64">
        <v>6.04</v>
      </c>
      <c r="F660" s="62">
        <v>1</v>
      </c>
      <c r="G660" s="62">
        <v>0.99305555555555558</v>
      </c>
      <c r="H660" s="2">
        <f t="shared" si="31"/>
        <v>106964.69999999998</v>
      </c>
      <c r="I660" s="12">
        <f t="shared" si="32"/>
        <v>0.22891666666666663</v>
      </c>
      <c r="J660" s="12">
        <f t="shared" si="33"/>
        <v>0.18340997942386827</v>
      </c>
    </row>
    <row r="661" spans="1:10" ht="15" customHeight="1">
      <c r="A661" s="14">
        <v>45829</v>
      </c>
      <c r="B661" s="10">
        <f>VLOOKUP(A661,'BADI SID DATA'!A:B,2,0)</f>
        <v>82</v>
      </c>
      <c r="C661">
        <v>1609.2</v>
      </c>
      <c r="D661" s="64">
        <v>5.75</v>
      </c>
      <c r="F661" s="62">
        <v>1</v>
      </c>
      <c r="G661" s="62">
        <v>1</v>
      </c>
      <c r="H661" s="2">
        <f t="shared" si="31"/>
        <v>108573.89999999998</v>
      </c>
      <c r="I661" s="12">
        <f t="shared" si="32"/>
        <v>0.2235</v>
      </c>
      <c r="J661" s="12">
        <f t="shared" si="33"/>
        <v>0.1838988821138211</v>
      </c>
    </row>
    <row r="662" spans="1:10" ht="15" customHeight="1">
      <c r="A662" s="14">
        <v>45830</v>
      </c>
      <c r="B662" s="10">
        <f>VLOOKUP(A662,'BADI SID DATA'!A:B,2,0)</f>
        <v>83</v>
      </c>
      <c r="C662">
        <v>1545.7</v>
      </c>
      <c r="D662" s="64">
        <v>5.59</v>
      </c>
      <c r="F662" s="62">
        <v>1</v>
      </c>
      <c r="G662" s="62">
        <v>1</v>
      </c>
      <c r="H662" s="2">
        <f t="shared" si="31"/>
        <v>110119.59999999998</v>
      </c>
      <c r="I662" s="12">
        <f t="shared" si="32"/>
        <v>0.21468055555555557</v>
      </c>
      <c r="J662" s="12">
        <f t="shared" si="33"/>
        <v>0.18426974564926368</v>
      </c>
    </row>
    <row r="663" spans="1:10" ht="15" customHeight="1">
      <c r="A663" s="14">
        <v>45831</v>
      </c>
      <c r="B663" s="10">
        <f>VLOOKUP(A663,'BADI SID DATA'!A:B,2,0)</f>
        <v>84</v>
      </c>
      <c r="C663">
        <v>1482.3</v>
      </c>
      <c r="D663" s="64">
        <v>5.21</v>
      </c>
      <c r="F663" s="62">
        <v>1</v>
      </c>
      <c r="G663" s="62">
        <v>1</v>
      </c>
      <c r="H663" s="2">
        <f t="shared" si="31"/>
        <v>111601.89999999998</v>
      </c>
      <c r="I663" s="12">
        <f t="shared" si="32"/>
        <v>0.205875</v>
      </c>
      <c r="J663" s="12">
        <f t="shared" si="33"/>
        <v>0.18452695105820102</v>
      </c>
    </row>
    <row r="664" spans="1:10" ht="15" customHeight="1">
      <c r="A664" s="14">
        <v>45832</v>
      </c>
      <c r="B664" s="10">
        <f>VLOOKUP(A664,'BADI SID DATA'!A:B,2,0)</f>
        <v>85</v>
      </c>
      <c r="C664">
        <v>1383.1</v>
      </c>
      <c r="D664" s="64">
        <v>4.96</v>
      </c>
      <c r="F664" s="62">
        <v>1</v>
      </c>
      <c r="G664" s="62">
        <v>1</v>
      </c>
      <c r="H664" s="2">
        <f t="shared" si="31"/>
        <v>112984.99999999999</v>
      </c>
      <c r="I664" s="12">
        <f t="shared" si="32"/>
        <v>0.1920972222222222</v>
      </c>
      <c r="J664" s="12">
        <f t="shared" si="33"/>
        <v>0.1846160130718954</v>
      </c>
    </row>
    <row r="665" spans="1:10" ht="15" customHeight="1">
      <c r="A665" s="14">
        <v>45833</v>
      </c>
      <c r="B665" s="10">
        <f>VLOOKUP(A665,'BADI SID DATA'!A:B,2,0)</f>
        <v>86</v>
      </c>
      <c r="C665">
        <v>1437.3</v>
      </c>
      <c r="D665" s="64">
        <v>5.16</v>
      </c>
      <c r="F665" s="62">
        <v>1</v>
      </c>
      <c r="G665" s="62">
        <v>1</v>
      </c>
      <c r="H665" s="2">
        <f t="shared" si="31"/>
        <v>114422.29999999999</v>
      </c>
      <c r="I665" s="12">
        <f t="shared" si="32"/>
        <v>0.199625</v>
      </c>
      <c r="J665" s="12">
        <f t="shared" si="33"/>
        <v>0.18479053617571056</v>
      </c>
    </row>
    <row r="666" spans="1:10" ht="15" customHeight="1">
      <c r="A666" s="14">
        <v>45834</v>
      </c>
      <c r="B666" s="10">
        <f>VLOOKUP(A666,'BADI SID DATA'!A:B,2,0)</f>
        <v>87</v>
      </c>
      <c r="C666">
        <v>1225.5</v>
      </c>
      <c r="D666" s="64">
        <v>4.18</v>
      </c>
      <c r="F666" s="62">
        <v>1</v>
      </c>
      <c r="G666" s="62">
        <v>1</v>
      </c>
      <c r="H666" s="2">
        <f t="shared" si="31"/>
        <v>115647.79999999999</v>
      </c>
      <c r="I666" s="12">
        <f t="shared" si="32"/>
        <v>0.17020833333333332</v>
      </c>
      <c r="J666" s="12">
        <f t="shared" si="33"/>
        <v>0.18462292464878671</v>
      </c>
    </row>
    <row r="667" spans="1:10" ht="15" customHeight="1">
      <c r="A667" s="14">
        <v>45835</v>
      </c>
      <c r="B667" s="10">
        <f>VLOOKUP(A667,'BADI SID DATA'!A:B,2,0)</f>
        <v>88</v>
      </c>
      <c r="C667">
        <v>1072.7</v>
      </c>
      <c r="D667" s="64">
        <v>3.83</v>
      </c>
      <c r="F667" s="62">
        <v>1</v>
      </c>
      <c r="G667" s="62">
        <v>1</v>
      </c>
      <c r="H667" s="2">
        <f t="shared" si="31"/>
        <v>116720.49999999999</v>
      </c>
      <c r="I667" s="12">
        <f t="shared" si="32"/>
        <v>0.14898611111111112</v>
      </c>
      <c r="J667" s="12">
        <f t="shared" si="33"/>
        <v>0.18421796085858583</v>
      </c>
    </row>
    <row r="668" spans="1:10" ht="15" customHeight="1">
      <c r="A668" s="14">
        <v>45836</v>
      </c>
      <c r="B668" s="10">
        <f>VLOOKUP(A668,'BADI SID DATA'!A:B,2,0)</f>
        <v>89</v>
      </c>
      <c r="C668">
        <v>1589.4</v>
      </c>
      <c r="D668" s="64">
        <v>5.76</v>
      </c>
      <c r="F668" s="62">
        <v>1</v>
      </c>
      <c r="G668" s="62">
        <v>1</v>
      </c>
      <c r="H668" s="2">
        <f t="shared" si="31"/>
        <v>118309.89999999998</v>
      </c>
      <c r="I668" s="12">
        <f t="shared" si="32"/>
        <v>0.22075</v>
      </c>
      <c r="J668" s="12">
        <f t="shared" si="33"/>
        <v>0.18462843320848935</v>
      </c>
    </row>
    <row r="669" spans="1:10" ht="15" customHeight="1">
      <c r="A669" s="14">
        <v>45837</v>
      </c>
      <c r="B669" s="10">
        <f>VLOOKUP(A669,'BADI SID DATA'!A:B,2,0)</f>
        <v>90</v>
      </c>
      <c r="C669">
        <v>1571.5</v>
      </c>
      <c r="D669" s="64">
        <v>5.84</v>
      </c>
      <c r="F669" s="62">
        <v>1</v>
      </c>
      <c r="G669" s="62">
        <v>1</v>
      </c>
      <c r="H669" s="2">
        <f t="shared" si="31"/>
        <v>119881.39999999998</v>
      </c>
      <c r="I669" s="12">
        <f t="shared" si="32"/>
        <v>0.2182638888888889</v>
      </c>
      <c r="J669" s="12">
        <f t="shared" si="33"/>
        <v>0.18500216049382712</v>
      </c>
    </row>
    <row r="670" spans="1:10" ht="15" customHeight="1">
      <c r="A670" s="14">
        <v>45838</v>
      </c>
      <c r="B670" s="10">
        <f>VLOOKUP(A670,'BADI SID DATA'!A:B,2,0)</f>
        <v>91</v>
      </c>
      <c r="C670">
        <v>1311.7</v>
      </c>
      <c r="D670" s="64">
        <v>4.54</v>
      </c>
      <c r="F670" s="62">
        <v>1</v>
      </c>
      <c r="G670" s="62">
        <v>1</v>
      </c>
      <c r="H670" s="2">
        <f t="shared" si="31"/>
        <v>121193.09999999998</v>
      </c>
      <c r="I670" s="12">
        <f t="shared" si="32"/>
        <v>0.18218055555555557</v>
      </c>
      <c r="J670" s="12">
        <f t="shared" si="33"/>
        <v>0.18497115384615381</v>
      </c>
    </row>
    <row r="671" spans="1:10" ht="15" customHeight="1">
      <c r="A671" s="14">
        <v>45839</v>
      </c>
      <c r="B671" s="10">
        <f>VLOOKUP(A671,'BADI SID DATA'!A:B,2,0)</f>
        <v>92</v>
      </c>
      <c r="C671">
        <v>1398</v>
      </c>
      <c r="D671" s="64">
        <v>4.8099999999999996</v>
      </c>
      <c r="F671" s="62">
        <v>1</v>
      </c>
      <c r="G671" s="62">
        <v>1</v>
      </c>
      <c r="H671" s="2">
        <f t="shared" si="31"/>
        <v>122591.09999999998</v>
      </c>
      <c r="I671" s="12">
        <f t="shared" si="32"/>
        <v>0.19416666666666665</v>
      </c>
      <c r="J671" s="12">
        <f t="shared" si="33"/>
        <v>0.18507110507246374</v>
      </c>
    </row>
    <row r="672" spans="1:10" ht="15" customHeight="1">
      <c r="A672" s="14">
        <v>45840</v>
      </c>
      <c r="B672" s="10">
        <f>VLOOKUP(A672,'BADI SID DATA'!A:B,2,0)</f>
        <v>93</v>
      </c>
      <c r="C672">
        <v>753.19999999999993</v>
      </c>
      <c r="D672" s="64">
        <v>2.4700000000000002</v>
      </c>
      <c r="F672" s="62">
        <v>1</v>
      </c>
      <c r="G672" s="62">
        <v>1</v>
      </c>
      <c r="H672" s="2">
        <f t="shared" si="31"/>
        <v>123344.29999999997</v>
      </c>
      <c r="I672" s="12">
        <f t="shared" si="32"/>
        <v>0.1046111111111111</v>
      </c>
      <c r="J672" s="12">
        <f t="shared" si="33"/>
        <v>0.18420594384707284</v>
      </c>
    </row>
    <row r="673" spans="1:10" ht="15" customHeight="1">
      <c r="A673" s="14">
        <v>45841</v>
      </c>
      <c r="B673" s="10">
        <f>VLOOKUP(A673,'BADI SID DATA'!A:B,2,0)</f>
        <v>94</v>
      </c>
      <c r="C673">
        <v>1516.1</v>
      </c>
      <c r="D673" s="64">
        <v>5.28</v>
      </c>
      <c r="F673" s="62">
        <v>1</v>
      </c>
      <c r="G673" s="62">
        <v>1</v>
      </c>
      <c r="H673" s="2">
        <f t="shared" si="31"/>
        <v>124860.39999999998</v>
      </c>
      <c r="I673" s="12">
        <f t="shared" si="32"/>
        <v>0.21056944444444442</v>
      </c>
      <c r="J673" s="12">
        <f t="shared" si="33"/>
        <v>0.18448640661938531</v>
      </c>
    </row>
    <row r="674" spans="1:10" ht="15" customHeight="1">
      <c r="A674" s="14">
        <v>45842</v>
      </c>
      <c r="B674" s="10">
        <f>VLOOKUP(A674,'BADI SID DATA'!A:B,2,0)</f>
        <v>95</v>
      </c>
      <c r="C674">
        <v>898.89999999999986</v>
      </c>
      <c r="D674" s="64">
        <v>2.96</v>
      </c>
      <c r="F674" s="62">
        <v>1</v>
      </c>
      <c r="G674" s="62">
        <v>1</v>
      </c>
      <c r="H674" s="2">
        <f t="shared" si="31"/>
        <v>125759.29999999997</v>
      </c>
      <c r="I674" s="12">
        <f t="shared" si="32"/>
        <v>0.12484722222222221</v>
      </c>
      <c r="J674" s="12">
        <f t="shared" si="33"/>
        <v>0.18385862573099412</v>
      </c>
    </row>
    <row r="675" spans="1:10" ht="15" customHeight="1">
      <c r="A675" s="14">
        <v>45843</v>
      </c>
      <c r="B675" s="10">
        <f>VLOOKUP(A675,'BADI SID DATA'!A:B,2,0)</f>
        <v>96</v>
      </c>
      <c r="C675">
        <v>945.6</v>
      </c>
      <c r="D675" s="64">
        <v>3.15</v>
      </c>
      <c r="F675" s="62">
        <v>1</v>
      </c>
      <c r="G675" s="62">
        <v>1</v>
      </c>
      <c r="H675" s="2">
        <f t="shared" si="31"/>
        <v>126704.89999999998</v>
      </c>
      <c r="I675" s="12">
        <f t="shared" si="32"/>
        <v>0.13133333333333333</v>
      </c>
      <c r="J675" s="12">
        <f t="shared" si="33"/>
        <v>0.18331148726851848</v>
      </c>
    </row>
    <row r="676" spans="1:10" ht="15" customHeight="1">
      <c r="A676" s="14">
        <v>45844</v>
      </c>
      <c r="B676" s="10">
        <f>VLOOKUP(A676,'BADI SID DATA'!A:B,2,0)</f>
        <v>97</v>
      </c>
      <c r="C676">
        <v>1069.4000000000001</v>
      </c>
      <c r="D676" s="64">
        <v>3.06</v>
      </c>
      <c r="F676" s="62">
        <v>1</v>
      </c>
      <c r="G676" s="62">
        <v>1</v>
      </c>
      <c r="H676" s="2">
        <f t="shared" si="31"/>
        <v>127774.29999999997</v>
      </c>
      <c r="I676" s="12">
        <f t="shared" si="32"/>
        <v>0.14852777777777779</v>
      </c>
      <c r="J676" s="12">
        <f t="shared" si="33"/>
        <v>0.18295289232531498</v>
      </c>
    </row>
    <row r="677" spans="1:10" ht="15" customHeight="1">
      <c r="A677" s="14">
        <v>45845</v>
      </c>
      <c r="B677" s="10">
        <f>VLOOKUP(A677,'BADI SID DATA'!A:B,2,0)</f>
        <v>98</v>
      </c>
      <c r="C677">
        <v>1467</v>
      </c>
      <c r="D677" s="64">
        <v>5.13</v>
      </c>
      <c r="F677" s="62">
        <v>1</v>
      </c>
      <c r="G677" s="62">
        <v>1</v>
      </c>
      <c r="H677" s="2">
        <f t="shared" si="31"/>
        <v>129241.29999999997</v>
      </c>
      <c r="I677" s="12">
        <f t="shared" si="32"/>
        <v>0.20374999999999999</v>
      </c>
      <c r="J677" s="12">
        <f t="shared" si="33"/>
        <v>0.18316510770975053</v>
      </c>
    </row>
    <row r="678" spans="1:10" ht="15" customHeight="1">
      <c r="A678" s="14">
        <v>45846</v>
      </c>
      <c r="B678" s="10">
        <f>VLOOKUP(A678,'BADI SID DATA'!A:B,2,0)</f>
        <v>99</v>
      </c>
      <c r="C678">
        <v>1205.5999999999999</v>
      </c>
      <c r="D678" s="64">
        <v>4.17</v>
      </c>
      <c r="F678" s="62">
        <v>1</v>
      </c>
      <c r="G678" s="62">
        <v>1</v>
      </c>
      <c r="H678" s="2">
        <f t="shared" si="31"/>
        <v>130446.89999999998</v>
      </c>
      <c r="I678" s="12">
        <f t="shared" si="32"/>
        <v>0.16744444444444442</v>
      </c>
      <c r="J678" s="12">
        <f t="shared" si="33"/>
        <v>0.1830063131313131</v>
      </c>
    </row>
    <row r="679" spans="1:10" ht="15" customHeight="1">
      <c r="A679" s="14">
        <v>45847</v>
      </c>
      <c r="B679" s="10">
        <f>VLOOKUP(A679,'BADI SID DATA'!A:B,2,0)</f>
        <v>100</v>
      </c>
      <c r="C679">
        <v>1666.9</v>
      </c>
      <c r="D679" s="64">
        <v>5.94</v>
      </c>
      <c r="F679" s="62">
        <v>1</v>
      </c>
      <c r="G679" s="62">
        <v>1</v>
      </c>
      <c r="H679" s="2">
        <f t="shared" si="31"/>
        <v>132113.79999999999</v>
      </c>
      <c r="I679" s="12">
        <f t="shared" si="32"/>
        <v>0.23151388888888891</v>
      </c>
      <c r="J679" s="12">
        <f t="shared" si="33"/>
        <v>0.18349138888888888</v>
      </c>
    </row>
    <row r="680" spans="1:10" ht="15" customHeight="1">
      <c r="A680" s="14">
        <v>45848</v>
      </c>
      <c r="B680" s="10">
        <f>VLOOKUP(A680,'BADI SID DATA'!A:B,2,0)</f>
        <v>101</v>
      </c>
      <c r="C680">
        <v>1440.5</v>
      </c>
      <c r="D680" s="64">
        <v>5.2</v>
      </c>
      <c r="F680" s="62">
        <v>1</v>
      </c>
      <c r="G680" s="62">
        <v>1</v>
      </c>
      <c r="H680" s="2">
        <f t="shared" si="31"/>
        <v>133554.29999999999</v>
      </c>
      <c r="I680" s="12">
        <f t="shared" si="32"/>
        <v>0.20006944444444444</v>
      </c>
      <c r="J680" s="12">
        <f t="shared" si="33"/>
        <v>0.18365552805280527</v>
      </c>
    </row>
    <row r="681" spans="1:10" ht="15" customHeight="1">
      <c r="A681" s="14">
        <v>45849</v>
      </c>
      <c r="B681" s="10">
        <f>VLOOKUP(A681,'BADI SID DATA'!A:B,2,0)</f>
        <v>102</v>
      </c>
      <c r="C681">
        <v>1458.5</v>
      </c>
      <c r="D681" s="64">
        <v>5.17</v>
      </c>
      <c r="F681" s="62">
        <v>1</v>
      </c>
      <c r="G681" s="62">
        <v>1</v>
      </c>
      <c r="H681" s="2">
        <f t="shared" si="31"/>
        <v>135012.79999999999</v>
      </c>
      <c r="I681" s="12">
        <f t="shared" si="32"/>
        <v>0.20256944444444444</v>
      </c>
      <c r="J681" s="12">
        <f t="shared" si="33"/>
        <v>0.18384095860566446</v>
      </c>
    </row>
    <row r="682" spans="1:10" ht="15" customHeight="1">
      <c r="A682" s="14">
        <v>45850</v>
      </c>
      <c r="B682" s="10">
        <f>VLOOKUP(A682,'BADI SID DATA'!A:B,2,0)</f>
        <v>103</v>
      </c>
      <c r="C682">
        <v>1158.0999999999999</v>
      </c>
      <c r="D682" s="64">
        <v>3.98</v>
      </c>
      <c r="F682" s="62">
        <v>1</v>
      </c>
      <c r="G682" s="62">
        <v>1</v>
      </c>
      <c r="H682" s="2">
        <f t="shared" si="31"/>
        <v>136170.9</v>
      </c>
      <c r="I682" s="12">
        <f t="shared" si="32"/>
        <v>0.1608472222222222</v>
      </c>
      <c r="J682" s="12">
        <f t="shared" si="33"/>
        <v>0.18361771844660194</v>
      </c>
    </row>
    <row r="683" spans="1:10" ht="15" customHeight="1">
      <c r="A683" s="14">
        <v>45851</v>
      </c>
      <c r="B683" s="10">
        <f>VLOOKUP(A683,'BADI SID DATA'!A:B,2,0)</f>
        <v>104</v>
      </c>
      <c r="C683">
        <v>1008.0999999999999</v>
      </c>
      <c r="D683" s="64">
        <v>3.42</v>
      </c>
      <c r="F683" s="62">
        <v>1</v>
      </c>
      <c r="G683" s="62">
        <v>1</v>
      </c>
      <c r="H683" s="2">
        <f t="shared" si="31"/>
        <v>137179</v>
      </c>
      <c r="I683" s="12">
        <f t="shared" si="32"/>
        <v>0.14001388888888888</v>
      </c>
      <c r="J683" s="12">
        <f t="shared" si="33"/>
        <v>0.18319845085470085</v>
      </c>
    </row>
    <row r="684" spans="1:10" ht="15" customHeight="1">
      <c r="A684" s="14">
        <v>45852</v>
      </c>
      <c r="B684" s="10">
        <f>VLOOKUP(A684,'BADI SID DATA'!A:B,2,0)</f>
        <v>105</v>
      </c>
      <c r="C684">
        <v>1081</v>
      </c>
      <c r="D684" s="64">
        <v>3.74</v>
      </c>
      <c r="F684" s="62">
        <v>1</v>
      </c>
      <c r="G684" s="62">
        <v>1</v>
      </c>
      <c r="H684" s="2">
        <f t="shared" si="31"/>
        <v>138260</v>
      </c>
      <c r="I684" s="12">
        <f t="shared" si="32"/>
        <v>0.15013888888888888</v>
      </c>
      <c r="J684" s="12">
        <f t="shared" si="33"/>
        <v>0.18288359788359787</v>
      </c>
    </row>
    <row r="685" spans="1:10" ht="15" customHeight="1">
      <c r="A685" s="14">
        <v>45853</v>
      </c>
      <c r="B685" s="10">
        <f>VLOOKUP(A685,'BADI SID DATA'!A:B,2,0)</f>
        <v>106</v>
      </c>
      <c r="C685">
        <v>802.10000000000014</v>
      </c>
      <c r="D685" s="64">
        <v>2.66</v>
      </c>
      <c r="F685" s="62">
        <v>1</v>
      </c>
      <c r="G685" s="62">
        <v>0.97916666666666674</v>
      </c>
      <c r="H685" s="2">
        <f t="shared" si="31"/>
        <v>139062.1</v>
      </c>
      <c r="I685" s="12">
        <f t="shared" si="32"/>
        <v>0.11140277777777779</v>
      </c>
      <c r="J685" s="12">
        <f t="shared" si="33"/>
        <v>0.18220925052410902</v>
      </c>
    </row>
    <row r="686" spans="1:10" ht="15" customHeight="1">
      <c r="A686" s="14">
        <v>45854</v>
      </c>
      <c r="B686" s="10">
        <f>VLOOKUP(A686,'BADI SID DATA'!A:B,2,0)</f>
        <v>107</v>
      </c>
      <c r="C686">
        <v>645</v>
      </c>
      <c r="D686" s="64">
        <v>2.12</v>
      </c>
      <c r="F686" s="62">
        <v>1</v>
      </c>
      <c r="G686" s="62">
        <v>1</v>
      </c>
      <c r="H686" s="2">
        <f t="shared" si="31"/>
        <v>139707.1</v>
      </c>
      <c r="I686" s="12">
        <f t="shared" si="32"/>
        <v>8.9583333333333334E-2</v>
      </c>
      <c r="J686" s="12">
        <f t="shared" si="33"/>
        <v>0.18134358774662515</v>
      </c>
    </row>
    <row r="687" spans="1:10" ht="15" customHeight="1">
      <c r="A687" s="14">
        <v>45855</v>
      </c>
      <c r="B687" s="10">
        <f>VLOOKUP(A687,'BADI SID DATA'!A:B,2,0)</f>
        <v>108</v>
      </c>
      <c r="C687">
        <v>449.9</v>
      </c>
      <c r="D687" s="64">
        <v>1.45</v>
      </c>
      <c r="F687" s="62">
        <v>1</v>
      </c>
      <c r="G687" s="62">
        <v>1</v>
      </c>
      <c r="H687" s="2">
        <f t="shared" si="31"/>
        <v>140157</v>
      </c>
      <c r="I687" s="12">
        <f t="shared" si="32"/>
        <v>6.248611111111111E-2</v>
      </c>
      <c r="J687" s="12">
        <f t="shared" si="33"/>
        <v>0.18024305555555556</v>
      </c>
    </row>
    <row r="688" spans="1:10" ht="15" customHeight="1">
      <c r="A688" s="14">
        <v>45856</v>
      </c>
      <c r="B688" s="10">
        <f>VLOOKUP(A688,'BADI SID DATA'!A:B,2,0)</f>
        <v>109</v>
      </c>
      <c r="C688">
        <v>593.9</v>
      </c>
      <c r="D688" s="64">
        <v>1.97</v>
      </c>
      <c r="F688" s="62">
        <v>1</v>
      </c>
      <c r="G688" s="62">
        <v>1</v>
      </c>
      <c r="H688" s="2">
        <f t="shared" si="31"/>
        <v>140750.9</v>
      </c>
      <c r="I688" s="12">
        <f t="shared" si="32"/>
        <v>8.2486111111111107E-2</v>
      </c>
      <c r="J688" s="12">
        <f t="shared" si="33"/>
        <v>0.17934620285423036</v>
      </c>
    </row>
    <row r="689" spans="1:10" ht="15" customHeight="1">
      <c r="A689" s="14">
        <v>45857</v>
      </c>
      <c r="B689" s="10">
        <f>VLOOKUP(A689,'BADI SID DATA'!A:B,2,0)</f>
        <v>110</v>
      </c>
      <c r="C689">
        <v>614.20000000000005</v>
      </c>
      <c r="D689" s="64">
        <v>2.0099999999999998</v>
      </c>
      <c r="F689" s="62">
        <v>1</v>
      </c>
      <c r="G689" s="62">
        <v>1</v>
      </c>
      <c r="H689" s="2">
        <f t="shared" si="31"/>
        <v>141365.1</v>
      </c>
      <c r="I689" s="12">
        <f t="shared" si="32"/>
        <v>8.5305555555555565E-2</v>
      </c>
      <c r="J689" s="12">
        <f t="shared" si="33"/>
        <v>0.17849128787878787</v>
      </c>
    </row>
    <row r="690" spans="1:10" ht="15" customHeight="1">
      <c r="A690" s="14">
        <v>45858</v>
      </c>
      <c r="B690" s="10">
        <f>VLOOKUP(A690,'BADI SID DATA'!A:B,2,0)</f>
        <v>111</v>
      </c>
      <c r="C690">
        <v>472.3</v>
      </c>
      <c r="D690" s="64">
        <v>1.56</v>
      </c>
      <c r="F690" s="62">
        <v>1</v>
      </c>
      <c r="G690" s="62">
        <v>1</v>
      </c>
      <c r="H690" s="2">
        <f t="shared" si="31"/>
        <v>141837.4</v>
      </c>
      <c r="I690" s="12">
        <f t="shared" si="32"/>
        <v>6.5597222222222223E-2</v>
      </c>
      <c r="J690" s="12">
        <f t="shared" si="33"/>
        <v>0.17747422422422421</v>
      </c>
    </row>
    <row r="691" spans="1:10" ht="15" customHeight="1">
      <c r="A691" s="14">
        <v>45859</v>
      </c>
      <c r="B691" s="10">
        <f>VLOOKUP(A691,'BADI SID DATA'!A:B,2,0)</f>
        <v>112</v>
      </c>
      <c r="C691">
        <v>580.29999999999995</v>
      </c>
      <c r="D691" s="64">
        <v>1.86</v>
      </c>
      <c r="F691" s="62">
        <v>1</v>
      </c>
      <c r="G691" s="62">
        <v>1</v>
      </c>
      <c r="H691" s="2">
        <f t="shared" si="31"/>
        <v>142417.69999999998</v>
      </c>
      <c r="I691" s="12">
        <f t="shared" si="32"/>
        <v>8.0597222222222209E-2</v>
      </c>
      <c r="J691" s="12">
        <f t="shared" si="33"/>
        <v>0.17660925099206348</v>
      </c>
    </row>
    <row r="692" spans="1:10" ht="15" customHeight="1">
      <c r="A692" s="14">
        <v>45860</v>
      </c>
      <c r="B692" s="10">
        <f>VLOOKUP(A692,'BADI SID DATA'!A:B,2,0)</f>
        <v>113</v>
      </c>
      <c r="C692">
        <v>1187.0999999999999</v>
      </c>
      <c r="D692" s="64">
        <v>4.07</v>
      </c>
      <c r="F692" s="62">
        <v>1</v>
      </c>
      <c r="G692" s="62">
        <v>1</v>
      </c>
      <c r="H692" s="2">
        <f t="shared" si="31"/>
        <v>143604.79999999999</v>
      </c>
      <c r="I692" s="12">
        <f t="shared" si="32"/>
        <v>0.16487499999999999</v>
      </c>
      <c r="J692" s="12">
        <f t="shared" si="33"/>
        <v>0.17650540806293016</v>
      </c>
    </row>
    <row r="693" spans="1:10" ht="15" customHeight="1">
      <c r="A693" s="14">
        <v>45861</v>
      </c>
      <c r="B693" s="10">
        <f>VLOOKUP(A693,'BADI SID DATA'!A:B,2,0)</f>
        <v>114</v>
      </c>
      <c r="C693">
        <v>560.9</v>
      </c>
      <c r="D693" s="64">
        <v>1.83</v>
      </c>
      <c r="F693" s="62">
        <v>1</v>
      </c>
      <c r="G693" s="62">
        <v>1</v>
      </c>
      <c r="H693" s="2">
        <f t="shared" si="31"/>
        <v>144165.69999999998</v>
      </c>
      <c r="I693" s="12">
        <f t="shared" si="32"/>
        <v>7.7902777777777779E-2</v>
      </c>
      <c r="J693" s="12">
        <f t="shared" si="33"/>
        <v>0.17564047270955163</v>
      </c>
    </row>
    <row r="694" spans="1:10" ht="15" customHeight="1">
      <c r="A694" s="14">
        <v>45862</v>
      </c>
      <c r="B694" s="10">
        <f>VLOOKUP(A694,'BADI SID DATA'!A:B,2,0)</f>
        <v>115</v>
      </c>
      <c r="C694">
        <v>1008.8</v>
      </c>
      <c r="D694" s="64">
        <v>3.41</v>
      </c>
      <c r="F694" s="62">
        <v>1</v>
      </c>
      <c r="G694" s="62">
        <v>1</v>
      </c>
      <c r="H694" s="2">
        <f t="shared" si="31"/>
        <v>145174.49999999997</v>
      </c>
      <c r="I694" s="12">
        <f t="shared" si="32"/>
        <v>0.1401111111111111</v>
      </c>
      <c r="J694" s="12">
        <f t="shared" si="33"/>
        <v>0.17533152173913039</v>
      </c>
    </row>
    <row r="695" spans="1:10" ht="15" customHeight="1">
      <c r="A695" s="14">
        <v>45863</v>
      </c>
      <c r="B695" s="10">
        <f>VLOOKUP(A695,'BADI SID DATA'!A:B,2,0)</f>
        <v>116</v>
      </c>
      <c r="C695">
        <v>1523</v>
      </c>
      <c r="D695" s="64">
        <v>5.44</v>
      </c>
      <c r="F695" s="62">
        <v>1</v>
      </c>
      <c r="G695" s="62">
        <v>1</v>
      </c>
      <c r="H695" s="2">
        <f t="shared" si="31"/>
        <v>146697.49999999997</v>
      </c>
      <c r="I695" s="12">
        <f t="shared" si="32"/>
        <v>0.21152777777777779</v>
      </c>
      <c r="J695" s="12">
        <f t="shared" si="33"/>
        <v>0.17564355842911875</v>
      </c>
    </row>
    <row r="696" spans="1:10" ht="15" customHeight="1">
      <c r="A696" s="14">
        <v>45864</v>
      </c>
      <c r="B696" s="10">
        <f>VLOOKUP(A696,'BADI SID DATA'!A:B,2,0)</f>
        <v>117</v>
      </c>
      <c r="C696">
        <v>484.59999999999997</v>
      </c>
      <c r="D696" s="64">
        <v>1.61</v>
      </c>
      <c r="F696" s="62">
        <v>1</v>
      </c>
      <c r="G696" s="62">
        <v>1</v>
      </c>
      <c r="H696" s="2">
        <f t="shared" si="31"/>
        <v>147182.09999999998</v>
      </c>
      <c r="I696" s="12">
        <f t="shared" si="32"/>
        <v>6.7305555555555549E-2</v>
      </c>
      <c r="J696" s="12">
        <f t="shared" si="33"/>
        <v>0.17471759259259256</v>
      </c>
    </row>
    <row r="697" spans="1:10" ht="15" customHeight="1">
      <c r="A697" s="14">
        <v>45865</v>
      </c>
      <c r="B697" s="10">
        <f>VLOOKUP(A697,'BADI SID DATA'!A:B,2,0)</f>
        <v>118</v>
      </c>
      <c r="C697">
        <v>704.09999999999991</v>
      </c>
      <c r="D697" s="64">
        <v>2.5299999999999998</v>
      </c>
      <c r="F697" s="62">
        <v>1</v>
      </c>
      <c r="G697" s="62">
        <v>0.59027777777777779</v>
      </c>
      <c r="H697" s="2">
        <f t="shared" si="31"/>
        <v>147886.19999999998</v>
      </c>
      <c r="I697" s="12">
        <f t="shared" si="32"/>
        <v>9.7791666666666652E-2</v>
      </c>
      <c r="J697" s="12">
        <f t="shared" si="33"/>
        <v>0.17406567796610167</v>
      </c>
    </row>
    <row r="698" spans="1:10" ht="15" customHeight="1">
      <c r="A698" s="14">
        <v>45866</v>
      </c>
      <c r="B698" s="10">
        <f>VLOOKUP(A698,'BADI SID DATA'!A:B,2,0)</f>
        <v>119</v>
      </c>
      <c r="C698">
        <v>1420.6</v>
      </c>
      <c r="D698" s="64">
        <v>5.05</v>
      </c>
      <c r="F698" s="62">
        <v>1</v>
      </c>
      <c r="G698" s="62">
        <v>0.90972222222222221</v>
      </c>
      <c r="H698" s="2">
        <f t="shared" si="31"/>
        <v>149306.79999999999</v>
      </c>
      <c r="I698" s="12">
        <f t="shared" si="32"/>
        <v>0.19730555555555554</v>
      </c>
      <c r="J698" s="12">
        <f t="shared" si="33"/>
        <v>0.1742609710550887</v>
      </c>
    </row>
    <row r="699" spans="1:10" ht="15" customHeight="1">
      <c r="A699" s="14">
        <v>45867</v>
      </c>
      <c r="B699" s="10">
        <f>VLOOKUP(A699,'BADI SID DATA'!A:B,2,0)</f>
        <v>120</v>
      </c>
      <c r="C699">
        <v>1670.6</v>
      </c>
      <c r="D699" s="64">
        <v>5.99</v>
      </c>
      <c r="F699" s="62">
        <v>1</v>
      </c>
      <c r="G699" s="62">
        <v>0.87777777777777777</v>
      </c>
      <c r="H699" s="2">
        <f t="shared" si="31"/>
        <v>150977.4</v>
      </c>
      <c r="I699" s="12">
        <f t="shared" si="32"/>
        <v>0.23202777777777778</v>
      </c>
      <c r="J699" s="12">
        <f t="shared" si="33"/>
        <v>0.17474236111111111</v>
      </c>
    </row>
    <row r="700" spans="1:10" ht="15" customHeight="1">
      <c r="A700" s="14">
        <v>45868</v>
      </c>
      <c r="B700" s="10">
        <f>VLOOKUP(A700,'BADI SID DATA'!A:B,2,0)</f>
        <v>121</v>
      </c>
      <c r="C700">
        <v>1541.9</v>
      </c>
      <c r="D700" s="64">
        <v>5.55</v>
      </c>
      <c r="F700" s="62">
        <v>1</v>
      </c>
      <c r="G700" s="62">
        <v>0.89861111111111103</v>
      </c>
      <c r="H700" s="2">
        <f t="shared" si="31"/>
        <v>152519.29999999999</v>
      </c>
      <c r="I700" s="12">
        <f t="shared" si="32"/>
        <v>0.2141527777777778</v>
      </c>
      <c r="J700" s="12">
        <f t="shared" si="33"/>
        <v>0.17506806703397612</v>
      </c>
    </row>
    <row r="701" spans="1:10" ht="15" customHeight="1">
      <c r="A701" s="14">
        <v>45869</v>
      </c>
      <c r="B701" s="10">
        <f>VLOOKUP(A701,'BADI SID DATA'!A:B,2,0)</f>
        <v>122</v>
      </c>
      <c r="C701">
        <v>1351.3</v>
      </c>
      <c r="D701" s="64">
        <v>4.7699999999999996</v>
      </c>
      <c r="F701" s="62">
        <v>1</v>
      </c>
      <c r="G701" s="62">
        <v>0.80972222222222223</v>
      </c>
      <c r="H701" s="2">
        <f t="shared" si="31"/>
        <v>153870.59999999998</v>
      </c>
      <c r="I701" s="12">
        <f t="shared" si="32"/>
        <v>0.18768055555555554</v>
      </c>
      <c r="J701" s="12">
        <f t="shared" si="33"/>
        <v>0.17517144808743168</v>
      </c>
    </row>
    <row r="702" spans="1:10" ht="15" customHeight="1">
      <c r="A702" s="14">
        <v>45870</v>
      </c>
      <c r="B702" s="10">
        <f>VLOOKUP(A702,'BADI SID DATA'!A:B,2,0)</f>
        <v>123</v>
      </c>
      <c r="C702">
        <v>704.2</v>
      </c>
      <c r="D702" s="64">
        <v>2.4900000000000002</v>
      </c>
      <c r="F702" s="62">
        <v>1</v>
      </c>
      <c r="G702" s="62">
        <v>0.63749999999999984</v>
      </c>
      <c r="H702" s="2">
        <f t="shared" si="31"/>
        <v>154574.79999999999</v>
      </c>
      <c r="I702" s="12">
        <f t="shared" si="32"/>
        <v>9.7805555555555562E-2</v>
      </c>
      <c r="J702" s="12">
        <f t="shared" si="33"/>
        <v>0.17454245709123756</v>
      </c>
    </row>
    <row r="703" spans="1:10" ht="15" customHeight="1">
      <c r="A703" s="14">
        <v>45871</v>
      </c>
      <c r="B703" s="10">
        <f>VLOOKUP(A703,'BADI SID DATA'!A:B,2,0)</f>
        <v>124</v>
      </c>
      <c r="C703">
        <v>85.1</v>
      </c>
      <c r="D703" s="64">
        <v>0.28000000000000003</v>
      </c>
      <c r="F703" s="62">
        <v>1</v>
      </c>
      <c r="G703" s="62">
        <v>0.40972222222222221</v>
      </c>
      <c r="H703" s="2">
        <f t="shared" si="31"/>
        <v>154659.9</v>
      </c>
      <c r="I703" s="12">
        <f t="shared" si="32"/>
        <v>1.1819444444444443E-2</v>
      </c>
      <c r="J703" s="12">
        <f t="shared" si="33"/>
        <v>0.1732301747311828</v>
      </c>
    </row>
    <row r="704" spans="1:10" ht="15" customHeight="1">
      <c r="A704" s="14">
        <v>45872</v>
      </c>
      <c r="B704" s="10">
        <f>VLOOKUP(A704,'BADI SID DATA'!A:B,2,0)</f>
        <v>125</v>
      </c>
      <c r="C704">
        <v>654.29999999999995</v>
      </c>
      <c r="D704" s="64">
        <v>2.17</v>
      </c>
      <c r="F704" s="62">
        <v>1</v>
      </c>
      <c r="G704" s="62">
        <v>1</v>
      </c>
      <c r="H704" s="2">
        <f t="shared" si="31"/>
        <v>155314.19999999998</v>
      </c>
      <c r="I704" s="12">
        <f t="shared" si="32"/>
        <v>9.0874999999999997E-2</v>
      </c>
      <c r="J704" s="12">
        <f t="shared" si="33"/>
        <v>0.17257133333333333</v>
      </c>
    </row>
    <row r="705" spans="1:10" ht="15" customHeight="1">
      <c r="A705" s="14">
        <v>45873</v>
      </c>
      <c r="B705" s="10">
        <f>VLOOKUP(A705,'BADI SID DATA'!A:B,2,0)</f>
        <v>126</v>
      </c>
      <c r="C705">
        <v>817.3</v>
      </c>
      <c r="D705" s="64">
        <v>2.73</v>
      </c>
      <c r="F705" s="62">
        <v>1</v>
      </c>
      <c r="G705" s="62">
        <v>1</v>
      </c>
      <c r="H705" s="2">
        <f t="shared" si="31"/>
        <v>156131.49999999997</v>
      </c>
      <c r="I705" s="12">
        <f t="shared" si="32"/>
        <v>0.11351388888888889</v>
      </c>
      <c r="J705" s="12">
        <f t="shared" si="33"/>
        <v>0.17210262345679009</v>
      </c>
    </row>
    <row r="706" spans="1:10" ht="15" customHeight="1">
      <c r="A706" s="14">
        <v>45874</v>
      </c>
      <c r="B706" s="10">
        <f>VLOOKUP(A706,'BADI SID DATA'!A:B,2,0)</f>
        <v>127</v>
      </c>
      <c r="C706">
        <v>318.10000000000002</v>
      </c>
      <c r="D706" s="64">
        <v>1.03</v>
      </c>
      <c r="F706" s="62">
        <v>1</v>
      </c>
      <c r="G706" s="62">
        <v>1</v>
      </c>
      <c r="H706" s="2">
        <f t="shared" si="31"/>
        <v>156449.59999999998</v>
      </c>
      <c r="I706" s="12">
        <f t="shared" si="32"/>
        <v>4.4180555555555556E-2</v>
      </c>
      <c r="J706" s="12">
        <f t="shared" si="33"/>
        <v>0.17109536307961501</v>
      </c>
    </row>
    <row r="707" spans="1:10" ht="15" customHeight="1">
      <c r="A707" s="14">
        <v>45875</v>
      </c>
      <c r="B707" s="10">
        <f>VLOOKUP(A707,'BADI SID DATA'!A:B,2,0)</f>
        <v>128</v>
      </c>
      <c r="C707">
        <v>1354.4</v>
      </c>
      <c r="D707" s="64">
        <v>4.66</v>
      </c>
      <c r="F707" s="62">
        <v>1</v>
      </c>
      <c r="G707" s="62">
        <v>1</v>
      </c>
      <c r="H707" s="2">
        <f t="shared" ref="H707:H770" si="34">H706+C707</f>
        <v>157803.99999999997</v>
      </c>
      <c r="I707" s="12">
        <f t="shared" ref="I707:I770" si="35">C707/(300*24)</f>
        <v>0.18811111111111112</v>
      </c>
      <c r="J707" s="12">
        <f t="shared" ref="J707:J770" si="36">H707/(24*B707*300)</f>
        <v>0.17122829861111108</v>
      </c>
    </row>
    <row r="708" spans="1:10" ht="15" customHeight="1">
      <c r="A708" s="14">
        <v>45876</v>
      </c>
      <c r="B708" s="10">
        <f>VLOOKUP(A708,'BADI SID DATA'!A:B,2,0)</f>
        <v>129</v>
      </c>
      <c r="C708">
        <v>1414.1</v>
      </c>
      <c r="D708" s="64">
        <v>5</v>
      </c>
      <c r="F708" s="62">
        <v>1</v>
      </c>
      <c r="G708" s="62">
        <v>1</v>
      </c>
      <c r="H708" s="2">
        <f t="shared" si="34"/>
        <v>159218.09999999998</v>
      </c>
      <c r="I708" s="12">
        <f t="shared" si="35"/>
        <v>0.19640277777777776</v>
      </c>
      <c r="J708" s="12">
        <f t="shared" si="36"/>
        <v>0.17142344961240308</v>
      </c>
    </row>
    <row r="709" spans="1:10" ht="15" customHeight="1">
      <c r="A709" s="14">
        <v>45877</v>
      </c>
      <c r="B709" s="10">
        <f>VLOOKUP(A709,'BADI SID DATA'!A:B,2,0)</f>
        <v>130</v>
      </c>
      <c r="C709">
        <v>796.5</v>
      </c>
      <c r="D709" s="64">
        <v>2.61</v>
      </c>
      <c r="F709" s="62">
        <v>1</v>
      </c>
      <c r="G709" s="62">
        <v>1</v>
      </c>
      <c r="H709" s="2">
        <f t="shared" si="34"/>
        <v>160014.59999999998</v>
      </c>
      <c r="I709" s="12">
        <f t="shared" si="35"/>
        <v>0.110625</v>
      </c>
      <c r="J709" s="12">
        <f t="shared" si="36"/>
        <v>0.17095576923076922</v>
      </c>
    </row>
    <row r="710" spans="1:10" ht="15" customHeight="1">
      <c r="A710" s="14">
        <v>45878</v>
      </c>
      <c r="B710" s="10">
        <f>VLOOKUP(A710,'BADI SID DATA'!A:B,2,0)</f>
        <v>131</v>
      </c>
      <c r="C710">
        <v>677.4</v>
      </c>
      <c r="D710" s="64">
        <v>2.19</v>
      </c>
      <c r="F710" s="62">
        <v>1</v>
      </c>
      <c r="G710" s="62">
        <v>1</v>
      </c>
      <c r="H710" s="2">
        <f t="shared" si="34"/>
        <v>160691.99999999997</v>
      </c>
      <c r="I710" s="12">
        <f t="shared" si="35"/>
        <v>9.4083333333333324E-2</v>
      </c>
      <c r="J710" s="12">
        <f t="shared" si="36"/>
        <v>0.17036895674300251</v>
      </c>
    </row>
    <row r="711" spans="1:10" ht="15" customHeight="1">
      <c r="A711" s="14">
        <v>45879</v>
      </c>
      <c r="B711" s="10">
        <f>VLOOKUP(A711,'BADI SID DATA'!A:B,2,0)</f>
        <v>132</v>
      </c>
      <c r="C711">
        <v>1597.7</v>
      </c>
      <c r="D711" s="64">
        <v>5.78</v>
      </c>
      <c r="F711" s="62">
        <v>1</v>
      </c>
      <c r="G711" s="62">
        <v>1</v>
      </c>
      <c r="H711" s="2">
        <f t="shared" si="34"/>
        <v>162289.69999999998</v>
      </c>
      <c r="I711" s="12">
        <f t="shared" si="35"/>
        <v>0.22190277777777778</v>
      </c>
      <c r="J711" s="12">
        <f t="shared" si="36"/>
        <v>0.17075936447811446</v>
      </c>
    </row>
    <row r="712" spans="1:10" ht="15" customHeight="1">
      <c r="A712" s="14">
        <v>45880</v>
      </c>
      <c r="B712" s="10">
        <f>VLOOKUP(A712,'BADI SID DATA'!A:B,2,0)</f>
        <v>133</v>
      </c>
      <c r="C712">
        <v>1641.9</v>
      </c>
      <c r="D712" s="64">
        <v>5.97</v>
      </c>
      <c r="F712" s="62">
        <v>1</v>
      </c>
      <c r="G712" s="62">
        <v>1</v>
      </c>
      <c r="H712" s="2">
        <f t="shared" si="34"/>
        <v>163931.59999999998</v>
      </c>
      <c r="I712" s="12">
        <f t="shared" si="35"/>
        <v>0.22804166666666667</v>
      </c>
      <c r="J712" s="12">
        <f t="shared" si="36"/>
        <v>0.17119005847953214</v>
      </c>
    </row>
    <row r="713" spans="1:10" ht="15" customHeight="1">
      <c r="A713" s="14">
        <v>45881</v>
      </c>
      <c r="B713" s="10">
        <f>VLOOKUP(A713,'BADI SID DATA'!A:B,2,0)</f>
        <v>134</v>
      </c>
      <c r="C713">
        <v>900.8</v>
      </c>
      <c r="D713" s="64">
        <v>3.03</v>
      </c>
      <c r="F713" s="62">
        <v>1</v>
      </c>
      <c r="G713" s="62">
        <v>1</v>
      </c>
      <c r="H713" s="2">
        <f t="shared" si="34"/>
        <v>164832.39999999997</v>
      </c>
      <c r="I713" s="12">
        <f t="shared" si="35"/>
        <v>0.12511111111111112</v>
      </c>
      <c r="J713" s="12">
        <f t="shared" si="36"/>
        <v>0.17084618573797675</v>
      </c>
    </row>
    <row r="714" spans="1:10" ht="15" customHeight="1">
      <c r="A714" s="14">
        <v>45882</v>
      </c>
      <c r="B714" s="10">
        <f>VLOOKUP(A714,'BADI SID DATA'!A:B,2,0)</f>
        <v>135</v>
      </c>
      <c r="C714">
        <v>973.6</v>
      </c>
      <c r="D714" s="64">
        <v>3.18</v>
      </c>
      <c r="F714" s="62">
        <v>1</v>
      </c>
      <c r="G714" s="62">
        <v>1</v>
      </c>
      <c r="H714" s="2">
        <f t="shared" si="34"/>
        <v>165805.99999999997</v>
      </c>
      <c r="I714" s="12">
        <f t="shared" si="35"/>
        <v>0.13522222222222222</v>
      </c>
      <c r="J714" s="12">
        <f t="shared" si="36"/>
        <v>0.17058230452674894</v>
      </c>
    </row>
    <row r="715" spans="1:10" ht="15" customHeight="1">
      <c r="A715" s="14">
        <v>45883</v>
      </c>
      <c r="B715" s="10">
        <f>VLOOKUP(A715,'BADI SID DATA'!A:B,2,0)</f>
        <v>136</v>
      </c>
      <c r="C715">
        <v>1309</v>
      </c>
      <c r="D715" s="64">
        <v>4.53</v>
      </c>
      <c r="F715" s="62">
        <v>1</v>
      </c>
      <c r="G715" s="62">
        <v>1</v>
      </c>
      <c r="H715" s="2">
        <f t="shared" si="34"/>
        <v>167114.99999999997</v>
      </c>
      <c r="I715" s="12">
        <f t="shared" si="35"/>
        <v>0.18180555555555555</v>
      </c>
      <c r="J715" s="12">
        <f t="shared" si="36"/>
        <v>0.17066482843137251</v>
      </c>
    </row>
    <row r="716" spans="1:10" ht="15" customHeight="1">
      <c r="A716" s="14">
        <v>45884</v>
      </c>
      <c r="B716" s="10">
        <f>VLOOKUP(A716,'BADI SID DATA'!A:B,2,0)</f>
        <v>137</v>
      </c>
      <c r="C716">
        <v>1225.0999999999999</v>
      </c>
      <c r="D716" s="64">
        <v>4.3</v>
      </c>
      <c r="F716" s="62">
        <v>1</v>
      </c>
      <c r="G716" s="62">
        <v>1</v>
      </c>
      <c r="H716" s="2">
        <f t="shared" si="34"/>
        <v>168340.09999999998</v>
      </c>
      <c r="I716" s="12">
        <f t="shared" si="35"/>
        <v>0.17015277777777776</v>
      </c>
      <c r="J716" s="12">
        <f t="shared" si="36"/>
        <v>0.17066109083536088</v>
      </c>
    </row>
    <row r="717" spans="1:10" ht="15" customHeight="1">
      <c r="A717" s="14">
        <v>45885</v>
      </c>
      <c r="B717" s="10">
        <f>VLOOKUP(A717,'BADI SID DATA'!A:B,2,0)</f>
        <v>138</v>
      </c>
      <c r="C717">
        <v>463.2</v>
      </c>
      <c r="D717" s="64">
        <v>1.53</v>
      </c>
      <c r="F717" s="62">
        <v>1</v>
      </c>
      <c r="G717" s="62">
        <v>1</v>
      </c>
      <c r="H717" s="2">
        <f t="shared" si="34"/>
        <v>168803.3</v>
      </c>
      <c r="I717" s="12">
        <f t="shared" si="35"/>
        <v>6.4333333333333326E-2</v>
      </c>
      <c r="J717" s="12">
        <f t="shared" si="36"/>
        <v>0.1698905998389694</v>
      </c>
    </row>
    <row r="718" spans="1:10" ht="15" customHeight="1">
      <c r="A718" s="14">
        <v>45886</v>
      </c>
      <c r="B718" s="10">
        <f>VLOOKUP(A718,'BADI SID DATA'!A:B,2,0)</f>
        <v>139</v>
      </c>
      <c r="C718">
        <v>1144</v>
      </c>
      <c r="D718" s="64">
        <v>3.94</v>
      </c>
      <c r="F718" s="62">
        <v>1</v>
      </c>
      <c r="G718" s="62">
        <v>1</v>
      </c>
      <c r="H718" s="2">
        <f t="shared" si="34"/>
        <v>169947.3</v>
      </c>
      <c r="I718" s="12">
        <f t="shared" si="35"/>
        <v>0.15888888888888889</v>
      </c>
      <c r="J718" s="12">
        <f t="shared" si="36"/>
        <v>0.16981145083932853</v>
      </c>
    </row>
    <row r="719" spans="1:10" ht="15" customHeight="1">
      <c r="A719" s="14">
        <v>45887</v>
      </c>
      <c r="B719" s="10">
        <f>VLOOKUP(A719,'BADI SID DATA'!A:B,2,0)</f>
        <v>140</v>
      </c>
      <c r="C719">
        <v>1534.4</v>
      </c>
      <c r="D719" s="64">
        <v>5.34</v>
      </c>
      <c r="F719" s="62">
        <v>1</v>
      </c>
      <c r="G719" s="62">
        <v>1</v>
      </c>
      <c r="H719" s="2">
        <f t="shared" si="34"/>
        <v>171481.69999999998</v>
      </c>
      <c r="I719" s="12">
        <f t="shared" si="35"/>
        <v>0.21311111111111111</v>
      </c>
      <c r="J719" s="12">
        <f t="shared" si="36"/>
        <v>0.17012073412698411</v>
      </c>
    </row>
    <row r="720" spans="1:10" ht="15" customHeight="1">
      <c r="A720" s="14">
        <v>45888</v>
      </c>
      <c r="B720" s="10">
        <f>VLOOKUP(A720,'BADI SID DATA'!A:B,2,0)</f>
        <v>141</v>
      </c>
      <c r="C720">
        <v>1228</v>
      </c>
      <c r="D720" s="64">
        <v>4.29</v>
      </c>
      <c r="F720" s="62">
        <v>1</v>
      </c>
      <c r="G720" s="62">
        <v>1</v>
      </c>
      <c r="H720" s="2">
        <f t="shared" si="34"/>
        <v>172709.69999999998</v>
      </c>
      <c r="I720" s="12">
        <f t="shared" si="35"/>
        <v>0.17055555555555554</v>
      </c>
      <c r="J720" s="12">
        <f t="shared" si="36"/>
        <v>0.17012381796690307</v>
      </c>
    </row>
    <row r="721" spans="1:10" ht="15" customHeight="1">
      <c r="A721" s="14">
        <v>45889</v>
      </c>
      <c r="B721" s="10">
        <f>VLOOKUP(A721,'BADI SID DATA'!A:B,2,0)</f>
        <v>142</v>
      </c>
      <c r="C721">
        <v>1502.3</v>
      </c>
      <c r="D721" s="64">
        <v>5.44</v>
      </c>
      <c r="F721" s="62">
        <v>1</v>
      </c>
      <c r="G721" s="62">
        <v>1</v>
      </c>
      <c r="H721" s="2">
        <f t="shared" si="34"/>
        <v>174211.99999999997</v>
      </c>
      <c r="I721" s="12">
        <f t="shared" si="35"/>
        <v>0.20865277777777777</v>
      </c>
      <c r="J721" s="12">
        <f t="shared" si="36"/>
        <v>0.17039514866979652</v>
      </c>
    </row>
    <row r="722" spans="1:10" ht="15" customHeight="1">
      <c r="A722" s="14">
        <v>45890</v>
      </c>
      <c r="B722" s="10">
        <f>VLOOKUP(A722,'BADI SID DATA'!A:B,2,0)</f>
        <v>143</v>
      </c>
      <c r="C722">
        <v>1561.7</v>
      </c>
      <c r="D722" s="64">
        <v>5.63</v>
      </c>
      <c r="F722" s="62">
        <v>1</v>
      </c>
      <c r="G722" s="62">
        <v>1</v>
      </c>
      <c r="H722" s="2">
        <f t="shared" si="34"/>
        <v>175773.69999999998</v>
      </c>
      <c r="I722" s="12">
        <f t="shared" si="35"/>
        <v>0.21690277777777778</v>
      </c>
      <c r="J722" s="12">
        <f t="shared" si="36"/>
        <v>0.17072037684537683</v>
      </c>
    </row>
    <row r="723" spans="1:10" ht="15" customHeight="1">
      <c r="A723" s="14">
        <v>45891</v>
      </c>
      <c r="B723" s="10">
        <f>VLOOKUP(A723,'BADI SID DATA'!A:B,2,0)</f>
        <v>144</v>
      </c>
      <c r="C723">
        <v>1582.2000000000003</v>
      </c>
      <c r="D723" s="64">
        <v>5.92</v>
      </c>
      <c r="F723" s="62">
        <v>1</v>
      </c>
      <c r="G723" s="62">
        <v>1</v>
      </c>
      <c r="H723" s="2">
        <f t="shared" si="34"/>
        <v>177355.9</v>
      </c>
      <c r="I723" s="12">
        <f t="shared" si="35"/>
        <v>0.21975000000000003</v>
      </c>
      <c r="J723" s="12">
        <f t="shared" si="36"/>
        <v>0.17106086033950615</v>
      </c>
    </row>
    <row r="724" spans="1:10" ht="15" customHeight="1">
      <c r="A724" s="14">
        <v>45892</v>
      </c>
      <c r="B724" s="10">
        <f>VLOOKUP(A724,'BADI SID DATA'!A:B,2,0)</f>
        <v>145</v>
      </c>
      <c r="C724">
        <v>1405.1</v>
      </c>
      <c r="D724" s="64">
        <v>4.8</v>
      </c>
      <c r="F724" s="62">
        <v>1</v>
      </c>
      <c r="G724" s="62">
        <v>1</v>
      </c>
      <c r="H724" s="2">
        <f t="shared" si="34"/>
        <v>178761</v>
      </c>
      <c r="I724" s="12">
        <f t="shared" si="35"/>
        <v>0.19515277777777776</v>
      </c>
      <c r="J724" s="12">
        <f t="shared" si="36"/>
        <v>0.17122701149425287</v>
      </c>
    </row>
    <row r="725" spans="1:10" ht="15" customHeight="1">
      <c r="A725" s="14">
        <v>45893</v>
      </c>
      <c r="B725" s="10">
        <f>VLOOKUP(A725,'BADI SID DATA'!A:B,2,0)</f>
        <v>146</v>
      </c>
      <c r="C725">
        <v>1656.8</v>
      </c>
      <c r="D725" s="64">
        <v>6.17</v>
      </c>
      <c r="F725" s="62">
        <v>1</v>
      </c>
      <c r="G725" s="62">
        <v>1</v>
      </c>
      <c r="H725" s="2">
        <f t="shared" si="34"/>
        <v>180417.8</v>
      </c>
      <c r="I725" s="12">
        <f t="shared" si="35"/>
        <v>0.2301111111111111</v>
      </c>
      <c r="J725" s="12">
        <f t="shared" si="36"/>
        <v>0.17163032724505325</v>
      </c>
    </row>
    <row r="726" spans="1:10" ht="15" customHeight="1">
      <c r="A726" s="14">
        <v>45894</v>
      </c>
      <c r="B726" s="10">
        <f>VLOOKUP(A726,'BADI SID DATA'!A:B,2,0)</f>
        <v>147</v>
      </c>
      <c r="C726">
        <v>1658.1</v>
      </c>
      <c r="D726" s="64">
        <v>6.17</v>
      </c>
      <c r="F726" s="62">
        <v>1</v>
      </c>
      <c r="G726" s="62">
        <v>1</v>
      </c>
      <c r="H726" s="2">
        <f t="shared" si="34"/>
        <v>182075.9</v>
      </c>
      <c r="I726" s="12">
        <f t="shared" si="35"/>
        <v>0.23029166666666664</v>
      </c>
      <c r="J726" s="12">
        <f t="shared" si="36"/>
        <v>0.17202938397581255</v>
      </c>
    </row>
    <row r="727" spans="1:10" ht="15" customHeight="1">
      <c r="A727" s="14">
        <v>45895</v>
      </c>
      <c r="B727" s="10">
        <f>VLOOKUP(A727,'BADI SID DATA'!A:B,2,0)</f>
        <v>148</v>
      </c>
      <c r="C727">
        <v>1637.3</v>
      </c>
      <c r="D727" s="64">
        <v>5.98</v>
      </c>
      <c r="F727" s="62">
        <v>1</v>
      </c>
      <c r="G727" s="62">
        <v>1</v>
      </c>
      <c r="H727" s="2">
        <f t="shared" si="34"/>
        <v>183713.19999999998</v>
      </c>
      <c r="I727" s="12">
        <f t="shared" si="35"/>
        <v>0.22740277777777776</v>
      </c>
      <c r="J727" s="12">
        <f t="shared" si="36"/>
        <v>0.1724035285285285</v>
      </c>
    </row>
    <row r="728" spans="1:10" ht="15" customHeight="1">
      <c r="A728" s="14">
        <v>45896</v>
      </c>
      <c r="B728" s="10">
        <f>VLOOKUP(A728,'BADI SID DATA'!A:B,2,0)</f>
        <v>149</v>
      </c>
      <c r="C728">
        <v>290.70000000000005</v>
      </c>
      <c r="D728" s="64">
        <v>1.02</v>
      </c>
      <c r="F728" s="62">
        <v>1</v>
      </c>
      <c r="G728" s="62">
        <v>1</v>
      </c>
      <c r="H728" s="2">
        <f t="shared" si="34"/>
        <v>184003.9</v>
      </c>
      <c r="I728" s="12">
        <f t="shared" si="35"/>
        <v>4.0375000000000008E-2</v>
      </c>
      <c r="J728" s="12">
        <f t="shared" si="36"/>
        <v>0.17151743102162564</v>
      </c>
    </row>
    <row r="729" spans="1:10" ht="15" customHeight="1">
      <c r="A729" s="14">
        <v>45897</v>
      </c>
      <c r="B729" s="10">
        <f>VLOOKUP(A729,'BADI SID DATA'!A:B,2,0)</f>
        <v>150</v>
      </c>
      <c r="C729">
        <v>327.7</v>
      </c>
      <c r="D729" s="64">
        <v>1.1399999999999999</v>
      </c>
      <c r="F729" s="62">
        <v>1</v>
      </c>
      <c r="G729" s="62">
        <v>1</v>
      </c>
      <c r="H729" s="2">
        <f t="shared" si="34"/>
        <v>184331.6</v>
      </c>
      <c r="I729" s="12">
        <f t="shared" si="35"/>
        <v>4.5513888888888888E-2</v>
      </c>
      <c r="J729" s="12">
        <f t="shared" si="36"/>
        <v>0.17067740740740742</v>
      </c>
    </row>
    <row r="730" spans="1:10" ht="15" customHeight="1">
      <c r="A730" s="14">
        <v>45898</v>
      </c>
      <c r="B730" s="10">
        <f>VLOOKUP(A730,'BADI SID DATA'!A:B,2,0)</f>
        <v>151</v>
      </c>
      <c r="C730">
        <v>1316.7</v>
      </c>
      <c r="D730" s="64">
        <v>4.59</v>
      </c>
      <c r="F730" s="62">
        <v>1</v>
      </c>
      <c r="G730" s="62">
        <v>1</v>
      </c>
      <c r="H730" s="2">
        <f t="shared" si="34"/>
        <v>185648.30000000002</v>
      </c>
      <c r="I730" s="12">
        <f t="shared" si="35"/>
        <v>0.18287500000000001</v>
      </c>
      <c r="J730" s="12">
        <f t="shared" si="36"/>
        <v>0.17075818616629876</v>
      </c>
    </row>
    <row r="731" spans="1:10" ht="15" customHeight="1">
      <c r="A731" s="14">
        <v>45899</v>
      </c>
      <c r="B731" s="10">
        <f>VLOOKUP(A731,'BADI SID DATA'!A:B,2,0)</f>
        <v>152</v>
      </c>
      <c r="C731">
        <v>1653.9</v>
      </c>
      <c r="D731" s="64">
        <v>5.98</v>
      </c>
      <c r="F731" s="62">
        <v>1</v>
      </c>
      <c r="G731" s="62">
        <v>1</v>
      </c>
      <c r="H731" s="2">
        <f t="shared" si="34"/>
        <v>187302.2</v>
      </c>
      <c r="I731" s="12">
        <f t="shared" si="35"/>
        <v>0.22970833333333335</v>
      </c>
      <c r="J731" s="12">
        <f t="shared" si="36"/>
        <v>0.17114601608187135</v>
      </c>
    </row>
    <row r="732" spans="1:10" ht="15" customHeight="1">
      <c r="A732" s="14">
        <v>45900</v>
      </c>
      <c r="B732" s="10">
        <f>VLOOKUP(A732,'BADI SID DATA'!A:B,2,0)</f>
        <v>153</v>
      </c>
      <c r="C732">
        <v>1558.7</v>
      </c>
      <c r="D732" s="64">
        <v>5.59</v>
      </c>
      <c r="F732" s="62">
        <v>1</v>
      </c>
      <c r="G732" s="62">
        <v>1</v>
      </c>
      <c r="H732" s="2">
        <f t="shared" si="34"/>
        <v>188860.90000000002</v>
      </c>
      <c r="I732" s="12">
        <f t="shared" si="35"/>
        <v>0.21648611111111113</v>
      </c>
      <c r="J732" s="12">
        <f t="shared" si="36"/>
        <v>0.17144235657225856</v>
      </c>
    </row>
    <row r="733" spans="1:10" ht="15" customHeight="1">
      <c r="A733" s="14">
        <v>45901</v>
      </c>
      <c r="B733" s="10">
        <f>VLOOKUP(A733,'BADI SID DATA'!A:B,2,0)</f>
        <v>154</v>
      </c>
      <c r="C733">
        <v>1685.6</v>
      </c>
      <c r="D733" s="64">
        <v>6.02</v>
      </c>
      <c r="F733" s="62">
        <v>1</v>
      </c>
      <c r="G733" s="62">
        <v>1</v>
      </c>
      <c r="H733" s="2">
        <f t="shared" si="34"/>
        <v>190546.50000000003</v>
      </c>
      <c r="I733" s="12">
        <f t="shared" si="35"/>
        <v>0.2341111111111111</v>
      </c>
      <c r="J733" s="12">
        <f t="shared" si="36"/>
        <v>0.17184929653679656</v>
      </c>
    </row>
    <row r="734" spans="1:10" ht="15" customHeight="1">
      <c r="A734" s="14">
        <v>45902</v>
      </c>
      <c r="B734" s="10">
        <f>VLOOKUP(A734,'BADI SID DATA'!A:B,2,0)</f>
        <v>155</v>
      </c>
      <c r="C734">
        <v>1722.6</v>
      </c>
      <c r="D734" s="64">
        <v>6.23</v>
      </c>
      <c r="F734" s="62">
        <v>1</v>
      </c>
      <c r="G734" s="62">
        <v>1</v>
      </c>
      <c r="H734" s="2">
        <f t="shared" si="34"/>
        <v>192269.10000000003</v>
      </c>
      <c r="I734" s="12">
        <f t="shared" si="35"/>
        <v>0.23924999999999999</v>
      </c>
      <c r="J734" s="12">
        <f t="shared" si="36"/>
        <v>0.17228413978494628</v>
      </c>
    </row>
    <row r="735" spans="1:10" ht="15" customHeight="1">
      <c r="A735" s="14">
        <v>45903</v>
      </c>
      <c r="B735" s="10">
        <f>VLOOKUP(A735,'BADI SID DATA'!A:B,2,0)</f>
        <v>156</v>
      </c>
      <c r="C735">
        <v>1359</v>
      </c>
      <c r="D735" s="64">
        <v>4.78</v>
      </c>
      <c r="F735" s="62">
        <v>1</v>
      </c>
      <c r="G735" s="62">
        <v>1</v>
      </c>
      <c r="H735" s="2">
        <f t="shared" si="34"/>
        <v>193628.10000000003</v>
      </c>
      <c r="I735" s="12">
        <f t="shared" si="35"/>
        <v>0.18875</v>
      </c>
      <c r="J735" s="12">
        <f t="shared" si="36"/>
        <v>0.17238969017094019</v>
      </c>
    </row>
    <row r="736" spans="1:10" ht="15" customHeight="1">
      <c r="A736" s="14">
        <v>45904</v>
      </c>
      <c r="B736" s="10">
        <f>VLOOKUP(A736,'BADI SID DATA'!A:B,2,0)</f>
        <v>157</v>
      </c>
      <c r="C736">
        <v>1354.5</v>
      </c>
      <c r="D736" s="64">
        <v>4.82</v>
      </c>
      <c r="F736" s="62">
        <v>1</v>
      </c>
      <c r="G736" s="62">
        <v>1</v>
      </c>
      <c r="H736" s="2">
        <f t="shared" si="34"/>
        <v>194982.60000000003</v>
      </c>
      <c r="I736" s="12">
        <f t="shared" si="35"/>
        <v>0.18812499999999999</v>
      </c>
      <c r="J736" s="12">
        <f t="shared" si="36"/>
        <v>0.17248991507431</v>
      </c>
    </row>
    <row r="737" spans="1:10" ht="15" customHeight="1">
      <c r="A737" s="14">
        <v>45905</v>
      </c>
      <c r="B737" s="10">
        <f>VLOOKUP(A737,'BADI SID DATA'!A:B,2,0)</f>
        <v>158</v>
      </c>
      <c r="C737">
        <v>1471.7</v>
      </c>
      <c r="D737" s="64">
        <v>5.18</v>
      </c>
      <c r="F737" s="62">
        <v>1</v>
      </c>
      <c r="G737" s="62">
        <v>1</v>
      </c>
      <c r="H737" s="2">
        <f t="shared" si="34"/>
        <v>196454.30000000005</v>
      </c>
      <c r="I737" s="12">
        <f t="shared" si="35"/>
        <v>0.20440277777777779</v>
      </c>
      <c r="J737" s="12">
        <f t="shared" si="36"/>
        <v>0.17269189521800285</v>
      </c>
    </row>
    <row r="738" spans="1:10" ht="15" customHeight="1">
      <c r="A738" s="14">
        <v>45906</v>
      </c>
      <c r="B738" s="10">
        <f>VLOOKUP(A738,'BADI SID DATA'!A:B,2,0)</f>
        <v>159</v>
      </c>
      <c r="C738">
        <v>1655.6</v>
      </c>
      <c r="D738" s="64">
        <v>6.02</v>
      </c>
      <c r="F738" s="62">
        <v>1</v>
      </c>
      <c r="G738" s="62">
        <v>1</v>
      </c>
      <c r="H738" s="2">
        <f t="shared" si="34"/>
        <v>198109.90000000005</v>
      </c>
      <c r="I738" s="12">
        <f t="shared" si="35"/>
        <v>0.22994444444444442</v>
      </c>
      <c r="J738" s="12">
        <f t="shared" si="36"/>
        <v>0.17305197414395532</v>
      </c>
    </row>
    <row r="739" spans="1:10" ht="15" customHeight="1">
      <c r="A739" s="14">
        <v>45907</v>
      </c>
      <c r="B739" s="10">
        <f>VLOOKUP(A739,'BADI SID DATA'!A:B,2,0)</f>
        <v>160</v>
      </c>
      <c r="C739">
        <v>1566.3</v>
      </c>
      <c r="D739" s="64">
        <v>5.51</v>
      </c>
      <c r="F739" s="62">
        <v>1</v>
      </c>
      <c r="G739" s="62">
        <v>1</v>
      </c>
      <c r="H739" s="2">
        <f t="shared" si="34"/>
        <v>199676.20000000004</v>
      </c>
      <c r="I739" s="12">
        <f t="shared" si="35"/>
        <v>0.21754166666666666</v>
      </c>
      <c r="J739" s="12">
        <f t="shared" si="36"/>
        <v>0.17333003472222225</v>
      </c>
    </row>
    <row r="740" spans="1:10" ht="15" customHeight="1">
      <c r="A740" s="14">
        <v>45908</v>
      </c>
      <c r="B740" s="10">
        <f>VLOOKUP(A740,'BADI SID DATA'!A:B,2,0)</f>
        <v>161</v>
      </c>
      <c r="C740">
        <v>1673.6999999999998</v>
      </c>
      <c r="D740" s="64">
        <v>5.99</v>
      </c>
      <c r="F740" s="62">
        <v>1</v>
      </c>
      <c r="G740" s="62">
        <v>1</v>
      </c>
      <c r="H740" s="2">
        <f t="shared" si="34"/>
        <v>201349.90000000005</v>
      </c>
      <c r="I740" s="12">
        <f t="shared" si="35"/>
        <v>0.23245833333333329</v>
      </c>
      <c r="J740" s="12">
        <f t="shared" si="36"/>
        <v>0.17369729123533476</v>
      </c>
    </row>
    <row r="741" spans="1:10" ht="15" customHeight="1">
      <c r="A741" s="14">
        <v>45909</v>
      </c>
      <c r="B741" s="10">
        <f>VLOOKUP(A741,'BADI SID DATA'!A:B,2,0)</f>
        <v>162</v>
      </c>
      <c r="C741">
        <v>1603.6</v>
      </c>
      <c r="D741" s="64">
        <v>5.67</v>
      </c>
      <c r="F741" s="62">
        <v>1</v>
      </c>
      <c r="G741" s="62">
        <v>1</v>
      </c>
      <c r="H741" s="2">
        <f t="shared" si="34"/>
        <v>202953.50000000006</v>
      </c>
      <c r="I741" s="12">
        <f t="shared" si="35"/>
        <v>0.22272222222222221</v>
      </c>
      <c r="J741" s="12">
        <f t="shared" si="36"/>
        <v>0.17399991426611802</v>
      </c>
    </row>
    <row r="742" spans="1:10" ht="15" customHeight="1">
      <c r="A742" s="14">
        <v>45910</v>
      </c>
      <c r="B742" s="10">
        <f>VLOOKUP(A742,'BADI SID DATA'!A:B,2,0)</f>
        <v>163</v>
      </c>
      <c r="C742">
        <v>1305.7</v>
      </c>
      <c r="D742" s="64">
        <v>4.6500000000000004</v>
      </c>
      <c r="F742" s="62">
        <v>1</v>
      </c>
      <c r="G742" s="62">
        <v>1</v>
      </c>
      <c r="H742" s="2">
        <f t="shared" si="34"/>
        <v>204259.20000000007</v>
      </c>
      <c r="I742" s="12">
        <f t="shared" si="35"/>
        <v>0.18134722222222222</v>
      </c>
      <c r="J742" s="12">
        <f t="shared" si="36"/>
        <v>0.17404498977505117</v>
      </c>
    </row>
    <row r="743" spans="1:10" ht="15" customHeight="1">
      <c r="A743" s="14">
        <v>45911</v>
      </c>
      <c r="B743" s="10">
        <f>VLOOKUP(A743,'BADI SID DATA'!A:B,2,0)</f>
        <v>164</v>
      </c>
      <c r="C743">
        <v>1550.3999999999999</v>
      </c>
      <c r="D743" s="64">
        <v>5.5</v>
      </c>
      <c r="F743" s="62">
        <v>1</v>
      </c>
      <c r="G743" s="62">
        <v>1</v>
      </c>
      <c r="H743" s="2">
        <f t="shared" si="34"/>
        <v>205809.60000000006</v>
      </c>
      <c r="I743" s="12">
        <f t="shared" si="35"/>
        <v>0.21533333333333332</v>
      </c>
      <c r="J743" s="12">
        <f t="shared" si="36"/>
        <v>0.17429674796747974</v>
      </c>
    </row>
    <row r="744" spans="1:10" ht="15" customHeight="1">
      <c r="A744" s="14">
        <v>45912</v>
      </c>
      <c r="B744" s="10">
        <f>VLOOKUP(A744,'BADI SID DATA'!A:B,2,0)</f>
        <v>165</v>
      </c>
      <c r="C744">
        <v>1695.5</v>
      </c>
      <c r="D744" s="64">
        <v>6</v>
      </c>
      <c r="F744" s="62">
        <v>1</v>
      </c>
      <c r="G744" s="62">
        <v>1</v>
      </c>
      <c r="H744" s="2">
        <f t="shared" si="34"/>
        <v>207505.10000000006</v>
      </c>
      <c r="I744" s="12">
        <f t="shared" si="35"/>
        <v>0.23548611111111112</v>
      </c>
      <c r="J744" s="12">
        <f t="shared" si="36"/>
        <v>0.17466759259259265</v>
      </c>
    </row>
    <row r="745" spans="1:10" ht="15" customHeight="1">
      <c r="A745" s="14">
        <v>45913</v>
      </c>
      <c r="B745" s="10">
        <f>VLOOKUP(A745,'BADI SID DATA'!A:B,2,0)</f>
        <v>166</v>
      </c>
      <c r="C745">
        <v>1639</v>
      </c>
      <c r="D745" s="64">
        <v>5.86</v>
      </c>
      <c r="F745" s="62">
        <v>1</v>
      </c>
      <c r="G745" s="62">
        <v>1</v>
      </c>
      <c r="H745" s="2">
        <f t="shared" si="34"/>
        <v>209144.10000000006</v>
      </c>
      <c r="I745" s="12">
        <f t="shared" si="35"/>
        <v>0.22763888888888889</v>
      </c>
      <c r="J745" s="12">
        <f t="shared" si="36"/>
        <v>0.17498669678714865</v>
      </c>
    </row>
    <row r="746" spans="1:10" ht="15" customHeight="1">
      <c r="A746" s="14">
        <v>45914</v>
      </c>
      <c r="B746" s="10">
        <f>VLOOKUP(A746,'BADI SID DATA'!A:B,2,0)</f>
        <v>167</v>
      </c>
      <c r="C746">
        <v>1516.8</v>
      </c>
      <c r="D746" s="64">
        <v>5.44</v>
      </c>
      <c r="F746" s="62">
        <v>1</v>
      </c>
      <c r="G746" s="62">
        <v>1</v>
      </c>
      <c r="H746" s="2">
        <f t="shared" si="34"/>
        <v>210660.90000000005</v>
      </c>
      <c r="I746" s="12">
        <f t="shared" si="35"/>
        <v>0.21066666666666667</v>
      </c>
      <c r="J746" s="12">
        <f t="shared" si="36"/>
        <v>0.17520034930139725</v>
      </c>
    </row>
    <row r="747" spans="1:10" ht="15" customHeight="1">
      <c r="A747" s="14">
        <v>45915</v>
      </c>
      <c r="B747" s="10">
        <f>VLOOKUP(A747,'BADI SID DATA'!A:B,2,0)</f>
        <v>168</v>
      </c>
      <c r="C747">
        <v>1616.6</v>
      </c>
      <c r="D747" s="64">
        <v>5.72</v>
      </c>
      <c r="F747" s="62">
        <v>1</v>
      </c>
      <c r="G747" s="62">
        <v>1</v>
      </c>
      <c r="H747" s="2">
        <f t="shared" si="34"/>
        <v>212277.50000000006</v>
      </c>
      <c r="I747" s="12">
        <f t="shared" si="35"/>
        <v>0.22452777777777777</v>
      </c>
      <c r="J747" s="12">
        <f t="shared" si="36"/>
        <v>0.17549396494708999</v>
      </c>
    </row>
    <row r="748" spans="1:10" ht="15" customHeight="1">
      <c r="A748" s="14">
        <v>45916</v>
      </c>
      <c r="B748" s="10">
        <f>VLOOKUP(A748,'BADI SID DATA'!A:B,2,0)</f>
        <v>169</v>
      </c>
      <c r="C748">
        <v>1491.4</v>
      </c>
      <c r="D748" s="64">
        <v>5.32</v>
      </c>
      <c r="F748" s="62">
        <v>1</v>
      </c>
      <c r="G748" s="62">
        <v>1</v>
      </c>
      <c r="H748" s="2">
        <f t="shared" si="34"/>
        <v>213768.90000000005</v>
      </c>
      <c r="I748" s="12">
        <f t="shared" si="35"/>
        <v>0.2071388888888889</v>
      </c>
      <c r="J748" s="12">
        <f t="shared" si="36"/>
        <v>0.17568121301775153</v>
      </c>
    </row>
    <row r="749" spans="1:10" ht="15" customHeight="1">
      <c r="A749" s="14">
        <v>45917</v>
      </c>
      <c r="B749" s="10">
        <f>VLOOKUP(A749,'BADI SID DATA'!A:B,2,0)</f>
        <v>170</v>
      </c>
      <c r="C749">
        <v>869</v>
      </c>
      <c r="D749" s="64">
        <v>2.88</v>
      </c>
      <c r="F749" s="62">
        <v>1</v>
      </c>
      <c r="G749" s="62">
        <v>1</v>
      </c>
      <c r="H749" s="2">
        <f t="shared" si="34"/>
        <v>214637.90000000005</v>
      </c>
      <c r="I749" s="12">
        <f t="shared" si="35"/>
        <v>0.12069444444444444</v>
      </c>
      <c r="J749" s="12">
        <f t="shared" si="36"/>
        <v>0.17535776143790854</v>
      </c>
    </row>
    <row r="750" spans="1:10" ht="15" customHeight="1">
      <c r="A750" s="14">
        <v>45918</v>
      </c>
      <c r="B750" s="10">
        <f>VLOOKUP(A750,'BADI SID DATA'!A:B,2,0)</f>
        <v>171</v>
      </c>
      <c r="C750">
        <v>1444.7</v>
      </c>
      <c r="D750" s="64">
        <v>5.0999999999999996</v>
      </c>
      <c r="F750" s="62">
        <v>1</v>
      </c>
      <c r="G750" s="62">
        <v>1</v>
      </c>
      <c r="H750" s="2">
        <f t="shared" si="34"/>
        <v>216082.60000000006</v>
      </c>
      <c r="I750" s="12">
        <f t="shared" si="35"/>
        <v>0.20065277777777779</v>
      </c>
      <c r="J750" s="12">
        <f t="shared" si="36"/>
        <v>0.17550568551007154</v>
      </c>
    </row>
    <row r="751" spans="1:10" ht="15" customHeight="1">
      <c r="A751" s="14">
        <v>45919</v>
      </c>
      <c r="B751" s="10">
        <f>VLOOKUP(A751,'BADI SID DATA'!A:B,2,0)</f>
        <v>172</v>
      </c>
      <c r="C751">
        <v>1674.9</v>
      </c>
      <c r="D751" s="64">
        <v>5.98</v>
      </c>
      <c r="F751" s="62">
        <v>1</v>
      </c>
      <c r="G751" s="62">
        <v>1</v>
      </c>
      <c r="H751" s="2">
        <f t="shared" si="34"/>
        <v>217757.50000000006</v>
      </c>
      <c r="I751" s="12">
        <f t="shared" si="35"/>
        <v>0.23262500000000003</v>
      </c>
      <c r="J751" s="12">
        <f t="shared" si="36"/>
        <v>0.17583777454780367</v>
      </c>
    </row>
    <row r="752" spans="1:10" ht="15" customHeight="1">
      <c r="A752" s="14">
        <v>45920</v>
      </c>
      <c r="B752" s="10">
        <f>VLOOKUP(A752,'BADI SID DATA'!A:B,2,0)</f>
        <v>173</v>
      </c>
      <c r="C752">
        <v>1651.6000000000001</v>
      </c>
      <c r="D752" s="64">
        <v>5.94</v>
      </c>
      <c r="F752" s="62">
        <v>1</v>
      </c>
      <c r="G752" s="62">
        <v>1</v>
      </c>
      <c r="H752" s="2">
        <f t="shared" si="34"/>
        <v>219409.10000000006</v>
      </c>
      <c r="I752" s="12">
        <f t="shared" si="35"/>
        <v>0.22938888888888892</v>
      </c>
      <c r="J752" s="12">
        <f t="shared" si="36"/>
        <v>0.17614731856133595</v>
      </c>
    </row>
    <row r="753" spans="1:10" ht="15" customHeight="1">
      <c r="A753" s="14">
        <v>45921</v>
      </c>
      <c r="B753" s="10">
        <f>VLOOKUP(A753,'BADI SID DATA'!A:B,2,0)</f>
        <v>174</v>
      </c>
      <c r="C753">
        <v>1647.9</v>
      </c>
      <c r="D753" s="64">
        <v>6.01</v>
      </c>
      <c r="F753" s="62">
        <v>1</v>
      </c>
      <c r="G753" s="62">
        <v>1</v>
      </c>
      <c r="H753" s="2">
        <f t="shared" si="34"/>
        <v>221057.00000000006</v>
      </c>
      <c r="I753" s="12">
        <f t="shared" si="35"/>
        <v>0.22887500000000002</v>
      </c>
      <c r="J753" s="12">
        <f t="shared" si="36"/>
        <v>0.17645035121328229</v>
      </c>
    </row>
    <row r="754" spans="1:10" ht="15" customHeight="1">
      <c r="A754" s="14">
        <v>45922</v>
      </c>
      <c r="B754" s="10">
        <f>VLOOKUP(A754,'BADI SID DATA'!A:B,2,0)</f>
        <v>175</v>
      </c>
      <c r="C754">
        <v>1633.3</v>
      </c>
      <c r="D754" s="64">
        <v>5.83</v>
      </c>
      <c r="F754" s="62">
        <v>1</v>
      </c>
      <c r="G754" s="62">
        <v>1</v>
      </c>
      <c r="H754" s="2">
        <f t="shared" si="34"/>
        <v>222690.30000000005</v>
      </c>
      <c r="I754" s="12">
        <f t="shared" si="35"/>
        <v>0.22684722222222223</v>
      </c>
      <c r="J754" s="12">
        <f t="shared" si="36"/>
        <v>0.17673833333333336</v>
      </c>
    </row>
    <row r="755" spans="1:10" ht="15" customHeight="1">
      <c r="A755" s="14">
        <v>45923</v>
      </c>
      <c r="B755" s="10">
        <f>VLOOKUP(A755,'BADI SID DATA'!A:B,2,0)</f>
        <v>176</v>
      </c>
      <c r="C755">
        <v>1215</v>
      </c>
      <c r="D755" s="64">
        <v>4.18</v>
      </c>
      <c r="F755" s="62">
        <v>1</v>
      </c>
      <c r="G755" s="62">
        <v>1</v>
      </c>
      <c r="H755" s="2">
        <f t="shared" si="34"/>
        <v>223905.30000000005</v>
      </c>
      <c r="I755" s="12">
        <f t="shared" si="35"/>
        <v>0.16875000000000001</v>
      </c>
      <c r="J755" s="12">
        <f t="shared" si="36"/>
        <v>0.17669294507575761</v>
      </c>
    </row>
    <row r="756" spans="1:10" ht="15" customHeight="1">
      <c r="A756" s="14">
        <v>45924</v>
      </c>
      <c r="B756" s="10">
        <f>VLOOKUP(A756,'BADI SID DATA'!A:B,2,0)</f>
        <v>177</v>
      </c>
      <c r="C756">
        <v>1566.3</v>
      </c>
      <c r="D756" s="64">
        <v>5.61</v>
      </c>
      <c r="F756" s="62">
        <v>1</v>
      </c>
      <c r="G756" s="62">
        <v>1</v>
      </c>
      <c r="H756" s="2">
        <f t="shared" si="34"/>
        <v>225471.60000000003</v>
      </c>
      <c r="I756" s="12">
        <f t="shared" si="35"/>
        <v>0.21754166666666666</v>
      </c>
      <c r="J756" s="12">
        <f t="shared" si="36"/>
        <v>0.17692372881355936</v>
      </c>
    </row>
    <row r="757" spans="1:10" ht="15" customHeight="1">
      <c r="A757" s="14">
        <v>45925</v>
      </c>
      <c r="B757" s="10">
        <f>VLOOKUP(A757,'BADI SID DATA'!A:B,2,0)</f>
        <v>178</v>
      </c>
      <c r="C757">
        <v>1289</v>
      </c>
      <c r="D757" s="64">
        <v>4.55</v>
      </c>
      <c r="F757" s="62">
        <v>1</v>
      </c>
      <c r="G757" s="62">
        <v>1</v>
      </c>
      <c r="H757" s="2">
        <f t="shared" si="34"/>
        <v>226760.60000000003</v>
      </c>
      <c r="I757" s="12">
        <f t="shared" si="35"/>
        <v>0.17902777777777779</v>
      </c>
      <c r="J757" s="12">
        <f t="shared" si="36"/>
        <v>0.17693554931335834</v>
      </c>
    </row>
    <row r="758" spans="1:10" ht="15" customHeight="1">
      <c r="A758" s="14">
        <v>45926</v>
      </c>
      <c r="B758" s="10">
        <f>VLOOKUP(A758,'BADI SID DATA'!A:B,2,0)</f>
        <v>179</v>
      </c>
      <c r="C758">
        <v>1597.1000000000001</v>
      </c>
      <c r="D758" s="64">
        <v>5.65</v>
      </c>
      <c r="F758" s="62">
        <v>1</v>
      </c>
      <c r="G758" s="62">
        <v>1</v>
      </c>
      <c r="H758" s="2">
        <f t="shared" si="34"/>
        <v>228357.70000000004</v>
      </c>
      <c r="I758" s="12">
        <f t="shared" si="35"/>
        <v>0.22181944444444446</v>
      </c>
      <c r="J758" s="12">
        <f t="shared" si="36"/>
        <v>0.17718629733085042</v>
      </c>
    </row>
    <row r="759" spans="1:10" ht="15" customHeight="1">
      <c r="A759" s="14">
        <v>45927</v>
      </c>
      <c r="B759" s="10">
        <f>VLOOKUP(A759,'BADI SID DATA'!A:B,2,0)</f>
        <v>180</v>
      </c>
      <c r="C759">
        <v>1283.2</v>
      </c>
      <c r="D759" s="64">
        <v>5.65</v>
      </c>
      <c r="F759" s="62">
        <v>1</v>
      </c>
      <c r="G759" s="62">
        <v>0.93472222222222212</v>
      </c>
      <c r="H759" s="2">
        <f t="shared" si="34"/>
        <v>229640.90000000005</v>
      </c>
      <c r="I759" s="12">
        <f t="shared" si="35"/>
        <v>0.17822222222222223</v>
      </c>
      <c r="J759" s="12">
        <f t="shared" si="36"/>
        <v>0.17719205246913583</v>
      </c>
    </row>
    <row r="760" spans="1:10" ht="15" customHeight="1">
      <c r="A760" s="14">
        <v>45928</v>
      </c>
      <c r="B760" s="10">
        <f>VLOOKUP(A760,'BADI SID DATA'!A:B,2,0)</f>
        <v>181</v>
      </c>
      <c r="C760">
        <v>1467.5</v>
      </c>
      <c r="D760" s="64">
        <v>5.55</v>
      </c>
      <c r="F760" s="62">
        <v>1</v>
      </c>
      <c r="G760" s="62">
        <v>1</v>
      </c>
      <c r="H760" s="2">
        <f t="shared" si="34"/>
        <v>231108.40000000005</v>
      </c>
      <c r="I760" s="12">
        <f t="shared" si="35"/>
        <v>0.20381944444444444</v>
      </c>
      <c r="J760" s="12">
        <f t="shared" si="36"/>
        <v>0.17733916513198286</v>
      </c>
    </row>
    <row r="761" spans="1:10" ht="15" customHeight="1">
      <c r="A761" s="14">
        <v>45929</v>
      </c>
      <c r="B761" s="10">
        <f>VLOOKUP(A761,'BADI SID DATA'!A:B,2,0)</f>
        <v>182</v>
      </c>
      <c r="C761">
        <v>1649.8999999999999</v>
      </c>
      <c r="D761" s="64">
        <v>5.98</v>
      </c>
      <c r="F761" s="62">
        <v>1</v>
      </c>
      <c r="G761" s="62">
        <v>1</v>
      </c>
      <c r="H761" s="2">
        <f t="shared" si="34"/>
        <v>232758.30000000005</v>
      </c>
      <c r="I761" s="12">
        <f t="shared" si="35"/>
        <v>0.22915277777777776</v>
      </c>
      <c r="J761" s="12">
        <f t="shared" si="36"/>
        <v>0.17762385531135536</v>
      </c>
    </row>
    <row r="762" spans="1:10" ht="15" customHeight="1">
      <c r="A762" s="14">
        <v>45930</v>
      </c>
      <c r="B762" s="10">
        <f>VLOOKUP(A762,'BADI SID DATA'!A:B,2,0)</f>
        <v>183</v>
      </c>
      <c r="C762">
        <v>1534.3</v>
      </c>
      <c r="D762" s="64">
        <v>5.49</v>
      </c>
      <c r="F762" s="62">
        <v>1</v>
      </c>
      <c r="G762" s="62">
        <v>0.96527777777777779</v>
      </c>
      <c r="H762" s="2">
        <f t="shared" si="34"/>
        <v>234292.60000000003</v>
      </c>
      <c r="I762" s="12">
        <f t="shared" si="35"/>
        <v>0.21309722222222222</v>
      </c>
      <c r="J762" s="12">
        <f t="shared" si="36"/>
        <v>0.1778176988463874</v>
      </c>
    </row>
    <row r="763" spans="1:10" ht="15" customHeight="1">
      <c r="A763" s="14">
        <v>45931</v>
      </c>
      <c r="B763" s="10">
        <f>VLOOKUP(A763,'BADI SID DATA'!A:B,2,0)</f>
        <v>184</v>
      </c>
      <c r="C763">
        <v>1583.1999999999998</v>
      </c>
      <c r="D763" s="64">
        <v>5.69</v>
      </c>
      <c r="F763" s="62">
        <v>1</v>
      </c>
      <c r="G763" s="62">
        <v>0.98750000000000004</v>
      </c>
      <c r="H763" s="2">
        <f t="shared" si="34"/>
        <v>235875.80000000005</v>
      </c>
      <c r="I763" s="12">
        <f t="shared" si="35"/>
        <v>0.21988888888888886</v>
      </c>
      <c r="J763" s="12">
        <f t="shared" si="36"/>
        <v>0.17804634661835753</v>
      </c>
    </row>
    <row r="764" spans="1:10" ht="15" customHeight="1">
      <c r="A764" s="14">
        <v>45932</v>
      </c>
      <c r="B764" s="10">
        <f>VLOOKUP(A764,'BADI SID DATA'!A:B,2,0)</f>
        <v>185</v>
      </c>
      <c r="C764">
        <v>1286.9000000000001</v>
      </c>
      <c r="D764" s="64">
        <v>4.3899999999999997</v>
      </c>
      <c r="F764" s="62">
        <v>1</v>
      </c>
      <c r="G764" s="62">
        <v>1</v>
      </c>
      <c r="H764" s="2">
        <f t="shared" si="34"/>
        <v>237162.70000000004</v>
      </c>
      <c r="I764" s="12">
        <f t="shared" si="35"/>
        <v>0.17873611111111112</v>
      </c>
      <c r="J764" s="12">
        <f t="shared" si="36"/>
        <v>0.17805007507507511</v>
      </c>
    </row>
    <row r="765" spans="1:10" ht="15" customHeight="1">
      <c r="A765" s="14">
        <v>45933</v>
      </c>
      <c r="B765" s="10">
        <f>VLOOKUP(A765,'BADI SID DATA'!A:B,2,0)</f>
        <v>186</v>
      </c>
      <c r="C765">
        <v>1464.9</v>
      </c>
      <c r="D765" s="64">
        <v>5.23</v>
      </c>
      <c r="F765" s="62">
        <v>1</v>
      </c>
      <c r="G765" s="62">
        <v>1</v>
      </c>
      <c r="H765" s="2">
        <f t="shared" si="34"/>
        <v>238627.60000000003</v>
      </c>
      <c r="I765" s="12">
        <f t="shared" si="35"/>
        <v>0.20345833333333335</v>
      </c>
      <c r="J765" s="12">
        <f t="shared" si="36"/>
        <v>0.17818667861409798</v>
      </c>
    </row>
    <row r="766" spans="1:10" ht="15" customHeight="1">
      <c r="A766" s="14">
        <v>45934</v>
      </c>
      <c r="B766" s="10">
        <f>VLOOKUP(A766,'BADI SID DATA'!A:B,2,0)</f>
        <v>187</v>
      </c>
      <c r="C766">
        <v>1045.4000000000001</v>
      </c>
      <c r="D766" s="64">
        <v>3.58</v>
      </c>
      <c r="F766" s="62">
        <v>1</v>
      </c>
      <c r="G766" s="62">
        <v>1</v>
      </c>
      <c r="H766" s="2">
        <f t="shared" si="34"/>
        <v>239673.00000000003</v>
      </c>
      <c r="I766" s="12">
        <f t="shared" si="35"/>
        <v>0.14519444444444446</v>
      </c>
      <c r="J766" s="12">
        <f t="shared" si="36"/>
        <v>0.17801024955436723</v>
      </c>
    </row>
    <row r="767" spans="1:10" ht="15" customHeight="1">
      <c r="A767" s="14">
        <v>45935</v>
      </c>
      <c r="B767" s="10">
        <f>VLOOKUP(A767,'BADI SID DATA'!A:B,2,0)</f>
        <v>188</v>
      </c>
      <c r="C767">
        <v>1258.8000000000002</v>
      </c>
      <c r="D767" s="64">
        <v>3.58</v>
      </c>
      <c r="F767" s="62">
        <v>1</v>
      </c>
      <c r="G767" s="62">
        <v>0.83472222222222225</v>
      </c>
      <c r="H767" s="2">
        <f t="shared" si="34"/>
        <v>240931.80000000002</v>
      </c>
      <c r="I767" s="12">
        <f t="shared" si="35"/>
        <v>0.17483333333333337</v>
      </c>
      <c r="J767" s="12">
        <f t="shared" si="36"/>
        <v>0.1779933510638298</v>
      </c>
    </row>
    <row r="768" spans="1:10" ht="15" customHeight="1">
      <c r="A768" s="14">
        <v>45936</v>
      </c>
      <c r="B768" s="10">
        <f>VLOOKUP(A768,'BADI SID DATA'!A:B,2,0)</f>
        <v>189</v>
      </c>
      <c r="C768">
        <v>1565.8</v>
      </c>
      <c r="D768" s="64">
        <v>5.52</v>
      </c>
      <c r="F768" s="62">
        <v>1</v>
      </c>
      <c r="G768" s="62">
        <v>1</v>
      </c>
      <c r="H768" s="2">
        <f t="shared" si="34"/>
        <v>242497.6</v>
      </c>
      <c r="I768" s="12">
        <f t="shared" si="35"/>
        <v>0.21747222222222221</v>
      </c>
      <c r="J768" s="12">
        <f t="shared" si="36"/>
        <v>0.17820223398001175</v>
      </c>
    </row>
    <row r="769" spans="1:11" ht="15" customHeight="1">
      <c r="A769" s="14">
        <v>45937</v>
      </c>
      <c r="B769" s="10">
        <f>VLOOKUP(A769,'BADI SID DATA'!A:B,2,0)</f>
        <v>190</v>
      </c>
      <c r="C769">
        <v>1451.3000000000002</v>
      </c>
      <c r="D769" s="64">
        <v>5.16</v>
      </c>
      <c r="F769" s="62">
        <v>1</v>
      </c>
      <c r="G769" s="62">
        <v>0.95694444444444449</v>
      </c>
      <c r="H769" s="2">
        <f t="shared" si="34"/>
        <v>243948.9</v>
      </c>
      <c r="I769" s="12">
        <f t="shared" si="35"/>
        <v>0.20156944444444447</v>
      </c>
      <c r="J769" s="12">
        <f t="shared" si="36"/>
        <v>0.1783252192982456</v>
      </c>
    </row>
    <row r="770" spans="1:11" ht="15" customHeight="1">
      <c r="A770" s="14">
        <v>45938</v>
      </c>
      <c r="B770" s="10">
        <f>VLOOKUP(A770,'BADI SID DATA'!A:B,2,0)</f>
        <v>191</v>
      </c>
      <c r="C770">
        <v>1061.9000000000001</v>
      </c>
      <c r="D770" s="64">
        <v>3.65</v>
      </c>
      <c r="F770" s="62">
        <v>1</v>
      </c>
      <c r="G770" s="62">
        <v>1</v>
      </c>
      <c r="H770" s="2">
        <f t="shared" si="34"/>
        <v>245010.8</v>
      </c>
      <c r="I770" s="12">
        <f t="shared" si="35"/>
        <v>0.14748611111111112</v>
      </c>
      <c r="J770" s="12">
        <f t="shared" si="36"/>
        <v>0.17816375799883652</v>
      </c>
    </row>
    <row r="771" spans="1:11" ht="15" customHeight="1">
      <c r="A771" s="14">
        <v>45939</v>
      </c>
      <c r="B771" s="10">
        <f>VLOOKUP(A771,'BADI SID DATA'!A:B,2,0)</f>
        <v>192</v>
      </c>
      <c r="C771">
        <v>1241.9000000000001</v>
      </c>
      <c r="D771" s="64">
        <v>4.4400000000000004</v>
      </c>
      <c r="F771" s="62">
        <v>1</v>
      </c>
      <c r="G771" s="62">
        <v>0.99027777777777781</v>
      </c>
      <c r="H771" s="2">
        <f t="shared" ref="H771:H834" si="37">H770+C771</f>
        <v>246252.69999999998</v>
      </c>
      <c r="I771" s="12">
        <f t="shared" ref="I771:I834" si="38">C771/(300*24)</f>
        <v>0.17248611111111112</v>
      </c>
      <c r="J771" s="12">
        <f t="shared" ref="J771:J834" si="39">H771/(24*B771*300)</f>
        <v>0.17813418692129629</v>
      </c>
    </row>
    <row r="772" spans="1:11" ht="15" customHeight="1">
      <c r="A772" s="14">
        <v>45940</v>
      </c>
      <c r="B772" s="10">
        <f>VLOOKUP(A772,'BADI SID DATA'!A:B,2,0)</f>
        <v>193</v>
      </c>
      <c r="C772">
        <v>1035.2</v>
      </c>
      <c r="D772" s="64">
        <v>3.45</v>
      </c>
      <c r="F772" s="62">
        <v>1</v>
      </c>
      <c r="G772" s="62">
        <v>1</v>
      </c>
      <c r="H772" s="2">
        <f t="shared" si="37"/>
        <v>247287.9</v>
      </c>
      <c r="I772" s="12">
        <f t="shared" si="38"/>
        <v>0.14377777777777778</v>
      </c>
      <c r="J772" s="12">
        <f t="shared" si="39"/>
        <v>0.17795617443868739</v>
      </c>
    </row>
    <row r="773" spans="1:11" ht="15" customHeight="1">
      <c r="A773" s="14">
        <v>45941</v>
      </c>
      <c r="B773" s="10">
        <f>VLOOKUP(A773,'BADI SID DATA'!A:B,2,0)</f>
        <v>194</v>
      </c>
      <c r="C773">
        <v>777.2</v>
      </c>
      <c r="D773" s="64">
        <v>2.4500000000000002</v>
      </c>
      <c r="F773" s="62">
        <v>1</v>
      </c>
      <c r="G773" s="62">
        <v>1</v>
      </c>
      <c r="H773" s="2">
        <f t="shared" si="37"/>
        <v>248065.1</v>
      </c>
      <c r="I773" s="12">
        <f t="shared" si="38"/>
        <v>0.10794444444444445</v>
      </c>
      <c r="J773" s="12">
        <f t="shared" si="39"/>
        <v>0.17759528923253151</v>
      </c>
    </row>
    <row r="774" spans="1:11" ht="15" customHeight="1">
      <c r="A774" s="14">
        <v>45942</v>
      </c>
      <c r="B774" s="10">
        <f>VLOOKUP(A774,'BADI SID DATA'!A:B,2,0)</f>
        <v>195</v>
      </c>
      <c r="C774">
        <v>1484.8999999999999</v>
      </c>
      <c r="D774" s="64">
        <v>5.21</v>
      </c>
      <c r="F774" s="62">
        <v>1</v>
      </c>
      <c r="G774" s="62">
        <v>1</v>
      </c>
      <c r="H774" s="2">
        <f t="shared" si="37"/>
        <v>249550</v>
      </c>
      <c r="I774" s="12">
        <f t="shared" si="38"/>
        <v>0.20623611111111109</v>
      </c>
      <c r="J774" s="12">
        <f t="shared" si="39"/>
        <v>0.17774216524216524</v>
      </c>
    </row>
    <row r="775" spans="1:11" ht="15" customHeight="1">
      <c r="A775" s="14">
        <v>45943</v>
      </c>
      <c r="B775" s="10">
        <f>VLOOKUP(A775,'BADI SID DATA'!A:B,2,0)</f>
        <v>196</v>
      </c>
      <c r="C775">
        <v>787.7</v>
      </c>
      <c r="D775" s="64">
        <v>2.66</v>
      </c>
      <c r="F775" s="62">
        <v>1</v>
      </c>
      <c r="G775" s="62">
        <v>0.99027777777777781</v>
      </c>
      <c r="H775" s="2">
        <f t="shared" si="37"/>
        <v>250337.7</v>
      </c>
      <c r="I775" s="12">
        <f t="shared" si="38"/>
        <v>0.10940277777777778</v>
      </c>
      <c r="J775" s="12">
        <f t="shared" si="39"/>
        <v>0.17739349489795919</v>
      </c>
    </row>
    <row r="776" spans="1:11" ht="15" customHeight="1">
      <c r="A776" s="14">
        <v>45944</v>
      </c>
      <c r="B776" s="10">
        <f>VLOOKUP(A776,'BADI SID DATA'!A:B,2,0)</f>
        <v>197</v>
      </c>
      <c r="C776">
        <v>1304.0999999999999</v>
      </c>
      <c r="D776" s="64">
        <v>4.41</v>
      </c>
      <c r="F776" s="62">
        <v>1</v>
      </c>
      <c r="G776" s="62">
        <v>1</v>
      </c>
      <c r="H776" s="2">
        <f t="shared" si="37"/>
        <v>251641.80000000002</v>
      </c>
      <c r="I776" s="12">
        <f t="shared" si="38"/>
        <v>0.18112499999999998</v>
      </c>
      <c r="J776" s="12">
        <f t="shared" si="39"/>
        <v>0.17741243654822336</v>
      </c>
    </row>
    <row r="777" spans="1:11" ht="15" customHeight="1">
      <c r="A777" s="14">
        <v>45945</v>
      </c>
      <c r="B777" s="10">
        <f>VLOOKUP(A777,'BADI SID DATA'!A:B,2,0)</f>
        <v>198</v>
      </c>
      <c r="C777">
        <v>1065.8</v>
      </c>
      <c r="D777" s="64">
        <v>3.72</v>
      </c>
      <c r="F777" s="62">
        <v>1</v>
      </c>
      <c r="G777" s="62">
        <v>1</v>
      </c>
      <c r="H777" s="2">
        <f t="shared" si="37"/>
        <v>252707.6</v>
      </c>
      <c r="I777" s="12">
        <f t="shared" si="38"/>
        <v>0.14802777777777776</v>
      </c>
      <c r="J777" s="12">
        <f t="shared" si="39"/>
        <v>0.17726402918069586</v>
      </c>
    </row>
    <row r="778" spans="1:11" ht="15" customHeight="1">
      <c r="A778" s="14">
        <v>45946</v>
      </c>
      <c r="B778" s="10">
        <f>VLOOKUP(A778,'BADI SID DATA'!A:B,2,0)</f>
        <v>199</v>
      </c>
      <c r="C778">
        <v>446.3</v>
      </c>
      <c r="D778" s="5">
        <v>1.31</v>
      </c>
      <c r="F778" s="62">
        <v>1</v>
      </c>
      <c r="G778" s="62">
        <v>1</v>
      </c>
      <c r="H778" s="2">
        <f t="shared" si="37"/>
        <v>253153.9</v>
      </c>
      <c r="I778" s="12">
        <f t="shared" si="38"/>
        <v>6.198611111111111E-2</v>
      </c>
      <c r="J778" s="12">
        <f t="shared" si="39"/>
        <v>0.17668474316024566</v>
      </c>
    </row>
    <row r="779" spans="1:11" ht="15" customHeight="1">
      <c r="A779" s="14">
        <v>45947</v>
      </c>
      <c r="B779" s="10">
        <f>VLOOKUP(A779,'BADI SID DATA'!A:B,2,0)</f>
        <v>200</v>
      </c>
      <c r="C779">
        <v>17.5</v>
      </c>
      <c r="D779" s="5">
        <v>0.43</v>
      </c>
      <c r="F779" s="62">
        <v>1</v>
      </c>
      <c r="G779" s="62">
        <v>0.6</v>
      </c>
      <c r="H779" s="2">
        <f t="shared" si="37"/>
        <v>253171.4</v>
      </c>
      <c r="I779" s="12">
        <f t="shared" si="38"/>
        <v>2.4305555555555556E-3</v>
      </c>
      <c r="J779" s="12">
        <f t="shared" si="39"/>
        <v>0.17581347222222221</v>
      </c>
      <c r="K779" s="59" t="s">
        <v>91</v>
      </c>
    </row>
    <row r="780" spans="1:11" ht="15" customHeight="1">
      <c r="A780" s="14">
        <v>45948</v>
      </c>
      <c r="B780" s="10">
        <f>VLOOKUP(A780,'BADI SID DATA'!A:B,2,0)</f>
        <v>201</v>
      </c>
      <c r="C780">
        <v>1245.3</v>
      </c>
      <c r="D780" s="5">
        <v>5.25</v>
      </c>
      <c r="F780" s="62">
        <v>1</v>
      </c>
      <c r="G780" s="62">
        <v>1</v>
      </c>
      <c r="H780" s="2">
        <f t="shared" si="37"/>
        <v>254416.69999999998</v>
      </c>
      <c r="I780" s="12">
        <f t="shared" si="38"/>
        <v>0.17295833333333333</v>
      </c>
      <c r="J780" s="12">
        <f t="shared" si="39"/>
        <v>0.1757992675511332</v>
      </c>
    </row>
    <row r="781" spans="1:11" ht="15" customHeight="1">
      <c r="A781" s="14">
        <v>45949</v>
      </c>
      <c r="B781" s="10">
        <f>VLOOKUP(A781,'BADI SID DATA'!A:B,2,0)</f>
        <v>202</v>
      </c>
      <c r="C781">
        <v>1144</v>
      </c>
      <c r="D781" s="5">
        <v>3.42</v>
      </c>
      <c r="F781" s="62">
        <v>1</v>
      </c>
      <c r="G781" s="62">
        <v>1</v>
      </c>
      <c r="H781" s="2">
        <f t="shared" si="37"/>
        <v>255560.69999999998</v>
      </c>
      <c r="I781" s="12">
        <f t="shared" si="38"/>
        <v>0.15888888888888889</v>
      </c>
      <c r="J781" s="12">
        <f t="shared" si="39"/>
        <v>0.17571555280528051</v>
      </c>
    </row>
    <row r="782" spans="1:11" ht="15" customHeight="1">
      <c r="A782" s="14">
        <v>45950</v>
      </c>
      <c r="B782" s="10">
        <f>VLOOKUP(A782,'BADI SID DATA'!A:B,2,0)</f>
        <v>203</v>
      </c>
      <c r="C782">
        <v>1472.2</v>
      </c>
      <c r="D782" s="5">
        <v>5.16</v>
      </c>
      <c r="F782" s="62">
        <v>1</v>
      </c>
      <c r="G782" s="62">
        <v>1</v>
      </c>
      <c r="H782" s="2">
        <f t="shared" si="37"/>
        <v>257032.9</v>
      </c>
      <c r="I782" s="12">
        <f t="shared" si="38"/>
        <v>0.20447222222222222</v>
      </c>
      <c r="J782" s="12">
        <f t="shared" si="39"/>
        <v>0.17585721127531473</v>
      </c>
    </row>
    <row r="783" spans="1:11" ht="15" customHeight="1">
      <c r="A783" s="14">
        <v>45951</v>
      </c>
      <c r="B783" s="10">
        <f>VLOOKUP(A783,'BADI SID DATA'!A:B,2,0)</f>
        <v>204</v>
      </c>
      <c r="C783">
        <v>1462</v>
      </c>
      <c r="D783" s="5">
        <v>5.67</v>
      </c>
      <c r="E783" s="5">
        <v>255</v>
      </c>
      <c r="F783" s="62">
        <v>1</v>
      </c>
      <c r="G783" s="62">
        <v>1</v>
      </c>
      <c r="H783" s="2">
        <f t="shared" si="37"/>
        <v>258494.9</v>
      </c>
      <c r="I783" s="12">
        <f t="shared" si="38"/>
        <v>0.20305555555555554</v>
      </c>
      <c r="J783" s="12">
        <f t="shared" si="39"/>
        <v>0.17599053649237473</v>
      </c>
    </row>
    <row r="784" spans="1:11" ht="15" customHeight="1">
      <c r="A784" s="14">
        <v>45952</v>
      </c>
      <c r="B784" s="10">
        <f>VLOOKUP(A784,'BADI SID DATA'!A:B,2,0)</f>
        <v>205</v>
      </c>
      <c r="C784">
        <v>707.1</v>
      </c>
      <c r="D784" s="5">
        <v>2.64</v>
      </c>
      <c r="E784" s="5">
        <v>194.5</v>
      </c>
      <c r="F784" s="62">
        <v>1</v>
      </c>
      <c r="G784" s="62">
        <v>1</v>
      </c>
      <c r="H784" s="2">
        <f t="shared" si="37"/>
        <v>259202</v>
      </c>
      <c r="I784" s="12">
        <f t="shared" si="38"/>
        <v>9.8208333333333342E-2</v>
      </c>
      <c r="J784" s="12">
        <f t="shared" si="39"/>
        <v>0.17561111111111111</v>
      </c>
    </row>
    <row r="785" spans="1:11" ht="15" customHeight="1">
      <c r="A785" s="14">
        <v>45953</v>
      </c>
      <c r="B785" s="10">
        <f>VLOOKUP(A785,'BADI SID DATA'!A:B,2,0)</f>
        <v>206</v>
      </c>
      <c r="C785">
        <v>441</v>
      </c>
      <c r="D785" s="5">
        <v>2</v>
      </c>
      <c r="E785" s="5">
        <v>114</v>
      </c>
      <c r="F785" s="62">
        <v>1</v>
      </c>
      <c r="G785" s="62">
        <v>1</v>
      </c>
      <c r="H785" s="2">
        <f t="shared" si="37"/>
        <v>259643</v>
      </c>
      <c r="I785" s="12">
        <f t="shared" si="38"/>
        <v>6.1249999999999999E-2</v>
      </c>
      <c r="J785" s="12">
        <f t="shared" si="39"/>
        <v>0.17505596008629989</v>
      </c>
    </row>
    <row r="786" spans="1:11" ht="15" customHeight="1">
      <c r="A786" s="14">
        <v>45954</v>
      </c>
      <c r="B786" s="10">
        <f>VLOOKUP(A786,'BADI SID DATA'!A:B,2,0)</f>
        <v>207</v>
      </c>
      <c r="C786">
        <v>960</v>
      </c>
      <c r="D786" s="5">
        <v>2.95</v>
      </c>
      <c r="E786" s="5">
        <v>203</v>
      </c>
      <c r="F786" s="62">
        <v>1</v>
      </c>
      <c r="G786" s="62">
        <v>1</v>
      </c>
      <c r="H786" s="2">
        <f t="shared" si="37"/>
        <v>260603</v>
      </c>
      <c r="I786" s="12">
        <f t="shared" si="38"/>
        <v>0.13333333333333333</v>
      </c>
      <c r="J786" s="12">
        <f t="shared" si="39"/>
        <v>0.17485440150295223</v>
      </c>
    </row>
    <row r="787" spans="1:11" ht="15" customHeight="1">
      <c r="A787" s="14">
        <v>45955</v>
      </c>
      <c r="B787" s="10">
        <f>VLOOKUP(A787,'BADI SID DATA'!A:B,2,0)</f>
        <v>208</v>
      </c>
      <c r="C787">
        <v>1387.4</v>
      </c>
      <c r="D787" s="5">
        <v>5.9</v>
      </c>
      <c r="E787" s="5">
        <v>268</v>
      </c>
      <c r="F787" s="62">
        <v>1</v>
      </c>
      <c r="G787" s="62">
        <v>1</v>
      </c>
      <c r="H787" s="2">
        <f t="shared" si="37"/>
        <v>261990.39999999999</v>
      </c>
      <c r="I787" s="12">
        <f t="shared" si="38"/>
        <v>0.19269444444444445</v>
      </c>
      <c r="J787" s="12">
        <f t="shared" si="39"/>
        <v>0.17494017094017095</v>
      </c>
    </row>
    <row r="788" spans="1:11" ht="15" customHeight="1">
      <c r="A788" s="14">
        <v>45956</v>
      </c>
      <c r="B788" s="10">
        <f>VLOOKUP(A788,'BADI SID DATA'!A:B,2,0)</f>
        <v>209</v>
      </c>
      <c r="C788">
        <v>953.4</v>
      </c>
      <c r="D788" s="5">
        <v>4.24</v>
      </c>
      <c r="E788" s="5">
        <v>257.5</v>
      </c>
      <c r="F788" s="62">
        <v>1</v>
      </c>
      <c r="G788" s="62">
        <v>1</v>
      </c>
      <c r="H788" s="2">
        <f t="shared" si="37"/>
        <v>262943.8</v>
      </c>
      <c r="I788" s="12">
        <f t="shared" si="38"/>
        <v>0.13241666666666665</v>
      </c>
      <c r="J788" s="12">
        <f t="shared" si="39"/>
        <v>0.1747367091972355</v>
      </c>
    </row>
    <row r="789" spans="1:11" ht="15" customHeight="1">
      <c r="A789" s="14">
        <v>45957</v>
      </c>
      <c r="B789" s="10">
        <f>VLOOKUP(A789,'BADI SID DATA'!A:B,2,0)</f>
        <v>210</v>
      </c>
      <c r="C789">
        <v>729.1</v>
      </c>
      <c r="D789" s="5">
        <v>1.79</v>
      </c>
      <c r="E789" s="5">
        <v>493</v>
      </c>
      <c r="F789" s="62">
        <v>1</v>
      </c>
      <c r="G789" s="62">
        <v>1</v>
      </c>
      <c r="H789" s="2">
        <f t="shared" si="37"/>
        <v>263672.89999999997</v>
      </c>
      <c r="I789" s="12">
        <f t="shared" si="38"/>
        <v>0.10126388888888889</v>
      </c>
      <c r="J789" s="12">
        <f t="shared" si="39"/>
        <v>0.1743868386243386</v>
      </c>
      <c r="K789" s="59" t="s">
        <v>100</v>
      </c>
    </row>
    <row r="790" spans="1:11" ht="15" customHeight="1">
      <c r="A790" s="14">
        <v>45958</v>
      </c>
      <c r="B790" s="10">
        <f>VLOOKUP(A790,'BADI SID DATA'!A:B,2,0)</f>
        <v>211</v>
      </c>
      <c r="C790">
        <v>1374</v>
      </c>
      <c r="D790" s="5">
        <v>4.9400000000000004</v>
      </c>
      <c r="E790" s="5">
        <v>268</v>
      </c>
      <c r="F790" s="62">
        <v>1</v>
      </c>
      <c r="G790" s="62">
        <v>1</v>
      </c>
      <c r="H790" s="2">
        <f t="shared" si="37"/>
        <v>265046.89999999997</v>
      </c>
      <c r="I790" s="12">
        <f t="shared" si="38"/>
        <v>0.19083333333333333</v>
      </c>
      <c r="J790" s="12">
        <f t="shared" si="39"/>
        <v>0.17446478409689309</v>
      </c>
    </row>
    <row r="791" spans="1:11" ht="15" customHeight="1">
      <c r="A791" s="14">
        <v>45959</v>
      </c>
      <c r="B791" s="10">
        <f>VLOOKUP(A791,'BADI SID DATA'!A:B,2,0)</f>
        <v>212</v>
      </c>
      <c r="C791">
        <v>1282</v>
      </c>
      <c r="D791" s="5">
        <v>5.17</v>
      </c>
      <c r="E791" s="5">
        <v>299</v>
      </c>
      <c r="F791" s="62">
        <v>1</v>
      </c>
      <c r="G791" s="62">
        <v>1</v>
      </c>
      <c r="H791" s="2">
        <f t="shared" si="37"/>
        <v>266328.89999999997</v>
      </c>
      <c r="I791" s="12">
        <f t="shared" si="38"/>
        <v>0.17805555555555555</v>
      </c>
      <c r="J791" s="12">
        <f t="shared" si="39"/>
        <v>0.17448172169811318</v>
      </c>
    </row>
    <row r="792" spans="1:11" ht="15" customHeight="1">
      <c r="A792" s="14">
        <v>45960</v>
      </c>
      <c r="B792" s="10">
        <f>VLOOKUP(A792,'BADI SID DATA'!A:B,2,0)</f>
        <v>213</v>
      </c>
      <c r="C792">
        <v>1472.1</v>
      </c>
      <c r="D792" s="5">
        <v>5.46</v>
      </c>
      <c r="E792" s="5">
        <v>248</v>
      </c>
      <c r="F792" s="62">
        <v>1</v>
      </c>
      <c r="G792" s="62">
        <v>1</v>
      </c>
      <c r="H792" s="2">
        <f t="shared" si="37"/>
        <v>267800.99999999994</v>
      </c>
      <c r="I792" s="12">
        <f t="shared" si="38"/>
        <v>0.20445833333333333</v>
      </c>
      <c r="J792" s="12">
        <f t="shared" si="39"/>
        <v>0.17462245696400622</v>
      </c>
    </row>
    <row r="793" spans="1:11" ht="15" customHeight="1">
      <c r="A793" s="14">
        <v>45961</v>
      </c>
      <c r="B793" s="10">
        <f>VLOOKUP(A793,'BADI SID DATA'!A:B,2,0)</f>
        <v>214</v>
      </c>
      <c r="C793">
        <v>1489</v>
      </c>
      <c r="D793" s="5">
        <v>5.86</v>
      </c>
      <c r="E793" s="5">
        <v>268.5</v>
      </c>
      <c r="F793" s="62">
        <v>1</v>
      </c>
      <c r="G793" s="62">
        <v>1</v>
      </c>
      <c r="H793" s="2">
        <f t="shared" si="37"/>
        <v>269289.99999999994</v>
      </c>
      <c r="I793" s="12">
        <f t="shared" si="38"/>
        <v>0.20680555555555555</v>
      </c>
      <c r="J793" s="12">
        <f t="shared" si="39"/>
        <v>0.17477284527518169</v>
      </c>
    </row>
    <row r="794" spans="1:11" ht="15" customHeight="1">
      <c r="A794" s="14">
        <v>45962</v>
      </c>
      <c r="B794" s="10">
        <f>VLOOKUP(A794,'BADI SID DATA'!A:B,2,0)</f>
        <v>215</v>
      </c>
      <c r="C794">
        <v>1473.4</v>
      </c>
      <c r="D794" s="5">
        <v>5.82</v>
      </c>
      <c r="E794" s="5">
        <v>249</v>
      </c>
      <c r="F794" s="62">
        <v>1</v>
      </c>
      <c r="G794" s="62">
        <v>1</v>
      </c>
      <c r="H794" s="2">
        <f t="shared" si="37"/>
        <v>270763.39999999997</v>
      </c>
      <c r="I794" s="12">
        <f t="shared" si="38"/>
        <v>0.2046388888888889</v>
      </c>
      <c r="J794" s="12">
        <f t="shared" si="39"/>
        <v>0.17491175710594312</v>
      </c>
    </row>
    <row r="795" spans="1:11" ht="15" customHeight="1">
      <c r="A795" s="14">
        <v>45963</v>
      </c>
      <c r="B795" s="10">
        <f>VLOOKUP(A795,'BADI SID DATA'!A:B,2,0)</f>
        <v>216</v>
      </c>
      <c r="C795">
        <v>928</v>
      </c>
      <c r="D795" s="5">
        <v>6.04</v>
      </c>
      <c r="E795" s="5">
        <v>227</v>
      </c>
      <c r="F795" s="62">
        <v>1</v>
      </c>
      <c r="G795" s="62">
        <v>0.66</v>
      </c>
      <c r="H795" s="2">
        <f t="shared" si="37"/>
        <v>271691.39999999997</v>
      </c>
      <c r="I795" s="12">
        <f t="shared" si="38"/>
        <v>0.12888888888888889</v>
      </c>
      <c r="J795" s="12">
        <f t="shared" si="39"/>
        <v>0.17469868827160492</v>
      </c>
      <c r="K795" s="59" t="s">
        <v>106</v>
      </c>
    </row>
    <row r="796" spans="1:11" ht="15" customHeight="1">
      <c r="A796" s="14">
        <v>45964</v>
      </c>
      <c r="B796" s="10">
        <f>VLOOKUP(A796,'BADI SID DATA'!A:B,2,0)</f>
        <v>217</v>
      </c>
      <c r="C796">
        <v>1601.1</v>
      </c>
      <c r="D796" s="5">
        <v>6.03</v>
      </c>
      <c r="E796" s="5">
        <v>240</v>
      </c>
      <c r="F796" s="62">
        <v>1</v>
      </c>
      <c r="G796" s="62">
        <v>1</v>
      </c>
      <c r="H796" s="2">
        <f t="shared" si="37"/>
        <v>273292.49999999994</v>
      </c>
      <c r="I796" s="12">
        <f t="shared" si="38"/>
        <v>0.22237499999999999</v>
      </c>
      <c r="J796" s="12">
        <f t="shared" si="39"/>
        <v>0.1749183947772657</v>
      </c>
    </row>
    <row r="797" spans="1:11" ht="15" customHeight="1">
      <c r="A797" s="14">
        <v>45965</v>
      </c>
      <c r="B797" s="10">
        <f>VLOOKUP(A797,'BADI SID DATA'!A:B,2,0)</f>
        <v>218</v>
      </c>
      <c r="C797">
        <v>1522</v>
      </c>
      <c r="D797" s="5">
        <v>5.86</v>
      </c>
      <c r="E797" s="5">
        <v>227.5</v>
      </c>
      <c r="F797" s="62">
        <v>1</v>
      </c>
      <c r="G797" s="62">
        <v>1</v>
      </c>
      <c r="H797" s="2">
        <f t="shared" si="37"/>
        <v>274814.49999999994</v>
      </c>
      <c r="I797" s="12">
        <f t="shared" si="38"/>
        <v>0.21138888888888888</v>
      </c>
      <c r="J797" s="12">
        <f t="shared" si="39"/>
        <v>0.17508569062181445</v>
      </c>
    </row>
    <row r="798" spans="1:11" ht="15" customHeight="1">
      <c r="A798" s="14">
        <v>45966</v>
      </c>
      <c r="B798" s="10">
        <f>VLOOKUP(A798,'BADI SID DATA'!A:B,2,0)</f>
        <v>219</v>
      </c>
      <c r="C798">
        <v>1451</v>
      </c>
      <c r="D798" s="5">
        <v>5.67</v>
      </c>
      <c r="E798" s="5">
        <v>237.5</v>
      </c>
      <c r="F798" s="62">
        <v>1</v>
      </c>
      <c r="G798" s="62">
        <v>1</v>
      </c>
      <c r="H798" s="2">
        <f t="shared" si="37"/>
        <v>276265.49999999994</v>
      </c>
      <c r="I798" s="12">
        <f t="shared" si="38"/>
        <v>0.20152777777777778</v>
      </c>
      <c r="J798" s="12">
        <f t="shared" si="39"/>
        <v>0.17520643074581427</v>
      </c>
    </row>
    <row r="799" spans="1:11" ht="15" customHeight="1">
      <c r="A799" s="14">
        <v>45967</v>
      </c>
      <c r="B799" s="10">
        <f>VLOOKUP(A799,'BADI SID DATA'!A:B,2,0)</f>
        <v>220</v>
      </c>
      <c r="C799" s="59">
        <v>1480.2</v>
      </c>
      <c r="D799" s="5">
        <v>5.67</v>
      </c>
      <c r="E799" s="5">
        <v>246.5</v>
      </c>
      <c r="F799" s="62">
        <v>1</v>
      </c>
      <c r="G799" s="62">
        <v>1</v>
      </c>
      <c r="H799" s="2">
        <f t="shared" si="37"/>
        <v>277745.69999999995</v>
      </c>
      <c r="I799" s="12">
        <f t="shared" si="38"/>
        <v>0.20558333333333334</v>
      </c>
      <c r="J799" s="12">
        <f t="shared" si="39"/>
        <v>0.17534450757575754</v>
      </c>
    </row>
    <row r="800" spans="1:11" ht="15" customHeight="1">
      <c r="A800" s="14">
        <v>45968</v>
      </c>
      <c r="B800" s="10">
        <f>VLOOKUP(A800,'BADI SID DATA'!A:B,2,0)</f>
        <v>221</v>
      </c>
      <c r="C800" s="59">
        <v>1521.1</v>
      </c>
      <c r="D800" s="5">
        <v>5.74</v>
      </c>
      <c r="E800" s="5">
        <v>239.5</v>
      </c>
      <c r="F800" s="62">
        <v>1</v>
      </c>
      <c r="G800" s="62">
        <v>1</v>
      </c>
      <c r="H800" s="2">
        <f t="shared" si="37"/>
        <v>279266.79999999993</v>
      </c>
      <c r="I800" s="12">
        <f t="shared" si="38"/>
        <v>0.21126388888888889</v>
      </c>
      <c r="J800" s="12">
        <f t="shared" si="39"/>
        <v>0.17550703871292103</v>
      </c>
    </row>
    <row r="801" spans="1:11" ht="15" customHeight="1">
      <c r="A801" s="14">
        <v>45969</v>
      </c>
      <c r="B801" s="10">
        <f>VLOOKUP(A801,'BADI SID DATA'!A:B,2,0)</f>
        <v>222</v>
      </c>
      <c r="C801">
        <v>1490</v>
      </c>
      <c r="D801" s="5">
        <v>5.39</v>
      </c>
      <c r="E801" s="5">
        <v>243</v>
      </c>
      <c r="F801" s="62">
        <v>1</v>
      </c>
      <c r="G801" s="62">
        <v>1</v>
      </c>
      <c r="H801" s="2">
        <f t="shared" si="37"/>
        <v>280756.79999999993</v>
      </c>
      <c r="I801" s="12">
        <f t="shared" si="38"/>
        <v>0.20694444444444443</v>
      </c>
      <c r="J801" s="12">
        <f t="shared" si="39"/>
        <v>0.1756486486486486</v>
      </c>
    </row>
    <row r="802" spans="1:11" ht="15" customHeight="1">
      <c r="A802" s="14">
        <v>45970</v>
      </c>
      <c r="B802" s="10">
        <f>VLOOKUP(A802,'BADI SID DATA'!A:B,2,0)</f>
        <v>223</v>
      </c>
      <c r="C802">
        <v>1399</v>
      </c>
      <c r="D802" s="5">
        <v>5.39</v>
      </c>
      <c r="E802" s="5">
        <v>224.5</v>
      </c>
      <c r="F802" s="62">
        <v>1</v>
      </c>
      <c r="G802" s="62">
        <v>1</v>
      </c>
      <c r="H802" s="2">
        <f t="shared" si="37"/>
        <v>282155.79999999993</v>
      </c>
      <c r="I802" s="12">
        <f t="shared" si="38"/>
        <v>0.19430555555555556</v>
      </c>
      <c r="J802" s="12">
        <f t="shared" si="39"/>
        <v>0.17573231190832084</v>
      </c>
    </row>
    <row r="803" spans="1:11" ht="15" customHeight="1">
      <c r="A803" s="14">
        <v>45971</v>
      </c>
      <c r="B803" s="10">
        <f>VLOOKUP(A803,'BADI SID DATA'!A:B,2,0)</f>
        <v>224</v>
      </c>
      <c r="C803">
        <v>1294</v>
      </c>
      <c r="D803" s="5">
        <v>5.18</v>
      </c>
      <c r="E803" s="5">
        <v>228.5</v>
      </c>
      <c r="F803" s="62">
        <v>1</v>
      </c>
      <c r="G803" s="62">
        <v>1</v>
      </c>
      <c r="H803" s="2">
        <f t="shared" si="37"/>
        <v>283449.79999999993</v>
      </c>
      <c r="I803" s="12">
        <f t="shared" si="38"/>
        <v>0.17972222222222223</v>
      </c>
      <c r="J803" s="12">
        <f t="shared" si="39"/>
        <v>0.17575012400793646</v>
      </c>
    </row>
    <row r="804" spans="1:11" ht="15" customHeight="1">
      <c r="A804" s="14">
        <v>45972</v>
      </c>
      <c r="B804" s="10">
        <f>VLOOKUP(A804,'BADI SID DATA'!A:B,2,0)</f>
        <v>225</v>
      </c>
      <c r="C804">
        <v>1468</v>
      </c>
      <c r="D804" s="5">
        <v>5.81</v>
      </c>
      <c r="E804" s="5">
        <v>223.5</v>
      </c>
      <c r="F804" s="62">
        <v>1</v>
      </c>
      <c r="G804" s="62">
        <v>1</v>
      </c>
      <c r="H804" s="2">
        <f t="shared" si="37"/>
        <v>284917.79999999993</v>
      </c>
      <c r="I804" s="12">
        <f t="shared" si="38"/>
        <v>0.2038888888888889</v>
      </c>
      <c r="J804" s="12">
        <f t="shared" si="39"/>
        <v>0.17587518518518513</v>
      </c>
    </row>
    <row r="805" spans="1:11" ht="15" customHeight="1">
      <c r="A805" s="14">
        <v>45973</v>
      </c>
      <c r="B805" s="10">
        <f>VLOOKUP(A805,'BADI SID DATA'!A:B,2,0)</f>
        <v>226</v>
      </c>
      <c r="C805">
        <v>1498.4</v>
      </c>
      <c r="D805" s="5">
        <v>5.84</v>
      </c>
      <c r="E805" s="5">
        <v>219.5</v>
      </c>
      <c r="F805" s="62">
        <v>1</v>
      </c>
      <c r="G805" s="62">
        <v>1</v>
      </c>
      <c r="H805" s="2">
        <f t="shared" si="37"/>
        <v>286416.19999999995</v>
      </c>
      <c r="I805" s="12">
        <f t="shared" si="38"/>
        <v>0.20811111111111114</v>
      </c>
      <c r="J805" s="12">
        <f t="shared" si="39"/>
        <v>0.17601782202556537</v>
      </c>
    </row>
    <row r="806" spans="1:11" ht="15" customHeight="1">
      <c r="A806" s="14">
        <v>45974</v>
      </c>
      <c r="B806" s="10">
        <f>VLOOKUP(A806,'BADI SID DATA'!A:B,2,0)</f>
        <v>227</v>
      </c>
      <c r="C806">
        <v>1001</v>
      </c>
      <c r="D806" s="5">
        <v>4.2300000000000004</v>
      </c>
      <c r="E806" s="5">
        <v>238</v>
      </c>
      <c r="F806" s="62">
        <v>1</v>
      </c>
      <c r="G806" s="62">
        <v>1</v>
      </c>
      <c r="H806" s="2">
        <f t="shared" si="37"/>
        <v>287417.19999999995</v>
      </c>
      <c r="I806" s="12">
        <f t="shared" si="38"/>
        <v>0.13902777777777778</v>
      </c>
      <c r="J806" s="12">
        <f t="shared" si="39"/>
        <v>0.17585487028879096</v>
      </c>
    </row>
    <row r="807" spans="1:11" ht="15" customHeight="1">
      <c r="A807" s="14">
        <v>45975</v>
      </c>
      <c r="B807" s="10">
        <f>VLOOKUP(A807,'BADI SID DATA'!A:B,2,0)</f>
        <v>228</v>
      </c>
      <c r="C807">
        <v>1306</v>
      </c>
      <c r="D807" s="5">
        <v>4.26</v>
      </c>
      <c r="E807" s="5">
        <v>224.5</v>
      </c>
      <c r="F807" s="62">
        <v>1</v>
      </c>
      <c r="G807" s="62">
        <v>1</v>
      </c>
      <c r="H807" s="2">
        <f t="shared" si="37"/>
        <v>288723.19999999995</v>
      </c>
      <c r="I807" s="12">
        <f t="shared" si="38"/>
        <v>0.18138888888888888</v>
      </c>
      <c r="J807" s="12">
        <f t="shared" si="39"/>
        <v>0.17587914230019491</v>
      </c>
    </row>
    <row r="808" spans="1:11" ht="15" customHeight="1">
      <c r="A808" s="14">
        <v>45976</v>
      </c>
      <c r="B808" s="10">
        <f>VLOOKUP(A808,'BADI SID DATA'!A:B,2,0)</f>
        <v>229</v>
      </c>
      <c r="C808">
        <v>1189.0999999999999</v>
      </c>
      <c r="D808" s="5">
        <v>3.42</v>
      </c>
      <c r="E808" s="5">
        <v>214.5</v>
      </c>
      <c r="F808" s="62">
        <v>1</v>
      </c>
      <c r="G808" s="62">
        <v>1</v>
      </c>
      <c r="H808" s="2">
        <f t="shared" si="37"/>
        <v>289912.29999999993</v>
      </c>
      <c r="I808" s="12">
        <f t="shared" si="38"/>
        <v>0.16515277777777776</v>
      </c>
      <c r="J808" s="12">
        <f t="shared" si="39"/>
        <v>0.17583230228044636</v>
      </c>
    </row>
    <row r="809" spans="1:11" ht="15" customHeight="1">
      <c r="A809" s="14">
        <v>45977</v>
      </c>
      <c r="B809" s="10">
        <f>VLOOKUP(A809,'BADI SID DATA'!A:B,2,0)</f>
        <v>230</v>
      </c>
      <c r="C809">
        <v>1025.3</v>
      </c>
      <c r="D809" s="5">
        <v>3.42</v>
      </c>
      <c r="E809" s="5">
        <v>311</v>
      </c>
      <c r="F809" s="62">
        <v>1</v>
      </c>
      <c r="G809" s="62">
        <v>1</v>
      </c>
      <c r="H809" s="2">
        <f t="shared" si="37"/>
        <v>290937.59999999992</v>
      </c>
      <c r="I809" s="12">
        <f t="shared" si="38"/>
        <v>0.14240277777777777</v>
      </c>
      <c r="J809" s="12">
        <f t="shared" si="39"/>
        <v>0.17568695652173907</v>
      </c>
    </row>
    <row r="810" spans="1:11" ht="15" customHeight="1">
      <c r="A810" s="14">
        <v>45978</v>
      </c>
      <c r="B810" s="10">
        <f>VLOOKUP(A810,'BADI SID DATA'!A:B,2,0)</f>
        <v>231</v>
      </c>
      <c r="C810">
        <v>1355</v>
      </c>
      <c r="D810" s="5">
        <v>5.21</v>
      </c>
      <c r="E810" s="5">
        <v>208.5</v>
      </c>
      <c r="F810" s="62">
        <v>1</v>
      </c>
      <c r="G810" s="62">
        <v>1</v>
      </c>
      <c r="H810" s="2">
        <f t="shared" si="37"/>
        <v>292292.59999999992</v>
      </c>
      <c r="I810" s="12">
        <f t="shared" si="38"/>
        <v>0.18819444444444444</v>
      </c>
      <c r="J810" s="12">
        <f t="shared" si="39"/>
        <v>0.17574110149110145</v>
      </c>
    </row>
    <row r="811" spans="1:11" ht="15" customHeight="1">
      <c r="A811" s="14">
        <v>45979</v>
      </c>
      <c r="B811" s="10">
        <f>VLOOKUP(A811,'BADI SID DATA'!A:B,2,0)</f>
        <v>232</v>
      </c>
      <c r="C811">
        <v>849.2</v>
      </c>
      <c r="D811" s="5">
        <v>2.92</v>
      </c>
      <c r="E811" s="5">
        <v>240.5</v>
      </c>
      <c r="F811" s="62">
        <v>1</v>
      </c>
      <c r="G811" s="62">
        <v>1</v>
      </c>
      <c r="H811" s="2">
        <f t="shared" si="37"/>
        <v>293141.79999999993</v>
      </c>
      <c r="I811" s="12">
        <f t="shared" si="38"/>
        <v>0.11794444444444445</v>
      </c>
      <c r="J811" s="12">
        <f t="shared" si="39"/>
        <v>0.17549197796934862</v>
      </c>
    </row>
    <row r="812" spans="1:11" ht="15" customHeight="1">
      <c r="A812" s="14">
        <v>45980</v>
      </c>
      <c r="B812" s="10">
        <f>VLOOKUP(A812,'BADI SID DATA'!A:B,2,0)</f>
        <v>233</v>
      </c>
      <c r="C812">
        <v>1010</v>
      </c>
      <c r="D812" s="5">
        <v>4.76</v>
      </c>
      <c r="E812" s="5">
        <v>272</v>
      </c>
      <c r="F812" s="62">
        <v>1</v>
      </c>
      <c r="G812" s="62">
        <v>1</v>
      </c>
      <c r="H812" s="2">
        <f t="shared" si="37"/>
        <v>294151.79999999993</v>
      </c>
      <c r="I812" s="12">
        <f t="shared" si="38"/>
        <v>0.14027777777777778</v>
      </c>
      <c r="J812" s="12">
        <f t="shared" si="39"/>
        <v>0.17534084406294703</v>
      </c>
    </row>
    <row r="813" spans="1:11" ht="15" customHeight="1">
      <c r="A813" s="14">
        <v>45981</v>
      </c>
      <c r="B813" s="10">
        <f>VLOOKUP(A813,'BADI SID DATA'!A:B,2,0)</f>
        <v>234</v>
      </c>
      <c r="C813">
        <v>964</v>
      </c>
      <c r="D813" s="5">
        <v>3.87</v>
      </c>
      <c r="E813" s="5">
        <v>266</v>
      </c>
      <c r="F813" s="62">
        <v>1</v>
      </c>
      <c r="G813" s="62">
        <v>1</v>
      </c>
      <c r="H813" s="2">
        <f t="shared" si="37"/>
        <v>295115.79999999993</v>
      </c>
      <c r="I813" s="12">
        <f t="shared" si="38"/>
        <v>0.13388888888888889</v>
      </c>
      <c r="J813" s="12">
        <f t="shared" si="39"/>
        <v>0.17516369895536557</v>
      </c>
    </row>
    <row r="814" spans="1:11" ht="15" customHeight="1">
      <c r="A814" s="14">
        <v>45982</v>
      </c>
      <c r="B814" s="10">
        <f>VLOOKUP(A814,'BADI SID DATA'!A:B,2,0)</f>
        <v>235</v>
      </c>
      <c r="C814">
        <v>1362</v>
      </c>
      <c r="D814" s="5">
        <v>5.44</v>
      </c>
      <c r="E814" s="5">
        <v>219.5</v>
      </c>
      <c r="F814" s="62">
        <v>1</v>
      </c>
      <c r="G814" s="62">
        <v>1</v>
      </c>
      <c r="H814" s="2">
        <f t="shared" si="37"/>
        <v>296477.79999999993</v>
      </c>
      <c r="I814" s="12">
        <f t="shared" si="38"/>
        <v>0.18916666666666668</v>
      </c>
      <c r="J814" s="12">
        <f t="shared" si="39"/>
        <v>0.1752232860520094</v>
      </c>
    </row>
    <row r="815" spans="1:11" ht="15" customHeight="1">
      <c r="A815" s="14">
        <v>45983</v>
      </c>
      <c r="B815" s="10">
        <f>VLOOKUP(A815,'BADI SID DATA'!A:B,2,0)</f>
        <v>236</v>
      </c>
      <c r="C815">
        <v>846</v>
      </c>
      <c r="D815" s="5">
        <v>3.56</v>
      </c>
      <c r="E815" s="5">
        <v>210.5</v>
      </c>
      <c r="F815" s="62">
        <v>1</v>
      </c>
      <c r="G815" s="62">
        <v>1</v>
      </c>
      <c r="H815" s="2">
        <f t="shared" si="37"/>
        <v>297323.79999999993</v>
      </c>
      <c r="I815" s="12">
        <f t="shared" si="38"/>
        <v>0.11749999999999999</v>
      </c>
      <c r="J815" s="12">
        <f t="shared" si="39"/>
        <v>0.17497869585687378</v>
      </c>
      <c r="K815" s="59" t="s">
        <v>100</v>
      </c>
    </row>
    <row r="816" spans="1:11" ht="15" customHeight="1">
      <c r="A816" s="14">
        <v>45984</v>
      </c>
      <c r="B816" s="10">
        <f>VLOOKUP(A816,'BADI SID DATA'!A:B,2,0)</f>
        <v>237</v>
      </c>
      <c r="C816">
        <v>269</v>
      </c>
      <c r="D816" s="5">
        <v>3.95</v>
      </c>
      <c r="E816" s="5">
        <v>100</v>
      </c>
      <c r="F816" s="62">
        <v>1</v>
      </c>
      <c r="G816" s="62">
        <v>1</v>
      </c>
      <c r="H816" s="2">
        <f t="shared" si="37"/>
        <v>297592.79999999993</v>
      </c>
      <c r="I816" s="12">
        <f t="shared" si="38"/>
        <v>3.7361111111111109E-2</v>
      </c>
      <c r="J816" s="12">
        <f t="shared" si="39"/>
        <v>0.17439803094233469</v>
      </c>
    </row>
    <row r="817" spans="1:11" ht="15" customHeight="1">
      <c r="A817" s="14">
        <v>45985</v>
      </c>
      <c r="B817" s="10">
        <f>VLOOKUP(A817,'BADI SID DATA'!A:B,2,0)</f>
        <v>238</v>
      </c>
      <c r="C817">
        <v>956.4</v>
      </c>
      <c r="D817" s="5">
        <v>4.05</v>
      </c>
      <c r="E817" s="5">
        <v>260</v>
      </c>
      <c r="F817" s="62">
        <v>1</v>
      </c>
      <c r="G817" s="62">
        <v>1</v>
      </c>
      <c r="H817" s="2">
        <f t="shared" si="37"/>
        <v>298549.19999999995</v>
      </c>
      <c r="I817" s="12">
        <f t="shared" si="38"/>
        <v>0.13283333333333333</v>
      </c>
      <c r="J817" s="12">
        <f t="shared" si="39"/>
        <v>0.17422338935574228</v>
      </c>
    </row>
    <row r="818" spans="1:11" ht="15" customHeight="1">
      <c r="A818" s="14">
        <v>45986</v>
      </c>
      <c r="B818" s="10">
        <f>VLOOKUP(A818,'BADI SID DATA'!A:B,2,0)</f>
        <v>239</v>
      </c>
      <c r="C818">
        <v>1001</v>
      </c>
      <c r="D818" s="5">
        <v>3.31</v>
      </c>
      <c r="E818" s="5">
        <v>253</v>
      </c>
      <c r="F818" s="62">
        <v>1</v>
      </c>
      <c r="G818" s="62">
        <v>1</v>
      </c>
      <c r="H818" s="2">
        <f t="shared" si="37"/>
        <v>299550.19999999995</v>
      </c>
      <c r="I818" s="12">
        <f t="shared" si="38"/>
        <v>0.13902777777777778</v>
      </c>
      <c r="J818" s="12">
        <f t="shared" si="39"/>
        <v>0.17407612738261272</v>
      </c>
    </row>
    <row r="819" spans="1:11" ht="15" customHeight="1">
      <c r="A819" s="14">
        <v>45987</v>
      </c>
      <c r="B819" s="10">
        <f>VLOOKUP(A819,'BADI SID DATA'!A:B,2,0)</f>
        <v>240</v>
      </c>
      <c r="C819">
        <v>1321</v>
      </c>
      <c r="D819" s="5">
        <v>5.41</v>
      </c>
      <c r="E819" s="5">
        <v>227</v>
      </c>
      <c r="F819" s="62">
        <v>1</v>
      </c>
      <c r="G819" s="62">
        <v>1</v>
      </c>
      <c r="H819" s="2">
        <f t="shared" si="37"/>
        <v>300871.19999999995</v>
      </c>
      <c r="I819" s="12">
        <f t="shared" si="38"/>
        <v>0.18347222222222223</v>
      </c>
      <c r="J819" s="12">
        <f t="shared" si="39"/>
        <v>0.17411527777777774</v>
      </c>
    </row>
    <row r="820" spans="1:11" ht="15" customHeight="1">
      <c r="A820" s="14">
        <v>45988</v>
      </c>
      <c r="B820" s="10">
        <f>VLOOKUP(A820,'BADI SID DATA'!A:B,2,0)</f>
        <v>241</v>
      </c>
      <c r="C820">
        <v>1181</v>
      </c>
      <c r="D820" s="5">
        <v>3.93</v>
      </c>
      <c r="E820" s="5">
        <v>222.5</v>
      </c>
      <c r="F820" s="62">
        <v>1</v>
      </c>
      <c r="G820" s="62">
        <v>1</v>
      </c>
      <c r="H820" s="2">
        <f t="shared" si="37"/>
        <v>302052.19999999995</v>
      </c>
      <c r="I820" s="12">
        <f t="shared" si="38"/>
        <v>0.16402777777777777</v>
      </c>
      <c r="J820" s="12">
        <f t="shared" si="39"/>
        <v>0.17407342093130473</v>
      </c>
    </row>
    <row r="821" spans="1:11" ht="15" customHeight="1">
      <c r="A821" s="14">
        <v>45989</v>
      </c>
      <c r="B821" s="10">
        <f>VLOOKUP(A821,'BADI SID DATA'!A:B,2,0)</f>
        <v>242</v>
      </c>
      <c r="C821">
        <v>1209</v>
      </c>
      <c r="D821" s="133">
        <v>4.28</v>
      </c>
      <c r="E821" s="5">
        <v>225.5</v>
      </c>
      <c r="F821" s="62">
        <v>1</v>
      </c>
      <c r="G821" s="62">
        <v>1</v>
      </c>
      <c r="H821" s="2">
        <f t="shared" si="37"/>
        <v>303261.19999999995</v>
      </c>
      <c r="I821" s="12">
        <f t="shared" si="38"/>
        <v>0.16791666666666666</v>
      </c>
      <c r="J821" s="12">
        <f t="shared" si="39"/>
        <v>0.17404797979797978</v>
      </c>
    </row>
    <row r="822" spans="1:11" ht="15" customHeight="1">
      <c r="A822" s="14">
        <v>45990</v>
      </c>
      <c r="B822" s="10">
        <f>VLOOKUP(A822,'BADI SID DATA'!A:B,2,0)</f>
        <v>243</v>
      </c>
      <c r="C822">
        <v>1045.3</v>
      </c>
      <c r="D822" s="5">
        <v>4.5199999999999996</v>
      </c>
      <c r="E822" s="5">
        <v>221.5</v>
      </c>
      <c r="F822" s="62">
        <v>1</v>
      </c>
      <c r="G822" s="62">
        <v>1</v>
      </c>
      <c r="H822" s="2">
        <f t="shared" si="37"/>
        <v>304306.49999999994</v>
      </c>
      <c r="I822" s="12">
        <f t="shared" si="38"/>
        <v>0.14518055555555556</v>
      </c>
      <c r="J822" s="12">
        <f t="shared" si="39"/>
        <v>0.17392918381344305</v>
      </c>
    </row>
    <row r="823" spans="1:11" ht="15" customHeight="1">
      <c r="A823" s="14">
        <v>45991</v>
      </c>
      <c r="B823" s="10">
        <f>VLOOKUP(A823,'BADI SID DATA'!A:B,2,0)</f>
        <v>244</v>
      </c>
      <c r="C823">
        <v>1166.2</v>
      </c>
      <c r="D823" s="5">
        <v>4.6399999999999997</v>
      </c>
      <c r="E823" s="5">
        <v>195</v>
      </c>
      <c r="F823" s="62">
        <v>1</v>
      </c>
      <c r="G823" s="62">
        <v>1</v>
      </c>
      <c r="H823" s="2">
        <f t="shared" si="37"/>
        <v>305472.69999999995</v>
      </c>
      <c r="I823" s="12">
        <f t="shared" si="38"/>
        <v>0.16197222222222224</v>
      </c>
      <c r="J823" s="12">
        <f t="shared" si="39"/>
        <v>0.17388017987249543</v>
      </c>
    </row>
    <row r="824" spans="1:11" ht="15" customHeight="1">
      <c r="A824" s="14">
        <v>45992</v>
      </c>
      <c r="B824" s="10">
        <f>VLOOKUP(A824,'BADI SID DATA'!A:B,2,0)</f>
        <v>245</v>
      </c>
      <c r="C824">
        <v>830</v>
      </c>
      <c r="D824" s="5">
        <v>4.76</v>
      </c>
      <c r="E824" s="5">
        <v>232</v>
      </c>
      <c r="F824" s="62">
        <v>1</v>
      </c>
      <c r="G824" s="62">
        <v>1</v>
      </c>
      <c r="H824" s="2">
        <f t="shared" si="37"/>
        <v>306302.69999999995</v>
      </c>
      <c r="I824" s="12">
        <f t="shared" si="38"/>
        <v>0.11527777777777778</v>
      </c>
      <c r="J824" s="12">
        <f t="shared" si="39"/>
        <v>0.1736409863945578</v>
      </c>
    </row>
    <row r="825" spans="1:11" ht="15" customHeight="1">
      <c r="A825" s="14">
        <v>45993</v>
      </c>
      <c r="B825" s="10">
        <f>VLOOKUP(A825,'BADI SID DATA'!A:B,2,0)</f>
        <v>246</v>
      </c>
      <c r="C825">
        <v>1041</v>
      </c>
      <c r="D825" s="5">
        <v>4.0199999999999996</v>
      </c>
      <c r="E825" s="5">
        <v>245</v>
      </c>
      <c r="F825" s="62">
        <v>1</v>
      </c>
      <c r="G825" s="62">
        <v>1</v>
      </c>
      <c r="H825" s="2">
        <f t="shared" si="37"/>
        <v>307343.69999999995</v>
      </c>
      <c r="I825" s="12">
        <f t="shared" si="38"/>
        <v>0.14458333333333334</v>
      </c>
      <c r="J825" s="12">
        <f t="shared" si="39"/>
        <v>0.1735228658536585</v>
      </c>
    </row>
    <row r="826" spans="1:11" ht="15" customHeight="1">
      <c r="A826" s="14">
        <v>45994</v>
      </c>
      <c r="B826" s="10">
        <f>VLOOKUP(A826,'BADI SID DATA'!A:B,2,0)</f>
        <v>247</v>
      </c>
      <c r="C826">
        <v>1244</v>
      </c>
      <c r="D826" s="5">
        <v>4.51</v>
      </c>
      <c r="E826" s="5">
        <v>202</v>
      </c>
      <c r="F826" s="62">
        <v>1</v>
      </c>
      <c r="G826" s="62">
        <v>1</v>
      </c>
      <c r="H826" s="2">
        <f t="shared" si="37"/>
        <v>308587.69999999995</v>
      </c>
      <c r="I826" s="12">
        <f t="shared" si="38"/>
        <v>0.17277777777777778</v>
      </c>
      <c r="J826" s="12">
        <f t="shared" si="39"/>
        <v>0.173519849302744</v>
      </c>
    </row>
    <row r="827" spans="1:11" ht="15" customHeight="1">
      <c r="A827" s="14">
        <v>45995</v>
      </c>
      <c r="B827" s="10">
        <f>VLOOKUP(A827,'BADI SID DATA'!A:B,2,0)</f>
        <v>248</v>
      </c>
      <c r="C827">
        <v>139.4</v>
      </c>
      <c r="D827" s="5">
        <v>0.85</v>
      </c>
      <c r="E827" s="5">
        <v>58</v>
      </c>
      <c r="F827" s="62">
        <v>1</v>
      </c>
      <c r="G827" s="62">
        <v>1</v>
      </c>
      <c r="H827" s="2">
        <f t="shared" si="37"/>
        <v>308727.09999999998</v>
      </c>
      <c r="I827" s="12">
        <f t="shared" si="38"/>
        <v>1.936111111111111E-2</v>
      </c>
      <c r="J827" s="12">
        <f t="shared" si="39"/>
        <v>0.1728982414874552</v>
      </c>
      <c r="K827" s="59" t="s">
        <v>100</v>
      </c>
    </row>
    <row r="828" spans="1:11" ht="15" customHeight="1">
      <c r="A828" s="14">
        <v>45996</v>
      </c>
      <c r="B828" s="10">
        <f>VLOOKUP(A828,'BADI SID DATA'!A:B,2,0)</f>
        <v>249</v>
      </c>
      <c r="C828">
        <v>1155</v>
      </c>
      <c r="D828" s="5">
        <v>4.63</v>
      </c>
      <c r="E828" s="5">
        <v>259</v>
      </c>
      <c r="F828" s="62">
        <v>1</v>
      </c>
      <c r="G828" s="62">
        <v>1</v>
      </c>
      <c r="H828" s="2">
        <f t="shared" si="37"/>
        <v>309882.09999999998</v>
      </c>
      <c r="I828" s="12">
        <f t="shared" si="38"/>
        <v>0.16041666666666668</v>
      </c>
      <c r="J828" s="12">
        <f t="shared" si="39"/>
        <v>0.17284811468094599</v>
      </c>
    </row>
    <row r="829" spans="1:11" ht="15" customHeight="1">
      <c r="A829" s="14">
        <v>45997</v>
      </c>
      <c r="B829" s="10">
        <f>VLOOKUP(A829,'BADI SID DATA'!A:B,2,0)</f>
        <v>250</v>
      </c>
      <c r="C829">
        <v>349</v>
      </c>
      <c r="D829" s="5">
        <v>1.43</v>
      </c>
      <c r="E829" s="5">
        <v>95</v>
      </c>
      <c r="F829" s="62">
        <v>1</v>
      </c>
      <c r="G829" s="62">
        <v>1</v>
      </c>
      <c r="H829" s="2">
        <f t="shared" si="37"/>
        <v>310231.09999999998</v>
      </c>
      <c r="I829" s="12">
        <f t="shared" si="38"/>
        <v>4.8472222222222222E-2</v>
      </c>
      <c r="J829" s="12">
        <f t="shared" si="39"/>
        <v>0.17235061111111111</v>
      </c>
      <c r="K829" s="59" t="s">
        <v>92</v>
      </c>
    </row>
    <row r="830" spans="1:11" ht="15" customHeight="1">
      <c r="A830" s="14">
        <v>45998</v>
      </c>
      <c r="B830" s="10">
        <f>VLOOKUP(A830,'BADI SID DATA'!A:B,2,0)</f>
        <v>251</v>
      </c>
      <c r="C830">
        <v>1112</v>
      </c>
      <c r="D830" s="5">
        <v>4.03</v>
      </c>
      <c r="E830" s="5">
        <v>223</v>
      </c>
      <c r="F830" s="62">
        <v>1</v>
      </c>
      <c r="G830" s="62">
        <v>1</v>
      </c>
      <c r="H830" s="2">
        <f t="shared" si="37"/>
        <v>311343.09999999998</v>
      </c>
      <c r="I830" s="12">
        <f t="shared" si="38"/>
        <v>0.15444444444444444</v>
      </c>
      <c r="J830" s="12">
        <f t="shared" si="39"/>
        <v>0.17227927180168215</v>
      </c>
    </row>
    <row r="831" spans="1:11" ht="15" customHeight="1">
      <c r="A831" s="14">
        <v>45999</v>
      </c>
      <c r="B831" s="10">
        <f>VLOOKUP(A831,'BADI SID DATA'!A:B,2,0)</f>
        <v>252</v>
      </c>
      <c r="C831">
        <v>1204</v>
      </c>
      <c r="D831" s="5">
        <v>4.6100000000000003</v>
      </c>
      <c r="E831" s="5">
        <v>209</v>
      </c>
      <c r="F831" s="62">
        <v>1</v>
      </c>
      <c r="G831" s="62">
        <v>1</v>
      </c>
      <c r="H831" s="2">
        <f t="shared" si="37"/>
        <v>312547.09999999998</v>
      </c>
      <c r="I831" s="12">
        <f t="shared" si="38"/>
        <v>0.16722222222222222</v>
      </c>
      <c r="J831" s="12">
        <f t="shared" si="39"/>
        <v>0.17225920414462079</v>
      </c>
    </row>
    <row r="832" spans="1:11" ht="15" customHeight="1">
      <c r="A832" s="14">
        <v>46000</v>
      </c>
      <c r="B832" s="10">
        <f>VLOOKUP(A832,'BADI SID DATA'!A:B,2,0)</f>
        <v>253</v>
      </c>
      <c r="C832">
        <v>1223</v>
      </c>
      <c r="D832" s="5">
        <v>4.5999999999999996</v>
      </c>
      <c r="E832" s="5">
        <v>195</v>
      </c>
      <c r="F832" s="62">
        <v>1</v>
      </c>
      <c r="G832" s="62">
        <v>1</v>
      </c>
      <c r="H832" s="2">
        <f t="shared" si="37"/>
        <v>313770.09999999998</v>
      </c>
      <c r="I832" s="12">
        <f t="shared" si="38"/>
        <v>0.1698611111111111</v>
      </c>
      <c r="J832" s="12">
        <f t="shared" si="39"/>
        <v>0.17224972551602985</v>
      </c>
    </row>
    <row r="833" spans="1:10" ht="15" customHeight="1">
      <c r="A833" s="14">
        <v>46001</v>
      </c>
      <c r="B833" s="10">
        <f>VLOOKUP(A833,'BADI SID DATA'!A:B,2,0)</f>
        <v>254</v>
      </c>
      <c r="C833">
        <v>1240</v>
      </c>
      <c r="D833" s="5">
        <v>4.72</v>
      </c>
      <c r="E833" s="5">
        <v>210</v>
      </c>
      <c r="F833" s="62">
        <v>1</v>
      </c>
      <c r="G833" s="62">
        <v>1</v>
      </c>
      <c r="H833" s="2">
        <f t="shared" si="37"/>
        <v>315010.09999999998</v>
      </c>
      <c r="I833" s="12">
        <f t="shared" si="38"/>
        <v>0.17222222222222222</v>
      </c>
      <c r="J833" s="12">
        <f t="shared" si="39"/>
        <v>0.17224961723534557</v>
      </c>
    </row>
    <row r="834" spans="1:10" ht="15" customHeight="1">
      <c r="A834" s="14">
        <v>46002</v>
      </c>
      <c r="B834" s="10">
        <f>VLOOKUP(A834,'BADI SID DATA'!A:B,2,0)</f>
        <v>255</v>
      </c>
      <c r="C834">
        <v>1263</v>
      </c>
      <c r="D834" s="5">
        <v>4.78</v>
      </c>
      <c r="E834" s="5">
        <v>197</v>
      </c>
      <c r="F834" s="62">
        <v>1</v>
      </c>
      <c r="G834" s="62">
        <v>1</v>
      </c>
      <c r="H834" s="2">
        <f t="shared" si="37"/>
        <v>316273.09999999998</v>
      </c>
      <c r="I834" s="12">
        <f t="shared" si="38"/>
        <v>0.17541666666666667</v>
      </c>
      <c r="J834" s="12">
        <f t="shared" si="39"/>
        <v>0.17226203703703702</v>
      </c>
    </row>
    <row r="835" spans="1:10" ht="15" customHeight="1">
      <c r="A835" s="14">
        <v>46003</v>
      </c>
      <c r="B835" s="10">
        <f>VLOOKUP(A835,'BADI SID DATA'!A:B,2,0)</f>
        <v>256</v>
      </c>
      <c r="C835">
        <v>1263</v>
      </c>
      <c r="D835" s="5">
        <v>4.55</v>
      </c>
      <c r="E835" s="5">
        <v>196</v>
      </c>
      <c r="F835" s="62">
        <v>1</v>
      </c>
      <c r="G835" s="62">
        <v>1</v>
      </c>
      <c r="H835" s="2">
        <f t="shared" ref="H835:H898" si="40">H834+C835</f>
        <v>317536.09999999998</v>
      </c>
      <c r="I835" s="12">
        <f t="shared" ref="I835:I898" si="41">C835/(300*24)</f>
        <v>0.17541666666666667</v>
      </c>
      <c r="J835" s="12">
        <f t="shared" ref="J835:J898" si="42">H835/(24*B835*300)</f>
        <v>0.17227435980902778</v>
      </c>
    </row>
    <row r="836" spans="1:10" ht="15" customHeight="1">
      <c r="A836" s="14">
        <v>46004</v>
      </c>
      <c r="B836" s="10">
        <f>VLOOKUP(A836,'BADI SID DATA'!A:B,2,0)</f>
        <v>257</v>
      </c>
      <c r="C836">
        <v>1239</v>
      </c>
      <c r="D836" s="5">
        <v>4.6100000000000003</v>
      </c>
      <c r="E836" s="5">
        <v>216</v>
      </c>
      <c r="F836" s="62">
        <v>1</v>
      </c>
      <c r="G836" s="62">
        <v>1</v>
      </c>
      <c r="H836" s="2">
        <f t="shared" si="40"/>
        <v>318775.09999999998</v>
      </c>
      <c r="I836" s="12">
        <f t="shared" si="41"/>
        <v>0.17208333333333334</v>
      </c>
      <c r="J836" s="12">
        <f t="shared" si="42"/>
        <v>0.17227361651534803</v>
      </c>
    </row>
    <row r="837" spans="1:10" ht="15" customHeight="1">
      <c r="A837" s="14">
        <v>46005</v>
      </c>
      <c r="B837" s="10">
        <f>VLOOKUP(A837,'BADI SID DATA'!A:B,2,0)</f>
        <v>258</v>
      </c>
      <c r="C837">
        <v>1299</v>
      </c>
      <c r="D837" s="5">
        <v>4.92</v>
      </c>
      <c r="E837" s="5">
        <v>202</v>
      </c>
      <c r="F837" s="62">
        <v>1</v>
      </c>
      <c r="G837" s="62">
        <v>1</v>
      </c>
      <c r="H837" s="2">
        <f t="shared" si="40"/>
        <v>320074.09999999998</v>
      </c>
      <c r="I837" s="12">
        <f t="shared" si="41"/>
        <v>0.18041666666666667</v>
      </c>
      <c r="J837" s="12">
        <f t="shared" si="42"/>
        <v>0.17230517872523685</v>
      </c>
    </row>
    <row r="838" spans="1:10" ht="15" customHeight="1">
      <c r="A838" s="14">
        <v>46006</v>
      </c>
      <c r="B838" s="10">
        <f>VLOOKUP(A838,'BADI SID DATA'!A:B,2,0)</f>
        <v>259</v>
      </c>
      <c r="C838">
        <v>1286</v>
      </c>
      <c r="D838" s="5">
        <v>4.88</v>
      </c>
      <c r="E838" s="5">
        <v>206</v>
      </c>
      <c r="F838" s="62">
        <v>1</v>
      </c>
      <c r="G838" s="62">
        <v>1</v>
      </c>
      <c r="H838" s="2">
        <f t="shared" si="40"/>
        <v>321360.09999999998</v>
      </c>
      <c r="I838" s="12">
        <f t="shared" si="41"/>
        <v>0.17861111111111111</v>
      </c>
      <c r="J838" s="12">
        <f t="shared" si="42"/>
        <v>0.17232952595452594</v>
      </c>
    </row>
    <row r="839" spans="1:10" ht="15" customHeight="1">
      <c r="A839" s="14">
        <v>46007</v>
      </c>
      <c r="B839" s="10">
        <f>VLOOKUP(A839,'BADI SID DATA'!A:B,2,0)</f>
        <v>260</v>
      </c>
      <c r="C839">
        <v>1290</v>
      </c>
      <c r="D839" s="5">
        <v>4.87</v>
      </c>
      <c r="E839" s="5">
        <v>200</v>
      </c>
      <c r="F839" s="62">
        <v>1</v>
      </c>
      <c r="G839" s="62">
        <v>1</v>
      </c>
      <c r="H839" s="2">
        <f t="shared" si="40"/>
        <v>322650.09999999998</v>
      </c>
      <c r="I839" s="12">
        <f t="shared" si="41"/>
        <v>0.17916666666666667</v>
      </c>
      <c r="J839" s="12">
        <f t="shared" si="42"/>
        <v>0.17235582264957264</v>
      </c>
    </row>
    <row r="840" spans="1:10" ht="15" customHeight="1">
      <c r="A840" s="14">
        <v>46008</v>
      </c>
      <c r="B840" s="10">
        <f>VLOOKUP(A840,'BADI SID DATA'!A:B,2,0)</f>
        <v>261</v>
      </c>
      <c r="C840">
        <v>954</v>
      </c>
      <c r="D840" s="5">
        <v>3.54</v>
      </c>
      <c r="E840" s="5">
        <v>209</v>
      </c>
      <c r="F840" s="62">
        <v>1</v>
      </c>
      <c r="G840" s="62">
        <v>1</v>
      </c>
      <c r="H840" s="2">
        <f t="shared" si="40"/>
        <v>323604.09999999998</v>
      </c>
      <c r="I840" s="12">
        <f t="shared" si="41"/>
        <v>0.13250000000000001</v>
      </c>
      <c r="J840" s="12">
        <f t="shared" si="42"/>
        <v>0.17220311834823329</v>
      </c>
    </row>
    <row r="841" spans="1:10" ht="15" customHeight="1">
      <c r="A841" s="14">
        <v>46009</v>
      </c>
      <c r="B841" s="10">
        <f>VLOOKUP(A841,'BADI SID DATA'!A:B,2,0)</f>
        <v>262</v>
      </c>
      <c r="C841">
        <v>1279</v>
      </c>
      <c r="D841" s="5">
        <v>4.91</v>
      </c>
      <c r="E841" s="5">
        <v>239</v>
      </c>
      <c r="F841" s="62">
        <v>1</v>
      </c>
      <c r="G841" s="62">
        <v>1</v>
      </c>
      <c r="H841" s="2">
        <f t="shared" si="40"/>
        <v>324883.09999999998</v>
      </c>
      <c r="I841" s="12">
        <f t="shared" si="41"/>
        <v>0.1776388888888889</v>
      </c>
      <c r="J841" s="12">
        <f t="shared" si="42"/>
        <v>0.17222386556403732</v>
      </c>
    </row>
    <row r="842" spans="1:10" ht="15" customHeight="1">
      <c r="A842" s="14">
        <v>46010</v>
      </c>
      <c r="B842" s="10">
        <f>VLOOKUP(A842,'BADI SID DATA'!A:B,2,0)</f>
        <v>263</v>
      </c>
      <c r="C842">
        <v>1079</v>
      </c>
      <c r="D842" s="5">
        <v>3.79</v>
      </c>
      <c r="E842" s="5">
        <v>252</v>
      </c>
      <c r="F842" s="62">
        <v>1</v>
      </c>
      <c r="G842" s="62">
        <v>1</v>
      </c>
      <c r="H842" s="2">
        <f t="shared" si="40"/>
        <v>325962.09999999998</v>
      </c>
      <c r="I842" s="12">
        <f t="shared" si="41"/>
        <v>0.14986111111111111</v>
      </c>
      <c r="J842" s="12">
        <f t="shared" si="42"/>
        <v>0.17213883607942543</v>
      </c>
    </row>
    <row r="843" spans="1:10" ht="15" customHeight="1">
      <c r="A843" s="14">
        <v>46011</v>
      </c>
      <c r="B843" s="10">
        <f>VLOOKUP(A843,'BADI SID DATA'!A:B,2,0)</f>
        <v>264</v>
      </c>
      <c r="C843">
        <v>1330</v>
      </c>
      <c r="D843" s="5">
        <v>5</v>
      </c>
      <c r="E843" s="5">
        <v>231</v>
      </c>
      <c r="F843" s="62">
        <v>1</v>
      </c>
      <c r="G843" s="62">
        <v>1</v>
      </c>
      <c r="H843" s="2">
        <f t="shared" si="40"/>
        <v>327292.09999999998</v>
      </c>
      <c r="I843" s="12">
        <f t="shared" si="41"/>
        <v>0.18472222222222223</v>
      </c>
      <c r="J843" s="12">
        <f t="shared" si="42"/>
        <v>0.17218650042087541</v>
      </c>
    </row>
    <row r="844" spans="1:10" ht="15" customHeight="1">
      <c r="A844" s="14">
        <v>46012</v>
      </c>
      <c r="B844" s="10">
        <f>VLOOKUP(A844,'BADI SID DATA'!A:B,2,0)</f>
        <v>265</v>
      </c>
      <c r="C844">
        <v>1270</v>
      </c>
      <c r="D844" s="5">
        <v>4.91</v>
      </c>
      <c r="E844" s="5">
        <v>230</v>
      </c>
      <c r="F844" s="62">
        <v>1</v>
      </c>
      <c r="G844" s="62">
        <v>1</v>
      </c>
      <c r="H844" s="2">
        <f t="shared" si="40"/>
        <v>328562.09999999998</v>
      </c>
      <c r="I844" s="12">
        <f t="shared" si="41"/>
        <v>0.1763888888888889</v>
      </c>
      <c r="J844" s="12">
        <f t="shared" si="42"/>
        <v>0.17220235849056603</v>
      </c>
    </row>
    <row r="845" spans="1:10" ht="15" customHeight="1">
      <c r="A845" s="14">
        <v>46013</v>
      </c>
      <c r="B845" s="10">
        <f>VLOOKUP(A845,'BADI SID DATA'!A:B,2,0)</f>
        <v>266</v>
      </c>
      <c r="C845">
        <v>1308</v>
      </c>
      <c r="D845" s="5">
        <v>4.88</v>
      </c>
      <c r="E845" s="5">
        <v>203</v>
      </c>
      <c r="F845" s="62">
        <v>1</v>
      </c>
      <c r="G845" s="62">
        <v>1</v>
      </c>
      <c r="H845" s="2">
        <f t="shared" si="40"/>
        <v>329870.09999999998</v>
      </c>
      <c r="I845" s="12">
        <f t="shared" si="41"/>
        <v>0.18166666666666667</v>
      </c>
      <c r="J845" s="12">
        <f t="shared" si="42"/>
        <v>0.17223793859649122</v>
      </c>
    </row>
    <row r="846" spans="1:10" ht="15" customHeight="1">
      <c r="A846" s="14">
        <v>46014</v>
      </c>
      <c r="B846" s="10">
        <f>VLOOKUP(A846,'BADI SID DATA'!A:B,2,0)</f>
        <v>267</v>
      </c>
      <c r="C846">
        <v>1111</v>
      </c>
      <c r="D846" s="5">
        <v>4.04</v>
      </c>
      <c r="E846" s="5">
        <v>195</v>
      </c>
      <c r="F846" s="62">
        <v>1</v>
      </c>
      <c r="G846" s="62">
        <v>1</v>
      </c>
      <c r="H846" s="2">
        <f t="shared" si="40"/>
        <v>330981.09999999998</v>
      </c>
      <c r="I846" s="12">
        <f t="shared" si="41"/>
        <v>0.15430555555555556</v>
      </c>
      <c r="J846" s="12">
        <f t="shared" si="42"/>
        <v>0.17217077611319184</v>
      </c>
    </row>
    <row r="847" spans="1:10" ht="15" customHeight="1">
      <c r="A847" s="14">
        <v>46015</v>
      </c>
      <c r="B847" s="10">
        <f>VLOOKUP(A847,'BADI SID DATA'!A:B,2,0)</f>
        <v>268</v>
      </c>
      <c r="C847">
        <v>1286</v>
      </c>
      <c r="D847" s="5">
        <v>4.6500000000000004</v>
      </c>
      <c r="E847" s="5">
        <v>201</v>
      </c>
      <c r="F847" s="62">
        <v>1</v>
      </c>
      <c r="G847" s="62">
        <v>1</v>
      </c>
      <c r="H847" s="2">
        <f t="shared" si="40"/>
        <v>332267.09999999998</v>
      </c>
      <c r="I847" s="12">
        <f t="shared" si="41"/>
        <v>0.17861111111111111</v>
      </c>
      <c r="J847" s="12">
        <f t="shared" si="42"/>
        <v>0.17219480721393032</v>
      </c>
    </row>
    <row r="848" spans="1:10" ht="15" customHeight="1">
      <c r="A848" s="14">
        <v>46016</v>
      </c>
      <c r="B848" s="10">
        <f>VLOOKUP(A848,'BADI SID DATA'!A:B,2,0)</f>
        <v>269</v>
      </c>
      <c r="C848">
        <v>1292</v>
      </c>
      <c r="D848" s="5">
        <v>4.8600000000000003</v>
      </c>
      <c r="E848" s="5">
        <v>200</v>
      </c>
      <c r="F848" s="62">
        <v>1</v>
      </c>
      <c r="G848" s="62">
        <v>1</v>
      </c>
      <c r="H848" s="2">
        <f t="shared" si="40"/>
        <v>333559.09999999998</v>
      </c>
      <c r="I848" s="12">
        <f t="shared" si="41"/>
        <v>0.17944444444444443</v>
      </c>
      <c r="J848" s="12">
        <f t="shared" si="42"/>
        <v>0.17222175753820734</v>
      </c>
    </row>
    <row r="849" spans="1:10" ht="15" customHeight="1">
      <c r="A849" s="14">
        <v>46017</v>
      </c>
      <c r="B849" s="10">
        <f>VLOOKUP(A849,'BADI SID DATA'!A:B,2,0)</f>
        <v>270</v>
      </c>
      <c r="C849">
        <v>1253</v>
      </c>
      <c r="D849" s="5">
        <v>4.67</v>
      </c>
      <c r="E849" s="5">
        <v>220</v>
      </c>
      <c r="F849" s="62">
        <v>1</v>
      </c>
      <c r="G849" s="62">
        <v>1</v>
      </c>
      <c r="H849" s="2">
        <f t="shared" si="40"/>
        <v>334812.09999999998</v>
      </c>
      <c r="I849" s="12">
        <f t="shared" si="41"/>
        <v>0.17402777777777778</v>
      </c>
      <c r="J849" s="12">
        <f t="shared" si="42"/>
        <v>0.1722284465020576</v>
      </c>
    </row>
    <row r="850" spans="1:10" ht="15" customHeight="1">
      <c r="A850" s="14">
        <v>46018</v>
      </c>
      <c r="B850" s="10">
        <f>VLOOKUP(A850,'BADI SID DATA'!A:B,2,0)</f>
        <v>271</v>
      </c>
      <c r="C850">
        <v>773</v>
      </c>
      <c r="D850" s="5">
        <v>2.84</v>
      </c>
      <c r="E850" s="5">
        <v>200</v>
      </c>
      <c r="F850" s="62">
        <v>1</v>
      </c>
      <c r="G850" s="62">
        <v>1</v>
      </c>
      <c r="H850" s="2">
        <f t="shared" si="40"/>
        <v>335585.1</v>
      </c>
      <c r="I850" s="12">
        <f t="shared" si="41"/>
        <v>0.10736111111111112</v>
      </c>
      <c r="J850" s="12">
        <f t="shared" si="42"/>
        <v>0.1719890836408364</v>
      </c>
    </row>
    <row r="851" spans="1:10" ht="15" customHeight="1">
      <c r="A851" s="14">
        <v>46019</v>
      </c>
      <c r="B851" s="10">
        <f>VLOOKUP(A851,'BADI SID DATA'!A:B,2,0)</f>
        <v>272</v>
      </c>
      <c r="C851">
        <v>1272</v>
      </c>
      <c r="D851" s="5">
        <v>4.72</v>
      </c>
      <c r="E851" s="5">
        <v>296</v>
      </c>
      <c r="F851" s="62">
        <v>1</v>
      </c>
      <c r="G851" s="62">
        <v>1</v>
      </c>
      <c r="H851" s="2">
        <f t="shared" si="40"/>
        <v>336857.1</v>
      </c>
      <c r="I851" s="12">
        <f t="shared" si="41"/>
        <v>0.17666666666666667</v>
      </c>
      <c r="J851" s="12">
        <f t="shared" si="42"/>
        <v>0.1720062806372549</v>
      </c>
    </row>
    <row r="852" spans="1:10" ht="15" customHeight="1">
      <c r="A852" s="14">
        <v>46020</v>
      </c>
      <c r="B852" s="10">
        <f>VLOOKUP(A852,'BADI SID DATA'!A:B,2,0)</f>
        <v>273</v>
      </c>
      <c r="C852">
        <v>1296</v>
      </c>
      <c r="D852" s="5">
        <v>4.83</v>
      </c>
      <c r="E852" s="5">
        <v>198</v>
      </c>
      <c r="F852" s="62">
        <v>1</v>
      </c>
      <c r="G852" s="62">
        <v>1</v>
      </c>
      <c r="H852" s="2">
        <f t="shared" si="40"/>
        <v>338153.1</v>
      </c>
      <c r="I852" s="12">
        <f t="shared" si="41"/>
        <v>0.18</v>
      </c>
      <c r="J852" s="12">
        <f t="shared" si="42"/>
        <v>0.17203556166056164</v>
      </c>
    </row>
    <row r="853" spans="1:10" ht="15" customHeight="1">
      <c r="A853" s="14">
        <v>46021</v>
      </c>
      <c r="B853" s="10">
        <f>VLOOKUP(A853,'BADI SID DATA'!A:B,2,0)</f>
        <v>274</v>
      </c>
      <c r="C853">
        <v>1296</v>
      </c>
      <c r="D853" s="5">
        <v>4.76</v>
      </c>
      <c r="E853" s="5">
        <v>199</v>
      </c>
      <c r="F853" s="62">
        <v>1</v>
      </c>
      <c r="G853" s="62">
        <v>1</v>
      </c>
      <c r="H853" s="2">
        <f t="shared" si="40"/>
        <v>339449.1</v>
      </c>
      <c r="I853" s="12">
        <f t="shared" si="41"/>
        <v>0.18</v>
      </c>
      <c r="J853" s="12">
        <f t="shared" si="42"/>
        <v>0.17206462895377128</v>
      </c>
    </row>
    <row r="854" spans="1:10" ht="15" customHeight="1">
      <c r="A854" s="14">
        <v>46022</v>
      </c>
      <c r="B854" s="10">
        <f>VLOOKUP(A854,'BADI SID DATA'!A:B,2,0)</f>
        <v>275</v>
      </c>
      <c r="C854" s="59">
        <v>932</v>
      </c>
      <c r="D854" s="5">
        <v>3.39</v>
      </c>
      <c r="E854" s="5">
        <v>220</v>
      </c>
      <c r="F854" s="62">
        <v>1</v>
      </c>
      <c r="G854" s="62">
        <v>1</v>
      </c>
      <c r="H854" s="2">
        <f t="shared" si="40"/>
        <v>340381.1</v>
      </c>
      <c r="I854" s="12">
        <f t="shared" si="41"/>
        <v>0.12944444444444445</v>
      </c>
      <c r="J854" s="12">
        <f t="shared" si="42"/>
        <v>0.17190964646464646</v>
      </c>
    </row>
    <row r="855" spans="1:10" ht="15" customHeight="1">
      <c r="A855" s="14">
        <v>46023</v>
      </c>
      <c r="B855" s="10">
        <f>VLOOKUP(A855,'BADI SID DATA'!A:B,2,0)</f>
        <v>276</v>
      </c>
      <c r="C855" s="59">
        <v>973</v>
      </c>
      <c r="D855" s="5">
        <v>3.73</v>
      </c>
      <c r="E855" s="5">
        <v>213</v>
      </c>
      <c r="F855" s="62">
        <v>1</v>
      </c>
      <c r="G855" s="62">
        <v>1</v>
      </c>
      <c r="H855" s="2">
        <f t="shared" si="40"/>
        <v>341354.1</v>
      </c>
      <c r="I855" s="12">
        <f t="shared" si="41"/>
        <v>0.13513888888888889</v>
      </c>
      <c r="J855" s="12">
        <f t="shared" si="42"/>
        <v>0.1717764190821256</v>
      </c>
    </row>
    <row r="856" spans="1:10" ht="15" customHeight="1">
      <c r="A856" s="14">
        <v>46024</v>
      </c>
      <c r="B856" s="10">
        <f>VLOOKUP(A856,'BADI SID DATA'!A:B,2,0)</f>
        <v>277</v>
      </c>
      <c r="C856" s="59">
        <v>1193</v>
      </c>
      <c r="D856" s="5">
        <v>4.41</v>
      </c>
      <c r="E856" s="5">
        <v>212</v>
      </c>
      <c r="F856" s="62">
        <v>1</v>
      </c>
      <c r="G856" s="62">
        <v>1</v>
      </c>
      <c r="H856" s="2">
        <f t="shared" si="40"/>
        <v>342547.1</v>
      </c>
      <c r="I856" s="12">
        <f t="shared" si="41"/>
        <v>0.16569444444444445</v>
      </c>
      <c r="J856" s="12">
        <f t="shared" si="42"/>
        <v>0.17175446249498594</v>
      </c>
    </row>
    <row r="857" spans="1:10" ht="15" customHeight="1">
      <c r="A857" s="14">
        <v>46025</v>
      </c>
      <c r="B857" s="10">
        <f>VLOOKUP(A857,'BADI SID DATA'!A:B,2,0)</f>
        <v>278</v>
      </c>
      <c r="C857" s="59">
        <v>1098</v>
      </c>
      <c r="D857" s="5">
        <v>4.09</v>
      </c>
      <c r="E857" s="5">
        <v>238</v>
      </c>
      <c r="F857" s="62">
        <v>1</v>
      </c>
      <c r="G857" s="62">
        <v>1</v>
      </c>
      <c r="H857" s="2">
        <f t="shared" si="40"/>
        <v>343645.1</v>
      </c>
      <c r="I857" s="12">
        <f t="shared" si="41"/>
        <v>0.1525</v>
      </c>
      <c r="J857" s="12">
        <f t="shared" si="42"/>
        <v>0.17168520183852917</v>
      </c>
    </row>
    <row r="858" spans="1:10" ht="15" customHeight="1">
      <c r="A858" s="14">
        <v>46026</v>
      </c>
      <c r="B858" s="10">
        <f>VLOOKUP(A858,'BADI SID DATA'!A:B,2,0)</f>
        <v>279</v>
      </c>
      <c r="C858" s="59">
        <v>1233</v>
      </c>
      <c r="D858" s="5">
        <v>4.54</v>
      </c>
      <c r="E858" s="5">
        <v>210</v>
      </c>
      <c r="F858" s="62">
        <v>1</v>
      </c>
      <c r="G858" s="62">
        <v>1</v>
      </c>
      <c r="H858" s="2">
        <f t="shared" si="40"/>
        <v>344878.1</v>
      </c>
      <c r="I858" s="12">
        <f t="shared" si="41"/>
        <v>0.17125000000000001</v>
      </c>
      <c r="J858" s="12">
        <f t="shared" si="42"/>
        <v>0.17168364197530864</v>
      </c>
    </row>
    <row r="859" spans="1:10" ht="15" customHeight="1">
      <c r="A859" s="14">
        <v>46027</v>
      </c>
      <c r="B859" s="10">
        <f>VLOOKUP(A859,'BADI SID DATA'!A:B,2,0)</f>
        <v>280</v>
      </c>
      <c r="C859" s="59">
        <v>1075</v>
      </c>
      <c r="D859" s="5">
        <v>3.96</v>
      </c>
      <c r="E859" s="5">
        <v>190</v>
      </c>
      <c r="F859" s="62">
        <v>1</v>
      </c>
      <c r="G859" s="62">
        <v>1</v>
      </c>
      <c r="H859" s="2">
        <f t="shared" si="40"/>
        <v>345953.1</v>
      </c>
      <c r="I859" s="12">
        <f t="shared" si="41"/>
        <v>0.14930555555555555</v>
      </c>
      <c r="J859" s="12">
        <f t="shared" si="42"/>
        <v>0.17160372023809523</v>
      </c>
    </row>
    <row r="860" spans="1:10" ht="15" customHeight="1">
      <c r="A860" s="14">
        <v>46028</v>
      </c>
      <c r="B860" s="10">
        <f>VLOOKUP(A860,'BADI SID DATA'!A:B,2,0)</f>
        <v>281</v>
      </c>
      <c r="F860" s="62">
        <v>1</v>
      </c>
      <c r="G860" s="62">
        <v>1</v>
      </c>
      <c r="H860" s="2">
        <f t="shared" si="40"/>
        <v>345953.1</v>
      </c>
      <c r="I860" s="12">
        <f t="shared" si="41"/>
        <v>0</v>
      </c>
      <c r="J860" s="12">
        <f t="shared" si="42"/>
        <v>0.17099303084223011</v>
      </c>
    </row>
    <row r="861" spans="1:10" ht="15" customHeight="1">
      <c r="A861" s="14">
        <v>46029</v>
      </c>
      <c r="B861" s="10">
        <f>VLOOKUP(A861,'BADI SID DATA'!A:B,2,0)</f>
        <v>282</v>
      </c>
      <c r="F861" s="62">
        <v>1</v>
      </c>
      <c r="G861" s="62">
        <v>1</v>
      </c>
      <c r="H861" s="2">
        <f t="shared" si="40"/>
        <v>345953.1</v>
      </c>
      <c r="I861" s="12">
        <f t="shared" si="41"/>
        <v>0</v>
      </c>
      <c r="J861" s="12">
        <f t="shared" si="42"/>
        <v>0.17038667257683213</v>
      </c>
    </row>
    <row r="862" spans="1:10" ht="15" customHeight="1">
      <c r="A862" s="14">
        <v>46030</v>
      </c>
      <c r="B862" s="10">
        <f>VLOOKUP(A862,'BADI SID DATA'!A:B,2,0)</f>
        <v>283</v>
      </c>
      <c r="F862" s="62">
        <v>1</v>
      </c>
      <c r="G862" s="62">
        <v>1</v>
      </c>
      <c r="H862" s="2">
        <f t="shared" si="40"/>
        <v>345953.1</v>
      </c>
      <c r="I862" s="12">
        <f t="shared" si="41"/>
        <v>0</v>
      </c>
      <c r="J862" s="12">
        <f t="shared" si="42"/>
        <v>0.16978459952885747</v>
      </c>
    </row>
    <row r="863" spans="1:10" ht="15" customHeight="1">
      <c r="A863" s="14">
        <v>46031</v>
      </c>
      <c r="B863" s="10">
        <f>VLOOKUP(A863,'BADI SID DATA'!A:B,2,0)</f>
        <v>284</v>
      </c>
      <c r="F863" s="62">
        <v>1</v>
      </c>
      <c r="G863" s="62">
        <v>1</v>
      </c>
      <c r="H863" s="2">
        <f t="shared" si="40"/>
        <v>345953.1</v>
      </c>
      <c r="I863" s="12">
        <f t="shared" si="41"/>
        <v>0</v>
      </c>
      <c r="J863" s="12">
        <f t="shared" si="42"/>
        <v>0.16918676643192487</v>
      </c>
    </row>
    <row r="864" spans="1:10" ht="15" customHeight="1">
      <c r="A864" s="14">
        <v>46032</v>
      </c>
      <c r="B864" s="10">
        <f>VLOOKUP(A864,'BADI SID DATA'!A:B,2,0)</f>
        <v>285</v>
      </c>
      <c r="F864" s="62">
        <v>1</v>
      </c>
      <c r="G864" s="62">
        <v>1</v>
      </c>
      <c r="H864" s="2">
        <f t="shared" si="40"/>
        <v>345953.1</v>
      </c>
      <c r="I864" s="12">
        <f t="shared" si="41"/>
        <v>0</v>
      </c>
      <c r="J864" s="12">
        <f t="shared" si="42"/>
        <v>0.16859312865497075</v>
      </c>
    </row>
    <row r="865" spans="1:10" ht="15" customHeight="1">
      <c r="A865" s="14">
        <v>46033</v>
      </c>
      <c r="B865" s="10">
        <f>VLOOKUP(A865,'BADI SID DATA'!A:B,2,0)</f>
        <v>286</v>
      </c>
      <c r="F865" s="62">
        <v>1</v>
      </c>
      <c r="G865" s="62">
        <v>1</v>
      </c>
      <c r="H865" s="2">
        <f t="shared" si="40"/>
        <v>345953.1</v>
      </c>
      <c r="I865" s="12">
        <f t="shared" si="41"/>
        <v>0</v>
      </c>
      <c r="J865" s="12">
        <f t="shared" si="42"/>
        <v>0.16800364219114217</v>
      </c>
    </row>
    <row r="866" spans="1:10" ht="15" customHeight="1">
      <c r="A866" s="14">
        <v>46034</v>
      </c>
      <c r="B866" s="10">
        <f>VLOOKUP(A866,'BADI SID DATA'!A:B,2,0)</f>
        <v>287</v>
      </c>
      <c r="F866" s="62">
        <v>1</v>
      </c>
      <c r="G866" s="62">
        <v>1</v>
      </c>
      <c r="H866" s="2">
        <f t="shared" si="40"/>
        <v>345953.1</v>
      </c>
      <c r="I866" s="12">
        <f t="shared" si="41"/>
        <v>0</v>
      </c>
      <c r="J866" s="12">
        <f t="shared" si="42"/>
        <v>0.16741826364692217</v>
      </c>
    </row>
    <row r="867" spans="1:10" ht="15" customHeight="1">
      <c r="A867" s="14">
        <v>46035</v>
      </c>
      <c r="B867" s="10">
        <f>VLOOKUP(A867,'BADI SID DATA'!A:B,2,0)</f>
        <v>288</v>
      </c>
      <c r="F867" s="62">
        <v>1</v>
      </c>
      <c r="G867" s="62">
        <v>1</v>
      </c>
      <c r="H867" s="2">
        <f t="shared" si="40"/>
        <v>345953.1</v>
      </c>
      <c r="I867" s="12">
        <f t="shared" si="41"/>
        <v>0</v>
      </c>
      <c r="J867" s="12">
        <f t="shared" si="42"/>
        <v>0.16683695023148146</v>
      </c>
    </row>
    <row r="868" spans="1:10" ht="15" customHeight="1">
      <c r="A868" s="14">
        <v>46036</v>
      </c>
      <c r="B868" s="10">
        <f>VLOOKUP(A868,'BADI SID DATA'!A:B,2,0)</f>
        <v>289</v>
      </c>
      <c r="F868" s="62">
        <v>1</v>
      </c>
      <c r="G868" s="62">
        <v>1</v>
      </c>
      <c r="H868" s="2">
        <f t="shared" si="40"/>
        <v>345953.1</v>
      </c>
      <c r="I868" s="12">
        <f t="shared" si="41"/>
        <v>0</v>
      </c>
      <c r="J868" s="12">
        <f t="shared" si="42"/>
        <v>0.16625965974625143</v>
      </c>
    </row>
    <row r="869" spans="1:10" ht="15" customHeight="1">
      <c r="A869" s="14">
        <v>46037</v>
      </c>
      <c r="B869" s="10">
        <f>VLOOKUP(A869,'BADI SID DATA'!A:B,2,0)</f>
        <v>290</v>
      </c>
      <c r="F869" s="62">
        <v>1</v>
      </c>
      <c r="G869" s="62">
        <v>1</v>
      </c>
      <c r="H869" s="2">
        <f t="shared" si="40"/>
        <v>345953.1</v>
      </c>
      <c r="I869" s="12">
        <f t="shared" si="41"/>
        <v>0</v>
      </c>
      <c r="J869" s="12">
        <f t="shared" si="42"/>
        <v>0.16568635057471262</v>
      </c>
    </row>
    <row r="870" spans="1:10" ht="15" customHeight="1">
      <c r="A870" s="14">
        <v>46038</v>
      </c>
      <c r="B870" s="10">
        <f>VLOOKUP(A870,'BADI SID DATA'!A:B,2,0)</f>
        <v>291</v>
      </c>
      <c r="F870" s="62">
        <v>1</v>
      </c>
      <c r="G870" s="62">
        <v>1</v>
      </c>
      <c r="H870" s="2">
        <f t="shared" si="40"/>
        <v>345953.1</v>
      </c>
      <c r="I870" s="12">
        <f t="shared" si="41"/>
        <v>0</v>
      </c>
      <c r="J870" s="12">
        <f t="shared" si="42"/>
        <v>0.16511698167239403</v>
      </c>
    </row>
    <row r="871" spans="1:10" ht="15" customHeight="1">
      <c r="A871" s="14">
        <v>46039</v>
      </c>
      <c r="B871" s="10">
        <f>VLOOKUP(A871,'BADI SID DATA'!A:B,2,0)</f>
        <v>292</v>
      </c>
      <c r="F871" s="62">
        <v>1</v>
      </c>
      <c r="G871" s="62">
        <v>1</v>
      </c>
      <c r="H871" s="2">
        <f t="shared" si="40"/>
        <v>345953.1</v>
      </c>
      <c r="I871" s="12">
        <f t="shared" si="41"/>
        <v>0</v>
      </c>
      <c r="J871" s="12">
        <f t="shared" si="42"/>
        <v>0.16455151255707762</v>
      </c>
    </row>
    <row r="872" spans="1:10" ht="15" customHeight="1">
      <c r="A872" s="14">
        <v>46040</v>
      </c>
      <c r="B872" s="10">
        <f>VLOOKUP(A872,'BADI SID DATA'!A:B,2,0)</f>
        <v>293</v>
      </c>
      <c r="F872" s="62">
        <v>1</v>
      </c>
      <c r="G872" s="62">
        <v>1</v>
      </c>
      <c r="H872" s="2">
        <f t="shared" si="40"/>
        <v>345953.1</v>
      </c>
      <c r="I872" s="12">
        <f t="shared" si="41"/>
        <v>0</v>
      </c>
      <c r="J872" s="12">
        <f t="shared" si="42"/>
        <v>0.16398990329920363</v>
      </c>
    </row>
    <row r="873" spans="1:10" ht="15" customHeight="1">
      <c r="A873" s="14">
        <v>46041</v>
      </c>
      <c r="B873" s="10">
        <f>VLOOKUP(A873,'BADI SID DATA'!A:B,2,0)</f>
        <v>294</v>
      </c>
      <c r="F873" s="62">
        <v>1</v>
      </c>
      <c r="G873" s="62">
        <v>1</v>
      </c>
      <c r="H873" s="2">
        <f t="shared" si="40"/>
        <v>345953.1</v>
      </c>
      <c r="I873" s="12">
        <f t="shared" si="41"/>
        <v>0</v>
      </c>
      <c r="J873" s="12">
        <f t="shared" si="42"/>
        <v>0.16343211451247164</v>
      </c>
    </row>
    <row r="874" spans="1:10" ht="15" customHeight="1">
      <c r="A874" s="14">
        <v>46042</v>
      </c>
      <c r="B874" s="10">
        <f>VLOOKUP(A874,'BADI SID DATA'!A:B,2,0)</f>
        <v>295</v>
      </c>
      <c r="F874" s="62">
        <v>1</v>
      </c>
      <c r="G874" s="62">
        <v>1</v>
      </c>
      <c r="H874" s="2">
        <f t="shared" si="40"/>
        <v>345953.1</v>
      </c>
      <c r="I874" s="12">
        <f t="shared" si="41"/>
        <v>0</v>
      </c>
      <c r="J874" s="12">
        <f t="shared" si="42"/>
        <v>0.16287810734463276</v>
      </c>
    </row>
    <row r="875" spans="1:10" ht="15" customHeight="1">
      <c r="A875" s="14">
        <v>46043</v>
      </c>
      <c r="B875" s="10">
        <f>VLOOKUP(A875,'BADI SID DATA'!A:B,2,0)</f>
        <v>296</v>
      </c>
      <c r="F875" s="62">
        <v>1</v>
      </c>
      <c r="G875" s="62">
        <v>1</v>
      </c>
      <c r="H875" s="2">
        <f t="shared" si="40"/>
        <v>345953.1</v>
      </c>
      <c r="I875" s="12">
        <f t="shared" si="41"/>
        <v>0</v>
      </c>
      <c r="J875" s="12">
        <f t="shared" si="42"/>
        <v>0.16232784346846846</v>
      </c>
    </row>
    <row r="876" spans="1:10" ht="15" customHeight="1">
      <c r="A876" s="14">
        <v>46044</v>
      </c>
      <c r="B876" s="10">
        <f>VLOOKUP(A876,'BADI SID DATA'!A:B,2,0)</f>
        <v>297</v>
      </c>
      <c r="F876" s="62">
        <v>1</v>
      </c>
      <c r="G876" s="62">
        <v>1</v>
      </c>
      <c r="H876" s="2">
        <f t="shared" si="40"/>
        <v>345953.1</v>
      </c>
      <c r="I876" s="12">
        <f t="shared" si="41"/>
        <v>0</v>
      </c>
      <c r="J876" s="12">
        <f t="shared" si="42"/>
        <v>0.16178128507295172</v>
      </c>
    </row>
    <row r="877" spans="1:10" ht="15" customHeight="1">
      <c r="A877" s="14">
        <v>46045</v>
      </c>
      <c r="B877" s="10">
        <f>VLOOKUP(A877,'BADI SID DATA'!A:B,2,0)</f>
        <v>298</v>
      </c>
      <c r="F877" s="62">
        <v>1</v>
      </c>
      <c r="G877" s="62">
        <v>1</v>
      </c>
      <c r="H877" s="2">
        <f t="shared" si="40"/>
        <v>345953.1</v>
      </c>
      <c r="I877" s="12">
        <f t="shared" si="41"/>
        <v>0</v>
      </c>
      <c r="J877" s="12">
        <f t="shared" si="42"/>
        <v>0.16123839485458613</v>
      </c>
    </row>
    <row r="878" spans="1:10" ht="15" customHeight="1">
      <c r="A878" s="14">
        <v>46046</v>
      </c>
      <c r="B878" s="10">
        <f>VLOOKUP(A878,'BADI SID DATA'!A:B,2,0)</f>
        <v>299</v>
      </c>
      <c r="F878" s="62">
        <v>1</v>
      </c>
      <c r="G878" s="62">
        <v>1</v>
      </c>
      <c r="H878" s="2">
        <f t="shared" si="40"/>
        <v>345953.1</v>
      </c>
      <c r="I878" s="12">
        <f t="shared" si="41"/>
        <v>0</v>
      </c>
      <c r="J878" s="12">
        <f t="shared" si="42"/>
        <v>0.16069913600891861</v>
      </c>
    </row>
    <row r="879" spans="1:10" ht="15" customHeight="1">
      <c r="A879" s="14">
        <v>46047</v>
      </c>
      <c r="B879" s="10">
        <f>VLOOKUP(A879,'BADI SID DATA'!A:B,2,0)</f>
        <v>300</v>
      </c>
      <c r="F879" s="62">
        <v>1</v>
      </c>
      <c r="G879" s="62">
        <v>1</v>
      </c>
      <c r="H879" s="2">
        <f t="shared" si="40"/>
        <v>345953.1</v>
      </c>
      <c r="I879" s="12">
        <f t="shared" si="41"/>
        <v>0</v>
      </c>
      <c r="J879" s="12">
        <f t="shared" si="42"/>
        <v>0.16016347222222221</v>
      </c>
    </row>
    <row r="880" spans="1:10" ht="15" customHeight="1">
      <c r="A880" s="14">
        <v>46048</v>
      </c>
      <c r="B880" s="10">
        <f>VLOOKUP(A880,'BADI SID DATA'!A:B,2,0)</f>
        <v>301</v>
      </c>
      <c r="F880" s="62">
        <v>1</v>
      </c>
      <c r="G880" s="62">
        <v>1</v>
      </c>
      <c r="H880" s="2">
        <f t="shared" si="40"/>
        <v>345953.1</v>
      </c>
      <c r="I880" s="12">
        <f t="shared" si="41"/>
        <v>0</v>
      </c>
      <c r="J880" s="12">
        <f t="shared" si="42"/>
        <v>0.1596313676633444</v>
      </c>
    </row>
    <row r="881" spans="1:10" ht="15" customHeight="1">
      <c r="A881" s="14">
        <v>46049</v>
      </c>
      <c r="B881" s="10">
        <f>VLOOKUP(A881,'BADI SID DATA'!A:B,2,0)</f>
        <v>302</v>
      </c>
      <c r="F881" s="62">
        <v>1</v>
      </c>
      <c r="G881" s="62">
        <v>1</v>
      </c>
      <c r="H881" s="2">
        <f t="shared" si="40"/>
        <v>345953.1</v>
      </c>
      <c r="I881" s="12">
        <f t="shared" si="41"/>
        <v>0</v>
      </c>
      <c r="J881" s="12">
        <f t="shared" si="42"/>
        <v>0.15910278697571742</v>
      </c>
    </row>
    <row r="882" spans="1:10" ht="15" customHeight="1">
      <c r="A882" s="14">
        <v>46050</v>
      </c>
      <c r="B882" s="10">
        <f>VLOOKUP(A882,'BADI SID DATA'!A:B,2,0)</f>
        <v>303</v>
      </c>
      <c r="F882" s="62">
        <v>1</v>
      </c>
      <c r="G882" s="62">
        <v>1</v>
      </c>
      <c r="H882" s="2">
        <f t="shared" si="40"/>
        <v>345953.1</v>
      </c>
      <c r="I882" s="12">
        <f t="shared" si="41"/>
        <v>0</v>
      </c>
      <c r="J882" s="12">
        <f t="shared" si="42"/>
        <v>0.15857769526952695</v>
      </c>
    </row>
    <row r="883" spans="1:10" ht="15" customHeight="1">
      <c r="A883" s="14">
        <v>46051</v>
      </c>
      <c r="B883" s="10">
        <f>VLOOKUP(A883,'BADI SID DATA'!A:B,2,0)</f>
        <v>304</v>
      </c>
      <c r="F883" s="62">
        <v>1</v>
      </c>
      <c r="G883" s="62">
        <v>1</v>
      </c>
      <c r="H883" s="2">
        <f t="shared" si="40"/>
        <v>345953.1</v>
      </c>
      <c r="I883" s="12">
        <f t="shared" si="41"/>
        <v>0</v>
      </c>
      <c r="J883" s="12">
        <f t="shared" si="42"/>
        <v>0.15805605811403509</v>
      </c>
    </row>
    <row r="884" spans="1:10" ht="15" customHeight="1">
      <c r="A884" s="14">
        <v>46052</v>
      </c>
      <c r="B884" s="10">
        <f>VLOOKUP(A884,'BADI SID DATA'!A:B,2,0)</f>
        <v>305</v>
      </c>
      <c r="F884" s="62">
        <v>1</v>
      </c>
      <c r="G884" s="62">
        <v>1</v>
      </c>
      <c r="H884" s="2">
        <f t="shared" si="40"/>
        <v>345953.1</v>
      </c>
      <c r="I884" s="12">
        <f t="shared" si="41"/>
        <v>0</v>
      </c>
      <c r="J884" s="12">
        <f t="shared" si="42"/>
        <v>0.15753784153005462</v>
      </c>
    </row>
    <row r="885" spans="1:10" ht="15" customHeight="1">
      <c r="A885" s="14">
        <v>46053</v>
      </c>
      <c r="B885" s="10">
        <f>VLOOKUP(A885,'BADI SID DATA'!A:B,2,0)</f>
        <v>306</v>
      </c>
      <c r="F885" s="62">
        <v>1</v>
      </c>
      <c r="G885" s="62">
        <v>1</v>
      </c>
      <c r="H885" s="2">
        <f t="shared" si="40"/>
        <v>345953.1</v>
      </c>
      <c r="I885" s="12">
        <f t="shared" si="41"/>
        <v>0</v>
      </c>
      <c r="J885" s="12">
        <f t="shared" si="42"/>
        <v>0.15702301198257079</v>
      </c>
    </row>
    <row r="886" spans="1:10" ht="15" customHeight="1">
      <c r="A886" s="14">
        <v>46054</v>
      </c>
      <c r="B886" s="10">
        <f>VLOOKUP(A886,'BADI SID DATA'!A:B,2,0)</f>
        <v>307</v>
      </c>
      <c r="F886" s="62">
        <v>1</v>
      </c>
      <c r="G886" s="62">
        <v>1</v>
      </c>
      <c r="H886" s="2">
        <f t="shared" si="40"/>
        <v>345953.1</v>
      </c>
      <c r="I886" s="12">
        <f t="shared" si="41"/>
        <v>0</v>
      </c>
      <c r="J886" s="12">
        <f t="shared" si="42"/>
        <v>0.15651153637350704</v>
      </c>
    </row>
    <row r="887" spans="1:10" ht="15" customHeight="1">
      <c r="A887" s="14">
        <v>46055</v>
      </c>
      <c r="B887" s="10">
        <f>VLOOKUP(A887,'BADI SID DATA'!A:B,2,0)</f>
        <v>308</v>
      </c>
      <c r="F887" s="62">
        <v>1</v>
      </c>
      <c r="G887" s="62">
        <v>1</v>
      </c>
      <c r="H887" s="2">
        <f t="shared" si="40"/>
        <v>345953.1</v>
      </c>
      <c r="I887" s="12">
        <f t="shared" si="41"/>
        <v>0</v>
      </c>
      <c r="J887" s="12">
        <f t="shared" si="42"/>
        <v>0.15600338203463202</v>
      </c>
    </row>
    <row r="888" spans="1:10" ht="15" customHeight="1">
      <c r="A888" s="14">
        <v>46056</v>
      </c>
      <c r="B888" s="10">
        <f>VLOOKUP(A888,'BADI SID DATA'!A:B,2,0)</f>
        <v>309</v>
      </c>
      <c r="F888" s="62">
        <v>1</v>
      </c>
      <c r="G888" s="62">
        <v>1</v>
      </c>
      <c r="H888" s="2">
        <f t="shared" si="40"/>
        <v>345953.1</v>
      </c>
      <c r="I888" s="12">
        <f t="shared" si="41"/>
        <v>0</v>
      </c>
      <c r="J888" s="12">
        <f t="shared" si="42"/>
        <v>0.15549851672060408</v>
      </c>
    </row>
    <row r="889" spans="1:10" ht="15" customHeight="1">
      <c r="A889" s="14">
        <v>46057</v>
      </c>
      <c r="B889" s="10">
        <f>VLOOKUP(A889,'BADI SID DATA'!A:B,2,0)</f>
        <v>310</v>
      </c>
      <c r="F889" s="62">
        <v>1</v>
      </c>
      <c r="G889" s="62">
        <v>1</v>
      </c>
      <c r="H889" s="2">
        <f t="shared" si="40"/>
        <v>345953.1</v>
      </c>
      <c r="I889" s="12">
        <f t="shared" si="41"/>
        <v>0</v>
      </c>
      <c r="J889" s="12">
        <f t="shared" si="42"/>
        <v>0.15499690860215054</v>
      </c>
    </row>
    <row r="890" spans="1:10" ht="15" customHeight="1">
      <c r="A890" s="14">
        <v>46058</v>
      </c>
      <c r="B890" s="10">
        <f>VLOOKUP(A890,'BADI SID DATA'!A:B,2,0)</f>
        <v>311</v>
      </c>
      <c r="F890" s="62">
        <v>1</v>
      </c>
      <c r="G890" s="62">
        <v>1</v>
      </c>
      <c r="H890" s="2">
        <f t="shared" si="40"/>
        <v>345953.1</v>
      </c>
      <c r="I890" s="12">
        <f t="shared" si="41"/>
        <v>0</v>
      </c>
      <c r="J890" s="12">
        <f t="shared" si="42"/>
        <v>0.15449852625937835</v>
      </c>
    </row>
    <row r="891" spans="1:10" ht="15" customHeight="1">
      <c r="A891" s="14">
        <v>46059</v>
      </c>
      <c r="B891" s="10">
        <f>VLOOKUP(A891,'BADI SID DATA'!A:B,2,0)</f>
        <v>312</v>
      </c>
      <c r="F891" s="62">
        <v>1</v>
      </c>
      <c r="G891" s="62">
        <v>1</v>
      </c>
      <c r="H891" s="2">
        <f t="shared" si="40"/>
        <v>345953.1</v>
      </c>
      <c r="I891" s="12">
        <f t="shared" si="41"/>
        <v>0</v>
      </c>
      <c r="J891" s="12">
        <f t="shared" si="42"/>
        <v>0.15400333867521365</v>
      </c>
    </row>
    <row r="892" spans="1:10" ht="15" customHeight="1">
      <c r="A892" s="14">
        <v>46060</v>
      </c>
      <c r="B892" s="10">
        <f>VLOOKUP(A892,'BADI SID DATA'!A:B,2,0)</f>
        <v>313</v>
      </c>
      <c r="F892" s="62">
        <v>1</v>
      </c>
      <c r="G892" s="62">
        <v>1</v>
      </c>
      <c r="H892" s="2">
        <f t="shared" si="40"/>
        <v>345953.1</v>
      </c>
      <c r="I892" s="12">
        <f t="shared" si="41"/>
        <v>0</v>
      </c>
      <c r="J892" s="12">
        <f t="shared" si="42"/>
        <v>0.15351131522896697</v>
      </c>
    </row>
    <row r="893" spans="1:10" ht="15" customHeight="1">
      <c r="A893" s="14">
        <v>46061</v>
      </c>
      <c r="B893" s="10">
        <f>VLOOKUP(A893,'BADI SID DATA'!A:B,2,0)</f>
        <v>314</v>
      </c>
      <c r="F893" s="62">
        <v>1</v>
      </c>
      <c r="G893" s="62">
        <v>1</v>
      </c>
      <c r="H893" s="2">
        <f t="shared" si="40"/>
        <v>345953.1</v>
      </c>
      <c r="I893" s="12">
        <f t="shared" si="41"/>
        <v>0</v>
      </c>
      <c r="J893" s="12">
        <f t="shared" si="42"/>
        <v>0.15302242569002122</v>
      </c>
    </row>
    <row r="894" spans="1:10" ht="15" customHeight="1">
      <c r="A894" s="14">
        <v>46062</v>
      </c>
      <c r="B894" s="10">
        <f>VLOOKUP(A894,'BADI SID DATA'!A:B,2,0)</f>
        <v>315</v>
      </c>
      <c r="F894" s="62">
        <v>1</v>
      </c>
      <c r="G894" s="62">
        <v>1</v>
      </c>
      <c r="H894" s="2">
        <f t="shared" si="40"/>
        <v>345953.1</v>
      </c>
      <c r="I894" s="12">
        <f t="shared" si="41"/>
        <v>0</v>
      </c>
      <c r="J894" s="12">
        <f t="shared" si="42"/>
        <v>0.15253664021164021</v>
      </c>
    </row>
    <row r="895" spans="1:10" ht="15" customHeight="1">
      <c r="A895" s="14">
        <v>46063</v>
      </c>
      <c r="B895" s="10">
        <f>VLOOKUP(A895,'BADI SID DATA'!A:B,2,0)</f>
        <v>316</v>
      </c>
      <c r="F895" s="62">
        <v>1</v>
      </c>
      <c r="G895" s="62">
        <v>1</v>
      </c>
      <c r="H895" s="2">
        <f t="shared" si="40"/>
        <v>345953.1</v>
      </c>
      <c r="I895" s="12">
        <f t="shared" si="41"/>
        <v>0</v>
      </c>
      <c r="J895" s="12">
        <f t="shared" si="42"/>
        <v>0.1520539293248945</v>
      </c>
    </row>
    <row r="896" spans="1:10" ht="15" customHeight="1">
      <c r="A896" s="14">
        <v>46064</v>
      </c>
      <c r="B896" s="10">
        <f>VLOOKUP(A896,'BADI SID DATA'!A:B,2,0)</f>
        <v>317</v>
      </c>
      <c r="F896" s="62">
        <v>1</v>
      </c>
      <c r="G896" s="62">
        <v>1</v>
      </c>
      <c r="H896" s="2">
        <f t="shared" si="40"/>
        <v>345953.1</v>
      </c>
      <c r="I896" s="12">
        <f t="shared" si="41"/>
        <v>0</v>
      </c>
      <c r="J896" s="12">
        <f t="shared" si="42"/>
        <v>0.1515742639327024</v>
      </c>
    </row>
    <row r="897" spans="1:10" ht="15" customHeight="1">
      <c r="A897" s="14">
        <v>46065</v>
      </c>
      <c r="B897" s="10">
        <f>VLOOKUP(A897,'BADI SID DATA'!A:B,2,0)</f>
        <v>318</v>
      </c>
      <c r="F897" s="62">
        <v>1</v>
      </c>
      <c r="G897" s="62">
        <v>1</v>
      </c>
      <c r="H897" s="2">
        <f t="shared" si="40"/>
        <v>345953.1</v>
      </c>
      <c r="I897" s="12">
        <f t="shared" si="41"/>
        <v>0</v>
      </c>
      <c r="J897" s="12">
        <f t="shared" si="42"/>
        <v>0.15109761530398322</v>
      </c>
    </row>
    <row r="898" spans="1:10" ht="15" customHeight="1">
      <c r="A898" s="14">
        <v>46066</v>
      </c>
      <c r="B898" s="10">
        <f>VLOOKUP(A898,'BADI SID DATA'!A:B,2,0)</f>
        <v>319</v>
      </c>
      <c r="F898" s="62">
        <v>1</v>
      </c>
      <c r="G898" s="62">
        <v>1</v>
      </c>
      <c r="H898" s="2">
        <f t="shared" si="40"/>
        <v>345953.1</v>
      </c>
      <c r="I898" s="12">
        <f t="shared" si="41"/>
        <v>0</v>
      </c>
      <c r="J898" s="12">
        <f t="shared" si="42"/>
        <v>0.15062395506792056</v>
      </c>
    </row>
    <row r="899" spans="1:10" ht="15" customHeight="1">
      <c r="A899" s="14">
        <v>46067</v>
      </c>
      <c r="B899" s="10">
        <f>VLOOKUP(A899,'BADI SID DATA'!A:B,2,0)</f>
        <v>320</v>
      </c>
      <c r="F899" s="62">
        <v>1</v>
      </c>
      <c r="G899" s="62">
        <v>1</v>
      </c>
      <c r="H899" s="2">
        <f t="shared" ref="H899:H962" si="43">H898+C899</f>
        <v>345953.1</v>
      </c>
      <c r="I899" s="12">
        <f t="shared" ref="I899:I962" si="44">C899/(300*24)</f>
        <v>0</v>
      </c>
      <c r="J899" s="12">
        <f t="shared" ref="J899:J962" si="45">H899/(24*B899*300)</f>
        <v>0.15015325520833334</v>
      </c>
    </row>
    <row r="900" spans="1:10" ht="15" customHeight="1">
      <c r="A900" s="14">
        <v>46068</v>
      </c>
      <c r="B900" s="10">
        <f>VLOOKUP(A900,'BADI SID DATA'!A:B,2,0)</f>
        <v>321</v>
      </c>
      <c r="F900" s="62">
        <v>1</v>
      </c>
      <c r="G900" s="62">
        <v>1</v>
      </c>
      <c r="H900" s="2">
        <f t="shared" si="43"/>
        <v>345953.1</v>
      </c>
      <c r="I900" s="12">
        <f t="shared" si="44"/>
        <v>0</v>
      </c>
      <c r="J900" s="12">
        <f t="shared" si="45"/>
        <v>0.1496854880581516</v>
      </c>
    </row>
    <row r="901" spans="1:10" ht="15" customHeight="1">
      <c r="A901" s="14">
        <v>46069</v>
      </c>
      <c r="B901" s="10">
        <f>VLOOKUP(A901,'BADI SID DATA'!A:B,2,0)</f>
        <v>322</v>
      </c>
      <c r="F901" s="62">
        <v>1</v>
      </c>
      <c r="G901" s="62">
        <v>1</v>
      </c>
      <c r="H901" s="2">
        <f t="shared" si="43"/>
        <v>345953.1</v>
      </c>
      <c r="I901" s="12">
        <f t="shared" si="44"/>
        <v>0</v>
      </c>
      <c r="J901" s="12">
        <f t="shared" si="45"/>
        <v>0.14922062629399585</v>
      </c>
    </row>
    <row r="902" spans="1:10" ht="15" customHeight="1">
      <c r="A902" s="14">
        <v>46070</v>
      </c>
      <c r="B902" s="10">
        <f>VLOOKUP(A902,'BADI SID DATA'!A:B,2,0)</f>
        <v>323</v>
      </c>
      <c r="F902" s="62">
        <v>1</v>
      </c>
      <c r="G902" s="62">
        <v>1</v>
      </c>
      <c r="H902" s="2">
        <f t="shared" si="43"/>
        <v>345953.1</v>
      </c>
      <c r="I902" s="12">
        <f t="shared" si="44"/>
        <v>0</v>
      </c>
      <c r="J902" s="12">
        <f t="shared" si="45"/>
        <v>0.14875864293085655</v>
      </c>
    </row>
    <row r="903" spans="1:10" ht="15" customHeight="1">
      <c r="A903" s="14">
        <v>46071</v>
      </c>
      <c r="B903" s="10">
        <f>VLOOKUP(A903,'BADI SID DATA'!A:B,2,0)</f>
        <v>324</v>
      </c>
      <c r="F903" s="62">
        <v>1</v>
      </c>
      <c r="G903" s="62">
        <v>1</v>
      </c>
      <c r="H903" s="2">
        <f t="shared" si="43"/>
        <v>345953.1</v>
      </c>
      <c r="I903" s="12">
        <f t="shared" si="44"/>
        <v>0</v>
      </c>
      <c r="J903" s="12">
        <f t="shared" si="45"/>
        <v>0.14829951131687241</v>
      </c>
    </row>
    <row r="904" spans="1:10" ht="15" customHeight="1">
      <c r="A904" s="14">
        <v>46072</v>
      </c>
      <c r="B904" s="10">
        <f>VLOOKUP(A904,'BADI SID DATA'!A:B,2,0)</f>
        <v>325</v>
      </c>
      <c r="F904" s="62">
        <v>1</v>
      </c>
      <c r="G904" s="62">
        <v>1</v>
      </c>
      <c r="H904" s="2">
        <f t="shared" si="43"/>
        <v>345953.1</v>
      </c>
      <c r="I904" s="12">
        <f t="shared" si="44"/>
        <v>0</v>
      </c>
      <c r="J904" s="12">
        <f t="shared" si="45"/>
        <v>0.14784320512820512</v>
      </c>
    </row>
    <row r="905" spans="1:10" ht="15" customHeight="1">
      <c r="A905" s="14">
        <v>46073</v>
      </c>
      <c r="B905" s="10">
        <f>VLOOKUP(A905,'BADI SID DATA'!A:B,2,0)</f>
        <v>326</v>
      </c>
      <c r="F905" s="62">
        <v>1</v>
      </c>
      <c r="G905" s="62">
        <v>1</v>
      </c>
      <c r="H905" s="2">
        <f t="shared" si="43"/>
        <v>345953.1</v>
      </c>
      <c r="I905" s="12">
        <f t="shared" si="44"/>
        <v>0</v>
      </c>
      <c r="J905" s="12">
        <f t="shared" si="45"/>
        <v>0.14738969836400817</v>
      </c>
    </row>
    <row r="906" spans="1:10" ht="15" customHeight="1">
      <c r="A906" s="14">
        <v>46074</v>
      </c>
      <c r="B906" s="10">
        <f>VLOOKUP(A906,'BADI SID DATA'!A:B,2,0)</f>
        <v>327</v>
      </c>
      <c r="F906" s="62">
        <v>1</v>
      </c>
      <c r="G906" s="62">
        <v>1</v>
      </c>
      <c r="H906" s="2">
        <f t="shared" si="43"/>
        <v>345953.1</v>
      </c>
      <c r="I906" s="12">
        <f t="shared" si="44"/>
        <v>0</v>
      </c>
      <c r="J906" s="12">
        <f t="shared" si="45"/>
        <v>0.14693896534148826</v>
      </c>
    </row>
    <row r="907" spans="1:10" ht="15" customHeight="1">
      <c r="A907" s="14">
        <v>46075</v>
      </c>
      <c r="B907" s="10">
        <f>VLOOKUP(A907,'BADI SID DATA'!A:B,2,0)</f>
        <v>328</v>
      </c>
      <c r="F907" s="62">
        <v>1</v>
      </c>
      <c r="G907" s="62">
        <v>1</v>
      </c>
      <c r="H907" s="2">
        <f t="shared" si="43"/>
        <v>345953.1</v>
      </c>
      <c r="I907" s="12">
        <f t="shared" si="44"/>
        <v>0</v>
      </c>
      <c r="J907" s="12">
        <f t="shared" si="45"/>
        <v>0.1464909806910569</v>
      </c>
    </row>
    <row r="908" spans="1:10" ht="15" customHeight="1">
      <c r="A908" s="14">
        <v>46076</v>
      </c>
      <c r="B908" s="10">
        <f>VLOOKUP(A908,'BADI SID DATA'!A:B,2,0)</f>
        <v>329</v>
      </c>
      <c r="F908" s="62">
        <v>1</v>
      </c>
      <c r="G908" s="62">
        <v>1</v>
      </c>
      <c r="H908" s="2">
        <f t="shared" si="43"/>
        <v>345953.1</v>
      </c>
      <c r="I908" s="12">
        <f t="shared" si="44"/>
        <v>0</v>
      </c>
      <c r="J908" s="12">
        <f t="shared" si="45"/>
        <v>0.1460457193515704</v>
      </c>
    </row>
    <row r="909" spans="1:10" ht="15" customHeight="1">
      <c r="A909" s="14">
        <v>46077</v>
      </c>
      <c r="B909" s="10">
        <f>VLOOKUP(A909,'BADI SID DATA'!A:B,2,0)</f>
        <v>330</v>
      </c>
      <c r="F909" s="62">
        <v>1</v>
      </c>
      <c r="G909" s="62">
        <v>1</v>
      </c>
      <c r="H909" s="2">
        <f t="shared" si="43"/>
        <v>345953.1</v>
      </c>
      <c r="I909" s="12">
        <f t="shared" si="44"/>
        <v>0</v>
      </c>
      <c r="J909" s="12">
        <f t="shared" si="45"/>
        <v>0.14560315656565656</v>
      </c>
    </row>
    <row r="910" spans="1:10" ht="15" customHeight="1">
      <c r="A910" s="14">
        <v>46078</v>
      </c>
      <c r="B910" s="10">
        <f>VLOOKUP(A910,'BADI SID DATA'!A:B,2,0)</f>
        <v>331</v>
      </c>
      <c r="F910" s="62">
        <v>1</v>
      </c>
      <c r="G910" s="62">
        <v>1</v>
      </c>
      <c r="H910" s="2">
        <f t="shared" si="43"/>
        <v>345953.1</v>
      </c>
      <c r="I910" s="12">
        <f t="shared" si="44"/>
        <v>0</v>
      </c>
      <c r="J910" s="12">
        <f t="shared" si="45"/>
        <v>0.14516326787512587</v>
      </c>
    </row>
    <row r="911" spans="1:10" ht="15" customHeight="1">
      <c r="A911" s="14">
        <v>46079</v>
      </c>
      <c r="B911" s="10">
        <f>VLOOKUP(A911,'BADI SID DATA'!A:B,2,0)</f>
        <v>332</v>
      </c>
      <c r="F911" s="62">
        <v>1</v>
      </c>
      <c r="G911" s="62">
        <v>1</v>
      </c>
      <c r="H911" s="2">
        <f t="shared" si="43"/>
        <v>345953.1</v>
      </c>
      <c r="I911" s="12">
        <f t="shared" si="44"/>
        <v>0</v>
      </c>
      <c r="J911" s="12">
        <f t="shared" si="45"/>
        <v>0.14472602911646584</v>
      </c>
    </row>
    <row r="912" spans="1:10" ht="15" customHeight="1">
      <c r="A912" s="14">
        <v>46080</v>
      </c>
      <c r="B912" s="10">
        <f>VLOOKUP(A912,'BADI SID DATA'!A:B,2,0)</f>
        <v>333</v>
      </c>
      <c r="F912" s="62">
        <v>1</v>
      </c>
      <c r="G912" s="62">
        <v>1</v>
      </c>
      <c r="H912" s="2">
        <f t="shared" si="43"/>
        <v>345953.1</v>
      </c>
      <c r="I912" s="12">
        <f t="shared" si="44"/>
        <v>0</v>
      </c>
      <c r="J912" s="12">
        <f t="shared" si="45"/>
        <v>0.14429141641641641</v>
      </c>
    </row>
    <row r="913" spans="1:10" ht="15" customHeight="1">
      <c r="A913" s="14">
        <v>46081</v>
      </c>
      <c r="B913" s="10">
        <f>VLOOKUP(A913,'BADI SID DATA'!A:B,2,0)</f>
        <v>334</v>
      </c>
      <c r="F913" s="62">
        <v>1</v>
      </c>
      <c r="G913" s="62">
        <v>1</v>
      </c>
      <c r="H913" s="2">
        <f t="shared" si="43"/>
        <v>345953.1</v>
      </c>
      <c r="I913" s="12">
        <f t="shared" si="44"/>
        <v>0</v>
      </c>
      <c r="J913" s="12">
        <f t="shared" si="45"/>
        <v>0.14385940618762474</v>
      </c>
    </row>
    <row r="914" spans="1:10" ht="15" customHeight="1">
      <c r="A914" s="14">
        <v>46082</v>
      </c>
      <c r="B914" s="10">
        <f>VLOOKUP(A914,'BADI SID DATA'!A:B,2,0)</f>
        <v>335</v>
      </c>
      <c r="F914" s="62">
        <v>1</v>
      </c>
      <c r="G914" s="62">
        <v>1</v>
      </c>
      <c r="H914" s="2">
        <f t="shared" si="43"/>
        <v>345953.1</v>
      </c>
      <c r="I914" s="12">
        <f t="shared" si="44"/>
        <v>0</v>
      </c>
      <c r="J914" s="12">
        <f t="shared" si="45"/>
        <v>0.14342997512437811</v>
      </c>
    </row>
    <row r="915" spans="1:10" ht="15" customHeight="1">
      <c r="A915" s="14">
        <v>46083</v>
      </c>
      <c r="B915" s="10">
        <f>VLOOKUP(A915,'BADI SID DATA'!A:B,2,0)</f>
        <v>336</v>
      </c>
      <c r="F915" s="62">
        <v>1</v>
      </c>
      <c r="G915" s="62">
        <v>1</v>
      </c>
      <c r="H915" s="2">
        <f t="shared" si="43"/>
        <v>345953.1</v>
      </c>
      <c r="I915" s="12">
        <f t="shared" si="44"/>
        <v>0</v>
      </c>
      <c r="J915" s="12">
        <f t="shared" si="45"/>
        <v>0.1430031001984127</v>
      </c>
    </row>
    <row r="916" spans="1:10" ht="15" customHeight="1">
      <c r="A916" s="14">
        <v>46084</v>
      </c>
      <c r="B916" s="10">
        <f>VLOOKUP(A916,'BADI SID DATA'!A:B,2,0)</f>
        <v>337</v>
      </c>
      <c r="F916" s="62">
        <v>1</v>
      </c>
      <c r="G916" s="62">
        <v>1</v>
      </c>
      <c r="H916" s="2">
        <f t="shared" si="43"/>
        <v>345953.1</v>
      </c>
      <c r="I916" s="12">
        <f t="shared" si="44"/>
        <v>0</v>
      </c>
      <c r="J916" s="12">
        <f t="shared" si="45"/>
        <v>0.14257875865479722</v>
      </c>
    </row>
    <row r="917" spans="1:10" ht="15" customHeight="1">
      <c r="A917" s="14">
        <v>46085</v>
      </c>
      <c r="B917" s="10">
        <f>VLOOKUP(A917,'BADI SID DATA'!A:B,2,0)</f>
        <v>338</v>
      </c>
      <c r="F917" s="62">
        <v>1</v>
      </c>
      <c r="G917" s="62">
        <v>1</v>
      </c>
      <c r="H917" s="2">
        <f t="shared" si="43"/>
        <v>345953.1</v>
      </c>
      <c r="I917" s="12">
        <f t="shared" si="44"/>
        <v>0</v>
      </c>
      <c r="J917" s="12">
        <f t="shared" si="45"/>
        <v>0.14215692800788954</v>
      </c>
    </row>
    <row r="918" spans="1:10" ht="15" customHeight="1">
      <c r="A918" s="14">
        <v>46086</v>
      </c>
      <c r="B918" s="10">
        <f>VLOOKUP(A918,'BADI SID DATA'!A:B,2,0)</f>
        <v>339</v>
      </c>
      <c r="F918" s="62">
        <v>1</v>
      </c>
      <c r="G918" s="62">
        <v>1</v>
      </c>
      <c r="H918" s="2">
        <f t="shared" si="43"/>
        <v>345953.1</v>
      </c>
      <c r="I918" s="12">
        <f t="shared" si="44"/>
        <v>0</v>
      </c>
      <c r="J918" s="12">
        <f t="shared" si="45"/>
        <v>0.14173758603736478</v>
      </c>
    </row>
    <row r="919" spans="1:10" ht="15" customHeight="1">
      <c r="A919" s="14">
        <v>46087</v>
      </c>
      <c r="B919" s="10">
        <f>VLOOKUP(A919,'BADI SID DATA'!A:B,2,0)</f>
        <v>340</v>
      </c>
      <c r="F919" s="62">
        <v>1</v>
      </c>
      <c r="G919" s="62">
        <v>1</v>
      </c>
      <c r="H919" s="2">
        <f t="shared" si="43"/>
        <v>345953.1</v>
      </c>
      <c r="I919" s="12">
        <f t="shared" si="44"/>
        <v>0</v>
      </c>
      <c r="J919" s="12">
        <f t="shared" si="45"/>
        <v>0.14132071078431371</v>
      </c>
    </row>
    <row r="920" spans="1:10" ht="15" customHeight="1">
      <c r="A920" s="14">
        <v>46088</v>
      </c>
      <c r="B920" s="10">
        <f>VLOOKUP(A920,'BADI SID DATA'!A:B,2,0)</f>
        <v>341</v>
      </c>
      <c r="F920" s="62">
        <v>1</v>
      </c>
      <c r="G920" s="62">
        <v>1</v>
      </c>
      <c r="H920" s="2">
        <f t="shared" si="43"/>
        <v>345953.1</v>
      </c>
      <c r="I920" s="12">
        <f t="shared" si="44"/>
        <v>0</v>
      </c>
      <c r="J920" s="12">
        <f t="shared" si="45"/>
        <v>0.14090628054740956</v>
      </c>
    </row>
    <row r="921" spans="1:10" ht="15" customHeight="1">
      <c r="A921" s="14">
        <v>46089</v>
      </c>
      <c r="B921" s="10">
        <f>VLOOKUP(A921,'BADI SID DATA'!A:B,2,0)</f>
        <v>342</v>
      </c>
      <c r="F921" s="62">
        <v>1</v>
      </c>
      <c r="G921" s="62">
        <v>1</v>
      </c>
      <c r="H921" s="2">
        <f t="shared" si="43"/>
        <v>345953.1</v>
      </c>
      <c r="I921" s="12">
        <f t="shared" si="44"/>
        <v>0</v>
      </c>
      <c r="J921" s="12">
        <f t="shared" si="45"/>
        <v>0.14049427387914229</v>
      </c>
    </row>
    <row r="922" spans="1:10" ht="15" customHeight="1">
      <c r="A922" s="14">
        <v>46090</v>
      </c>
      <c r="B922" s="10">
        <f>VLOOKUP(A922,'BADI SID DATA'!A:B,2,0)</f>
        <v>343</v>
      </c>
      <c r="F922" s="62">
        <v>1</v>
      </c>
      <c r="G922" s="62">
        <v>1</v>
      </c>
      <c r="H922" s="2">
        <f t="shared" si="43"/>
        <v>345953.1</v>
      </c>
      <c r="I922" s="12">
        <f t="shared" si="44"/>
        <v>0</v>
      </c>
      <c r="J922" s="12">
        <f t="shared" si="45"/>
        <v>0.14008466958211854</v>
      </c>
    </row>
    <row r="923" spans="1:10" ht="15" customHeight="1">
      <c r="A923" s="14">
        <v>46091</v>
      </c>
      <c r="B923" s="10">
        <f>VLOOKUP(A923,'BADI SID DATA'!A:B,2,0)</f>
        <v>344</v>
      </c>
      <c r="F923" s="62">
        <v>1</v>
      </c>
      <c r="G923" s="62">
        <v>1</v>
      </c>
      <c r="H923" s="2">
        <f t="shared" si="43"/>
        <v>345953.1</v>
      </c>
      <c r="I923" s="12">
        <f t="shared" si="44"/>
        <v>0</v>
      </c>
      <c r="J923" s="12">
        <f t="shared" si="45"/>
        <v>0.13967744670542634</v>
      </c>
    </row>
    <row r="924" spans="1:10" ht="15" customHeight="1">
      <c r="A924" s="14">
        <v>46092</v>
      </c>
      <c r="B924" s="10">
        <f>VLOOKUP(A924,'BADI SID DATA'!A:B,2,0)</f>
        <v>345</v>
      </c>
      <c r="F924" s="62">
        <v>1</v>
      </c>
      <c r="G924" s="62">
        <v>1</v>
      </c>
      <c r="H924" s="2">
        <f t="shared" si="43"/>
        <v>345953.1</v>
      </c>
      <c r="I924" s="12">
        <f t="shared" si="44"/>
        <v>0</v>
      </c>
      <c r="J924" s="12">
        <f t="shared" si="45"/>
        <v>0.13927258454106278</v>
      </c>
    </row>
    <row r="925" spans="1:10" ht="15" customHeight="1">
      <c r="A925" s="14">
        <v>46093</v>
      </c>
      <c r="B925" s="10">
        <f>VLOOKUP(A925,'BADI SID DATA'!A:B,2,0)</f>
        <v>346</v>
      </c>
      <c r="F925" s="62">
        <v>1</v>
      </c>
      <c r="G925" s="62">
        <v>1</v>
      </c>
      <c r="H925" s="2">
        <f t="shared" si="43"/>
        <v>345953.1</v>
      </c>
      <c r="I925" s="12">
        <f t="shared" si="44"/>
        <v>0</v>
      </c>
      <c r="J925" s="12">
        <f t="shared" si="45"/>
        <v>0.1388700626204239</v>
      </c>
    </row>
    <row r="926" spans="1:10" ht="15" customHeight="1">
      <c r="A926" s="14">
        <v>46094</v>
      </c>
      <c r="B926" s="10">
        <f>VLOOKUP(A926,'BADI SID DATA'!A:B,2,0)</f>
        <v>347</v>
      </c>
      <c r="F926" s="62">
        <v>1</v>
      </c>
      <c r="G926" s="62">
        <v>1</v>
      </c>
      <c r="H926" s="2">
        <f t="shared" si="43"/>
        <v>345953.1</v>
      </c>
      <c r="I926" s="12">
        <f t="shared" si="44"/>
        <v>0</v>
      </c>
      <c r="J926" s="12">
        <f t="shared" si="45"/>
        <v>0.13846986071085493</v>
      </c>
    </row>
    <row r="927" spans="1:10" ht="15" customHeight="1">
      <c r="A927" s="14">
        <v>46095</v>
      </c>
      <c r="B927" s="10">
        <f>VLOOKUP(A927,'BADI SID DATA'!A:B,2,0)</f>
        <v>348</v>
      </c>
      <c r="F927" s="62">
        <v>1</v>
      </c>
      <c r="G927" s="62">
        <v>1</v>
      </c>
      <c r="H927" s="2">
        <f t="shared" si="43"/>
        <v>345953.1</v>
      </c>
      <c r="I927" s="12">
        <f t="shared" si="44"/>
        <v>0</v>
      </c>
      <c r="J927" s="12">
        <f t="shared" si="45"/>
        <v>0.13807195881226053</v>
      </c>
    </row>
    <row r="928" spans="1:10" ht="15" customHeight="1">
      <c r="A928" s="14">
        <v>46096</v>
      </c>
      <c r="B928" s="10">
        <f>VLOOKUP(A928,'BADI SID DATA'!A:B,2,0)</f>
        <v>349</v>
      </c>
      <c r="F928" s="62">
        <v>1</v>
      </c>
      <c r="G928" s="62">
        <v>1</v>
      </c>
      <c r="H928" s="2">
        <f t="shared" si="43"/>
        <v>345953.1</v>
      </c>
      <c r="I928" s="12">
        <f t="shared" si="44"/>
        <v>0</v>
      </c>
      <c r="J928" s="12">
        <f t="shared" si="45"/>
        <v>0.13767633715377267</v>
      </c>
    </row>
    <row r="929" spans="1:10" ht="15" customHeight="1">
      <c r="A929" s="14">
        <v>46097</v>
      </c>
      <c r="B929" s="10">
        <f>VLOOKUP(A929,'BADI SID DATA'!A:B,2,0)</f>
        <v>350</v>
      </c>
      <c r="F929" s="62">
        <v>1</v>
      </c>
      <c r="G929" s="62">
        <v>1</v>
      </c>
      <c r="H929" s="2">
        <f t="shared" si="43"/>
        <v>345953.1</v>
      </c>
      <c r="I929" s="12">
        <f t="shared" si="44"/>
        <v>0</v>
      </c>
      <c r="J929" s="12">
        <f t="shared" si="45"/>
        <v>0.13728297619047619</v>
      </c>
    </row>
    <row r="930" spans="1:10" ht="15" customHeight="1">
      <c r="A930" s="14">
        <v>46098</v>
      </c>
      <c r="B930" s="10">
        <f>VLOOKUP(A930,'BADI SID DATA'!A:B,2,0)</f>
        <v>351</v>
      </c>
      <c r="F930" s="62">
        <v>1</v>
      </c>
      <c r="G930" s="62">
        <v>1</v>
      </c>
      <c r="H930" s="2">
        <f t="shared" si="43"/>
        <v>345953.1</v>
      </c>
      <c r="I930" s="12">
        <f t="shared" si="44"/>
        <v>0</v>
      </c>
      <c r="J930" s="12">
        <f t="shared" si="45"/>
        <v>0.13689185660018993</v>
      </c>
    </row>
    <row r="931" spans="1:10" ht="15" customHeight="1">
      <c r="A931" s="14">
        <v>46099</v>
      </c>
      <c r="B931" s="10">
        <f>VLOOKUP(A931,'BADI SID DATA'!A:B,2,0)</f>
        <v>352</v>
      </c>
      <c r="F931" s="62">
        <v>1</v>
      </c>
      <c r="G931" s="62">
        <v>1</v>
      </c>
      <c r="H931" s="2">
        <f t="shared" si="43"/>
        <v>345953.1</v>
      </c>
      <c r="I931" s="12">
        <f t="shared" si="44"/>
        <v>0</v>
      </c>
      <c r="J931" s="12">
        <f t="shared" si="45"/>
        <v>0.13650295928030301</v>
      </c>
    </row>
    <row r="932" spans="1:10" ht="15" customHeight="1">
      <c r="A932" s="14">
        <v>46100</v>
      </c>
      <c r="B932" s="10">
        <f>VLOOKUP(A932,'BADI SID DATA'!A:B,2,0)</f>
        <v>353</v>
      </c>
      <c r="F932" s="62">
        <v>1</v>
      </c>
      <c r="G932" s="62">
        <v>1</v>
      </c>
      <c r="H932" s="2">
        <f t="shared" si="43"/>
        <v>345953.1</v>
      </c>
      <c r="I932" s="12">
        <f t="shared" si="44"/>
        <v>0</v>
      </c>
      <c r="J932" s="12">
        <f t="shared" si="45"/>
        <v>0.13611626534466476</v>
      </c>
    </row>
    <row r="933" spans="1:10" ht="15" customHeight="1">
      <c r="A933" s="14">
        <v>46101</v>
      </c>
      <c r="B933" s="10">
        <f>VLOOKUP(A933,'BADI SID DATA'!A:B,2,0)</f>
        <v>354</v>
      </c>
      <c r="F933" s="62">
        <v>1</v>
      </c>
      <c r="G933" s="62">
        <v>1</v>
      </c>
      <c r="H933" s="2">
        <f t="shared" si="43"/>
        <v>345953.1</v>
      </c>
      <c r="I933" s="12">
        <f t="shared" si="44"/>
        <v>0</v>
      </c>
      <c r="J933" s="12">
        <f t="shared" si="45"/>
        <v>0.13573175612052729</v>
      </c>
    </row>
    <row r="934" spans="1:10" ht="15" customHeight="1">
      <c r="A934" s="14">
        <v>46102</v>
      </c>
      <c r="B934" s="10">
        <f>VLOOKUP(A934,'BADI SID DATA'!A:B,2,0)</f>
        <v>355</v>
      </c>
      <c r="F934" s="62">
        <v>1</v>
      </c>
      <c r="G934" s="62">
        <v>1</v>
      </c>
      <c r="H934" s="2">
        <f t="shared" si="43"/>
        <v>345953.1</v>
      </c>
      <c r="I934" s="12">
        <f t="shared" si="44"/>
        <v>0</v>
      </c>
      <c r="J934" s="12">
        <f t="shared" si="45"/>
        <v>0.13534941314553989</v>
      </c>
    </row>
    <row r="935" spans="1:10" ht="15" customHeight="1">
      <c r="A935" s="14">
        <v>46103</v>
      </c>
      <c r="B935" s="10">
        <f>VLOOKUP(A935,'BADI SID DATA'!A:B,2,0)</f>
        <v>356</v>
      </c>
      <c r="F935" s="62">
        <v>1</v>
      </c>
      <c r="G935" s="62">
        <v>1</v>
      </c>
      <c r="H935" s="2">
        <f t="shared" si="43"/>
        <v>345953.1</v>
      </c>
      <c r="I935" s="12">
        <f t="shared" si="44"/>
        <v>0</v>
      </c>
      <c r="J935" s="12">
        <f t="shared" si="45"/>
        <v>0.13496921816479399</v>
      </c>
    </row>
    <row r="936" spans="1:10" ht="15" customHeight="1">
      <c r="A936" s="14">
        <v>46104</v>
      </c>
      <c r="B936" s="10">
        <f>VLOOKUP(A936,'BADI SID DATA'!A:B,2,0)</f>
        <v>357</v>
      </c>
      <c r="F936" s="62">
        <v>1</v>
      </c>
      <c r="G936" s="62">
        <v>1</v>
      </c>
      <c r="H936" s="2">
        <f t="shared" si="43"/>
        <v>345953.1</v>
      </c>
      <c r="I936" s="12">
        <f t="shared" si="44"/>
        <v>0</v>
      </c>
      <c r="J936" s="12">
        <f t="shared" si="45"/>
        <v>0.13459115312791783</v>
      </c>
    </row>
    <row r="937" spans="1:10" ht="15" customHeight="1">
      <c r="A937" s="14">
        <v>46105</v>
      </c>
      <c r="B937" s="10">
        <f>VLOOKUP(A937,'BADI SID DATA'!A:B,2,0)</f>
        <v>358</v>
      </c>
      <c r="F937" s="62">
        <v>1</v>
      </c>
      <c r="G937" s="62">
        <v>1</v>
      </c>
      <c r="H937" s="2">
        <f t="shared" si="43"/>
        <v>345953.1</v>
      </c>
      <c r="I937" s="12">
        <f t="shared" si="44"/>
        <v>0</v>
      </c>
      <c r="J937" s="12">
        <f t="shared" si="45"/>
        <v>0.13421520018621974</v>
      </c>
    </row>
    <row r="938" spans="1:10" ht="15" customHeight="1">
      <c r="A938" s="14">
        <v>46106</v>
      </c>
      <c r="B938" s="10">
        <f>VLOOKUP(A938,'BADI SID DATA'!A:B,2,0)</f>
        <v>359</v>
      </c>
      <c r="F938" s="62">
        <v>1</v>
      </c>
      <c r="G938" s="62">
        <v>1</v>
      </c>
      <c r="H938" s="2">
        <f t="shared" si="43"/>
        <v>345953.1</v>
      </c>
      <c r="I938" s="12">
        <f t="shared" si="44"/>
        <v>0</v>
      </c>
      <c r="J938" s="12">
        <f t="shared" si="45"/>
        <v>0.1338413416898793</v>
      </c>
    </row>
    <row r="939" spans="1:10" ht="15" customHeight="1">
      <c r="A939" s="14">
        <v>46107</v>
      </c>
      <c r="B939" s="10">
        <f>VLOOKUP(A939,'BADI SID DATA'!A:B,2,0)</f>
        <v>360</v>
      </c>
      <c r="F939" s="62">
        <v>1</v>
      </c>
      <c r="G939" s="62">
        <v>1</v>
      </c>
      <c r="H939" s="2">
        <f t="shared" si="43"/>
        <v>345953.1</v>
      </c>
      <c r="I939" s="12">
        <f t="shared" si="44"/>
        <v>0</v>
      </c>
      <c r="J939" s="12">
        <f t="shared" si="45"/>
        <v>0.13346956018518519</v>
      </c>
    </row>
    <row r="940" spans="1:10" ht="15" customHeight="1">
      <c r="A940" s="14">
        <v>46108</v>
      </c>
      <c r="B940" s="10">
        <f>VLOOKUP(A940,'BADI SID DATA'!A:B,2,0)</f>
        <v>361</v>
      </c>
      <c r="F940" s="62">
        <v>1</v>
      </c>
      <c r="G940" s="62">
        <v>1</v>
      </c>
      <c r="H940" s="2">
        <f t="shared" si="43"/>
        <v>345953.1</v>
      </c>
      <c r="I940" s="12">
        <f t="shared" si="44"/>
        <v>0</v>
      </c>
      <c r="J940" s="12">
        <f t="shared" si="45"/>
        <v>0.13309983841181902</v>
      </c>
    </row>
    <row r="941" spans="1:10" ht="15" customHeight="1">
      <c r="A941" s="14">
        <v>46109</v>
      </c>
      <c r="B941" s="10">
        <f>VLOOKUP(A941,'BADI SID DATA'!A:B,2,0)</f>
        <v>362</v>
      </c>
      <c r="F941" s="62">
        <v>1</v>
      </c>
      <c r="G941" s="62">
        <v>1</v>
      </c>
      <c r="H941" s="2">
        <f t="shared" si="43"/>
        <v>345953.1</v>
      </c>
      <c r="I941" s="12">
        <f t="shared" si="44"/>
        <v>0</v>
      </c>
      <c r="J941" s="12">
        <f t="shared" si="45"/>
        <v>0.13273215930018414</v>
      </c>
    </row>
    <row r="942" spans="1:10" ht="15" customHeight="1">
      <c r="A942" s="14">
        <v>46110</v>
      </c>
      <c r="B942" s="10">
        <f>VLOOKUP(A942,'BADI SID DATA'!A:B,2,0)</f>
        <v>363</v>
      </c>
      <c r="F942" s="62">
        <v>1</v>
      </c>
      <c r="G942" s="62">
        <v>1</v>
      </c>
      <c r="H942" s="2">
        <f t="shared" si="43"/>
        <v>345953.1</v>
      </c>
      <c r="I942" s="12">
        <f t="shared" si="44"/>
        <v>0</v>
      </c>
      <c r="J942" s="12">
        <f t="shared" si="45"/>
        <v>0.13236650596877869</v>
      </c>
    </row>
    <row r="943" spans="1:10" ht="15" customHeight="1">
      <c r="A943" s="14">
        <v>46111</v>
      </c>
      <c r="B943" s="10">
        <f>VLOOKUP(A943,'BADI SID DATA'!A:B,2,0)</f>
        <v>364</v>
      </c>
      <c r="F943" s="62">
        <v>1</v>
      </c>
      <c r="G943" s="62">
        <v>1</v>
      </c>
      <c r="H943" s="2">
        <f t="shared" si="43"/>
        <v>345953.1</v>
      </c>
      <c r="I943" s="12">
        <f t="shared" si="44"/>
        <v>0</v>
      </c>
      <c r="J943" s="12">
        <f t="shared" si="45"/>
        <v>0.13200286172161171</v>
      </c>
    </row>
    <row r="944" spans="1:10" ht="15" customHeight="1">
      <c r="A944" s="14">
        <v>46112</v>
      </c>
      <c r="B944" s="10">
        <f>VLOOKUP(A944,'BADI SID DATA'!A:B,2,0)</f>
        <v>365</v>
      </c>
      <c r="F944" s="62">
        <v>1</v>
      </c>
      <c r="G944" s="62">
        <v>1</v>
      </c>
      <c r="H944" s="2">
        <f t="shared" si="43"/>
        <v>345953.1</v>
      </c>
      <c r="I944" s="12">
        <f t="shared" si="44"/>
        <v>0</v>
      </c>
      <c r="J944" s="12">
        <f t="shared" si="45"/>
        <v>0.13164121004566209</v>
      </c>
    </row>
    <row r="945" spans="1:10" ht="15" customHeight="1">
      <c r="A945" s="14">
        <v>46113</v>
      </c>
      <c r="B945" s="10">
        <f>VLOOKUP(A945,'BADI SID DATA'!A:B,2,0)</f>
        <v>1</v>
      </c>
      <c r="F945" s="62">
        <v>1</v>
      </c>
      <c r="G945" s="62">
        <v>1</v>
      </c>
      <c r="H945" s="2">
        <f t="shared" si="43"/>
        <v>345953.1</v>
      </c>
      <c r="I945" s="12">
        <f t="shared" si="44"/>
        <v>0</v>
      </c>
      <c r="J945" s="12">
        <f t="shared" si="45"/>
        <v>48.04904166666666</v>
      </c>
    </row>
    <row r="946" spans="1:10" ht="15" customHeight="1">
      <c r="A946" s="14">
        <v>46114</v>
      </c>
      <c r="B946" s="10">
        <f>VLOOKUP(A946,'BADI SID DATA'!A:B,2,0)</f>
        <v>2</v>
      </c>
      <c r="F946" s="62">
        <v>1</v>
      </c>
      <c r="G946" s="62">
        <v>1</v>
      </c>
      <c r="H946" s="2">
        <f t="shared" si="43"/>
        <v>345953.1</v>
      </c>
      <c r="I946" s="12">
        <f t="shared" si="44"/>
        <v>0</v>
      </c>
      <c r="J946" s="12">
        <f t="shared" si="45"/>
        <v>24.02452083333333</v>
      </c>
    </row>
    <row r="947" spans="1:10" ht="15" customHeight="1">
      <c r="A947" s="14">
        <v>46115</v>
      </c>
      <c r="B947" s="10">
        <f>VLOOKUP(A947,'BADI SID DATA'!A:B,2,0)</f>
        <v>3</v>
      </c>
      <c r="F947" s="62">
        <v>1</v>
      </c>
      <c r="G947" s="62">
        <v>1</v>
      </c>
      <c r="H947" s="2">
        <f t="shared" si="43"/>
        <v>345953.1</v>
      </c>
      <c r="I947" s="12">
        <f t="shared" si="44"/>
        <v>0</v>
      </c>
      <c r="J947" s="12">
        <f t="shared" si="45"/>
        <v>16.016347222222223</v>
      </c>
    </row>
    <row r="948" spans="1:10" ht="15" customHeight="1">
      <c r="A948" s="14">
        <v>46116</v>
      </c>
      <c r="B948" s="10">
        <f>VLOOKUP(A948,'BADI SID DATA'!A:B,2,0)</f>
        <v>4</v>
      </c>
      <c r="F948" s="62">
        <v>1</v>
      </c>
      <c r="G948" s="62">
        <v>1</v>
      </c>
      <c r="H948" s="2">
        <f t="shared" si="43"/>
        <v>345953.1</v>
      </c>
      <c r="I948" s="12">
        <f t="shared" si="44"/>
        <v>0</v>
      </c>
      <c r="J948" s="12">
        <f t="shared" si="45"/>
        <v>12.012260416666665</v>
      </c>
    </row>
    <row r="949" spans="1:10" ht="15" customHeight="1">
      <c r="A949" s="14">
        <v>46117</v>
      </c>
      <c r="B949" s="10">
        <f>VLOOKUP(A949,'BADI SID DATA'!A:B,2,0)</f>
        <v>5</v>
      </c>
      <c r="F949" s="62">
        <v>1</v>
      </c>
      <c r="G949" s="62">
        <v>1</v>
      </c>
      <c r="H949" s="2">
        <f t="shared" si="43"/>
        <v>345953.1</v>
      </c>
      <c r="I949" s="12">
        <f t="shared" si="44"/>
        <v>0</v>
      </c>
      <c r="J949" s="12">
        <f t="shared" si="45"/>
        <v>9.6098083333333335</v>
      </c>
    </row>
    <row r="950" spans="1:10" ht="15" customHeight="1">
      <c r="A950" s="14">
        <v>46118</v>
      </c>
      <c r="B950" s="10">
        <f>VLOOKUP(A950,'BADI SID DATA'!A:B,2,0)</f>
        <v>6</v>
      </c>
      <c r="F950" s="62">
        <v>1</v>
      </c>
      <c r="G950" s="62">
        <v>1</v>
      </c>
      <c r="H950" s="2">
        <f t="shared" si="43"/>
        <v>345953.1</v>
      </c>
      <c r="I950" s="12">
        <f t="shared" si="44"/>
        <v>0</v>
      </c>
      <c r="J950" s="12">
        <f t="shared" si="45"/>
        <v>8.0081736111111113</v>
      </c>
    </row>
    <row r="951" spans="1:10" ht="15" customHeight="1">
      <c r="A951" s="14">
        <v>46119</v>
      </c>
      <c r="B951" s="10">
        <f>VLOOKUP(A951,'BADI SID DATA'!A:B,2,0)</f>
        <v>7</v>
      </c>
      <c r="F951" s="62">
        <v>1</v>
      </c>
      <c r="G951" s="62">
        <v>1</v>
      </c>
      <c r="H951" s="2">
        <f t="shared" si="43"/>
        <v>345953.1</v>
      </c>
      <c r="I951" s="12">
        <f t="shared" si="44"/>
        <v>0</v>
      </c>
      <c r="J951" s="12">
        <f t="shared" si="45"/>
        <v>6.864148809523809</v>
      </c>
    </row>
    <row r="952" spans="1:10" ht="15" customHeight="1">
      <c r="A952" s="14">
        <v>46120</v>
      </c>
      <c r="B952" s="10">
        <f>VLOOKUP(A952,'BADI SID DATA'!A:B,2,0)</f>
        <v>8</v>
      </c>
      <c r="F952" s="62">
        <v>1</v>
      </c>
      <c r="G952" s="62">
        <v>1</v>
      </c>
      <c r="H952" s="2">
        <f t="shared" si="43"/>
        <v>345953.1</v>
      </c>
      <c r="I952" s="12">
        <f t="shared" si="44"/>
        <v>0</v>
      </c>
      <c r="J952" s="12">
        <f t="shared" si="45"/>
        <v>6.0061302083333326</v>
      </c>
    </row>
    <row r="953" spans="1:10" ht="15" customHeight="1">
      <c r="A953" s="14">
        <v>46121</v>
      </c>
      <c r="B953" s="10">
        <f>VLOOKUP(A953,'BADI SID DATA'!A:B,2,0)</f>
        <v>9</v>
      </c>
      <c r="F953" s="62">
        <v>1</v>
      </c>
      <c r="G953" s="62">
        <v>1</v>
      </c>
      <c r="H953" s="2">
        <f t="shared" si="43"/>
        <v>345953.1</v>
      </c>
      <c r="I953" s="12">
        <f t="shared" si="44"/>
        <v>0</v>
      </c>
      <c r="J953" s="12">
        <f t="shared" si="45"/>
        <v>5.3387824074074066</v>
      </c>
    </row>
    <row r="954" spans="1:10" ht="15" customHeight="1">
      <c r="A954" s="14">
        <v>46122</v>
      </c>
      <c r="B954" s="10">
        <f>VLOOKUP(A954,'BADI SID DATA'!A:B,2,0)</f>
        <v>10</v>
      </c>
      <c r="F954" s="62">
        <v>1</v>
      </c>
      <c r="G954" s="62">
        <v>1</v>
      </c>
      <c r="H954" s="2">
        <f t="shared" si="43"/>
        <v>345953.1</v>
      </c>
      <c r="I954" s="12">
        <f t="shared" si="44"/>
        <v>0</v>
      </c>
      <c r="J954" s="12">
        <f t="shared" si="45"/>
        <v>4.8049041666666668</v>
      </c>
    </row>
    <row r="955" spans="1:10" ht="15" customHeight="1">
      <c r="A955" s="14">
        <v>46123</v>
      </c>
      <c r="B955" s="10">
        <f>VLOOKUP(A955,'BADI SID DATA'!A:B,2,0)</f>
        <v>11</v>
      </c>
      <c r="F955" s="62">
        <v>1</v>
      </c>
      <c r="G955" s="62">
        <v>1</v>
      </c>
      <c r="H955" s="2">
        <f t="shared" si="43"/>
        <v>345953.1</v>
      </c>
      <c r="I955" s="12">
        <f t="shared" si="44"/>
        <v>0</v>
      </c>
      <c r="J955" s="12">
        <f t="shared" si="45"/>
        <v>4.3680946969696963</v>
      </c>
    </row>
    <row r="956" spans="1:10" ht="15" customHeight="1">
      <c r="A956" s="14">
        <v>46124</v>
      </c>
      <c r="B956" s="10">
        <f>VLOOKUP(A956,'BADI SID DATA'!A:B,2,0)</f>
        <v>12</v>
      </c>
      <c r="F956" s="62">
        <v>1</v>
      </c>
      <c r="G956" s="62">
        <v>1</v>
      </c>
      <c r="H956" s="2">
        <f t="shared" si="43"/>
        <v>345953.1</v>
      </c>
      <c r="I956" s="12">
        <f t="shared" si="44"/>
        <v>0</v>
      </c>
      <c r="J956" s="12">
        <f t="shared" si="45"/>
        <v>4.0040868055555556</v>
      </c>
    </row>
    <row r="957" spans="1:10" ht="15" customHeight="1">
      <c r="A957" s="14">
        <v>46125</v>
      </c>
      <c r="B957" s="10">
        <f>VLOOKUP(A957,'BADI SID DATA'!A:B,2,0)</f>
        <v>13</v>
      </c>
      <c r="F957" s="62">
        <v>1</v>
      </c>
      <c r="G957" s="62">
        <v>1</v>
      </c>
      <c r="H957" s="2">
        <f t="shared" si="43"/>
        <v>345953.1</v>
      </c>
      <c r="I957" s="12">
        <f t="shared" si="44"/>
        <v>0</v>
      </c>
      <c r="J957" s="12">
        <f t="shared" si="45"/>
        <v>3.6960801282051281</v>
      </c>
    </row>
    <row r="958" spans="1:10" ht="15" customHeight="1">
      <c r="A958" s="14">
        <v>46126</v>
      </c>
      <c r="B958" s="10">
        <f>VLOOKUP(A958,'BADI SID DATA'!A:B,2,0)</f>
        <v>14</v>
      </c>
      <c r="F958" s="62">
        <v>1</v>
      </c>
      <c r="G958" s="62">
        <v>1</v>
      </c>
      <c r="H958" s="2">
        <f t="shared" si="43"/>
        <v>345953.1</v>
      </c>
      <c r="I958" s="12">
        <f t="shared" si="44"/>
        <v>0</v>
      </c>
      <c r="J958" s="12">
        <f t="shared" si="45"/>
        <v>3.4320744047619045</v>
      </c>
    </row>
    <row r="959" spans="1:10" ht="15" customHeight="1">
      <c r="A959" s="14">
        <v>46127</v>
      </c>
      <c r="B959" s="10">
        <f>VLOOKUP(A959,'BADI SID DATA'!A:B,2,0)</f>
        <v>15</v>
      </c>
      <c r="F959" s="62">
        <v>1</v>
      </c>
      <c r="G959" s="62">
        <v>1</v>
      </c>
      <c r="H959" s="2">
        <f t="shared" si="43"/>
        <v>345953.1</v>
      </c>
      <c r="I959" s="12">
        <f t="shared" si="44"/>
        <v>0</v>
      </c>
      <c r="J959" s="12">
        <f t="shared" si="45"/>
        <v>3.2032694444444441</v>
      </c>
    </row>
    <row r="960" spans="1:10" ht="15" customHeight="1">
      <c r="A960" s="14">
        <v>46128</v>
      </c>
      <c r="B960" s="10">
        <f>VLOOKUP(A960,'BADI SID DATA'!A:B,2,0)</f>
        <v>16</v>
      </c>
      <c r="F960" s="62">
        <v>1</v>
      </c>
      <c r="G960" s="62">
        <v>1</v>
      </c>
      <c r="H960" s="2">
        <f t="shared" si="43"/>
        <v>345953.1</v>
      </c>
      <c r="I960" s="12">
        <f t="shared" si="44"/>
        <v>0</v>
      </c>
      <c r="J960" s="12">
        <f t="shared" si="45"/>
        <v>3.0030651041666663</v>
      </c>
    </row>
    <row r="961" spans="1:10" ht="15" customHeight="1">
      <c r="A961" s="14">
        <v>46129</v>
      </c>
      <c r="B961" s="10">
        <f>VLOOKUP(A961,'BADI SID DATA'!A:B,2,0)</f>
        <v>17</v>
      </c>
      <c r="F961" s="62">
        <v>1</v>
      </c>
      <c r="G961" s="62">
        <v>1</v>
      </c>
      <c r="H961" s="2">
        <f t="shared" si="43"/>
        <v>345953.1</v>
      </c>
      <c r="I961" s="12">
        <f t="shared" si="44"/>
        <v>0</v>
      </c>
      <c r="J961" s="12">
        <f t="shared" si="45"/>
        <v>2.8264142156862744</v>
      </c>
    </row>
    <row r="962" spans="1:10" ht="15" customHeight="1">
      <c r="A962" s="14">
        <v>46130</v>
      </c>
      <c r="B962" s="10">
        <f>VLOOKUP(A962,'BADI SID DATA'!A:B,2,0)</f>
        <v>18</v>
      </c>
      <c r="F962" s="62">
        <v>1</v>
      </c>
      <c r="G962" s="62">
        <v>1</v>
      </c>
      <c r="H962" s="2">
        <f t="shared" si="43"/>
        <v>345953.1</v>
      </c>
      <c r="I962" s="12">
        <f t="shared" si="44"/>
        <v>0</v>
      </c>
      <c r="J962" s="12">
        <f t="shared" si="45"/>
        <v>2.6693912037037033</v>
      </c>
    </row>
    <row r="963" spans="1:10" ht="15" customHeight="1">
      <c r="A963" s="14">
        <v>46131</v>
      </c>
      <c r="B963" s="10">
        <f>VLOOKUP(A963,'BADI SID DATA'!A:B,2,0)</f>
        <v>19</v>
      </c>
      <c r="F963" s="62">
        <v>1</v>
      </c>
      <c r="G963" s="62">
        <v>1</v>
      </c>
      <c r="H963" s="2">
        <f t="shared" ref="H963:H1026" si="46">H962+C963</f>
        <v>345953.1</v>
      </c>
      <c r="I963" s="12">
        <f t="shared" ref="I963:I1026" si="47">C963/(300*24)</f>
        <v>0</v>
      </c>
      <c r="J963" s="12">
        <f t="shared" ref="J963:J1026" si="48">H963/(24*B963*300)</f>
        <v>2.5288969298245614</v>
      </c>
    </row>
    <row r="964" spans="1:10" ht="15" customHeight="1">
      <c r="A964" s="14">
        <v>46132</v>
      </c>
      <c r="B964" s="10">
        <f>VLOOKUP(A964,'BADI SID DATA'!A:B,2,0)</f>
        <v>20</v>
      </c>
      <c r="F964" s="62">
        <v>1</v>
      </c>
      <c r="G964" s="62">
        <v>1</v>
      </c>
      <c r="H964" s="2">
        <f t="shared" si="46"/>
        <v>345953.1</v>
      </c>
      <c r="I964" s="12">
        <f t="shared" si="47"/>
        <v>0</v>
      </c>
      <c r="J964" s="12">
        <f t="shared" si="48"/>
        <v>2.4024520833333334</v>
      </c>
    </row>
    <row r="965" spans="1:10" ht="15" customHeight="1">
      <c r="A965" s="14">
        <v>46133</v>
      </c>
      <c r="B965" s="10">
        <f>VLOOKUP(A965,'BADI SID DATA'!A:B,2,0)</f>
        <v>21</v>
      </c>
      <c r="F965" s="62">
        <v>1</v>
      </c>
      <c r="G965" s="62">
        <v>1</v>
      </c>
      <c r="H965" s="2">
        <f t="shared" si="46"/>
        <v>345953.1</v>
      </c>
      <c r="I965" s="12">
        <f t="shared" si="47"/>
        <v>0</v>
      </c>
      <c r="J965" s="12">
        <f t="shared" si="48"/>
        <v>2.2880496031746032</v>
      </c>
    </row>
    <row r="966" spans="1:10" ht="15" customHeight="1">
      <c r="A966" s="14">
        <v>46134</v>
      </c>
      <c r="B966" s="10">
        <f>VLOOKUP(A966,'BADI SID DATA'!A:B,2,0)</f>
        <v>22</v>
      </c>
      <c r="F966" s="62">
        <v>1</v>
      </c>
      <c r="G966" s="62">
        <v>1</v>
      </c>
      <c r="H966" s="2">
        <f t="shared" si="46"/>
        <v>345953.1</v>
      </c>
      <c r="I966" s="12">
        <f t="shared" si="47"/>
        <v>0</v>
      </c>
      <c r="J966" s="12">
        <f t="shared" si="48"/>
        <v>2.1840473484848482</v>
      </c>
    </row>
    <row r="967" spans="1:10" ht="15" customHeight="1">
      <c r="A967" s="14">
        <v>46135</v>
      </c>
      <c r="B967" s="10">
        <f>VLOOKUP(A967,'BADI SID DATA'!A:B,2,0)</f>
        <v>23</v>
      </c>
      <c r="F967" s="62">
        <v>1</v>
      </c>
      <c r="G967" s="62">
        <v>1</v>
      </c>
      <c r="H967" s="2">
        <f t="shared" si="46"/>
        <v>345953.1</v>
      </c>
      <c r="I967" s="12">
        <f t="shared" si="47"/>
        <v>0</v>
      </c>
      <c r="J967" s="12">
        <f t="shared" si="48"/>
        <v>2.0890887681159418</v>
      </c>
    </row>
    <row r="968" spans="1:10" ht="15" customHeight="1">
      <c r="A968" s="14">
        <v>46136</v>
      </c>
      <c r="B968" s="10">
        <f>VLOOKUP(A968,'BADI SID DATA'!A:B,2,0)</f>
        <v>24</v>
      </c>
      <c r="F968" s="62">
        <v>1</v>
      </c>
      <c r="G968" s="62">
        <v>1</v>
      </c>
      <c r="H968" s="2">
        <f t="shared" si="46"/>
        <v>345953.1</v>
      </c>
      <c r="I968" s="12">
        <f t="shared" si="47"/>
        <v>0</v>
      </c>
      <c r="J968" s="12">
        <f t="shared" si="48"/>
        <v>2.0020434027777778</v>
      </c>
    </row>
    <row r="969" spans="1:10" ht="15" customHeight="1">
      <c r="A969" s="14">
        <v>46137</v>
      </c>
      <c r="B969" s="10">
        <f>VLOOKUP(A969,'BADI SID DATA'!A:B,2,0)</f>
        <v>25</v>
      </c>
      <c r="F969" s="62">
        <v>1</v>
      </c>
      <c r="G969" s="62">
        <v>1</v>
      </c>
      <c r="H969" s="2">
        <f t="shared" si="46"/>
        <v>345953.1</v>
      </c>
      <c r="I969" s="12">
        <f t="shared" si="47"/>
        <v>0</v>
      </c>
      <c r="J969" s="12">
        <f t="shared" si="48"/>
        <v>1.9219616666666666</v>
      </c>
    </row>
    <row r="970" spans="1:10" ht="15" customHeight="1">
      <c r="A970" s="14">
        <v>46138</v>
      </c>
      <c r="B970" s="10">
        <f>VLOOKUP(A970,'BADI SID DATA'!A:B,2,0)</f>
        <v>26</v>
      </c>
      <c r="F970" s="62">
        <v>1</v>
      </c>
      <c r="G970" s="62">
        <v>1</v>
      </c>
      <c r="H970" s="2">
        <f t="shared" si="46"/>
        <v>345953.1</v>
      </c>
      <c r="I970" s="12">
        <f t="shared" si="47"/>
        <v>0</v>
      </c>
      <c r="J970" s="12">
        <f t="shared" si="48"/>
        <v>1.8480400641025641</v>
      </c>
    </row>
    <row r="971" spans="1:10" ht="15" customHeight="1">
      <c r="A971" s="14">
        <v>46139</v>
      </c>
      <c r="B971" s="10">
        <f>VLOOKUP(A971,'BADI SID DATA'!A:B,2,0)</f>
        <v>27</v>
      </c>
      <c r="F971" s="62">
        <v>1</v>
      </c>
      <c r="G971" s="62">
        <v>1</v>
      </c>
      <c r="H971" s="2">
        <f t="shared" si="46"/>
        <v>345953.1</v>
      </c>
      <c r="I971" s="12">
        <f t="shared" si="47"/>
        <v>0</v>
      </c>
      <c r="J971" s="12">
        <f t="shared" si="48"/>
        <v>1.7795941358024689</v>
      </c>
    </row>
    <row r="972" spans="1:10" ht="15" customHeight="1">
      <c r="A972" s="14">
        <v>46140</v>
      </c>
      <c r="B972" s="10">
        <f>VLOOKUP(A972,'BADI SID DATA'!A:B,2,0)</f>
        <v>28</v>
      </c>
      <c r="F972" s="62">
        <v>1</v>
      </c>
      <c r="G972" s="62">
        <v>1</v>
      </c>
      <c r="H972" s="2">
        <f t="shared" si="46"/>
        <v>345953.1</v>
      </c>
      <c r="I972" s="12">
        <f t="shared" si="47"/>
        <v>0</v>
      </c>
      <c r="J972" s="12">
        <f t="shared" si="48"/>
        <v>1.7160372023809523</v>
      </c>
    </row>
    <row r="973" spans="1:10" ht="15" customHeight="1">
      <c r="A973" s="14">
        <v>46141</v>
      </c>
      <c r="B973" s="10">
        <f>VLOOKUP(A973,'BADI SID DATA'!A:B,2,0)</f>
        <v>29</v>
      </c>
      <c r="F973" s="62">
        <v>1</v>
      </c>
      <c r="G973" s="62">
        <v>1</v>
      </c>
      <c r="H973" s="2">
        <f t="shared" si="46"/>
        <v>345953.1</v>
      </c>
      <c r="I973" s="12">
        <f t="shared" si="47"/>
        <v>0</v>
      </c>
      <c r="J973" s="12">
        <f t="shared" si="48"/>
        <v>1.6568635057471264</v>
      </c>
    </row>
    <row r="974" spans="1:10" ht="15" customHeight="1">
      <c r="A974" s="14">
        <v>46142</v>
      </c>
      <c r="B974" s="10">
        <f>VLOOKUP(A974,'BADI SID DATA'!A:B,2,0)</f>
        <v>30</v>
      </c>
      <c r="F974" s="62">
        <v>1</v>
      </c>
      <c r="G974" s="62">
        <v>1</v>
      </c>
      <c r="H974" s="2">
        <f t="shared" si="46"/>
        <v>345953.1</v>
      </c>
      <c r="I974" s="12">
        <f t="shared" si="47"/>
        <v>0</v>
      </c>
      <c r="J974" s="12">
        <f t="shared" si="48"/>
        <v>1.601634722222222</v>
      </c>
    </row>
    <row r="975" spans="1:10" ht="15" customHeight="1">
      <c r="A975" s="14">
        <v>46143</v>
      </c>
      <c r="B975" s="10">
        <f>VLOOKUP(A975,'BADI SID DATA'!A:B,2,0)</f>
        <v>31</v>
      </c>
      <c r="F975" s="62">
        <v>1</v>
      </c>
      <c r="G975" s="62">
        <v>1</v>
      </c>
      <c r="H975" s="2">
        <f t="shared" si="46"/>
        <v>345953.1</v>
      </c>
      <c r="I975" s="12">
        <f t="shared" si="47"/>
        <v>0</v>
      </c>
      <c r="J975" s="12">
        <f t="shared" si="48"/>
        <v>1.5499690860215052</v>
      </c>
    </row>
    <row r="976" spans="1:10" ht="15" customHeight="1">
      <c r="A976" s="14">
        <v>46144</v>
      </c>
      <c r="B976" s="10">
        <f>VLOOKUP(A976,'BADI SID DATA'!A:B,2,0)</f>
        <v>32</v>
      </c>
      <c r="F976" s="62">
        <v>1</v>
      </c>
      <c r="G976" s="62">
        <v>1</v>
      </c>
      <c r="H976" s="2">
        <f t="shared" si="46"/>
        <v>345953.1</v>
      </c>
      <c r="I976" s="12">
        <f t="shared" si="47"/>
        <v>0</v>
      </c>
      <c r="J976" s="12">
        <f t="shared" si="48"/>
        <v>1.5015325520833331</v>
      </c>
    </row>
    <row r="977" spans="1:10" ht="15" customHeight="1">
      <c r="A977" s="14">
        <v>46145</v>
      </c>
      <c r="B977" s="10">
        <f>VLOOKUP(A977,'BADI SID DATA'!A:B,2,0)</f>
        <v>33</v>
      </c>
      <c r="F977" s="62">
        <v>1</v>
      </c>
      <c r="G977" s="62">
        <v>1</v>
      </c>
      <c r="H977" s="2">
        <f t="shared" si="46"/>
        <v>345953.1</v>
      </c>
      <c r="I977" s="12">
        <f t="shared" si="47"/>
        <v>0</v>
      </c>
      <c r="J977" s="12">
        <f t="shared" si="48"/>
        <v>1.4560315656565657</v>
      </c>
    </row>
    <row r="978" spans="1:10" ht="15" customHeight="1">
      <c r="A978" s="14">
        <v>46146</v>
      </c>
      <c r="B978" s="10">
        <f>VLOOKUP(A978,'BADI SID DATA'!A:B,2,0)</f>
        <v>34</v>
      </c>
      <c r="F978" s="62">
        <v>1</v>
      </c>
      <c r="G978" s="62">
        <v>1</v>
      </c>
      <c r="H978" s="2">
        <f t="shared" si="46"/>
        <v>345953.1</v>
      </c>
      <c r="I978" s="12">
        <f t="shared" si="47"/>
        <v>0</v>
      </c>
      <c r="J978" s="12">
        <f t="shared" si="48"/>
        <v>1.4132071078431372</v>
      </c>
    </row>
    <row r="979" spans="1:10" ht="15" customHeight="1">
      <c r="A979" s="14">
        <v>46147</v>
      </c>
      <c r="B979" s="10">
        <f>VLOOKUP(A979,'BADI SID DATA'!A:B,2,0)</f>
        <v>35</v>
      </c>
      <c r="F979" s="62">
        <v>1</v>
      </c>
      <c r="G979" s="62">
        <v>1</v>
      </c>
      <c r="H979" s="2">
        <f t="shared" si="46"/>
        <v>345953.1</v>
      </c>
      <c r="I979" s="12">
        <f t="shared" si="47"/>
        <v>0</v>
      </c>
      <c r="J979" s="12">
        <f t="shared" si="48"/>
        <v>1.3728297619047618</v>
      </c>
    </row>
    <row r="980" spans="1:10" ht="15" customHeight="1">
      <c r="A980" s="14">
        <v>46148</v>
      </c>
      <c r="B980" s="10">
        <f>VLOOKUP(A980,'BADI SID DATA'!A:B,2,0)</f>
        <v>36</v>
      </c>
      <c r="F980" s="62">
        <v>1</v>
      </c>
      <c r="G980" s="62">
        <v>1</v>
      </c>
      <c r="H980" s="2">
        <f t="shared" si="46"/>
        <v>345953.1</v>
      </c>
      <c r="I980" s="12">
        <f t="shared" si="47"/>
        <v>0</v>
      </c>
      <c r="J980" s="12">
        <f t="shared" si="48"/>
        <v>1.3346956018518517</v>
      </c>
    </row>
    <row r="981" spans="1:10" ht="15" customHeight="1">
      <c r="A981" s="14">
        <v>46149</v>
      </c>
      <c r="B981" s="10">
        <f>VLOOKUP(A981,'BADI SID DATA'!A:B,2,0)</f>
        <v>37</v>
      </c>
      <c r="F981" s="62">
        <v>1</v>
      </c>
      <c r="G981" s="62">
        <v>1</v>
      </c>
      <c r="H981" s="2">
        <f t="shared" si="46"/>
        <v>345953.1</v>
      </c>
      <c r="I981" s="12">
        <f t="shared" si="47"/>
        <v>0</v>
      </c>
      <c r="J981" s="12">
        <f t="shared" si="48"/>
        <v>1.2986227477477477</v>
      </c>
    </row>
    <row r="982" spans="1:10" ht="15" customHeight="1">
      <c r="A982" s="14">
        <v>46150</v>
      </c>
      <c r="B982" s="10">
        <f>VLOOKUP(A982,'BADI SID DATA'!A:B,2,0)</f>
        <v>38</v>
      </c>
      <c r="F982" s="62">
        <v>1</v>
      </c>
      <c r="G982" s="62">
        <v>1</v>
      </c>
      <c r="H982" s="2">
        <f t="shared" si="46"/>
        <v>345953.1</v>
      </c>
      <c r="I982" s="12">
        <f t="shared" si="47"/>
        <v>0</v>
      </c>
      <c r="J982" s="12">
        <f t="shared" si="48"/>
        <v>1.2644484649122807</v>
      </c>
    </row>
    <row r="983" spans="1:10" ht="15" customHeight="1">
      <c r="A983" s="14">
        <v>46151</v>
      </c>
      <c r="B983" s="10">
        <f>VLOOKUP(A983,'BADI SID DATA'!A:B,2,0)</f>
        <v>39</v>
      </c>
      <c r="F983" s="62">
        <v>1</v>
      </c>
      <c r="G983" s="62">
        <v>1</v>
      </c>
      <c r="H983" s="2">
        <f t="shared" si="46"/>
        <v>345953.1</v>
      </c>
      <c r="I983" s="12">
        <f t="shared" si="47"/>
        <v>0</v>
      </c>
      <c r="J983" s="12">
        <f t="shared" si="48"/>
        <v>1.2320267094017092</v>
      </c>
    </row>
    <row r="984" spans="1:10" ht="15" customHeight="1">
      <c r="A984" s="14">
        <v>46152</v>
      </c>
      <c r="B984" s="10">
        <f>VLOOKUP(A984,'BADI SID DATA'!A:B,2,0)</f>
        <v>40</v>
      </c>
      <c r="F984" s="62">
        <v>1</v>
      </c>
      <c r="G984" s="62">
        <v>1</v>
      </c>
      <c r="H984" s="2">
        <f t="shared" si="46"/>
        <v>345953.1</v>
      </c>
      <c r="I984" s="12">
        <f t="shared" si="47"/>
        <v>0</v>
      </c>
      <c r="J984" s="12">
        <f t="shared" si="48"/>
        <v>1.2012260416666667</v>
      </c>
    </row>
    <row r="985" spans="1:10" ht="15" customHeight="1">
      <c r="A985" s="14">
        <v>46153</v>
      </c>
      <c r="B985" s="10">
        <f>VLOOKUP(A985,'BADI SID DATA'!A:B,2,0)</f>
        <v>41</v>
      </c>
      <c r="F985" s="62">
        <v>1</v>
      </c>
      <c r="G985" s="62">
        <v>1</v>
      </c>
      <c r="H985" s="2">
        <f t="shared" si="46"/>
        <v>345953.1</v>
      </c>
      <c r="I985" s="12">
        <f t="shared" si="47"/>
        <v>0</v>
      </c>
      <c r="J985" s="12">
        <f t="shared" si="48"/>
        <v>1.1719278455284552</v>
      </c>
    </row>
    <row r="986" spans="1:10" ht="15" customHeight="1">
      <c r="A986" s="14">
        <v>46154</v>
      </c>
      <c r="B986" s="10">
        <f>VLOOKUP(A986,'BADI SID DATA'!A:B,2,0)</f>
        <v>42</v>
      </c>
      <c r="F986" s="62">
        <v>1</v>
      </c>
      <c r="G986" s="62">
        <v>1</v>
      </c>
      <c r="H986" s="2">
        <f t="shared" si="46"/>
        <v>345953.1</v>
      </c>
      <c r="I986" s="12">
        <f t="shared" si="47"/>
        <v>0</v>
      </c>
      <c r="J986" s="12">
        <f t="shared" si="48"/>
        <v>1.1440248015873016</v>
      </c>
    </row>
    <row r="987" spans="1:10" ht="15" customHeight="1">
      <c r="A987" s="14">
        <v>46155</v>
      </c>
      <c r="B987" s="10">
        <f>VLOOKUP(A987,'BADI SID DATA'!A:B,2,0)</f>
        <v>43</v>
      </c>
      <c r="F987" s="62">
        <v>1</v>
      </c>
      <c r="G987" s="62">
        <v>1</v>
      </c>
      <c r="H987" s="2">
        <f t="shared" si="46"/>
        <v>345953.1</v>
      </c>
      <c r="I987" s="12">
        <f t="shared" si="47"/>
        <v>0</v>
      </c>
      <c r="J987" s="12">
        <f t="shared" si="48"/>
        <v>1.1174195736434107</v>
      </c>
    </row>
    <row r="988" spans="1:10" ht="15" customHeight="1">
      <c r="A988" s="14">
        <v>46156</v>
      </c>
      <c r="B988" s="10">
        <f>VLOOKUP(A988,'BADI SID DATA'!A:B,2,0)</f>
        <v>44</v>
      </c>
      <c r="F988" s="62">
        <v>1</v>
      </c>
      <c r="G988" s="62">
        <v>1</v>
      </c>
      <c r="H988" s="2">
        <f t="shared" si="46"/>
        <v>345953.1</v>
      </c>
      <c r="I988" s="12">
        <f t="shared" si="47"/>
        <v>0</v>
      </c>
      <c r="J988" s="12">
        <f t="shared" si="48"/>
        <v>1.0920236742424241</v>
      </c>
    </row>
    <row r="989" spans="1:10" ht="15" customHeight="1">
      <c r="A989" s="14">
        <v>46157</v>
      </c>
      <c r="B989" s="10">
        <f>VLOOKUP(A989,'BADI SID DATA'!A:B,2,0)</f>
        <v>45</v>
      </c>
      <c r="F989" s="62">
        <v>1</v>
      </c>
      <c r="G989" s="62">
        <v>1</v>
      </c>
      <c r="H989" s="2">
        <f t="shared" si="46"/>
        <v>345953.1</v>
      </c>
      <c r="I989" s="12">
        <f t="shared" si="47"/>
        <v>0</v>
      </c>
      <c r="J989" s="12">
        <f t="shared" si="48"/>
        <v>1.0677564814814815</v>
      </c>
    </row>
    <row r="990" spans="1:10" ht="15" customHeight="1">
      <c r="A990" s="14">
        <v>46158</v>
      </c>
      <c r="B990" s="10">
        <f>VLOOKUP(A990,'BADI SID DATA'!A:B,2,0)</f>
        <v>46</v>
      </c>
      <c r="F990" s="62">
        <v>1</v>
      </c>
      <c r="G990" s="62">
        <v>1</v>
      </c>
      <c r="H990" s="2">
        <f t="shared" si="46"/>
        <v>345953.1</v>
      </c>
      <c r="I990" s="12">
        <f t="shared" si="47"/>
        <v>0</v>
      </c>
      <c r="J990" s="12">
        <f t="shared" si="48"/>
        <v>1.0445443840579709</v>
      </c>
    </row>
    <row r="991" spans="1:10" ht="15" customHeight="1">
      <c r="A991" s="14">
        <v>46159</v>
      </c>
      <c r="B991" s="10">
        <f>VLOOKUP(A991,'BADI SID DATA'!A:B,2,0)</f>
        <v>47</v>
      </c>
      <c r="F991" s="62">
        <v>1</v>
      </c>
      <c r="G991" s="62">
        <v>1</v>
      </c>
      <c r="H991" s="2">
        <f t="shared" si="46"/>
        <v>345953.1</v>
      </c>
      <c r="I991" s="12">
        <f t="shared" si="47"/>
        <v>0</v>
      </c>
      <c r="J991" s="12">
        <f t="shared" si="48"/>
        <v>1.0223200354609929</v>
      </c>
    </row>
    <row r="992" spans="1:10" ht="15" customHeight="1">
      <c r="A992" s="14">
        <v>46160</v>
      </c>
      <c r="B992" s="10">
        <f>VLOOKUP(A992,'BADI SID DATA'!A:B,2,0)</f>
        <v>48</v>
      </c>
      <c r="F992" s="62">
        <v>1</v>
      </c>
      <c r="G992" s="62">
        <v>1</v>
      </c>
      <c r="H992" s="2">
        <f t="shared" si="46"/>
        <v>345953.1</v>
      </c>
      <c r="I992" s="12">
        <f t="shared" si="47"/>
        <v>0</v>
      </c>
      <c r="J992" s="12">
        <f t="shared" si="48"/>
        <v>1.0010217013888889</v>
      </c>
    </row>
    <row r="993" spans="1:10" ht="15" customHeight="1">
      <c r="A993" s="14">
        <v>46161</v>
      </c>
      <c r="B993" s="10">
        <f>VLOOKUP(A993,'BADI SID DATA'!A:B,2,0)</f>
        <v>49</v>
      </c>
      <c r="F993" s="62">
        <v>1</v>
      </c>
      <c r="G993" s="62">
        <v>1</v>
      </c>
      <c r="H993" s="2">
        <f t="shared" si="46"/>
        <v>345953.1</v>
      </c>
      <c r="I993" s="12">
        <f t="shared" si="47"/>
        <v>0</v>
      </c>
      <c r="J993" s="12">
        <f t="shared" si="48"/>
        <v>0.98059268707482983</v>
      </c>
    </row>
    <row r="994" spans="1:10" ht="15" customHeight="1">
      <c r="A994" s="14">
        <v>46162</v>
      </c>
      <c r="B994" s="10">
        <f>VLOOKUP(A994,'BADI SID DATA'!A:B,2,0)</f>
        <v>50</v>
      </c>
      <c r="F994" s="62">
        <v>1</v>
      </c>
      <c r="G994" s="62">
        <v>1</v>
      </c>
      <c r="H994" s="2">
        <f t="shared" si="46"/>
        <v>345953.1</v>
      </c>
      <c r="I994" s="12">
        <f t="shared" si="47"/>
        <v>0</v>
      </c>
      <c r="J994" s="12">
        <f t="shared" si="48"/>
        <v>0.96098083333333328</v>
      </c>
    </row>
    <row r="995" spans="1:10" ht="15" customHeight="1">
      <c r="A995" s="14">
        <v>46163</v>
      </c>
      <c r="B995" s="10">
        <f>VLOOKUP(A995,'BADI SID DATA'!A:B,2,0)</f>
        <v>51</v>
      </c>
      <c r="F995" s="62">
        <v>1</v>
      </c>
      <c r="G995" s="62">
        <v>1</v>
      </c>
      <c r="H995" s="2">
        <f t="shared" si="46"/>
        <v>345953.1</v>
      </c>
      <c r="I995" s="12">
        <f t="shared" si="47"/>
        <v>0</v>
      </c>
      <c r="J995" s="12">
        <f t="shared" si="48"/>
        <v>0.94213807189542476</v>
      </c>
    </row>
    <row r="996" spans="1:10" ht="15" customHeight="1">
      <c r="A996" s="14">
        <v>46164</v>
      </c>
      <c r="B996" s="10">
        <f>VLOOKUP(A996,'BADI SID DATA'!A:B,2,0)</f>
        <v>52</v>
      </c>
      <c r="F996" s="62">
        <v>1</v>
      </c>
      <c r="G996" s="62">
        <v>1</v>
      </c>
      <c r="H996" s="2">
        <f t="shared" si="46"/>
        <v>345953.1</v>
      </c>
      <c r="I996" s="12">
        <f t="shared" si="47"/>
        <v>0</v>
      </c>
      <c r="J996" s="12">
        <f t="shared" si="48"/>
        <v>0.92402003205128203</v>
      </c>
    </row>
    <row r="997" spans="1:10" ht="15" customHeight="1">
      <c r="A997" s="14">
        <v>46165</v>
      </c>
      <c r="B997" s="10">
        <f>VLOOKUP(A997,'BADI SID DATA'!A:B,2,0)</f>
        <v>53</v>
      </c>
      <c r="F997" s="62">
        <v>1</v>
      </c>
      <c r="G997" s="62">
        <v>1</v>
      </c>
      <c r="H997" s="2">
        <f t="shared" si="46"/>
        <v>345953.1</v>
      </c>
      <c r="I997" s="12">
        <f t="shared" si="47"/>
        <v>0</v>
      </c>
      <c r="J997" s="12">
        <f t="shared" si="48"/>
        <v>0.90658569182389936</v>
      </c>
    </row>
    <row r="998" spans="1:10" ht="15" customHeight="1">
      <c r="A998" s="14">
        <v>46166</v>
      </c>
      <c r="B998" s="10">
        <f>VLOOKUP(A998,'BADI SID DATA'!A:B,2,0)</f>
        <v>54</v>
      </c>
      <c r="F998" s="62">
        <v>1</v>
      </c>
      <c r="G998" s="62">
        <v>1</v>
      </c>
      <c r="H998" s="2">
        <f t="shared" si="46"/>
        <v>345953.1</v>
      </c>
      <c r="I998" s="12">
        <f t="shared" si="47"/>
        <v>0</v>
      </c>
      <c r="J998" s="12">
        <f t="shared" si="48"/>
        <v>0.88979706790123447</v>
      </c>
    </row>
    <row r="999" spans="1:10" ht="15" customHeight="1">
      <c r="A999" s="14">
        <v>46167</v>
      </c>
      <c r="B999" s="10">
        <f>VLOOKUP(A999,'BADI SID DATA'!A:B,2,0)</f>
        <v>55</v>
      </c>
      <c r="F999" s="62">
        <v>1</v>
      </c>
      <c r="G999" s="62">
        <v>1</v>
      </c>
      <c r="H999" s="2">
        <f t="shared" si="46"/>
        <v>345953.1</v>
      </c>
      <c r="I999" s="12">
        <f t="shared" si="47"/>
        <v>0</v>
      </c>
      <c r="J999" s="12">
        <f t="shared" si="48"/>
        <v>0.87361893939393931</v>
      </c>
    </row>
    <row r="1000" spans="1:10" ht="15" customHeight="1">
      <c r="A1000" s="14">
        <v>46168</v>
      </c>
      <c r="B1000" s="10">
        <f>VLOOKUP(A1000,'BADI SID DATA'!A:B,2,0)</f>
        <v>56</v>
      </c>
      <c r="F1000" s="62">
        <v>1</v>
      </c>
      <c r="G1000" s="62">
        <v>1</v>
      </c>
      <c r="H1000" s="2">
        <f t="shared" si="46"/>
        <v>345953.1</v>
      </c>
      <c r="I1000" s="12">
        <f t="shared" si="47"/>
        <v>0</v>
      </c>
      <c r="J1000" s="12">
        <f t="shared" si="48"/>
        <v>0.85801860119047613</v>
      </c>
    </row>
    <row r="1001" spans="1:10" ht="15" customHeight="1">
      <c r="A1001" s="14">
        <v>46169</v>
      </c>
      <c r="B1001" s="10">
        <f>VLOOKUP(A1001,'BADI SID DATA'!A:B,2,0)</f>
        <v>57</v>
      </c>
      <c r="F1001" s="62">
        <v>1</v>
      </c>
      <c r="G1001" s="62">
        <v>1</v>
      </c>
      <c r="H1001" s="2">
        <f t="shared" si="46"/>
        <v>345953.1</v>
      </c>
      <c r="I1001" s="12">
        <f t="shared" si="47"/>
        <v>0</v>
      </c>
      <c r="J1001" s="12">
        <f t="shared" si="48"/>
        <v>0.84296564327485379</v>
      </c>
    </row>
    <row r="1002" spans="1:10" ht="15" customHeight="1">
      <c r="A1002" s="14">
        <v>46170</v>
      </c>
      <c r="B1002" s="10">
        <f>VLOOKUP(A1002,'BADI SID DATA'!A:B,2,0)</f>
        <v>58</v>
      </c>
      <c r="F1002" s="62">
        <v>1</v>
      </c>
      <c r="G1002" s="62">
        <v>1</v>
      </c>
      <c r="H1002" s="2">
        <f t="shared" si="46"/>
        <v>345953.1</v>
      </c>
      <c r="I1002" s="12">
        <f t="shared" si="47"/>
        <v>0</v>
      </c>
      <c r="J1002" s="12">
        <f t="shared" si="48"/>
        <v>0.82843175287356319</v>
      </c>
    </row>
    <row r="1003" spans="1:10" ht="15" customHeight="1">
      <c r="A1003" s="14">
        <v>46171</v>
      </c>
      <c r="B1003" s="10">
        <f>VLOOKUP(A1003,'BADI SID DATA'!A:B,2,0)</f>
        <v>59</v>
      </c>
      <c r="F1003" s="62">
        <v>1</v>
      </c>
      <c r="G1003" s="62">
        <v>1</v>
      </c>
      <c r="H1003" s="2">
        <f t="shared" si="46"/>
        <v>345953.1</v>
      </c>
      <c r="I1003" s="12">
        <f t="shared" si="47"/>
        <v>0</v>
      </c>
      <c r="J1003" s="12">
        <f t="shared" si="48"/>
        <v>0.81439053672316375</v>
      </c>
    </row>
    <row r="1004" spans="1:10" ht="15" customHeight="1">
      <c r="A1004" s="14">
        <v>46172</v>
      </c>
      <c r="B1004" s="10">
        <f>VLOOKUP(A1004,'BADI SID DATA'!A:B,2,0)</f>
        <v>60</v>
      </c>
      <c r="F1004" s="62">
        <v>1</v>
      </c>
      <c r="G1004" s="62">
        <v>1</v>
      </c>
      <c r="H1004" s="2">
        <f t="shared" si="46"/>
        <v>345953.1</v>
      </c>
      <c r="I1004" s="12">
        <f t="shared" si="47"/>
        <v>0</v>
      </c>
      <c r="J1004" s="12">
        <f t="shared" si="48"/>
        <v>0.80081736111111101</v>
      </c>
    </row>
    <row r="1005" spans="1:10" ht="15" customHeight="1">
      <c r="A1005" s="14">
        <v>46173</v>
      </c>
      <c r="B1005" s="10">
        <f>VLOOKUP(A1005,'BADI SID DATA'!A:B,2,0)</f>
        <v>61</v>
      </c>
      <c r="F1005" s="62">
        <v>1</v>
      </c>
      <c r="G1005" s="62">
        <v>1</v>
      </c>
      <c r="H1005" s="2">
        <f t="shared" si="46"/>
        <v>345953.1</v>
      </c>
      <c r="I1005" s="12">
        <f t="shared" si="47"/>
        <v>0</v>
      </c>
      <c r="J1005" s="12">
        <f t="shared" si="48"/>
        <v>0.78768920765027317</v>
      </c>
    </row>
    <row r="1006" spans="1:10" ht="15" customHeight="1">
      <c r="A1006" s="14">
        <v>46174</v>
      </c>
      <c r="B1006" s="10">
        <f>VLOOKUP(A1006,'BADI SID DATA'!A:B,2,0)</f>
        <v>62</v>
      </c>
      <c r="F1006" s="62">
        <v>1</v>
      </c>
      <c r="G1006" s="62">
        <v>1</v>
      </c>
      <c r="H1006" s="2">
        <f t="shared" si="46"/>
        <v>345953.1</v>
      </c>
      <c r="I1006" s="12">
        <f t="shared" si="47"/>
        <v>0</v>
      </c>
      <c r="J1006" s="12">
        <f t="shared" si="48"/>
        <v>0.77498454301075259</v>
      </c>
    </row>
    <row r="1007" spans="1:10" ht="15" customHeight="1">
      <c r="A1007" s="14">
        <v>46175</v>
      </c>
      <c r="B1007" s="10">
        <f>VLOOKUP(A1007,'BADI SID DATA'!A:B,2,0)</f>
        <v>63</v>
      </c>
      <c r="F1007" s="62">
        <v>1</v>
      </c>
      <c r="G1007" s="62">
        <v>1</v>
      </c>
      <c r="H1007" s="2">
        <f t="shared" si="46"/>
        <v>345953.1</v>
      </c>
      <c r="I1007" s="12">
        <f t="shared" si="47"/>
        <v>0</v>
      </c>
      <c r="J1007" s="12">
        <f t="shared" si="48"/>
        <v>0.76268320105820098</v>
      </c>
    </row>
    <row r="1008" spans="1:10" ht="15" customHeight="1">
      <c r="A1008" s="14">
        <v>46176</v>
      </c>
      <c r="B1008" s="10">
        <f>VLOOKUP(A1008,'BADI SID DATA'!A:B,2,0)</f>
        <v>64</v>
      </c>
      <c r="F1008" s="62">
        <v>1</v>
      </c>
      <c r="G1008" s="62">
        <v>1</v>
      </c>
      <c r="H1008" s="2">
        <f t="shared" si="46"/>
        <v>345953.1</v>
      </c>
      <c r="I1008" s="12">
        <f t="shared" si="47"/>
        <v>0</v>
      </c>
      <c r="J1008" s="12">
        <f t="shared" si="48"/>
        <v>0.75076627604166657</v>
      </c>
    </row>
    <row r="1009" spans="1:10" ht="15" customHeight="1">
      <c r="A1009" s="14">
        <v>46177</v>
      </c>
      <c r="B1009" s="10">
        <f>VLOOKUP(A1009,'BADI SID DATA'!A:B,2,0)</f>
        <v>65</v>
      </c>
      <c r="F1009" s="62">
        <v>1</v>
      </c>
      <c r="G1009" s="62">
        <v>1</v>
      </c>
      <c r="H1009" s="2">
        <f t="shared" si="46"/>
        <v>345953.1</v>
      </c>
      <c r="I1009" s="12">
        <f t="shared" si="47"/>
        <v>0</v>
      </c>
      <c r="J1009" s="12">
        <f t="shared" si="48"/>
        <v>0.73921602564102562</v>
      </c>
    </row>
    <row r="1010" spans="1:10" ht="15" customHeight="1">
      <c r="A1010" s="14">
        <v>46178</v>
      </c>
      <c r="B1010" s="10">
        <f>VLOOKUP(A1010,'BADI SID DATA'!A:B,2,0)</f>
        <v>66</v>
      </c>
      <c r="F1010" s="62">
        <v>1</v>
      </c>
      <c r="G1010" s="62">
        <v>1</v>
      </c>
      <c r="H1010" s="2">
        <f t="shared" si="46"/>
        <v>345953.1</v>
      </c>
      <c r="I1010" s="12">
        <f t="shared" si="47"/>
        <v>0</v>
      </c>
      <c r="J1010" s="12">
        <f t="shared" si="48"/>
        <v>0.72801578282828283</v>
      </c>
    </row>
    <row r="1011" spans="1:10" ht="15" customHeight="1">
      <c r="A1011" s="14">
        <v>46179</v>
      </c>
      <c r="B1011" s="10">
        <f>VLOOKUP(A1011,'BADI SID DATA'!A:B,2,0)</f>
        <v>67</v>
      </c>
      <c r="F1011" s="62">
        <v>1</v>
      </c>
      <c r="G1011" s="62">
        <v>1</v>
      </c>
      <c r="H1011" s="2">
        <f t="shared" si="46"/>
        <v>345953.1</v>
      </c>
      <c r="I1011" s="12">
        <f t="shared" si="47"/>
        <v>0</v>
      </c>
      <c r="J1011" s="12">
        <f t="shared" si="48"/>
        <v>0.71714987562189048</v>
      </c>
    </row>
    <row r="1012" spans="1:10" ht="15" customHeight="1">
      <c r="A1012" s="14">
        <v>46180</v>
      </c>
      <c r="B1012" s="10">
        <f>VLOOKUP(A1012,'BADI SID DATA'!A:B,2,0)</f>
        <v>68</v>
      </c>
      <c r="F1012" s="62">
        <v>1</v>
      </c>
      <c r="G1012" s="62">
        <v>1</v>
      </c>
      <c r="H1012" s="2">
        <f t="shared" si="46"/>
        <v>345953.1</v>
      </c>
      <c r="I1012" s="12">
        <f t="shared" si="47"/>
        <v>0</v>
      </c>
      <c r="J1012" s="12">
        <f t="shared" si="48"/>
        <v>0.70660355392156859</v>
      </c>
    </row>
    <row r="1013" spans="1:10" ht="15" customHeight="1">
      <c r="A1013" s="14">
        <v>46181</v>
      </c>
      <c r="B1013" s="10">
        <f>VLOOKUP(A1013,'BADI SID DATA'!A:B,2,0)</f>
        <v>69</v>
      </c>
      <c r="F1013" s="62">
        <v>1</v>
      </c>
      <c r="G1013" s="62">
        <v>1</v>
      </c>
      <c r="H1013" s="2">
        <f t="shared" si="46"/>
        <v>345953.1</v>
      </c>
      <c r="I1013" s="12">
        <f t="shared" si="47"/>
        <v>0</v>
      </c>
      <c r="J1013" s="12">
        <f t="shared" si="48"/>
        <v>0.69636292270531397</v>
      </c>
    </row>
    <row r="1014" spans="1:10" ht="15" customHeight="1">
      <c r="A1014" s="14">
        <v>46182</v>
      </c>
      <c r="B1014" s="10">
        <f>VLOOKUP(A1014,'BADI SID DATA'!A:B,2,0)</f>
        <v>70</v>
      </c>
      <c r="F1014" s="62">
        <v>1</v>
      </c>
      <c r="G1014" s="62">
        <v>1</v>
      </c>
      <c r="H1014" s="2">
        <f t="shared" si="46"/>
        <v>345953.1</v>
      </c>
      <c r="I1014" s="12">
        <f t="shared" si="47"/>
        <v>0</v>
      </c>
      <c r="J1014" s="12">
        <f t="shared" si="48"/>
        <v>0.6864148809523809</v>
      </c>
    </row>
    <row r="1015" spans="1:10" ht="15" customHeight="1">
      <c r="A1015" s="14">
        <v>46183</v>
      </c>
      <c r="B1015" s="10">
        <f>VLOOKUP(A1015,'BADI SID DATA'!A:B,2,0)</f>
        <v>71</v>
      </c>
      <c r="F1015" s="62">
        <v>1</v>
      </c>
      <c r="G1015" s="62">
        <v>1</v>
      </c>
      <c r="H1015" s="2">
        <f t="shared" si="46"/>
        <v>345953.1</v>
      </c>
      <c r="I1015" s="12">
        <f t="shared" si="47"/>
        <v>0</v>
      </c>
      <c r="J1015" s="12">
        <f t="shared" si="48"/>
        <v>0.67674706572769949</v>
      </c>
    </row>
    <row r="1016" spans="1:10" ht="15" customHeight="1">
      <c r="A1016" s="14">
        <v>46184</v>
      </c>
      <c r="B1016" s="10">
        <f>VLOOKUP(A1016,'BADI SID DATA'!A:B,2,0)</f>
        <v>72</v>
      </c>
      <c r="F1016" s="62">
        <v>1</v>
      </c>
      <c r="G1016" s="62">
        <v>1</v>
      </c>
      <c r="H1016" s="2">
        <f t="shared" si="46"/>
        <v>345953.1</v>
      </c>
      <c r="I1016" s="12">
        <f t="shared" si="47"/>
        <v>0</v>
      </c>
      <c r="J1016" s="12">
        <f t="shared" si="48"/>
        <v>0.66734780092592583</v>
      </c>
    </row>
    <row r="1017" spans="1:10" ht="15" customHeight="1">
      <c r="A1017" s="14">
        <v>46185</v>
      </c>
      <c r="B1017" s="10">
        <f>VLOOKUP(A1017,'BADI SID DATA'!A:B,2,0)</f>
        <v>73</v>
      </c>
      <c r="F1017" s="62">
        <v>1</v>
      </c>
      <c r="G1017" s="62">
        <v>1</v>
      </c>
      <c r="H1017" s="2">
        <f t="shared" si="46"/>
        <v>345953.1</v>
      </c>
      <c r="I1017" s="12">
        <f t="shared" si="47"/>
        <v>0</v>
      </c>
      <c r="J1017" s="12">
        <f t="shared" si="48"/>
        <v>0.65820605022831047</v>
      </c>
    </row>
    <row r="1018" spans="1:10" ht="15" customHeight="1">
      <c r="A1018" s="14">
        <v>46186</v>
      </c>
      <c r="B1018" s="10">
        <f>VLOOKUP(A1018,'BADI SID DATA'!A:B,2,0)</f>
        <v>74</v>
      </c>
      <c r="F1018" s="62">
        <v>1</v>
      </c>
      <c r="G1018" s="62">
        <v>1</v>
      </c>
      <c r="H1018" s="2">
        <f t="shared" si="46"/>
        <v>345953.1</v>
      </c>
      <c r="I1018" s="12">
        <f t="shared" si="47"/>
        <v>0</v>
      </c>
      <c r="J1018" s="12">
        <f t="shared" si="48"/>
        <v>0.64931137387387383</v>
      </c>
    </row>
    <row r="1019" spans="1:10" ht="15" customHeight="1">
      <c r="A1019" s="14">
        <v>46187</v>
      </c>
      <c r="B1019" s="10">
        <f>VLOOKUP(A1019,'BADI SID DATA'!A:B,2,0)</f>
        <v>75</v>
      </c>
      <c r="F1019" s="62">
        <v>1</v>
      </c>
      <c r="G1019" s="62">
        <v>1</v>
      </c>
      <c r="H1019" s="2">
        <f t="shared" si="46"/>
        <v>345953.1</v>
      </c>
      <c r="I1019" s="12">
        <f t="shared" si="47"/>
        <v>0</v>
      </c>
      <c r="J1019" s="12">
        <f t="shared" si="48"/>
        <v>0.64065388888888886</v>
      </c>
    </row>
    <row r="1020" spans="1:10" ht="15" customHeight="1">
      <c r="A1020" s="14">
        <v>46188</v>
      </c>
      <c r="B1020" s="10">
        <f>VLOOKUP(A1020,'BADI SID DATA'!A:B,2,0)</f>
        <v>76</v>
      </c>
      <c r="F1020" s="62">
        <v>1</v>
      </c>
      <c r="G1020" s="62">
        <v>1</v>
      </c>
      <c r="H1020" s="2">
        <f t="shared" si="46"/>
        <v>345953.1</v>
      </c>
      <c r="I1020" s="12">
        <f t="shared" si="47"/>
        <v>0</v>
      </c>
      <c r="J1020" s="12">
        <f t="shared" si="48"/>
        <v>0.63222423245614034</v>
      </c>
    </row>
    <row r="1021" spans="1:10" ht="15" customHeight="1">
      <c r="A1021" s="14">
        <v>46189</v>
      </c>
      <c r="B1021" s="10">
        <f>VLOOKUP(A1021,'BADI SID DATA'!A:B,2,0)</f>
        <v>77</v>
      </c>
      <c r="F1021" s="62">
        <v>1</v>
      </c>
      <c r="G1021" s="62">
        <v>1</v>
      </c>
      <c r="H1021" s="2">
        <f t="shared" si="46"/>
        <v>345953.1</v>
      </c>
      <c r="I1021" s="12">
        <f t="shared" si="47"/>
        <v>0</v>
      </c>
      <c r="J1021" s="12">
        <f t="shared" si="48"/>
        <v>0.62401352813852806</v>
      </c>
    </row>
    <row r="1022" spans="1:10" ht="15" customHeight="1">
      <c r="A1022" s="14">
        <v>46190</v>
      </c>
      <c r="B1022" s="10">
        <f>VLOOKUP(A1022,'BADI SID DATA'!A:B,2,0)</f>
        <v>78</v>
      </c>
      <c r="F1022" s="62">
        <v>1</v>
      </c>
      <c r="G1022" s="62">
        <v>1</v>
      </c>
      <c r="H1022" s="2">
        <f t="shared" si="46"/>
        <v>345953.1</v>
      </c>
      <c r="I1022" s="12">
        <f t="shared" si="47"/>
        <v>0</v>
      </c>
      <c r="J1022" s="12">
        <f t="shared" si="48"/>
        <v>0.61601335470085461</v>
      </c>
    </row>
    <row r="1023" spans="1:10" ht="15" customHeight="1">
      <c r="A1023" s="14">
        <v>46191</v>
      </c>
      <c r="B1023" s="10">
        <f>VLOOKUP(A1023,'BADI SID DATA'!A:B,2,0)</f>
        <v>79</v>
      </c>
      <c r="F1023" s="62">
        <v>1</v>
      </c>
      <c r="G1023" s="62">
        <v>1</v>
      </c>
      <c r="H1023" s="2">
        <f t="shared" si="46"/>
        <v>345953.1</v>
      </c>
      <c r="I1023" s="12">
        <f t="shared" si="47"/>
        <v>0</v>
      </c>
      <c r="J1023" s="12">
        <f t="shared" si="48"/>
        <v>0.60821571729957802</v>
      </c>
    </row>
    <row r="1024" spans="1:10" ht="15" customHeight="1">
      <c r="A1024" s="14">
        <v>46192</v>
      </c>
      <c r="B1024" s="10">
        <f>VLOOKUP(A1024,'BADI SID DATA'!A:B,2,0)</f>
        <v>80</v>
      </c>
      <c r="F1024" s="62">
        <v>1</v>
      </c>
      <c r="G1024" s="62">
        <v>1</v>
      </c>
      <c r="H1024" s="2">
        <f t="shared" si="46"/>
        <v>345953.1</v>
      </c>
      <c r="I1024" s="12">
        <f t="shared" si="47"/>
        <v>0</v>
      </c>
      <c r="J1024" s="12">
        <f t="shared" si="48"/>
        <v>0.60061302083333334</v>
      </c>
    </row>
    <row r="1025" spans="1:10" ht="15" customHeight="1">
      <c r="A1025" s="14">
        <v>46193</v>
      </c>
      <c r="B1025" s="10">
        <f>VLOOKUP(A1025,'BADI SID DATA'!A:B,2,0)</f>
        <v>81</v>
      </c>
      <c r="F1025" s="62">
        <v>1</v>
      </c>
      <c r="G1025" s="62">
        <v>1</v>
      </c>
      <c r="H1025" s="2">
        <f t="shared" si="46"/>
        <v>345953.1</v>
      </c>
      <c r="I1025" s="12">
        <f t="shared" si="47"/>
        <v>0</v>
      </c>
      <c r="J1025" s="12">
        <f t="shared" si="48"/>
        <v>0.59319804526748965</v>
      </c>
    </row>
    <row r="1026" spans="1:10" ht="15" customHeight="1">
      <c r="A1026" s="14">
        <v>46194</v>
      </c>
      <c r="B1026" s="10">
        <f>VLOOKUP(A1026,'BADI SID DATA'!A:B,2,0)</f>
        <v>82</v>
      </c>
      <c r="F1026" s="62">
        <v>1</v>
      </c>
      <c r="G1026" s="62">
        <v>1</v>
      </c>
      <c r="H1026" s="2">
        <f t="shared" si="46"/>
        <v>345953.1</v>
      </c>
      <c r="I1026" s="12">
        <f t="shared" si="47"/>
        <v>0</v>
      </c>
      <c r="J1026" s="12">
        <f t="shared" si="48"/>
        <v>0.5859639227642276</v>
      </c>
    </row>
    <row r="1027" spans="1:10" ht="15" customHeight="1">
      <c r="A1027" s="14">
        <v>46195</v>
      </c>
      <c r="B1027" s="10">
        <f>VLOOKUP(A1027,'BADI SID DATA'!A:B,2,0)</f>
        <v>83</v>
      </c>
      <c r="F1027" s="62">
        <v>1</v>
      </c>
      <c r="G1027" s="62">
        <v>1</v>
      </c>
      <c r="H1027" s="2">
        <f t="shared" ref="H1027:H1090" si="49">H1026+C1027</f>
        <v>345953.1</v>
      </c>
      <c r="I1027" s="12">
        <f t="shared" ref="I1027:I1090" si="50">C1027/(300*24)</f>
        <v>0</v>
      </c>
      <c r="J1027" s="12">
        <f t="shared" ref="J1027:J1090" si="51">H1027/(24*B1027*300)</f>
        <v>0.57890411646586337</v>
      </c>
    </row>
    <row r="1028" spans="1:10" ht="15" customHeight="1">
      <c r="A1028" s="14">
        <v>46196</v>
      </c>
      <c r="B1028" s="10">
        <f>VLOOKUP(A1028,'BADI SID DATA'!A:B,2,0)</f>
        <v>84</v>
      </c>
      <c r="F1028" s="62">
        <v>1</v>
      </c>
      <c r="G1028" s="62">
        <v>1</v>
      </c>
      <c r="H1028" s="2">
        <f t="shared" si="49"/>
        <v>345953.1</v>
      </c>
      <c r="I1028" s="12">
        <f t="shared" si="50"/>
        <v>0</v>
      </c>
      <c r="J1028" s="12">
        <f t="shared" si="51"/>
        <v>0.57201240079365079</v>
      </c>
    </row>
    <row r="1029" spans="1:10" ht="15" customHeight="1">
      <c r="A1029" s="14">
        <v>46197</v>
      </c>
      <c r="B1029" s="10">
        <f>VLOOKUP(A1029,'BADI SID DATA'!A:B,2,0)</f>
        <v>85</v>
      </c>
      <c r="F1029" s="62">
        <v>1</v>
      </c>
      <c r="G1029" s="62">
        <v>1</v>
      </c>
      <c r="H1029" s="2">
        <f t="shared" si="49"/>
        <v>345953.1</v>
      </c>
      <c r="I1029" s="12">
        <f t="shared" si="50"/>
        <v>0</v>
      </c>
      <c r="J1029" s="12">
        <f t="shared" si="51"/>
        <v>0.56528284313725485</v>
      </c>
    </row>
    <row r="1030" spans="1:10" ht="15" customHeight="1">
      <c r="A1030" s="14">
        <v>46198</v>
      </c>
      <c r="B1030" s="10">
        <f>VLOOKUP(A1030,'BADI SID DATA'!A:B,2,0)</f>
        <v>86</v>
      </c>
      <c r="F1030" s="62">
        <v>1</v>
      </c>
      <c r="G1030" s="62">
        <v>1</v>
      </c>
      <c r="H1030" s="2">
        <f t="shared" si="49"/>
        <v>345953.1</v>
      </c>
      <c r="I1030" s="12">
        <f t="shared" si="50"/>
        <v>0</v>
      </c>
      <c r="J1030" s="12">
        <f t="shared" si="51"/>
        <v>0.55870978682170536</v>
      </c>
    </row>
    <row r="1031" spans="1:10" ht="15" customHeight="1">
      <c r="A1031" s="14">
        <v>46199</v>
      </c>
      <c r="B1031" s="10">
        <f>VLOOKUP(A1031,'BADI SID DATA'!A:B,2,0)</f>
        <v>87</v>
      </c>
      <c r="F1031" s="62">
        <v>1</v>
      </c>
      <c r="G1031" s="62">
        <v>1</v>
      </c>
      <c r="H1031" s="2">
        <f t="shared" si="49"/>
        <v>345953.1</v>
      </c>
      <c r="I1031" s="12">
        <f t="shared" si="50"/>
        <v>0</v>
      </c>
      <c r="J1031" s="12">
        <f t="shared" si="51"/>
        <v>0.55228783524904212</v>
      </c>
    </row>
    <row r="1032" spans="1:10" ht="15" customHeight="1">
      <c r="A1032" s="14">
        <v>46200</v>
      </c>
      <c r="B1032" s="10">
        <f>VLOOKUP(A1032,'BADI SID DATA'!A:B,2,0)</f>
        <v>88</v>
      </c>
      <c r="F1032" s="62">
        <v>1</v>
      </c>
      <c r="G1032" s="62">
        <v>1</v>
      </c>
      <c r="H1032" s="2">
        <f t="shared" si="49"/>
        <v>345953.1</v>
      </c>
      <c r="I1032" s="12">
        <f t="shared" si="50"/>
        <v>0</v>
      </c>
      <c r="J1032" s="12">
        <f t="shared" si="51"/>
        <v>0.54601183712121204</v>
      </c>
    </row>
    <row r="1033" spans="1:10" ht="15" customHeight="1">
      <c r="A1033" s="14">
        <v>46201</v>
      </c>
      <c r="B1033" s="10">
        <f>VLOOKUP(A1033,'BADI SID DATA'!A:B,2,0)</f>
        <v>89</v>
      </c>
      <c r="F1033" s="62">
        <v>1</v>
      </c>
      <c r="G1033" s="62">
        <v>1</v>
      </c>
      <c r="H1033" s="2">
        <f t="shared" si="49"/>
        <v>345953.1</v>
      </c>
      <c r="I1033" s="12">
        <f t="shared" si="50"/>
        <v>0</v>
      </c>
      <c r="J1033" s="12">
        <f t="shared" si="51"/>
        <v>0.53987687265917594</v>
      </c>
    </row>
    <row r="1034" spans="1:10" ht="15" customHeight="1">
      <c r="A1034" s="14">
        <v>46202</v>
      </c>
      <c r="B1034" s="10">
        <f>VLOOKUP(A1034,'BADI SID DATA'!A:B,2,0)</f>
        <v>90</v>
      </c>
      <c r="F1034" s="62">
        <v>1</v>
      </c>
      <c r="G1034" s="62">
        <v>1</v>
      </c>
      <c r="H1034" s="2">
        <f t="shared" si="49"/>
        <v>345953.1</v>
      </c>
      <c r="I1034" s="12">
        <f t="shared" si="50"/>
        <v>0</v>
      </c>
      <c r="J1034" s="12">
        <f t="shared" si="51"/>
        <v>0.53387824074074075</v>
      </c>
    </row>
    <row r="1035" spans="1:10" ht="15" customHeight="1">
      <c r="A1035" s="14">
        <v>46203</v>
      </c>
      <c r="B1035" s="10">
        <f>VLOOKUP(A1035,'BADI SID DATA'!A:B,2,0)</f>
        <v>91</v>
      </c>
      <c r="F1035" s="62">
        <v>1</v>
      </c>
      <c r="G1035" s="62">
        <v>1</v>
      </c>
      <c r="H1035" s="2">
        <f t="shared" si="49"/>
        <v>345953.1</v>
      </c>
      <c r="I1035" s="12">
        <f t="shared" si="50"/>
        <v>0</v>
      </c>
      <c r="J1035" s="12">
        <f t="shared" si="51"/>
        <v>0.52801144688644686</v>
      </c>
    </row>
    <row r="1036" spans="1:10" ht="15" customHeight="1">
      <c r="A1036" s="14">
        <v>46204</v>
      </c>
      <c r="B1036" s="10">
        <f>VLOOKUP(A1036,'BADI SID DATA'!A:B,2,0)</f>
        <v>92</v>
      </c>
      <c r="F1036" s="62">
        <v>1</v>
      </c>
      <c r="G1036" s="62">
        <v>1</v>
      </c>
      <c r="H1036" s="2">
        <f t="shared" si="49"/>
        <v>345953.1</v>
      </c>
      <c r="I1036" s="12">
        <f t="shared" si="50"/>
        <v>0</v>
      </c>
      <c r="J1036" s="12">
        <f t="shared" si="51"/>
        <v>0.52227219202898545</v>
      </c>
    </row>
    <row r="1037" spans="1:10" ht="15" customHeight="1">
      <c r="A1037" s="14">
        <v>46205</v>
      </c>
      <c r="B1037" s="10">
        <f>VLOOKUP(A1037,'BADI SID DATA'!A:B,2,0)</f>
        <v>93</v>
      </c>
      <c r="F1037" s="62">
        <v>1</v>
      </c>
      <c r="G1037" s="62">
        <v>1</v>
      </c>
      <c r="H1037" s="2">
        <f t="shared" si="49"/>
        <v>345953.1</v>
      </c>
      <c r="I1037" s="12">
        <f t="shared" si="50"/>
        <v>0</v>
      </c>
      <c r="J1037" s="12">
        <f t="shared" si="51"/>
        <v>0.51665636200716847</v>
      </c>
    </row>
    <row r="1038" spans="1:10" ht="15" customHeight="1">
      <c r="A1038" s="14">
        <v>46206</v>
      </c>
      <c r="B1038" s="10">
        <f>VLOOKUP(A1038,'BADI SID DATA'!A:B,2,0)</f>
        <v>94</v>
      </c>
      <c r="F1038" s="62">
        <v>1</v>
      </c>
      <c r="G1038" s="62">
        <v>1</v>
      </c>
      <c r="H1038" s="2">
        <f t="shared" si="49"/>
        <v>345953.1</v>
      </c>
      <c r="I1038" s="12">
        <f t="shared" si="50"/>
        <v>0</v>
      </c>
      <c r="J1038" s="12">
        <f t="shared" si="51"/>
        <v>0.51116001773049646</v>
      </c>
    </row>
    <row r="1039" spans="1:10" ht="15" customHeight="1">
      <c r="A1039" s="14">
        <v>46207</v>
      </c>
      <c r="B1039" s="10">
        <f>VLOOKUP(A1039,'BADI SID DATA'!A:B,2,0)</f>
        <v>95</v>
      </c>
      <c r="F1039" s="62">
        <v>1</v>
      </c>
      <c r="G1039" s="62">
        <v>1</v>
      </c>
      <c r="H1039" s="2">
        <f t="shared" si="49"/>
        <v>345953.1</v>
      </c>
      <c r="I1039" s="12">
        <f t="shared" si="50"/>
        <v>0</v>
      </c>
      <c r="J1039" s="12">
        <f t="shared" si="51"/>
        <v>0.50577938596491223</v>
      </c>
    </row>
    <row r="1040" spans="1:10" ht="15" customHeight="1">
      <c r="A1040" s="14">
        <v>46208</v>
      </c>
      <c r="B1040" s="10">
        <f>VLOOKUP(A1040,'BADI SID DATA'!A:B,2,0)</f>
        <v>96</v>
      </c>
      <c r="F1040" s="62">
        <v>1</v>
      </c>
      <c r="G1040" s="62">
        <v>1</v>
      </c>
      <c r="H1040" s="2">
        <f t="shared" si="49"/>
        <v>345953.1</v>
      </c>
      <c r="I1040" s="12">
        <f t="shared" si="50"/>
        <v>0</v>
      </c>
      <c r="J1040" s="12">
        <f t="shared" si="51"/>
        <v>0.50051085069444445</v>
      </c>
    </row>
    <row r="1041" spans="1:10" ht="15" customHeight="1">
      <c r="A1041" s="14">
        <v>46209</v>
      </c>
      <c r="B1041" s="10">
        <f>VLOOKUP(A1041,'BADI SID DATA'!A:B,2,0)</f>
        <v>97</v>
      </c>
      <c r="F1041" s="62">
        <v>1</v>
      </c>
      <c r="G1041" s="62">
        <v>1</v>
      </c>
      <c r="H1041" s="2">
        <f t="shared" si="49"/>
        <v>345953.1</v>
      </c>
      <c r="I1041" s="12">
        <f t="shared" si="50"/>
        <v>0</v>
      </c>
      <c r="J1041" s="12">
        <f t="shared" si="51"/>
        <v>0.49535094501718208</v>
      </c>
    </row>
    <row r="1042" spans="1:10" ht="15" customHeight="1">
      <c r="A1042" s="14">
        <v>46210</v>
      </c>
      <c r="B1042" s="10">
        <f>VLOOKUP(A1042,'BADI SID DATA'!A:B,2,0)</f>
        <v>98</v>
      </c>
      <c r="F1042" s="62">
        <v>1</v>
      </c>
      <c r="G1042" s="62">
        <v>1</v>
      </c>
      <c r="H1042" s="2">
        <f t="shared" si="49"/>
        <v>345953.1</v>
      </c>
      <c r="I1042" s="12">
        <f t="shared" si="50"/>
        <v>0</v>
      </c>
      <c r="J1042" s="12">
        <f t="shared" si="51"/>
        <v>0.49029634353741491</v>
      </c>
    </row>
    <row r="1043" spans="1:10" ht="15" customHeight="1">
      <c r="A1043" s="14">
        <v>46211</v>
      </c>
      <c r="B1043" s="10">
        <f>VLOOKUP(A1043,'BADI SID DATA'!A:B,2,0)</f>
        <v>99</v>
      </c>
      <c r="F1043" s="62">
        <v>1</v>
      </c>
      <c r="G1043" s="62">
        <v>1</v>
      </c>
      <c r="H1043" s="2">
        <f t="shared" si="49"/>
        <v>345953.1</v>
      </c>
      <c r="I1043" s="12">
        <f t="shared" si="50"/>
        <v>0</v>
      </c>
      <c r="J1043" s="12">
        <f t="shared" si="51"/>
        <v>0.4853438552188552</v>
      </c>
    </row>
    <row r="1044" spans="1:10" ht="15" customHeight="1">
      <c r="A1044" s="14">
        <v>46212</v>
      </c>
      <c r="B1044" s="10">
        <f>VLOOKUP(A1044,'BADI SID DATA'!A:B,2,0)</f>
        <v>100</v>
      </c>
      <c r="F1044" s="62">
        <v>1</v>
      </c>
      <c r="G1044" s="62">
        <v>1</v>
      </c>
      <c r="H1044" s="2">
        <f t="shared" si="49"/>
        <v>345953.1</v>
      </c>
      <c r="I1044" s="12">
        <f t="shared" si="50"/>
        <v>0</v>
      </c>
      <c r="J1044" s="12">
        <f t="shared" si="51"/>
        <v>0.48049041666666664</v>
      </c>
    </row>
    <row r="1045" spans="1:10" ht="15" customHeight="1">
      <c r="A1045" s="14">
        <v>46213</v>
      </c>
      <c r="B1045" s="10">
        <f>VLOOKUP(A1045,'BADI SID DATA'!A:B,2,0)</f>
        <v>101</v>
      </c>
      <c r="F1045" s="62">
        <v>1</v>
      </c>
      <c r="G1045" s="62">
        <v>1</v>
      </c>
      <c r="H1045" s="2">
        <f t="shared" si="49"/>
        <v>345953.1</v>
      </c>
      <c r="I1045" s="12">
        <f t="shared" si="50"/>
        <v>0</v>
      </c>
      <c r="J1045" s="12">
        <f t="shared" si="51"/>
        <v>0.47573308580858081</v>
      </c>
    </row>
    <row r="1046" spans="1:10" ht="15" customHeight="1">
      <c r="A1046" s="14">
        <v>46214</v>
      </c>
      <c r="B1046" s="10">
        <f>VLOOKUP(A1046,'BADI SID DATA'!A:B,2,0)</f>
        <v>102</v>
      </c>
      <c r="F1046" s="62">
        <v>1</v>
      </c>
      <c r="G1046" s="62">
        <v>1</v>
      </c>
      <c r="H1046" s="2">
        <f t="shared" si="49"/>
        <v>345953.1</v>
      </c>
      <c r="I1046" s="12">
        <f t="shared" si="50"/>
        <v>0</v>
      </c>
      <c r="J1046" s="12">
        <f t="shared" si="51"/>
        <v>0.47106903594771238</v>
      </c>
    </row>
    <row r="1047" spans="1:10" ht="15" customHeight="1">
      <c r="A1047" s="14">
        <v>46215</v>
      </c>
      <c r="B1047" s="10">
        <f>VLOOKUP(A1047,'BADI SID DATA'!A:B,2,0)</f>
        <v>103</v>
      </c>
      <c r="F1047" s="62">
        <v>1</v>
      </c>
      <c r="G1047" s="62">
        <v>1</v>
      </c>
      <c r="H1047" s="2">
        <f t="shared" si="49"/>
        <v>345953.1</v>
      </c>
      <c r="I1047" s="12">
        <f t="shared" si="50"/>
        <v>0</v>
      </c>
      <c r="J1047" s="12">
        <f t="shared" si="51"/>
        <v>0.46649555016181227</v>
      </c>
    </row>
    <row r="1048" spans="1:10" ht="15" customHeight="1">
      <c r="A1048" s="14">
        <v>46216</v>
      </c>
      <c r="B1048" s="10">
        <f>VLOOKUP(A1048,'BADI SID DATA'!A:B,2,0)</f>
        <v>104</v>
      </c>
      <c r="F1048" s="62">
        <v>1</v>
      </c>
      <c r="G1048" s="62">
        <v>1</v>
      </c>
      <c r="H1048" s="2">
        <f t="shared" si="49"/>
        <v>345953.1</v>
      </c>
      <c r="I1048" s="12">
        <f t="shared" si="50"/>
        <v>0</v>
      </c>
      <c r="J1048" s="12">
        <f t="shared" si="51"/>
        <v>0.46201001602564101</v>
      </c>
    </row>
    <row r="1049" spans="1:10" ht="15" customHeight="1">
      <c r="A1049" s="14">
        <v>46217</v>
      </c>
      <c r="B1049" s="10">
        <f>VLOOKUP(A1049,'BADI SID DATA'!A:B,2,0)</f>
        <v>105</v>
      </c>
      <c r="F1049" s="62">
        <v>1</v>
      </c>
      <c r="G1049" s="62">
        <v>1</v>
      </c>
      <c r="H1049" s="2">
        <f t="shared" si="49"/>
        <v>345953.1</v>
      </c>
      <c r="I1049" s="12">
        <f t="shared" si="50"/>
        <v>0</v>
      </c>
      <c r="J1049" s="12">
        <f t="shared" si="51"/>
        <v>0.45760992063492062</v>
      </c>
    </row>
    <row r="1050" spans="1:10" ht="15" customHeight="1">
      <c r="A1050" s="14">
        <v>46218</v>
      </c>
      <c r="B1050" s="10">
        <f>VLOOKUP(A1050,'BADI SID DATA'!A:B,2,0)</f>
        <v>106</v>
      </c>
      <c r="F1050" s="62">
        <v>1</v>
      </c>
      <c r="G1050" s="62">
        <v>1</v>
      </c>
      <c r="H1050" s="2">
        <f t="shared" si="49"/>
        <v>345953.1</v>
      </c>
      <c r="I1050" s="12">
        <f t="shared" si="50"/>
        <v>0</v>
      </c>
      <c r="J1050" s="12">
        <f t="shared" si="51"/>
        <v>0.45329284591194968</v>
      </c>
    </row>
    <row r="1051" spans="1:10" ht="15" customHeight="1">
      <c r="A1051" s="14">
        <v>46219</v>
      </c>
      <c r="B1051" s="10">
        <f>VLOOKUP(A1051,'BADI SID DATA'!A:B,2,0)</f>
        <v>107</v>
      </c>
      <c r="F1051" s="62">
        <v>1</v>
      </c>
      <c r="G1051" s="62">
        <v>1</v>
      </c>
      <c r="H1051" s="2">
        <f t="shared" si="49"/>
        <v>345953.1</v>
      </c>
      <c r="I1051" s="12">
        <f t="shared" si="50"/>
        <v>0</v>
      </c>
      <c r="J1051" s="12">
        <f t="shared" si="51"/>
        <v>0.44905646417445477</v>
      </c>
    </row>
    <row r="1052" spans="1:10" ht="15" customHeight="1">
      <c r="A1052" s="14">
        <v>46220</v>
      </c>
      <c r="B1052" s="10">
        <f>VLOOKUP(A1052,'BADI SID DATA'!A:B,2,0)</f>
        <v>108</v>
      </c>
      <c r="F1052" s="62">
        <v>1</v>
      </c>
      <c r="G1052" s="62">
        <v>1</v>
      </c>
      <c r="H1052" s="2">
        <f t="shared" si="49"/>
        <v>345953.1</v>
      </c>
      <c r="I1052" s="12">
        <f t="shared" si="50"/>
        <v>0</v>
      </c>
      <c r="J1052" s="12">
        <f t="shared" si="51"/>
        <v>0.44489853395061724</v>
      </c>
    </row>
    <row r="1053" spans="1:10" ht="15" customHeight="1">
      <c r="A1053" s="14">
        <v>46221</v>
      </c>
      <c r="B1053" s="10">
        <f>VLOOKUP(A1053,'BADI SID DATA'!A:B,2,0)</f>
        <v>109</v>
      </c>
      <c r="F1053" s="62">
        <v>1</v>
      </c>
      <c r="G1053" s="62">
        <v>1</v>
      </c>
      <c r="H1053" s="2">
        <f t="shared" si="49"/>
        <v>345953.1</v>
      </c>
      <c r="I1053" s="12">
        <f t="shared" si="50"/>
        <v>0</v>
      </c>
      <c r="J1053" s="12">
        <f t="shared" si="51"/>
        <v>0.44081689602446478</v>
      </c>
    </row>
    <row r="1054" spans="1:10" ht="15" customHeight="1">
      <c r="A1054" s="14">
        <v>46222</v>
      </c>
      <c r="B1054" s="10">
        <f>VLOOKUP(A1054,'BADI SID DATA'!A:B,2,0)</f>
        <v>110</v>
      </c>
      <c r="F1054" s="62">
        <v>1</v>
      </c>
      <c r="G1054" s="62">
        <v>1</v>
      </c>
      <c r="H1054" s="2">
        <f t="shared" si="49"/>
        <v>345953.1</v>
      </c>
      <c r="I1054" s="12">
        <f t="shared" si="50"/>
        <v>0</v>
      </c>
      <c r="J1054" s="12">
        <f t="shared" si="51"/>
        <v>0.43680946969696965</v>
      </c>
    </row>
    <row r="1055" spans="1:10" ht="15" customHeight="1">
      <c r="A1055" s="14">
        <v>46223</v>
      </c>
      <c r="B1055" s="10">
        <f>VLOOKUP(A1055,'BADI SID DATA'!A:B,2,0)</f>
        <v>111</v>
      </c>
      <c r="F1055" s="62">
        <v>1</v>
      </c>
      <c r="G1055" s="62">
        <v>1</v>
      </c>
      <c r="H1055" s="2">
        <f t="shared" si="49"/>
        <v>345953.1</v>
      </c>
      <c r="I1055" s="12">
        <f t="shared" si="50"/>
        <v>0</v>
      </c>
      <c r="J1055" s="12">
        <f t="shared" si="51"/>
        <v>0.43287424924924922</v>
      </c>
    </row>
    <row r="1056" spans="1:10" ht="15" customHeight="1">
      <c r="A1056" s="14">
        <v>46224</v>
      </c>
      <c r="B1056" s="10">
        <f>VLOOKUP(A1056,'BADI SID DATA'!A:B,2,0)</f>
        <v>112</v>
      </c>
      <c r="F1056" s="62">
        <v>1</v>
      </c>
      <c r="G1056" s="62">
        <v>1</v>
      </c>
      <c r="H1056" s="2">
        <f t="shared" si="49"/>
        <v>345953.1</v>
      </c>
      <c r="I1056" s="12">
        <f t="shared" si="50"/>
        <v>0</v>
      </c>
      <c r="J1056" s="12">
        <f t="shared" si="51"/>
        <v>0.42900930059523806</v>
      </c>
    </row>
    <row r="1057" spans="1:10" ht="15" customHeight="1">
      <c r="A1057" s="14">
        <v>46225</v>
      </c>
      <c r="B1057" s="10">
        <f>VLOOKUP(A1057,'BADI SID DATA'!A:B,2,0)</f>
        <v>113</v>
      </c>
      <c r="F1057" s="62">
        <v>1</v>
      </c>
      <c r="G1057" s="62">
        <v>1</v>
      </c>
      <c r="H1057" s="2">
        <f t="shared" si="49"/>
        <v>345953.1</v>
      </c>
      <c r="I1057" s="12">
        <f t="shared" si="50"/>
        <v>0</v>
      </c>
      <c r="J1057" s="12">
        <f t="shared" si="51"/>
        <v>0.42521275811209436</v>
      </c>
    </row>
    <row r="1058" spans="1:10" ht="15" customHeight="1">
      <c r="A1058" s="14">
        <v>46226</v>
      </c>
      <c r="B1058" s="10">
        <f>VLOOKUP(A1058,'BADI SID DATA'!A:B,2,0)</f>
        <v>114</v>
      </c>
      <c r="F1058" s="62">
        <v>1</v>
      </c>
      <c r="G1058" s="62">
        <v>1</v>
      </c>
      <c r="H1058" s="2">
        <f t="shared" si="49"/>
        <v>345953.1</v>
      </c>
      <c r="I1058" s="12">
        <f t="shared" si="50"/>
        <v>0</v>
      </c>
      <c r="J1058" s="12">
        <f t="shared" si="51"/>
        <v>0.4214828216374269</v>
      </c>
    </row>
    <row r="1059" spans="1:10" ht="15" customHeight="1">
      <c r="A1059" s="14">
        <v>46227</v>
      </c>
      <c r="B1059" s="10">
        <f>VLOOKUP(A1059,'BADI SID DATA'!A:B,2,0)</f>
        <v>115</v>
      </c>
      <c r="F1059" s="62">
        <v>1</v>
      </c>
      <c r="G1059" s="62">
        <v>1</v>
      </c>
      <c r="H1059" s="2">
        <f t="shared" si="49"/>
        <v>345953.1</v>
      </c>
      <c r="I1059" s="12">
        <f t="shared" si="50"/>
        <v>0</v>
      </c>
      <c r="J1059" s="12">
        <f t="shared" si="51"/>
        <v>0.4178177536231884</v>
      </c>
    </row>
    <row r="1060" spans="1:10" ht="15" customHeight="1">
      <c r="A1060" s="14">
        <v>46228</v>
      </c>
      <c r="B1060" s="10">
        <f>VLOOKUP(A1060,'BADI SID DATA'!A:B,2,0)</f>
        <v>116</v>
      </c>
      <c r="F1060" s="62">
        <v>1</v>
      </c>
      <c r="G1060" s="62">
        <v>1</v>
      </c>
      <c r="H1060" s="2">
        <f t="shared" si="49"/>
        <v>345953.1</v>
      </c>
      <c r="I1060" s="12">
        <f t="shared" si="50"/>
        <v>0</v>
      </c>
      <c r="J1060" s="12">
        <f t="shared" si="51"/>
        <v>0.41421587643678159</v>
      </c>
    </row>
    <row r="1061" spans="1:10" ht="15" customHeight="1">
      <c r="A1061" s="14">
        <v>46229</v>
      </c>
      <c r="B1061" s="10">
        <f>VLOOKUP(A1061,'BADI SID DATA'!A:B,2,0)</f>
        <v>117</v>
      </c>
      <c r="F1061" s="62">
        <v>1</v>
      </c>
      <c r="G1061" s="62">
        <v>1</v>
      </c>
      <c r="H1061" s="2">
        <f t="shared" si="49"/>
        <v>345953.1</v>
      </c>
      <c r="I1061" s="12">
        <f t="shared" si="50"/>
        <v>0</v>
      </c>
      <c r="J1061" s="12">
        <f t="shared" si="51"/>
        <v>0.4106755698005698</v>
      </c>
    </row>
    <row r="1062" spans="1:10" ht="15" customHeight="1">
      <c r="A1062" s="14">
        <v>46230</v>
      </c>
      <c r="B1062" s="10">
        <f>VLOOKUP(A1062,'BADI SID DATA'!A:B,2,0)</f>
        <v>118</v>
      </c>
      <c r="F1062" s="62">
        <v>1</v>
      </c>
      <c r="G1062" s="62">
        <v>1</v>
      </c>
      <c r="H1062" s="2">
        <f t="shared" si="49"/>
        <v>345953.1</v>
      </c>
      <c r="I1062" s="12">
        <f t="shared" si="50"/>
        <v>0</v>
      </c>
      <c r="J1062" s="12">
        <f t="shared" si="51"/>
        <v>0.40719526836158187</v>
      </c>
    </row>
    <row r="1063" spans="1:10" ht="15" customHeight="1">
      <c r="A1063" s="14">
        <v>46231</v>
      </c>
      <c r="B1063" s="10">
        <f>VLOOKUP(A1063,'BADI SID DATA'!A:B,2,0)</f>
        <v>119</v>
      </c>
      <c r="F1063" s="62">
        <v>1</v>
      </c>
      <c r="G1063" s="62">
        <v>1</v>
      </c>
      <c r="H1063" s="2">
        <f t="shared" si="49"/>
        <v>345953.1</v>
      </c>
      <c r="I1063" s="12">
        <f t="shared" si="50"/>
        <v>0</v>
      </c>
      <c r="J1063" s="12">
        <f t="shared" si="51"/>
        <v>0.40377345938375347</v>
      </c>
    </row>
    <row r="1064" spans="1:10" ht="15" customHeight="1">
      <c r="A1064" s="14">
        <v>46232</v>
      </c>
      <c r="B1064" s="10">
        <f>VLOOKUP(A1064,'BADI SID DATA'!A:B,2,0)</f>
        <v>120</v>
      </c>
      <c r="F1064" s="62">
        <v>1</v>
      </c>
      <c r="G1064" s="62">
        <v>1</v>
      </c>
      <c r="H1064" s="2">
        <f t="shared" si="49"/>
        <v>345953.1</v>
      </c>
      <c r="I1064" s="12">
        <f t="shared" si="50"/>
        <v>0</v>
      </c>
      <c r="J1064" s="12">
        <f t="shared" si="51"/>
        <v>0.40040868055555551</v>
      </c>
    </row>
    <row r="1065" spans="1:10" ht="15" customHeight="1">
      <c r="A1065" s="14">
        <v>46233</v>
      </c>
      <c r="B1065" s="10">
        <f>VLOOKUP(A1065,'BADI SID DATA'!A:B,2,0)</f>
        <v>121</v>
      </c>
      <c r="F1065" s="62">
        <v>1</v>
      </c>
      <c r="G1065" s="62">
        <v>1</v>
      </c>
      <c r="H1065" s="2">
        <f t="shared" si="49"/>
        <v>345953.1</v>
      </c>
      <c r="I1065" s="12">
        <f t="shared" si="50"/>
        <v>0</v>
      </c>
      <c r="J1065" s="12">
        <f t="shared" si="51"/>
        <v>0.39709951790633607</v>
      </c>
    </row>
    <row r="1066" spans="1:10" ht="15" customHeight="1">
      <c r="A1066" s="14">
        <v>46234</v>
      </c>
      <c r="B1066" s="10">
        <f>VLOOKUP(A1066,'BADI SID DATA'!A:B,2,0)</f>
        <v>122</v>
      </c>
      <c r="F1066" s="62">
        <v>1</v>
      </c>
      <c r="G1066" s="62">
        <v>1</v>
      </c>
      <c r="H1066" s="2">
        <f t="shared" si="49"/>
        <v>345953.1</v>
      </c>
      <c r="I1066" s="12">
        <f t="shared" si="50"/>
        <v>0</v>
      </c>
      <c r="J1066" s="12">
        <f t="shared" si="51"/>
        <v>0.39384460382513659</v>
      </c>
    </row>
    <row r="1067" spans="1:10" ht="15" customHeight="1">
      <c r="A1067" s="14">
        <v>46235</v>
      </c>
      <c r="B1067" s="10">
        <f>VLOOKUP(A1067,'BADI SID DATA'!A:B,2,0)</f>
        <v>123</v>
      </c>
      <c r="F1067" s="62">
        <v>1</v>
      </c>
      <c r="G1067" s="62">
        <v>1</v>
      </c>
      <c r="H1067" s="2">
        <f t="shared" si="49"/>
        <v>345953.1</v>
      </c>
      <c r="I1067" s="12">
        <f t="shared" si="50"/>
        <v>0</v>
      </c>
      <c r="J1067" s="12">
        <f t="shared" si="51"/>
        <v>0.39064261517615173</v>
      </c>
    </row>
    <row r="1068" spans="1:10" ht="15" customHeight="1">
      <c r="A1068" s="14">
        <v>46236</v>
      </c>
      <c r="B1068" s="10">
        <f>VLOOKUP(A1068,'BADI SID DATA'!A:B,2,0)</f>
        <v>124</v>
      </c>
      <c r="F1068" s="62">
        <v>1</v>
      </c>
      <c r="G1068" s="62">
        <v>1</v>
      </c>
      <c r="H1068" s="2">
        <f t="shared" si="49"/>
        <v>345953.1</v>
      </c>
      <c r="I1068" s="12">
        <f t="shared" si="50"/>
        <v>0</v>
      </c>
      <c r="J1068" s="12">
        <f t="shared" si="51"/>
        <v>0.3874922715053763</v>
      </c>
    </row>
    <row r="1069" spans="1:10" ht="15" customHeight="1">
      <c r="A1069" s="14">
        <v>46237</v>
      </c>
      <c r="B1069" s="10">
        <f>VLOOKUP(A1069,'BADI SID DATA'!A:B,2,0)</f>
        <v>125</v>
      </c>
      <c r="F1069" s="62">
        <v>1</v>
      </c>
      <c r="G1069" s="62">
        <v>1</v>
      </c>
      <c r="H1069" s="2">
        <f t="shared" si="49"/>
        <v>345953.1</v>
      </c>
      <c r="I1069" s="12">
        <f t="shared" si="50"/>
        <v>0</v>
      </c>
      <c r="J1069" s="12">
        <f t="shared" si="51"/>
        <v>0.38439233333333328</v>
      </c>
    </row>
    <row r="1070" spans="1:10" ht="15" customHeight="1">
      <c r="A1070" s="14">
        <v>46238</v>
      </c>
      <c r="B1070" s="10">
        <f>VLOOKUP(A1070,'BADI SID DATA'!A:B,2,0)</f>
        <v>126</v>
      </c>
      <c r="F1070" s="62">
        <v>1</v>
      </c>
      <c r="G1070" s="62">
        <v>1</v>
      </c>
      <c r="H1070" s="2">
        <f t="shared" si="49"/>
        <v>345953.1</v>
      </c>
      <c r="I1070" s="12">
        <f t="shared" si="50"/>
        <v>0</v>
      </c>
      <c r="J1070" s="12">
        <f t="shared" si="51"/>
        <v>0.38134160052910049</v>
      </c>
    </row>
    <row r="1071" spans="1:10" ht="15" customHeight="1">
      <c r="A1071" s="14">
        <v>46239</v>
      </c>
      <c r="B1071" s="10">
        <f>VLOOKUP(A1071,'BADI SID DATA'!A:B,2,0)</f>
        <v>127</v>
      </c>
      <c r="F1071" s="62">
        <v>1</v>
      </c>
      <c r="G1071" s="62">
        <v>1</v>
      </c>
      <c r="H1071" s="2">
        <f t="shared" si="49"/>
        <v>345953.1</v>
      </c>
      <c r="I1071" s="12">
        <f t="shared" si="50"/>
        <v>0</v>
      </c>
      <c r="J1071" s="12">
        <f t="shared" si="51"/>
        <v>0.37833891076115483</v>
      </c>
    </row>
    <row r="1072" spans="1:10" ht="15" customHeight="1">
      <c r="A1072" s="14">
        <v>46240</v>
      </c>
      <c r="B1072" s="10">
        <f>VLOOKUP(A1072,'BADI SID DATA'!A:B,2,0)</f>
        <v>128</v>
      </c>
      <c r="F1072" s="62">
        <v>1</v>
      </c>
      <c r="G1072" s="62">
        <v>1</v>
      </c>
      <c r="H1072" s="2">
        <f t="shared" si="49"/>
        <v>345953.1</v>
      </c>
      <c r="I1072" s="12">
        <f t="shared" si="50"/>
        <v>0</v>
      </c>
      <c r="J1072" s="12">
        <f t="shared" si="51"/>
        <v>0.37538313802083328</v>
      </c>
    </row>
    <row r="1073" spans="1:10" ht="15" customHeight="1">
      <c r="A1073" s="14">
        <v>46241</v>
      </c>
      <c r="B1073" s="10">
        <f>VLOOKUP(A1073,'BADI SID DATA'!A:B,2,0)</f>
        <v>129</v>
      </c>
      <c r="F1073" s="62">
        <v>1</v>
      </c>
      <c r="G1073" s="62">
        <v>1</v>
      </c>
      <c r="H1073" s="2">
        <f t="shared" si="49"/>
        <v>345953.1</v>
      </c>
      <c r="I1073" s="12">
        <f t="shared" si="50"/>
        <v>0</v>
      </c>
      <c r="J1073" s="12">
        <f t="shared" si="51"/>
        <v>0.37247319121447026</v>
      </c>
    </row>
    <row r="1074" spans="1:10" ht="15" customHeight="1">
      <c r="A1074" s="14">
        <v>46242</v>
      </c>
      <c r="B1074" s="10">
        <f>VLOOKUP(A1074,'BADI SID DATA'!A:B,2,0)</f>
        <v>130</v>
      </c>
      <c r="F1074" s="62">
        <v>1</v>
      </c>
      <c r="G1074" s="62">
        <v>1</v>
      </c>
      <c r="H1074" s="2">
        <f t="shared" si="49"/>
        <v>345953.1</v>
      </c>
      <c r="I1074" s="12">
        <f t="shared" si="50"/>
        <v>0</v>
      </c>
      <c r="J1074" s="12">
        <f t="shared" si="51"/>
        <v>0.36960801282051281</v>
      </c>
    </row>
    <row r="1075" spans="1:10" ht="15" customHeight="1">
      <c r="A1075" s="14">
        <v>46243</v>
      </c>
      <c r="B1075" s="10">
        <f>VLOOKUP(A1075,'BADI SID DATA'!A:B,2,0)</f>
        <v>131</v>
      </c>
      <c r="F1075" s="62">
        <v>1</v>
      </c>
      <c r="G1075" s="62">
        <v>1</v>
      </c>
      <c r="H1075" s="2">
        <f t="shared" si="49"/>
        <v>345953.1</v>
      </c>
      <c r="I1075" s="12">
        <f t="shared" si="50"/>
        <v>0</v>
      </c>
      <c r="J1075" s="12">
        <f t="shared" si="51"/>
        <v>0.36678657760814248</v>
      </c>
    </row>
    <row r="1076" spans="1:10" ht="15" customHeight="1">
      <c r="A1076" s="14">
        <v>46244</v>
      </c>
      <c r="B1076" s="10">
        <f>VLOOKUP(A1076,'BADI SID DATA'!A:B,2,0)</f>
        <v>132</v>
      </c>
      <c r="F1076" s="62">
        <v>1</v>
      </c>
      <c r="G1076" s="62">
        <v>1</v>
      </c>
      <c r="H1076" s="2">
        <f t="shared" si="49"/>
        <v>345953.1</v>
      </c>
      <c r="I1076" s="12">
        <f t="shared" si="50"/>
        <v>0</v>
      </c>
      <c r="J1076" s="12">
        <f t="shared" si="51"/>
        <v>0.36400789141414142</v>
      </c>
    </row>
    <row r="1077" spans="1:10" ht="15" customHeight="1">
      <c r="A1077" s="14">
        <v>46245</v>
      </c>
      <c r="B1077" s="10">
        <f>VLOOKUP(A1077,'BADI SID DATA'!A:B,2,0)</f>
        <v>133</v>
      </c>
      <c r="F1077" s="62">
        <v>1</v>
      </c>
      <c r="G1077" s="62">
        <v>1</v>
      </c>
      <c r="H1077" s="2">
        <f t="shared" si="49"/>
        <v>345953.1</v>
      </c>
      <c r="I1077" s="12">
        <f t="shared" si="50"/>
        <v>0</v>
      </c>
      <c r="J1077" s="12">
        <f t="shared" si="51"/>
        <v>0.36127098997493734</v>
      </c>
    </row>
    <row r="1078" spans="1:10" ht="15" customHeight="1">
      <c r="A1078" s="14">
        <v>46246</v>
      </c>
      <c r="B1078" s="10">
        <f>VLOOKUP(A1078,'BADI SID DATA'!A:B,2,0)</f>
        <v>134</v>
      </c>
      <c r="F1078" s="62">
        <v>1</v>
      </c>
      <c r="G1078" s="62">
        <v>1</v>
      </c>
      <c r="H1078" s="2">
        <f t="shared" si="49"/>
        <v>345953.1</v>
      </c>
      <c r="I1078" s="12">
        <f t="shared" si="50"/>
        <v>0</v>
      </c>
      <c r="J1078" s="12">
        <f t="shared" si="51"/>
        <v>0.35857493781094524</v>
      </c>
    </row>
    <row r="1079" spans="1:10" ht="15" customHeight="1">
      <c r="A1079" s="14">
        <v>46247</v>
      </c>
      <c r="B1079" s="10">
        <f>VLOOKUP(A1079,'BADI SID DATA'!A:B,2,0)</f>
        <v>135</v>
      </c>
      <c r="F1079" s="62">
        <v>1</v>
      </c>
      <c r="G1079" s="62">
        <v>1</v>
      </c>
      <c r="H1079" s="2">
        <f t="shared" si="49"/>
        <v>345953.1</v>
      </c>
      <c r="I1079" s="12">
        <f t="shared" si="50"/>
        <v>0</v>
      </c>
      <c r="J1079" s="12">
        <f t="shared" si="51"/>
        <v>0.35591882716049378</v>
      </c>
    </row>
    <row r="1080" spans="1:10" ht="15" customHeight="1">
      <c r="A1080" s="14">
        <v>46248</v>
      </c>
      <c r="B1080" s="10">
        <f>VLOOKUP(A1080,'BADI SID DATA'!A:B,2,0)</f>
        <v>136</v>
      </c>
      <c r="F1080" s="62">
        <v>1</v>
      </c>
      <c r="G1080" s="62">
        <v>1</v>
      </c>
      <c r="H1080" s="2">
        <f t="shared" si="49"/>
        <v>345953.1</v>
      </c>
      <c r="I1080" s="12">
        <f t="shared" si="50"/>
        <v>0</v>
      </c>
      <c r="J1080" s="12">
        <f t="shared" si="51"/>
        <v>0.3533017769607843</v>
      </c>
    </row>
    <row r="1081" spans="1:10" ht="15" customHeight="1">
      <c r="A1081" s="14">
        <v>46249</v>
      </c>
      <c r="B1081" s="10">
        <f>VLOOKUP(A1081,'BADI SID DATA'!A:B,2,0)</f>
        <v>137</v>
      </c>
      <c r="F1081" s="62">
        <v>1</v>
      </c>
      <c r="G1081" s="62">
        <v>1</v>
      </c>
      <c r="H1081" s="2">
        <f t="shared" si="49"/>
        <v>345953.1</v>
      </c>
      <c r="I1081" s="12">
        <f t="shared" si="50"/>
        <v>0</v>
      </c>
      <c r="J1081" s="12">
        <f t="shared" si="51"/>
        <v>0.3507229318734793</v>
      </c>
    </row>
    <row r="1082" spans="1:10" ht="15" customHeight="1">
      <c r="A1082" s="14">
        <v>46250</v>
      </c>
      <c r="B1082" s="10">
        <f>VLOOKUP(A1082,'BADI SID DATA'!A:B,2,0)</f>
        <v>138</v>
      </c>
      <c r="F1082" s="62">
        <v>1</v>
      </c>
      <c r="G1082" s="62">
        <v>1</v>
      </c>
      <c r="H1082" s="2">
        <f t="shared" si="49"/>
        <v>345953.1</v>
      </c>
      <c r="I1082" s="12">
        <f t="shared" si="50"/>
        <v>0</v>
      </c>
      <c r="J1082" s="12">
        <f t="shared" si="51"/>
        <v>0.34818146135265698</v>
      </c>
    </row>
    <row r="1083" spans="1:10" ht="15" customHeight="1">
      <c r="A1083" s="14">
        <v>46251</v>
      </c>
      <c r="B1083" s="10">
        <f>VLOOKUP(A1083,'BADI SID DATA'!A:B,2,0)</f>
        <v>139</v>
      </c>
      <c r="F1083" s="62">
        <v>1</v>
      </c>
      <c r="G1083" s="62">
        <v>1</v>
      </c>
      <c r="H1083" s="2">
        <f t="shared" si="49"/>
        <v>345953.1</v>
      </c>
      <c r="I1083" s="12">
        <f t="shared" si="50"/>
        <v>0</v>
      </c>
      <c r="J1083" s="12">
        <f t="shared" si="51"/>
        <v>0.34567655875299758</v>
      </c>
    </row>
    <row r="1084" spans="1:10" ht="15" customHeight="1">
      <c r="A1084" s="14">
        <v>46252</v>
      </c>
      <c r="B1084" s="10">
        <f>VLOOKUP(A1084,'BADI SID DATA'!A:B,2,0)</f>
        <v>140</v>
      </c>
      <c r="F1084" s="62">
        <v>1</v>
      </c>
      <c r="G1084" s="62">
        <v>1</v>
      </c>
      <c r="H1084" s="2">
        <f t="shared" si="49"/>
        <v>345953.1</v>
      </c>
      <c r="I1084" s="12">
        <f t="shared" si="50"/>
        <v>0</v>
      </c>
      <c r="J1084" s="12">
        <f t="shared" si="51"/>
        <v>0.34320744047619045</v>
      </c>
    </row>
    <row r="1085" spans="1:10" ht="15" customHeight="1">
      <c r="A1085" s="14">
        <v>46253</v>
      </c>
      <c r="B1085" s="10">
        <f>VLOOKUP(A1085,'BADI SID DATA'!A:B,2,0)</f>
        <v>141</v>
      </c>
      <c r="F1085" s="62">
        <v>1</v>
      </c>
      <c r="G1085" s="62">
        <v>1</v>
      </c>
      <c r="H1085" s="2">
        <f t="shared" si="49"/>
        <v>345953.1</v>
      </c>
      <c r="I1085" s="12">
        <f t="shared" si="50"/>
        <v>0</v>
      </c>
      <c r="J1085" s="12">
        <f t="shared" si="51"/>
        <v>0.34077334515366425</v>
      </c>
    </row>
    <row r="1086" spans="1:10" ht="15" customHeight="1">
      <c r="A1086" s="14">
        <v>46254</v>
      </c>
      <c r="B1086" s="10">
        <f>VLOOKUP(A1086,'BADI SID DATA'!A:B,2,0)</f>
        <v>142</v>
      </c>
      <c r="F1086" s="62">
        <v>1</v>
      </c>
      <c r="G1086" s="62">
        <v>1</v>
      </c>
      <c r="H1086" s="2">
        <f t="shared" si="49"/>
        <v>345953.1</v>
      </c>
      <c r="I1086" s="12">
        <f t="shared" si="50"/>
        <v>0</v>
      </c>
      <c r="J1086" s="12">
        <f t="shared" si="51"/>
        <v>0.33837353286384975</v>
      </c>
    </row>
    <row r="1087" spans="1:10" ht="15" customHeight="1">
      <c r="A1087" s="14">
        <v>46255</v>
      </c>
      <c r="B1087" s="10">
        <f>VLOOKUP(A1087,'BADI SID DATA'!A:B,2,0)</f>
        <v>143</v>
      </c>
      <c r="F1087" s="62">
        <v>1</v>
      </c>
      <c r="G1087" s="62">
        <v>1</v>
      </c>
      <c r="H1087" s="2">
        <f t="shared" si="49"/>
        <v>345953.1</v>
      </c>
      <c r="I1087" s="12">
        <f t="shared" si="50"/>
        <v>0</v>
      </c>
      <c r="J1087" s="12">
        <f t="shared" si="51"/>
        <v>0.33600728438228433</v>
      </c>
    </row>
    <row r="1088" spans="1:10" ht="15" customHeight="1">
      <c r="A1088" s="14">
        <v>46256</v>
      </c>
      <c r="B1088" s="10">
        <f>VLOOKUP(A1088,'BADI SID DATA'!A:B,2,0)</f>
        <v>144</v>
      </c>
      <c r="F1088" s="62">
        <v>1</v>
      </c>
      <c r="G1088" s="62">
        <v>1</v>
      </c>
      <c r="H1088" s="2">
        <f t="shared" si="49"/>
        <v>345953.1</v>
      </c>
      <c r="I1088" s="12">
        <f t="shared" si="50"/>
        <v>0</v>
      </c>
      <c r="J1088" s="12">
        <f t="shared" si="51"/>
        <v>0.33367390046296291</v>
      </c>
    </row>
    <row r="1089" spans="1:10" ht="15" customHeight="1">
      <c r="A1089" s="14">
        <v>46257</v>
      </c>
      <c r="B1089" s="10">
        <f>VLOOKUP(A1089,'BADI SID DATA'!A:B,2,0)</f>
        <v>145</v>
      </c>
      <c r="F1089" s="62">
        <v>1</v>
      </c>
      <c r="G1089" s="62">
        <v>1</v>
      </c>
      <c r="H1089" s="2">
        <f t="shared" si="49"/>
        <v>345953.1</v>
      </c>
      <c r="I1089" s="12">
        <f t="shared" si="50"/>
        <v>0</v>
      </c>
      <c r="J1089" s="12">
        <f t="shared" si="51"/>
        <v>0.33137270114942524</v>
      </c>
    </row>
    <row r="1090" spans="1:10" ht="15" customHeight="1">
      <c r="A1090" s="14">
        <v>46258</v>
      </c>
      <c r="B1090" s="10">
        <f>VLOOKUP(A1090,'BADI SID DATA'!A:B,2,0)</f>
        <v>146</v>
      </c>
      <c r="F1090" s="62">
        <v>1</v>
      </c>
      <c r="G1090" s="62">
        <v>1</v>
      </c>
      <c r="H1090" s="2">
        <f t="shared" si="49"/>
        <v>345953.1</v>
      </c>
      <c r="I1090" s="12">
        <f t="shared" si="50"/>
        <v>0</v>
      </c>
      <c r="J1090" s="12">
        <f t="shared" si="51"/>
        <v>0.32910302511415523</v>
      </c>
    </row>
    <row r="1091" spans="1:10" ht="15" customHeight="1">
      <c r="A1091" s="14">
        <v>46259</v>
      </c>
      <c r="B1091" s="10">
        <f>VLOOKUP(A1091,'BADI SID DATA'!A:B,2,0)</f>
        <v>147</v>
      </c>
      <c r="F1091" s="62">
        <v>1</v>
      </c>
      <c r="G1091" s="62">
        <v>1</v>
      </c>
      <c r="H1091" s="2">
        <f t="shared" ref="H1091:H1154" si="52">H1090+C1091</f>
        <v>345953.1</v>
      </c>
      <c r="I1091" s="12">
        <f t="shared" ref="I1091:I1154" si="53">C1091/(300*24)</f>
        <v>0</v>
      </c>
      <c r="J1091" s="12">
        <f t="shared" ref="J1091:J1154" si="54">H1091/(24*B1091*300)</f>
        <v>0.32686422902494328</v>
      </c>
    </row>
    <row r="1092" spans="1:10" ht="15" customHeight="1">
      <c r="A1092" s="14">
        <v>46260</v>
      </c>
      <c r="B1092" s="10">
        <f>VLOOKUP(A1092,'BADI SID DATA'!A:B,2,0)</f>
        <v>148</v>
      </c>
      <c r="F1092" s="62">
        <v>1</v>
      </c>
      <c r="G1092" s="62">
        <v>1</v>
      </c>
      <c r="H1092" s="2">
        <f t="shared" si="52"/>
        <v>345953.1</v>
      </c>
      <c r="I1092" s="12">
        <f t="shared" si="53"/>
        <v>0</v>
      </c>
      <c r="J1092" s="12">
        <f t="shared" si="54"/>
        <v>0.32465568693693692</v>
      </c>
    </row>
    <row r="1093" spans="1:10" ht="15" customHeight="1">
      <c r="A1093" s="14">
        <v>46261</v>
      </c>
      <c r="B1093" s="10">
        <f>VLOOKUP(A1093,'BADI SID DATA'!A:B,2,0)</f>
        <v>149</v>
      </c>
      <c r="F1093" s="62">
        <v>1</v>
      </c>
      <c r="G1093" s="62">
        <v>1</v>
      </c>
      <c r="H1093" s="2">
        <f t="shared" si="52"/>
        <v>345953.1</v>
      </c>
      <c r="I1093" s="12">
        <f t="shared" si="53"/>
        <v>0</v>
      </c>
      <c r="J1093" s="12">
        <f t="shared" si="54"/>
        <v>0.32247678970917226</v>
      </c>
    </row>
    <row r="1094" spans="1:10" ht="15" customHeight="1">
      <c r="A1094" s="14">
        <v>46262</v>
      </c>
      <c r="B1094" s="10">
        <f>VLOOKUP(A1094,'BADI SID DATA'!A:B,2,0)</f>
        <v>150</v>
      </c>
      <c r="F1094" s="62">
        <v>1</v>
      </c>
      <c r="G1094" s="62">
        <v>1</v>
      </c>
      <c r="H1094" s="2">
        <f t="shared" si="52"/>
        <v>345953.1</v>
      </c>
      <c r="I1094" s="12">
        <f t="shared" si="53"/>
        <v>0</v>
      </c>
      <c r="J1094" s="12">
        <f t="shared" si="54"/>
        <v>0.32032694444444443</v>
      </c>
    </row>
    <row r="1095" spans="1:10" ht="15" customHeight="1">
      <c r="A1095" s="14">
        <v>46263</v>
      </c>
      <c r="B1095" s="10">
        <f>VLOOKUP(A1095,'BADI SID DATA'!A:B,2,0)</f>
        <v>151</v>
      </c>
      <c r="F1095" s="62">
        <v>1</v>
      </c>
      <c r="G1095" s="62">
        <v>1</v>
      </c>
      <c r="H1095" s="2">
        <f t="shared" si="52"/>
        <v>345953.1</v>
      </c>
      <c r="I1095" s="12">
        <f t="shared" si="53"/>
        <v>0</v>
      </c>
      <c r="J1095" s="12">
        <f t="shared" si="54"/>
        <v>0.31820557395143484</v>
      </c>
    </row>
    <row r="1096" spans="1:10" ht="15" customHeight="1">
      <c r="A1096" s="14">
        <v>46264</v>
      </c>
      <c r="B1096" s="10">
        <f>VLOOKUP(A1096,'BADI SID DATA'!A:B,2,0)</f>
        <v>152</v>
      </c>
      <c r="F1096" s="62">
        <v>1</v>
      </c>
      <c r="G1096" s="62">
        <v>1</v>
      </c>
      <c r="H1096" s="2">
        <f t="shared" si="52"/>
        <v>345953.1</v>
      </c>
      <c r="I1096" s="12">
        <f t="shared" si="53"/>
        <v>0</v>
      </c>
      <c r="J1096" s="12">
        <f t="shared" si="54"/>
        <v>0.31611211622807017</v>
      </c>
    </row>
    <row r="1097" spans="1:10" ht="15" customHeight="1">
      <c r="A1097" s="14">
        <v>46265</v>
      </c>
      <c r="B1097" s="10">
        <f>VLOOKUP(A1097,'BADI SID DATA'!A:B,2,0)</f>
        <v>153</v>
      </c>
      <c r="F1097" s="62">
        <v>1</v>
      </c>
      <c r="G1097" s="62">
        <v>1</v>
      </c>
      <c r="H1097" s="2">
        <f t="shared" si="52"/>
        <v>345953.1</v>
      </c>
      <c r="I1097" s="12">
        <f t="shared" si="53"/>
        <v>0</v>
      </c>
      <c r="J1097" s="12">
        <f t="shared" si="54"/>
        <v>0.31404602396514159</v>
      </c>
    </row>
    <row r="1098" spans="1:10" ht="15" customHeight="1">
      <c r="A1098" s="14">
        <v>46266</v>
      </c>
      <c r="B1098" s="10">
        <f>VLOOKUP(A1098,'BADI SID DATA'!A:B,2,0)</f>
        <v>154</v>
      </c>
      <c r="F1098" s="62">
        <v>1</v>
      </c>
      <c r="G1098" s="62">
        <v>1</v>
      </c>
      <c r="H1098" s="2">
        <f t="shared" si="52"/>
        <v>345953.1</v>
      </c>
      <c r="I1098" s="12">
        <f t="shared" si="53"/>
        <v>0</v>
      </c>
      <c r="J1098" s="12">
        <f t="shared" si="54"/>
        <v>0.31200676406926403</v>
      </c>
    </row>
    <row r="1099" spans="1:10" ht="15" customHeight="1">
      <c r="A1099" s="14">
        <v>46267</v>
      </c>
      <c r="B1099" s="10">
        <f>VLOOKUP(A1099,'BADI SID DATA'!A:B,2,0)</f>
        <v>155</v>
      </c>
      <c r="F1099" s="62">
        <v>1</v>
      </c>
      <c r="G1099" s="62">
        <v>1</v>
      </c>
      <c r="H1099" s="2">
        <f t="shared" si="52"/>
        <v>345953.1</v>
      </c>
      <c r="I1099" s="12">
        <f t="shared" si="53"/>
        <v>0</v>
      </c>
      <c r="J1099" s="12">
        <f t="shared" si="54"/>
        <v>0.30999381720430108</v>
      </c>
    </row>
    <row r="1100" spans="1:10" ht="15" customHeight="1">
      <c r="A1100" s="14">
        <v>46268</v>
      </c>
      <c r="B1100" s="10">
        <f>VLOOKUP(A1100,'BADI SID DATA'!A:B,2,0)</f>
        <v>156</v>
      </c>
      <c r="F1100" s="62">
        <v>1</v>
      </c>
      <c r="G1100" s="62">
        <v>1</v>
      </c>
      <c r="H1100" s="2">
        <f t="shared" si="52"/>
        <v>345953.1</v>
      </c>
      <c r="I1100" s="12">
        <f t="shared" si="53"/>
        <v>0</v>
      </c>
      <c r="J1100" s="12">
        <f t="shared" si="54"/>
        <v>0.3080066773504273</v>
      </c>
    </row>
    <row r="1101" spans="1:10" ht="15" customHeight="1">
      <c r="A1101" s="14">
        <v>46269</v>
      </c>
      <c r="B1101" s="10">
        <f>VLOOKUP(A1101,'BADI SID DATA'!A:B,2,0)</f>
        <v>157</v>
      </c>
      <c r="F1101" s="62">
        <v>1</v>
      </c>
      <c r="G1101" s="62">
        <v>1</v>
      </c>
      <c r="H1101" s="2">
        <f t="shared" si="52"/>
        <v>345953.1</v>
      </c>
      <c r="I1101" s="12">
        <f t="shared" si="53"/>
        <v>0</v>
      </c>
      <c r="J1101" s="12">
        <f t="shared" si="54"/>
        <v>0.30604485138004245</v>
      </c>
    </row>
    <row r="1102" spans="1:10" ht="15" customHeight="1">
      <c r="A1102" s="14">
        <v>46270</v>
      </c>
      <c r="B1102" s="10">
        <f>VLOOKUP(A1102,'BADI SID DATA'!A:B,2,0)</f>
        <v>158</v>
      </c>
      <c r="F1102" s="62">
        <v>1</v>
      </c>
      <c r="G1102" s="62">
        <v>1</v>
      </c>
      <c r="H1102" s="2">
        <f t="shared" si="52"/>
        <v>345953.1</v>
      </c>
      <c r="I1102" s="12">
        <f t="shared" si="53"/>
        <v>0</v>
      </c>
      <c r="J1102" s="12">
        <f t="shared" si="54"/>
        <v>0.30410785864978901</v>
      </c>
    </row>
    <row r="1103" spans="1:10" ht="15" customHeight="1">
      <c r="A1103" s="14">
        <v>46271</v>
      </c>
      <c r="B1103" s="10">
        <f>VLOOKUP(A1103,'BADI SID DATA'!A:B,2,0)</f>
        <v>159</v>
      </c>
      <c r="F1103" s="62">
        <v>1</v>
      </c>
      <c r="G1103" s="62">
        <v>1</v>
      </c>
      <c r="H1103" s="2">
        <f t="shared" si="52"/>
        <v>345953.1</v>
      </c>
      <c r="I1103" s="12">
        <f t="shared" si="53"/>
        <v>0</v>
      </c>
      <c r="J1103" s="12">
        <f t="shared" si="54"/>
        <v>0.30219523060796644</v>
      </c>
    </row>
    <row r="1104" spans="1:10" ht="15" customHeight="1">
      <c r="A1104" s="14">
        <v>46272</v>
      </c>
      <c r="B1104" s="10">
        <f>VLOOKUP(A1104,'BADI SID DATA'!A:B,2,0)</f>
        <v>160</v>
      </c>
      <c r="F1104" s="62">
        <v>1</v>
      </c>
      <c r="G1104" s="62">
        <v>1</v>
      </c>
      <c r="H1104" s="2">
        <f t="shared" si="52"/>
        <v>345953.1</v>
      </c>
      <c r="I1104" s="12">
        <f t="shared" si="53"/>
        <v>0</v>
      </c>
      <c r="J1104" s="12">
        <f t="shared" si="54"/>
        <v>0.30030651041666667</v>
      </c>
    </row>
    <row r="1105" spans="1:10" ht="15" customHeight="1">
      <c r="A1105" s="14">
        <v>46273</v>
      </c>
      <c r="B1105" s="10">
        <f>VLOOKUP(A1105,'BADI SID DATA'!A:B,2,0)</f>
        <v>161</v>
      </c>
      <c r="F1105" s="62">
        <v>1</v>
      </c>
      <c r="G1105" s="62">
        <v>1</v>
      </c>
      <c r="H1105" s="2">
        <f t="shared" si="52"/>
        <v>345953.1</v>
      </c>
      <c r="I1105" s="12">
        <f t="shared" si="53"/>
        <v>0</v>
      </c>
      <c r="J1105" s="12">
        <f t="shared" si="54"/>
        <v>0.2984412525879917</v>
      </c>
    </row>
    <row r="1106" spans="1:10" ht="15" customHeight="1">
      <c r="A1106" s="14">
        <v>46274</v>
      </c>
      <c r="B1106" s="10">
        <f>VLOOKUP(A1106,'BADI SID DATA'!A:B,2,0)</f>
        <v>162</v>
      </c>
      <c r="F1106" s="62">
        <v>1</v>
      </c>
      <c r="G1106" s="62">
        <v>1</v>
      </c>
      <c r="H1106" s="2">
        <f t="shared" si="52"/>
        <v>345953.1</v>
      </c>
      <c r="I1106" s="12">
        <f t="shared" si="53"/>
        <v>0</v>
      </c>
      <c r="J1106" s="12">
        <f t="shared" si="54"/>
        <v>0.29659902263374482</v>
      </c>
    </row>
    <row r="1107" spans="1:10" ht="15" customHeight="1">
      <c r="A1107" s="14">
        <v>46275</v>
      </c>
      <c r="B1107" s="10">
        <f>VLOOKUP(A1107,'BADI SID DATA'!A:B,2,0)</f>
        <v>163</v>
      </c>
      <c r="F1107" s="62">
        <v>1</v>
      </c>
      <c r="G1107" s="62">
        <v>1</v>
      </c>
      <c r="H1107" s="2">
        <f t="shared" si="52"/>
        <v>345953.1</v>
      </c>
      <c r="I1107" s="12">
        <f t="shared" si="53"/>
        <v>0</v>
      </c>
      <c r="J1107" s="12">
        <f t="shared" si="54"/>
        <v>0.29477939672801634</v>
      </c>
    </row>
    <row r="1108" spans="1:10" ht="15" customHeight="1">
      <c r="A1108" s="14">
        <v>46276</v>
      </c>
      <c r="B1108" s="10">
        <f>VLOOKUP(A1108,'BADI SID DATA'!A:B,2,0)</f>
        <v>164</v>
      </c>
      <c r="F1108" s="62">
        <v>1</v>
      </c>
      <c r="G1108" s="62">
        <v>1</v>
      </c>
      <c r="H1108" s="2">
        <f t="shared" si="52"/>
        <v>345953.1</v>
      </c>
      <c r="I1108" s="12">
        <f t="shared" si="53"/>
        <v>0</v>
      </c>
      <c r="J1108" s="12">
        <f t="shared" si="54"/>
        <v>0.2929819613821138</v>
      </c>
    </row>
    <row r="1109" spans="1:10" ht="15" customHeight="1">
      <c r="A1109" s="14">
        <v>46277</v>
      </c>
      <c r="B1109" s="10">
        <f>VLOOKUP(A1109,'BADI SID DATA'!A:B,2,0)</f>
        <v>165</v>
      </c>
      <c r="F1109" s="62">
        <v>1</v>
      </c>
      <c r="G1109" s="62">
        <v>1</v>
      </c>
      <c r="H1109" s="2">
        <f t="shared" si="52"/>
        <v>345953.1</v>
      </c>
      <c r="I1109" s="12">
        <f t="shared" si="53"/>
        <v>0</v>
      </c>
      <c r="J1109" s="12">
        <f t="shared" si="54"/>
        <v>0.29120631313131312</v>
      </c>
    </row>
    <row r="1110" spans="1:10" ht="15" customHeight="1">
      <c r="A1110" s="14">
        <v>46278</v>
      </c>
      <c r="B1110" s="10">
        <f>VLOOKUP(A1110,'BADI SID DATA'!A:B,2,0)</f>
        <v>166</v>
      </c>
      <c r="F1110" s="62">
        <v>1</v>
      </c>
      <c r="G1110" s="62">
        <v>1</v>
      </c>
      <c r="H1110" s="2">
        <f t="shared" si="52"/>
        <v>345953.1</v>
      </c>
      <c r="I1110" s="12">
        <f t="shared" si="53"/>
        <v>0</v>
      </c>
      <c r="J1110" s="12">
        <f t="shared" si="54"/>
        <v>0.28945205823293169</v>
      </c>
    </row>
    <row r="1111" spans="1:10" ht="15" customHeight="1">
      <c r="A1111" s="14">
        <v>46279</v>
      </c>
      <c r="B1111" s="10">
        <f>VLOOKUP(A1111,'BADI SID DATA'!A:B,2,0)</f>
        <v>167</v>
      </c>
      <c r="F1111" s="62">
        <v>1</v>
      </c>
      <c r="G1111" s="62">
        <v>1</v>
      </c>
      <c r="H1111" s="2">
        <f t="shared" si="52"/>
        <v>345953.1</v>
      </c>
      <c r="I1111" s="12">
        <f t="shared" si="53"/>
        <v>0</v>
      </c>
      <c r="J1111" s="12">
        <f t="shared" si="54"/>
        <v>0.28771881237524949</v>
      </c>
    </row>
    <row r="1112" spans="1:10" ht="15" customHeight="1">
      <c r="A1112" s="14">
        <v>46280</v>
      </c>
      <c r="B1112" s="10">
        <f>VLOOKUP(A1112,'BADI SID DATA'!A:B,2,0)</f>
        <v>168</v>
      </c>
      <c r="F1112" s="62">
        <v>1</v>
      </c>
      <c r="G1112" s="62">
        <v>1</v>
      </c>
      <c r="H1112" s="2">
        <f t="shared" si="52"/>
        <v>345953.1</v>
      </c>
      <c r="I1112" s="12">
        <f t="shared" si="53"/>
        <v>0</v>
      </c>
      <c r="J1112" s="12">
        <f t="shared" si="54"/>
        <v>0.28600620039682539</v>
      </c>
    </row>
    <row r="1113" spans="1:10" ht="15" customHeight="1">
      <c r="A1113" s="14">
        <v>46281</v>
      </c>
      <c r="B1113" s="10">
        <f>VLOOKUP(A1113,'BADI SID DATA'!A:B,2,0)</f>
        <v>169</v>
      </c>
      <c r="F1113" s="62">
        <v>1</v>
      </c>
      <c r="G1113" s="62">
        <v>1</v>
      </c>
      <c r="H1113" s="2">
        <f t="shared" si="52"/>
        <v>345953.1</v>
      </c>
      <c r="I1113" s="12">
        <f t="shared" si="53"/>
        <v>0</v>
      </c>
      <c r="J1113" s="12">
        <f t="shared" si="54"/>
        <v>0.28431385601577908</v>
      </c>
    </row>
    <row r="1114" spans="1:10" ht="15" customHeight="1">
      <c r="A1114" s="14">
        <v>46282</v>
      </c>
      <c r="B1114" s="10">
        <f>VLOOKUP(A1114,'BADI SID DATA'!A:B,2,0)</f>
        <v>170</v>
      </c>
      <c r="F1114" s="62">
        <v>1</v>
      </c>
      <c r="G1114" s="62">
        <v>1</v>
      </c>
      <c r="H1114" s="2">
        <f t="shared" si="52"/>
        <v>345953.1</v>
      </c>
      <c r="I1114" s="12">
        <f t="shared" si="53"/>
        <v>0</v>
      </c>
      <c r="J1114" s="12">
        <f t="shared" si="54"/>
        <v>0.28264142156862743</v>
      </c>
    </row>
    <row r="1115" spans="1:10" ht="15" customHeight="1">
      <c r="A1115" s="14">
        <v>46283</v>
      </c>
      <c r="B1115" s="10">
        <f>VLOOKUP(A1115,'BADI SID DATA'!A:B,2,0)</f>
        <v>171</v>
      </c>
      <c r="F1115" s="62">
        <v>1</v>
      </c>
      <c r="G1115" s="62">
        <v>1</v>
      </c>
      <c r="H1115" s="2">
        <f t="shared" si="52"/>
        <v>345953.1</v>
      </c>
      <c r="I1115" s="12">
        <f t="shared" si="53"/>
        <v>0</v>
      </c>
      <c r="J1115" s="12">
        <f t="shared" si="54"/>
        <v>0.28098854775828458</v>
      </c>
    </row>
    <row r="1116" spans="1:10" ht="15" customHeight="1">
      <c r="A1116" s="14">
        <v>46284</v>
      </c>
      <c r="B1116" s="10">
        <f>VLOOKUP(A1116,'BADI SID DATA'!A:B,2,0)</f>
        <v>172</v>
      </c>
      <c r="F1116" s="62">
        <v>1</v>
      </c>
      <c r="G1116" s="62">
        <v>1</v>
      </c>
      <c r="H1116" s="2">
        <f t="shared" si="52"/>
        <v>345953.1</v>
      </c>
      <c r="I1116" s="12">
        <f t="shared" si="53"/>
        <v>0</v>
      </c>
      <c r="J1116" s="12">
        <f t="shared" si="54"/>
        <v>0.27935489341085268</v>
      </c>
    </row>
    <row r="1117" spans="1:10" ht="15" customHeight="1">
      <c r="A1117" s="14">
        <v>46285</v>
      </c>
      <c r="B1117" s="10">
        <f>VLOOKUP(A1117,'BADI SID DATA'!A:B,2,0)</f>
        <v>173</v>
      </c>
      <c r="F1117" s="62">
        <v>1</v>
      </c>
      <c r="G1117" s="62">
        <v>1</v>
      </c>
      <c r="H1117" s="2">
        <f t="shared" si="52"/>
        <v>345953.1</v>
      </c>
      <c r="I1117" s="12">
        <f t="shared" si="53"/>
        <v>0</v>
      </c>
      <c r="J1117" s="12">
        <f t="shared" si="54"/>
        <v>0.27774012524084779</v>
      </c>
    </row>
    <row r="1118" spans="1:10" ht="15" customHeight="1">
      <c r="A1118" s="14">
        <v>46286</v>
      </c>
      <c r="B1118" s="10">
        <f>VLOOKUP(A1118,'BADI SID DATA'!A:B,2,0)</f>
        <v>174</v>
      </c>
      <c r="F1118" s="62">
        <v>1</v>
      </c>
      <c r="G1118" s="62">
        <v>1</v>
      </c>
      <c r="H1118" s="2">
        <f t="shared" si="52"/>
        <v>345953.1</v>
      </c>
      <c r="I1118" s="12">
        <f t="shared" si="53"/>
        <v>0</v>
      </c>
      <c r="J1118" s="12">
        <f t="shared" si="54"/>
        <v>0.27614391762452106</v>
      </c>
    </row>
    <row r="1119" spans="1:10" ht="15" customHeight="1">
      <c r="A1119" s="14">
        <v>46287</v>
      </c>
      <c r="B1119" s="10">
        <f>VLOOKUP(A1119,'BADI SID DATA'!A:B,2,0)</f>
        <v>175</v>
      </c>
      <c r="F1119" s="62">
        <v>1</v>
      </c>
      <c r="G1119" s="62">
        <v>1</v>
      </c>
      <c r="H1119" s="2">
        <f t="shared" si="52"/>
        <v>345953.1</v>
      </c>
      <c r="I1119" s="12">
        <f t="shared" si="53"/>
        <v>0</v>
      </c>
      <c r="J1119" s="12">
        <f t="shared" si="54"/>
        <v>0.27456595238095238</v>
      </c>
    </row>
    <row r="1120" spans="1:10" ht="15" customHeight="1">
      <c r="A1120" s="14">
        <v>46288</v>
      </c>
      <c r="B1120" s="10">
        <f>VLOOKUP(A1120,'BADI SID DATA'!A:B,2,0)</f>
        <v>176</v>
      </c>
      <c r="F1120" s="62">
        <v>1</v>
      </c>
      <c r="G1120" s="62">
        <v>1</v>
      </c>
      <c r="H1120" s="2">
        <f t="shared" si="52"/>
        <v>345953.1</v>
      </c>
      <c r="I1120" s="12">
        <f t="shared" si="53"/>
        <v>0</v>
      </c>
      <c r="J1120" s="12">
        <f t="shared" si="54"/>
        <v>0.27300591856060602</v>
      </c>
    </row>
    <row r="1121" spans="1:10" ht="15" customHeight="1">
      <c r="A1121" s="14">
        <v>46289</v>
      </c>
      <c r="B1121" s="10">
        <f>VLOOKUP(A1121,'BADI SID DATA'!A:B,2,0)</f>
        <v>177</v>
      </c>
      <c r="F1121" s="62">
        <v>1</v>
      </c>
      <c r="G1121" s="62">
        <v>1</v>
      </c>
      <c r="H1121" s="2">
        <f t="shared" si="52"/>
        <v>345953.1</v>
      </c>
      <c r="I1121" s="12">
        <f t="shared" si="53"/>
        <v>0</v>
      </c>
      <c r="J1121" s="12">
        <f t="shared" si="54"/>
        <v>0.27146351224105458</v>
      </c>
    </row>
    <row r="1122" spans="1:10" ht="15" customHeight="1">
      <c r="A1122" s="14">
        <v>46290</v>
      </c>
      <c r="B1122" s="10">
        <f>VLOOKUP(A1122,'BADI SID DATA'!A:B,2,0)</f>
        <v>178</v>
      </c>
      <c r="F1122" s="62">
        <v>1</v>
      </c>
      <c r="G1122" s="62">
        <v>1</v>
      </c>
      <c r="H1122" s="2">
        <f t="shared" si="52"/>
        <v>345953.1</v>
      </c>
      <c r="I1122" s="12">
        <f t="shared" si="53"/>
        <v>0</v>
      </c>
      <c r="J1122" s="12">
        <f t="shared" si="54"/>
        <v>0.26993843632958797</v>
      </c>
    </row>
    <row r="1123" spans="1:10" ht="15" customHeight="1">
      <c r="A1123" s="14">
        <v>46291</v>
      </c>
      <c r="B1123" s="10">
        <f>VLOOKUP(A1123,'BADI SID DATA'!A:B,2,0)</f>
        <v>179</v>
      </c>
      <c r="F1123" s="62">
        <v>1</v>
      </c>
      <c r="G1123" s="62">
        <v>1</v>
      </c>
      <c r="H1123" s="2">
        <f t="shared" si="52"/>
        <v>345953.1</v>
      </c>
      <c r="I1123" s="12">
        <f t="shared" si="53"/>
        <v>0</v>
      </c>
      <c r="J1123" s="12">
        <f t="shared" si="54"/>
        <v>0.26843040037243948</v>
      </c>
    </row>
    <row r="1124" spans="1:10" ht="15" customHeight="1">
      <c r="A1124" s="14">
        <v>46292</v>
      </c>
      <c r="B1124" s="10">
        <f>VLOOKUP(A1124,'BADI SID DATA'!A:B,2,0)</f>
        <v>180</v>
      </c>
      <c r="F1124" s="62">
        <v>1</v>
      </c>
      <c r="G1124" s="62">
        <v>1</v>
      </c>
      <c r="H1124" s="2">
        <f t="shared" si="52"/>
        <v>345953.1</v>
      </c>
      <c r="I1124" s="12">
        <f t="shared" si="53"/>
        <v>0</v>
      </c>
      <c r="J1124" s="12">
        <f t="shared" si="54"/>
        <v>0.26693912037037038</v>
      </c>
    </row>
    <row r="1125" spans="1:10" ht="15" customHeight="1">
      <c r="A1125" s="14">
        <v>46293</v>
      </c>
      <c r="B1125" s="10">
        <f>VLOOKUP(A1125,'BADI SID DATA'!A:B,2,0)</f>
        <v>181</v>
      </c>
      <c r="F1125" s="62">
        <v>1</v>
      </c>
      <c r="G1125" s="62">
        <v>1</v>
      </c>
      <c r="H1125" s="2">
        <f t="shared" si="52"/>
        <v>345953.1</v>
      </c>
      <c r="I1125" s="12">
        <f t="shared" si="53"/>
        <v>0</v>
      </c>
      <c r="J1125" s="12">
        <f t="shared" si="54"/>
        <v>0.26546431860036829</v>
      </c>
    </row>
    <row r="1126" spans="1:10" ht="15" customHeight="1">
      <c r="A1126" s="14">
        <v>46294</v>
      </c>
      <c r="B1126" s="10">
        <f>VLOOKUP(A1126,'BADI SID DATA'!A:B,2,0)</f>
        <v>182</v>
      </c>
      <c r="F1126" s="62">
        <v>1</v>
      </c>
      <c r="G1126" s="62">
        <v>1</v>
      </c>
      <c r="H1126" s="2">
        <f t="shared" si="52"/>
        <v>345953.1</v>
      </c>
      <c r="I1126" s="12">
        <f t="shared" si="53"/>
        <v>0</v>
      </c>
      <c r="J1126" s="12">
        <f t="shared" si="54"/>
        <v>0.26400572344322343</v>
      </c>
    </row>
    <row r="1127" spans="1:10" ht="15" customHeight="1">
      <c r="A1127" s="14">
        <v>46295</v>
      </c>
      <c r="B1127" s="10">
        <f>VLOOKUP(A1127,'BADI SID DATA'!A:B,2,0)</f>
        <v>183</v>
      </c>
      <c r="F1127" s="62">
        <v>1</v>
      </c>
      <c r="G1127" s="62">
        <v>1</v>
      </c>
      <c r="H1127" s="2">
        <f t="shared" si="52"/>
        <v>345953.1</v>
      </c>
      <c r="I1127" s="12">
        <f t="shared" si="53"/>
        <v>0</v>
      </c>
      <c r="J1127" s="12">
        <f t="shared" si="54"/>
        <v>0.26256306921675771</v>
      </c>
    </row>
    <row r="1128" spans="1:10" ht="15" customHeight="1">
      <c r="A1128" s="14">
        <v>46296</v>
      </c>
      <c r="B1128" s="10">
        <f>VLOOKUP(A1128,'BADI SID DATA'!A:B,2,0)</f>
        <v>184</v>
      </c>
      <c r="F1128" s="62">
        <v>1</v>
      </c>
      <c r="G1128" s="62">
        <v>1</v>
      </c>
      <c r="H1128" s="2">
        <f t="shared" si="52"/>
        <v>345953.1</v>
      </c>
      <c r="I1128" s="12">
        <f t="shared" si="53"/>
        <v>0</v>
      </c>
      <c r="J1128" s="12">
        <f t="shared" si="54"/>
        <v>0.26113609601449272</v>
      </c>
    </row>
    <row r="1129" spans="1:10" ht="15" customHeight="1">
      <c r="A1129" s="14">
        <v>46297</v>
      </c>
      <c r="B1129" s="10">
        <f>VLOOKUP(A1129,'BADI SID DATA'!A:B,2,0)</f>
        <v>185</v>
      </c>
      <c r="F1129" s="62">
        <v>1</v>
      </c>
      <c r="G1129" s="62">
        <v>1</v>
      </c>
      <c r="H1129" s="2">
        <f t="shared" si="52"/>
        <v>345953.1</v>
      </c>
      <c r="I1129" s="12">
        <f t="shared" si="53"/>
        <v>0</v>
      </c>
      <c r="J1129" s="12">
        <f t="shared" si="54"/>
        <v>0.25972454954954954</v>
      </c>
    </row>
    <row r="1130" spans="1:10" ht="15" customHeight="1">
      <c r="A1130" s="14">
        <v>46298</v>
      </c>
      <c r="B1130" s="10">
        <f>VLOOKUP(A1130,'BADI SID DATA'!A:B,2,0)</f>
        <v>186</v>
      </c>
      <c r="F1130" s="62">
        <v>1</v>
      </c>
      <c r="G1130" s="62">
        <v>1</v>
      </c>
      <c r="H1130" s="2">
        <f t="shared" si="52"/>
        <v>345953.1</v>
      </c>
      <c r="I1130" s="12">
        <f t="shared" si="53"/>
        <v>0</v>
      </c>
      <c r="J1130" s="12">
        <f t="shared" si="54"/>
        <v>0.25832818100358423</v>
      </c>
    </row>
    <row r="1131" spans="1:10" ht="15" customHeight="1">
      <c r="A1131" s="14">
        <v>46299</v>
      </c>
      <c r="B1131" s="10">
        <f>VLOOKUP(A1131,'BADI SID DATA'!A:B,2,0)</f>
        <v>187</v>
      </c>
      <c r="F1131" s="62">
        <v>1</v>
      </c>
      <c r="G1131" s="62">
        <v>1</v>
      </c>
      <c r="H1131" s="2">
        <f t="shared" si="52"/>
        <v>345953.1</v>
      </c>
      <c r="I1131" s="12">
        <f t="shared" si="53"/>
        <v>0</v>
      </c>
      <c r="J1131" s="12">
        <f t="shared" si="54"/>
        <v>0.2569467468805704</v>
      </c>
    </row>
    <row r="1132" spans="1:10" ht="15" customHeight="1">
      <c r="A1132" s="14">
        <v>46300</v>
      </c>
      <c r="B1132" s="10">
        <f>VLOOKUP(A1132,'BADI SID DATA'!A:B,2,0)</f>
        <v>188</v>
      </c>
      <c r="F1132" s="62">
        <v>1</v>
      </c>
      <c r="G1132" s="62">
        <v>1</v>
      </c>
      <c r="H1132" s="2">
        <f t="shared" si="52"/>
        <v>345953.1</v>
      </c>
      <c r="I1132" s="12">
        <f t="shared" si="53"/>
        <v>0</v>
      </c>
      <c r="J1132" s="12">
        <f t="shared" si="54"/>
        <v>0.25558000886524823</v>
      </c>
    </row>
    <row r="1133" spans="1:10" ht="15" customHeight="1">
      <c r="A1133" s="14">
        <v>46301</v>
      </c>
      <c r="B1133" s="10">
        <f>VLOOKUP(A1133,'BADI SID DATA'!A:B,2,0)</f>
        <v>189</v>
      </c>
      <c r="F1133" s="62">
        <v>1</v>
      </c>
      <c r="G1133" s="62">
        <v>1</v>
      </c>
      <c r="H1133" s="2">
        <f t="shared" si="52"/>
        <v>345953.1</v>
      </c>
      <c r="I1133" s="12">
        <f t="shared" si="53"/>
        <v>0</v>
      </c>
      <c r="J1133" s="12">
        <f t="shared" si="54"/>
        <v>0.25422773368606699</v>
      </c>
    </row>
    <row r="1134" spans="1:10" ht="15" customHeight="1">
      <c r="A1134" s="14">
        <v>46302</v>
      </c>
      <c r="B1134" s="10">
        <f>VLOOKUP(A1134,'BADI SID DATA'!A:B,2,0)</f>
        <v>190</v>
      </c>
      <c r="F1134" s="62">
        <v>1</v>
      </c>
      <c r="G1134" s="62">
        <v>1</v>
      </c>
      <c r="H1134" s="2">
        <f t="shared" si="52"/>
        <v>345953.1</v>
      </c>
      <c r="I1134" s="12">
        <f t="shared" si="53"/>
        <v>0</v>
      </c>
      <c r="J1134" s="12">
        <f t="shared" si="54"/>
        <v>0.25288969298245612</v>
      </c>
    </row>
    <row r="1135" spans="1:10" ht="15" customHeight="1">
      <c r="A1135" s="14">
        <v>46303</v>
      </c>
      <c r="B1135" s="10">
        <f>VLOOKUP(A1135,'BADI SID DATA'!A:B,2,0)</f>
        <v>191</v>
      </c>
      <c r="F1135" s="62">
        <v>1</v>
      </c>
      <c r="G1135" s="62">
        <v>1</v>
      </c>
      <c r="H1135" s="2">
        <f t="shared" si="52"/>
        <v>345953.1</v>
      </c>
      <c r="I1135" s="12">
        <f t="shared" si="53"/>
        <v>0</v>
      </c>
      <c r="J1135" s="12">
        <f t="shared" si="54"/>
        <v>0.25156566317626528</v>
      </c>
    </row>
    <row r="1136" spans="1:10" ht="15" customHeight="1">
      <c r="A1136" s="14">
        <v>46304</v>
      </c>
      <c r="B1136" s="10">
        <f>VLOOKUP(A1136,'BADI SID DATA'!A:B,2,0)</f>
        <v>192</v>
      </c>
      <c r="F1136" s="62">
        <v>1</v>
      </c>
      <c r="G1136" s="62">
        <v>1</v>
      </c>
      <c r="H1136" s="2">
        <f t="shared" si="52"/>
        <v>345953.1</v>
      </c>
      <c r="I1136" s="12">
        <f t="shared" si="53"/>
        <v>0</v>
      </c>
      <c r="J1136" s="12">
        <f t="shared" si="54"/>
        <v>0.25025542534722223</v>
      </c>
    </row>
    <row r="1137" spans="1:10" ht="15" customHeight="1">
      <c r="A1137" s="14">
        <v>46305</v>
      </c>
      <c r="B1137" s="10">
        <f>VLOOKUP(A1137,'BADI SID DATA'!A:B,2,0)</f>
        <v>193</v>
      </c>
      <c r="F1137" s="62">
        <v>1</v>
      </c>
      <c r="G1137" s="62">
        <v>1</v>
      </c>
      <c r="H1137" s="2">
        <f t="shared" si="52"/>
        <v>345953.1</v>
      </c>
      <c r="I1137" s="12">
        <f t="shared" si="53"/>
        <v>0</v>
      </c>
      <c r="J1137" s="12">
        <f t="shared" si="54"/>
        <v>0.2489587651122625</v>
      </c>
    </row>
    <row r="1138" spans="1:10" ht="15" customHeight="1">
      <c r="A1138" s="14">
        <v>46306</v>
      </c>
      <c r="B1138" s="10">
        <f>VLOOKUP(A1138,'BADI SID DATA'!A:B,2,0)</f>
        <v>194</v>
      </c>
      <c r="F1138" s="62">
        <v>1</v>
      </c>
      <c r="G1138" s="62">
        <v>1</v>
      </c>
      <c r="H1138" s="2">
        <f t="shared" si="52"/>
        <v>345953.1</v>
      </c>
      <c r="I1138" s="12">
        <f t="shared" si="53"/>
        <v>0</v>
      </c>
      <c r="J1138" s="12">
        <f t="shared" si="54"/>
        <v>0.24767547250859104</v>
      </c>
    </row>
    <row r="1139" spans="1:10" ht="15" customHeight="1">
      <c r="A1139" s="14">
        <v>46307</v>
      </c>
      <c r="B1139" s="10">
        <f>VLOOKUP(A1139,'BADI SID DATA'!A:B,2,0)</f>
        <v>195</v>
      </c>
      <c r="F1139" s="62">
        <v>1</v>
      </c>
      <c r="G1139" s="62">
        <v>1</v>
      </c>
      <c r="H1139" s="2">
        <f t="shared" si="52"/>
        <v>345953.1</v>
      </c>
      <c r="I1139" s="12">
        <f t="shared" si="53"/>
        <v>0</v>
      </c>
      <c r="J1139" s="12">
        <f t="shared" si="54"/>
        <v>0.24640534188034185</v>
      </c>
    </row>
    <row r="1140" spans="1:10" ht="15" customHeight="1">
      <c r="A1140" s="14">
        <v>46308</v>
      </c>
      <c r="B1140" s="10">
        <f>VLOOKUP(A1140,'BADI SID DATA'!A:B,2,0)</f>
        <v>196</v>
      </c>
      <c r="F1140" s="62">
        <v>1</v>
      </c>
      <c r="G1140" s="62">
        <v>1</v>
      </c>
      <c r="H1140" s="2">
        <f t="shared" si="52"/>
        <v>345953.1</v>
      </c>
      <c r="I1140" s="12">
        <f t="shared" si="53"/>
        <v>0</v>
      </c>
      <c r="J1140" s="12">
        <f t="shared" si="54"/>
        <v>0.24514817176870746</v>
      </c>
    </row>
    <row r="1141" spans="1:10" ht="15" customHeight="1">
      <c r="A1141" s="14">
        <v>46309</v>
      </c>
      <c r="B1141" s="10">
        <f>VLOOKUP(A1141,'BADI SID DATA'!A:B,2,0)</f>
        <v>197</v>
      </c>
      <c r="F1141" s="62">
        <v>1</v>
      </c>
      <c r="G1141" s="62">
        <v>1</v>
      </c>
      <c r="H1141" s="2">
        <f t="shared" si="52"/>
        <v>345953.1</v>
      </c>
      <c r="I1141" s="12">
        <f t="shared" si="53"/>
        <v>0</v>
      </c>
      <c r="J1141" s="12">
        <f t="shared" si="54"/>
        <v>0.24390376480541454</v>
      </c>
    </row>
    <row r="1142" spans="1:10" ht="15" customHeight="1">
      <c r="A1142" s="14">
        <v>46310</v>
      </c>
      <c r="B1142" s="10">
        <f>VLOOKUP(A1142,'BADI SID DATA'!A:B,2,0)</f>
        <v>198</v>
      </c>
      <c r="F1142" s="62">
        <v>1</v>
      </c>
      <c r="G1142" s="62">
        <v>1</v>
      </c>
      <c r="H1142" s="2">
        <f t="shared" si="52"/>
        <v>345953.1</v>
      </c>
      <c r="I1142" s="12">
        <f t="shared" si="53"/>
        <v>0</v>
      </c>
      <c r="J1142" s="12">
        <f t="shared" si="54"/>
        <v>0.2426719276094276</v>
      </c>
    </row>
    <row r="1143" spans="1:10" ht="15" customHeight="1">
      <c r="A1143" s="14">
        <v>46311</v>
      </c>
      <c r="B1143" s="10">
        <f>VLOOKUP(A1143,'BADI SID DATA'!A:B,2,0)</f>
        <v>199</v>
      </c>
      <c r="F1143" s="62">
        <v>1</v>
      </c>
      <c r="G1143" s="62">
        <v>1</v>
      </c>
      <c r="H1143" s="2">
        <f t="shared" si="52"/>
        <v>345953.1</v>
      </c>
      <c r="I1143" s="12">
        <f t="shared" si="53"/>
        <v>0</v>
      </c>
      <c r="J1143" s="12">
        <f t="shared" si="54"/>
        <v>0.24145247068676715</v>
      </c>
    </row>
    <row r="1144" spans="1:10" ht="15" customHeight="1">
      <c r="A1144" s="14">
        <v>46312</v>
      </c>
      <c r="B1144" s="10">
        <f>VLOOKUP(A1144,'BADI SID DATA'!A:B,2,0)</f>
        <v>200</v>
      </c>
      <c r="F1144" s="62">
        <v>1</v>
      </c>
      <c r="G1144" s="62">
        <v>1</v>
      </c>
      <c r="H1144" s="2">
        <f t="shared" si="52"/>
        <v>345953.1</v>
      </c>
      <c r="I1144" s="12">
        <f t="shared" si="53"/>
        <v>0</v>
      </c>
      <c r="J1144" s="12">
        <f t="shared" si="54"/>
        <v>0.24024520833333332</v>
      </c>
    </row>
    <row r="1145" spans="1:10" ht="15" customHeight="1">
      <c r="A1145" s="14">
        <v>46313</v>
      </c>
      <c r="B1145" s="10">
        <f>VLOOKUP(A1145,'BADI SID DATA'!A:B,2,0)</f>
        <v>201</v>
      </c>
      <c r="F1145" s="62">
        <v>1</v>
      </c>
      <c r="G1145" s="62">
        <v>1</v>
      </c>
      <c r="H1145" s="2">
        <f t="shared" si="52"/>
        <v>345953.1</v>
      </c>
      <c r="I1145" s="12">
        <f t="shared" si="53"/>
        <v>0</v>
      </c>
      <c r="J1145" s="12">
        <f t="shared" si="54"/>
        <v>0.23904995854063016</v>
      </c>
    </row>
    <row r="1146" spans="1:10" ht="15" customHeight="1">
      <c r="A1146" s="14">
        <v>46314</v>
      </c>
      <c r="B1146" s="10">
        <f>VLOOKUP(A1146,'BADI SID DATA'!A:B,2,0)</f>
        <v>202</v>
      </c>
      <c r="F1146" s="62">
        <v>1</v>
      </c>
      <c r="G1146" s="62">
        <v>1</v>
      </c>
      <c r="H1146" s="2">
        <f t="shared" si="52"/>
        <v>345953.1</v>
      </c>
      <c r="I1146" s="12">
        <f t="shared" si="53"/>
        <v>0</v>
      </c>
      <c r="J1146" s="12">
        <f t="shared" si="54"/>
        <v>0.23786654290429041</v>
      </c>
    </row>
    <row r="1147" spans="1:10" ht="15" customHeight="1">
      <c r="A1147" s="14">
        <v>46315</v>
      </c>
      <c r="B1147" s="10">
        <f>VLOOKUP(A1147,'BADI SID DATA'!A:B,2,0)</f>
        <v>203</v>
      </c>
      <c r="F1147" s="62">
        <v>1</v>
      </c>
      <c r="G1147" s="62">
        <v>1</v>
      </c>
      <c r="H1147" s="2">
        <f t="shared" si="52"/>
        <v>345953.1</v>
      </c>
      <c r="I1147" s="12">
        <f t="shared" si="53"/>
        <v>0</v>
      </c>
      <c r="J1147" s="12">
        <f t="shared" si="54"/>
        <v>0.23669478653530376</v>
      </c>
    </row>
    <row r="1148" spans="1:10" ht="15" customHeight="1">
      <c r="A1148" s="14">
        <v>46316</v>
      </c>
      <c r="B1148" s="10">
        <f>VLOOKUP(A1148,'BADI SID DATA'!A:B,2,0)</f>
        <v>204</v>
      </c>
      <c r="F1148" s="62">
        <v>1</v>
      </c>
      <c r="G1148" s="62">
        <v>1</v>
      </c>
      <c r="H1148" s="2">
        <f t="shared" si="52"/>
        <v>345953.1</v>
      </c>
      <c r="I1148" s="12">
        <f t="shared" si="53"/>
        <v>0</v>
      </c>
      <c r="J1148" s="12">
        <f t="shared" si="54"/>
        <v>0.23553451797385619</v>
      </c>
    </row>
    <row r="1149" spans="1:10" ht="15" customHeight="1">
      <c r="A1149" s="14">
        <v>46317</v>
      </c>
      <c r="B1149" s="10">
        <f>VLOOKUP(A1149,'BADI SID DATA'!A:B,2,0)</f>
        <v>205</v>
      </c>
      <c r="F1149" s="62">
        <v>1</v>
      </c>
      <c r="G1149" s="62">
        <v>1</v>
      </c>
      <c r="H1149" s="2">
        <f t="shared" si="52"/>
        <v>345953.1</v>
      </c>
      <c r="I1149" s="12">
        <f t="shared" si="53"/>
        <v>0</v>
      </c>
      <c r="J1149" s="12">
        <f t="shared" si="54"/>
        <v>0.23438556910569103</v>
      </c>
    </row>
    <row r="1150" spans="1:10" ht="15" customHeight="1">
      <c r="A1150" s="14">
        <v>46318</v>
      </c>
      <c r="B1150" s="10">
        <f>VLOOKUP(A1150,'BADI SID DATA'!A:B,2,0)</f>
        <v>206</v>
      </c>
      <c r="F1150" s="62">
        <v>1</v>
      </c>
      <c r="G1150" s="62">
        <v>1</v>
      </c>
      <c r="H1150" s="2">
        <f t="shared" si="52"/>
        <v>345953.1</v>
      </c>
      <c r="I1150" s="12">
        <f t="shared" si="53"/>
        <v>0</v>
      </c>
      <c r="J1150" s="12">
        <f t="shared" si="54"/>
        <v>0.23324777508090613</v>
      </c>
    </row>
    <row r="1151" spans="1:10" ht="15" customHeight="1">
      <c r="A1151" s="14">
        <v>46319</v>
      </c>
      <c r="B1151" s="10">
        <f>VLOOKUP(A1151,'BADI SID DATA'!A:B,2,0)</f>
        <v>207</v>
      </c>
      <c r="F1151" s="62">
        <v>1</v>
      </c>
      <c r="G1151" s="62">
        <v>1</v>
      </c>
      <c r="H1151" s="2">
        <f t="shared" si="52"/>
        <v>345953.1</v>
      </c>
      <c r="I1151" s="12">
        <f t="shared" si="53"/>
        <v>0</v>
      </c>
      <c r="J1151" s="12">
        <f t="shared" si="54"/>
        <v>0.23212097423510467</v>
      </c>
    </row>
    <row r="1152" spans="1:10" ht="15" customHeight="1">
      <c r="A1152" s="14">
        <v>46320</v>
      </c>
      <c r="B1152" s="10">
        <f>VLOOKUP(A1152,'BADI SID DATA'!A:B,2,0)</f>
        <v>208</v>
      </c>
      <c r="F1152" s="62">
        <v>1</v>
      </c>
      <c r="G1152" s="62">
        <v>1</v>
      </c>
      <c r="H1152" s="2">
        <f t="shared" si="52"/>
        <v>345953.1</v>
      </c>
      <c r="I1152" s="12">
        <f t="shared" si="53"/>
        <v>0</v>
      </c>
      <c r="J1152" s="12">
        <f t="shared" si="54"/>
        <v>0.23100500801282051</v>
      </c>
    </row>
    <row r="1153" spans="1:10" ht="15" customHeight="1">
      <c r="A1153" s="14">
        <v>46321</v>
      </c>
      <c r="B1153" s="10">
        <f>VLOOKUP(A1153,'BADI SID DATA'!A:B,2,0)</f>
        <v>209</v>
      </c>
      <c r="F1153" s="62">
        <v>1</v>
      </c>
      <c r="G1153" s="62">
        <v>1</v>
      </c>
      <c r="H1153" s="2">
        <f t="shared" si="52"/>
        <v>345953.1</v>
      </c>
      <c r="I1153" s="12">
        <f t="shared" si="53"/>
        <v>0</v>
      </c>
      <c r="J1153" s="12">
        <f t="shared" si="54"/>
        <v>0.22989972089314192</v>
      </c>
    </row>
    <row r="1154" spans="1:10" ht="15" customHeight="1">
      <c r="A1154" s="14">
        <v>46322</v>
      </c>
      <c r="B1154" s="10">
        <f>VLOOKUP(A1154,'BADI SID DATA'!A:B,2,0)</f>
        <v>210</v>
      </c>
      <c r="F1154" s="62">
        <v>1</v>
      </c>
      <c r="G1154" s="62">
        <v>1</v>
      </c>
      <c r="H1154" s="2">
        <f t="shared" si="52"/>
        <v>345953.1</v>
      </c>
      <c r="I1154" s="12">
        <f t="shared" si="53"/>
        <v>0</v>
      </c>
      <c r="J1154" s="12">
        <f t="shared" si="54"/>
        <v>0.22880496031746031</v>
      </c>
    </row>
    <row r="1155" spans="1:10" ht="15" customHeight="1">
      <c r="A1155" s="14">
        <v>46323</v>
      </c>
      <c r="B1155" s="10">
        <f>VLOOKUP(A1155,'BADI SID DATA'!A:B,2,0)</f>
        <v>211</v>
      </c>
      <c r="F1155" s="62">
        <v>1</v>
      </c>
      <c r="G1155" s="62">
        <v>1</v>
      </c>
      <c r="H1155" s="2">
        <f t="shared" ref="H1155:H1218" si="55">H1154+C1155</f>
        <v>345953.1</v>
      </c>
      <c r="I1155" s="12">
        <f t="shared" ref="I1155:I1218" si="56">C1155/(300*24)</f>
        <v>0</v>
      </c>
      <c r="J1155" s="12">
        <f t="shared" ref="J1155:J1218" si="57">H1155/(24*B1155*300)</f>
        <v>0.22772057661927328</v>
      </c>
    </row>
    <row r="1156" spans="1:10" ht="15" customHeight="1">
      <c r="A1156" s="14">
        <v>46324</v>
      </c>
      <c r="B1156" s="10">
        <f>VLOOKUP(A1156,'BADI SID DATA'!A:B,2,0)</f>
        <v>212</v>
      </c>
      <c r="F1156" s="62">
        <v>1</v>
      </c>
      <c r="G1156" s="62">
        <v>1</v>
      </c>
      <c r="H1156" s="2">
        <f t="shared" si="55"/>
        <v>345953.1</v>
      </c>
      <c r="I1156" s="12">
        <f t="shared" si="56"/>
        <v>0</v>
      </c>
      <c r="J1156" s="12">
        <f t="shared" si="57"/>
        <v>0.22664642295597484</v>
      </c>
    </row>
    <row r="1157" spans="1:10" ht="15" customHeight="1">
      <c r="A1157" s="14">
        <v>46325</v>
      </c>
      <c r="B1157" s="10">
        <f>VLOOKUP(A1157,'BADI SID DATA'!A:B,2,0)</f>
        <v>213</v>
      </c>
      <c r="F1157" s="62">
        <v>1</v>
      </c>
      <c r="G1157" s="62">
        <v>1</v>
      </c>
      <c r="H1157" s="2">
        <f t="shared" si="55"/>
        <v>345953.1</v>
      </c>
      <c r="I1157" s="12">
        <f t="shared" si="56"/>
        <v>0</v>
      </c>
      <c r="J1157" s="12">
        <f t="shared" si="57"/>
        <v>0.22558235524256651</v>
      </c>
    </row>
    <row r="1158" spans="1:10" ht="15" customHeight="1">
      <c r="A1158" s="14">
        <v>46326</v>
      </c>
      <c r="B1158" s="10">
        <f>VLOOKUP(A1158,'BADI SID DATA'!A:B,2,0)</f>
        <v>214</v>
      </c>
      <c r="F1158" s="62">
        <v>1</v>
      </c>
      <c r="G1158" s="62">
        <v>1</v>
      </c>
      <c r="H1158" s="2">
        <f t="shared" si="55"/>
        <v>345953.1</v>
      </c>
      <c r="I1158" s="12">
        <f t="shared" si="56"/>
        <v>0</v>
      </c>
      <c r="J1158" s="12">
        <f t="shared" si="57"/>
        <v>0.22452823208722739</v>
      </c>
    </row>
    <row r="1159" spans="1:10" ht="15" customHeight="1">
      <c r="A1159" s="14">
        <v>46327</v>
      </c>
      <c r="B1159" s="10">
        <f>VLOOKUP(A1159,'BADI SID DATA'!A:B,2,0)</f>
        <v>215</v>
      </c>
      <c r="F1159" s="62">
        <v>1</v>
      </c>
      <c r="G1159" s="62">
        <v>1</v>
      </c>
      <c r="H1159" s="2">
        <f t="shared" si="55"/>
        <v>345953.1</v>
      </c>
      <c r="I1159" s="12">
        <f t="shared" si="56"/>
        <v>0</v>
      </c>
      <c r="J1159" s="12">
        <f t="shared" si="57"/>
        <v>0.22348391472868215</v>
      </c>
    </row>
    <row r="1160" spans="1:10" ht="15" customHeight="1">
      <c r="A1160" s="14">
        <v>46328</v>
      </c>
      <c r="B1160" s="10">
        <f>VLOOKUP(A1160,'BADI SID DATA'!A:B,2,0)</f>
        <v>216</v>
      </c>
      <c r="F1160" s="62">
        <v>1</v>
      </c>
      <c r="G1160" s="62">
        <v>1</v>
      </c>
      <c r="H1160" s="2">
        <f t="shared" si="55"/>
        <v>345953.1</v>
      </c>
      <c r="I1160" s="12">
        <f t="shared" si="56"/>
        <v>0</v>
      </c>
      <c r="J1160" s="12">
        <f t="shared" si="57"/>
        <v>0.22244926697530862</v>
      </c>
    </row>
    <row r="1161" spans="1:10" ht="15" customHeight="1">
      <c r="A1161" s="14">
        <v>46329</v>
      </c>
      <c r="B1161" s="10">
        <f>VLOOKUP(A1161,'BADI SID DATA'!A:B,2,0)</f>
        <v>217</v>
      </c>
      <c r="F1161" s="62">
        <v>1</v>
      </c>
      <c r="G1161" s="62">
        <v>1</v>
      </c>
      <c r="H1161" s="2">
        <f t="shared" si="55"/>
        <v>345953.1</v>
      </c>
      <c r="I1161" s="12">
        <f t="shared" si="56"/>
        <v>0</v>
      </c>
      <c r="J1161" s="12">
        <f t="shared" si="57"/>
        <v>0.22142415514592934</v>
      </c>
    </row>
    <row r="1162" spans="1:10" ht="15" customHeight="1">
      <c r="A1162" s="14">
        <v>46330</v>
      </c>
      <c r="B1162" s="10">
        <f>VLOOKUP(A1162,'BADI SID DATA'!A:B,2,0)</f>
        <v>218</v>
      </c>
      <c r="F1162" s="62">
        <v>1</v>
      </c>
      <c r="G1162" s="62">
        <v>1</v>
      </c>
      <c r="H1162" s="2">
        <f t="shared" si="55"/>
        <v>345953.1</v>
      </c>
      <c r="I1162" s="12">
        <f t="shared" si="56"/>
        <v>0</v>
      </c>
      <c r="J1162" s="12">
        <f t="shared" si="57"/>
        <v>0.22040844801223239</v>
      </c>
    </row>
    <row r="1163" spans="1:10" ht="15" customHeight="1">
      <c r="A1163" s="14">
        <v>46331</v>
      </c>
      <c r="B1163" s="10">
        <f>VLOOKUP(A1163,'BADI SID DATA'!A:B,2,0)</f>
        <v>219</v>
      </c>
      <c r="F1163" s="62">
        <v>1</v>
      </c>
      <c r="G1163" s="62">
        <v>1</v>
      </c>
      <c r="H1163" s="2">
        <f t="shared" si="55"/>
        <v>345953.1</v>
      </c>
      <c r="I1163" s="12">
        <f t="shared" si="56"/>
        <v>0</v>
      </c>
      <c r="J1163" s="12">
        <f t="shared" si="57"/>
        <v>0.21940201674277016</v>
      </c>
    </row>
    <row r="1164" spans="1:10" ht="15" customHeight="1">
      <c r="A1164" s="14">
        <v>46332</v>
      </c>
      <c r="B1164" s="10">
        <f>VLOOKUP(A1164,'BADI SID DATA'!A:B,2,0)</f>
        <v>220</v>
      </c>
      <c r="F1164" s="62">
        <v>1</v>
      </c>
      <c r="G1164" s="62">
        <v>1</v>
      </c>
      <c r="H1164" s="2">
        <f t="shared" si="55"/>
        <v>345953.1</v>
      </c>
      <c r="I1164" s="12">
        <f t="shared" si="56"/>
        <v>0</v>
      </c>
      <c r="J1164" s="12">
        <f t="shared" si="57"/>
        <v>0.21840473484848483</v>
      </c>
    </row>
    <row r="1165" spans="1:10" ht="15" customHeight="1">
      <c r="A1165" s="14">
        <v>46333</v>
      </c>
      <c r="B1165" s="10">
        <f>VLOOKUP(A1165,'BADI SID DATA'!A:B,2,0)</f>
        <v>221</v>
      </c>
      <c r="F1165" s="62">
        <v>1</v>
      </c>
      <c r="G1165" s="62">
        <v>1</v>
      </c>
      <c r="H1165" s="2">
        <f t="shared" si="55"/>
        <v>345953.1</v>
      </c>
      <c r="I1165" s="12">
        <f t="shared" si="56"/>
        <v>0</v>
      </c>
      <c r="J1165" s="12">
        <f t="shared" si="57"/>
        <v>0.2174164781297134</v>
      </c>
    </row>
    <row r="1166" spans="1:10" ht="15" customHeight="1">
      <c r="A1166" s="14">
        <v>46334</v>
      </c>
      <c r="B1166" s="10">
        <f>VLOOKUP(A1166,'BADI SID DATA'!A:B,2,0)</f>
        <v>222</v>
      </c>
      <c r="F1166" s="62">
        <v>1</v>
      </c>
      <c r="G1166" s="62">
        <v>1</v>
      </c>
      <c r="H1166" s="2">
        <f t="shared" si="55"/>
        <v>345953.1</v>
      </c>
      <c r="I1166" s="12">
        <f t="shared" si="56"/>
        <v>0</v>
      </c>
      <c r="J1166" s="12">
        <f t="shared" si="57"/>
        <v>0.21643712462462461</v>
      </c>
    </row>
    <row r="1167" spans="1:10" ht="15" customHeight="1">
      <c r="A1167" s="14">
        <v>46335</v>
      </c>
      <c r="B1167" s="10">
        <f>VLOOKUP(A1167,'BADI SID DATA'!A:B,2,0)</f>
        <v>223</v>
      </c>
      <c r="F1167" s="62">
        <v>1</v>
      </c>
      <c r="G1167" s="62">
        <v>1</v>
      </c>
      <c r="H1167" s="2">
        <f t="shared" si="55"/>
        <v>345953.1</v>
      </c>
      <c r="I1167" s="12">
        <f t="shared" si="56"/>
        <v>0</v>
      </c>
      <c r="J1167" s="12">
        <f t="shared" si="57"/>
        <v>0.21546655455904334</v>
      </c>
    </row>
    <row r="1168" spans="1:10" ht="15" customHeight="1">
      <c r="A1168" s="14">
        <v>46336</v>
      </c>
      <c r="B1168" s="10">
        <f>VLOOKUP(A1168,'BADI SID DATA'!A:B,2,0)</f>
        <v>224</v>
      </c>
      <c r="F1168" s="62">
        <v>1</v>
      </c>
      <c r="G1168" s="62">
        <v>1</v>
      </c>
      <c r="H1168" s="2">
        <f t="shared" si="55"/>
        <v>345953.1</v>
      </c>
      <c r="I1168" s="12">
        <f t="shared" si="56"/>
        <v>0</v>
      </c>
      <c r="J1168" s="12">
        <f t="shared" si="57"/>
        <v>0.21450465029761903</v>
      </c>
    </row>
    <row r="1169" spans="1:10" ht="15" customHeight="1">
      <c r="A1169" s="14">
        <v>46337</v>
      </c>
      <c r="B1169" s="10">
        <f>VLOOKUP(A1169,'BADI SID DATA'!A:B,2,0)</f>
        <v>225</v>
      </c>
      <c r="F1169" s="62">
        <v>1</v>
      </c>
      <c r="G1169" s="62">
        <v>1</v>
      </c>
      <c r="H1169" s="2">
        <f t="shared" si="55"/>
        <v>345953.1</v>
      </c>
      <c r="I1169" s="12">
        <f t="shared" si="56"/>
        <v>0</v>
      </c>
      <c r="J1169" s="12">
        <f t="shared" si="57"/>
        <v>0.21355129629629629</v>
      </c>
    </row>
    <row r="1170" spans="1:10" ht="15" customHeight="1">
      <c r="A1170" s="14">
        <v>46338</v>
      </c>
      <c r="B1170" s="10">
        <f>VLOOKUP(A1170,'BADI SID DATA'!A:B,2,0)</f>
        <v>226</v>
      </c>
      <c r="F1170" s="62">
        <v>1</v>
      </c>
      <c r="G1170" s="62">
        <v>1</v>
      </c>
      <c r="H1170" s="2">
        <f t="shared" si="55"/>
        <v>345953.1</v>
      </c>
      <c r="I1170" s="12">
        <f t="shared" si="56"/>
        <v>0</v>
      </c>
      <c r="J1170" s="12">
        <f t="shared" si="57"/>
        <v>0.21260637905604718</v>
      </c>
    </row>
    <row r="1171" spans="1:10" ht="15" customHeight="1">
      <c r="A1171" s="14">
        <v>46339</v>
      </c>
      <c r="B1171" s="10">
        <f>VLOOKUP(A1171,'BADI SID DATA'!A:B,2,0)</f>
        <v>227</v>
      </c>
      <c r="F1171" s="62">
        <v>1</v>
      </c>
      <c r="G1171" s="62">
        <v>1</v>
      </c>
      <c r="H1171" s="2">
        <f t="shared" si="55"/>
        <v>345953.1</v>
      </c>
      <c r="I1171" s="12">
        <f t="shared" si="56"/>
        <v>0</v>
      </c>
      <c r="J1171" s="12">
        <f t="shared" si="57"/>
        <v>0.21166978707782672</v>
      </c>
    </row>
    <row r="1172" spans="1:10" ht="15" customHeight="1">
      <c r="A1172" s="14">
        <v>46340</v>
      </c>
      <c r="B1172" s="10">
        <f>VLOOKUP(A1172,'BADI SID DATA'!A:B,2,0)</f>
        <v>228</v>
      </c>
      <c r="F1172" s="62">
        <v>1</v>
      </c>
      <c r="G1172" s="62">
        <v>1</v>
      </c>
      <c r="H1172" s="2">
        <f t="shared" si="55"/>
        <v>345953.1</v>
      </c>
      <c r="I1172" s="12">
        <f t="shared" si="56"/>
        <v>0</v>
      </c>
      <c r="J1172" s="12">
        <f t="shared" si="57"/>
        <v>0.21074141081871345</v>
      </c>
    </row>
    <row r="1173" spans="1:10" ht="15" customHeight="1">
      <c r="A1173" s="14">
        <v>46341</v>
      </c>
      <c r="B1173" s="10">
        <f>VLOOKUP(A1173,'BADI SID DATA'!A:B,2,0)</f>
        <v>229</v>
      </c>
      <c r="F1173" s="62">
        <v>1</v>
      </c>
      <c r="G1173" s="62">
        <v>1</v>
      </c>
      <c r="H1173" s="2">
        <f t="shared" si="55"/>
        <v>345953.1</v>
      </c>
      <c r="I1173" s="12">
        <f t="shared" si="56"/>
        <v>0</v>
      </c>
      <c r="J1173" s="12">
        <f t="shared" si="57"/>
        <v>0.2098211426491994</v>
      </c>
    </row>
    <row r="1174" spans="1:10" ht="15" customHeight="1">
      <c r="A1174" s="14">
        <v>46342</v>
      </c>
      <c r="B1174" s="10">
        <f>VLOOKUP(A1174,'BADI SID DATA'!A:B,2,0)</f>
        <v>230</v>
      </c>
      <c r="F1174" s="62">
        <v>1</v>
      </c>
      <c r="G1174" s="62">
        <v>1</v>
      </c>
      <c r="H1174" s="2">
        <f t="shared" si="55"/>
        <v>345953.1</v>
      </c>
      <c r="I1174" s="12">
        <f t="shared" si="56"/>
        <v>0</v>
      </c>
      <c r="J1174" s="12">
        <f t="shared" si="57"/>
        <v>0.2089088768115942</v>
      </c>
    </row>
    <row r="1175" spans="1:10" ht="15" customHeight="1">
      <c r="A1175" s="14">
        <v>46343</v>
      </c>
      <c r="B1175" s="10">
        <f>VLOOKUP(A1175,'BADI SID DATA'!A:B,2,0)</f>
        <v>231</v>
      </c>
      <c r="F1175" s="62">
        <v>1</v>
      </c>
      <c r="G1175" s="62">
        <v>1</v>
      </c>
      <c r="H1175" s="2">
        <f t="shared" si="55"/>
        <v>345953.1</v>
      </c>
      <c r="I1175" s="12">
        <f t="shared" si="56"/>
        <v>0</v>
      </c>
      <c r="J1175" s="12">
        <f t="shared" si="57"/>
        <v>0.20800450937950937</v>
      </c>
    </row>
    <row r="1176" spans="1:10" ht="15" customHeight="1">
      <c r="A1176" s="14">
        <v>46344</v>
      </c>
      <c r="B1176" s="10">
        <f>VLOOKUP(A1176,'BADI SID DATA'!A:B,2,0)</f>
        <v>232</v>
      </c>
      <c r="F1176" s="62">
        <v>1</v>
      </c>
      <c r="G1176" s="62">
        <v>1</v>
      </c>
      <c r="H1176" s="2">
        <f t="shared" si="55"/>
        <v>345953.1</v>
      </c>
      <c r="I1176" s="12">
        <f t="shared" si="56"/>
        <v>0</v>
      </c>
      <c r="J1176" s="12">
        <f t="shared" si="57"/>
        <v>0.2071079382183908</v>
      </c>
    </row>
    <row r="1177" spans="1:10" ht="15" customHeight="1">
      <c r="A1177" s="14">
        <v>46345</v>
      </c>
      <c r="B1177" s="10">
        <f>VLOOKUP(A1177,'BADI SID DATA'!A:B,2,0)</f>
        <v>233</v>
      </c>
      <c r="F1177" s="62">
        <v>1</v>
      </c>
      <c r="G1177" s="62">
        <v>1</v>
      </c>
      <c r="H1177" s="2">
        <f t="shared" si="55"/>
        <v>345953.1</v>
      </c>
      <c r="I1177" s="12">
        <f t="shared" si="56"/>
        <v>0</v>
      </c>
      <c r="J1177" s="12">
        <f t="shared" si="57"/>
        <v>0.20621906294706724</v>
      </c>
    </row>
    <row r="1178" spans="1:10" ht="15" customHeight="1">
      <c r="A1178" s="14">
        <v>46346</v>
      </c>
      <c r="B1178" s="10">
        <f>VLOOKUP(A1178,'BADI SID DATA'!A:B,2,0)</f>
        <v>234</v>
      </c>
      <c r="F1178" s="62">
        <v>1</v>
      </c>
      <c r="G1178" s="62">
        <v>1</v>
      </c>
      <c r="H1178" s="2">
        <f t="shared" si="55"/>
        <v>345953.1</v>
      </c>
      <c r="I1178" s="12">
        <f t="shared" si="56"/>
        <v>0</v>
      </c>
      <c r="J1178" s="12">
        <f t="shared" si="57"/>
        <v>0.2053377849002849</v>
      </c>
    </row>
    <row r="1179" spans="1:10" ht="15" customHeight="1">
      <c r="A1179" s="14">
        <v>46347</v>
      </c>
      <c r="B1179" s="10">
        <f>VLOOKUP(A1179,'BADI SID DATA'!A:B,2,0)</f>
        <v>235</v>
      </c>
      <c r="F1179" s="62">
        <v>1</v>
      </c>
      <c r="G1179" s="62">
        <v>1</v>
      </c>
      <c r="H1179" s="2">
        <f t="shared" si="55"/>
        <v>345953.1</v>
      </c>
      <c r="I1179" s="12">
        <f t="shared" si="56"/>
        <v>0</v>
      </c>
      <c r="J1179" s="12">
        <f t="shared" si="57"/>
        <v>0.20446400709219856</v>
      </c>
    </row>
    <row r="1180" spans="1:10" ht="15" customHeight="1">
      <c r="A1180" s="14">
        <v>46348</v>
      </c>
      <c r="B1180" s="10">
        <f>VLOOKUP(A1180,'BADI SID DATA'!A:B,2,0)</f>
        <v>236</v>
      </c>
      <c r="F1180" s="62">
        <v>1</v>
      </c>
      <c r="G1180" s="62">
        <v>1</v>
      </c>
      <c r="H1180" s="2">
        <f t="shared" si="55"/>
        <v>345953.1</v>
      </c>
      <c r="I1180" s="12">
        <f t="shared" si="56"/>
        <v>0</v>
      </c>
      <c r="J1180" s="12">
        <f t="shared" si="57"/>
        <v>0.20359763418079094</v>
      </c>
    </row>
    <row r="1181" spans="1:10" ht="15" customHeight="1">
      <c r="A1181" s="14">
        <v>46349</v>
      </c>
      <c r="B1181" s="10">
        <f>VLOOKUP(A1181,'BADI SID DATA'!A:B,2,0)</f>
        <v>237</v>
      </c>
      <c r="F1181" s="62">
        <v>1</v>
      </c>
      <c r="G1181" s="62">
        <v>1</v>
      </c>
      <c r="H1181" s="2">
        <f t="shared" si="55"/>
        <v>345953.1</v>
      </c>
      <c r="I1181" s="12">
        <f t="shared" si="56"/>
        <v>0</v>
      </c>
      <c r="J1181" s="12">
        <f t="shared" si="57"/>
        <v>0.20273857243319268</v>
      </c>
    </row>
    <row r="1182" spans="1:10" ht="15" customHeight="1">
      <c r="A1182" s="14">
        <v>46350</v>
      </c>
      <c r="B1182" s="10">
        <f>VLOOKUP(A1182,'BADI SID DATA'!A:B,2,0)</f>
        <v>238</v>
      </c>
      <c r="F1182" s="62">
        <v>1</v>
      </c>
      <c r="G1182" s="62">
        <v>1</v>
      </c>
      <c r="H1182" s="2">
        <f t="shared" si="55"/>
        <v>345953.1</v>
      </c>
      <c r="I1182" s="12">
        <f t="shared" si="56"/>
        <v>0</v>
      </c>
      <c r="J1182" s="12">
        <f t="shared" si="57"/>
        <v>0.20188672969187674</v>
      </c>
    </row>
    <row r="1183" spans="1:10" ht="15" customHeight="1">
      <c r="A1183" s="14">
        <v>46351</v>
      </c>
      <c r="B1183" s="10">
        <f>VLOOKUP(A1183,'BADI SID DATA'!A:B,2,0)</f>
        <v>239</v>
      </c>
      <c r="F1183" s="62">
        <v>1</v>
      </c>
      <c r="G1183" s="62">
        <v>1</v>
      </c>
      <c r="H1183" s="2">
        <f t="shared" si="55"/>
        <v>345953.1</v>
      </c>
      <c r="I1183" s="12">
        <f t="shared" si="56"/>
        <v>0</v>
      </c>
      <c r="J1183" s="12">
        <f t="shared" si="57"/>
        <v>0.20104201534170152</v>
      </c>
    </row>
    <row r="1184" spans="1:10" ht="15" customHeight="1">
      <c r="A1184" s="14">
        <v>46352</v>
      </c>
      <c r="B1184" s="10">
        <f>VLOOKUP(A1184,'BADI SID DATA'!A:B,2,0)</f>
        <v>240</v>
      </c>
      <c r="F1184" s="62">
        <v>1</v>
      </c>
      <c r="G1184" s="62">
        <v>1</v>
      </c>
      <c r="H1184" s="2">
        <f t="shared" si="55"/>
        <v>345953.1</v>
      </c>
      <c r="I1184" s="12">
        <f t="shared" si="56"/>
        <v>0</v>
      </c>
      <c r="J1184" s="12">
        <f t="shared" si="57"/>
        <v>0.20020434027777775</v>
      </c>
    </row>
    <row r="1185" spans="1:10" ht="15" customHeight="1">
      <c r="A1185" s="14">
        <v>46353</v>
      </c>
      <c r="B1185" s="10">
        <f>VLOOKUP(A1185,'BADI SID DATA'!A:B,2,0)</f>
        <v>241</v>
      </c>
      <c r="F1185" s="62">
        <v>1</v>
      </c>
      <c r="G1185" s="62">
        <v>1</v>
      </c>
      <c r="H1185" s="2">
        <f t="shared" si="55"/>
        <v>345953.1</v>
      </c>
      <c r="I1185" s="12">
        <f t="shared" si="56"/>
        <v>0</v>
      </c>
      <c r="J1185" s="12">
        <f t="shared" si="57"/>
        <v>0.19937361687413555</v>
      </c>
    </row>
    <row r="1186" spans="1:10" ht="15" customHeight="1">
      <c r="A1186" s="14">
        <v>46354</v>
      </c>
      <c r="B1186" s="10">
        <f>VLOOKUP(A1186,'BADI SID DATA'!A:B,2,0)</f>
        <v>242</v>
      </c>
      <c r="F1186" s="62">
        <v>1</v>
      </c>
      <c r="G1186" s="62">
        <v>1</v>
      </c>
      <c r="H1186" s="2">
        <f t="shared" si="55"/>
        <v>345953.1</v>
      </c>
      <c r="I1186" s="12">
        <f t="shared" si="56"/>
        <v>0</v>
      </c>
      <c r="J1186" s="12">
        <f t="shared" si="57"/>
        <v>0.19854975895316804</v>
      </c>
    </row>
    <row r="1187" spans="1:10" ht="15" customHeight="1">
      <c r="A1187" s="14">
        <v>46355</v>
      </c>
      <c r="B1187" s="10">
        <f>VLOOKUP(A1187,'BADI SID DATA'!A:B,2,0)</f>
        <v>243</v>
      </c>
      <c r="F1187" s="62">
        <v>1</v>
      </c>
      <c r="G1187" s="62">
        <v>1</v>
      </c>
      <c r="H1187" s="2">
        <f t="shared" si="55"/>
        <v>345953.1</v>
      </c>
      <c r="I1187" s="12">
        <f t="shared" si="56"/>
        <v>0</v>
      </c>
      <c r="J1187" s="12">
        <f t="shared" si="57"/>
        <v>0.19773268175582989</v>
      </c>
    </row>
    <row r="1188" spans="1:10" ht="15" customHeight="1">
      <c r="A1188" s="14">
        <v>46356</v>
      </c>
      <c r="B1188" s="10">
        <f>VLOOKUP(A1188,'BADI SID DATA'!A:B,2,0)</f>
        <v>244</v>
      </c>
      <c r="F1188" s="62">
        <v>1</v>
      </c>
      <c r="G1188" s="62">
        <v>1</v>
      </c>
      <c r="H1188" s="2">
        <f t="shared" si="55"/>
        <v>345953.1</v>
      </c>
      <c r="I1188" s="12">
        <f t="shared" si="56"/>
        <v>0</v>
      </c>
      <c r="J1188" s="12">
        <f t="shared" si="57"/>
        <v>0.19692230191256829</v>
      </c>
    </row>
    <row r="1189" spans="1:10" ht="15" customHeight="1">
      <c r="A1189" s="14">
        <v>46357</v>
      </c>
      <c r="B1189" s="10">
        <f>VLOOKUP(A1189,'BADI SID DATA'!A:B,2,0)</f>
        <v>245</v>
      </c>
      <c r="F1189" s="62">
        <v>1</v>
      </c>
      <c r="G1189" s="62">
        <v>1</v>
      </c>
      <c r="H1189" s="2">
        <f t="shared" si="55"/>
        <v>345953.1</v>
      </c>
      <c r="I1189" s="12">
        <f t="shared" si="56"/>
        <v>0</v>
      </c>
      <c r="J1189" s="12">
        <f t="shared" si="57"/>
        <v>0.19611853741496596</v>
      </c>
    </row>
    <row r="1190" spans="1:10" ht="15" customHeight="1">
      <c r="A1190" s="14">
        <v>46358</v>
      </c>
      <c r="B1190" s="10">
        <f>VLOOKUP(A1190,'BADI SID DATA'!A:B,2,0)</f>
        <v>246</v>
      </c>
      <c r="F1190" s="62">
        <v>1</v>
      </c>
      <c r="G1190" s="62">
        <v>1</v>
      </c>
      <c r="H1190" s="2">
        <f t="shared" si="55"/>
        <v>345953.1</v>
      </c>
      <c r="I1190" s="12">
        <f t="shared" si="56"/>
        <v>0</v>
      </c>
      <c r="J1190" s="12">
        <f t="shared" si="57"/>
        <v>0.19532130758807587</v>
      </c>
    </row>
    <row r="1191" spans="1:10" ht="15" customHeight="1">
      <c r="A1191" s="14">
        <v>46359</v>
      </c>
      <c r="B1191" s="10">
        <f>VLOOKUP(A1191,'BADI SID DATA'!A:B,2,0)</f>
        <v>247</v>
      </c>
      <c r="F1191" s="62">
        <v>1</v>
      </c>
      <c r="G1191" s="62">
        <v>1</v>
      </c>
      <c r="H1191" s="2">
        <f t="shared" si="55"/>
        <v>345953.1</v>
      </c>
      <c r="I1191" s="12">
        <f t="shared" si="56"/>
        <v>0</v>
      </c>
      <c r="J1191" s="12">
        <f t="shared" si="57"/>
        <v>0.1945305330634278</v>
      </c>
    </row>
    <row r="1192" spans="1:10" ht="15" customHeight="1">
      <c r="A1192" s="14">
        <v>46360</v>
      </c>
      <c r="B1192" s="10">
        <f>VLOOKUP(A1192,'BADI SID DATA'!A:B,2,0)</f>
        <v>248</v>
      </c>
      <c r="F1192" s="62">
        <v>1</v>
      </c>
      <c r="G1192" s="62">
        <v>1</v>
      </c>
      <c r="H1192" s="2">
        <f t="shared" si="55"/>
        <v>345953.1</v>
      </c>
      <c r="I1192" s="12">
        <f t="shared" si="56"/>
        <v>0</v>
      </c>
      <c r="J1192" s="12">
        <f t="shared" si="57"/>
        <v>0.19374613575268815</v>
      </c>
    </row>
    <row r="1193" spans="1:10" ht="15" customHeight="1">
      <c r="A1193" s="14">
        <v>46361</v>
      </c>
      <c r="B1193" s="10">
        <f>VLOOKUP(A1193,'BADI SID DATA'!A:B,2,0)</f>
        <v>249</v>
      </c>
      <c r="F1193" s="62">
        <v>1</v>
      </c>
      <c r="G1193" s="62">
        <v>1</v>
      </c>
      <c r="H1193" s="2">
        <f t="shared" si="55"/>
        <v>345953.1</v>
      </c>
      <c r="I1193" s="12">
        <f t="shared" si="56"/>
        <v>0</v>
      </c>
      <c r="J1193" s="12">
        <f t="shared" si="57"/>
        <v>0.19296803882195449</v>
      </c>
    </row>
    <row r="1194" spans="1:10" ht="15" customHeight="1">
      <c r="A1194" s="14">
        <v>46362</v>
      </c>
      <c r="B1194" s="10">
        <f>VLOOKUP(A1194,'BADI SID DATA'!A:B,2,0)</f>
        <v>250</v>
      </c>
      <c r="F1194" s="62">
        <v>1</v>
      </c>
      <c r="G1194" s="62">
        <v>1</v>
      </c>
      <c r="H1194" s="2">
        <f t="shared" si="55"/>
        <v>345953.1</v>
      </c>
      <c r="I1194" s="12">
        <f t="shared" si="56"/>
        <v>0</v>
      </c>
      <c r="J1194" s="12">
        <f t="shared" si="57"/>
        <v>0.19219616666666664</v>
      </c>
    </row>
    <row r="1195" spans="1:10" ht="15" customHeight="1">
      <c r="A1195" s="14">
        <v>46363</v>
      </c>
      <c r="B1195" s="10">
        <f>VLOOKUP(A1195,'BADI SID DATA'!A:B,2,0)</f>
        <v>251</v>
      </c>
      <c r="F1195" s="62">
        <v>1</v>
      </c>
      <c r="G1195" s="62">
        <v>1</v>
      </c>
      <c r="H1195" s="2">
        <f t="shared" si="55"/>
        <v>345953.1</v>
      </c>
      <c r="I1195" s="12">
        <f t="shared" si="56"/>
        <v>0</v>
      </c>
      <c r="J1195" s="12">
        <f t="shared" si="57"/>
        <v>0.19143044488711819</v>
      </c>
    </row>
    <row r="1196" spans="1:10" ht="15" customHeight="1">
      <c r="A1196" s="14">
        <v>46364</v>
      </c>
      <c r="B1196" s="10">
        <f>VLOOKUP(A1196,'BADI SID DATA'!A:B,2,0)</f>
        <v>252</v>
      </c>
      <c r="F1196" s="62">
        <v>1</v>
      </c>
      <c r="G1196" s="62">
        <v>1</v>
      </c>
      <c r="H1196" s="2">
        <f t="shared" si="55"/>
        <v>345953.1</v>
      </c>
      <c r="I1196" s="12">
        <f t="shared" si="56"/>
        <v>0</v>
      </c>
      <c r="J1196" s="12">
        <f t="shared" si="57"/>
        <v>0.19067080026455024</v>
      </c>
    </row>
    <row r="1197" spans="1:10" ht="15" customHeight="1">
      <c r="A1197" s="14">
        <v>46365</v>
      </c>
      <c r="B1197" s="10">
        <f>VLOOKUP(A1197,'BADI SID DATA'!A:B,2,0)</f>
        <v>253</v>
      </c>
      <c r="F1197" s="62">
        <v>1</v>
      </c>
      <c r="G1197" s="62">
        <v>1</v>
      </c>
      <c r="H1197" s="2">
        <f t="shared" si="55"/>
        <v>345953.1</v>
      </c>
      <c r="I1197" s="12">
        <f t="shared" si="56"/>
        <v>0</v>
      </c>
      <c r="J1197" s="12">
        <f t="shared" si="57"/>
        <v>0.1899171607378129</v>
      </c>
    </row>
    <row r="1198" spans="1:10" ht="15" customHeight="1">
      <c r="A1198" s="14">
        <v>46366</v>
      </c>
      <c r="B1198" s="10">
        <f>VLOOKUP(A1198,'BADI SID DATA'!A:B,2,0)</f>
        <v>254</v>
      </c>
      <c r="F1198" s="62">
        <v>1</v>
      </c>
      <c r="G1198" s="62">
        <v>1</v>
      </c>
      <c r="H1198" s="2">
        <f t="shared" si="55"/>
        <v>345953.1</v>
      </c>
      <c r="I1198" s="12">
        <f t="shared" si="56"/>
        <v>0</v>
      </c>
      <c r="J1198" s="12">
        <f t="shared" si="57"/>
        <v>0.18916945538057742</v>
      </c>
    </row>
    <row r="1199" spans="1:10" ht="15" customHeight="1">
      <c r="A1199" s="14">
        <v>46367</v>
      </c>
      <c r="B1199" s="10">
        <f>VLOOKUP(A1199,'BADI SID DATA'!A:B,2,0)</f>
        <v>255</v>
      </c>
      <c r="F1199" s="62">
        <v>1</v>
      </c>
      <c r="G1199" s="62">
        <v>1</v>
      </c>
      <c r="H1199" s="2">
        <f t="shared" si="55"/>
        <v>345953.1</v>
      </c>
      <c r="I1199" s="12">
        <f t="shared" si="56"/>
        <v>0</v>
      </c>
      <c r="J1199" s="12">
        <f t="shared" si="57"/>
        <v>0.18842761437908495</v>
      </c>
    </row>
    <row r="1200" spans="1:10" ht="15" customHeight="1">
      <c r="A1200" s="14">
        <v>46368</v>
      </c>
      <c r="B1200" s="10">
        <f>VLOOKUP(A1200,'BADI SID DATA'!A:B,2,0)</f>
        <v>256</v>
      </c>
      <c r="F1200" s="62">
        <v>1</v>
      </c>
      <c r="G1200" s="62">
        <v>1</v>
      </c>
      <c r="H1200" s="2">
        <f t="shared" si="55"/>
        <v>345953.1</v>
      </c>
      <c r="I1200" s="12">
        <f t="shared" si="56"/>
        <v>0</v>
      </c>
      <c r="J1200" s="12">
        <f t="shared" si="57"/>
        <v>0.18769156901041664</v>
      </c>
    </row>
    <row r="1201" spans="1:10" ht="15" customHeight="1">
      <c r="A1201" s="14">
        <v>46369</v>
      </c>
      <c r="B1201" s="10">
        <f>VLOOKUP(A1201,'BADI SID DATA'!A:B,2,0)</f>
        <v>257</v>
      </c>
      <c r="F1201" s="62">
        <v>1</v>
      </c>
      <c r="G1201" s="62">
        <v>1</v>
      </c>
      <c r="H1201" s="2">
        <f t="shared" si="55"/>
        <v>345953.1</v>
      </c>
      <c r="I1201" s="12">
        <f t="shared" si="56"/>
        <v>0</v>
      </c>
      <c r="J1201" s="12">
        <f t="shared" si="57"/>
        <v>0.18696125162127106</v>
      </c>
    </row>
    <row r="1202" spans="1:10" ht="15" customHeight="1">
      <c r="A1202" s="14">
        <v>46370</v>
      </c>
      <c r="B1202" s="10">
        <f>VLOOKUP(A1202,'BADI SID DATA'!A:B,2,0)</f>
        <v>258</v>
      </c>
      <c r="F1202" s="62">
        <v>1</v>
      </c>
      <c r="G1202" s="62">
        <v>1</v>
      </c>
      <c r="H1202" s="2">
        <f t="shared" si="55"/>
        <v>345953.1</v>
      </c>
      <c r="I1202" s="12">
        <f t="shared" si="56"/>
        <v>0</v>
      </c>
      <c r="J1202" s="12">
        <f t="shared" si="57"/>
        <v>0.18623659560723513</v>
      </c>
    </row>
    <row r="1203" spans="1:10" ht="15" customHeight="1">
      <c r="A1203" s="14">
        <v>46371</v>
      </c>
      <c r="B1203" s="10">
        <f>VLOOKUP(A1203,'BADI SID DATA'!A:B,2,0)</f>
        <v>259</v>
      </c>
      <c r="F1203" s="62">
        <v>1</v>
      </c>
      <c r="G1203" s="62">
        <v>1</v>
      </c>
      <c r="H1203" s="2">
        <f t="shared" si="55"/>
        <v>345953.1</v>
      </c>
      <c r="I1203" s="12">
        <f t="shared" si="56"/>
        <v>0</v>
      </c>
      <c r="J1203" s="12">
        <f t="shared" si="57"/>
        <v>0.18551753539253538</v>
      </c>
    </row>
    <row r="1204" spans="1:10" ht="15" customHeight="1">
      <c r="A1204" s="14">
        <v>46372</v>
      </c>
      <c r="B1204" s="10">
        <f>VLOOKUP(A1204,'BADI SID DATA'!A:B,2,0)</f>
        <v>260</v>
      </c>
      <c r="F1204" s="62">
        <v>1</v>
      </c>
      <c r="G1204" s="62">
        <v>1</v>
      </c>
      <c r="H1204" s="2">
        <f t="shared" si="55"/>
        <v>345953.1</v>
      </c>
      <c r="I1204" s="12">
        <f t="shared" si="56"/>
        <v>0</v>
      </c>
      <c r="J1204" s="12">
        <f t="shared" si="57"/>
        <v>0.18480400641025641</v>
      </c>
    </row>
    <row r="1205" spans="1:10" ht="15" customHeight="1">
      <c r="A1205" s="14">
        <v>46373</v>
      </c>
      <c r="B1205" s="10">
        <f>VLOOKUP(A1205,'BADI SID DATA'!A:B,2,0)</f>
        <v>261</v>
      </c>
      <c r="F1205" s="62">
        <v>1</v>
      </c>
      <c r="G1205" s="62">
        <v>1</v>
      </c>
      <c r="H1205" s="2">
        <f t="shared" si="55"/>
        <v>345953.1</v>
      </c>
      <c r="I1205" s="12">
        <f t="shared" si="56"/>
        <v>0</v>
      </c>
      <c r="J1205" s="12">
        <f t="shared" si="57"/>
        <v>0.18409594508301402</v>
      </c>
    </row>
    <row r="1206" spans="1:10" ht="15" customHeight="1">
      <c r="A1206" s="14">
        <v>46374</v>
      </c>
      <c r="B1206" s="10">
        <f>VLOOKUP(A1206,'BADI SID DATA'!A:B,2,0)</f>
        <v>262</v>
      </c>
      <c r="F1206" s="62">
        <v>1</v>
      </c>
      <c r="G1206" s="62">
        <v>1</v>
      </c>
      <c r="H1206" s="2">
        <f t="shared" si="55"/>
        <v>345953.1</v>
      </c>
      <c r="I1206" s="12">
        <f t="shared" si="56"/>
        <v>0</v>
      </c>
      <c r="J1206" s="12">
        <f t="shared" si="57"/>
        <v>0.18339328880407124</v>
      </c>
    </row>
    <row r="1207" spans="1:10" ht="15" customHeight="1">
      <c r="A1207" s="14">
        <v>46375</v>
      </c>
      <c r="B1207" s="10">
        <f>VLOOKUP(A1207,'BADI SID DATA'!A:B,2,0)</f>
        <v>263</v>
      </c>
      <c r="F1207" s="62">
        <v>1</v>
      </c>
      <c r="G1207" s="62">
        <v>1</v>
      </c>
      <c r="H1207" s="2">
        <f t="shared" si="55"/>
        <v>345953.1</v>
      </c>
      <c r="I1207" s="12">
        <f t="shared" si="56"/>
        <v>0</v>
      </c>
      <c r="J1207" s="12">
        <f t="shared" si="57"/>
        <v>0.18269597591888465</v>
      </c>
    </row>
    <row r="1208" spans="1:10" ht="15" customHeight="1">
      <c r="A1208" s="14">
        <v>46376</v>
      </c>
      <c r="B1208" s="10">
        <f>VLOOKUP(A1208,'BADI SID DATA'!A:B,2,0)</f>
        <v>264</v>
      </c>
      <c r="F1208" s="62">
        <v>1</v>
      </c>
      <c r="G1208" s="62">
        <v>1</v>
      </c>
      <c r="H1208" s="2">
        <f t="shared" si="55"/>
        <v>345953.1</v>
      </c>
      <c r="I1208" s="12">
        <f t="shared" si="56"/>
        <v>0</v>
      </c>
      <c r="J1208" s="12">
        <f t="shared" si="57"/>
        <v>0.18200394570707071</v>
      </c>
    </row>
    <row r="1209" spans="1:10" ht="15" customHeight="1">
      <c r="A1209" s="14">
        <v>46377</v>
      </c>
      <c r="B1209" s="10">
        <f>VLOOKUP(A1209,'BADI SID DATA'!A:B,2,0)</f>
        <v>265</v>
      </c>
      <c r="F1209" s="62">
        <v>1</v>
      </c>
      <c r="G1209" s="62">
        <v>1</v>
      </c>
      <c r="H1209" s="2">
        <f t="shared" si="55"/>
        <v>345953.1</v>
      </c>
      <c r="I1209" s="12">
        <f t="shared" si="56"/>
        <v>0</v>
      </c>
      <c r="J1209" s="12">
        <f t="shared" si="57"/>
        <v>0.18131713836477986</v>
      </c>
    </row>
    <row r="1210" spans="1:10" ht="15" customHeight="1">
      <c r="A1210" s="14">
        <v>46378</v>
      </c>
      <c r="B1210" s="10">
        <f>VLOOKUP(A1210,'BADI SID DATA'!A:B,2,0)</f>
        <v>266</v>
      </c>
      <c r="F1210" s="62">
        <v>1</v>
      </c>
      <c r="G1210" s="62">
        <v>1</v>
      </c>
      <c r="H1210" s="2">
        <f t="shared" si="55"/>
        <v>345953.1</v>
      </c>
      <c r="I1210" s="12">
        <f t="shared" si="56"/>
        <v>0</v>
      </c>
      <c r="J1210" s="12">
        <f t="shared" si="57"/>
        <v>0.18063549498746867</v>
      </c>
    </row>
    <row r="1211" spans="1:10" ht="15" customHeight="1">
      <c r="A1211" s="14">
        <v>46379</v>
      </c>
      <c r="B1211" s="10">
        <f>VLOOKUP(A1211,'BADI SID DATA'!A:B,2,0)</f>
        <v>267</v>
      </c>
      <c r="F1211" s="62">
        <v>1</v>
      </c>
      <c r="G1211" s="62">
        <v>1</v>
      </c>
      <c r="H1211" s="2">
        <f t="shared" si="55"/>
        <v>345953.1</v>
      </c>
      <c r="I1211" s="12">
        <f t="shared" si="56"/>
        <v>0</v>
      </c>
      <c r="J1211" s="12">
        <f t="shared" si="57"/>
        <v>0.17995895755305866</v>
      </c>
    </row>
    <row r="1212" spans="1:10" ht="15" customHeight="1">
      <c r="A1212" s="14">
        <v>46380</v>
      </c>
      <c r="B1212" s="10">
        <f>VLOOKUP(A1212,'BADI SID DATA'!A:B,2,0)</f>
        <v>268</v>
      </c>
      <c r="F1212" s="62">
        <v>1</v>
      </c>
      <c r="G1212" s="62">
        <v>1</v>
      </c>
      <c r="H1212" s="2">
        <f t="shared" si="55"/>
        <v>345953.1</v>
      </c>
      <c r="I1212" s="12">
        <f t="shared" si="56"/>
        <v>0</v>
      </c>
      <c r="J1212" s="12">
        <f t="shared" si="57"/>
        <v>0.17928746890547262</v>
      </c>
    </row>
    <row r="1213" spans="1:10" ht="15" customHeight="1">
      <c r="A1213" s="14">
        <v>46381</v>
      </c>
      <c r="B1213" s="10">
        <f>VLOOKUP(A1213,'BADI SID DATA'!A:B,2,0)</f>
        <v>269</v>
      </c>
      <c r="F1213" s="62">
        <v>1</v>
      </c>
      <c r="G1213" s="62">
        <v>1</v>
      </c>
      <c r="H1213" s="2">
        <f t="shared" si="55"/>
        <v>345953.1</v>
      </c>
      <c r="I1213" s="12">
        <f t="shared" si="56"/>
        <v>0</v>
      </c>
      <c r="J1213" s="12">
        <f t="shared" si="57"/>
        <v>0.17862097273853778</v>
      </c>
    </row>
    <row r="1214" spans="1:10" ht="15" customHeight="1">
      <c r="A1214" s="14">
        <v>46382</v>
      </c>
      <c r="B1214" s="10">
        <f>VLOOKUP(A1214,'BADI SID DATA'!A:B,2,0)</f>
        <v>270</v>
      </c>
      <c r="F1214" s="62">
        <v>1</v>
      </c>
      <c r="G1214" s="62">
        <v>1</v>
      </c>
      <c r="H1214" s="2">
        <f t="shared" si="55"/>
        <v>345953.1</v>
      </c>
      <c r="I1214" s="12">
        <f t="shared" si="56"/>
        <v>0</v>
      </c>
      <c r="J1214" s="12">
        <f t="shared" si="57"/>
        <v>0.17795941358024689</v>
      </c>
    </row>
    <row r="1215" spans="1:10" ht="15" customHeight="1">
      <c r="A1215" s="14">
        <v>46383</v>
      </c>
      <c r="B1215" s="10">
        <f>VLOOKUP(A1215,'BADI SID DATA'!A:B,2,0)</f>
        <v>271</v>
      </c>
      <c r="F1215" s="62">
        <v>1</v>
      </c>
      <c r="G1215" s="62">
        <v>1</v>
      </c>
      <c r="H1215" s="2">
        <f t="shared" si="55"/>
        <v>345953.1</v>
      </c>
      <c r="I1215" s="12">
        <f t="shared" si="56"/>
        <v>0</v>
      </c>
      <c r="J1215" s="12">
        <f t="shared" si="57"/>
        <v>0.17730273677736777</v>
      </c>
    </row>
    <row r="1216" spans="1:10" ht="15" customHeight="1">
      <c r="A1216" s="14">
        <v>46384</v>
      </c>
      <c r="B1216" s="10">
        <f>VLOOKUP(A1216,'BADI SID DATA'!A:B,2,0)</f>
        <v>272</v>
      </c>
      <c r="F1216" s="62">
        <v>1</v>
      </c>
      <c r="G1216" s="62">
        <v>1</v>
      </c>
      <c r="H1216" s="2">
        <f t="shared" si="55"/>
        <v>345953.1</v>
      </c>
      <c r="I1216" s="12">
        <f t="shared" si="56"/>
        <v>0</v>
      </c>
      <c r="J1216" s="12">
        <f t="shared" si="57"/>
        <v>0.17665088848039215</v>
      </c>
    </row>
    <row r="1217" spans="1:10" ht="15" customHeight="1">
      <c r="A1217" s="14">
        <v>46385</v>
      </c>
      <c r="B1217" s="10">
        <f>VLOOKUP(A1217,'BADI SID DATA'!A:B,2,0)</f>
        <v>273</v>
      </c>
      <c r="F1217" s="62">
        <v>1</v>
      </c>
      <c r="G1217" s="62">
        <v>1</v>
      </c>
      <c r="H1217" s="2">
        <f t="shared" si="55"/>
        <v>345953.1</v>
      </c>
      <c r="I1217" s="12">
        <f t="shared" si="56"/>
        <v>0</v>
      </c>
      <c r="J1217" s="12">
        <f t="shared" si="57"/>
        <v>0.17600381562881562</v>
      </c>
    </row>
    <row r="1218" spans="1:10" ht="15" customHeight="1">
      <c r="A1218" s="14">
        <v>46386</v>
      </c>
      <c r="B1218" s="10">
        <f>VLOOKUP(A1218,'BADI SID DATA'!A:B,2,0)</f>
        <v>274</v>
      </c>
      <c r="F1218" s="62">
        <v>1</v>
      </c>
      <c r="G1218" s="62">
        <v>1</v>
      </c>
      <c r="H1218" s="2">
        <f t="shared" si="55"/>
        <v>345953.1</v>
      </c>
      <c r="I1218" s="12">
        <f t="shared" si="56"/>
        <v>0</v>
      </c>
      <c r="J1218" s="12">
        <f t="shared" si="57"/>
        <v>0.17536146593673965</v>
      </c>
    </row>
    <row r="1219" spans="1:10" ht="15" customHeight="1">
      <c r="A1219" s="14">
        <v>46387</v>
      </c>
      <c r="B1219" s="10">
        <f>VLOOKUP(A1219,'BADI SID DATA'!A:B,2,0)</f>
        <v>275</v>
      </c>
      <c r="F1219" s="62">
        <v>1</v>
      </c>
      <c r="G1219" s="62">
        <v>1</v>
      </c>
      <c r="H1219" s="2">
        <f t="shared" ref="H1219:H1282" si="58">H1218+C1219</f>
        <v>345953.1</v>
      </c>
      <c r="I1219" s="12">
        <f t="shared" ref="I1219:I1282" si="59">C1219/(300*24)</f>
        <v>0</v>
      </c>
      <c r="J1219" s="12">
        <f t="shared" ref="J1219:J1282" si="60">H1219/(24*B1219*300)</f>
        <v>0.17472378787878787</v>
      </c>
    </row>
    <row r="1220" spans="1:10" ht="15" customHeight="1">
      <c r="A1220" s="14">
        <v>46388</v>
      </c>
      <c r="B1220" s="10">
        <f>VLOOKUP(A1220,'BADI SID DATA'!A:B,2,0)</f>
        <v>276</v>
      </c>
      <c r="F1220" s="62">
        <v>1</v>
      </c>
      <c r="G1220" s="62">
        <v>1</v>
      </c>
      <c r="H1220" s="2">
        <f t="shared" si="58"/>
        <v>345953.1</v>
      </c>
      <c r="I1220" s="12">
        <f t="shared" si="59"/>
        <v>0</v>
      </c>
      <c r="J1220" s="12">
        <f t="shared" si="60"/>
        <v>0.17409073067632849</v>
      </c>
    </row>
    <row r="1221" spans="1:10" ht="15" customHeight="1">
      <c r="A1221" s="14">
        <v>46389</v>
      </c>
      <c r="B1221" s="10">
        <f>VLOOKUP(A1221,'BADI SID DATA'!A:B,2,0)</f>
        <v>277</v>
      </c>
      <c r="F1221" s="62">
        <v>1</v>
      </c>
      <c r="G1221" s="62">
        <v>1</v>
      </c>
      <c r="H1221" s="2">
        <f t="shared" si="58"/>
        <v>345953.1</v>
      </c>
      <c r="I1221" s="12">
        <f t="shared" si="59"/>
        <v>0</v>
      </c>
      <c r="J1221" s="12">
        <f t="shared" si="60"/>
        <v>0.17346224428399518</v>
      </c>
    </row>
    <row r="1222" spans="1:10" ht="15" customHeight="1">
      <c r="A1222" s="14">
        <v>46390</v>
      </c>
      <c r="B1222" s="10">
        <f>VLOOKUP(A1222,'BADI SID DATA'!A:B,2,0)</f>
        <v>278</v>
      </c>
      <c r="F1222" s="62">
        <v>1</v>
      </c>
      <c r="G1222" s="62">
        <v>1</v>
      </c>
      <c r="H1222" s="2">
        <f t="shared" si="58"/>
        <v>345953.1</v>
      </c>
      <c r="I1222" s="12">
        <f t="shared" si="59"/>
        <v>0</v>
      </c>
      <c r="J1222" s="12">
        <f t="shared" si="60"/>
        <v>0.17283827937649879</v>
      </c>
    </row>
    <row r="1223" spans="1:10" ht="15" customHeight="1">
      <c r="A1223" s="14">
        <v>46391</v>
      </c>
      <c r="B1223" s="10">
        <f>VLOOKUP(A1223,'BADI SID DATA'!A:B,2,0)</f>
        <v>279</v>
      </c>
      <c r="F1223" s="62">
        <v>1</v>
      </c>
      <c r="G1223" s="62">
        <v>1</v>
      </c>
      <c r="H1223" s="2">
        <f t="shared" si="58"/>
        <v>345953.1</v>
      </c>
      <c r="I1223" s="12">
        <f t="shared" si="59"/>
        <v>0</v>
      </c>
      <c r="J1223" s="12">
        <f t="shared" si="60"/>
        <v>0.17221878733572279</v>
      </c>
    </row>
    <row r="1224" spans="1:10" ht="15" customHeight="1">
      <c r="A1224" s="14">
        <v>46392</v>
      </c>
      <c r="B1224" s="10">
        <f>VLOOKUP(A1224,'BADI SID DATA'!A:B,2,0)</f>
        <v>280</v>
      </c>
      <c r="F1224" s="62">
        <v>1</v>
      </c>
      <c r="G1224" s="62">
        <v>1</v>
      </c>
      <c r="H1224" s="2">
        <f t="shared" si="58"/>
        <v>345953.1</v>
      </c>
      <c r="I1224" s="12">
        <f t="shared" si="59"/>
        <v>0</v>
      </c>
      <c r="J1224" s="12">
        <f t="shared" si="60"/>
        <v>0.17160372023809523</v>
      </c>
    </row>
    <row r="1225" spans="1:10" ht="15" customHeight="1">
      <c r="A1225" s="14">
        <v>46393</v>
      </c>
      <c r="B1225" s="10">
        <f>VLOOKUP(A1225,'BADI SID DATA'!A:B,2,0)</f>
        <v>281</v>
      </c>
      <c r="F1225" s="62">
        <v>1</v>
      </c>
      <c r="G1225" s="62">
        <v>1</v>
      </c>
      <c r="H1225" s="2">
        <f t="shared" si="58"/>
        <v>345953.1</v>
      </c>
      <c r="I1225" s="12">
        <f t="shared" si="59"/>
        <v>0</v>
      </c>
      <c r="J1225" s="12">
        <f t="shared" si="60"/>
        <v>0.17099303084223011</v>
      </c>
    </row>
    <row r="1226" spans="1:10" ht="15" customHeight="1">
      <c r="A1226" s="14">
        <v>46394</v>
      </c>
      <c r="B1226" s="10">
        <f>VLOOKUP(A1226,'BADI SID DATA'!A:B,2,0)</f>
        <v>282</v>
      </c>
      <c r="F1226" s="62">
        <v>1</v>
      </c>
      <c r="G1226" s="62">
        <v>1</v>
      </c>
      <c r="H1226" s="2">
        <f t="shared" si="58"/>
        <v>345953.1</v>
      </c>
      <c r="I1226" s="12">
        <f t="shared" si="59"/>
        <v>0</v>
      </c>
      <c r="J1226" s="12">
        <f t="shared" si="60"/>
        <v>0.17038667257683213</v>
      </c>
    </row>
    <row r="1227" spans="1:10" ht="15" customHeight="1">
      <c r="A1227" s="14">
        <v>46395</v>
      </c>
      <c r="B1227" s="10">
        <f>VLOOKUP(A1227,'BADI SID DATA'!A:B,2,0)</f>
        <v>283</v>
      </c>
      <c r="F1227" s="62">
        <v>1</v>
      </c>
      <c r="G1227" s="62">
        <v>1</v>
      </c>
      <c r="H1227" s="2">
        <f t="shared" si="58"/>
        <v>345953.1</v>
      </c>
      <c r="I1227" s="12">
        <f t="shared" si="59"/>
        <v>0</v>
      </c>
      <c r="J1227" s="12">
        <f t="shared" si="60"/>
        <v>0.16978459952885747</v>
      </c>
    </row>
    <row r="1228" spans="1:10" ht="15" customHeight="1">
      <c r="A1228" s="14">
        <v>46396</v>
      </c>
      <c r="B1228" s="10">
        <f>VLOOKUP(A1228,'BADI SID DATA'!A:B,2,0)</f>
        <v>284</v>
      </c>
      <c r="F1228" s="62">
        <v>1</v>
      </c>
      <c r="G1228" s="62">
        <v>1</v>
      </c>
      <c r="H1228" s="2">
        <f t="shared" si="58"/>
        <v>345953.1</v>
      </c>
      <c r="I1228" s="12">
        <f t="shared" si="59"/>
        <v>0</v>
      </c>
      <c r="J1228" s="12">
        <f t="shared" si="60"/>
        <v>0.16918676643192487</v>
      </c>
    </row>
    <row r="1229" spans="1:10" ht="15" customHeight="1">
      <c r="A1229" s="14">
        <v>46397</v>
      </c>
      <c r="B1229" s="10">
        <f>VLOOKUP(A1229,'BADI SID DATA'!A:B,2,0)</f>
        <v>285</v>
      </c>
      <c r="F1229" s="62">
        <v>1</v>
      </c>
      <c r="G1229" s="62">
        <v>1</v>
      </c>
      <c r="H1229" s="2">
        <f t="shared" si="58"/>
        <v>345953.1</v>
      </c>
      <c r="I1229" s="12">
        <f t="shared" si="59"/>
        <v>0</v>
      </c>
      <c r="J1229" s="12">
        <f t="shared" si="60"/>
        <v>0.16859312865497075</v>
      </c>
    </row>
    <row r="1230" spans="1:10" ht="15" customHeight="1">
      <c r="A1230" s="14">
        <v>46398</v>
      </c>
      <c r="B1230" s="10">
        <f>VLOOKUP(A1230,'BADI SID DATA'!A:B,2,0)</f>
        <v>286</v>
      </c>
      <c r="F1230" s="62">
        <v>1</v>
      </c>
      <c r="G1230" s="62">
        <v>1</v>
      </c>
      <c r="H1230" s="2">
        <f t="shared" si="58"/>
        <v>345953.1</v>
      </c>
      <c r="I1230" s="12">
        <f t="shared" si="59"/>
        <v>0</v>
      </c>
      <c r="J1230" s="12">
        <f t="shared" si="60"/>
        <v>0.16800364219114217</v>
      </c>
    </row>
    <row r="1231" spans="1:10" ht="15" customHeight="1">
      <c r="A1231" s="14">
        <v>46399</v>
      </c>
      <c r="B1231" s="10">
        <f>VLOOKUP(A1231,'BADI SID DATA'!A:B,2,0)</f>
        <v>287</v>
      </c>
      <c r="F1231" s="62">
        <v>1</v>
      </c>
      <c r="G1231" s="62">
        <v>1</v>
      </c>
      <c r="H1231" s="2">
        <f t="shared" si="58"/>
        <v>345953.1</v>
      </c>
      <c r="I1231" s="12">
        <f t="shared" si="59"/>
        <v>0</v>
      </c>
      <c r="J1231" s="12">
        <f t="shared" si="60"/>
        <v>0.16741826364692217</v>
      </c>
    </row>
    <row r="1232" spans="1:10" ht="15" customHeight="1">
      <c r="A1232" s="14">
        <v>46400</v>
      </c>
      <c r="B1232" s="10">
        <f>VLOOKUP(A1232,'BADI SID DATA'!A:B,2,0)</f>
        <v>288</v>
      </c>
      <c r="F1232" s="62">
        <v>1</v>
      </c>
      <c r="G1232" s="62">
        <v>1</v>
      </c>
      <c r="H1232" s="2">
        <f t="shared" si="58"/>
        <v>345953.1</v>
      </c>
      <c r="I1232" s="12">
        <f t="shared" si="59"/>
        <v>0</v>
      </c>
      <c r="J1232" s="12">
        <f t="shared" si="60"/>
        <v>0.16683695023148146</v>
      </c>
    </row>
    <row r="1233" spans="1:10" ht="15" customHeight="1">
      <c r="A1233" s="14">
        <v>46401</v>
      </c>
      <c r="B1233" s="10">
        <f>VLOOKUP(A1233,'BADI SID DATA'!A:B,2,0)</f>
        <v>289</v>
      </c>
      <c r="F1233" s="62">
        <v>1</v>
      </c>
      <c r="G1233" s="62">
        <v>1</v>
      </c>
      <c r="H1233" s="2">
        <f t="shared" si="58"/>
        <v>345953.1</v>
      </c>
      <c r="I1233" s="12">
        <f t="shared" si="59"/>
        <v>0</v>
      </c>
      <c r="J1233" s="12">
        <f t="shared" si="60"/>
        <v>0.16625965974625143</v>
      </c>
    </row>
    <row r="1234" spans="1:10" ht="15" customHeight="1">
      <c r="A1234" s="14">
        <v>46402</v>
      </c>
      <c r="B1234" s="10">
        <f>VLOOKUP(A1234,'BADI SID DATA'!A:B,2,0)</f>
        <v>290</v>
      </c>
      <c r="F1234" s="62">
        <v>1</v>
      </c>
      <c r="G1234" s="62">
        <v>1</v>
      </c>
      <c r="H1234" s="2">
        <f t="shared" si="58"/>
        <v>345953.1</v>
      </c>
      <c r="I1234" s="12">
        <f t="shared" si="59"/>
        <v>0</v>
      </c>
      <c r="J1234" s="12">
        <f t="shared" si="60"/>
        <v>0.16568635057471262</v>
      </c>
    </row>
    <row r="1235" spans="1:10" ht="15" customHeight="1">
      <c r="A1235" s="14">
        <v>46403</v>
      </c>
      <c r="B1235" s="10">
        <f>VLOOKUP(A1235,'BADI SID DATA'!A:B,2,0)</f>
        <v>291</v>
      </c>
      <c r="F1235" s="62">
        <v>1</v>
      </c>
      <c r="G1235" s="62">
        <v>1</v>
      </c>
      <c r="H1235" s="2">
        <f t="shared" si="58"/>
        <v>345953.1</v>
      </c>
      <c r="I1235" s="12">
        <f t="shared" si="59"/>
        <v>0</v>
      </c>
      <c r="J1235" s="12">
        <f t="shared" si="60"/>
        <v>0.16511698167239403</v>
      </c>
    </row>
    <row r="1236" spans="1:10" ht="15" customHeight="1">
      <c r="A1236" s="14">
        <v>46404</v>
      </c>
      <c r="B1236" s="10">
        <f>VLOOKUP(A1236,'BADI SID DATA'!A:B,2,0)</f>
        <v>292</v>
      </c>
      <c r="F1236" s="62">
        <v>1</v>
      </c>
      <c r="G1236" s="62">
        <v>1</v>
      </c>
      <c r="H1236" s="2">
        <f t="shared" si="58"/>
        <v>345953.1</v>
      </c>
      <c r="I1236" s="12">
        <f t="shared" si="59"/>
        <v>0</v>
      </c>
      <c r="J1236" s="12">
        <f t="shared" si="60"/>
        <v>0.16455151255707762</v>
      </c>
    </row>
    <row r="1237" spans="1:10" ht="15" customHeight="1">
      <c r="A1237" s="14">
        <v>46405</v>
      </c>
      <c r="B1237" s="10">
        <f>VLOOKUP(A1237,'BADI SID DATA'!A:B,2,0)</f>
        <v>293</v>
      </c>
      <c r="F1237" s="62">
        <v>1</v>
      </c>
      <c r="G1237" s="62">
        <v>1</v>
      </c>
      <c r="H1237" s="2">
        <f t="shared" si="58"/>
        <v>345953.1</v>
      </c>
      <c r="I1237" s="12">
        <f t="shared" si="59"/>
        <v>0</v>
      </c>
      <c r="J1237" s="12">
        <f t="shared" si="60"/>
        <v>0.16398990329920363</v>
      </c>
    </row>
    <row r="1238" spans="1:10" ht="15" customHeight="1">
      <c r="A1238" s="14">
        <v>46406</v>
      </c>
      <c r="B1238" s="10">
        <f>VLOOKUP(A1238,'BADI SID DATA'!A:B,2,0)</f>
        <v>294</v>
      </c>
      <c r="F1238" s="62">
        <v>1</v>
      </c>
      <c r="G1238" s="62">
        <v>1</v>
      </c>
      <c r="H1238" s="2">
        <f t="shared" si="58"/>
        <v>345953.1</v>
      </c>
      <c r="I1238" s="12">
        <f t="shared" si="59"/>
        <v>0</v>
      </c>
      <c r="J1238" s="12">
        <f t="shared" si="60"/>
        <v>0.16343211451247164</v>
      </c>
    </row>
    <row r="1239" spans="1:10" ht="15" customHeight="1">
      <c r="A1239" s="14">
        <v>46407</v>
      </c>
      <c r="B1239" s="10">
        <f>VLOOKUP(A1239,'BADI SID DATA'!A:B,2,0)</f>
        <v>295</v>
      </c>
      <c r="F1239" s="62">
        <v>1</v>
      </c>
      <c r="G1239" s="62">
        <v>1</v>
      </c>
      <c r="H1239" s="2">
        <f t="shared" si="58"/>
        <v>345953.1</v>
      </c>
      <c r="I1239" s="12">
        <f t="shared" si="59"/>
        <v>0</v>
      </c>
      <c r="J1239" s="12">
        <f t="shared" si="60"/>
        <v>0.16287810734463276</v>
      </c>
    </row>
    <row r="1240" spans="1:10" ht="15" customHeight="1">
      <c r="A1240" s="14">
        <v>46408</v>
      </c>
      <c r="B1240" s="10">
        <f>VLOOKUP(A1240,'BADI SID DATA'!A:B,2,0)</f>
        <v>296</v>
      </c>
      <c r="F1240" s="62">
        <v>1</v>
      </c>
      <c r="G1240" s="62">
        <v>1</v>
      </c>
      <c r="H1240" s="2">
        <f t="shared" si="58"/>
        <v>345953.1</v>
      </c>
      <c r="I1240" s="12">
        <f t="shared" si="59"/>
        <v>0</v>
      </c>
      <c r="J1240" s="12">
        <f t="shared" si="60"/>
        <v>0.16232784346846846</v>
      </c>
    </row>
    <row r="1241" spans="1:10" ht="15" customHeight="1">
      <c r="A1241" s="14">
        <v>46409</v>
      </c>
      <c r="B1241" s="10">
        <f>VLOOKUP(A1241,'BADI SID DATA'!A:B,2,0)</f>
        <v>297</v>
      </c>
      <c r="F1241" s="62">
        <v>1</v>
      </c>
      <c r="G1241" s="62">
        <v>1</v>
      </c>
      <c r="H1241" s="2">
        <f t="shared" si="58"/>
        <v>345953.1</v>
      </c>
      <c r="I1241" s="12">
        <f t="shared" si="59"/>
        <v>0</v>
      </c>
      <c r="J1241" s="12">
        <f t="shared" si="60"/>
        <v>0.16178128507295172</v>
      </c>
    </row>
    <row r="1242" spans="1:10" ht="15" customHeight="1">
      <c r="A1242" s="14">
        <v>46410</v>
      </c>
      <c r="B1242" s="10">
        <f>VLOOKUP(A1242,'BADI SID DATA'!A:B,2,0)</f>
        <v>298</v>
      </c>
      <c r="F1242" s="62">
        <v>1</v>
      </c>
      <c r="G1242" s="62">
        <v>1</v>
      </c>
      <c r="H1242" s="2">
        <f t="shared" si="58"/>
        <v>345953.1</v>
      </c>
      <c r="I1242" s="12">
        <f t="shared" si="59"/>
        <v>0</v>
      </c>
      <c r="J1242" s="12">
        <f t="shared" si="60"/>
        <v>0.16123839485458613</v>
      </c>
    </row>
    <row r="1243" spans="1:10" ht="15" customHeight="1">
      <c r="A1243" s="14">
        <v>46411</v>
      </c>
      <c r="B1243" s="10">
        <f>VLOOKUP(A1243,'BADI SID DATA'!A:B,2,0)</f>
        <v>299</v>
      </c>
      <c r="F1243" s="62">
        <v>1</v>
      </c>
      <c r="G1243" s="62">
        <v>1</v>
      </c>
      <c r="H1243" s="2">
        <f t="shared" si="58"/>
        <v>345953.1</v>
      </c>
      <c r="I1243" s="12">
        <f t="shared" si="59"/>
        <v>0</v>
      </c>
      <c r="J1243" s="12">
        <f t="shared" si="60"/>
        <v>0.16069913600891861</v>
      </c>
    </row>
    <row r="1244" spans="1:10" ht="15" customHeight="1">
      <c r="A1244" s="14">
        <v>46412</v>
      </c>
      <c r="B1244" s="10">
        <f>VLOOKUP(A1244,'BADI SID DATA'!A:B,2,0)</f>
        <v>300</v>
      </c>
      <c r="F1244" s="62">
        <v>1</v>
      </c>
      <c r="G1244" s="62">
        <v>1</v>
      </c>
      <c r="H1244" s="2">
        <f t="shared" si="58"/>
        <v>345953.1</v>
      </c>
      <c r="I1244" s="12">
        <f t="shared" si="59"/>
        <v>0</v>
      </c>
      <c r="J1244" s="12">
        <f t="shared" si="60"/>
        <v>0.16016347222222221</v>
      </c>
    </row>
    <row r="1245" spans="1:10" ht="15" customHeight="1">
      <c r="A1245" s="14">
        <v>46413</v>
      </c>
      <c r="B1245" s="10">
        <f>VLOOKUP(A1245,'BADI SID DATA'!A:B,2,0)</f>
        <v>301</v>
      </c>
      <c r="F1245" s="62">
        <v>1</v>
      </c>
      <c r="G1245" s="62">
        <v>1</v>
      </c>
      <c r="H1245" s="2">
        <f t="shared" si="58"/>
        <v>345953.1</v>
      </c>
      <c r="I1245" s="12">
        <f t="shared" si="59"/>
        <v>0</v>
      </c>
      <c r="J1245" s="12">
        <f t="shared" si="60"/>
        <v>0.1596313676633444</v>
      </c>
    </row>
    <row r="1246" spans="1:10" ht="15" customHeight="1">
      <c r="A1246" s="14">
        <v>46414</v>
      </c>
      <c r="B1246" s="10">
        <f>VLOOKUP(A1246,'BADI SID DATA'!A:B,2,0)</f>
        <v>302</v>
      </c>
      <c r="F1246" s="62">
        <v>1</v>
      </c>
      <c r="G1246" s="62">
        <v>1</v>
      </c>
      <c r="H1246" s="2">
        <f t="shared" si="58"/>
        <v>345953.1</v>
      </c>
      <c r="I1246" s="12">
        <f t="shared" si="59"/>
        <v>0</v>
      </c>
      <c r="J1246" s="12">
        <f t="shared" si="60"/>
        <v>0.15910278697571742</v>
      </c>
    </row>
    <row r="1247" spans="1:10" ht="15" customHeight="1">
      <c r="A1247" s="14">
        <v>46415</v>
      </c>
      <c r="B1247" s="10">
        <f>VLOOKUP(A1247,'BADI SID DATA'!A:B,2,0)</f>
        <v>303</v>
      </c>
      <c r="F1247" s="62">
        <v>1</v>
      </c>
      <c r="G1247" s="62">
        <v>1</v>
      </c>
      <c r="H1247" s="2">
        <f t="shared" si="58"/>
        <v>345953.1</v>
      </c>
      <c r="I1247" s="12">
        <f t="shared" si="59"/>
        <v>0</v>
      </c>
      <c r="J1247" s="12">
        <f t="shared" si="60"/>
        <v>0.15857769526952695</v>
      </c>
    </row>
    <row r="1248" spans="1:10" ht="15" customHeight="1">
      <c r="A1248" s="14">
        <v>46416</v>
      </c>
      <c r="B1248" s="10">
        <f>VLOOKUP(A1248,'BADI SID DATA'!A:B,2,0)</f>
        <v>304</v>
      </c>
      <c r="F1248" s="62">
        <v>1</v>
      </c>
      <c r="G1248" s="62">
        <v>1</v>
      </c>
      <c r="H1248" s="2">
        <f t="shared" si="58"/>
        <v>345953.1</v>
      </c>
      <c r="I1248" s="12">
        <f t="shared" si="59"/>
        <v>0</v>
      </c>
      <c r="J1248" s="12">
        <f t="shared" si="60"/>
        <v>0.15805605811403509</v>
      </c>
    </row>
    <row r="1249" spans="1:10" ht="15" customHeight="1">
      <c r="A1249" s="14">
        <v>46417</v>
      </c>
      <c r="B1249" s="10">
        <f>VLOOKUP(A1249,'BADI SID DATA'!A:B,2,0)</f>
        <v>305</v>
      </c>
      <c r="F1249" s="62">
        <v>1</v>
      </c>
      <c r="G1249" s="62">
        <v>1</v>
      </c>
      <c r="H1249" s="2">
        <f t="shared" si="58"/>
        <v>345953.1</v>
      </c>
      <c r="I1249" s="12">
        <f t="shared" si="59"/>
        <v>0</v>
      </c>
      <c r="J1249" s="12">
        <f t="shared" si="60"/>
        <v>0.15753784153005462</v>
      </c>
    </row>
    <row r="1250" spans="1:10" ht="15" customHeight="1">
      <c r="A1250" s="14">
        <v>46418</v>
      </c>
      <c r="B1250" s="10">
        <f>VLOOKUP(A1250,'BADI SID DATA'!A:B,2,0)</f>
        <v>306</v>
      </c>
      <c r="F1250" s="62">
        <v>1</v>
      </c>
      <c r="G1250" s="62">
        <v>1</v>
      </c>
      <c r="H1250" s="2">
        <f t="shared" si="58"/>
        <v>345953.1</v>
      </c>
      <c r="I1250" s="12">
        <f t="shared" si="59"/>
        <v>0</v>
      </c>
      <c r="J1250" s="12">
        <f t="shared" si="60"/>
        <v>0.15702301198257079</v>
      </c>
    </row>
    <row r="1251" spans="1:10" ht="15" customHeight="1">
      <c r="A1251" s="14">
        <v>46419</v>
      </c>
      <c r="B1251" s="10">
        <f>VLOOKUP(A1251,'BADI SID DATA'!A:B,2,0)</f>
        <v>307</v>
      </c>
      <c r="F1251" s="62">
        <v>1</v>
      </c>
      <c r="G1251" s="62">
        <v>1</v>
      </c>
      <c r="H1251" s="2">
        <f t="shared" si="58"/>
        <v>345953.1</v>
      </c>
      <c r="I1251" s="12">
        <f t="shared" si="59"/>
        <v>0</v>
      </c>
      <c r="J1251" s="12">
        <f t="shared" si="60"/>
        <v>0.15651153637350704</v>
      </c>
    </row>
    <row r="1252" spans="1:10" ht="15" customHeight="1">
      <c r="A1252" s="14">
        <v>46420</v>
      </c>
      <c r="B1252" s="10">
        <f>VLOOKUP(A1252,'BADI SID DATA'!A:B,2,0)</f>
        <v>308</v>
      </c>
      <c r="F1252" s="62">
        <v>1</v>
      </c>
      <c r="G1252" s="62">
        <v>1</v>
      </c>
      <c r="H1252" s="2">
        <f t="shared" si="58"/>
        <v>345953.1</v>
      </c>
      <c r="I1252" s="12">
        <f t="shared" si="59"/>
        <v>0</v>
      </c>
      <c r="J1252" s="12">
        <f t="shared" si="60"/>
        <v>0.15600338203463202</v>
      </c>
    </row>
    <row r="1253" spans="1:10" ht="15" customHeight="1">
      <c r="A1253" s="14">
        <v>46421</v>
      </c>
      <c r="B1253" s="10">
        <f>VLOOKUP(A1253,'BADI SID DATA'!A:B,2,0)</f>
        <v>309</v>
      </c>
      <c r="F1253" s="62">
        <v>1</v>
      </c>
      <c r="G1253" s="62">
        <v>1</v>
      </c>
      <c r="H1253" s="2">
        <f t="shared" si="58"/>
        <v>345953.1</v>
      </c>
      <c r="I1253" s="12">
        <f t="shared" si="59"/>
        <v>0</v>
      </c>
      <c r="J1253" s="12">
        <f t="shared" si="60"/>
        <v>0.15549851672060408</v>
      </c>
    </row>
    <row r="1254" spans="1:10" ht="15" customHeight="1">
      <c r="A1254" s="14">
        <v>46422</v>
      </c>
      <c r="B1254" s="10">
        <f>VLOOKUP(A1254,'BADI SID DATA'!A:B,2,0)</f>
        <v>310</v>
      </c>
      <c r="F1254" s="62">
        <v>1</v>
      </c>
      <c r="G1254" s="62">
        <v>1</v>
      </c>
      <c r="H1254" s="2">
        <f t="shared" si="58"/>
        <v>345953.1</v>
      </c>
      <c r="I1254" s="12">
        <f t="shared" si="59"/>
        <v>0</v>
      </c>
      <c r="J1254" s="12">
        <f t="shared" si="60"/>
        <v>0.15499690860215054</v>
      </c>
    </row>
    <row r="1255" spans="1:10" ht="15" customHeight="1">
      <c r="A1255" s="14">
        <v>46423</v>
      </c>
      <c r="B1255" s="10">
        <f>VLOOKUP(A1255,'BADI SID DATA'!A:B,2,0)</f>
        <v>311</v>
      </c>
      <c r="F1255" s="62">
        <v>1</v>
      </c>
      <c r="G1255" s="62">
        <v>1</v>
      </c>
      <c r="H1255" s="2">
        <f t="shared" si="58"/>
        <v>345953.1</v>
      </c>
      <c r="I1255" s="12">
        <f t="shared" si="59"/>
        <v>0</v>
      </c>
      <c r="J1255" s="12">
        <f t="shared" si="60"/>
        <v>0.15449852625937835</v>
      </c>
    </row>
    <row r="1256" spans="1:10" ht="15" customHeight="1">
      <c r="A1256" s="14">
        <v>46424</v>
      </c>
      <c r="B1256" s="10">
        <f>VLOOKUP(A1256,'BADI SID DATA'!A:B,2,0)</f>
        <v>312</v>
      </c>
      <c r="F1256" s="62">
        <v>1</v>
      </c>
      <c r="G1256" s="62">
        <v>1</v>
      </c>
      <c r="H1256" s="2">
        <f t="shared" si="58"/>
        <v>345953.1</v>
      </c>
      <c r="I1256" s="12">
        <f t="shared" si="59"/>
        <v>0</v>
      </c>
      <c r="J1256" s="12">
        <f t="shared" si="60"/>
        <v>0.15400333867521365</v>
      </c>
    </row>
    <row r="1257" spans="1:10" ht="15" customHeight="1">
      <c r="A1257" s="14">
        <v>46425</v>
      </c>
      <c r="B1257" s="10">
        <f>VLOOKUP(A1257,'BADI SID DATA'!A:B,2,0)</f>
        <v>313</v>
      </c>
      <c r="F1257" s="62">
        <v>1</v>
      </c>
      <c r="G1257" s="62">
        <v>1</v>
      </c>
      <c r="H1257" s="2">
        <f t="shared" si="58"/>
        <v>345953.1</v>
      </c>
      <c r="I1257" s="12">
        <f t="shared" si="59"/>
        <v>0</v>
      </c>
      <c r="J1257" s="12">
        <f t="shared" si="60"/>
        <v>0.15351131522896697</v>
      </c>
    </row>
    <row r="1258" spans="1:10" ht="15" customHeight="1">
      <c r="A1258" s="14">
        <v>46426</v>
      </c>
      <c r="B1258" s="10">
        <f>VLOOKUP(A1258,'BADI SID DATA'!A:B,2,0)</f>
        <v>314</v>
      </c>
      <c r="F1258" s="62">
        <v>1</v>
      </c>
      <c r="G1258" s="62">
        <v>1</v>
      </c>
      <c r="H1258" s="2">
        <f t="shared" si="58"/>
        <v>345953.1</v>
      </c>
      <c r="I1258" s="12">
        <f t="shared" si="59"/>
        <v>0</v>
      </c>
      <c r="J1258" s="12">
        <f t="shared" si="60"/>
        <v>0.15302242569002122</v>
      </c>
    </row>
    <row r="1259" spans="1:10" ht="15" customHeight="1">
      <c r="A1259" s="14">
        <v>46427</v>
      </c>
      <c r="B1259" s="10">
        <f>VLOOKUP(A1259,'BADI SID DATA'!A:B,2,0)</f>
        <v>315</v>
      </c>
      <c r="F1259" s="62">
        <v>1</v>
      </c>
      <c r="G1259" s="62">
        <v>1</v>
      </c>
      <c r="H1259" s="2">
        <f t="shared" si="58"/>
        <v>345953.1</v>
      </c>
      <c r="I1259" s="12">
        <f t="shared" si="59"/>
        <v>0</v>
      </c>
      <c r="J1259" s="12">
        <f t="shared" si="60"/>
        <v>0.15253664021164021</v>
      </c>
    </row>
    <row r="1260" spans="1:10" ht="15" customHeight="1">
      <c r="A1260" s="14">
        <v>46428</v>
      </c>
      <c r="B1260" s="10">
        <f>VLOOKUP(A1260,'BADI SID DATA'!A:B,2,0)</f>
        <v>316</v>
      </c>
      <c r="F1260" s="62">
        <v>1</v>
      </c>
      <c r="G1260" s="62">
        <v>1</v>
      </c>
      <c r="H1260" s="2">
        <f t="shared" si="58"/>
        <v>345953.1</v>
      </c>
      <c r="I1260" s="12">
        <f t="shared" si="59"/>
        <v>0</v>
      </c>
      <c r="J1260" s="12">
        <f t="shared" si="60"/>
        <v>0.1520539293248945</v>
      </c>
    </row>
    <row r="1261" spans="1:10" ht="15" customHeight="1">
      <c r="A1261" s="14">
        <v>46429</v>
      </c>
      <c r="B1261" s="10">
        <f>VLOOKUP(A1261,'BADI SID DATA'!A:B,2,0)</f>
        <v>317</v>
      </c>
      <c r="F1261" s="62">
        <v>1</v>
      </c>
      <c r="G1261" s="62">
        <v>1</v>
      </c>
      <c r="H1261" s="2">
        <f t="shared" si="58"/>
        <v>345953.1</v>
      </c>
      <c r="I1261" s="12">
        <f t="shared" si="59"/>
        <v>0</v>
      </c>
      <c r="J1261" s="12">
        <f t="shared" si="60"/>
        <v>0.1515742639327024</v>
      </c>
    </row>
    <row r="1262" spans="1:10" ht="15" customHeight="1">
      <c r="A1262" s="14">
        <v>46430</v>
      </c>
      <c r="B1262" s="10">
        <f>VLOOKUP(A1262,'BADI SID DATA'!A:B,2,0)</f>
        <v>318</v>
      </c>
      <c r="F1262" s="62">
        <v>1</v>
      </c>
      <c r="G1262" s="62">
        <v>1</v>
      </c>
      <c r="H1262" s="2">
        <f t="shared" si="58"/>
        <v>345953.1</v>
      </c>
      <c r="I1262" s="12">
        <f t="shared" si="59"/>
        <v>0</v>
      </c>
      <c r="J1262" s="12">
        <f t="shared" si="60"/>
        <v>0.15109761530398322</v>
      </c>
    </row>
    <row r="1263" spans="1:10" ht="15" customHeight="1">
      <c r="A1263" s="14">
        <v>46431</v>
      </c>
      <c r="B1263" s="10">
        <f>VLOOKUP(A1263,'BADI SID DATA'!A:B,2,0)</f>
        <v>319</v>
      </c>
      <c r="F1263" s="62">
        <v>1</v>
      </c>
      <c r="G1263" s="62">
        <v>1</v>
      </c>
      <c r="H1263" s="2">
        <f t="shared" si="58"/>
        <v>345953.1</v>
      </c>
      <c r="I1263" s="12">
        <f t="shared" si="59"/>
        <v>0</v>
      </c>
      <c r="J1263" s="12">
        <f t="shared" si="60"/>
        <v>0.15062395506792056</v>
      </c>
    </row>
    <row r="1264" spans="1:10" ht="15" customHeight="1">
      <c r="A1264" s="14">
        <v>46432</v>
      </c>
      <c r="B1264" s="10">
        <f>VLOOKUP(A1264,'BADI SID DATA'!A:B,2,0)</f>
        <v>320</v>
      </c>
      <c r="F1264" s="62">
        <v>1</v>
      </c>
      <c r="G1264" s="62">
        <v>1</v>
      </c>
      <c r="H1264" s="2">
        <f t="shared" si="58"/>
        <v>345953.1</v>
      </c>
      <c r="I1264" s="12">
        <f t="shared" si="59"/>
        <v>0</v>
      </c>
      <c r="J1264" s="12">
        <f t="shared" si="60"/>
        <v>0.15015325520833334</v>
      </c>
    </row>
    <row r="1265" spans="1:10" ht="15" customHeight="1">
      <c r="A1265" s="14">
        <v>46433</v>
      </c>
      <c r="B1265" s="10">
        <f>VLOOKUP(A1265,'BADI SID DATA'!A:B,2,0)</f>
        <v>321</v>
      </c>
      <c r="F1265" s="62">
        <v>1</v>
      </c>
      <c r="G1265" s="62">
        <v>1</v>
      </c>
      <c r="H1265" s="2">
        <f t="shared" si="58"/>
        <v>345953.1</v>
      </c>
      <c r="I1265" s="12">
        <f t="shared" si="59"/>
        <v>0</v>
      </c>
      <c r="J1265" s="12">
        <f t="shared" si="60"/>
        <v>0.1496854880581516</v>
      </c>
    </row>
    <row r="1266" spans="1:10" ht="15" customHeight="1">
      <c r="A1266" s="14">
        <v>46434</v>
      </c>
      <c r="B1266" s="10">
        <f>VLOOKUP(A1266,'BADI SID DATA'!A:B,2,0)</f>
        <v>322</v>
      </c>
      <c r="F1266" s="62">
        <v>1</v>
      </c>
      <c r="G1266" s="62">
        <v>1</v>
      </c>
      <c r="H1266" s="2">
        <f t="shared" si="58"/>
        <v>345953.1</v>
      </c>
      <c r="I1266" s="12">
        <f t="shared" si="59"/>
        <v>0</v>
      </c>
      <c r="J1266" s="12">
        <f t="shared" si="60"/>
        <v>0.14922062629399585</v>
      </c>
    </row>
    <row r="1267" spans="1:10" ht="15" customHeight="1">
      <c r="A1267" s="14">
        <v>46435</v>
      </c>
      <c r="B1267" s="10">
        <f>VLOOKUP(A1267,'BADI SID DATA'!A:B,2,0)</f>
        <v>323</v>
      </c>
      <c r="F1267" s="62">
        <v>1</v>
      </c>
      <c r="G1267" s="62">
        <v>1</v>
      </c>
      <c r="H1267" s="2">
        <f t="shared" si="58"/>
        <v>345953.1</v>
      </c>
      <c r="I1267" s="12">
        <f t="shared" si="59"/>
        <v>0</v>
      </c>
      <c r="J1267" s="12">
        <f t="shared" si="60"/>
        <v>0.14875864293085655</v>
      </c>
    </row>
    <row r="1268" spans="1:10" ht="15" customHeight="1">
      <c r="A1268" s="14">
        <v>46436</v>
      </c>
      <c r="B1268" s="10">
        <f>VLOOKUP(A1268,'BADI SID DATA'!A:B,2,0)</f>
        <v>324</v>
      </c>
      <c r="F1268" s="62">
        <v>1</v>
      </c>
      <c r="G1268" s="62">
        <v>1</v>
      </c>
      <c r="H1268" s="2">
        <f t="shared" si="58"/>
        <v>345953.1</v>
      </c>
      <c r="I1268" s="12">
        <f t="shared" si="59"/>
        <v>0</v>
      </c>
      <c r="J1268" s="12">
        <f t="shared" si="60"/>
        <v>0.14829951131687241</v>
      </c>
    </row>
    <row r="1269" spans="1:10" ht="15" customHeight="1">
      <c r="A1269" s="14">
        <v>46437</v>
      </c>
      <c r="B1269" s="10">
        <f>VLOOKUP(A1269,'BADI SID DATA'!A:B,2,0)</f>
        <v>325</v>
      </c>
      <c r="F1269" s="62">
        <v>1</v>
      </c>
      <c r="G1269" s="62">
        <v>1</v>
      </c>
      <c r="H1269" s="2">
        <f t="shared" si="58"/>
        <v>345953.1</v>
      </c>
      <c r="I1269" s="12">
        <f t="shared" si="59"/>
        <v>0</v>
      </c>
      <c r="J1269" s="12">
        <f t="shared" si="60"/>
        <v>0.14784320512820512</v>
      </c>
    </row>
    <row r="1270" spans="1:10" ht="15" customHeight="1">
      <c r="A1270" s="14">
        <v>46438</v>
      </c>
      <c r="B1270" s="10">
        <f>VLOOKUP(A1270,'BADI SID DATA'!A:B,2,0)</f>
        <v>326</v>
      </c>
      <c r="F1270" s="62">
        <v>1</v>
      </c>
      <c r="G1270" s="62">
        <v>1</v>
      </c>
      <c r="H1270" s="2">
        <f t="shared" si="58"/>
        <v>345953.1</v>
      </c>
      <c r="I1270" s="12">
        <f t="shared" si="59"/>
        <v>0</v>
      </c>
      <c r="J1270" s="12">
        <f t="shared" si="60"/>
        <v>0.14738969836400817</v>
      </c>
    </row>
    <row r="1271" spans="1:10" ht="15" customHeight="1">
      <c r="A1271" s="14">
        <v>46439</v>
      </c>
      <c r="B1271" s="10">
        <f>VLOOKUP(A1271,'BADI SID DATA'!A:B,2,0)</f>
        <v>327</v>
      </c>
      <c r="F1271" s="62">
        <v>1</v>
      </c>
      <c r="G1271" s="62">
        <v>1</v>
      </c>
      <c r="H1271" s="2">
        <f t="shared" si="58"/>
        <v>345953.1</v>
      </c>
      <c r="I1271" s="12">
        <f t="shared" si="59"/>
        <v>0</v>
      </c>
      <c r="J1271" s="12">
        <f t="shared" si="60"/>
        <v>0.14693896534148826</v>
      </c>
    </row>
    <row r="1272" spans="1:10" ht="15" customHeight="1">
      <c r="A1272" s="14">
        <v>46440</v>
      </c>
      <c r="B1272" s="10">
        <f>VLOOKUP(A1272,'BADI SID DATA'!A:B,2,0)</f>
        <v>328</v>
      </c>
      <c r="F1272" s="62">
        <v>1</v>
      </c>
      <c r="G1272" s="62">
        <v>1</v>
      </c>
      <c r="H1272" s="2">
        <f t="shared" si="58"/>
        <v>345953.1</v>
      </c>
      <c r="I1272" s="12">
        <f t="shared" si="59"/>
        <v>0</v>
      </c>
      <c r="J1272" s="12">
        <f t="shared" si="60"/>
        <v>0.1464909806910569</v>
      </c>
    </row>
    <row r="1273" spans="1:10" ht="15" customHeight="1">
      <c r="A1273" s="14">
        <v>46441</v>
      </c>
      <c r="B1273" s="10">
        <f>VLOOKUP(A1273,'BADI SID DATA'!A:B,2,0)</f>
        <v>329</v>
      </c>
      <c r="F1273" s="62">
        <v>1</v>
      </c>
      <c r="G1273" s="62">
        <v>1</v>
      </c>
      <c r="H1273" s="2">
        <f t="shared" si="58"/>
        <v>345953.1</v>
      </c>
      <c r="I1273" s="12">
        <f t="shared" si="59"/>
        <v>0</v>
      </c>
      <c r="J1273" s="12">
        <f t="shared" si="60"/>
        <v>0.1460457193515704</v>
      </c>
    </row>
    <row r="1274" spans="1:10" ht="15" customHeight="1">
      <c r="A1274" s="14">
        <v>46442</v>
      </c>
      <c r="B1274" s="10">
        <f>VLOOKUP(A1274,'BADI SID DATA'!A:B,2,0)</f>
        <v>330</v>
      </c>
      <c r="F1274" s="62">
        <v>1</v>
      </c>
      <c r="G1274" s="62">
        <v>1</v>
      </c>
      <c r="H1274" s="2">
        <f t="shared" si="58"/>
        <v>345953.1</v>
      </c>
      <c r="I1274" s="12">
        <f t="shared" si="59"/>
        <v>0</v>
      </c>
      <c r="J1274" s="12">
        <f t="shared" si="60"/>
        <v>0.14560315656565656</v>
      </c>
    </row>
    <row r="1275" spans="1:10" ht="15" customHeight="1">
      <c r="A1275" s="14">
        <v>46443</v>
      </c>
      <c r="B1275" s="10">
        <f>VLOOKUP(A1275,'BADI SID DATA'!A:B,2,0)</f>
        <v>331</v>
      </c>
      <c r="F1275" s="62">
        <v>1</v>
      </c>
      <c r="G1275" s="62">
        <v>1</v>
      </c>
      <c r="H1275" s="2">
        <f t="shared" si="58"/>
        <v>345953.1</v>
      </c>
      <c r="I1275" s="12">
        <f t="shared" si="59"/>
        <v>0</v>
      </c>
      <c r="J1275" s="12">
        <f t="shared" si="60"/>
        <v>0.14516326787512587</v>
      </c>
    </row>
    <row r="1276" spans="1:10" ht="15" customHeight="1">
      <c r="A1276" s="14">
        <v>46444</v>
      </c>
      <c r="B1276" s="10">
        <f>VLOOKUP(A1276,'BADI SID DATA'!A:B,2,0)</f>
        <v>332</v>
      </c>
      <c r="F1276" s="62">
        <v>1</v>
      </c>
      <c r="G1276" s="62">
        <v>1</v>
      </c>
      <c r="H1276" s="2">
        <f t="shared" si="58"/>
        <v>345953.1</v>
      </c>
      <c r="I1276" s="12">
        <f t="shared" si="59"/>
        <v>0</v>
      </c>
      <c r="J1276" s="12">
        <f t="shared" si="60"/>
        <v>0.14472602911646584</v>
      </c>
    </row>
    <row r="1277" spans="1:10" ht="15" customHeight="1">
      <c r="A1277" s="14">
        <v>46445</v>
      </c>
      <c r="B1277" s="10">
        <f>VLOOKUP(A1277,'BADI SID DATA'!A:B,2,0)</f>
        <v>333</v>
      </c>
      <c r="F1277" s="62">
        <v>1</v>
      </c>
      <c r="G1277" s="62">
        <v>1</v>
      </c>
      <c r="H1277" s="2">
        <f t="shared" si="58"/>
        <v>345953.1</v>
      </c>
      <c r="I1277" s="12">
        <f t="shared" si="59"/>
        <v>0</v>
      </c>
      <c r="J1277" s="12">
        <f t="shared" si="60"/>
        <v>0.14429141641641641</v>
      </c>
    </row>
    <row r="1278" spans="1:10" ht="15" customHeight="1">
      <c r="A1278" s="14">
        <v>46446</v>
      </c>
      <c r="B1278" s="10">
        <f>VLOOKUP(A1278,'BADI SID DATA'!A:B,2,0)</f>
        <v>334</v>
      </c>
      <c r="F1278" s="62">
        <v>1</v>
      </c>
      <c r="G1278" s="62">
        <v>1</v>
      </c>
      <c r="H1278" s="2">
        <f t="shared" si="58"/>
        <v>345953.1</v>
      </c>
      <c r="I1278" s="12">
        <f t="shared" si="59"/>
        <v>0</v>
      </c>
      <c r="J1278" s="12">
        <f t="shared" si="60"/>
        <v>0.14385940618762474</v>
      </c>
    </row>
    <row r="1279" spans="1:10" ht="15" customHeight="1">
      <c r="A1279" s="14">
        <v>46447</v>
      </c>
      <c r="B1279" s="10">
        <f>VLOOKUP(A1279,'BADI SID DATA'!A:B,2,0)</f>
        <v>335</v>
      </c>
      <c r="F1279" s="62">
        <v>1</v>
      </c>
      <c r="G1279" s="62">
        <v>1</v>
      </c>
      <c r="H1279" s="2">
        <f t="shared" si="58"/>
        <v>345953.1</v>
      </c>
      <c r="I1279" s="12">
        <f t="shared" si="59"/>
        <v>0</v>
      </c>
      <c r="J1279" s="12">
        <f t="shared" si="60"/>
        <v>0.14342997512437811</v>
      </c>
    </row>
    <row r="1280" spans="1:10" ht="15" customHeight="1">
      <c r="A1280" s="14">
        <v>46448</v>
      </c>
      <c r="B1280" s="10">
        <f>VLOOKUP(A1280,'BADI SID DATA'!A:B,2,0)</f>
        <v>336</v>
      </c>
      <c r="F1280" s="62">
        <v>1</v>
      </c>
      <c r="G1280" s="62">
        <v>1</v>
      </c>
      <c r="H1280" s="2">
        <f t="shared" si="58"/>
        <v>345953.1</v>
      </c>
      <c r="I1280" s="12">
        <f t="shared" si="59"/>
        <v>0</v>
      </c>
      <c r="J1280" s="12">
        <f t="shared" si="60"/>
        <v>0.1430031001984127</v>
      </c>
    </row>
    <row r="1281" spans="1:10" ht="15" customHeight="1">
      <c r="A1281" s="14">
        <v>46449</v>
      </c>
      <c r="B1281" s="10">
        <f>VLOOKUP(A1281,'BADI SID DATA'!A:B,2,0)</f>
        <v>337</v>
      </c>
      <c r="F1281" s="62">
        <v>1</v>
      </c>
      <c r="G1281" s="62">
        <v>1</v>
      </c>
      <c r="H1281" s="2">
        <f t="shared" si="58"/>
        <v>345953.1</v>
      </c>
      <c r="I1281" s="12">
        <f t="shared" si="59"/>
        <v>0</v>
      </c>
      <c r="J1281" s="12">
        <f t="shared" si="60"/>
        <v>0.14257875865479722</v>
      </c>
    </row>
    <row r="1282" spans="1:10" ht="15" customHeight="1">
      <c r="A1282" s="14">
        <v>46450</v>
      </c>
      <c r="B1282" s="10">
        <f>VLOOKUP(A1282,'BADI SID DATA'!A:B,2,0)</f>
        <v>338</v>
      </c>
      <c r="F1282" s="62">
        <v>1</v>
      </c>
      <c r="G1282" s="62">
        <v>1</v>
      </c>
      <c r="H1282" s="2">
        <f t="shared" si="58"/>
        <v>345953.1</v>
      </c>
      <c r="I1282" s="12">
        <f t="shared" si="59"/>
        <v>0</v>
      </c>
      <c r="J1282" s="12">
        <f t="shared" si="60"/>
        <v>0.14215692800788954</v>
      </c>
    </row>
    <row r="1283" spans="1:10" ht="15" customHeight="1">
      <c r="A1283" s="14">
        <v>46451</v>
      </c>
      <c r="B1283" s="10">
        <f>VLOOKUP(A1283,'BADI SID DATA'!A:B,2,0)</f>
        <v>339</v>
      </c>
      <c r="F1283" s="62">
        <v>1</v>
      </c>
      <c r="G1283" s="62">
        <v>1</v>
      </c>
      <c r="H1283" s="2">
        <f t="shared" ref="H1283:H1319" si="61">H1282+C1283</f>
        <v>345953.1</v>
      </c>
      <c r="I1283" s="12">
        <f t="shared" ref="I1283:I1319" si="62">C1283/(300*24)</f>
        <v>0</v>
      </c>
      <c r="J1283" s="12">
        <f t="shared" ref="J1283:J1319" si="63">H1283/(24*B1283*300)</f>
        <v>0.14173758603736478</v>
      </c>
    </row>
    <row r="1284" spans="1:10" ht="15" customHeight="1">
      <c r="A1284" s="14">
        <v>46452</v>
      </c>
      <c r="B1284" s="10">
        <f>VLOOKUP(A1284,'BADI SID DATA'!A:B,2,0)</f>
        <v>340</v>
      </c>
      <c r="F1284" s="62">
        <v>1</v>
      </c>
      <c r="G1284" s="62">
        <v>1</v>
      </c>
      <c r="H1284" s="2">
        <f t="shared" si="61"/>
        <v>345953.1</v>
      </c>
      <c r="I1284" s="12">
        <f t="shared" si="62"/>
        <v>0</v>
      </c>
      <c r="J1284" s="12">
        <f t="shared" si="63"/>
        <v>0.14132071078431371</v>
      </c>
    </row>
    <row r="1285" spans="1:10" ht="15" customHeight="1">
      <c r="A1285" s="14">
        <v>46453</v>
      </c>
      <c r="B1285" s="10">
        <f>VLOOKUP(A1285,'BADI SID DATA'!A:B,2,0)</f>
        <v>341</v>
      </c>
      <c r="F1285" s="62">
        <v>1</v>
      </c>
      <c r="G1285" s="62">
        <v>1</v>
      </c>
      <c r="H1285" s="2">
        <f t="shared" si="61"/>
        <v>345953.1</v>
      </c>
      <c r="I1285" s="12">
        <f t="shared" si="62"/>
        <v>0</v>
      </c>
      <c r="J1285" s="12">
        <f t="shared" si="63"/>
        <v>0.14090628054740956</v>
      </c>
    </row>
    <row r="1286" spans="1:10" ht="15" customHeight="1">
      <c r="A1286" s="14">
        <v>46454</v>
      </c>
      <c r="B1286" s="10">
        <f>VLOOKUP(A1286,'BADI SID DATA'!A:B,2,0)</f>
        <v>342</v>
      </c>
      <c r="F1286" s="62">
        <v>1</v>
      </c>
      <c r="G1286" s="62">
        <v>1</v>
      </c>
      <c r="H1286" s="2">
        <f t="shared" si="61"/>
        <v>345953.1</v>
      </c>
      <c r="I1286" s="12">
        <f t="shared" si="62"/>
        <v>0</v>
      </c>
      <c r="J1286" s="12">
        <f t="shared" si="63"/>
        <v>0.14049427387914229</v>
      </c>
    </row>
    <row r="1287" spans="1:10" ht="15" customHeight="1">
      <c r="A1287" s="14">
        <v>46455</v>
      </c>
      <c r="B1287" s="10">
        <f>VLOOKUP(A1287,'BADI SID DATA'!A:B,2,0)</f>
        <v>343</v>
      </c>
      <c r="F1287" s="62">
        <v>1</v>
      </c>
      <c r="G1287" s="62">
        <v>1</v>
      </c>
      <c r="H1287" s="2">
        <f t="shared" si="61"/>
        <v>345953.1</v>
      </c>
      <c r="I1287" s="12">
        <f t="shared" si="62"/>
        <v>0</v>
      </c>
      <c r="J1287" s="12">
        <f t="shared" si="63"/>
        <v>0.14008466958211854</v>
      </c>
    </row>
    <row r="1288" spans="1:10" ht="15" customHeight="1">
      <c r="A1288" s="14">
        <v>46456</v>
      </c>
      <c r="B1288" s="10">
        <f>VLOOKUP(A1288,'BADI SID DATA'!A:B,2,0)</f>
        <v>344</v>
      </c>
      <c r="F1288" s="62">
        <v>1</v>
      </c>
      <c r="G1288" s="62">
        <v>1</v>
      </c>
      <c r="H1288" s="2">
        <f t="shared" si="61"/>
        <v>345953.1</v>
      </c>
      <c r="I1288" s="12">
        <f t="shared" si="62"/>
        <v>0</v>
      </c>
      <c r="J1288" s="12">
        <f t="shared" si="63"/>
        <v>0.13967744670542634</v>
      </c>
    </row>
    <row r="1289" spans="1:10" ht="15" customHeight="1">
      <c r="A1289" s="14">
        <v>46457</v>
      </c>
      <c r="B1289" s="10">
        <f>VLOOKUP(A1289,'BADI SID DATA'!A:B,2,0)</f>
        <v>345</v>
      </c>
      <c r="F1289" s="62">
        <v>1</v>
      </c>
      <c r="G1289" s="62">
        <v>1</v>
      </c>
      <c r="H1289" s="2">
        <f t="shared" si="61"/>
        <v>345953.1</v>
      </c>
      <c r="I1289" s="12">
        <f t="shared" si="62"/>
        <v>0</v>
      </c>
      <c r="J1289" s="12">
        <f t="shared" si="63"/>
        <v>0.13927258454106278</v>
      </c>
    </row>
    <row r="1290" spans="1:10" ht="15" customHeight="1">
      <c r="A1290" s="14">
        <v>46458</v>
      </c>
      <c r="B1290" s="10">
        <f>VLOOKUP(A1290,'BADI SID DATA'!A:B,2,0)</f>
        <v>346</v>
      </c>
      <c r="F1290" s="62">
        <v>1</v>
      </c>
      <c r="G1290" s="62">
        <v>1</v>
      </c>
      <c r="H1290" s="2">
        <f t="shared" si="61"/>
        <v>345953.1</v>
      </c>
      <c r="I1290" s="12">
        <f t="shared" si="62"/>
        <v>0</v>
      </c>
      <c r="J1290" s="12">
        <f t="shared" si="63"/>
        <v>0.1388700626204239</v>
      </c>
    </row>
    <row r="1291" spans="1:10" ht="15" customHeight="1">
      <c r="A1291" s="14">
        <v>46459</v>
      </c>
      <c r="B1291" s="10">
        <f>VLOOKUP(A1291,'BADI SID DATA'!A:B,2,0)</f>
        <v>347</v>
      </c>
      <c r="F1291" s="62">
        <v>1</v>
      </c>
      <c r="G1291" s="62">
        <v>1</v>
      </c>
      <c r="H1291" s="2">
        <f t="shared" si="61"/>
        <v>345953.1</v>
      </c>
      <c r="I1291" s="12">
        <f t="shared" si="62"/>
        <v>0</v>
      </c>
      <c r="J1291" s="12">
        <f t="shared" si="63"/>
        <v>0.13846986071085493</v>
      </c>
    </row>
    <row r="1292" spans="1:10" ht="15" customHeight="1">
      <c r="A1292" s="14">
        <v>46460</v>
      </c>
      <c r="B1292" s="10">
        <f>VLOOKUP(A1292,'BADI SID DATA'!A:B,2,0)</f>
        <v>348</v>
      </c>
      <c r="F1292" s="62">
        <v>1</v>
      </c>
      <c r="G1292" s="62">
        <v>1</v>
      </c>
      <c r="H1292" s="2">
        <f t="shared" si="61"/>
        <v>345953.1</v>
      </c>
      <c r="I1292" s="12">
        <f t="shared" si="62"/>
        <v>0</v>
      </c>
      <c r="J1292" s="12">
        <f t="shared" si="63"/>
        <v>0.13807195881226053</v>
      </c>
    </row>
    <row r="1293" spans="1:10" ht="15" customHeight="1">
      <c r="A1293" s="14">
        <v>46461</v>
      </c>
      <c r="B1293" s="10">
        <f>VLOOKUP(A1293,'BADI SID DATA'!A:B,2,0)</f>
        <v>349</v>
      </c>
      <c r="F1293" s="62">
        <v>1</v>
      </c>
      <c r="G1293" s="62">
        <v>1</v>
      </c>
      <c r="H1293" s="2">
        <f t="shared" si="61"/>
        <v>345953.1</v>
      </c>
      <c r="I1293" s="12">
        <f t="shared" si="62"/>
        <v>0</v>
      </c>
      <c r="J1293" s="12">
        <f t="shared" si="63"/>
        <v>0.13767633715377267</v>
      </c>
    </row>
    <row r="1294" spans="1:10" ht="15" customHeight="1">
      <c r="A1294" s="14">
        <v>46462</v>
      </c>
      <c r="B1294" s="10">
        <f>VLOOKUP(A1294,'BADI SID DATA'!A:B,2,0)</f>
        <v>350</v>
      </c>
      <c r="F1294" s="62">
        <v>1</v>
      </c>
      <c r="G1294" s="62">
        <v>1</v>
      </c>
      <c r="H1294" s="2">
        <f t="shared" si="61"/>
        <v>345953.1</v>
      </c>
      <c r="I1294" s="12">
        <f t="shared" si="62"/>
        <v>0</v>
      </c>
      <c r="J1294" s="12">
        <f t="shared" si="63"/>
        <v>0.13728297619047619</v>
      </c>
    </row>
    <row r="1295" spans="1:10" ht="15" customHeight="1">
      <c r="A1295" s="14">
        <v>46463</v>
      </c>
      <c r="B1295" s="10">
        <f>VLOOKUP(A1295,'BADI SID DATA'!A:B,2,0)</f>
        <v>351</v>
      </c>
      <c r="F1295" s="62">
        <v>1</v>
      </c>
      <c r="G1295" s="62">
        <v>1</v>
      </c>
      <c r="H1295" s="2">
        <f t="shared" si="61"/>
        <v>345953.1</v>
      </c>
      <c r="I1295" s="12">
        <f t="shared" si="62"/>
        <v>0</v>
      </c>
      <c r="J1295" s="12">
        <f t="shared" si="63"/>
        <v>0.13689185660018993</v>
      </c>
    </row>
    <row r="1296" spans="1:10" ht="15" customHeight="1">
      <c r="A1296" s="14">
        <v>46464</v>
      </c>
      <c r="B1296" s="10">
        <f>VLOOKUP(A1296,'BADI SID DATA'!A:B,2,0)</f>
        <v>352</v>
      </c>
      <c r="F1296" s="62">
        <v>1</v>
      </c>
      <c r="G1296" s="62">
        <v>1</v>
      </c>
      <c r="H1296" s="2">
        <f t="shared" si="61"/>
        <v>345953.1</v>
      </c>
      <c r="I1296" s="12">
        <f t="shared" si="62"/>
        <v>0</v>
      </c>
      <c r="J1296" s="12">
        <f t="shared" si="63"/>
        <v>0.13650295928030301</v>
      </c>
    </row>
    <row r="1297" spans="1:10" ht="15" customHeight="1">
      <c r="A1297" s="14">
        <v>46465</v>
      </c>
      <c r="B1297" s="10">
        <f>VLOOKUP(A1297,'BADI SID DATA'!A:B,2,0)</f>
        <v>353</v>
      </c>
      <c r="F1297" s="62">
        <v>1</v>
      </c>
      <c r="G1297" s="62">
        <v>1</v>
      </c>
      <c r="H1297" s="2">
        <f t="shared" si="61"/>
        <v>345953.1</v>
      </c>
      <c r="I1297" s="12">
        <f t="shared" si="62"/>
        <v>0</v>
      </c>
      <c r="J1297" s="12">
        <f t="shared" si="63"/>
        <v>0.13611626534466476</v>
      </c>
    </row>
    <row r="1298" spans="1:10" ht="15" customHeight="1">
      <c r="A1298" s="14">
        <v>46466</v>
      </c>
      <c r="B1298" s="10">
        <f>VLOOKUP(A1298,'BADI SID DATA'!A:B,2,0)</f>
        <v>354</v>
      </c>
      <c r="F1298" s="62">
        <v>1</v>
      </c>
      <c r="G1298" s="62">
        <v>1</v>
      </c>
      <c r="H1298" s="2">
        <f t="shared" si="61"/>
        <v>345953.1</v>
      </c>
      <c r="I1298" s="12">
        <f t="shared" si="62"/>
        <v>0</v>
      </c>
      <c r="J1298" s="12">
        <f t="shared" si="63"/>
        <v>0.13573175612052729</v>
      </c>
    </row>
    <row r="1299" spans="1:10" ht="15" customHeight="1">
      <c r="A1299" s="14">
        <v>46467</v>
      </c>
      <c r="B1299" s="10">
        <f>VLOOKUP(A1299,'BADI SID DATA'!A:B,2,0)</f>
        <v>355</v>
      </c>
      <c r="F1299" s="62">
        <v>1</v>
      </c>
      <c r="G1299" s="62">
        <v>1</v>
      </c>
      <c r="H1299" s="2">
        <f t="shared" si="61"/>
        <v>345953.1</v>
      </c>
      <c r="I1299" s="12">
        <f t="shared" si="62"/>
        <v>0</v>
      </c>
      <c r="J1299" s="12">
        <f t="shared" si="63"/>
        <v>0.13534941314553989</v>
      </c>
    </row>
    <row r="1300" spans="1:10" ht="15" customHeight="1">
      <c r="A1300" s="14">
        <v>46468</v>
      </c>
      <c r="B1300" s="10">
        <f>VLOOKUP(A1300,'BADI SID DATA'!A:B,2,0)</f>
        <v>356</v>
      </c>
      <c r="F1300" s="62">
        <v>1</v>
      </c>
      <c r="G1300" s="62">
        <v>1</v>
      </c>
      <c r="H1300" s="2">
        <f t="shared" si="61"/>
        <v>345953.1</v>
      </c>
      <c r="I1300" s="12">
        <f t="shared" si="62"/>
        <v>0</v>
      </c>
      <c r="J1300" s="12">
        <f t="shared" si="63"/>
        <v>0.13496921816479399</v>
      </c>
    </row>
    <row r="1301" spans="1:10" ht="15" customHeight="1">
      <c r="A1301" s="14">
        <v>46469</v>
      </c>
      <c r="B1301" s="10">
        <f>VLOOKUP(A1301,'BADI SID DATA'!A:B,2,0)</f>
        <v>357</v>
      </c>
      <c r="F1301" s="62">
        <v>1</v>
      </c>
      <c r="G1301" s="62">
        <v>1</v>
      </c>
      <c r="H1301" s="2">
        <f t="shared" si="61"/>
        <v>345953.1</v>
      </c>
      <c r="I1301" s="12">
        <f t="shared" si="62"/>
        <v>0</v>
      </c>
      <c r="J1301" s="12">
        <f t="shared" si="63"/>
        <v>0.13459115312791783</v>
      </c>
    </row>
    <row r="1302" spans="1:10" ht="15" customHeight="1">
      <c r="A1302" s="14">
        <v>46470</v>
      </c>
      <c r="B1302" s="10">
        <f>VLOOKUP(A1302,'BADI SID DATA'!A:B,2,0)</f>
        <v>358</v>
      </c>
      <c r="F1302" s="62">
        <v>1</v>
      </c>
      <c r="G1302" s="62">
        <v>1</v>
      </c>
      <c r="H1302" s="2">
        <f t="shared" si="61"/>
        <v>345953.1</v>
      </c>
      <c r="I1302" s="12">
        <f t="shared" si="62"/>
        <v>0</v>
      </c>
      <c r="J1302" s="12">
        <f t="shared" si="63"/>
        <v>0.13421520018621974</v>
      </c>
    </row>
    <row r="1303" spans="1:10" ht="15" customHeight="1">
      <c r="A1303" s="14">
        <v>46471</v>
      </c>
      <c r="B1303" s="10">
        <f>VLOOKUP(A1303,'BADI SID DATA'!A:B,2,0)</f>
        <v>359</v>
      </c>
      <c r="F1303" s="62">
        <v>1</v>
      </c>
      <c r="G1303" s="62">
        <v>1</v>
      </c>
      <c r="H1303" s="2">
        <f t="shared" si="61"/>
        <v>345953.1</v>
      </c>
      <c r="I1303" s="12">
        <f t="shared" si="62"/>
        <v>0</v>
      </c>
      <c r="J1303" s="12">
        <f t="shared" si="63"/>
        <v>0.1338413416898793</v>
      </c>
    </row>
    <row r="1304" spans="1:10" ht="15" customHeight="1">
      <c r="A1304" s="14">
        <v>46472</v>
      </c>
      <c r="B1304" s="10">
        <f>VLOOKUP(A1304,'BADI SID DATA'!A:B,2,0)</f>
        <v>360</v>
      </c>
      <c r="F1304" s="62">
        <v>1</v>
      </c>
      <c r="G1304" s="62">
        <v>1</v>
      </c>
      <c r="H1304" s="2">
        <f t="shared" si="61"/>
        <v>345953.1</v>
      </c>
      <c r="I1304" s="12">
        <f t="shared" si="62"/>
        <v>0</v>
      </c>
      <c r="J1304" s="12">
        <f t="shared" si="63"/>
        <v>0.13346956018518519</v>
      </c>
    </row>
    <row r="1305" spans="1:10" ht="15" customHeight="1">
      <c r="A1305" s="14">
        <v>46473</v>
      </c>
      <c r="B1305" s="10">
        <f>VLOOKUP(A1305,'BADI SID DATA'!A:B,2,0)</f>
        <v>361</v>
      </c>
      <c r="F1305" s="62">
        <v>1</v>
      </c>
      <c r="G1305" s="62">
        <v>1</v>
      </c>
      <c r="H1305" s="2">
        <f t="shared" si="61"/>
        <v>345953.1</v>
      </c>
      <c r="I1305" s="12">
        <f t="shared" si="62"/>
        <v>0</v>
      </c>
      <c r="J1305" s="12">
        <f t="shared" si="63"/>
        <v>0.13309983841181902</v>
      </c>
    </row>
    <row r="1306" spans="1:10" ht="15" customHeight="1">
      <c r="A1306" s="14">
        <v>46474</v>
      </c>
      <c r="B1306" s="10">
        <f>VLOOKUP(A1306,'BADI SID DATA'!A:B,2,0)</f>
        <v>362</v>
      </c>
      <c r="F1306" s="62">
        <v>1</v>
      </c>
      <c r="G1306" s="62">
        <v>1</v>
      </c>
      <c r="H1306" s="2">
        <f t="shared" si="61"/>
        <v>345953.1</v>
      </c>
      <c r="I1306" s="12">
        <f t="shared" si="62"/>
        <v>0</v>
      </c>
      <c r="J1306" s="12">
        <f t="shared" si="63"/>
        <v>0.13273215930018414</v>
      </c>
    </row>
    <row r="1307" spans="1:10" ht="15" customHeight="1">
      <c r="A1307" s="14">
        <v>46475</v>
      </c>
      <c r="B1307" s="10">
        <f>VLOOKUP(A1307,'BADI SID DATA'!A:B,2,0)</f>
        <v>363</v>
      </c>
      <c r="F1307" s="62">
        <v>1</v>
      </c>
      <c r="G1307" s="62">
        <v>1</v>
      </c>
      <c r="H1307" s="2">
        <f t="shared" si="61"/>
        <v>345953.1</v>
      </c>
      <c r="I1307" s="12">
        <f t="shared" si="62"/>
        <v>0</v>
      </c>
      <c r="J1307" s="12">
        <f t="shared" si="63"/>
        <v>0.13236650596877869</v>
      </c>
    </row>
    <row r="1308" spans="1:10" ht="15" customHeight="1">
      <c r="A1308" s="14">
        <v>46476</v>
      </c>
      <c r="B1308" s="10">
        <f>VLOOKUP(A1308,'BADI SID DATA'!A:B,2,0)</f>
        <v>364</v>
      </c>
      <c r="F1308" s="62">
        <v>1</v>
      </c>
      <c r="G1308" s="62">
        <v>1</v>
      </c>
      <c r="H1308" s="2">
        <f t="shared" si="61"/>
        <v>345953.1</v>
      </c>
      <c r="I1308" s="12">
        <f t="shared" si="62"/>
        <v>0</v>
      </c>
      <c r="J1308" s="12">
        <f t="shared" si="63"/>
        <v>0.13200286172161171</v>
      </c>
    </row>
    <row r="1309" spans="1:10" ht="15" customHeight="1">
      <c r="A1309" s="14">
        <v>46477</v>
      </c>
      <c r="B1309" s="10">
        <f>VLOOKUP(A1309,'BADI SID DATA'!A:B,2,0)</f>
        <v>365</v>
      </c>
      <c r="F1309" s="62">
        <v>1</v>
      </c>
      <c r="G1309" s="62">
        <v>1</v>
      </c>
      <c r="H1309" s="2">
        <f t="shared" si="61"/>
        <v>345953.1</v>
      </c>
      <c r="I1309" s="12">
        <f t="shared" si="62"/>
        <v>0</v>
      </c>
      <c r="J1309" s="12">
        <f t="shared" si="63"/>
        <v>0.13164121004566209</v>
      </c>
    </row>
    <row r="1310" spans="1:10" ht="15" customHeight="1">
      <c r="A1310" s="14">
        <v>46478</v>
      </c>
      <c r="B1310" s="10" t="e">
        <f>VLOOKUP(A1310,'BADI SID DATA'!A:B,2,0)</f>
        <v>#N/A</v>
      </c>
      <c r="F1310" s="62">
        <v>1</v>
      </c>
      <c r="G1310" s="62">
        <v>1</v>
      </c>
      <c r="H1310" s="2">
        <f t="shared" si="61"/>
        <v>345953.1</v>
      </c>
      <c r="I1310" s="12">
        <f t="shared" si="62"/>
        <v>0</v>
      </c>
      <c r="J1310" s="12" t="e">
        <f t="shared" si="63"/>
        <v>#N/A</v>
      </c>
    </row>
    <row r="1311" spans="1:10" ht="15" customHeight="1">
      <c r="A1311" s="14">
        <v>46479</v>
      </c>
      <c r="B1311" s="10" t="e">
        <f>VLOOKUP(A1311,'BADI SID DATA'!A:B,2,0)</f>
        <v>#N/A</v>
      </c>
      <c r="F1311" s="62">
        <v>1</v>
      </c>
      <c r="G1311" s="62">
        <v>1</v>
      </c>
      <c r="H1311" s="2">
        <f t="shared" si="61"/>
        <v>345953.1</v>
      </c>
      <c r="I1311" s="12">
        <f t="shared" si="62"/>
        <v>0</v>
      </c>
      <c r="J1311" s="12" t="e">
        <f t="shared" si="63"/>
        <v>#N/A</v>
      </c>
    </row>
    <row r="1312" spans="1:10" ht="15" customHeight="1">
      <c r="A1312" s="14">
        <v>46480</v>
      </c>
      <c r="B1312" s="10" t="e">
        <f>VLOOKUP(A1312,'BADI SID DATA'!A:B,2,0)</f>
        <v>#N/A</v>
      </c>
      <c r="F1312" s="62">
        <v>1</v>
      </c>
      <c r="G1312" s="62">
        <v>1</v>
      </c>
      <c r="H1312" s="2">
        <f t="shared" si="61"/>
        <v>345953.1</v>
      </c>
      <c r="I1312" s="12">
        <f t="shared" si="62"/>
        <v>0</v>
      </c>
      <c r="J1312" s="12" t="e">
        <f t="shared" si="63"/>
        <v>#N/A</v>
      </c>
    </row>
    <row r="1313" spans="1:10" ht="15" customHeight="1">
      <c r="A1313" s="14">
        <v>46481</v>
      </c>
      <c r="B1313" s="10" t="e">
        <f>VLOOKUP(A1313,'BADI SID DATA'!A:B,2,0)</f>
        <v>#N/A</v>
      </c>
      <c r="F1313" s="62">
        <v>1</v>
      </c>
      <c r="G1313" s="62">
        <v>1</v>
      </c>
      <c r="H1313" s="2">
        <f t="shared" si="61"/>
        <v>345953.1</v>
      </c>
      <c r="I1313" s="12">
        <f t="shared" si="62"/>
        <v>0</v>
      </c>
      <c r="J1313" s="12" t="e">
        <f t="shared" si="63"/>
        <v>#N/A</v>
      </c>
    </row>
    <row r="1314" spans="1:10" ht="15" customHeight="1">
      <c r="A1314" s="14">
        <v>46482</v>
      </c>
      <c r="B1314" s="10" t="e">
        <f>VLOOKUP(A1314,'BADI SID DATA'!A:B,2,0)</f>
        <v>#N/A</v>
      </c>
      <c r="F1314" s="62">
        <v>1</v>
      </c>
      <c r="G1314" s="62">
        <v>1</v>
      </c>
      <c r="H1314" s="2">
        <f t="shared" si="61"/>
        <v>345953.1</v>
      </c>
      <c r="I1314" s="12">
        <f t="shared" si="62"/>
        <v>0</v>
      </c>
      <c r="J1314" s="12" t="e">
        <f t="shared" si="63"/>
        <v>#N/A</v>
      </c>
    </row>
    <row r="1315" spans="1:10" ht="15" customHeight="1">
      <c r="A1315" s="14">
        <v>46483</v>
      </c>
      <c r="B1315" s="10" t="e">
        <f>VLOOKUP(A1315,'BADI SID DATA'!A:B,2,0)</f>
        <v>#N/A</v>
      </c>
      <c r="F1315" s="62">
        <v>1</v>
      </c>
      <c r="G1315" s="62">
        <v>1</v>
      </c>
      <c r="H1315" s="2">
        <f t="shared" si="61"/>
        <v>345953.1</v>
      </c>
      <c r="I1315" s="12">
        <f t="shared" si="62"/>
        <v>0</v>
      </c>
      <c r="J1315" s="12" t="e">
        <f t="shared" si="63"/>
        <v>#N/A</v>
      </c>
    </row>
    <row r="1316" spans="1:10" ht="15" customHeight="1">
      <c r="A1316" s="14">
        <v>46484</v>
      </c>
      <c r="B1316" s="10" t="e">
        <f>VLOOKUP(A1316,'BADI SID DATA'!A:B,2,0)</f>
        <v>#N/A</v>
      </c>
      <c r="F1316" s="62">
        <v>1</v>
      </c>
      <c r="G1316" s="62">
        <v>1</v>
      </c>
      <c r="H1316" s="2">
        <f t="shared" si="61"/>
        <v>345953.1</v>
      </c>
      <c r="I1316" s="12">
        <f t="shared" si="62"/>
        <v>0</v>
      </c>
      <c r="J1316" s="12" t="e">
        <f t="shared" si="63"/>
        <v>#N/A</v>
      </c>
    </row>
    <row r="1317" spans="1:10" ht="15" customHeight="1">
      <c r="A1317" s="14">
        <v>46485</v>
      </c>
      <c r="B1317" s="10" t="e">
        <f>VLOOKUP(A1317,'BADI SID DATA'!A:B,2,0)</f>
        <v>#N/A</v>
      </c>
      <c r="F1317" s="62">
        <v>1</v>
      </c>
      <c r="G1317" s="62">
        <v>1</v>
      </c>
      <c r="H1317" s="2">
        <f t="shared" si="61"/>
        <v>345953.1</v>
      </c>
      <c r="I1317" s="12">
        <f t="shared" si="62"/>
        <v>0</v>
      </c>
      <c r="J1317" s="12" t="e">
        <f t="shared" si="63"/>
        <v>#N/A</v>
      </c>
    </row>
    <row r="1318" spans="1:10" ht="15" customHeight="1">
      <c r="A1318" s="14">
        <v>46486</v>
      </c>
      <c r="B1318" s="10" t="e">
        <f>VLOOKUP(A1318,'BADI SID DATA'!A:B,2,0)</f>
        <v>#N/A</v>
      </c>
      <c r="F1318" s="62">
        <v>1</v>
      </c>
      <c r="G1318" s="62">
        <v>1</v>
      </c>
      <c r="H1318" s="2">
        <f t="shared" si="61"/>
        <v>345953.1</v>
      </c>
      <c r="I1318" s="12">
        <f t="shared" si="62"/>
        <v>0</v>
      </c>
      <c r="J1318" s="12" t="e">
        <f t="shared" si="63"/>
        <v>#N/A</v>
      </c>
    </row>
    <row r="1319" spans="1:10" ht="15" customHeight="1">
      <c r="A1319" s="14">
        <v>46487</v>
      </c>
      <c r="B1319" s="10" t="e">
        <f>VLOOKUP(A1319,'BADI SID DATA'!A:B,2,0)</f>
        <v>#N/A</v>
      </c>
      <c r="F1319" s="62">
        <v>1</v>
      </c>
      <c r="G1319" s="62">
        <v>1</v>
      </c>
      <c r="H1319" s="2">
        <f t="shared" si="61"/>
        <v>345953.1</v>
      </c>
      <c r="I1319" s="12">
        <f t="shared" si="62"/>
        <v>0</v>
      </c>
      <c r="J1319" s="12" t="e">
        <f t="shared" si="63"/>
        <v>#N/A</v>
      </c>
    </row>
  </sheetData>
  <autoFilter ref="A1:H1319" xr:uid="{00000000-0001-0000-0000-000000000000}">
    <sortState xmlns:xlrd2="http://schemas.microsoft.com/office/spreadsheetml/2017/richdata2" ref="A2:H579">
      <sortCondition ref="A1:A579"/>
    </sortState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B05A-C629-314B-BFD8-1678B4A453A9}">
  <dimension ref="A1:P1041"/>
  <sheetViews>
    <sheetView workbookViewId="0">
      <pane ySplit="1" topLeftCell="A811" activePane="bottomLeft" state="frozen"/>
      <selection pane="bottomLeft" activeCell="F835" sqref="F835"/>
    </sheetView>
  </sheetViews>
  <sheetFormatPr baseColWidth="10" defaultRowHeight="15"/>
  <sheetData>
    <row r="1" spans="1:15" s="31" customFormat="1" ht="72">
      <c r="A1" s="29" t="s">
        <v>13</v>
      </c>
      <c r="B1" s="29" t="s">
        <v>6</v>
      </c>
      <c r="C1" s="6" t="s">
        <v>27</v>
      </c>
      <c r="D1" s="30" t="s">
        <v>1</v>
      </c>
      <c r="E1" s="30" t="s">
        <v>20</v>
      </c>
      <c r="F1" s="6" t="s">
        <v>26</v>
      </c>
      <c r="G1" s="6" t="s">
        <v>28</v>
      </c>
      <c r="H1" s="6" t="s">
        <v>23</v>
      </c>
      <c r="I1" s="6" t="s">
        <v>3</v>
      </c>
      <c r="J1" s="6" t="s">
        <v>24</v>
      </c>
      <c r="K1" s="6" t="s">
        <v>8</v>
      </c>
      <c r="L1" s="6" t="s">
        <v>29</v>
      </c>
      <c r="M1" s="6" t="s">
        <v>31</v>
      </c>
      <c r="N1" s="6" t="s">
        <v>21</v>
      </c>
      <c r="O1" s="6" t="s">
        <v>22</v>
      </c>
    </row>
    <row r="2" spans="1:15">
      <c r="A2" s="60">
        <v>45195</v>
      </c>
      <c r="B2">
        <v>1</v>
      </c>
      <c r="C2" s="11">
        <v>1086.5</v>
      </c>
      <c r="H2" s="62">
        <v>1</v>
      </c>
      <c r="I2" s="62">
        <v>0.9987575852688847</v>
      </c>
      <c r="K2" s="11">
        <f>C2</f>
        <v>1086.5</v>
      </c>
      <c r="N2" s="12">
        <f>C2/(1400*24)</f>
        <v>3.2336309523809524E-2</v>
      </c>
      <c r="O2" s="12">
        <f>K2/(B2*1400*24)</f>
        <v>3.2336309523809524E-2</v>
      </c>
    </row>
    <row r="3" spans="1:15">
      <c r="A3" s="60">
        <v>45196</v>
      </c>
      <c r="B3">
        <v>2</v>
      </c>
      <c r="C3" s="11">
        <v>1112</v>
      </c>
      <c r="H3" s="62">
        <v>1</v>
      </c>
      <c r="I3" s="62">
        <v>1</v>
      </c>
      <c r="K3" s="11">
        <f>K2+C3</f>
        <v>2198.5</v>
      </c>
      <c r="N3" s="12">
        <f t="shared" ref="N3:N66" si="0">C3/(1400*24)</f>
        <v>3.3095238095238094E-2</v>
      </c>
      <c r="O3" s="12">
        <f t="shared" ref="O3:O66" si="1">K3/(B3*1400*24)</f>
        <v>3.2715773809523813E-2</v>
      </c>
    </row>
    <row r="4" spans="1:15">
      <c r="A4" s="60">
        <v>45197</v>
      </c>
      <c r="B4">
        <v>3</v>
      </c>
      <c r="C4" s="11">
        <v>666.2</v>
      </c>
      <c r="H4" s="62">
        <v>1</v>
      </c>
      <c r="I4" s="62">
        <v>1</v>
      </c>
      <c r="K4" s="11">
        <f t="shared" ref="K4:K67" si="2">K3+C4</f>
        <v>2864.7</v>
      </c>
      <c r="N4" s="12">
        <f t="shared" si="0"/>
        <v>1.9827380952380954E-2</v>
      </c>
      <c r="O4" s="12">
        <f t="shared" si="1"/>
        <v>2.8419642857142855E-2</v>
      </c>
    </row>
    <row r="5" spans="1:15">
      <c r="A5" s="60">
        <v>45198</v>
      </c>
      <c r="B5">
        <v>4</v>
      </c>
      <c r="C5" s="11">
        <v>1123.3</v>
      </c>
      <c r="H5" s="62">
        <v>1</v>
      </c>
      <c r="I5" s="62">
        <v>1</v>
      </c>
      <c r="K5" s="11">
        <f t="shared" si="2"/>
        <v>3988</v>
      </c>
      <c r="N5" s="12">
        <f t="shared" si="0"/>
        <v>3.3431547619047618E-2</v>
      </c>
      <c r="O5" s="12">
        <f t="shared" si="1"/>
        <v>2.9672619047619048E-2</v>
      </c>
    </row>
    <row r="6" spans="1:15">
      <c r="A6" s="60">
        <v>45199</v>
      </c>
      <c r="B6">
        <v>5</v>
      </c>
      <c r="C6" s="11">
        <v>1945.6999999999998</v>
      </c>
      <c r="H6" s="62">
        <v>1</v>
      </c>
      <c r="I6" s="62">
        <v>1</v>
      </c>
      <c r="K6" s="11">
        <f t="shared" si="2"/>
        <v>5933.7</v>
      </c>
      <c r="N6" s="12">
        <f t="shared" si="0"/>
        <v>5.7907738095238089E-2</v>
      </c>
      <c r="O6" s="12">
        <f t="shared" si="1"/>
        <v>3.5319642857142855E-2</v>
      </c>
    </row>
    <row r="7" spans="1:15">
      <c r="A7" s="60">
        <v>45200</v>
      </c>
      <c r="B7">
        <v>6</v>
      </c>
      <c r="C7" s="11">
        <v>2136.1000000000004</v>
      </c>
      <c r="H7" s="62">
        <v>1</v>
      </c>
      <c r="I7" s="62">
        <v>1</v>
      </c>
      <c r="K7" s="11">
        <f t="shared" si="2"/>
        <v>8069.8</v>
      </c>
      <c r="N7" s="12">
        <f t="shared" si="0"/>
        <v>6.3574404761904776E-2</v>
      </c>
      <c r="O7" s="12">
        <f t="shared" si="1"/>
        <v>4.0028769841269844E-2</v>
      </c>
    </row>
    <row r="8" spans="1:15">
      <c r="A8" s="60">
        <v>45201</v>
      </c>
      <c r="B8">
        <v>7</v>
      </c>
      <c r="C8" s="11">
        <v>1953.9</v>
      </c>
      <c r="H8" s="62">
        <v>1</v>
      </c>
      <c r="I8" s="62">
        <v>1</v>
      </c>
      <c r="K8" s="11">
        <f t="shared" si="2"/>
        <v>10023.700000000001</v>
      </c>
      <c r="N8" s="12">
        <f t="shared" si="0"/>
        <v>5.8151785714285718E-2</v>
      </c>
      <c r="O8" s="12">
        <f t="shared" si="1"/>
        <v>4.2617772108843543E-2</v>
      </c>
    </row>
    <row r="9" spans="1:15">
      <c r="A9" s="60">
        <v>45202</v>
      </c>
      <c r="B9">
        <v>8</v>
      </c>
      <c r="C9" s="11">
        <v>2575.8000000000002</v>
      </c>
      <c r="H9" s="62">
        <v>1</v>
      </c>
      <c r="I9" s="62">
        <v>0.92811322975517885</v>
      </c>
      <c r="K9" s="11">
        <f t="shared" si="2"/>
        <v>12599.5</v>
      </c>
      <c r="N9" s="12">
        <f t="shared" si="0"/>
        <v>7.666071428571429E-2</v>
      </c>
      <c r="O9" s="12">
        <f t="shared" si="1"/>
        <v>4.6873139880952382E-2</v>
      </c>
    </row>
    <row r="10" spans="1:15">
      <c r="A10" s="60">
        <v>45203</v>
      </c>
      <c r="B10">
        <v>9</v>
      </c>
      <c r="C10" s="11">
        <v>3504.7999999999997</v>
      </c>
      <c r="H10" s="62">
        <v>1</v>
      </c>
      <c r="I10" s="62">
        <v>1</v>
      </c>
      <c r="K10" s="11">
        <f t="shared" si="2"/>
        <v>16104.3</v>
      </c>
      <c r="N10" s="12">
        <f t="shared" si="0"/>
        <v>0.1043095238095238</v>
      </c>
      <c r="O10" s="12">
        <f t="shared" si="1"/>
        <v>5.3254960317460312E-2</v>
      </c>
    </row>
    <row r="11" spans="1:15">
      <c r="A11" s="60">
        <v>45204</v>
      </c>
      <c r="B11">
        <v>10</v>
      </c>
      <c r="C11" s="11">
        <v>3474.9</v>
      </c>
      <c r="H11" s="62">
        <v>1</v>
      </c>
      <c r="I11" s="62">
        <v>1</v>
      </c>
      <c r="K11" s="11">
        <f t="shared" si="2"/>
        <v>19579.2</v>
      </c>
      <c r="N11" s="12">
        <f t="shared" si="0"/>
        <v>0.10341964285714286</v>
      </c>
      <c r="O11" s="12">
        <f t="shared" si="1"/>
        <v>5.8271428571428571E-2</v>
      </c>
    </row>
    <row r="12" spans="1:15">
      <c r="A12" s="60">
        <v>45205</v>
      </c>
      <c r="B12">
        <v>11</v>
      </c>
      <c r="C12" s="11">
        <v>3505.9</v>
      </c>
      <c r="H12" s="62">
        <v>1</v>
      </c>
      <c r="I12" s="62">
        <v>1</v>
      </c>
      <c r="K12" s="11">
        <f t="shared" si="2"/>
        <v>23085.100000000002</v>
      </c>
      <c r="N12" s="12">
        <f t="shared" si="0"/>
        <v>0.10434226190476191</v>
      </c>
      <c r="O12" s="12">
        <f t="shared" si="1"/>
        <v>6.2459686147186153E-2</v>
      </c>
    </row>
    <row r="13" spans="1:15">
      <c r="A13" s="60">
        <v>45206</v>
      </c>
      <c r="B13">
        <v>12</v>
      </c>
      <c r="C13" s="11">
        <v>3473.1000000000004</v>
      </c>
      <c r="H13" s="62">
        <v>1</v>
      </c>
      <c r="I13" s="62">
        <v>1</v>
      </c>
      <c r="K13" s="11">
        <f t="shared" si="2"/>
        <v>26558.200000000004</v>
      </c>
      <c r="N13" s="12">
        <f t="shared" si="0"/>
        <v>0.10336607142857145</v>
      </c>
      <c r="O13" s="12">
        <f t="shared" si="1"/>
        <v>6.5868551587301594E-2</v>
      </c>
    </row>
    <row r="14" spans="1:15">
      <c r="A14" s="60">
        <v>45207</v>
      </c>
      <c r="B14">
        <v>13</v>
      </c>
      <c r="C14" s="11">
        <v>3532</v>
      </c>
      <c r="H14" s="62">
        <v>1</v>
      </c>
      <c r="I14" s="62">
        <v>1</v>
      </c>
      <c r="K14" s="11">
        <f t="shared" si="2"/>
        <v>30090.200000000004</v>
      </c>
      <c r="N14" s="12">
        <f t="shared" si="0"/>
        <v>0.10511904761904763</v>
      </c>
      <c r="O14" s="12">
        <f t="shared" si="1"/>
        <v>6.8887820512820525E-2</v>
      </c>
    </row>
    <row r="15" spans="1:15">
      <c r="A15" s="60">
        <v>45208</v>
      </c>
      <c r="B15">
        <v>14</v>
      </c>
      <c r="C15" s="11">
        <v>3275.7</v>
      </c>
      <c r="H15" s="62">
        <v>1</v>
      </c>
      <c r="I15" s="62">
        <v>1</v>
      </c>
      <c r="K15" s="11">
        <f t="shared" si="2"/>
        <v>33365.9</v>
      </c>
      <c r="N15" s="12">
        <f t="shared" si="0"/>
        <v>9.7491071428571427E-2</v>
      </c>
      <c r="O15" s="12">
        <f t="shared" si="1"/>
        <v>7.0930909863945582E-2</v>
      </c>
    </row>
    <row r="16" spans="1:15">
      <c r="A16" s="60">
        <v>45209</v>
      </c>
      <c r="B16">
        <v>15</v>
      </c>
      <c r="C16" s="11">
        <v>3364.9999999999995</v>
      </c>
      <c r="H16" s="62">
        <v>1</v>
      </c>
      <c r="I16" s="62">
        <v>1</v>
      </c>
      <c r="K16" s="11">
        <f t="shared" si="2"/>
        <v>36730.9</v>
      </c>
      <c r="N16" s="12">
        <f t="shared" si="0"/>
        <v>0.10014880952380951</v>
      </c>
      <c r="O16" s="12">
        <f t="shared" si="1"/>
        <v>7.2878769841269841E-2</v>
      </c>
    </row>
    <row r="17" spans="1:15">
      <c r="A17" s="60">
        <v>45210</v>
      </c>
      <c r="B17">
        <v>16</v>
      </c>
      <c r="C17" s="11">
        <v>3843.1</v>
      </c>
      <c r="H17" s="62">
        <v>1</v>
      </c>
      <c r="I17" s="62">
        <v>0.9429025423728814</v>
      </c>
      <c r="K17" s="11">
        <f t="shared" si="2"/>
        <v>40574</v>
      </c>
      <c r="N17" s="12">
        <f t="shared" si="0"/>
        <v>0.11437797619047618</v>
      </c>
      <c r="O17" s="12">
        <f t="shared" si="1"/>
        <v>7.5472470238095238E-2</v>
      </c>
    </row>
    <row r="18" spans="1:15">
      <c r="A18" s="60">
        <v>45211</v>
      </c>
      <c r="B18">
        <v>17</v>
      </c>
      <c r="C18" s="11">
        <v>1026.9000000000001</v>
      </c>
      <c r="H18" s="62">
        <v>1</v>
      </c>
      <c r="I18" s="62">
        <v>1</v>
      </c>
      <c r="K18" s="11">
        <f t="shared" si="2"/>
        <v>41600.9</v>
      </c>
      <c r="N18" s="12">
        <f t="shared" si="0"/>
        <v>3.0562500000000003E-2</v>
      </c>
      <c r="O18" s="12">
        <f t="shared" si="1"/>
        <v>7.2830707282913174E-2</v>
      </c>
    </row>
    <row r="19" spans="1:15">
      <c r="A19" s="60">
        <v>45212</v>
      </c>
      <c r="B19">
        <v>18</v>
      </c>
      <c r="C19" s="11">
        <v>3939.5</v>
      </c>
      <c r="H19" s="62">
        <v>1</v>
      </c>
      <c r="I19" s="62">
        <v>1</v>
      </c>
      <c r="K19" s="11">
        <f t="shared" si="2"/>
        <v>45540.4</v>
      </c>
      <c r="N19" s="12">
        <f t="shared" si="0"/>
        <v>0.11724702380952381</v>
      </c>
      <c r="O19" s="12">
        <f t="shared" si="1"/>
        <v>7.529828042328042E-2</v>
      </c>
    </row>
    <row r="20" spans="1:15">
      <c r="A20" s="60">
        <v>45213</v>
      </c>
      <c r="B20">
        <v>19</v>
      </c>
      <c r="C20" s="11">
        <v>1585</v>
      </c>
      <c r="H20" s="62">
        <v>1</v>
      </c>
      <c r="I20" s="62">
        <v>1</v>
      </c>
      <c r="K20" s="11">
        <f t="shared" si="2"/>
        <v>47125.4</v>
      </c>
      <c r="N20" s="12">
        <f t="shared" si="0"/>
        <v>4.7172619047619047E-2</v>
      </c>
      <c r="O20" s="12">
        <f t="shared" si="1"/>
        <v>7.3817982456140352E-2</v>
      </c>
    </row>
    <row r="21" spans="1:15">
      <c r="A21" s="60">
        <v>45214</v>
      </c>
      <c r="B21">
        <v>20</v>
      </c>
      <c r="C21" s="11">
        <v>2220.5</v>
      </c>
      <c r="H21" s="62">
        <v>1</v>
      </c>
      <c r="I21" s="62">
        <v>0.95097693032015063</v>
      </c>
      <c r="K21" s="11">
        <f t="shared" si="2"/>
        <v>49345.9</v>
      </c>
      <c r="N21" s="12">
        <f t="shared" si="0"/>
        <v>6.6086309523809519E-2</v>
      </c>
      <c r="O21" s="12">
        <f t="shared" si="1"/>
        <v>7.3431398809523818E-2</v>
      </c>
    </row>
    <row r="22" spans="1:15">
      <c r="A22" s="60">
        <v>45215</v>
      </c>
      <c r="B22">
        <v>21</v>
      </c>
      <c r="C22" s="11">
        <v>4467.2</v>
      </c>
      <c r="H22" s="62">
        <v>1</v>
      </c>
      <c r="I22" s="62">
        <v>1</v>
      </c>
      <c r="K22" s="11">
        <f t="shared" si="2"/>
        <v>53813.1</v>
      </c>
      <c r="N22" s="12">
        <f t="shared" si="0"/>
        <v>0.13295238095238096</v>
      </c>
      <c r="O22" s="12">
        <f t="shared" si="1"/>
        <v>7.6265731292517E-2</v>
      </c>
    </row>
    <row r="23" spans="1:15">
      <c r="A23" s="60">
        <v>45216</v>
      </c>
      <c r="B23">
        <v>22</v>
      </c>
      <c r="C23" s="11">
        <v>4695.9000000000005</v>
      </c>
      <c r="H23" s="62">
        <v>1</v>
      </c>
      <c r="I23" s="62">
        <v>0.93820621468926557</v>
      </c>
      <c r="K23" s="11">
        <f t="shared" si="2"/>
        <v>58509</v>
      </c>
      <c r="N23" s="12">
        <f t="shared" si="0"/>
        <v>0.13975892857142858</v>
      </c>
      <c r="O23" s="12">
        <f t="shared" si="1"/>
        <v>7.9151785714285716E-2</v>
      </c>
    </row>
    <row r="24" spans="1:15">
      <c r="A24" s="60">
        <v>45217</v>
      </c>
      <c r="B24">
        <v>23</v>
      </c>
      <c r="C24" s="11">
        <v>3523.5000000000005</v>
      </c>
      <c r="H24" s="62">
        <v>1</v>
      </c>
      <c r="I24" s="62">
        <v>0.98764124293785316</v>
      </c>
      <c r="K24" s="11">
        <f t="shared" si="2"/>
        <v>62032.5</v>
      </c>
      <c r="N24" s="12">
        <f t="shared" si="0"/>
        <v>0.10486607142857145</v>
      </c>
      <c r="O24" s="12">
        <f t="shared" si="1"/>
        <v>8.0269798136645962E-2</v>
      </c>
    </row>
    <row r="25" spans="1:15">
      <c r="A25" s="60">
        <v>45218</v>
      </c>
      <c r="B25">
        <v>24</v>
      </c>
      <c r="C25" s="11">
        <v>2168.6999999999998</v>
      </c>
      <c r="H25" s="62">
        <v>1</v>
      </c>
      <c r="I25" s="62">
        <v>1</v>
      </c>
      <c r="K25" s="11">
        <f t="shared" si="2"/>
        <v>64201.2</v>
      </c>
      <c r="N25" s="12">
        <f t="shared" si="0"/>
        <v>6.4544642857142856E-2</v>
      </c>
      <c r="O25" s="12">
        <f t="shared" si="1"/>
        <v>7.9614583333333336E-2</v>
      </c>
    </row>
    <row r="26" spans="1:15">
      <c r="A26" s="60">
        <v>45219</v>
      </c>
      <c r="B26">
        <v>25</v>
      </c>
      <c r="C26" s="11">
        <v>3423.4000000000005</v>
      </c>
      <c r="H26" s="62">
        <v>1</v>
      </c>
      <c r="I26" s="62">
        <v>1</v>
      </c>
      <c r="K26" s="11">
        <f t="shared" si="2"/>
        <v>67624.599999999991</v>
      </c>
      <c r="N26" s="12">
        <f t="shared" si="0"/>
        <v>0.10188690476190478</v>
      </c>
      <c r="O26" s="12">
        <f t="shared" si="1"/>
        <v>8.0505476190476183E-2</v>
      </c>
    </row>
    <row r="27" spans="1:15">
      <c r="A27" s="60">
        <v>45220</v>
      </c>
      <c r="B27">
        <v>26</v>
      </c>
      <c r="C27" s="11">
        <v>4276.8</v>
      </c>
      <c r="H27" s="62">
        <v>1</v>
      </c>
      <c r="I27" s="62">
        <v>1</v>
      </c>
      <c r="K27" s="11">
        <f t="shared" si="2"/>
        <v>71901.399999999994</v>
      </c>
      <c r="N27" s="12">
        <f t="shared" si="0"/>
        <v>0.12728571428571428</v>
      </c>
      <c r="O27" s="12">
        <f t="shared" si="1"/>
        <v>8.2304716117216112E-2</v>
      </c>
    </row>
    <row r="28" spans="1:15">
      <c r="A28" s="60">
        <v>45221</v>
      </c>
      <c r="B28">
        <v>27</v>
      </c>
      <c r="C28" s="11">
        <v>3878.8</v>
      </c>
      <c r="H28" s="62">
        <v>1</v>
      </c>
      <c r="I28" s="62">
        <v>1</v>
      </c>
      <c r="K28" s="11">
        <f t="shared" si="2"/>
        <v>75780.2</v>
      </c>
      <c r="N28" s="12">
        <f t="shared" si="0"/>
        <v>0.11544047619047619</v>
      </c>
      <c r="O28" s="12">
        <f t="shared" si="1"/>
        <v>8.3531966490299814E-2</v>
      </c>
    </row>
    <row r="29" spans="1:15">
      <c r="A29" s="60">
        <v>45222</v>
      </c>
      <c r="B29">
        <v>28</v>
      </c>
      <c r="C29" s="11">
        <v>3721.0999999999995</v>
      </c>
      <c r="H29" s="62">
        <v>1</v>
      </c>
      <c r="I29" s="62">
        <v>1</v>
      </c>
      <c r="K29" s="11">
        <f t="shared" si="2"/>
        <v>79501.3</v>
      </c>
      <c r="N29" s="12">
        <f t="shared" si="0"/>
        <v>0.1107470238095238</v>
      </c>
      <c r="O29" s="12">
        <f t="shared" si="1"/>
        <v>8.4503932823129249E-2</v>
      </c>
    </row>
    <row r="30" spans="1:15">
      <c r="A30" s="60">
        <v>45223</v>
      </c>
      <c r="B30">
        <v>29</v>
      </c>
      <c r="C30" s="11">
        <v>4919.8</v>
      </c>
      <c r="H30" s="62">
        <v>1</v>
      </c>
      <c r="I30" s="62">
        <v>1</v>
      </c>
      <c r="K30" s="11">
        <f t="shared" si="2"/>
        <v>84421.1</v>
      </c>
      <c r="N30" s="12">
        <f t="shared" si="0"/>
        <v>0.14642261904761905</v>
      </c>
      <c r="O30" s="12">
        <f t="shared" si="1"/>
        <v>8.6639059934318557E-2</v>
      </c>
    </row>
    <row r="31" spans="1:15">
      <c r="A31" s="60">
        <v>45224</v>
      </c>
      <c r="B31">
        <v>30</v>
      </c>
      <c r="C31" s="11">
        <v>4861.3999999999996</v>
      </c>
      <c r="H31" s="62">
        <v>1</v>
      </c>
      <c r="I31" s="62">
        <v>1</v>
      </c>
      <c r="K31" s="11">
        <f t="shared" si="2"/>
        <v>89282.5</v>
      </c>
      <c r="N31" s="12">
        <f t="shared" si="0"/>
        <v>0.14468452380952379</v>
      </c>
      <c r="O31" s="12">
        <f t="shared" si="1"/>
        <v>8.8573908730158732E-2</v>
      </c>
    </row>
    <row r="32" spans="1:15">
      <c r="A32" s="60">
        <v>45225</v>
      </c>
      <c r="B32">
        <v>31</v>
      </c>
      <c r="C32" s="11">
        <v>3503.1</v>
      </c>
      <c r="H32" s="62">
        <v>1</v>
      </c>
      <c r="I32" s="62">
        <v>1</v>
      </c>
      <c r="K32" s="11">
        <f t="shared" si="2"/>
        <v>92785.600000000006</v>
      </c>
      <c r="N32" s="12">
        <f t="shared" si="0"/>
        <v>0.10425892857142857</v>
      </c>
      <c r="O32" s="12">
        <f t="shared" si="1"/>
        <v>8.9079877112135178E-2</v>
      </c>
    </row>
    <row r="33" spans="1:15">
      <c r="A33" s="60">
        <v>45226</v>
      </c>
      <c r="B33">
        <v>32</v>
      </c>
      <c r="C33" s="11">
        <v>4878.1000000000004</v>
      </c>
      <c r="H33" s="62">
        <v>1</v>
      </c>
      <c r="I33" s="62">
        <v>1</v>
      </c>
      <c r="K33" s="11">
        <f t="shared" si="2"/>
        <v>97663.700000000012</v>
      </c>
      <c r="N33" s="12">
        <f t="shared" si="0"/>
        <v>0.14518154761904764</v>
      </c>
      <c r="O33" s="12">
        <f t="shared" si="1"/>
        <v>9.0833054315476197E-2</v>
      </c>
    </row>
    <row r="34" spans="1:15">
      <c r="A34" s="60">
        <v>45227</v>
      </c>
      <c r="B34">
        <v>33</v>
      </c>
      <c r="C34" s="11">
        <v>4526.3999999999996</v>
      </c>
      <c r="H34" s="62">
        <v>1</v>
      </c>
      <c r="I34" s="62">
        <v>1</v>
      </c>
      <c r="K34" s="11">
        <f t="shared" si="2"/>
        <v>102190.1</v>
      </c>
      <c r="N34" s="12">
        <f t="shared" si="0"/>
        <v>0.1347142857142857</v>
      </c>
      <c r="O34" s="12">
        <f t="shared" si="1"/>
        <v>9.2162788600288606E-2</v>
      </c>
    </row>
    <row r="35" spans="1:15">
      <c r="A35" s="60">
        <v>45228</v>
      </c>
      <c r="B35">
        <v>34</v>
      </c>
      <c r="C35" s="11">
        <v>3840.9</v>
      </c>
      <c r="H35" s="62">
        <v>1</v>
      </c>
      <c r="I35" s="62">
        <v>1</v>
      </c>
      <c r="K35" s="11">
        <f t="shared" si="2"/>
        <v>106031</v>
      </c>
      <c r="N35" s="12">
        <f t="shared" si="0"/>
        <v>0.1143125</v>
      </c>
      <c r="O35" s="12">
        <f t="shared" si="1"/>
        <v>9.2814250700280113E-2</v>
      </c>
    </row>
    <row r="36" spans="1:15">
      <c r="A36" s="60">
        <v>45229</v>
      </c>
      <c r="B36">
        <v>35</v>
      </c>
      <c r="C36" s="11">
        <v>2414.2999999999997</v>
      </c>
      <c r="H36" s="62">
        <v>1</v>
      </c>
      <c r="I36" s="62">
        <v>1</v>
      </c>
      <c r="K36" s="11">
        <f t="shared" si="2"/>
        <v>108445.3</v>
      </c>
      <c r="N36" s="12">
        <f t="shared" si="0"/>
        <v>7.1854166666666663E-2</v>
      </c>
      <c r="O36" s="12">
        <f t="shared" si="1"/>
        <v>9.2215391156462587E-2</v>
      </c>
    </row>
    <row r="37" spans="1:15">
      <c r="A37" s="60">
        <v>45230</v>
      </c>
      <c r="B37">
        <v>36</v>
      </c>
      <c r="C37" s="11">
        <v>3191.1000000000004</v>
      </c>
      <c r="H37" s="62">
        <v>1</v>
      </c>
      <c r="I37" s="62">
        <v>1</v>
      </c>
      <c r="K37" s="11">
        <f t="shared" si="2"/>
        <v>111636.40000000001</v>
      </c>
      <c r="N37" s="12">
        <f t="shared" si="0"/>
        <v>9.49732142857143E-2</v>
      </c>
      <c r="O37" s="12">
        <f t="shared" si="1"/>
        <v>9.2291997354497363E-2</v>
      </c>
    </row>
    <row r="38" spans="1:15">
      <c r="A38" s="60">
        <v>45231</v>
      </c>
      <c r="B38">
        <v>37</v>
      </c>
      <c r="C38" s="11">
        <v>3005.8</v>
      </c>
      <c r="H38" s="62">
        <v>1</v>
      </c>
      <c r="I38" s="62">
        <v>1</v>
      </c>
      <c r="K38" s="11">
        <f t="shared" si="2"/>
        <v>114642.20000000001</v>
      </c>
      <c r="N38" s="12">
        <f t="shared" si="0"/>
        <v>8.9458333333333334E-2</v>
      </c>
      <c r="O38" s="12">
        <f t="shared" si="1"/>
        <v>9.2215411840411848E-2</v>
      </c>
    </row>
    <row r="39" spans="1:15">
      <c r="A39" s="60">
        <v>45232</v>
      </c>
      <c r="B39">
        <v>38</v>
      </c>
      <c r="C39" s="11">
        <v>5071.3999999999996</v>
      </c>
      <c r="H39" s="62">
        <v>1</v>
      </c>
      <c r="I39" s="62">
        <v>0.96436558380414317</v>
      </c>
      <c r="K39" s="11">
        <f t="shared" si="2"/>
        <v>119713.60000000001</v>
      </c>
      <c r="N39" s="12">
        <f t="shared" si="0"/>
        <v>0.1509345238095238</v>
      </c>
      <c r="O39" s="12">
        <f t="shared" si="1"/>
        <v>9.3760651629072683E-2</v>
      </c>
    </row>
    <row r="40" spans="1:15">
      <c r="A40" s="60">
        <v>45233</v>
      </c>
      <c r="B40">
        <v>39</v>
      </c>
      <c r="C40" s="11">
        <v>5549.6</v>
      </c>
      <c r="H40" s="62">
        <v>1</v>
      </c>
      <c r="I40" s="62">
        <v>0.875</v>
      </c>
      <c r="K40" s="11">
        <f t="shared" si="2"/>
        <v>125263.20000000001</v>
      </c>
      <c r="N40" s="12">
        <f t="shared" si="0"/>
        <v>0.16516666666666668</v>
      </c>
      <c r="O40" s="12">
        <f t="shared" si="1"/>
        <v>9.5591575091575107E-2</v>
      </c>
    </row>
    <row r="41" spans="1:15">
      <c r="A41" s="60">
        <v>45234</v>
      </c>
      <c r="B41">
        <v>40</v>
      </c>
      <c r="C41" s="11">
        <v>2968.9999999999995</v>
      </c>
      <c r="H41" s="62">
        <v>1</v>
      </c>
      <c r="I41" s="62">
        <v>1</v>
      </c>
      <c r="K41" s="11">
        <f t="shared" si="2"/>
        <v>128232.20000000001</v>
      </c>
      <c r="N41" s="12">
        <f t="shared" si="0"/>
        <v>8.8363095238095227E-2</v>
      </c>
      <c r="O41" s="12">
        <f t="shared" si="1"/>
        <v>9.5410863095238108E-2</v>
      </c>
    </row>
    <row r="42" spans="1:15">
      <c r="A42" s="60">
        <v>45235</v>
      </c>
      <c r="B42">
        <v>41</v>
      </c>
      <c r="C42" s="11">
        <v>3746.5</v>
      </c>
      <c r="H42" s="62">
        <v>1</v>
      </c>
      <c r="I42" s="62">
        <v>1</v>
      </c>
      <c r="K42" s="11">
        <f t="shared" si="2"/>
        <v>131978.70000000001</v>
      </c>
      <c r="N42" s="12">
        <f t="shared" si="0"/>
        <v>0.11150297619047619</v>
      </c>
      <c r="O42" s="12">
        <f t="shared" si="1"/>
        <v>9.5803353658536594E-2</v>
      </c>
    </row>
    <row r="43" spans="1:15">
      <c r="A43" s="60">
        <v>45236</v>
      </c>
      <c r="B43">
        <v>42</v>
      </c>
      <c r="C43" s="11">
        <v>3991.2999999999993</v>
      </c>
      <c r="H43" s="62">
        <v>1</v>
      </c>
      <c r="I43" s="62">
        <v>1</v>
      </c>
      <c r="K43" s="11">
        <f t="shared" si="2"/>
        <v>135970</v>
      </c>
      <c r="N43" s="12">
        <f t="shared" si="0"/>
        <v>0.11878869047619045</v>
      </c>
      <c r="O43" s="12">
        <f t="shared" si="1"/>
        <v>9.6350623582766443E-2</v>
      </c>
    </row>
    <row r="44" spans="1:15">
      <c r="A44" s="60">
        <v>45237</v>
      </c>
      <c r="B44">
        <v>43</v>
      </c>
      <c r="C44" s="11">
        <v>7056.4</v>
      </c>
      <c r="H44" s="62">
        <v>1</v>
      </c>
      <c r="I44" s="62">
        <v>0.98764124293785305</v>
      </c>
      <c r="K44" s="11">
        <f t="shared" si="2"/>
        <v>143026.4</v>
      </c>
      <c r="N44" s="12">
        <f t="shared" si="0"/>
        <v>0.21001190476190476</v>
      </c>
      <c r="O44" s="12">
        <f t="shared" si="1"/>
        <v>9.8993909191583601E-2</v>
      </c>
    </row>
    <row r="45" spans="1:15">
      <c r="A45" s="60">
        <v>45238</v>
      </c>
      <c r="B45">
        <v>44</v>
      </c>
      <c r="C45" s="11">
        <v>6070.9</v>
      </c>
      <c r="H45" s="62">
        <v>1</v>
      </c>
      <c r="I45" s="62">
        <v>1</v>
      </c>
      <c r="K45" s="11">
        <f t="shared" si="2"/>
        <v>149097.29999999999</v>
      </c>
      <c r="N45" s="12">
        <f t="shared" si="0"/>
        <v>0.18068154761904762</v>
      </c>
      <c r="O45" s="12">
        <f t="shared" si="1"/>
        <v>0.10085044642857142</v>
      </c>
    </row>
    <row r="46" spans="1:15">
      <c r="A46" s="60">
        <v>45239</v>
      </c>
      <c r="B46">
        <v>45</v>
      </c>
      <c r="C46" s="11">
        <v>2776.4999999999995</v>
      </c>
      <c r="H46" s="62">
        <v>1</v>
      </c>
      <c r="I46" s="62">
        <v>1</v>
      </c>
      <c r="K46" s="11">
        <f t="shared" si="2"/>
        <v>151873.79999999999</v>
      </c>
      <c r="N46" s="12">
        <f t="shared" si="0"/>
        <v>8.2633928571428553E-2</v>
      </c>
      <c r="O46" s="12">
        <f t="shared" si="1"/>
        <v>0.10044563492063491</v>
      </c>
    </row>
    <row r="47" spans="1:15">
      <c r="A47" s="60">
        <v>45240</v>
      </c>
      <c r="B47">
        <v>46</v>
      </c>
      <c r="C47" s="11">
        <v>7731.7</v>
      </c>
      <c r="H47" s="62">
        <v>1</v>
      </c>
      <c r="I47" s="62">
        <v>1</v>
      </c>
      <c r="K47" s="11">
        <f t="shared" si="2"/>
        <v>159605.5</v>
      </c>
      <c r="N47" s="12">
        <f t="shared" si="0"/>
        <v>0.23011011904761905</v>
      </c>
      <c r="O47" s="12">
        <f t="shared" si="1"/>
        <v>0.10326442805383022</v>
      </c>
    </row>
    <row r="48" spans="1:15">
      <c r="A48" s="60">
        <v>45241</v>
      </c>
      <c r="B48">
        <v>47</v>
      </c>
      <c r="C48" s="11">
        <v>6432.7</v>
      </c>
      <c r="H48" s="62">
        <v>1</v>
      </c>
      <c r="I48" s="62">
        <v>1</v>
      </c>
      <c r="K48" s="11">
        <f t="shared" si="2"/>
        <v>166038.20000000001</v>
      </c>
      <c r="N48" s="12">
        <f t="shared" si="0"/>
        <v>0.19144940476190475</v>
      </c>
      <c r="O48" s="12">
        <f t="shared" si="1"/>
        <v>0.10514070415400203</v>
      </c>
    </row>
    <row r="49" spans="1:15">
      <c r="A49" s="60">
        <v>45242</v>
      </c>
      <c r="B49">
        <v>48</v>
      </c>
      <c r="C49" s="11">
        <v>1981.7</v>
      </c>
      <c r="H49" s="62">
        <v>1</v>
      </c>
      <c r="I49" s="62">
        <v>1</v>
      </c>
      <c r="K49" s="11">
        <f t="shared" si="2"/>
        <v>168019.90000000002</v>
      </c>
      <c r="N49" s="12">
        <f t="shared" si="0"/>
        <v>5.8979166666666666E-2</v>
      </c>
      <c r="O49" s="12">
        <f t="shared" si="1"/>
        <v>0.10417900545634923</v>
      </c>
    </row>
    <row r="50" spans="1:15">
      <c r="A50" s="60">
        <v>45243</v>
      </c>
      <c r="B50">
        <v>49</v>
      </c>
      <c r="C50" s="11">
        <v>5662.9</v>
      </c>
      <c r="H50" s="62">
        <v>0.99382062146892658</v>
      </c>
      <c r="I50" s="62">
        <v>1</v>
      </c>
      <c r="K50" s="11">
        <f t="shared" si="2"/>
        <v>173682.80000000002</v>
      </c>
      <c r="N50" s="12">
        <f t="shared" si="0"/>
        <v>0.16853869047619047</v>
      </c>
      <c r="O50" s="12">
        <f t="shared" si="1"/>
        <v>0.10549246841593782</v>
      </c>
    </row>
    <row r="51" spans="1:15">
      <c r="A51" s="60">
        <v>45244</v>
      </c>
      <c r="B51">
        <v>50</v>
      </c>
      <c r="C51" s="11">
        <v>5511.9</v>
      </c>
      <c r="H51" s="62">
        <v>0.90730932203389825</v>
      </c>
      <c r="I51" s="62">
        <v>1</v>
      </c>
      <c r="K51" s="11">
        <f t="shared" si="2"/>
        <v>179194.7</v>
      </c>
      <c r="N51" s="12">
        <f t="shared" si="0"/>
        <v>0.16404464285714285</v>
      </c>
      <c r="O51" s="12">
        <f t="shared" si="1"/>
        <v>0.10666351190476191</v>
      </c>
    </row>
    <row r="52" spans="1:15">
      <c r="A52" s="60">
        <v>45245</v>
      </c>
      <c r="B52">
        <v>51</v>
      </c>
      <c r="C52" s="11">
        <v>5679.9000000000005</v>
      </c>
      <c r="H52" s="62">
        <v>0.85169491525423724</v>
      </c>
      <c r="I52" s="62">
        <v>1</v>
      </c>
      <c r="K52" s="11">
        <f t="shared" si="2"/>
        <v>184874.6</v>
      </c>
      <c r="N52" s="12">
        <f t="shared" si="0"/>
        <v>0.16904464285714288</v>
      </c>
      <c r="O52" s="12">
        <f t="shared" si="1"/>
        <v>0.10788667133520075</v>
      </c>
    </row>
    <row r="53" spans="1:15">
      <c r="A53" s="60">
        <v>45246</v>
      </c>
      <c r="B53">
        <v>52</v>
      </c>
      <c r="C53" s="11">
        <v>5660.4</v>
      </c>
      <c r="H53" s="62">
        <v>0.85169491525423724</v>
      </c>
      <c r="I53" s="62">
        <v>1</v>
      </c>
      <c r="K53" s="11">
        <f t="shared" si="2"/>
        <v>190535</v>
      </c>
      <c r="N53" s="12">
        <f t="shared" si="0"/>
        <v>0.16846428571428571</v>
      </c>
      <c r="O53" s="12">
        <f t="shared" si="1"/>
        <v>0.10905162545787546</v>
      </c>
    </row>
    <row r="54" spans="1:15">
      <c r="A54" s="60">
        <v>45247</v>
      </c>
      <c r="B54">
        <v>53</v>
      </c>
      <c r="C54" s="11">
        <v>3928.4</v>
      </c>
      <c r="H54" s="62">
        <v>0.85169491525423724</v>
      </c>
      <c r="I54" s="62">
        <v>1</v>
      </c>
      <c r="K54" s="11">
        <f t="shared" si="2"/>
        <v>194463.4</v>
      </c>
      <c r="N54" s="12">
        <f t="shared" si="0"/>
        <v>0.11691666666666667</v>
      </c>
      <c r="O54" s="12">
        <f t="shared" si="1"/>
        <v>0.10920002246181491</v>
      </c>
    </row>
    <row r="55" spans="1:15">
      <c r="A55" s="60">
        <v>45248</v>
      </c>
      <c r="B55">
        <v>54</v>
      </c>
      <c r="C55" s="11">
        <v>4865.5</v>
      </c>
      <c r="H55" s="62">
        <v>0.85169491525423724</v>
      </c>
      <c r="I55" s="62">
        <v>1</v>
      </c>
      <c r="K55" s="11">
        <f t="shared" si="2"/>
        <v>199328.9</v>
      </c>
      <c r="N55" s="12">
        <f t="shared" si="0"/>
        <v>0.14480654761904763</v>
      </c>
      <c r="O55" s="12">
        <f t="shared" si="1"/>
        <v>0.10985940255731923</v>
      </c>
    </row>
    <row r="56" spans="1:15">
      <c r="A56" s="60">
        <v>45249</v>
      </c>
      <c r="B56">
        <v>55</v>
      </c>
      <c r="C56" s="11">
        <v>4597.8999999999996</v>
      </c>
      <c r="H56" s="62">
        <v>0.85169491525423724</v>
      </c>
      <c r="I56" s="62">
        <v>1</v>
      </c>
      <c r="K56" s="11">
        <f t="shared" si="2"/>
        <v>203926.8</v>
      </c>
      <c r="N56" s="12">
        <f t="shared" si="0"/>
        <v>0.1368422619047619</v>
      </c>
      <c r="O56" s="12">
        <f t="shared" si="1"/>
        <v>0.11034999999999999</v>
      </c>
    </row>
    <row r="57" spans="1:15">
      <c r="A57" s="60">
        <v>45250</v>
      </c>
      <c r="B57">
        <v>56</v>
      </c>
      <c r="C57" s="11">
        <v>5498.3000000000011</v>
      </c>
      <c r="H57" s="62">
        <v>0.85169491525423724</v>
      </c>
      <c r="I57" s="62">
        <v>1</v>
      </c>
      <c r="K57" s="11">
        <f t="shared" si="2"/>
        <v>209425.09999999998</v>
      </c>
      <c r="N57" s="12">
        <f t="shared" si="0"/>
        <v>0.16363988095238099</v>
      </c>
      <c r="O57" s="12">
        <f t="shared" si="1"/>
        <v>0.1113016050170068</v>
      </c>
    </row>
    <row r="58" spans="1:15">
      <c r="A58" s="60">
        <v>45251</v>
      </c>
      <c r="B58">
        <v>57</v>
      </c>
      <c r="C58" s="11">
        <v>5431.2</v>
      </c>
      <c r="H58" s="62">
        <v>0.85169491525423724</v>
      </c>
      <c r="I58" s="62">
        <v>1</v>
      </c>
      <c r="K58" s="11">
        <f t="shared" si="2"/>
        <v>214856.3</v>
      </c>
      <c r="N58" s="12">
        <f t="shared" si="0"/>
        <v>0.16164285714285714</v>
      </c>
      <c r="O58" s="12">
        <f t="shared" si="1"/>
        <v>0.11218478487886382</v>
      </c>
    </row>
    <row r="59" spans="1:15">
      <c r="A59" s="60">
        <v>45252</v>
      </c>
      <c r="B59">
        <v>58</v>
      </c>
      <c r="C59" s="11">
        <v>4751.7</v>
      </c>
      <c r="H59" s="62">
        <v>0.85169491525423724</v>
      </c>
      <c r="I59" s="62">
        <v>1</v>
      </c>
      <c r="K59" s="11">
        <f t="shared" si="2"/>
        <v>219608</v>
      </c>
      <c r="N59" s="12">
        <f t="shared" si="0"/>
        <v>0.14141964285714284</v>
      </c>
      <c r="O59" s="12">
        <f t="shared" si="1"/>
        <v>0.11268883415435139</v>
      </c>
    </row>
    <row r="60" spans="1:15">
      <c r="A60" s="60">
        <v>45253</v>
      </c>
      <c r="B60">
        <v>59</v>
      </c>
      <c r="C60" s="11">
        <v>2375</v>
      </c>
      <c r="H60" s="62">
        <v>0.85169491525423724</v>
      </c>
      <c r="I60" s="62">
        <v>1</v>
      </c>
      <c r="K60" s="11">
        <f t="shared" si="2"/>
        <v>221983</v>
      </c>
      <c r="N60" s="12">
        <f t="shared" si="0"/>
        <v>7.0684523809523808E-2</v>
      </c>
      <c r="O60" s="12">
        <f t="shared" si="1"/>
        <v>0.11197689669087975</v>
      </c>
    </row>
    <row r="61" spans="1:15">
      <c r="A61" s="60">
        <v>45254</v>
      </c>
      <c r="B61">
        <v>60</v>
      </c>
      <c r="C61" s="11">
        <v>3771.7</v>
      </c>
      <c r="H61" s="62">
        <v>0.85169491525423724</v>
      </c>
      <c r="I61" s="62">
        <v>1</v>
      </c>
      <c r="K61" s="11">
        <f t="shared" si="2"/>
        <v>225754.7</v>
      </c>
      <c r="N61" s="12">
        <f t="shared" si="0"/>
        <v>0.11225297619047618</v>
      </c>
      <c r="O61" s="12">
        <f t="shared" si="1"/>
        <v>0.11198149801587302</v>
      </c>
    </row>
    <row r="62" spans="1:15">
      <c r="A62" s="60">
        <v>45255</v>
      </c>
      <c r="B62">
        <v>61</v>
      </c>
      <c r="C62" s="11">
        <v>3925.1000000000004</v>
      </c>
      <c r="H62" s="62">
        <v>0.85169491525423724</v>
      </c>
      <c r="I62" s="62">
        <v>1</v>
      </c>
      <c r="K62" s="11">
        <f t="shared" si="2"/>
        <v>229679.80000000002</v>
      </c>
      <c r="N62" s="12">
        <f t="shared" si="0"/>
        <v>0.1168184523809524</v>
      </c>
      <c r="O62" s="12">
        <f t="shared" si="1"/>
        <v>0.11206079234972678</v>
      </c>
    </row>
    <row r="63" spans="1:15">
      <c r="A63" s="60">
        <v>45256</v>
      </c>
      <c r="B63">
        <v>62</v>
      </c>
      <c r="C63" s="11">
        <v>5072.8999999999996</v>
      </c>
      <c r="H63" s="62">
        <v>0.58363935969868164</v>
      </c>
      <c r="I63" s="62">
        <v>1</v>
      </c>
      <c r="K63" s="11">
        <f t="shared" si="2"/>
        <v>234752.7</v>
      </c>
      <c r="N63" s="12">
        <f t="shared" si="0"/>
        <v>0.15097916666666666</v>
      </c>
      <c r="O63" s="12">
        <f t="shared" si="1"/>
        <v>0.11268850806451614</v>
      </c>
    </row>
    <row r="64" spans="1:15">
      <c r="A64" s="60">
        <v>45257</v>
      </c>
      <c r="B64">
        <v>63</v>
      </c>
      <c r="C64" s="11">
        <v>3829.9</v>
      </c>
      <c r="H64" s="62">
        <v>0.85169491525423724</v>
      </c>
      <c r="I64" s="62">
        <v>1</v>
      </c>
      <c r="K64" s="11">
        <f t="shared" si="2"/>
        <v>238582.6</v>
      </c>
      <c r="N64" s="12">
        <f t="shared" si="0"/>
        <v>0.11398511904761904</v>
      </c>
      <c r="O64" s="12">
        <f t="shared" si="1"/>
        <v>0.11270908919123206</v>
      </c>
    </row>
    <row r="65" spans="1:15">
      <c r="A65" s="60">
        <v>45258</v>
      </c>
      <c r="B65">
        <v>64</v>
      </c>
      <c r="C65" s="11">
        <v>5586.7</v>
      </c>
      <c r="H65" s="62">
        <v>0.85169491525423724</v>
      </c>
      <c r="I65" s="62">
        <v>1</v>
      </c>
      <c r="K65" s="11">
        <f t="shared" si="2"/>
        <v>244169.30000000002</v>
      </c>
      <c r="N65" s="12">
        <f t="shared" si="0"/>
        <v>0.16627083333333334</v>
      </c>
      <c r="O65" s="12">
        <f t="shared" si="1"/>
        <v>0.11354599144345238</v>
      </c>
    </row>
    <row r="66" spans="1:15">
      <c r="A66" s="60">
        <v>45259</v>
      </c>
      <c r="B66">
        <v>65</v>
      </c>
      <c r="C66" s="11">
        <v>5295.7</v>
      </c>
      <c r="H66" s="62">
        <v>0.85169491525423724</v>
      </c>
      <c r="I66" s="62">
        <v>1</v>
      </c>
      <c r="K66" s="11">
        <f t="shared" si="2"/>
        <v>249465.00000000003</v>
      </c>
      <c r="N66" s="12">
        <f t="shared" si="0"/>
        <v>0.15761011904761904</v>
      </c>
      <c r="O66" s="12">
        <f t="shared" si="1"/>
        <v>0.11422390109890111</v>
      </c>
    </row>
    <row r="67" spans="1:15">
      <c r="A67" s="60">
        <v>45260</v>
      </c>
      <c r="B67">
        <v>66</v>
      </c>
      <c r="C67" s="11">
        <v>3570.8999999999996</v>
      </c>
      <c r="H67" s="62">
        <v>0.85169491525423724</v>
      </c>
      <c r="I67" s="62">
        <v>1</v>
      </c>
      <c r="K67" s="11">
        <f t="shared" si="2"/>
        <v>253035.90000000002</v>
      </c>
      <c r="N67" s="12">
        <f t="shared" ref="N67:N130" si="3">C67/(1400*24)</f>
        <v>0.1062767857142857</v>
      </c>
      <c r="O67" s="12">
        <f t="shared" ref="O67:O130" si="4">K67/(B67*1400*24)</f>
        <v>0.11410349025974027</v>
      </c>
    </row>
    <row r="68" spans="1:15">
      <c r="A68" s="60">
        <v>45261</v>
      </c>
      <c r="B68">
        <v>67</v>
      </c>
      <c r="C68" s="11">
        <v>5580.5</v>
      </c>
      <c r="H68" s="62">
        <v>0.85375470809792842</v>
      </c>
      <c r="I68" s="62">
        <v>1</v>
      </c>
      <c r="K68" s="11">
        <f t="shared" ref="K68:K131" si="5">K67+C68</f>
        <v>258616.40000000002</v>
      </c>
      <c r="N68" s="12">
        <f t="shared" si="3"/>
        <v>0.16608630952380951</v>
      </c>
      <c r="O68" s="12">
        <f t="shared" si="4"/>
        <v>0.11487935323383086</v>
      </c>
    </row>
    <row r="69" spans="1:15">
      <c r="A69" s="60">
        <v>45262</v>
      </c>
      <c r="B69">
        <v>68</v>
      </c>
      <c r="C69" s="11">
        <v>4181.3</v>
      </c>
      <c r="H69" s="62">
        <v>0.85375470809792842</v>
      </c>
      <c r="I69" s="62">
        <v>1</v>
      </c>
      <c r="K69" s="11">
        <f t="shared" si="5"/>
        <v>262797.7</v>
      </c>
      <c r="N69" s="12">
        <f t="shared" si="3"/>
        <v>0.12444345238095239</v>
      </c>
      <c r="O69" s="12">
        <f t="shared" si="4"/>
        <v>0.11502000175070029</v>
      </c>
    </row>
    <row r="70" spans="1:15">
      <c r="A70" s="60">
        <v>45263</v>
      </c>
      <c r="B70">
        <v>69</v>
      </c>
      <c r="C70" s="11">
        <v>1360.3</v>
      </c>
      <c r="H70" s="62">
        <v>0.8199741054613936</v>
      </c>
      <c r="I70" s="62">
        <v>1</v>
      </c>
      <c r="K70" s="11">
        <f t="shared" si="5"/>
        <v>264158</v>
      </c>
      <c r="N70" s="12">
        <f t="shared" si="3"/>
        <v>4.0485119047619048E-2</v>
      </c>
      <c r="O70" s="12">
        <f t="shared" si="4"/>
        <v>0.11393978605935128</v>
      </c>
    </row>
    <row r="71" spans="1:15">
      <c r="A71" s="60">
        <v>45264</v>
      </c>
      <c r="B71">
        <v>70</v>
      </c>
      <c r="C71" s="11">
        <v>5008.3999999999996</v>
      </c>
      <c r="H71" s="62">
        <v>0.85375470809792842</v>
      </c>
      <c r="I71" s="62">
        <v>1</v>
      </c>
      <c r="K71" s="11">
        <f t="shared" si="5"/>
        <v>269166.40000000002</v>
      </c>
      <c r="N71" s="12">
        <f t="shared" si="3"/>
        <v>0.14905952380952381</v>
      </c>
      <c r="O71" s="12">
        <f t="shared" si="4"/>
        <v>0.11444149659863946</v>
      </c>
    </row>
    <row r="72" spans="1:15">
      <c r="A72" s="60">
        <v>45265</v>
      </c>
      <c r="B72">
        <v>71</v>
      </c>
      <c r="C72" s="11">
        <v>5303.4000000000005</v>
      </c>
      <c r="H72" s="62">
        <v>0.85375470809792842</v>
      </c>
      <c r="I72" s="62">
        <v>1</v>
      </c>
      <c r="K72" s="11">
        <f t="shared" si="5"/>
        <v>274469.80000000005</v>
      </c>
      <c r="N72" s="12">
        <f t="shared" si="3"/>
        <v>0.15783928571428574</v>
      </c>
      <c r="O72" s="12">
        <f t="shared" si="4"/>
        <v>0.11505273306505703</v>
      </c>
    </row>
    <row r="73" spans="1:15">
      <c r="A73" s="60">
        <v>45266</v>
      </c>
      <c r="B73">
        <v>72</v>
      </c>
      <c r="C73" s="11">
        <v>5242.2999999999993</v>
      </c>
      <c r="H73" s="62">
        <v>0.85375470809792842</v>
      </c>
      <c r="I73" s="62">
        <v>1</v>
      </c>
      <c r="K73" s="11">
        <f t="shared" si="5"/>
        <v>279712.10000000003</v>
      </c>
      <c r="N73" s="12">
        <f t="shared" si="3"/>
        <v>0.1560208333333333</v>
      </c>
      <c r="O73" s="12">
        <f t="shared" si="4"/>
        <v>0.11562173445767197</v>
      </c>
    </row>
    <row r="74" spans="1:15">
      <c r="A74" s="60">
        <v>45267</v>
      </c>
      <c r="B74">
        <v>73</v>
      </c>
      <c r="C74" s="11">
        <v>5332</v>
      </c>
      <c r="H74" s="62">
        <v>0.85375470809792842</v>
      </c>
      <c r="I74" s="62">
        <v>1</v>
      </c>
      <c r="K74" s="11">
        <f t="shared" si="5"/>
        <v>285044.10000000003</v>
      </c>
      <c r="N74" s="12">
        <f t="shared" si="3"/>
        <v>0.15869047619047619</v>
      </c>
      <c r="O74" s="12">
        <f t="shared" si="4"/>
        <v>0.11621171722113505</v>
      </c>
    </row>
    <row r="75" spans="1:15">
      <c r="A75" s="60">
        <v>45268</v>
      </c>
      <c r="B75">
        <v>74</v>
      </c>
      <c r="C75" s="11">
        <v>4096</v>
      </c>
      <c r="H75" s="62">
        <v>0.85375470809792842</v>
      </c>
      <c r="I75" s="62">
        <v>1</v>
      </c>
      <c r="K75" s="11">
        <f t="shared" si="5"/>
        <v>289140.10000000003</v>
      </c>
      <c r="N75" s="12">
        <f t="shared" si="3"/>
        <v>0.1219047619047619</v>
      </c>
      <c r="O75" s="12">
        <f t="shared" si="4"/>
        <v>0.11628865025740028</v>
      </c>
    </row>
    <row r="76" spans="1:15">
      <c r="A76" s="60">
        <v>45269</v>
      </c>
      <c r="B76">
        <v>75</v>
      </c>
      <c r="C76" s="11">
        <v>3328.5</v>
      </c>
      <c r="H76" s="62">
        <v>0.85375470809792842</v>
      </c>
      <c r="I76" s="62">
        <v>1</v>
      </c>
      <c r="K76" s="11">
        <f t="shared" si="5"/>
        <v>292468.60000000003</v>
      </c>
      <c r="N76" s="12">
        <f t="shared" si="3"/>
        <v>9.9062499999999998E-2</v>
      </c>
      <c r="O76" s="12">
        <f t="shared" si="4"/>
        <v>0.11605896825396826</v>
      </c>
    </row>
    <row r="77" spans="1:15">
      <c r="A77" s="60">
        <v>45270</v>
      </c>
      <c r="B77">
        <v>76</v>
      </c>
      <c r="C77" s="11">
        <v>3161.6</v>
      </c>
      <c r="H77" s="62">
        <v>0.85375470809792842</v>
      </c>
      <c r="I77" s="62">
        <v>1</v>
      </c>
      <c r="K77" s="11">
        <f t="shared" si="5"/>
        <v>295630.2</v>
      </c>
      <c r="N77" s="12">
        <f t="shared" si="3"/>
        <v>9.4095238095238093E-2</v>
      </c>
      <c r="O77" s="12">
        <f t="shared" si="4"/>
        <v>0.11576997180451128</v>
      </c>
    </row>
    <row r="78" spans="1:15">
      <c r="A78" s="60">
        <v>45271</v>
      </c>
      <c r="B78">
        <v>77</v>
      </c>
      <c r="C78" s="11">
        <v>4233</v>
      </c>
      <c r="H78" s="62">
        <v>0.85375470809792842</v>
      </c>
      <c r="I78" s="62">
        <v>1</v>
      </c>
      <c r="K78" s="11">
        <f t="shared" si="5"/>
        <v>299863.2</v>
      </c>
      <c r="N78" s="12">
        <f t="shared" si="3"/>
        <v>0.12598214285714285</v>
      </c>
      <c r="O78" s="12">
        <f t="shared" si="4"/>
        <v>0.11590259740259741</v>
      </c>
    </row>
    <row r="79" spans="1:15">
      <c r="A79" s="60">
        <v>45272</v>
      </c>
      <c r="B79">
        <v>78</v>
      </c>
      <c r="C79" s="11">
        <v>4144.7999999999993</v>
      </c>
      <c r="H79" s="62">
        <v>0.85375470809792842</v>
      </c>
      <c r="I79" s="62">
        <v>1</v>
      </c>
      <c r="K79" s="11">
        <f t="shared" si="5"/>
        <v>304008</v>
      </c>
      <c r="N79" s="12">
        <f t="shared" si="3"/>
        <v>0.12335714285714283</v>
      </c>
      <c r="O79" s="12">
        <f t="shared" si="4"/>
        <v>0.11599816849816849</v>
      </c>
    </row>
    <row r="80" spans="1:15">
      <c r="A80" s="60">
        <v>45273</v>
      </c>
      <c r="B80">
        <v>79</v>
      </c>
      <c r="C80" s="11">
        <v>5412.8</v>
      </c>
      <c r="H80" s="62">
        <v>0.85375470809792842</v>
      </c>
      <c r="I80" s="62">
        <v>1</v>
      </c>
      <c r="K80" s="11">
        <f t="shared" si="5"/>
        <v>309420.79999999999</v>
      </c>
      <c r="N80" s="12">
        <f t="shared" si="3"/>
        <v>0.1610952380952381</v>
      </c>
      <c r="O80" s="12">
        <f t="shared" si="4"/>
        <v>0.11656901748040988</v>
      </c>
    </row>
    <row r="81" spans="1:15">
      <c r="A81" s="60">
        <v>45274</v>
      </c>
      <c r="B81">
        <v>80</v>
      </c>
      <c r="C81" s="11">
        <v>4853.7</v>
      </c>
      <c r="H81" s="62">
        <v>0.85375470809792842</v>
      </c>
      <c r="I81" s="62">
        <v>1</v>
      </c>
      <c r="K81" s="11">
        <f t="shared" si="5"/>
        <v>314274.5</v>
      </c>
      <c r="N81" s="12">
        <f t="shared" si="3"/>
        <v>0.14445535714285715</v>
      </c>
      <c r="O81" s="12">
        <f t="shared" si="4"/>
        <v>0.11691759672619048</v>
      </c>
    </row>
    <row r="82" spans="1:15">
      <c r="A82" s="60">
        <v>45275</v>
      </c>
      <c r="B82">
        <v>81</v>
      </c>
      <c r="C82" s="11">
        <v>3694.2</v>
      </c>
      <c r="H82" s="62">
        <v>0.85375470809792842</v>
      </c>
      <c r="I82" s="62">
        <v>1</v>
      </c>
      <c r="K82" s="11">
        <f t="shared" si="5"/>
        <v>317968.7</v>
      </c>
      <c r="N82" s="12">
        <f t="shared" si="3"/>
        <v>0.10994642857142857</v>
      </c>
      <c r="O82" s="12">
        <f t="shared" si="4"/>
        <v>0.1168315329218107</v>
      </c>
    </row>
    <row r="83" spans="1:15">
      <c r="A83" s="60">
        <v>45276</v>
      </c>
      <c r="B83">
        <v>82</v>
      </c>
      <c r="C83" s="11">
        <v>5495.4</v>
      </c>
      <c r="H83" s="62">
        <v>0.85375470809792842</v>
      </c>
      <c r="I83" s="62">
        <v>1</v>
      </c>
      <c r="K83" s="11">
        <f t="shared" si="5"/>
        <v>323464.10000000003</v>
      </c>
      <c r="N83" s="12">
        <f t="shared" si="3"/>
        <v>0.16355357142857141</v>
      </c>
      <c r="O83" s="12">
        <f t="shared" si="4"/>
        <v>0.11740131387921024</v>
      </c>
    </row>
    <row r="84" spans="1:15">
      <c r="A84" s="60">
        <v>45277</v>
      </c>
      <c r="B84">
        <v>83</v>
      </c>
      <c r="C84" s="11">
        <v>3903.5</v>
      </c>
      <c r="H84" s="62">
        <v>0.85375470809792842</v>
      </c>
      <c r="I84" s="62">
        <v>0.76249999999999996</v>
      </c>
      <c r="K84" s="11">
        <f t="shared" si="5"/>
        <v>327367.60000000003</v>
      </c>
      <c r="N84" s="12">
        <f t="shared" si="3"/>
        <v>0.11617559523809524</v>
      </c>
      <c r="O84" s="12">
        <f t="shared" si="4"/>
        <v>0.11738654618473897</v>
      </c>
    </row>
    <row r="85" spans="1:15">
      <c r="A85" s="60">
        <v>45278</v>
      </c>
      <c r="B85">
        <v>84</v>
      </c>
      <c r="C85" s="11">
        <v>4408.5</v>
      </c>
      <c r="H85" s="62">
        <v>0.85375470809792842</v>
      </c>
      <c r="I85" s="62">
        <v>1</v>
      </c>
      <c r="K85" s="11">
        <f t="shared" si="5"/>
        <v>331776.10000000003</v>
      </c>
      <c r="N85" s="12">
        <f t="shared" si="3"/>
        <v>0.13120535714285714</v>
      </c>
      <c r="O85" s="12">
        <f t="shared" si="4"/>
        <v>0.11755105583900229</v>
      </c>
    </row>
    <row r="86" spans="1:15">
      <c r="A86" s="60">
        <v>45279</v>
      </c>
      <c r="B86">
        <v>85</v>
      </c>
      <c r="C86" s="11">
        <v>462.3</v>
      </c>
      <c r="H86" s="62">
        <v>0.70890222849968609</v>
      </c>
      <c r="I86" s="62">
        <v>1</v>
      </c>
      <c r="K86" s="11">
        <f t="shared" si="5"/>
        <v>332238.40000000002</v>
      </c>
      <c r="N86" s="12">
        <f t="shared" si="3"/>
        <v>1.3758928571428571E-2</v>
      </c>
      <c r="O86" s="12">
        <f t="shared" si="4"/>
        <v>0.11632997198879552</v>
      </c>
    </row>
    <row r="87" spans="1:15">
      <c r="A87" s="60">
        <v>45280</v>
      </c>
      <c r="B87">
        <v>86</v>
      </c>
      <c r="C87" s="11">
        <v>3594.4000000000005</v>
      </c>
      <c r="H87" s="62">
        <v>0.70890222849968609</v>
      </c>
      <c r="I87" s="62">
        <v>1</v>
      </c>
      <c r="K87" s="11">
        <f t="shared" si="5"/>
        <v>335832.80000000005</v>
      </c>
      <c r="N87" s="12">
        <f t="shared" si="3"/>
        <v>0.10697619047619049</v>
      </c>
      <c r="O87" s="12">
        <f t="shared" si="4"/>
        <v>0.11622120708748618</v>
      </c>
    </row>
    <row r="88" spans="1:15">
      <c r="A88" s="60">
        <v>45281</v>
      </c>
      <c r="B88">
        <v>87</v>
      </c>
      <c r="C88" s="11">
        <v>3894.2</v>
      </c>
      <c r="H88" s="62">
        <v>1</v>
      </c>
      <c r="I88" s="62">
        <v>0.7</v>
      </c>
      <c r="K88" s="11">
        <f t="shared" si="5"/>
        <v>339727.00000000006</v>
      </c>
      <c r="N88" s="12">
        <f t="shared" si="3"/>
        <v>0.11589880952380952</v>
      </c>
      <c r="O88" s="12">
        <f t="shared" si="4"/>
        <v>0.11621750136836345</v>
      </c>
    </row>
    <row r="89" spans="1:15">
      <c r="A89" s="60">
        <v>45282</v>
      </c>
      <c r="B89">
        <v>88</v>
      </c>
      <c r="C89" s="11">
        <v>2572.4</v>
      </c>
      <c r="H89" s="62">
        <v>1</v>
      </c>
      <c r="I89" s="62">
        <v>0.56999999999999995</v>
      </c>
      <c r="K89" s="11">
        <f t="shared" si="5"/>
        <v>342299.40000000008</v>
      </c>
      <c r="N89" s="12">
        <f t="shared" si="3"/>
        <v>7.6559523809523813E-2</v>
      </c>
      <c r="O89" s="12">
        <f t="shared" si="4"/>
        <v>0.11576684253246756</v>
      </c>
    </row>
    <row r="90" spans="1:15">
      <c r="A90" s="60">
        <v>45283</v>
      </c>
      <c r="B90">
        <v>89</v>
      </c>
      <c r="C90" s="11">
        <v>2585.6999999999998</v>
      </c>
      <c r="H90" s="62">
        <v>1</v>
      </c>
      <c r="I90" s="62">
        <v>0.56999999999999995</v>
      </c>
      <c r="K90" s="11">
        <f t="shared" si="5"/>
        <v>344885.10000000009</v>
      </c>
      <c r="N90" s="12">
        <f t="shared" si="3"/>
        <v>7.6955357142857131E-2</v>
      </c>
      <c r="O90" s="12">
        <f t="shared" si="4"/>
        <v>0.11533075842696633</v>
      </c>
    </row>
    <row r="91" spans="1:15">
      <c r="A91" s="60">
        <v>45284</v>
      </c>
      <c r="B91">
        <v>90</v>
      </c>
      <c r="C91" s="11">
        <v>3382.2</v>
      </c>
      <c r="H91" s="62">
        <v>1</v>
      </c>
      <c r="I91" s="62">
        <v>0.56999999999999995</v>
      </c>
      <c r="K91" s="11">
        <f t="shared" si="5"/>
        <v>348267.3000000001</v>
      </c>
      <c r="N91" s="12">
        <f t="shared" si="3"/>
        <v>0.10066071428571428</v>
      </c>
      <c r="O91" s="12">
        <f t="shared" si="4"/>
        <v>0.11516775793650798</v>
      </c>
    </row>
    <row r="92" spans="1:15">
      <c r="A92" s="60">
        <v>45285</v>
      </c>
      <c r="B92">
        <v>91</v>
      </c>
      <c r="C92" s="11">
        <v>4547.3999999999996</v>
      </c>
      <c r="H92" s="62">
        <v>1</v>
      </c>
      <c r="I92" s="62">
        <v>1</v>
      </c>
      <c r="K92" s="11">
        <f t="shared" si="5"/>
        <v>352814.70000000013</v>
      </c>
      <c r="N92" s="12">
        <f t="shared" si="3"/>
        <v>0.13533928571428569</v>
      </c>
      <c r="O92" s="12">
        <f t="shared" si="4"/>
        <v>0.11538942307692313</v>
      </c>
    </row>
    <row r="93" spans="1:15">
      <c r="A93" s="60">
        <v>45286</v>
      </c>
      <c r="B93">
        <v>92</v>
      </c>
      <c r="C93" s="11">
        <v>5033.5</v>
      </c>
      <c r="H93" s="62">
        <v>1</v>
      </c>
      <c r="I93" s="62">
        <v>1</v>
      </c>
      <c r="K93" s="11">
        <f t="shared" si="5"/>
        <v>357848.20000000013</v>
      </c>
      <c r="N93" s="12">
        <f t="shared" si="3"/>
        <v>0.14980654761904763</v>
      </c>
      <c r="O93" s="12">
        <f t="shared" si="4"/>
        <v>0.11576352225672883</v>
      </c>
    </row>
    <row r="94" spans="1:15">
      <c r="A94" s="60">
        <v>45287</v>
      </c>
      <c r="B94">
        <v>93</v>
      </c>
      <c r="C94" s="11">
        <v>6368.7</v>
      </c>
      <c r="H94" s="62">
        <v>1</v>
      </c>
      <c r="I94" s="62">
        <v>1</v>
      </c>
      <c r="K94" s="11">
        <f t="shared" si="5"/>
        <v>364216.90000000014</v>
      </c>
      <c r="N94" s="12">
        <f t="shared" si="3"/>
        <v>0.18954464285714284</v>
      </c>
      <c r="O94" s="12">
        <f t="shared" si="4"/>
        <v>0.11655686763952898</v>
      </c>
    </row>
    <row r="95" spans="1:15">
      <c r="A95" s="60">
        <v>45288</v>
      </c>
      <c r="B95">
        <v>94</v>
      </c>
      <c r="C95" s="11">
        <v>5581.5</v>
      </c>
      <c r="H95" s="62">
        <v>1</v>
      </c>
      <c r="I95" s="62">
        <v>1</v>
      </c>
      <c r="K95" s="11">
        <f t="shared" si="5"/>
        <v>369798.40000000014</v>
      </c>
      <c r="N95" s="12">
        <f t="shared" si="3"/>
        <v>0.16611607142857143</v>
      </c>
      <c r="O95" s="12">
        <f t="shared" si="4"/>
        <v>0.11708409321175282</v>
      </c>
    </row>
    <row r="96" spans="1:15">
      <c r="A96" s="60">
        <v>45289</v>
      </c>
      <c r="B96">
        <v>95</v>
      </c>
      <c r="C96" s="11">
        <v>6343.9</v>
      </c>
      <c r="H96" s="62">
        <v>1</v>
      </c>
      <c r="I96" s="62">
        <v>1</v>
      </c>
      <c r="K96" s="11">
        <f t="shared" si="5"/>
        <v>376142.30000000016</v>
      </c>
      <c r="N96" s="12">
        <f t="shared" si="3"/>
        <v>0.18880654761904761</v>
      </c>
      <c r="O96" s="12">
        <f t="shared" si="4"/>
        <v>0.11783906641604015</v>
      </c>
    </row>
    <row r="97" spans="1:15">
      <c r="A97" s="60">
        <v>45290</v>
      </c>
      <c r="B97">
        <v>96</v>
      </c>
      <c r="C97" s="11">
        <v>3795.5</v>
      </c>
      <c r="H97" s="62">
        <v>1</v>
      </c>
      <c r="I97" s="62">
        <v>1</v>
      </c>
      <c r="K97" s="11">
        <f t="shared" si="5"/>
        <v>379937.80000000016</v>
      </c>
      <c r="N97" s="12">
        <f t="shared" si="3"/>
        <v>0.11296130952380952</v>
      </c>
      <c r="O97" s="12">
        <f t="shared" si="4"/>
        <v>0.11778825644841275</v>
      </c>
    </row>
    <row r="98" spans="1:15">
      <c r="A98" s="60">
        <v>45291</v>
      </c>
      <c r="B98">
        <v>97</v>
      </c>
      <c r="C98" s="11">
        <v>5483.1</v>
      </c>
      <c r="H98" s="62">
        <v>1</v>
      </c>
      <c r="I98" s="62">
        <v>1</v>
      </c>
      <c r="K98" s="11">
        <f t="shared" si="5"/>
        <v>385420.90000000014</v>
      </c>
      <c r="N98" s="12">
        <f t="shared" si="3"/>
        <v>0.16318750000000001</v>
      </c>
      <c r="O98" s="12">
        <f t="shared" si="4"/>
        <v>0.1182562898870889</v>
      </c>
    </row>
    <row r="99" spans="1:15">
      <c r="A99" s="60">
        <v>45292</v>
      </c>
      <c r="B99">
        <v>98</v>
      </c>
      <c r="C99" s="11">
        <v>5271.1</v>
      </c>
      <c r="H99" s="62">
        <v>1</v>
      </c>
      <c r="I99" s="62">
        <v>1</v>
      </c>
      <c r="K99" s="11">
        <f t="shared" si="5"/>
        <v>390692.00000000012</v>
      </c>
      <c r="N99" s="12">
        <f t="shared" si="3"/>
        <v>0.15687797619047619</v>
      </c>
      <c r="O99" s="12">
        <f t="shared" si="4"/>
        <v>0.11865038872691938</v>
      </c>
    </row>
    <row r="100" spans="1:15">
      <c r="A100" s="60">
        <v>45293</v>
      </c>
      <c r="B100">
        <v>99</v>
      </c>
      <c r="C100" s="11">
        <v>3609</v>
      </c>
      <c r="H100" s="62">
        <v>1</v>
      </c>
      <c r="I100" s="62">
        <v>1</v>
      </c>
      <c r="K100" s="11">
        <f t="shared" si="5"/>
        <v>394301.00000000012</v>
      </c>
      <c r="N100" s="12">
        <f t="shared" si="3"/>
        <v>0.10741071428571429</v>
      </c>
      <c r="O100" s="12">
        <f t="shared" si="4"/>
        <v>0.11853685666185669</v>
      </c>
    </row>
    <row r="101" spans="1:15">
      <c r="A101" s="60">
        <v>45294</v>
      </c>
      <c r="B101">
        <v>100</v>
      </c>
      <c r="C101" s="11">
        <v>3167.9</v>
      </c>
      <c r="H101" s="62">
        <v>1</v>
      </c>
      <c r="I101" s="62">
        <v>1</v>
      </c>
      <c r="K101" s="11">
        <f t="shared" si="5"/>
        <v>397468.90000000014</v>
      </c>
      <c r="N101" s="12">
        <f t="shared" si="3"/>
        <v>9.42827380952381E-2</v>
      </c>
      <c r="O101" s="12">
        <f t="shared" si="4"/>
        <v>0.11829431547619051</v>
      </c>
    </row>
    <row r="102" spans="1:15">
      <c r="A102" s="60">
        <v>45295</v>
      </c>
      <c r="B102">
        <v>101</v>
      </c>
      <c r="C102" s="11">
        <v>3306.3</v>
      </c>
      <c r="H102" s="62">
        <v>1</v>
      </c>
      <c r="I102" s="62">
        <v>1</v>
      </c>
      <c r="K102" s="11">
        <f t="shared" si="5"/>
        <v>400775.20000000013</v>
      </c>
      <c r="N102" s="12">
        <f t="shared" si="3"/>
        <v>9.8401785714285719E-2</v>
      </c>
      <c r="O102" s="12">
        <f t="shared" si="4"/>
        <v>0.11809735973597363</v>
      </c>
    </row>
    <row r="103" spans="1:15">
      <c r="A103" s="60">
        <v>45296</v>
      </c>
      <c r="B103">
        <v>102</v>
      </c>
      <c r="C103" s="11">
        <v>2885.9000000000005</v>
      </c>
      <c r="H103" s="62">
        <v>1</v>
      </c>
      <c r="I103" s="62">
        <v>1</v>
      </c>
      <c r="K103" s="11">
        <f t="shared" si="5"/>
        <v>403661.10000000015</v>
      </c>
      <c r="N103" s="12">
        <f t="shared" si="3"/>
        <v>8.5889880952380968E-2</v>
      </c>
      <c r="O103" s="12">
        <f t="shared" si="4"/>
        <v>0.11778160014005606</v>
      </c>
    </row>
    <row r="104" spans="1:15">
      <c r="A104" s="60">
        <v>45297</v>
      </c>
      <c r="B104">
        <v>103</v>
      </c>
      <c r="C104" s="11">
        <v>6461.9</v>
      </c>
      <c r="H104" s="62">
        <v>1</v>
      </c>
      <c r="I104" s="62">
        <v>1</v>
      </c>
      <c r="K104" s="11">
        <f t="shared" si="5"/>
        <v>410123.00000000017</v>
      </c>
      <c r="N104" s="12">
        <f t="shared" si="3"/>
        <v>0.19231845238095238</v>
      </c>
      <c r="O104" s="12">
        <f t="shared" si="4"/>
        <v>0.11850525889967643</v>
      </c>
    </row>
    <row r="105" spans="1:15">
      <c r="A105" s="60">
        <v>45298</v>
      </c>
      <c r="B105">
        <v>104</v>
      </c>
      <c r="C105" s="11">
        <v>6294.0999999999995</v>
      </c>
      <c r="H105" s="62">
        <v>1</v>
      </c>
      <c r="I105" s="62">
        <v>1</v>
      </c>
      <c r="K105" s="11">
        <f t="shared" si="5"/>
        <v>416417.10000000015</v>
      </c>
      <c r="N105" s="12">
        <f t="shared" si="3"/>
        <v>0.18732440476190473</v>
      </c>
      <c r="O105" s="12">
        <f t="shared" si="4"/>
        <v>0.119166981456044</v>
      </c>
    </row>
    <row r="106" spans="1:15">
      <c r="A106" s="60">
        <v>45299</v>
      </c>
      <c r="B106">
        <v>105</v>
      </c>
      <c r="C106" s="11">
        <v>5593.0999999999995</v>
      </c>
      <c r="H106" s="62">
        <v>1</v>
      </c>
      <c r="I106" s="62">
        <v>1</v>
      </c>
      <c r="K106" s="11">
        <f t="shared" si="5"/>
        <v>422010.20000000013</v>
      </c>
      <c r="N106" s="12">
        <f t="shared" si="3"/>
        <v>0.1664613095238095</v>
      </c>
      <c r="O106" s="12">
        <f t="shared" si="4"/>
        <v>0.11961740362811794</v>
      </c>
    </row>
    <row r="107" spans="1:15">
      <c r="A107" s="60">
        <v>45300</v>
      </c>
      <c r="B107">
        <v>106</v>
      </c>
      <c r="C107" s="11">
        <v>3198.1000000000004</v>
      </c>
      <c r="H107" s="62">
        <v>1</v>
      </c>
      <c r="I107" s="62">
        <v>1</v>
      </c>
      <c r="K107" s="11">
        <f t="shared" si="5"/>
        <v>425208.3000000001</v>
      </c>
      <c r="N107" s="12">
        <f t="shared" si="3"/>
        <v>9.5181547619047624E-2</v>
      </c>
      <c r="O107" s="12">
        <f t="shared" si="4"/>
        <v>0.11938687668463614</v>
      </c>
    </row>
    <row r="108" spans="1:15">
      <c r="A108" s="60">
        <v>45301</v>
      </c>
      <c r="B108">
        <v>107</v>
      </c>
      <c r="C108" s="11">
        <v>4464.6000000000004</v>
      </c>
      <c r="H108" s="62">
        <v>1</v>
      </c>
      <c r="I108" s="62">
        <v>1</v>
      </c>
      <c r="K108" s="11">
        <f t="shared" si="5"/>
        <v>429672.90000000008</v>
      </c>
      <c r="N108" s="12">
        <f t="shared" si="3"/>
        <v>0.13287500000000002</v>
      </c>
      <c r="O108" s="12">
        <f t="shared" si="4"/>
        <v>0.11951293391188253</v>
      </c>
    </row>
    <row r="109" spans="1:15">
      <c r="A109" s="60">
        <v>45302</v>
      </c>
      <c r="B109">
        <v>108</v>
      </c>
      <c r="C109" s="11">
        <v>6420.6</v>
      </c>
      <c r="H109" s="62">
        <v>1</v>
      </c>
      <c r="I109" s="62">
        <v>1</v>
      </c>
      <c r="K109" s="11">
        <f t="shared" si="5"/>
        <v>436093.50000000006</v>
      </c>
      <c r="N109" s="12">
        <f t="shared" si="3"/>
        <v>0.19108928571428571</v>
      </c>
      <c r="O109" s="12">
        <f t="shared" si="4"/>
        <v>0.12017567791005293</v>
      </c>
    </row>
    <row r="110" spans="1:15">
      <c r="A110" s="60">
        <v>45303</v>
      </c>
      <c r="B110">
        <v>109</v>
      </c>
      <c r="C110" s="11">
        <v>6271.1</v>
      </c>
      <c r="H110" s="62">
        <v>1</v>
      </c>
      <c r="I110" s="62">
        <v>1</v>
      </c>
      <c r="K110" s="11">
        <f t="shared" si="5"/>
        <v>442364.60000000003</v>
      </c>
      <c r="N110" s="12">
        <f t="shared" si="3"/>
        <v>0.18663988095238096</v>
      </c>
      <c r="O110" s="12">
        <f t="shared" si="4"/>
        <v>0.12078544124071648</v>
      </c>
    </row>
    <row r="111" spans="1:15">
      <c r="A111" s="60">
        <v>45304</v>
      </c>
      <c r="B111">
        <v>110</v>
      </c>
      <c r="C111" s="11">
        <v>6260.4999999999991</v>
      </c>
      <c r="H111" s="62">
        <v>1</v>
      </c>
      <c r="I111" s="62">
        <v>1</v>
      </c>
      <c r="K111" s="11">
        <f t="shared" si="5"/>
        <v>448625.10000000003</v>
      </c>
      <c r="N111" s="12">
        <f t="shared" si="3"/>
        <v>0.18632440476190473</v>
      </c>
      <c r="O111" s="12">
        <f t="shared" si="4"/>
        <v>0.12138125000000001</v>
      </c>
    </row>
    <row r="112" spans="1:15">
      <c r="A112" s="60">
        <v>45305</v>
      </c>
      <c r="B112">
        <v>111</v>
      </c>
      <c r="C112" s="11">
        <v>5853.1399999999994</v>
      </c>
      <c r="H112" s="62">
        <v>1</v>
      </c>
      <c r="I112" s="62">
        <v>1</v>
      </c>
      <c r="K112" s="11">
        <f t="shared" si="5"/>
        <v>454478.24000000005</v>
      </c>
      <c r="N112" s="12">
        <f t="shared" si="3"/>
        <v>0.17420059523809522</v>
      </c>
      <c r="O112" s="12">
        <f t="shared" si="4"/>
        <v>0.12185709995709997</v>
      </c>
    </row>
    <row r="113" spans="1:15">
      <c r="A113" s="60">
        <v>45306</v>
      </c>
      <c r="B113">
        <v>112</v>
      </c>
      <c r="C113" s="11">
        <v>6088.5</v>
      </c>
      <c r="H113" s="62">
        <v>1</v>
      </c>
      <c r="I113" s="62">
        <v>1</v>
      </c>
      <c r="K113" s="11">
        <f t="shared" si="5"/>
        <v>460566.74000000005</v>
      </c>
      <c r="N113" s="12">
        <f t="shared" si="3"/>
        <v>0.18120535714285715</v>
      </c>
      <c r="O113" s="12">
        <f t="shared" si="4"/>
        <v>0.12238699511054422</v>
      </c>
    </row>
    <row r="114" spans="1:15">
      <c r="A114" s="60">
        <v>45307</v>
      </c>
      <c r="B114">
        <v>113</v>
      </c>
      <c r="C114" s="11">
        <v>6661.5</v>
      </c>
      <c r="H114" s="62">
        <v>1</v>
      </c>
      <c r="I114" s="62">
        <v>1</v>
      </c>
      <c r="K114" s="11">
        <f t="shared" si="5"/>
        <v>467228.24000000005</v>
      </c>
      <c r="N114" s="12">
        <f t="shared" si="3"/>
        <v>0.19825892857142857</v>
      </c>
      <c r="O114" s="12">
        <f t="shared" si="4"/>
        <v>0.12305842815002108</v>
      </c>
    </row>
    <row r="115" spans="1:15">
      <c r="A115" s="60">
        <v>45308</v>
      </c>
      <c r="B115">
        <v>114</v>
      </c>
      <c r="C115" s="11">
        <v>5424.5</v>
      </c>
      <c r="H115" s="62">
        <v>1</v>
      </c>
      <c r="I115" s="62">
        <v>1</v>
      </c>
      <c r="K115" s="11">
        <f t="shared" si="5"/>
        <v>472652.74000000005</v>
      </c>
      <c r="N115" s="12">
        <f t="shared" si="3"/>
        <v>0.16144345238095237</v>
      </c>
      <c r="O115" s="12">
        <f t="shared" si="4"/>
        <v>0.12339513888888891</v>
      </c>
    </row>
    <row r="116" spans="1:15">
      <c r="A116" s="60">
        <v>45309</v>
      </c>
      <c r="B116">
        <v>115</v>
      </c>
      <c r="C116" s="11">
        <v>1912.1000000000001</v>
      </c>
      <c r="H116" s="62">
        <v>1</v>
      </c>
      <c r="I116" s="62">
        <v>1</v>
      </c>
      <c r="K116" s="11">
        <f t="shared" si="5"/>
        <v>474564.84</v>
      </c>
      <c r="N116" s="12">
        <f t="shared" si="3"/>
        <v>5.6907738095238102E-2</v>
      </c>
      <c r="O116" s="12">
        <f t="shared" si="4"/>
        <v>0.12281698757763976</v>
      </c>
    </row>
    <row r="117" spans="1:15">
      <c r="A117" s="60">
        <v>45310</v>
      </c>
      <c r="B117">
        <v>116</v>
      </c>
      <c r="C117" s="11">
        <v>6538.9999999999991</v>
      </c>
      <c r="H117" s="62">
        <v>1</v>
      </c>
      <c r="I117" s="62">
        <v>1</v>
      </c>
      <c r="K117" s="11">
        <f t="shared" si="5"/>
        <v>481103.84</v>
      </c>
      <c r="N117" s="12">
        <f t="shared" si="3"/>
        <v>0.19461309523809522</v>
      </c>
      <c r="O117" s="12">
        <f t="shared" si="4"/>
        <v>0.12343591954022989</v>
      </c>
    </row>
    <row r="118" spans="1:15">
      <c r="A118" s="60">
        <v>45311</v>
      </c>
      <c r="B118">
        <v>117</v>
      </c>
      <c r="C118" s="11">
        <v>5840.5999999999995</v>
      </c>
      <c r="H118" s="62">
        <v>1</v>
      </c>
      <c r="I118" s="62">
        <v>1</v>
      </c>
      <c r="K118" s="11">
        <f t="shared" si="5"/>
        <v>486944.44</v>
      </c>
      <c r="N118" s="12">
        <f t="shared" si="3"/>
        <v>0.17382738095238093</v>
      </c>
      <c r="O118" s="12">
        <f t="shared" si="4"/>
        <v>0.12386661579161579</v>
      </c>
    </row>
    <row r="119" spans="1:15">
      <c r="A119" s="60">
        <v>45312</v>
      </c>
      <c r="B119">
        <v>118</v>
      </c>
      <c r="C119" s="11">
        <v>5781.5</v>
      </c>
      <c r="H119" s="62">
        <v>1</v>
      </c>
      <c r="I119" s="62">
        <v>1</v>
      </c>
      <c r="K119" s="11">
        <f t="shared" si="5"/>
        <v>492725.94</v>
      </c>
      <c r="N119" s="12">
        <f t="shared" si="3"/>
        <v>0.17206845238095239</v>
      </c>
      <c r="O119" s="12">
        <f t="shared" si="4"/>
        <v>0.12427510593220339</v>
      </c>
    </row>
    <row r="120" spans="1:15">
      <c r="A120" s="60">
        <v>45313</v>
      </c>
      <c r="B120">
        <v>119</v>
      </c>
      <c r="C120" s="11">
        <v>5113.6000000000004</v>
      </c>
      <c r="H120" s="62">
        <v>1</v>
      </c>
      <c r="I120" s="62">
        <v>1</v>
      </c>
      <c r="K120" s="11">
        <f t="shared" si="5"/>
        <v>497839.54</v>
      </c>
      <c r="N120" s="12">
        <f t="shared" si="3"/>
        <v>0.15219047619047621</v>
      </c>
      <c r="O120" s="12">
        <f t="shared" si="4"/>
        <v>0.12450968887555021</v>
      </c>
    </row>
    <row r="121" spans="1:15">
      <c r="A121" s="60">
        <v>45314</v>
      </c>
      <c r="B121">
        <v>120</v>
      </c>
      <c r="C121" s="11">
        <v>6681.8</v>
      </c>
      <c r="H121" s="62">
        <v>1</v>
      </c>
      <c r="I121" s="62">
        <v>1</v>
      </c>
      <c r="K121" s="11">
        <f t="shared" si="5"/>
        <v>504521.33999999997</v>
      </c>
      <c r="N121" s="12">
        <f t="shared" si="3"/>
        <v>0.19886309523809526</v>
      </c>
      <c r="O121" s="12">
        <f t="shared" si="4"/>
        <v>0.12512930059523808</v>
      </c>
    </row>
    <row r="122" spans="1:15">
      <c r="A122" s="60">
        <v>45315</v>
      </c>
      <c r="B122">
        <v>121</v>
      </c>
      <c r="C122" s="11">
        <v>6873.5999999999995</v>
      </c>
      <c r="H122" s="62">
        <v>1</v>
      </c>
      <c r="I122" s="62">
        <v>1</v>
      </c>
      <c r="K122" s="11">
        <f t="shared" si="5"/>
        <v>511394.93999999994</v>
      </c>
      <c r="N122" s="12">
        <f t="shared" si="3"/>
        <v>0.20457142857142854</v>
      </c>
      <c r="O122" s="12">
        <f t="shared" si="4"/>
        <v>0.12578584710743801</v>
      </c>
    </row>
    <row r="123" spans="1:15">
      <c r="A123" s="60">
        <v>45316</v>
      </c>
      <c r="B123">
        <v>122</v>
      </c>
      <c r="C123" s="11">
        <v>7537.4999999999991</v>
      </c>
      <c r="H123" s="62">
        <v>1</v>
      </c>
      <c r="I123" s="62">
        <v>1</v>
      </c>
      <c r="K123" s="11">
        <f t="shared" si="5"/>
        <v>518932.43999999994</v>
      </c>
      <c r="N123" s="12">
        <f t="shared" si="3"/>
        <v>0.22433035714285712</v>
      </c>
      <c r="O123" s="12">
        <f t="shared" si="4"/>
        <v>0.12659358899297424</v>
      </c>
    </row>
    <row r="124" spans="1:15">
      <c r="A124" s="60">
        <v>45317</v>
      </c>
      <c r="B124">
        <v>123</v>
      </c>
      <c r="C124" s="11">
        <v>7387.6</v>
      </c>
      <c r="H124" s="62">
        <v>1</v>
      </c>
      <c r="I124" s="62">
        <v>1</v>
      </c>
      <c r="K124" s="11">
        <f t="shared" si="5"/>
        <v>526320.03999999992</v>
      </c>
      <c r="N124" s="12">
        <f t="shared" si="3"/>
        <v>0.21986904761904763</v>
      </c>
      <c r="O124" s="12">
        <f t="shared" si="4"/>
        <v>0.12735192605497481</v>
      </c>
    </row>
    <row r="125" spans="1:15">
      <c r="A125" s="60">
        <v>45318</v>
      </c>
      <c r="B125">
        <v>124</v>
      </c>
      <c r="C125" s="11">
        <v>4948.9000000000005</v>
      </c>
      <c r="H125" s="62">
        <v>1</v>
      </c>
      <c r="I125" s="62">
        <v>1</v>
      </c>
      <c r="K125" s="11">
        <f t="shared" si="5"/>
        <v>531268.93999999994</v>
      </c>
      <c r="N125" s="12">
        <f t="shared" si="3"/>
        <v>0.1472886904761905</v>
      </c>
      <c r="O125" s="12">
        <f t="shared" si="4"/>
        <v>0.12751270641321044</v>
      </c>
    </row>
    <row r="126" spans="1:15">
      <c r="A126" s="60">
        <v>45319</v>
      </c>
      <c r="B126">
        <v>125</v>
      </c>
      <c r="C126" s="11">
        <v>4881.2999999999993</v>
      </c>
      <c r="H126" s="62">
        <v>1</v>
      </c>
      <c r="I126" s="62">
        <v>1</v>
      </c>
      <c r="K126" s="11">
        <f t="shared" si="5"/>
        <v>536150.24</v>
      </c>
      <c r="N126" s="12">
        <f t="shared" si="3"/>
        <v>0.14527678571428571</v>
      </c>
      <c r="O126" s="12">
        <f t="shared" si="4"/>
        <v>0.12765481904761905</v>
      </c>
    </row>
    <row r="127" spans="1:15">
      <c r="A127" s="60">
        <v>45320</v>
      </c>
      <c r="B127">
        <v>126</v>
      </c>
      <c r="C127" s="11">
        <v>6950.2000000000007</v>
      </c>
      <c r="H127" s="62">
        <v>1</v>
      </c>
      <c r="I127" s="62">
        <v>1</v>
      </c>
      <c r="K127" s="11">
        <f t="shared" si="5"/>
        <v>543100.43999999994</v>
      </c>
      <c r="N127" s="12">
        <f t="shared" si="3"/>
        <v>0.20685119047619049</v>
      </c>
      <c r="O127" s="12">
        <f t="shared" si="4"/>
        <v>0.12828336167800453</v>
      </c>
    </row>
    <row r="128" spans="1:15">
      <c r="A128" s="60">
        <v>45321</v>
      </c>
      <c r="B128">
        <v>127</v>
      </c>
      <c r="C128" s="11">
        <v>7230.1</v>
      </c>
      <c r="H128" s="62">
        <v>1</v>
      </c>
      <c r="I128" s="62">
        <v>1</v>
      </c>
      <c r="K128" s="11">
        <f t="shared" si="5"/>
        <v>550330.53999999992</v>
      </c>
      <c r="N128" s="12">
        <f t="shared" si="3"/>
        <v>0.21518154761904762</v>
      </c>
      <c r="O128" s="12">
        <f t="shared" si="4"/>
        <v>0.12896759936257965</v>
      </c>
    </row>
    <row r="129" spans="1:15">
      <c r="A129" s="60">
        <v>45322</v>
      </c>
      <c r="B129">
        <v>128</v>
      </c>
      <c r="C129" s="11">
        <v>7112.8</v>
      </c>
      <c r="H129" s="62">
        <v>1</v>
      </c>
      <c r="I129" s="62">
        <v>1</v>
      </c>
      <c r="K129" s="11">
        <f t="shared" si="5"/>
        <v>557443.34</v>
      </c>
      <c r="N129" s="12">
        <f t="shared" si="3"/>
        <v>0.21169047619047621</v>
      </c>
      <c r="O129" s="12">
        <f t="shared" si="4"/>
        <v>0.1296138718377976</v>
      </c>
    </row>
    <row r="130" spans="1:15">
      <c r="A130" s="60">
        <v>45323</v>
      </c>
      <c r="B130">
        <v>129</v>
      </c>
      <c r="C130" s="11">
        <v>6534.7000000000007</v>
      </c>
      <c r="H130" s="62">
        <v>1</v>
      </c>
      <c r="I130" s="62">
        <v>1</v>
      </c>
      <c r="K130" s="11">
        <f t="shared" si="5"/>
        <v>563978.03999999992</v>
      </c>
      <c r="N130" s="12">
        <f t="shared" si="3"/>
        <v>0.19448511904761906</v>
      </c>
      <c r="O130" s="12">
        <f t="shared" si="4"/>
        <v>0.13011674972314505</v>
      </c>
    </row>
    <row r="131" spans="1:15">
      <c r="A131" s="60">
        <v>45324</v>
      </c>
      <c r="B131">
        <v>130</v>
      </c>
      <c r="C131" s="11">
        <v>7024.4</v>
      </c>
      <c r="H131" s="62">
        <v>1</v>
      </c>
      <c r="I131" s="62">
        <v>1</v>
      </c>
      <c r="K131" s="11">
        <f t="shared" si="5"/>
        <v>571002.43999999994</v>
      </c>
      <c r="N131" s="12">
        <f t="shared" ref="N131:N194" si="6">C131/(1400*24)</f>
        <v>0.20905952380952381</v>
      </c>
      <c r="O131" s="12">
        <f t="shared" ref="O131:O194" si="7">K131/(B131*1400*24)</f>
        <v>0.13072400183150182</v>
      </c>
    </row>
    <row r="132" spans="1:15">
      <c r="A132" s="60">
        <v>45325</v>
      </c>
      <c r="B132">
        <v>131</v>
      </c>
      <c r="C132" s="11">
        <v>7158</v>
      </c>
      <c r="H132" s="62">
        <v>1</v>
      </c>
      <c r="I132" s="62">
        <v>1</v>
      </c>
      <c r="K132" s="11">
        <f t="shared" ref="K132:K195" si="8">K131+C132</f>
        <v>578160.43999999994</v>
      </c>
      <c r="N132" s="12">
        <f t="shared" si="6"/>
        <v>0.21303571428571427</v>
      </c>
      <c r="O132" s="12">
        <f t="shared" si="7"/>
        <v>0.1313523355143584</v>
      </c>
    </row>
    <row r="133" spans="1:15">
      <c r="A133" s="60">
        <v>45326</v>
      </c>
      <c r="B133">
        <v>132</v>
      </c>
      <c r="C133" s="11">
        <v>6662.9</v>
      </c>
      <c r="H133" s="62">
        <v>1</v>
      </c>
      <c r="I133" s="62">
        <v>1</v>
      </c>
      <c r="K133" s="11">
        <f t="shared" si="8"/>
        <v>584823.34</v>
      </c>
      <c r="N133" s="12">
        <f t="shared" si="6"/>
        <v>0.19830059523809523</v>
      </c>
      <c r="O133" s="12">
        <f t="shared" si="7"/>
        <v>0.13185951930014431</v>
      </c>
    </row>
    <row r="134" spans="1:15">
      <c r="A134" s="60">
        <v>45327</v>
      </c>
      <c r="B134">
        <v>133</v>
      </c>
      <c r="C134" s="11">
        <v>6736.6</v>
      </c>
      <c r="H134" s="62">
        <v>1</v>
      </c>
      <c r="I134" s="62">
        <v>1</v>
      </c>
      <c r="K134" s="11">
        <f t="shared" si="8"/>
        <v>591559.93999999994</v>
      </c>
      <c r="N134" s="12">
        <f t="shared" si="6"/>
        <v>0.20049404761904763</v>
      </c>
      <c r="O134" s="12">
        <f t="shared" si="7"/>
        <v>0.13237556838524883</v>
      </c>
    </row>
    <row r="135" spans="1:15">
      <c r="A135" s="60">
        <v>45328</v>
      </c>
      <c r="B135">
        <v>134</v>
      </c>
      <c r="C135" s="11">
        <v>6980.5999999999995</v>
      </c>
      <c r="H135" s="62">
        <v>1</v>
      </c>
      <c r="I135" s="62">
        <v>1</v>
      </c>
      <c r="K135" s="11">
        <f t="shared" si="8"/>
        <v>598540.53999999992</v>
      </c>
      <c r="N135" s="12">
        <f t="shared" si="6"/>
        <v>0.20775595238095237</v>
      </c>
      <c r="O135" s="12">
        <f t="shared" si="7"/>
        <v>0.13293810856432123</v>
      </c>
    </row>
    <row r="136" spans="1:15">
      <c r="A136" s="60">
        <v>45329</v>
      </c>
      <c r="B136">
        <v>135</v>
      </c>
      <c r="C136" s="11">
        <v>6825.5</v>
      </c>
      <c r="H136" s="62">
        <v>1</v>
      </c>
      <c r="I136" s="62">
        <v>1</v>
      </c>
      <c r="K136" s="11">
        <f t="shared" si="8"/>
        <v>605366.03999999992</v>
      </c>
      <c r="N136" s="12">
        <f t="shared" si="6"/>
        <v>0.20313988095238095</v>
      </c>
      <c r="O136" s="12">
        <f t="shared" si="7"/>
        <v>0.13345812169312168</v>
      </c>
    </row>
    <row r="137" spans="1:15">
      <c r="A137" s="60">
        <v>45330</v>
      </c>
      <c r="B137">
        <v>136</v>
      </c>
      <c r="C137" s="11">
        <v>5858</v>
      </c>
      <c r="H137" s="62">
        <v>1</v>
      </c>
      <c r="I137" s="62">
        <v>1</v>
      </c>
      <c r="K137" s="11">
        <f t="shared" si="8"/>
        <v>611224.03999999992</v>
      </c>
      <c r="N137" s="12">
        <f t="shared" si="6"/>
        <v>0.17434523809523811</v>
      </c>
      <c r="O137" s="12">
        <f t="shared" si="7"/>
        <v>0.13375876225490194</v>
      </c>
    </row>
    <row r="138" spans="1:15">
      <c r="A138" s="60">
        <v>45331</v>
      </c>
      <c r="B138">
        <v>137</v>
      </c>
      <c r="C138" s="11">
        <v>6837.6</v>
      </c>
      <c r="H138" s="62">
        <v>1</v>
      </c>
      <c r="I138" s="62">
        <v>1</v>
      </c>
      <c r="K138" s="11">
        <f t="shared" si="8"/>
        <v>618061.6399999999</v>
      </c>
      <c r="N138" s="12">
        <f t="shared" si="6"/>
        <v>0.20350000000000001</v>
      </c>
      <c r="O138" s="12">
        <f t="shared" si="7"/>
        <v>0.13426782238442819</v>
      </c>
    </row>
    <row r="139" spans="1:15">
      <c r="A139" s="60">
        <v>45332</v>
      </c>
      <c r="B139">
        <v>138</v>
      </c>
      <c r="C139" s="11">
        <v>6557.6</v>
      </c>
      <c r="H139" s="62">
        <v>1</v>
      </c>
      <c r="I139" s="62">
        <v>1</v>
      </c>
      <c r="K139" s="11">
        <f t="shared" si="8"/>
        <v>624619.23999999987</v>
      </c>
      <c r="N139" s="12">
        <f t="shared" si="6"/>
        <v>0.19516666666666668</v>
      </c>
      <c r="O139" s="12">
        <f t="shared" si="7"/>
        <v>0.13470911835748789</v>
      </c>
    </row>
    <row r="140" spans="1:15">
      <c r="A140" s="60">
        <v>45333</v>
      </c>
      <c r="B140">
        <v>139</v>
      </c>
      <c r="C140" s="11">
        <v>5312.9</v>
      </c>
      <c r="H140" s="62">
        <v>1</v>
      </c>
      <c r="I140" s="62">
        <v>1</v>
      </c>
      <c r="K140" s="11">
        <f t="shared" si="8"/>
        <v>629932.1399999999</v>
      </c>
      <c r="N140" s="12">
        <f t="shared" si="6"/>
        <v>0.15812202380952381</v>
      </c>
      <c r="O140" s="12">
        <f t="shared" si="7"/>
        <v>0.13487755652620759</v>
      </c>
    </row>
    <row r="141" spans="1:15">
      <c r="A141" s="60">
        <v>45334</v>
      </c>
      <c r="B141">
        <v>140</v>
      </c>
      <c r="C141" s="11">
        <v>5876.5999999999995</v>
      </c>
      <c r="H141" s="62">
        <v>1</v>
      </c>
      <c r="I141" s="62">
        <v>1</v>
      </c>
      <c r="K141" s="11">
        <f t="shared" si="8"/>
        <v>635808.73999999987</v>
      </c>
      <c r="N141" s="12">
        <f t="shared" si="6"/>
        <v>0.17489880952380951</v>
      </c>
      <c r="O141" s="12">
        <f t="shared" si="7"/>
        <v>0.1351634226190476</v>
      </c>
    </row>
    <row r="142" spans="1:15">
      <c r="A142" s="60">
        <v>45335</v>
      </c>
      <c r="B142">
        <v>141</v>
      </c>
      <c r="C142" s="11">
        <v>5615.9</v>
      </c>
      <c r="H142" s="62">
        <v>1</v>
      </c>
      <c r="I142" s="62">
        <v>1</v>
      </c>
      <c r="K142" s="11">
        <f t="shared" si="8"/>
        <v>641424.6399999999</v>
      </c>
      <c r="N142" s="12">
        <f t="shared" si="6"/>
        <v>0.16713988095238094</v>
      </c>
      <c r="O142" s="12">
        <f t="shared" si="7"/>
        <v>0.13539020601148258</v>
      </c>
    </row>
    <row r="143" spans="1:15">
      <c r="A143" s="60">
        <v>45336</v>
      </c>
      <c r="B143">
        <v>142</v>
      </c>
      <c r="C143" s="11">
        <v>5828.4000000000005</v>
      </c>
      <c r="H143" s="62">
        <v>1</v>
      </c>
      <c r="I143" s="62">
        <v>1</v>
      </c>
      <c r="K143" s="11">
        <f t="shared" si="8"/>
        <v>647253.03999999992</v>
      </c>
      <c r="N143" s="12">
        <f t="shared" si="6"/>
        <v>0.17346428571428574</v>
      </c>
      <c r="O143" s="12">
        <f t="shared" si="7"/>
        <v>0.13565833333333333</v>
      </c>
    </row>
    <row r="144" spans="1:15">
      <c r="A144" s="60">
        <v>45337</v>
      </c>
      <c r="B144">
        <v>143</v>
      </c>
      <c r="C144" s="11">
        <v>5119.5</v>
      </c>
      <c r="H144" s="62">
        <v>1</v>
      </c>
      <c r="I144" s="62">
        <v>1</v>
      </c>
      <c r="K144" s="11">
        <f t="shared" si="8"/>
        <v>652372.53999999992</v>
      </c>
      <c r="N144" s="12">
        <f t="shared" si="6"/>
        <v>0.15236607142857142</v>
      </c>
      <c r="O144" s="12">
        <f t="shared" si="7"/>
        <v>0.13577517066267064</v>
      </c>
    </row>
    <row r="145" spans="1:15">
      <c r="A145" s="60">
        <v>45338</v>
      </c>
      <c r="B145">
        <v>144</v>
      </c>
      <c r="C145" s="11">
        <v>6816.0000000000009</v>
      </c>
      <c r="H145" s="62">
        <v>1</v>
      </c>
      <c r="I145" s="62">
        <v>1</v>
      </c>
      <c r="K145" s="11">
        <f t="shared" si="8"/>
        <v>659188.53999999992</v>
      </c>
      <c r="N145" s="12">
        <f t="shared" si="6"/>
        <v>0.20285714285714287</v>
      </c>
      <c r="O145" s="12">
        <f t="shared" si="7"/>
        <v>0.13624101769179892</v>
      </c>
    </row>
    <row r="146" spans="1:15">
      <c r="A146" s="60">
        <v>45339</v>
      </c>
      <c r="B146">
        <v>145</v>
      </c>
      <c r="C146" s="11">
        <v>5666.6</v>
      </c>
      <c r="H146" s="62">
        <v>1</v>
      </c>
      <c r="I146" s="62">
        <v>1</v>
      </c>
      <c r="K146" s="11">
        <f t="shared" si="8"/>
        <v>664855.1399999999</v>
      </c>
      <c r="N146" s="12">
        <f t="shared" si="6"/>
        <v>0.16864880952380953</v>
      </c>
      <c r="O146" s="12">
        <f t="shared" si="7"/>
        <v>0.13646451970443349</v>
      </c>
    </row>
    <row r="147" spans="1:15">
      <c r="A147" s="60">
        <v>45340</v>
      </c>
      <c r="B147">
        <v>146</v>
      </c>
      <c r="C147" s="11">
        <v>6131.5</v>
      </c>
      <c r="H147" s="62">
        <v>1</v>
      </c>
      <c r="I147" s="62">
        <v>1</v>
      </c>
      <c r="K147" s="11">
        <f t="shared" si="8"/>
        <v>670986.6399999999</v>
      </c>
      <c r="N147" s="12">
        <f t="shared" si="6"/>
        <v>0.18248511904761905</v>
      </c>
      <c r="O147" s="12">
        <f t="shared" si="7"/>
        <v>0.13677972928897583</v>
      </c>
    </row>
    <row r="148" spans="1:15">
      <c r="A148" s="60">
        <v>45341</v>
      </c>
      <c r="B148">
        <v>147</v>
      </c>
      <c r="C148" s="11">
        <v>4817.2</v>
      </c>
      <c r="H148" s="62">
        <v>1</v>
      </c>
      <c r="I148" s="62">
        <v>1</v>
      </c>
      <c r="K148" s="11">
        <f t="shared" si="8"/>
        <v>675803.83999999985</v>
      </c>
      <c r="N148" s="12">
        <f t="shared" si="6"/>
        <v>0.14336904761904762</v>
      </c>
      <c r="O148" s="12">
        <f t="shared" si="7"/>
        <v>0.13682455458373824</v>
      </c>
    </row>
    <row r="149" spans="1:15">
      <c r="A149" s="60">
        <v>45342</v>
      </c>
      <c r="B149">
        <v>148</v>
      </c>
      <c r="C149" s="11">
        <v>5410.6</v>
      </c>
      <c r="H149" s="62">
        <v>1</v>
      </c>
      <c r="I149" s="62">
        <v>1</v>
      </c>
      <c r="K149" s="11">
        <f t="shared" si="8"/>
        <v>681214.43999999983</v>
      </c>
      <c r="N149" s="12">
        <f t="shared" si="6"/>
        <v>0.16102976190476193</v>
      </c>
      <c r="O149" s="12">
        <f t="shared" si="7"/>
        <v>0.13698810328185324</v>
      </c>
    </row>
    <row r="150" spans="1:15">
      <c r="A150" s="60">
        <v>45343</v>
      </c>
      <c r="B150">
        <v>149</v>
      </c>
      <c r="C150" s="11">
        <v>7825.7000000000007</v>
      </c>
      <c r="H150" s="62">
        <v>1</v>
      </c>
      <c r="I150" s="62">
        <v>1</v>
      </c>
      <c r="K150" s="11">
        <f t="shared" si="8"/>
        <v>689040.13999999978</v>
      </c>
      <c r="N150" s="12">
        <f t="shared" si="6"/>
        <v>0.23290773809523813</v>
      </c>
      <c r="O150" s="12">
        <f t="shared" si="7"/>
        <v>0.13763185922019811</v>
      </c>
    </row>
    <row r="151" spans="1:15">
      <c r="A151" s="60">
        <v>45344</v>
      </c>
      <c r="B151">
        <v>150</v>
      </c>
      <c r="C151" s="11">
        <v>7304.4999999999991</v>
      </c>
      <c r="H151" s="62">
        <v>1</v>
      </c>
      <c r="I151" s="62">
        <v>1</v>
      </c>
      <c r="K151" s="11">
        <f t="shared" si="8"/>
        <v>696344.63999999978</v>
      </c>
      <c r="N151" s="12">
        <f t="shared" si="6"/>
        <v>0.21739583333333332</v>
      </c>
      <c r="O151" s="12">
        <f t="shared" si="7"/>
        <v>0.13816361904761901</v>
      </c>
    </row>
    <row r="152" spans="1:15">
      <c r="A152" s="60">
        <v>45345</v>
      </c>
      <c r="B152">
        <v>151</v>
      </c>
      <c r="C152" s="11">
        <v>7526</v>
      </c>
      <c r="H152" s="62">
        <v>1</v>
      </c>
      <c r="I152" s="62">
        <v>1</v>
      </c>
      <c r="K152" s="11">
        <f t="shared" si="8"/>
        <v>703870.63999999978</v>
      </c>
      <c r="N152" s="12">
        <f t="shared" si="6"/>
        <v>0.22398809523809524</v>
      </c>
      <c r="O152" s="12">
        <f t="shared" si="7"/>
        <v>0.13873199306212547</v>
      </c>
    </row>
    <row r="153" spans="1:15">
      <c r="A153" s="60">
        <v>45346</v>
      </c>
      <c r="B153">
        <v>152</v>
      </c>
      <c r="C153" s="11">
        <v>7928</v>
      </c>
      <c r="H153" s="62">
        <v>1</v>
      </c>
      <c r="I153" s="62">
        <v>1</v>
      </c>
      <c r="K153" s="11">
        <f t="shared" si="8"/>
        <v>711798.63999999978</v>
      </c>
      <c r="N153" s="12">
        <f t="shared" si="6"/>
        <v>0.23595238095238094</v>
      </c>
      <c r="O153" s="12">
        <f t="shared" si="7"/>
        <v>0.13937160087719294</v>
      </c>
    </row>
    <row r="154" spans="1:15">
      <c r="A154" s="60">
        <v>45347</v>
      </c>
      <c r="B154">
        <v>153</v>
      </c>
      <c r="C154" s="11">
        <v>7713</v>
      </c>
      <c r="H154" s="62">
        <v>1</v>
      </c>
      <c r="I154" s="62">
        <v>1</v>
      </c>
      <c r="K154" s="11">
        <f t="shared" si="8"/>
        <v>719511.63999999978</v>
      </c>
      <c r="N154" s="12">
        <f t="shared" si="6"/>
        <v>0.22955357142857144</v>
      </c>
      <c r="O154" s="12">
        <f t="shared" si="7"/>
        <v>0.13996102552131959</v>
      </c>
    </row>
    <row r="155" spans="1:15">
      <c r="A155" s="60">
        <v>45348</v>
      </c>
      <c r="B155">
        <v>154</v>
      </c>
      <c r="C155" s="11">
        <v>7380</v>
      </c>
      <c r="H155" s="62">
        <v>1</v>
      </c>
      <c r="I155" s="62">
        <v>1</v>
      </c>
      <c r="K155" s="11">
        <f t="shared" si="8"/>
        <v>726891.63999999978</v>
      </c>
      <c r="N155" s="12">
        <f t="shared" si="6"/>
        <v>0.21964285714285714</v>
      </c>
      <c r="O155" s="12">
        <f t="shared" si="7"/>
        <v>0.14047844001236853</v>
      </c>
    </row>
    <row r="156" spans="1:15">
      <c r="A156" s="60">
        <v>45349</v>
      </c>
      <c r="B156">
        <v>155</v>
      </c>
      <c r="C156" s="11">
        <v>7190</v>
      </c>
      <c r="H156" s="62">
        <v>1</v>
      </c>
      <c r="I156" s="62">
        <v>1</v>
      </c>
      <c r="K156" s="11">
        <f t="shared" si="8"/>
        <v>734081.63999999978</v>
      </c>
      <c r="N156" s="12">
        <f t="shared" si="6"/>
        <v>0.21398809523809523</v>
      </c>
      <c r="O156" s="12">
        <f t="shared" si="7"/>
        <v>0.14095269585253453</v>
      </c>
    </row>
    <row r="157" spans="1:15">
      <c r="A157" s="60">
        <v>45350</v>
      </c>
      <c r="B157">
        <v>156</v>
      </c>
      <c r="C157" s="11">
        <v>7077</v>
      </c>
      <c r="H157" s="62">
        <v>1</v>
      </c>
      <c r="I157" s="62">
        <v>1</v>
      </c>
      <c r="K157" s="11">
        <f t="shared" si="8"/>
        <v>741158.63999999978</v>
      </c>
      <c r="N157" s="12">
        <f t="shared" si="6"/>
        <v>0.21062500000000001</v>
      </c>
      <c r="O157" s="12">
        <f t="shared" si="7"/>
        <v>0.14139931318681315</v>
      </c>
    </row>
    <row r="158" spans="1:15">
      <c r="A158" s="60">
        <v>45351</v>
      </c>
      <c r="B158">
        <v>157</v>
      </c>
      <c r="C158" s="11">
        <v>7166</v>
      </c>
      <c r="H158" s="62">
        <v>1</v>
      </c>
      <c r="I158" s="62">
        <v>1</v>
      </c>
      <c r="K158" s="11">
        <f t="shared" si="8"/>
        <v>748324.63999999978</v>
      </c>
      <c r="N158" s="12">
        <f t="shared" si="6"/>
        <v>0.21327380952380953</v>
      </c>
      <c r="O158" s="12">
        <f t="shared" si="7"/>
        <v>0.14185711252653924</v>
      </c>
    </row>
    <row r="159" spans="1:15">
      <c r="A159" s="60">
        <v>45352</v>
      </c>
      <c r="B159">
        <v>158</v>
      </c>
      <c r="C159" s="11">
        <v>5701.7000000000007</v>
      </c>
      <c r="H159" s="62">
        <v>1</v>
      </c>
      <c r="I159" s="62">
        <v>1</v>
      </c>
      <c r="K159" s="11">
        <f t="shared" si="8"/>
        <v>754026.33999999973</v>
      </c>
      <c r="N159" s="12">
        <f t="shared" si="6"/>
        <v>0.1696934523809524</v>
      </c>
      <c r="O159" s="12">
        <f t="shared" si="7"/>
        <v>0.14203329189270639</v>
      </c>
    </row>
    <row r="160" spans="1:15">
      <c r="A160" s="60">
        <v>45353</v>
      </c>
      <c r="B160">
        <v>159</v>
      </c>
      <c r="C160" s="11">
        <v>6934.3</v>
      </c>
      <c r="H160" s="62">
        <v>1</v>
      </c>
      <c r="I160" s="62">
        <v>1</v>
      </c>
      <c r="K160" s="11">
        <f t="shared" si="8"/>
        <v>760960.63999999978</v>
      </c>
      <c r="N160" s="12">
        <f t="shared" si="6"/>
        <v>0.20637797619047621</v>
      </c>
      <c r="O160" s="12">
        <f t="shared" si="7"/>
        <v>0.14243797544174899</v>
      </c>
    </row>
    <row r="161" spans="1:15">
      <c r="A161" s="60">
        <v>45354</v>
      </c>
      <c r="B161">
        <v>160</v>
      </c>
      <c r="C161" s="11">
        <v>6037.8</v>
      </c>
      <c r="H161" s="62">
        <v>1</v>
      </c>
      <c r="I161" s="62">
        <v>1</v>
      </c>
      <c r="K161" s="11">
        <f t="shared" si="8"/>
        <v>766998.43999999983</v>
      </c>
      <c r="N161" s="12">
        <f t="shared" si="6"/>
        <v>0.17969642857142859</v>
      </c>
      <c r="O161" s="12">
        <f t="shared" si="7"/>
        <v>0.14267084077380948</v>
      </c>
    </row>
    <row r="162" spans="1:15">
      <c r="A162" s="60">
        <v>45355</v>
      </c>
      <c r="B162">
        <v>161</v>
      </c>
      <c r="C162" s="11">
        <v>7584.7999999999993</v>
      </c>
      <c r="H162" s="62">
        <v>1</v>
      </c>
      <c r="I162" s="62">
        <v>1</v>
      </c>
      <c r="K162" s="11">
        <f t="shared" si="8"/>
        <v>774583.23999999987</v>
      </c>
      <c r="N162" s="12">
        <f t="shared" si="6"/>
        <v>0.22573809523809521</v>
      </c>
      <c r="O162" s="12">
        <f t="shared" si="7"/>
        <v>0.14318678645371188</v>
      </c>
    </row>
    <row r="163" spans="1:15">
      <c r="A163" s="60">
        <v>45356</v>
      </c>
      <c r="B163">
        <v>162</v>
      </c>
      <c r="C163" s="11">
        <v>7629.3000000000011</v>
      </c>
      <c r="H163" s="62">
        <v>1</v>
      </c>
      <c r="I163" s="62">
        <v>1</v>
      </c>
      <c r="K163" s="11">
        <f t="shared" si="8"/>
        <v>782212.53999999992</v>
      </c>
      <c r="N163" s="12">
        <f t="shared" si="6"/>
        <v>0.22706250000000003</v>
      </c>
      <c r="O163" s="12">
        <f t="shared" si="7"/>
        <v>0.14370453777189887</v>
      </c>
    </row>
    <row r="164" spans="1:15">
      <c r="A164" s="60">
        <v>45357</v>
      </c>
      <c r="B164">
        <v>163</v>
      </c>
      <c r="C164" s="11">
        <v>6897.9</v>
      </c>
      <c r="H164" s="62">
        <v>1</v>
      </c>
      <c r="I164" s="62">
        <v>1</v>
      </c>
      <c r="K164" s="11">
        <f t="shared" si="8"/>
        <v>789110.44</v>
      </c>
      <c r="N164" s="12">
        <f t="shared" si="6"/>
        <v>0.20529464285714286</v>
      </c>
      <c r="O164" s="12">
        <f t="shared" si="7"/>
        <v>0.14408239117732982</v>
      </c>
    </row>
    <row r="165" spans="1:15">
      <c r="A165" s="60">
        <v>45358</v>
      </c>
      <c r="B165">
        <v>164</v>
      </c>
      <c r="C165" s="11">
        <v>7685</v>
      </c>
      <c r="H165" s="62">
        <v>1</v>
      </c>
      <c r="I165" s="62">
        <v>1</v>
      </c>
      <c r="K165" s="11">
        <f t="shared" si="8"/>
        <v>796795.44</v>
      </c>
      <c r="N165" s="12">
        <f t="shared" si="6"/>
        <v>0.22872023809523809</v>
      </c>
      <c r="O165" s="12">
        <f t="shared" si="7"/>
        <v>0.14459847560975608</v>
      </c>
    </row>
    <row r="166" spans="1:15">
      <c r="A166" s="60">
        <v>45359</v>
      </c>
      <c r="B166">
        <v>165</v>
      </c>
      <c r="C166" s="11">
        <v>7208.3499999999995</v>
      </c>
      <c r="H166" s="62">
        <v>1</v>
      </c>
      <c r="I166" s="62">
        <v>1</v>
      </c>
      <c r="K166" s="11">
        <f t="shared" si="8"/>
        <v>804003.78999999992</v>
      </c>
      <c r="N166" s="12">
        <f t="shared" si="6"/>
        <v>0.21453422619047618</v>
      </c>
      <c r="O166" s="12">
        <f t="shared" si="7"/>
        <v>0.14502232864357864</v>
      </c>
    </row>
    <row r="167" spans="1:15">
      <c r="A167" s="60">
        <v>45360</v>
      </c>
      <c r="B167">
        <v>166</v>
      </c>
      <c r="C167" s="11">
        <v>7318.4</v>
      </c>
      <c r="H167" s="62">
        <v>1</v>
      </c>
      <c r="I167" s="62">
        <v>1</v>
      </c>
      <c r="K167" s="11">
        <f t="shared" si="8"/>
        <v>811322.19</v>
      </c>
      <c r="N167" s="12">
        <f t="shared" si="6"/>
        <v>0.21780952380952379</v>
      </c>
      <c r="O167" s="12">
        <f t="shared" si="7"/>
        <v>0.14546080572289155</v>
      </c>
    </row>
    <row r="168" spans="1:15">
      <c r="A168" s="60">
        <v>45361</v>
      </c>
      <c r="B168">
        <v>167</v>
      </c>
      <c r="C168" s="11">
        <v>6800</v>
      </c>
      <c r="H168" s="62">
        <v>1</v>
      </c>
      <c r="I168" s="62">
        <v>1</v>
      </c>
      <c r="K168" s="11">
        <f t="shared" si="8"/>
        <v>818122.19</v>
      </c>
      <c r="N168" s="12">
        <f t="shared" si="6"/>
        <v>0.20238095238095238</v>
      </c>
      <c r="O168" s="12">
        <f t="shared" si="7"/>
        <v>0.14580164492443684</v>
      </c>
    </row>
    <row r="169" spans="1:15">
      <c r="A169" s="60">
        <v>45362</v>
      </c>
      <c r="B169">
        <v>168</v>
      </c>
      <c r="C169" s="11">
        <v>7198</v>
      </c>
      <c r="H169" s="62">
        <v>1</v>
      </c>
      <c r="I169" s="62">
        <v>1</v>
      </c>
      <c r="K169" s="11">
        <f t="shared" si="8"/>
        <v>825320.19</v>
      </c>
      <c r="N169" s="12">
        <f t="shared" si="6"/>
        <v>0.21422619047619049</v>
      </c>
      <c r="O169" s="12">
        <f t="shared" si="7"/>
        <v>0.14620893388605441</v>
      </c>
    </row>
    <row r="170" spans="1:15">
      <c r="A170" s="60">
        <v>45363</v>
      </c>
      <c r="B170">
        <v>169</v>
      </c>
      <c r="C170" s="11">
        <v>7124</v>
      </c>
      <c r="H170" s="62">
        <v>1</v>
      </c>
      <c r="I170" s="62">
        <v>1</v>
      </c>
      <c r="K170" s="11">
        <f t="shared" si="8"/>
        <v>832444.19</v>
      </c>
      <c r="N170" s="12">
        <f t="shared" si="6"/>
        <v>0.21202380952380953</v>
      </c>
      <c r="O170" s="12">
        <f t="shared" si="7"/>
        <v>0.14659837102000561</v>
      </c>
    </row>
    <row r="171" spans="1:15">
      <c r="A171" s="60">
        <v>45364</v>
      </c>
      <c r="B171">
        <v>170</v>
      </c>
      <c r="C171" s="11">
        <v>6988</v>
      </c>
      <c r="H171" s="62">
        <v>1</v>
      </c>
      <c r="I171" s="62">
        <v>1</v>
      </c>
      <c r="K171" s="11">
        <f t="shared" si="8"/>
        <v>839432.19</v>
      </c>
      <c r="N171" s="12">
        <f t="shared" si="6"/>
        <v>0.20797619047619048</v>
      </c>
      <c r="O171" s="12">
        <f t="shared" si="7"/>
        <v>0.1469594170168067</v>
      </c>
    </row>
    <row r="172" spans="1:15">
      <c r="A172" s="60">
        <v>45365</v>
      </c>
      <c r="B172">
        <v>171</v>
      </c>
      <c r="C172" s="11">
        <v>6971</v>
      </c>
      <c r="H172" s="62">
        <v>1</v>
      </c>
      <c r="I172" s="62">
        <v>1</v>
      </c>
      <c r="K172" s="11">
        <f t="shared" si="8"/>
        <v>846403.19</v>
      </c>
      <c r="N172" s="12">
        <f t="shared" si="6"/>
        <v>0.2074702380952381</v>
      </c>
      <c r="O172" s="12">
        <f t="shared" si="7"/>
        <v>0.14731328146755776</v>
      </c>
    </row>
    <row r="173" spans="1:15">
      <c r="A173" s="60">
        <v>45366</v>
      </c>
      <c r="B173">
        <v>172</v>
      </c>
      <c r="C173" s="11">
        <v>7577</v>
      </c>
      <c r="H173" s="62">
        <v>1</v>
      </c>
      <c r="I173" s="62">
        <v>1</v>
      </c>
      <c r="K173" s="11">
        <f t="shared" si="8"/>
        <v>853980.19</v>
      </c>
      <c r="N173" s="12">
        <f t="shared" si="6"/>
        <v>0.22550595238095239</v>
      </c>
      <c r="O173" s="12">
        <f t="shared" si="7"/>
        <v>0.14776789001937984</v>
      </c>
    </row>
    <row r="174" spans="1:15">
      <c r="A174" s="60">
        <v>45367</v>
      </c>
      <c r="B174">
        <v>173</v>
      </c>
      <c r="C174" s="11">
        <v>7298</v>
      </c>
      <c r="H174" s="62">
        <v>1</v>
      </c>
      <c r="I174" s="62">
        <v>1</v>
      </c>
      <c r="K174" s="11">
        <f t="shared" si="8"/>
        <v>861278.19</v>
      </c>
      <c r="N174" s="12">
        <f t="shared" si="6"/>
        <v>0.21720238095238095</v>
      </c>
      <c r="O174" s="12">
        <f t="shared" si="7"/>
        <v>0.1481692454582989</v>
      </c>
    </row>
    <row r="175" spans="1:15">
      <c r="A175" s="60">
        <v>45368</v>
      </c>
      <c r="B175">
        <v>174</v>
      </c>
      <c r="C175" s="11">
        <v>5960</v>
      </c>
      <c r="H175" s="62">
        <v>1</v>
      </c>
      <c r="I175" s="62">
        <v>1</v>
      </c>
      <c r="K175" s="11">
        <f t="shared" si="8"/>
        <v>867238.19</v>
      </c>
      <c r="N175" s="12">
        <f t="shared" si="6"/>
        <v>0.17738095238095239</v>
      </c>
      <c r="O175" s="12">
        <f t="shared" si="7"/>
        <v>0.14833712883141761</v>
      </c>
    </row>
    <row r="176" spans="1:15">
      <c r="A176" s="60">
        <v>45369</v>
      </c>
      <c r="B176">
        <v>175</v>
      </c>
      <c r="C176" s="11">
        <v>7384</v>
      </c>
      <c r="H176" s="62">
        <v>1</v>
      </c>
      <c r="I176" s="62">
        <v>1</v>
      </c>
      <c r="K176" s="11">
        <f t="shared" si="8"/>
        <v>874622.19</v>
      </c>
      <c r="N176" s="12">
        <f t="shared" si="6"/>
        <v>0.21976190476190477</v>
      </c>
      <c r="O176" s="12">
        <f t="shared" si="7"/>
        <v>0.14874527040816327</v>
      </c>
    </row>
    <row r="177" spans="1:15">
      <c r="A177" s="60">
        <v>45370</v>
      </c>
      <c r="B177">
        <v>176</v>
      </c>
      <c r="C177" s="11">
        <v>7559</v>
      </c>
      <c r="H177" s="62">
        <v>1</v>
      </c>
      <c r="I177" s="62">
        <v>1</v>
      </c>
      <c r="K177" s="11">
        <f t="shared" si="8"/>
        <v>882181.19</v>
      </c>
      <c r="N177" s="12">
        <f t="shared" si="6"/>
        <v>0.22497023809523808</v>
      </c>
      <c r="O177" s="12">
        <f t="shared" si="7"/>
        <v>0.14917836681547619</v>
      </c>
    </row>
    <row r="178" spans="1:15">
      <c r="A178" s="60">
        <v>45371</v>
      </c>
      <c r="B178">
        <v>177</v>
      </c>
      <c r="C178" s="11">
        <v>7096.8</v>
      </c>
      <c r="H178" s="62">
        <v>1</v>
      </c>
      <c r="I178" s="62">
        <v>1</v>
      </c>
      <c r="K178" s="11">
        <f t="shared" si="8"/>
        <v>889277.99</v>
      </c>
      <c r="N178" s="12">
        <f t="shared" si="6"/>
        <v>0.21121428571428572</v>
      </c>
      <c r="O178" s="12">
        <f t="shared" si="7"/>
        <v>0.14952885223298359</v>
      </c>
    </row>
    <row r="179" spans="1:15">
      <c r="A179" s="60">
        <v>45372</v>
      </c>
      <c r="B179">
        <v>178</v>
      </c>
      <c r="C179" s="11">
        <v>7049</v>
      </c>
      <c r="H179" s="62">
        <v>1</v>
      </c>
      <c r="I179" s="62">
        <v>1</v>
      </c>
      <c r="K179" s="11">
        <f t="shared" si="8"/>
        <v>896326.99</v>
      </c>
      <c r="N179" s="12">
        <f t="shared" si="6"/>
        <v>0.20979166666666665</v>
      </c>
      <c r="O179" s="12">
        <f t="shared" si="7"/>
        <v>0.14986740737025148</v>
      </c>
    </row>
    <row r="180" spans="1:15">
      <c r="A180" s="60">
        <v>45373</v>
      </c>
      <c r="B180">
        <v>179</v>
      </c>
      <c r="C180" s="11">
        <v>6996.3</v>
      </c>
      <c r="H180" s="62">
        <v>1</v>
      </c>
      <c r="I180" s="62">
        <v>1</v>
      </c>
      <c r="K180" s="11">
        <f t="shared" si="8"/>
        <v>903323.29</v>
      </c>
      <c r="N180" s="12">
        <f t="shared" si="6"/>
        <v>0.2082232142857143</v>
      </c>
      <c r="O180" s="12">
        <f t="shared" si="7"/>
        <v>0.15019341746475126</v>
      </c>
    </row>
    <row r="181" spans="1:15">
      <c r="A181" s="60">
        <v>45374</v>
      </c>
      <c r="B181">
        <v>180</v>
      </c>
      <c r="C181" s="11">
        <v>7194.1</v>
      </c>
      <c r="H181" s="62">
        <v>1</v>
      </c>
      <c r="I181" s="62">
        <v>1</v>
      </c>
      <c r="K181" s="11">
        <f t="shared" si="8"/>
        <v>910517.39</v>
      </c>
      <c r="N181" s="12">
        <f t="shared" si="6"/>
        <v>0.21411011904761906</v>
      </c>
      <c r="O181" s="12">
        <f t="shared" si="7"/>
        <v>0.15054851025132276</v>
      </c>
    </row>
    <row r="182" spans="1:15">
      <c r="A182" s="60">
        <v>45375</v>
      </c>
      <c r="B182">
        <v>181</v>
      </c>
      <c r="C182" s="11">
        <v>6859</v>
      </c>
      <c r="H182" s="62">
        <v>1</v>
      </c>
      <c r="I182" s="62">
        <v>1</v>
      </c>
      <c r="K182" s="11">
        <f t="shared" si="8"/>
        <v>917376.39</v>
      </c>
      <c r="N182" s="12">
        <f t="shared" si="6"/>
        <v>0.20413690476190477</v>
      </c>
      <c r="O182" s="12">
        <f t="shared" si="7"/>
        <v>0.15084457872928178</v>
      </c>
    </row>
    <row r="183" spans="1:15">
      <c r="A183" s="60">
        <v>45376</v>
      </c>
      <c r="B183">
        <v>182</v>
      </c>
      <c r="C183" s="11">
        <v>7394</v>
      </c>
      <c r="H183" s="62">
        <v>1</v>
      </c>
      <c r="I183" s="62">
        <v>1</v>
      </c>
      <c r="K183" s="11">
        <f t="shared" si="8"/>
        <v>924770.39</v>
      </c>
      <c r="N183" s="12">
        <f t="shared" si="6"/>
        <v>0.22005952380952382</v>
      </c>
      <c r="O183" s="12">
        <f t="shared" si="7"/>
        <v>0.15122488062532705</v>
      </c>
    </row>
    <row r="184" spans="1:15">
      <c r="A184" s="60">
        <v>45377</v>
      </c>
      <c r="B184">
        <v>183</v>
      </c>
      <c r="C184" s="11">
        <v>6385.5</v>
      </c>
      <c r="H184" s="62">
        <v>1</v>
      </c>
      <c r="I184" s="62">
        <v>1</v>
      </c>
      <c r="K184" s="11">
        <f t="shared" si="8"/>
        <v>931155.89</v>
      </c>
      <c r="N184" s="12">
        <f t="shared" si="6"/>
        <v>0.19004464285714287</v>
      </c>
      <c r="O184" s="12">
        <f t="shared" si="7"/>
        <v>0.15143701047358835</v>
      </c>
    </row>
    <row r="185" spans="1:15">
      <c r="A185" s="60">
        <v>45378</v>
      </c>
      <c r="B185">
        <v>184</v>
      </c>
      <c r="C185" s="11">
        <v>7434.5</v>
      </c>
      <c r="H185" s="62">
        <v>1</v>
      </c>
      <c r="I185" s="62">
        <v>1</v>
      </c>
      <c r="K185" s="11">
        <f t="shared" si="8"/>
        <v>938590.39</v>
      </c>
      <c r="N185" s="12">
        <f t="shared" si="6"/>
        <v>0.22126488095238095</v>
      </c>
      <c r="O185" s="12">
        <f t="shared" si="7"/>
        <v>0.15181650976966873</v>
      </c>
    </row>
    <row r="186" spans="1:15">
      <c r="A186" s="60">
        <v>45379</v>
      </c>
      <c r="B186">
        <v>185</v>
      </c>
      <c r="C186" s="11">
        <v>7596.5999999999995</v>
      </c>
      <c r="H186" s="62">
        <v>1</v>
      </c>
      <c r="I186" s="62">
        <v>1</v>
      </c>
      <c r="K186" s="11">
        <f t="shared" si="8"/>
        <v>946186.99</v>
      </c>
      <c r="N186" s="12">
        <f t="shared" si="6"/>
        <v>0.22608928571428569</v>
      </c>
      <c r="O186" s="12">
        <f t="shared" si="7"/>
        <v>0.15221798423423424</v>
      </c>
    </row>
    <row r="187" spans="1:15">
      <c r="A187" s="60">
        <v>45380</v>
      </c>
      <c r="B187">
        <v>186</v>
      </c>
      <c r="C187" s="11">
        <v>7654.7</v>
      </c>
      <c r="H187" s="62">
        <v>1</v>
      </c>
      <c r="I187" s="62">
        <v>1</v>
      </c>
      <c r="K187" s="11">
        <f t="shared" si="8"/>
        <v>953841.69</v>
      </c>
      <c r="N187" s="12">
        <f t="shared" si="6"/>
        <v>0.22781845238095239</v>
      </c>
      <c r="O187" s="12">
        <f t="shared" si="7"/>
        <v>0.15262443836405529</v>
      </c>
    </row>
    <row r="188" spans="1:15">
      <c r="A188" s="60">
        <v>45381</v>
      </c>
      <c r="B188">
        <v>187</v>
      </c>
      <c r="C188" s="11">
        <v>7471.4999999999991</v>
      </c>
      <c r="H188" s="62">
        <v>1</v>
      </c>
      <c r="I188" s="62">
        <v>1</v>
      </c>
      <c r="K188" s="11">
        <f t="shared" si="8"/>
        <v>961313.19</v>
      </c>
      <c r="N188" s="12">
        <f t="shared" si="6"/>
        <v>0.2223660714285714</v>
      </c>
      <c r="O188" s="12">
        <f t="shared" si="7"/>
        <v>0.15299738827349121</v>
      </c>
    </row>
    <row r="189" spans="1:15">
      <c r="A189" s="60">
        <v>45382</v>
      </c>
      <c r="B189">
        <v>188</v>
      </c>
      <c r="C189" s="11">
        <v>7537.3000000000011</v>
      </c>
      <c r="H189" s="62">
        <v>1</v>
      </c>
      <c r="I189" s="62">
        <v>1</v>
      </c>
      <c r="K189" s="11">
        <f t="shared" si="8"/>
        <v>968850.49</v>
      </c>
      <c r="N189" s="12">
        <f t="shared" si="6"/>
        <v>0.22432440476190479</v>
      </c>
      <c r="O189" s="12">
        <f t="shared" si="7"/>
        <v>0.15337678729736576</v>
      </c>
    </row>
    <row r="190" spans="1:15">
      <c r="A190" s="60">
        <v>45383</v>
      </c>
      <c r="B190">
        <f>VLOOKUP(A190,'BADI SID DATA'!A:B,2,0)</f>
        <v>1</v>
      </c>
      <c r="C190" s="11">
        <v>7771.6</v>
      </c>
      <c r="H190" s="62">
        <v>1</v>
      </c>
      <c r="I190" s="62">
        <v>1</v>
      </c>
      <c r="K190" s="11">
        <f t="shared" si="8"/>
        <v>976622.09</v>
      </c>
      <c r="N190" s="12">
        <f t="shared" si="6"/>
        <v>0.23129761904761906</v>
      </c>
      <c r="O190" s="12">
        <f t="shared" si="7"/>
        <v>29.066133630952379</v>
      </c>
    </row>
    <row r="191" spans="1:15">
      <c r="A191" s="60">
        <v>45384</v>
      </c>
      <c r="B191">
        <f>VLOOKUP(A191,'BADI SID DATA'!A:B,2,0)</f>
        <v>2</v>
      </c>
      <c r="C191" s="11">
        <v>7983</v>
      </c>
      <c r="H191" s="62">
        <v>1</v>
      </c>
      <c r="I191" s="62">
        <v>1</v>
      </c>
      <c r="K191" s="11">
        <f t="shared" si="8"/>
        <v>984605.09</v>
      </c>
      <c r="N191" s="12">
        <f t="shared" si="6"/>
        <v>0.23758928571428573</v>
      </c>
      <c r="O191" s="12">
        <f t="shared" si="7"/>
        <v>14.651861458333332</v>
      </c>
    </row>
    <row r="192" spans="1:15">
      <c r="A192" s="60">
        <v>45385</v>
      </c>
      <c r="B192">
        <f>VLOOKUP(A192,'BADI SID DATA'!A:B,2,0)</f>
        <v>3</v>
      </c>
      <c r="C192" s="11">
        <v>7800.3000000000011</v>
      </c>
      <c r="H192" s="62">
        <v>1</v>
      </c>
      <c r="I192" s="62">
        <v>1</v>
      </c>
      <c r="K192" s="11">
        <f t="shared" si="8"/>
        <v>992405.39</v>
      </c>
      <c r="N192" s="12">
        <f t="shared" si="6"/>
        <v>0.23215178571428574</v>
      </c>
      <c r="O192" s="12">
        <f t="shared" si="7"/>
        <v>9.8452915674603183</v>
      </c>
    </row>
    <row r="193" spans="1:15">
      <c r="A193" s="60">
        <v>45386</v>
      </c>
      <c r="B193">
        <f>VLOOKUP(A193,'BADI SID DATA'!A:B,2,0)</f>
        <v>4</v>
      </c>
      <c r="C193" s="11">
        <v>7888.1999999999989</v>
      </c>
      <c r="H193" s="62">
        <v>1</v>
      </c>
      <c r="I193" s="62">
        <v>1</v>
      </c>
      <c r="K193" s="11">
        <f t="shared" si="8"/>
        <v>1000293.59</v>
      </c>
      <c r="N193" s="12">
        <f t="shared" si="6"/>
        <v>0.23476785714285711</v>
      </c>
      <c r="O193" s="12">
        <f t="shared" si="7"/>
        <v>7.4426606398809518</v>
      </c>
    </row>
    <row r="194" spans="1:15">
      <c r="A194" s="60">
        <v>45387</v>
      </c>
      <c r="B194">
        <f>VLOOKUP(A194,'BADI SID DATA'!A:B,2,0)</f>
        <v>5</v>
      </c>
      <c r="C194" s="11">
        <v>7850.5</v>
      </c>
      <c r="H194" s="62">
        <v>1</v>
      </c>
      <c r="I194" s="62">
        <v>1</v>
      </c>
      <c r="K194" s="11">
        <f t="shared" si="8"/>
        <v>1008144.09</v>
      </c>
      <c r="N194" s="12">
        <f t="shared" si="6"/>
        <v>0.23364583333333333</v>
      </c>
      <c r="O194" s="12">
        <f t="shared" si="7"/>
        <v>6.0008576785714283</v>
      </c>
    </row>
    <row r="195" spans="1:15">
      <c r="A195" s="60">
        <v>45388</v>
      </c>
      <c r="B195">
        <f>VLOOKUP(A195,'BADI SID DATA'!A:B,2,0)</f>
        <v>6</v>
      </c>
      <c r="C195" s="11">
        <v>7267.8000000000011</v>
      </c>
      <c r="H195" s="62">
        <v>1</v>
      </c>
      <c r="I195" s="62">
        <v>1</v>
      </c>
      <c r="K195" s="11">
        <f t="shared" si="8"/>
        <v>1015411.89</v>
      </c>
      <c r="N195" s="12">
        <f t="shared" ref="N195:N258" si="9">C195/(1400*24)</f>
        <v>0.21630357142857146</v>
      </c>
      <c r="O195" s="12">
        <f t="shared" ref="O195:O258" si="10">K195/(B195*1400*24)</f>
        <v>5.0367653273809525</v>
      </c>
    </row>
    <row r="196" spans="1:15">
      <c r="A196" s="60">
        <v>45389</v>
      </c>
      <c r="B196">
        <f>VLOOKUP(A196,'BADI SID DATA'!A:B,2,0)</f>
        <v>7</v>
      </c>
      <c r="C196" s="11">
        <v>7685.2999999999993</v>
      </c>
      <c r="H196" s="62">
        <v>1</v>
      </c>
      <c r="I196" s="62">
        <v>1</v>
      </c>
      <c r="K196" s="11">
        <f t="shared" ref="K196:K259" si="11">K195+C196</f>
        <v>1023097.1900000001</v>
      </c>
      <c r="N196" s="12">
        <f t="shared" si="9"/>
        <v>0.22872916666666665</v>
      </c>
      <c r="O196" s="12">
        <f t="shared" si="10"/>
        <v>4.349903018707483</v>
      </c>
    </row>
    <row r="197" spans="1:15">
      <c r="A197" s="60">
        <v>45390</v>
      </c>
      <c r="B197">
        <f>VLOOKUP(A197,'BADI SID DATA'!A:B,2,0)</f>
        <v>8</v>
      </c>
      <c r="C197" s="11">
        <v>7022.9999999999991</v>
      </c>
      <c r="H197" s="62">
        <v>1</v>
      </c>
      <c r="I197" s="62">
        <v>1</v>
      </c>
      <c r="K197" s="11">
        <f t="shared" si="11"/>
        <v>1030120.1900000001</v>
      </c>
      <c r="N197" s="12">
        <f t="shared" si="9"/>
        <v>0.20901785714285712</v>
      </c>
      <c r="O197" s="12">
        <f t="shared" si="10"/>
        <v>3.8322923735119048</v>
      </c>
    </row>
    <row r="198" spans="1:15">
      <c r="A198" s="60">
        <v>45391</v>
      </c>
      <c r="B198">
        <f>VLOOKUP(A198,'BADI SID DATA'!A:B,2,0)</f>
        <v>9</v>
      </c>
      <c r="C198" s="11">
        <v>7022.9999999999991</v>
      </c>
      <c r="H198" s="62">
        <v>1</v>
      </c>
      <c r="I198" s="62">
        <v>1</v>
      </c>
      <c r="K198" s="11">
        <f t="shared" si="11"/>
        <v>1037143.1900000001</v>
      </c>
      <c r="N198" s="12">
        <f t="shared" si="9"/>
        <v>0.20901785714285712</v>
      </c>
      <c r="O198" s="12">
        <f t="shared" si="10"/>
        <v>3.4297063161375663</v>
      </c>
    </row>
    <row r="199" spans="1:15">
      <c r="A199" s="60">
        <v>45392</v>
      </c>
      <c r="B199">
        <f>VLOOKUP(A199,'BADI SID DATA'!A:B,2,0)</f>
        <v>10</v>
      </c>
      <c r="C199" s="11">
        <v>7772.3000000000011</v>
      </c>
      <c r="H199" s="62">
        <v>1</v>
      </c>
      <c r="I199" s="62">
        <v>1</v>
      </c>
      <c r="K199" s="11">
        <f t="shared" si="11"/>
        <v>1044915.4900000001</v>
      </c>
      <c r="N199" s="12">
        <f t="shared" si="9"/>
        <v>0.23131845238095242</v>
      </c>
      <c r="O199" s="12">
        <f t="shared" si="10"/>
        <v>3.1098675297619049</v>
      </c>
    </row>
    <row r="200" spans="1:15">
      <c r="A200" s="60">
        <v>45393</v>
      </c>
      <c r="B200">
        <f>VLOOKUP(A200,'BADI SID DATA'!A:B,2,0)</f>
        <v>11</v>
      </c>
      <c r="C200" s="11">
        <v>7553.0999999999985</v>
      </c>
      <c r="H200" s="62">
        <v>1</v>
      </c>
      <c r="I200" s="62">
        <v>1</v>
      </c>
      <c r="K200" s="11">
        <f t="shared" si="11"/>
        <v>1052468.5900000001</v>
      </c>
      <c r="N200" s="12">
        <f t="shared" si="9"/>
        <v>0.22479464285714282</v>
      </c>
      <c r="O200" s="12">
        <f t="shared" si="10"/>
        <v>2.8475881764069269</v>
      </c>
    </row>
    <row r="201" spans="1:15">
      <c r="A201" s="60">
        <v>45394</v>
      </c>
      <c r="B201">
        <f>VLOOKUP(A201,'BADI SID DATA'!A:B,2,0)</f>
        <v>12</v>
      </c>
      <c r="C201" s="11">
        <v>7647.1</v>
      </c>
      <c r="H201" s="62">
        <v>1</v>
      </c>
      <c r="I201" s="62">
        <v>1</v>
      </c>
      <c r="K201" s="11">
        <f t="shared" si="11"/>
        <v>1060115.6900000002</v>
      </c>
      <c r="N201" s="12">
        <f t="shared" si="9"/>
        <v>0.22759226190476192</v>
      </c>
      <c r="O201" s="12">
        <f t="shared" si="10"/>
        <v>2.6292551835317464</v>
      </c>
    </row>
    <row r="202" spans="1:15">
      <c r="A202" s="60">
        <v>45395</v>
      </c>
      <c r="B202">
        <f>VLOOKUP(A202,'BADI SID DATA'!A:B,2,0)</f>
        <v>13</v>
      </c>
      <c r="C202" s="11">
        <v>6486.2</v>
      </c>
      <c r="H202" s="62">
        <v>1</v>
      </c>
      <c r="I202" s="62">
        <v>1</v>
      </c>
      <c r="K202" s="11">
        <f t="shared" si="11"/>
        <v>1066601.8900000001</v>
      </c>
      <c r="N202" s="12">
        <f t="shared" si="9"/>
        <v>0.19304166666666667</v>
      </c>
      <c r="O202" s="12">
        <f t="shared" si="10"/>
        <v>2.4418541437728942</v>
      </c>
    </row>
    <row r="203" spans="1:15">
      <c r="A203" s="60">
        <v>45396</v>
      </c>
      <c r="B203">
        <f>VLOOKUP(A203,'BADI SID DATA'!A:B,2,0)</f>
        <v>14</v>
      </c>
      <c r="C203" s="11">
        <v>6889.1</v>
      </c>
      <c r="H203" s="62">
        <v>1</v>
      </c>
      <c r="I203" s="62">
        <v>1</v>
      </c>
      <c r="K203" s="11">
        <f t="shared" si="11"/>
        <v>1073490.9900000002</v>
      </c>
      <c r="N203" s="12">
        <f t="shared" si="9"/>
        <v>0.20503273809523812</v>
      </c>
      <c r="O203" s="12">
        <f t="shared" si="10"/>
        <v>2.2820811862244903</v>
      </c>
    </row>
    <row r="204" spans="1:15">
      <c r="A204" s="60">
        <v>45397</v>
      </c>
      <c r="B204">
        <f>VLOOKUP(A204,'BADI SID DATA'!A:B,2,0)</f>
        <v>15</v>
      </c>
      <c r="C204" s="11">
        <v>4429.4000000000005</v>
      </c>
      <c r="H204" s="62">
        <v>1</v>
      </c>
      <c r="I204" s="62">
        <v>1</v>
      </c>
      <c r="K204" s="11">
        <f t="shared" si="11"/>
        <v>1077920.3900000001</v>
      </c>
      <c r="N204" s="12">
        <f t="shared" si="9"/>
        <v>0.13182738095238097</v>
      </c>
      <c r="O204" s="12">
        <f t="shared" si="10"/>
        <v>2.1387309325396826</v>
      </c>
    </row>
    <row r="205" spans="1:15">
      <c r="A205" s="60">
        <v>45398</v>
      </c>
      <c r="B205">
        <f>VLOOKUP(A205,'BADI SID DATA'!A:B,2,0)</f>
        <v>16</v>
      </c>
      <c r="C205" s="11">
        <v>7037.7999999999993</v>
      </c>
      <c r="H205" s="62">
        <v>1</v>
      </c>
      <c r="I205" s="62">
        <v>1</v>
      </c>
      <c r="K205" s="11">
        <f t="shared" si="11"/>
        <v>1084958.1900000002</v>
      </c>
      <c r="N205" s="12">
        <f t="shared" si="9"/>
        <v>0.2094583333333333</v>
      </c>
      <c r="O205" s="12">
        <f t="shared" si="10"/>
        <v>2.0181513950892862</v>
      </c>
    </row>
    <row r="206" spans="1:15">
      <c r="A206" s="60">
        <v>45399</v>
      </c>
      <c r="B206">
        <f>VLOOKUP(A206,'BADI SID DATA'!A:B,2,0)</f>
        <v>17</v>
      </c>
      <c r="C206" s="11">
        <v>7579</v>
      </c>
      <c r="H206" s="62">
        <v>1</v>
      </c>
      <c r="I206" s="62">
        <v>1</v>
      </c>
      <c r="K206" s="11">
        <f t="shared" si="11"/>
        <v>1092537.1900000002</v>
      </c>
      <c r="N206" s="12">
        <f t="shared" si="9"/>
        <v>0.22556547619047618</v>
      </c>
      <c r="O206" s="12">
        <f t="shared" si="10"/>
        <v>1.9127051645658266</v>
      </c>
    </row>
    <row r="207" spans="1:15">
      <c r="A207" s="60">
        <v>45400</v>
      </c>
      <c r="B207">
        <f>VLOOKUP(A207,'BADI SID DATA'!A:B,2,0)</f>
        <v>18</v>
      </c>
      <c r="C207" s="11">
        <v>7356.7999999999993</v>
      </c>
      <c r="H207" s="62">
        <v>1</v>
      </c>
      <c r="I207" s="62">
        <v>1</v>
      </c>
      <c r="K207" s="11">
        <f t="shared" si="11"/>
        <v>1099893.9900000002</v>
      </c>
      <c r="N207" s="12">
        <f t="shared" si="9"/>
        <v>0.21895238095238093</v>
      </c>
      <c r="O207" s="12">
        <f t="shared" si="10"/>
        <v>1.818607787698413</v>
      </c>
    </row>
    <row r="208" spans="1:15">
      <c r="A208" s="60">
        <v>45401</v>
      </c>
      <c r="B208">
        <f>VLOOKUP(A208,'BADI SID DATA'!A:B,2,0)</f>
        <v>19</v>
      </c>
      <c r="C208" s="11">
        <v>6531.8</v>
      </c>
      <c r="D208">
        <v>5.14</v>
      </c>
      <c r="H208" s="62">
        <v>1</v>
      </c>
      <c r="I208" s="62">
        <v>1</v>
      </c>
      <c r="K208" s="11">
        <f t="shared" si="11"/>
        <v>1106425.7900000003</v>
      </c>
      <c r="N208" s="12">
        <f t="shared" si="9"/>
        <v>0.19439880952380953</v>
      </c>
      <c r="O208" s="12">
        <f t="shared" si="10"/>
        <v>1.7331231046365918</v>
      </c>
    </row>
    <row r="209" spans="1:15">
      <c r="A209" s="60">
        <v>45402</v>
      </c>
      <c r="B209">
        <f>VLOOKUP(A209,'BADI SID DATA'!A:B,2,0)</f>
        <v>20</v>
      </c>
      <c r="C209" s="11">
        <v>6860</v>
      </c>
      <c r="D209">
        <v>5.42</v>
      </c>
      <c r="H209" s="62">
        <v>1</v>
      </c>
      <c r="I209" s="62">
        <v>1</v>
      </c>
      <c r="K209" s="11">
        <f t="shared" si="11"/>
        <v>1113285.7900000003</v>
      </c>
      <c r="N209" s="12">
        <f t="shared" si="9"/>
        <v>0.20416666666666666</v>
      </c>
      <c r="O209" s="12">
        <f t="shared" si="10"/>
        <v>1.6566752827380957</v>
      </c>
    </row>
    <row r="210" spans="1:15">
      <c r="A210" s="60">
        <v>45403</v>
      </c>
      <c r="B210">
        <f>VLOOKUP(A210,'BADI SID DATA'!A:B,2,0)</f>
        <v>21</v>
      </c>
      <c r="C210" s="11">
        <v>6854.4</v>
      </c>
      <c r="D210">
        <v>5.54</v>
      </c>
      <c r="H210" s="62">
        <v>1</v>
      </c>
      <c r="I210" s="62">
        <v>1</v>
      </c>
      <c r="K210" s="11">
        <f t="shared" si="11"/>
        <v>1120140.1900000002</v>
      </c>
      <c r="N210" s="12">
        <f t="shared" si="9"/>
        <v>0.20399999999999999</v>
      </c>
      <c r="O210" s="12">
        <f t="shared" si="10"/>
        <v>1.5875002692743767</v>
      </c>
    </row>
    <row r="211" spans="1:15">
      <c r="A211" s="60">
        <v>45404</v>
      </c>
      <c r="B211">
        <f>VLOOKUP(A211,'BADI SID DATA'!A:B,2,0)</f>
        <v>22</v>
      </c>
      <c r="C211" s="11">
        <v>7280.2</v>
      </c>
      <c r="D211">
        <v>5.88</v>
      </c>
      <c r="H211" s="62">
        <v>1</v>
      </c>
      <c r="I211" s="62">
        <v>1</v>
      </c>
      <c r="K211" s="11">
        <f t="shared" si="11"/>
        <v>1127420.3900000001</v>
      </c>
      <c r="N211" s="12">
        <f t="shared" si="9"/>
        <v>0.21667261904761903</v>
      </c>
      <c r="O211" s="12">
        <f t="shared" si="10"/>
        <v>1.5251899215367968</v>
      </c>
    </row>
    <row r="212" spans="1:15">
      <c r="A212" s="60">
        <v>45405</v>
      </c>
      <c r="B212">
        <f>VLOOKUP(A212,'BADI SID DATA'!A:B,2,0)</f>
        <v>23</v>
      </c>
      <c r="C212" s="11">
        <v>7314.2000000000007</v>
      </c>
      <c r="D212">
        <v>5.81</v>
      </c>
      <c r="H212" s="62">
        <v>1</v>
      </c>
      <c r="I212" s="62">
        <v>1</v>
      </c>
      <c r="K212" s="11">
        <f t="shared" si="11"/>
        <v>1134734.5900000001</v>
      </c>
      <c r="N212" s="12">
        <f t="shared" si="9"/>
        <v>0.21768452380952383</v>
      </c>
      <c r="O212" s="12">
        <f t="shared" si="10"/>
        <v>1.4683418607660457</v>
      </c>
    </row>
    <row r="213" spans="1:15">
      <c r="A213" s="60">
        <v>45406</v>
      </c>
      <c r="B213">
        <f>VLOOKUP(A213,'BADI SID DATA'!A:B,2,0)</f>
        <v>24</v>
      </c>
      <c r="C213" s="11">
        <v>7605.2999999999993</v>
      </c>
      <c r="D213">
        <v>6.15</v>
      </c>
      <c r="H213" s="62">
        <v>1</v>
      </c>
      <c r="I213" s="62">
        <v>1</v>
      </c>
      <c r="K213" s="11">
        <f t="shared" si="11"/>
        <v>1142339.8900000001</v>
      </c>
      <c r="N213" s="12">
        <f t="shared" si="9"/>
        <v>0.22634821428571428</v>
      </c>
      <c r="O213" s="12">
        <f t="shared" si="10"/>
        <v>1.4165921254960319</v>
      </c>
    </row>
    <row r="214" spans="1:15">
      <c r="A214" s="60">
        <v>45407</v>
      </c>
      <c r="B214">
        <f>VLOOKUP(A214,'BADI SID DATA'!A:B,2,0)</f>
        <v>25</v>
      </c>
      <c r="C214" s="11">
        <v>5347.0999999999995</v>
      </c>
      <c r="D214">
        <v>4.16</v>
      </c>
      <c r="H214" s="62">
        <v>1</v>
      </c>
      <c r="I214" s="62">
        <v>1</v>
      </c>
      <c r="K214" s="11">
        <f t="shared" si="11"/>
        <v>1147686.9900000002</v>
      </c>
      <c r="N214" s="12">
        <f t="shared" si="9"/>
        <v>0.15913988095238094</v>
      </c>
      <c r="O214" s="12">
        <f t="shared" si="10"/>
        <v>1.3662940357142859</v>
      </c>
    </row>
    <row r="215" spans="1:15">
      <c r="A215" s="60">
        <v>45408</v>
      </c>
      <c r="B215">
        <f>VLOOKUP(A215,'BADI SID DATA'!A:B,2,0)</f>
        <v>26</v>
      </c>
      <c r="C215" s="11">
        <v>6368.4</v>
      </c>
      <c r="D215">
        <v>5.63</v>
      </c>
      <c r="H215" s="62">
        <v>1</v>
      </c>
      <c r="I215" s="62">
        <v>1</v>
      </c>
      <c r="K215" s="11">
        <f t="shared" si="11"/>
        <v>1154055.3900000001</v>
      </c>
      <c r="N215" s="12">
        <f t="shared" si="9"/>
        <v>0.18953571428571428</v>
      </c>
      <c r="O215" s="12">
        <f t="shared" si="10"/>
        <v>1.3210341002747255</v>
      </c>
    </row>
    <row r="216" spans="1:15">
      <c r="A216" s="60">
        <v>45409</v>
      </c>
      <c r="B216">
        <f>VLOOKUP(A216,'BADI SID DATA'!A:B,2,0)</f>
        <v>27</v>
      </c>
      <c r="C216" s="11">
        <v>7549.4999999999991</v>
      </c>
      <c r="D216">
        <v>6.02</v>
      </c>
      <c r="H216" s="62">
        <v>1</v>
      </c>
      <c r="I216" s="62">
        <v>1</v>
      </c>
      <c r="K216" s="11">
        <f t="shared" si="11"/>
        <v>1161604.8900000001</v>
      </c>
      <c r="N216" s="12">
        <f t="shared" si="9"/>
        <v>0.22468749999999998</v>
      </c>
      <c r="O216" s="12">
        <f t="shared" si="10"/>
        <v>1.2804286706349208</v>
      </c>
    </row>
    <row r="217" spans="1:15">
      <c r="A217" s="60">
        <v>45410</v>
      </c>
      <c r="B217">
        <f>VLOOKUP(A217,'BADI SID DATA'!A:B,2,0)</f>
        <v>28</v>
      </c>
      <c r="C217" s="11">
        <v>7310.9000000000005</v>
      </c>
      <c r="D217">
        <v>5.87</v>
      </c>
      <c r="H217" s="62">
        <v>1</v>
      </c>
      <c r="I217" s="62">
        <v>1</v>
      </c>
      <c r="K217" s="11">
        <f t="shared" si="11"/>
        <v>1168915.79</v>
      </c>
      <c r="N217" s="12">
        <f t="shared" si="9"/>
        <v>0.21758630952380953</v>
      </c>
      <c r="O217" s="12">
        <f t="shared" si="10"/>
        <v>1.2424700148809524</v>
      </c>
    </row>
    <row r="218" spans="1:15">
      <c r="A218" s="60">
        <v>45411</v>
      </c>
      <c r="B218">
        <f>VLOOKUP(A218,'BADI SID DATA'!A:B,2,0)</f>
        <v>29</v>
      </c>
      <c r="C218" s="11">
        <v>7283.7000000000007</v>
      </c>
      <c r="D218">
        <v>5.83</v>
      </c>
      <c r="H218" s="62">
        <v>1</v>
      </c>
      <c r="I218" s="62">
        <v>1</v>
      </c>
      <c r="K218" s="11">
        <f t="shared" si="11"/>
        <v>1176199.49</v>
      </c>
      <c r="N218" s="12">
        <f t="shared" si="9"/>
        <v>0.21677678571428574</v>
      </c>
      <c r="O218" s="12">
        <f t="shared" si="10"/>
        <v>1.2071012828407224</v>
      </c>
    </row>
    <row r="219" spans="1:15">
      <c r="A219" s="60">
        <v>45412</v>
      </c>
      <c r="B219">
        <f>VLOOKUP(A219,'BADI SID DATA'!A:B,2,0)</f>
        <v>30</v>
      </c>
      <c r="C219" s="11">
        <v>5801.3</v>
      </c>
      <c r="D219">
        <v>4.5199999999999996</v>
      </c>
      <c r="H219" s="62">
        <v>1</v>
      </c>
      <c r="I219" s="62">
        <v>1</v>
      </c>
      <c r="K219" s="11">
        <f t="shared" si="11"/>
        <v>1182000.79</v>
      </c>
      <c r="N219" s="12">
        <f t="shared" si="9"/>
        <v>0.1726577380952381</v>
      </c>
      <c r="O219" s="12">
        <f t="shared" si="10"/>
        <v>1.1726198313492064</v>
      </c>
    </row>
    <row r="220" spans="1:15">
      <c r="A220" s="60">
        <v>45413</v>
      </c>
      <c r="B220">
        <f>VLOOKUP(A220,'BADI SID DATA'!A:B,2,0)</f>
        <v>31</v>
      </c>
      <c r="C220" s="11">
        <v>6260.4999999999991</v>
      </c>
      <c r="D220">
        <v>5.74</v>
      </c>
      <c r="H220" s="62">
        <v>1</v>
      </c>
      <c r="I220" s="62">
        <v>0.85416666666666663</v>
      </c>
      <c r="K220" s="11">
        <f t="shared" si="11"/>
        <v>1188261.29</v>
      </c>
      <c r="N220" s="12">
        <f t="shared" si="9"/>
        <v>0.18632440476190473</v>
      </c>
      <c r="O220" s="12">
        <f t="shared" si="10"/>
        <v>1.1408038498463902</v>
      </c>
    </row>
    <row r="221" spans="1:15">
      <c r="A221" s="60">
        <v>45414</v>
      </c>
      <c r="B221">
        <f>VLOOKUP(A221,'BADI SID DATA'!A:B,2,0)</f>
        <v>32</v>
      </c>
      <c r="C221" s="11">
        <v>7152.3</v>
      </c>
      <c r="D221">
        <v>5.69</v>
      </c>
      <c r="H221" s="62">
        <v>1</v>
      </c>
      <c r="I221" s="62">
        <v>1</v>
      </c>
      <c r="K221" s="11">
        <f t="shared" si="11"/>
        <v>1195413.5900000001</v>
      </c>
      <c r="N221" s="12">
        <f t="shared" si="9"/>
        <v>0.21286607142857145</v>
      </c>
      <c r="O221" s="12">
        <f t="shared" si="10"/>
        <v>1.1118057942708335</v>
      </c>
    </row>
    <row r="222" spans="1:15">
      <c r="A222" s="60">
        <v>45415</v>
      </c>
      <c r="B222">
        <f>VLOOKUP(A222,'BADI SID DATA'!A:B,2,0)</f>
        <v>33</v>
      </c>
      <c r="C222" s="11">
        <v>6908.7</v>
      </c>
      <c r="D222">
        <v>2.46</v>
      </c>
      <c r="H222" s="62">
        <v>1</v>
      </c>
      <c r="I222" s="62">
        <v>1</v>
      </c>
      <c r="K222" s="11">
        <f t="shared" si="11"/>
        <v>1202322.29</v>
      </c>
      <c r="N222" s="12">
        <f t="shared" si="9"/>
        <v>0.20561607142857141</v>
      </c>
      <c r="O222" s="12">
        <f t="shared" si="10"/>
        <v>1.0843454996392496</v>
      </c>
    </row>
    <row r="223" spans="1:15">
      <c r="A223" s="60">
        <v>45416</v>
      </c>
      <c r="B223">
        <f>VLOOKUP(A223,'BADI SID DATA'!A:B,2,0)</f>
        <v>34</v>
      </c>
      <c r="C223" s="11">
        <v>7207.2</v>
      </c>
      <c r="D223">
        <v>5.7</v>
      </c>
      <c r="H223" s="62">
        <v>1</v>
      </c>
      <c r="I223" s="62">
        <v>1</v>
      </c>
      <c r="K223" s="11">
        <f t="shared" si="11"/>
        <v>1209529.49</v>
      </c>
      <c r="N223" s="12">
        <f t="shared" si="9"/>
        <v>0.2145</v>
      </c>
      <c r="O223" s="12">
        <f t="shared" si="10"/>
        <v>1.0587618084733894</v>
      </c>
    </row>
    <row r="224" spans="1:15">
      <c r="A224" s="60">
        <v>45417</v>
      </c>
      <c r="B224">
        <f>VLOOKUP(A224,'BADI SID DATA'!A:B,2,0)</f>
        <v>35</v>
      </c>
      <c r="C224" s="11">
        <v>7719.6999999999989</v>
      </c>
      <c r="D224">
        <v>6.12</v>
      </c>
      <c r="H224" s="62">
        <v>1</v>
      </c>
      <c r="I224" s="62">
        <v>1</v>
      </c>
      <c r="K224" s="11">
        <f t="shared" si="11"/>
        <v>1217249.19</v>
      </c>
      <c r="N224" s="12">
        <f t="shared" si="9"/>
        <v>0.22975297619047616</v>
      </c>
      <c r="O224" s="12">
        <f t="shared" si="10"/>
        <v>1.0350758418367347</v>
      </c>
    </row>
    <row r="225" spans="1:15">
      <c r="A225" s="60">
        <v>45418</v>
      </c>
      <c r="B225">
        <f>VLOOKUP(A225,'BADI SID DATA'!A:B,2,0)</f>
        <v>36</v>
      </c>
      <c r="C225" s="11">
        <v>7741.2</v>
      </c>
      <c r="D225">
        <v>6.1</v>
      </c>
      <c r="H225" s="62">
        <v>1</v>
      </c>
      <c r="I225" s="62">
        <v>1</v>
      </c>
      <c r="K225" s="11">
        <f t="shared" si="11"/>
        <v>1224990.3899999999</v>
      </c>
      <c r="N225" s="12">
        <f t="shared" si="9"/>
        <v>0.23039285714285715</v>
      </c>
      <c r="O225" s="12">
        <f t="shared" si="10"/>
        <v>1.0127235367063492</v>
      </c>
    </row>
    <row r="226" spans="1:15">
      <c r="A226" s="60">
        <v>45419</v>
      </c>
      <c r="B226">
        <f>VLOOKUP(A226,'BADI SID DATA'!A:B,2,0)</f>
        <v>37</v>
      </c>
      <c r="C226" s="11">
        <v>6645.8</v>
      </c>
      <c r="D226">
        <v>5.0599999999999996</v>
      </c>
      <c r="H226" s="62">
        <v>1</v>
      </c>
      <c r="I226" s="62">
        <v>1</v>
      </c>
      <c r="K226" s="11">
        <f t="shared" si="11"/>
        <v>1231636.19</v>
      </c>
      <c r="N226" s="12">
        <f t="shared" si="9"/>
        <v>0.19779166666666667</v>
      </c>
      <c r="O226" s="12">
        <f t="shared" si="10"/>
        <v>0.99069835102960102</v>
      </c>
    </row>
    <row r="227" spans="1:15">
      <c r="A227" s="60">
        <v>45420</v>
      </c>
      <c r="B227">
        <f>VLOOKUP(A227,'BADI SID DATA'!A:B,2,0)</f>
        <v>38</v>
      </c>
      <c r="C227" s="11">
        <v>7278.6</v>
      </c>
      <c r="D227">
        <v>5.6</v>
      </c>
      <c r="H227" s="62">
        <v>1</v>
      </c>
      <c r="I227" s="62">
        <v>1</v>
      </c>
      <c r="K227" s="11">
        <f t="shared" si="11"/>
        <v>1238914.79</v>
      </c>
      <c r="N227" s="12">
        <f t="shared" si="9"/>
        <v>0.21662500000000001</v>
      </c>
      <c r="O227" s="12">
        <f t="shared" si="10"/>
        <v>0.97032799968671679</v>
      </c>
    </row>
    <row r="228" spans="1:15">
      <c r="A228" s="60">
        <v>45421</v>
      </c>
      <c r="B228">
        <f>VLOOKUP(A228,'BADI SID DATA'!A:B,2,0)</f>
        <v>39</v>
      </c>
      <c r="C228" s="11">
        <v>6645.2</v>
      </c>
      <c r="D228">
        <v>5.46</v>
      </c>
      <c r="H228" s="62">
        <v>1</v>
      </c>
      <c r="I228" s="62">
        <v>1</v>
      </c>
      <c r="K228" s="11">
        <f t="shared" si="11"/>
        <v>1245559.99</v>
      </c>
      <c r="N228" s="12">
        <f t="shared" si="9"/>
        <v>0.19777380952380952</v>
      </c>
      <c r="O228" s="12">
        <f t="shared" si="10"/>
        <v>0.95051891788766785</v>
      </c>
    </row>
    <row r="229" spans="1:15">
      <c r="A229" s="60">
        <v>45422</v>
      </c>
      <c r="B229">
        <f>VLOOKUP(A229,'BADI SID DATA'!A:B,2,0)</f>
        <v>40</v>
      </c>
      <c r="C229" s="11">
        <v>6536.9</v>
      </c>
      <c r="D229">
        <v>5.4</v>
      </c>
      <c r="H229" s="62">
        <v>1</v>
      </c>
      <c r="I229" s="62">
        <v>1</v>
      </c>
      <c r="K229" s="11">
        <f t="shared" si="11"/>
        <v>1252096.8899999999</v>
      </c>
      <c r="N229" s="12">
        <f t="shared" si="9"/>
        <v>0.19455059523809523</v>
      </c>
      <c r="O229" s="12">
        <f t="shared" si="10"/>
        <v>0.9316197098214285</v>
      </c>
    </row>
    <row r="230" spans="1:15">
      <c r="A230" s="60">
        <v>45423</v>
      </c>
      <c r="B230">
        <f>VLOOKUP(A230,'BADI SID DATA'!A:B,2,0)</f>
        <v>41</v>
      </c>
      <c r="C230" s="11">
        <v>7666</v>
      </c>
      <c r="D230">
        <v>6.04</v>
      </c>
      <c r="H230" s="62">
        <v>1</v>
      </c>
      <c r="I230" s="62">
        <v>1</v>
      </c>
      <c r="K230" s="11">
        <f t="shared" si="11"/>
        <v>1259762.8899999999</v>
      </c>
      <c r="N230" s="12">
        <f t="shared" si="9"/>
        <v>0.22815476190476192</v>
      </c>
      <c r="O230" s="12">
        <f t="shared" si="10"/>
        <v>0.91446202816492439</v>
      </c>
    </row>
    <row r="231" spans="1:15">
      <c r="A231" s="60">
        <v>45424</v>
      </c>
      <c r="B231">
        <f>VLOOKUP(A231,'BADI SID DATA'!A:B,2,0)</f>
        <v>42</v>
      </c>
      <c r="C231" s="11">
        <v>7441.9000000000005</v>
      </c>
      <c r="D231">
        <v>5.8</v>
      </c>
      <c r="H231" s="62">
        <v>1</v>
      </c>
      <c r="I231" s="62">
        <v>1</v>
      </c>
      <c r="K231" s="11">
        <f t="shared" si="11"/>
        <v>1267204.7899999998</v>
      </c>
      <c r="N231" s="12">
        <f t="shared" si="9"/>
        <v>0.22148511904761906</v>
      </c>
      <c r="O231" s="12">
        <f t="shared" si="10"/>
        <v>0.89796257794784562</v>
      </c>
    </row>
    <row r="232" spans="1:15">
      <c r="A232" s="60">
        <v>45425</v>
      </c>
      <c r="B232">
        <f>VLOOKUP(A232,'BADI SID DATA'!A:B,2,0)</f>
        <v>43</v>
      </c>
      <c r="C232" s="11">
        <v>7524</v>
      </c>
      <c r="D232">
        <v>6.01</v>
      </c>
      <c r="H232" s="62">
        <v>1</v>
      </c>
      <c r="I232" s="62">
        <v>1</v>
      </c>
      <c r="K232" s="11">
        <f t="shared" si="11"/>
        <v>1274728.7899999998</v>
      </c>
      <c r="N232" s="12">
        <f t="shared" si="9"/>
        <v>0.22392857142857142</v>
      </c>
      <c r="O232" s="12">
        <f t="shared" si="10"/>
        <v>0.8822873684939091</v>
      </c>
    </row>
    <row r="233" spans="1:15">
      <c r="A233" s="60">
        <v>45426</v>
      </c>
      <c r="B233">
        <f>VLOOKUP(A233,'BADI SID DATA'!A:B,2,0)</f>
        <v>44</v>
      </c>
      <c r="C233" s="11">
        <v>7599.9000000000015</v>
      </c>
      <c r="D233">
        <v>17.82</v>
      </c>
      <c r="H233" s="62">
        <v>1</v>
      </c>
      <c r="I233" s="62">
        <v>1</v>
      </c>
      <c r="K233" s="11">
        <f t="shared" si="11"/>
        <v>1282328.6899999997</v>
      </c>
      <c r="N233" s="12">
        <f t="shared" si="9"/>
        <v>0.22618750000000004</v>
      </c>
      <c r="O233" s="12">
        <f t="shared" si="10"/>
        <v>0.86737600784632019</v>
      </c>
    </row>
    <row r="234" spans="1:15">
      <c r="A234" s="60">
        <v>45427</v>
      </c>
      <c r="B234">
        <f>VLOOKUP(A234,'BADI SID DATA'!A:B,2,0)</f>
        <v>45</v>
      </c>
      <c r="C234" s="11">
        <v>6948.2</v>
      </c>
      <c r="D234">
        <v>2.36</v>
      </c>
      <c r="H234" s="62">
        <v>1</v>
      </c>
      <c r="I234" s="62">
        <v>0.9375</v>
      </c>
      <c r="K234" s="11">
        <f t="shared" si="11"/>
        <v>1289276.8899999997</v>
      </c>
      <c r="N234" s="12">
        <f t="shared" si="9"/>
        <v>0.20679166666666665</v>
      </c>
      <c r="O234" s="12">
        <f t="shared" si="10"/>
        <v>0.85269635582010561</v>
      </c>
    </row>
    <row r="235" spans="1:15">
      <c r="A235" s="60">
        <v>45428</v>
      </c>
      <c r="B235">
        <f>VLOOKUP(A235,'BADI SID DATA'!A:B,2,0)</f>
        <v>46</v>
      </c>
      <c r="C235" s="11">
        <v>6784.0999999999995</v>
      </c>
      <c r="D235">
        <v>3.8</v>
      </c>
      <c r="H235" s="62">
        <v>1</v>
      </c>
      <c r="I235" s="62">
        <v>1</v>
      </c>
      <c r="K235" s="11">
        <f t="shared" si="11"/>
        <v>1296060.9899999998</v>
      </c>
      <c r="N235" s="12">
        <f t="shared" si="9"/>
        <v>0.20190773809523807</v>
      </c>
      <c r="O235" s="12">
        <f t="shared" si="10"/>
        <v>0.83854877717391285</v>
      </c>
    </row>
    <row r="236" spans="1:15">
      <c r="A236" s="60">
        <v>45429</v>
      </c>
      <c r="B236">
        <f>VLOOKUP(A236,'BADI SID DATA'!A:B,2,0)</f>
        <v>47</v>
      </c>
      <c r="C236" s="11">
        <v>7476.2</v>
      </c>
      <c r="D236">
        <v>2.36</v>
      </c>
      <c r="H236" s="62">
        <v>1</v>
      </c>
      <c r="I236" s="62">
        <v>1</v>
      </c>
      <c r="K236" s="11">
        <f t="shared" si="11"/>
        <v>1303537.1899999997</v>
      </c>
      <c r="N236" s="12">
        <f t="shared" si="9"/>
        <v>0.22250595238095239</v>
      </c>
      <c r="O236" s="12">
        <f t="shared" si="10"/>
        <v>0.82544148302938181</v>
      </c>
    </row>
    <row r="237" spans="1:15">
      <c r="A237" s="60">
        <v>45430</v>
      </c>
      <c r="B237">
        <f>VLOOKUP(A237,'BADI SID DATA'!A:B,2,0)</f>
        <v>48</v>
      </c>
      <c r="C237" s="11">
        <v>4040.8999999999996</v>
      </c>
      <c r="D237">
        <v>2.79</v>
      </c>
      <c r="H237" s="62">
        <v>1</v>
      </c>
      <c r="I237" s="62">
        <v>1</v>
      </c>
      <c r="K237" s="11">
        <f t="shared" si="11"/>
        <v>1307578.0899999996</v>
      </c>
      <c r="N237" s="12">
        <f t="shared" si="9"/>
        <v>0.12026488095238094</v>
      </c>
      <c r="O237" s="12">
        <f t="shared" si="10"/>
        <v>0.81075030381944424</v>
      </c>
    </row>
    <row r="238" spans="1:15">
      <c r="A238" s="60">
        <v>45431</v>
      </c>
      <c r="B238">
        <f>VLOOKUP(A238,'BADI SID DATA'!A:B,2,0)</f>
        <v>49</v>
      </c>
      <c r="C238" s="11">
        <v>1297.9000000000003</v>
      </c>
      <c r="D238">
        <v>1.06</v>
      </c>
      <c r="H238" s="62">
        <v>1</v>
      </c>
      <c r="I238" s="62">
        <v>1</v>
      </c>
      <c r="K238" s="11">
        <f t="shared" si="11"/>
        <v>1308875.9899999995</v>
      </c>
      <c r="N238" s="12">
        <f t="shared" si="9"/>
        <v>3.8627976190476199E-2</v>
      </c>
      <c r="O238" s="12">
        <f t="shared" si="10"/>
        <v>0.79499270529640398</v>
      </c>
    </row>
    <row r="239" spans="1:15">
      <c r="A239" s="60">
        <v>45432</v>
      </c>
      <c r="B239">
        <f>VLOOKUP(A239,'BADI SID DATA'!A:B,2,0)</f>
        <v>50</v>
      </c>
      <c r="C239" s="11">
        <v>1568</v>
      </c>
      <c r="D239">
        <v>8.6999999999999993</v>
      </c>
      <c r="H239" s="62">
        <v>1</v>
      </c>
      <c r="I239" s="62">
        <v>1</v>
      </c>
      <c r="K239" s="11">
        <f t="shared" si="11"/>
        <v>1310443.9899999995</v>
      </c>
      <c r="N239" s="12">
        <f t="shared" si="9"/>
        <v>4.6666666666666669E-2</v>
      </c>
      <c r="O239" s="12">
        <f t="shared" si="10"/>
        <v>0.78002618452380923</v>
      </c>
    </row>
    <row r="240" spans="1:15">
      <c r="A240" s="60">
        <v>45433</v>
      </c>
      <c r="B240">
        <f>VLOOKUP(A240,'BADI SID DATA'!A:B,2,0)</f>
        <v>51</v>
      </c>
      <c r="C240" s="11">
        <v>1386.1</v>
      </c>
      <c r="D240">
        <v>0.95</v>
      </c>
      <c r="H240" s="62">
        <v>1</v>
      </c>
      <c r="I240" s="62">
        <v>1</v>
      </c>
      <c r="K240" s="11">
        <f t="shared" si="11"/>
        <v>1311830.0899999996</v>
      </c>
      <c r="N240" s="12">
        <f t="shared" si="9"/>
        <v>4.1252976190476187E-2</v>
      </c>
      <c r="O240" s="12">
        <f t="shared" si="10"/>
        <v>0.76554043534080274</v>
      </c>
    </row>
    <row r="241" spans="1:15">
      <c r="A241" s="60">
        <v>45434</v>
      </c>
      <c r="B241">
        <f>VLOOKUP(A241,'BADI SID DATA'!A:B,2,0)</f>
        <v>52</v>
      </c>
      <c r="C241" s="11">
        <v>1583.2</v>
      </c>
      <c r="D241">
        <v>1.0900000000000001</v>
      </c>
      <c r="H241" s="62">
        <v>1</v>
      </c>
      <c r="I241" s="62">
        <v>1</v>
      </c>
      <c r="K241" s="11">
        <f t="shared" si="11"/>
        <v>1313413.2899999996</v>
      </c>
      <c r="N241" s="12">
        <f t="shared" si="9"/>
        <v>4.7119047619047623E-2</v>
      </c>
      <c r="O241" s="12">
        <f t="shared" si="10"/>
        <v>0.75172463942307666</v>
      </c>
    </row>
    <row r="242" spans="1:15">
      <c r="A242" s="60">
        <v>45435</v>
      </c>
      <c r="B242">
        <f>VLOOKUP(A242,'BADI SID DATA'!A:B,2,0)</f>
        <v>53</v>
      </c>
      <c r="C242" s="11">
        <v>1588.4</v>
      </c>
      <c r="D242">
        <v>1.1000000000000001</v>
      </c>
      <c r="H242" s="62">
        <v>1</v>
      </c>
      <c r="I242" s="62">
        <v>1</v>
      </c>
      <c r="K242" s="11">
        <f t="shared" si="11"/>
        <v>1315001.6899999995</v>
      </c>
      <c r="N242" s="12">
        <f t="shared" si="9"/>
        <v>4.7273809523809524E-2</v>
      </c>
      <c r="O242" s="12">
        <f t="shared" si="10"/>
        <v>0.73843311433063763</v>
      </c>
    </row>
    <row r="243" spans="1:15">
      <c r="A243" s="60">
        <v>45436</v>
      </c>
      <c r="B243">
        <f>VLOOKUP(A243,'BADI SID DATA'!A:B,2,0)</f>
        <v>54</v>
      </c>
      <c r="C243" s="11">
        <v>3080.1000000000004</v>
      </c>
      <c r="D243">
        <v>2.23</v>
      </c>
      <c r="H243" s="62">
        <v>1</v>
      </c>
      <c r="I243" s="62">
        <v>1</v>
      </c>
      <c r="K243" s="11">
        <f t="shared" si="11"/>
        <v>1318081.7899999996</v>
      </c>
      <c r="N243" s="12">
        <f t="shared" si="9"/>
        <v>9.1669642857142866E-2</v>
      </c>
      <c r="O243" s="12">
        <f t="shared" si="10"/>
        <v>0.72645601300705442</v>
      </c>
    </row>
    <row r="244" spans="1:15">
      <c r="A244" s="60">
        <v>45437</v>
      </c>
      <c r="B244">
        <f>VLOOKUP(A244,'BADI SID DATA'!A:B,2,0)</f>
        <v>55</v>
      </c>
      <c r="C244" s="11">
        <v>3483.7999999999997</v>
      </c>
      <c r="D244">
        <v>2.54</v>
      </c>
      <c r="H244" s="62">
        <v>1</v>
      </c>
      <c r="I244" s="62">
        <v>1</v>
      </c>
      <c r="K244" s="11">
        <f t="shared" si="11"/>
        <v>1321565.5899999996</v>
      </c>
      <c r="N244" s="12">
        <f t="shared" si="9"/>
        <v>0.1036845238095238</v>
      </c>
      <c r="O244" s="12">
        <f t="shared" si="10"/>
        <v>0.71513289502164479</v>
      </c>
    </row>
    <row r="245" spans="1:15">
      <c r="A245" s="60">
        <v>45438</v>
      </c>
      <c r="B245">
        <f>VLOOKUP(A245,'BADI SID DATA'!A:B,2,0)</f>
        <v>56</v>
      </c>
      <c r="C245" s="11">
        <v>4669.2</v>
      </c>
      <c r="D245">
        <v>3.51</v>
      </c>
      <c r="H245" s="62">
        <v>1</v>
      </c>
      <c r="I245" s="62">
        <v>1</v>
      </c>
      <c r="K245" s="11">
        <f t="shared" si="11"/>
        <v>1326234.7899999996</v>
      </c>
      <c r="N245" s="12">
        <f t="shared" si="9"/>
        <v>0.13896428571428571</v>
      </c>
      <c r="O245" s="12">
        <f t="shared" si="10"/>
        <v>0.70484416985544196</v>
      </c>
    </row>
    <row r="246" spans="1:15">
      <c r="A246" s="60">
        <v>45439</v>
      </c>
      <c r="B246">
        <f>VLOOKUP(A246,'BADI SID DATA'!A:B,2,0)</f>
        <v>57</v>
      </c>
      <c r="C246" s="11">
        <v>4021.1000000000004</v>
      </c>
      <c r="D246">
        <v>2.91</v>
      </c>
      <c r="H246" s="62">
        <v>1</v>
      </c>
      <c r="I246" s="62">
        <v>1</v>
      </c>
      <c r="K246" s="11">
        <f t="shared" si="11"/>
        <v>1330255.8899999997</v>
      </c>
      <c r="N246" s="12">
        <f t="shared" si="9"/>
        <v>0.11967559523809525</v>
      </c>
      <c r="O246" s="12">
        <f t="shared" si="10"/>
        <v>0.69457805451127808</v>
      </c>
    </row>
    <row r="247" spans="1:15">
      <c r="A247" s="60">
        <v>45440</v>
      </c>
      <c r="B247">
        <f>VLOOKUP(A247,'BADI SID DATA'!A:B,2,0)</f>
        <v>58</v>
      </c>
      <c r="C247" s="11">
        <v>2561.1999999999998</v>
      </c>
      <c r="D247">
        <v>1.79</v>
      </c>
      <c r="H247" s="62">
        <v>1</v>
      </c>
      <c r="I247" s="62">
        <v>1</v>
      </c>
      <c r="K247" s="11">
        <f t="shared" si="11"/>
        <v>1332817.0899999996</v>
      </c>
      <c r="N247" s="12">
        <f t="shared" si="9"/>
        <v>7.6226190476190475E-2</v>
      </c>
      <c r="O247" s="12">
        <f t="shared" si="10"/>
        <v>0.68391681547619032</v>
      </c>
    </row>
    <row r="248" spans="1:15">
      <c r="A248" s="60">
        <v>45441</v>
      </c>
      <c r="B248">
        <f>VLOOKUP(A248,'BADI SID DATA'!A:B,2,0)</f>
        <v>59</v>
      </c>
      <c r="C248" s="11">
        <v>3377.2000000000003</v>
      </c>
      <c r="D248">
        <v>2.42</v>
      </c>
      <c r="H248" s="62">
        <v>1</v>
      </c>
      <c r="I248" s="62">
        <v>1</v>
      </c>
      <c r="K248" s="11">
        <f t="shared" si="11"/>
        <v>1336194.2899999996</v>
      </c>
      <c r="N248" s="12">
        <f t="shared" si="9"/>
        <v>0.10051190476190477</v>
      </c>
      <c r="O248" s="12">
        <f t="shared" si="10"/>
        <v>0.67402859665052439</v>
      </c>
    </row>
    <row r="249" spans="1:15">
      <c r="A249" s="60">
        <v>45442</v>
      </c>
      <c r="B249">
        <f>VLOOKUP(A249,'BADI SID DATA'!A:B,2,0)</f>
        <v>60</v>
      </c>
      <c r="C249" s="11">
        <v>1632.5</v>
      </c>
      <c r="D249">
        <v>1.1100000000000001</v>
      </c>
      <c r="H249" s="62">
        <v>1</v>
      </c>
      <c r="I249" s="62">
        <v>1</v>
      </c>
      <c r="K249" s="11">
        <f t="shared" si="11"/>
        <v>1337826.7899999996</v>
      </c>
      <c r="N249" s="12">
        <f t="shared" si="9"/>
        <v>4.8586309523809525E-2</v>
      </c>
      <c r="O249" s="12">
        <f t="shared" si="10"/>
        <v>0.66360455853174583</v>
      </c>
    </row>
    <row r="250" spans="1:15">
      <c r="A250" s="60">
        <v>45443</v>
      </c>
      <c r="B250">
        <f>VLOOKUP(A250,'BADI SID DATA'!A:B,2,0)</f>
        <v>61</v>
      </c>
      <c r="C250" s="11">
        <v>5264</v>
      </c>
      <c r="D250">
        <v>3.86</v>
      </c>
      <c r="H250" s="62">
        <v>1</v>
      </c>
      <c r="I250" s="62">
        <v>1</v>
      </c>
      <c r="K250" s="11">
        <f t="shared" si="11"/>
        <v>1343090.7899999996</v>
      </c>
      <c r="N250" s="12">
        <f t="shared" si="9"/>
        <v>0.15666666666666668</v>
      </c>
      <c r="O250" s="12">
        <f t="shared" si="10"/>
        <v>0.65529410128805599</v>
      </c>
    </row>
    <row r="251" spans="1:15">
      <c r="A251" s="60">
        <v>45444</v>
      </c>
      <c r="B251">
        <f>VLOOKUP(A251,'BADI SID DATA'!A:B,2,0)</f>
        <v>62</v>
      </c>
      <c r="C251" s="11">
        <v>4730.6000000000004</v>
      </c>
      <c r="D251">
        <v>3.47</v>
      </c>
      <c r="H251" s="62">
        <v>1</v>
      </c>
      <c r="I251" s="62">
        <v>1</v>
      </c>
      <c r="K251" s="11">
        <f t="shared" si="11"/>
        <v>1347821.3899999997</v>
      </c>
      <c r="N251" s="12">
        <f t="shared" si="9"/>
        <v>0.14079166666666668</v>
      </c>
      <c r="O251" s="12">
        <f t="shared" si="10"/>
        <v>0.64699567492319487</v>
      </c>
    </row>
    <row r="252" spans="1:15">
      <c r="A252" s="60">
        <v>45445</v>
      </c>
      <c r="B252">
        <f>VLOOKUP(A252,'BADI SID DATA'!A:B,2,0)</f>
        <v>63</v>
      </c>
      <c r="C252" s="11">
        <v>5070.1000000000004</v>
      </c>
      <c r="D252">
        <v>3.79</v>
      </c>
      <c r="H252" s="62">
        <v>1</v>
      </c>
      <c r="I252" s="62">
        <v>1</v>
      </c>
      <c r="K252" s="11">
        <f t="shared" si="11"/>
        <v>1352891.4899999998</v>
      </c>
      <c r="N252" s="12">
        <f t="shared" si="9"/>
        <v>0.15089583333333334</v>
      </c>
      <c r="O252" s="12">
        <f t="shared" si="10"/>
        <v>0.63912107426303844</v>
      </c>
    </row>
    <row r="253" spans="1:15">
      <c r="A253" s="60">
        <v>45446</v>
      </c>
      <c r="B253">
        <f>VLOOKUP(A253,'BADI SID DATA'!A:B,2,0)</f>
        <v>64</v>
      </c>
      <c r="C253" s="11">
        <v>5907.2</v>
      </c>
      <c r="D253">
        <v>4.41</v>
      </c>
      <c r="H253" s="62">
        <v>1</v>
      </c>
      <c r="I253" s="62">
        <v>1</v>
      </c>
      <c r="K253" s="11">
        <f t="shared" si="11"/>
        <v>1358798.6899999997</v>
      </c>
      <c r="N253" s="12">
        <f t="shared" si="9"/>
        <v>0.1758095238095238</v>
      </c>
      <c r="O253" s="12">
        <f t="shared" si="10"/>
        <v>0.63188183128720221</v>
      </c>
    </row>
    <row r="254" spans="1:15">
      <c r="A254" s="60">
        <v>45447</v>
      </c>
      <c r="B254">
        <f>VLOOKUP(A254,'BADI SID DATA'!A:B,2,0)</f>
        <v>65</v>
      </c>
      <c r="C254" s="11">
        <v>7270.2</v>
      </c>
      <c r="D254">
        <v>5.74</v>
      </c>
      <c r="H254" s="62">
        <v>1</v>
      </c>
      <c r="I254" s="62">
        <v>1</v>
      </c>
      <c r="K254" s="11">
        <f t="shared" si="11"/>
        <v>1366068.8899999997</v>
      </c>
      <c r="N254" s="12">
        <f t="shared" si="9"/>
        <v>0.21637499999999998</v>
      </c>
      <c r="O254" s="12">
        <f t="shared" si="10"/>
        <v>0.6254894184981683</v>
      </c>
    </row>
    <row r="255" spans="1:15">
      <c r="A255" s="60">
        <v>45448</v>
      </c>
      <c r="B255">
        <f>VLOOKUP(A255,'BADI SID DATA'!A:B,2,0)</f>
        <v>66</v>
      </c>
      <c r="C255" s="11">
        <v>6429.7</v>
      </c>
      <c r="D255">
        <v>4.9800000000000004</v>
      </c>
      <c r="H255" s="62">
        <v>1</v>
      </c>
      <c r="I255" s="62">
        <v>1</v>
      </c>
      <c r="K255" s="11">
        <f t="shared" si="11"/>
        <v>1372498.5899999996</v>
      </c>
      <c r="N255" s="12">
        <f t="shared" si="9"/>
        <v>0.19136011904761904</v>
      </c>
      <c r="O255" s="12">
        <f t="shared" si="10"/>
        <v>0.61891170183982669</v>
      </c>
    </row>
    <row r="256" spans="1:15">
      <c r="A256" s="60">
        <v>45449</v>
      </c>
      <c r="B256">
        <f>VLOOKUP(A256,'BADI SID DATA'!A:B,2,0)</f>
        <v>67</v>
      </c>
      <c r="C256" s="11">
        <v>2413.3000000000002</v>
      </c>
      <c r="D256">
        <v>2.13</v>
      </c>
      <c r="H256" s="62">
        <v>1</v>
      </c>
      <c r="I256" s="62">
        <v>0.85833333333333339</v>
      </c>
      <c r="K256" s="11">
        <f t="shared" si="11"/>
        <v>1374911.8899999997</v>
      </c>
      <c r="N256" s="12">
        <f t="shared" si="9"/>
        <v>7.182440476190477E-2</v>
      </c>
      <c r="O256" s="12">
        <f t="shared" si="10"/>
        <v>0.61074621979388755</v>
      </c>
    </row>
    <row r="257" spans="1:15">
      <c r="A257" s="60">
        <v>45450</v>
      </c>
      <c r="B257">
        <f>VLOOKUP(A257,'BADI SID DATA'!A:B,2,0)</f>
        <v>68</v>
      </c>
      <c r="C257" s="11">
        <v>3544.8</v>
      </c>
      <c r="D257">
        <v>2.58</v>
      </c>
      <c r="H257" s="62">
        <v>1</v>
      </c>
      <c r="I257" s="62">
        <v>1</v>
      </c>
      <c r="K257" s="11">
        <f t="shared" si="11"/>
        <v>1378456.6899999997</v>
      </c>
      <c r="N257" s="12">
        <f t="shared" si="9"/>
        <v>0.10550000000000001</v>
      </c>
      <c r="O257" s="12">
        <f t="shared" si="10"/>
        <v>0.60331612832633041</v>
      </c>
    </row>
    <row r="258" spans="1:15">
      <c r="A258" s="60">
        <v>45451</v>
      </c>
      <c r="B258">
        <f>VLOOKUP(A258,'BADI SID DATA'!A:B,2,0)</f>
        <v>69</v>
      </c>
      <c r="C258" s="11">
        <v>4488.7</v>
      </c>
      <c r="D258">
        <v>3.29</v>
      </c>
      <c r="H258" s="62">
        <v>1</v>
      </c>
      <c r="I258" s="62">
        <v>1</v>
      </c>
      <c r="K258" s="11">
        <f t="shared" si="11"/>
        <v>1382945.3899999997</v>
      </c>
      <c r="N258" s="12">
        <f t="shared" si="9"/>
        <v>0.13359226190476189</v>
      </c>
      <c r="O258" s="12">
        <f t="shared" si="10"/>
        <v>0.59650853605935117</v>
      </c>
    </row>
    <row r="259" spans="1:15">
      <c r="A259" s="60">
        <v>45452</v>
      </c>
      <c r="B259">
        <f>VLOOKUP(A259,'BADI SID DATA'!A:B,2,0)</f>
        <v>70</v>
      </c>
      <c r="C259" s="11">
        <v>7002</v>
      </c>
      <c r="D259">
        <v>5.43</v>
      </c>
      <c r="H259" s="62">
        <v>1</v>
      </c>
      <c r="I259" s="62">
        <v>1</v>
      </c>
      <c r="K259" s="11">
        <f t="shared" si="11"/>
        <v>1389947.3899999997</v>
      </c>
      <c r="N259" s="12">
        <f t="shared" ref="N259:N322" si="12">C259/(1400*24)</f>
        <v>0.20839285714285713</v>
      </c>
      <c r="O259" s="12">
        <f t="shared" ref="O259:O322" si="13">K259/(B259*1400*24)</f>
        <v>0.59096402636054413</v>
      </c>
    </row>
    <row r="260" spans="1:15">
      <c r="A260" s="60">
        <v>45453</v>
      </c>
      <c r="B260">
        <f>VLOOKUP(A260,'BADI SID DATA'!A:B,2,0)</f>
        <v>71</v>
      </c>
      <c r="C260" s="11">
        <v>6337.9000000000005</v>
      </c>
      <c r="D260">
        <v>4.7699999999999996</v>
      </c>
      <c r="H260" s="62">
        <v>1</v>
      </c>
      <c r="I260" s="62">
        <v>1</v>
      </c>
      <c r="K260" s="11">
        <f t="shared" ref="K260:K323" si="14">K259+C260</f>
        <v>1396285.2899999996</v>
      </c>
      <c r="N260" s="12">
        <f t="shared" si="12"/>
        <v>0.18862797619047619</v>
      </c>
      <c r="O260" s="12">
        <f t="shared" si="13"/>
        <v>0.58529732142857127</v>
      </c>
    </row>
    <row r="261" spans="1:15">
      <c r="A261" s="60">
        <v>45454</v>
      </c>
      <c r="B261">
        <f>VLOOKUP(A261,'BADI SID DATA'!A:B,2,0)</f>
        <v>72</v>
      </c>
      <c r="C261" s="11">
        <v>6179.5999999999995</v>
      </c>
      <c r="D261">
        <v>4.5999999999999996</v>
      </c>
      <c r="H261" s="62">
        <v>1</v>
      </c>
      <c r="I261" s="62">
        <v>1</v>
      </c>
      <c r="K261" s="11">
        <f t="shared" si="14"/>
        <v>1402464.8899999997</v>
      </c>
      <c r="N261" s="12">
        <f t="shared" si="12"/>
        <v>0.18391666666666664</v>
      </c>
      <c r="O261" s="12">
        <f t="shared" si="13"/>
        <v>0.57972259011243377</v>
      </c>
    </row>
    <row r="262" spans="1:15">
      <c r="A262" s="60">
        <v>45455</v>
      </c>
      <c r="B262">
        <f>VLOOKUP(A262,'BADI SID DATA'!A:B,2,0)</f>
        <v>73</v>
      </c>
      <c r="C262" s="11">
        <v>4397.3</v>
      </c>
      <c r="D262">
        <v>3.18</v>
      </c>
      <c r="H262" s="62">
        <v>1</v>
      </c>
      <c r="I262" s="62">
        <v>1</v>
      </c>
      <c r="K262" s="11">
        <f t="shared" si="14"/>
        <v>1406862.1899999997</v>
      </c>
      <c r="N262" s="12">
        <f t="shared" si="12"/>
        <v>0.13087202380952381</v>
      </c>
      <c r="O262" s="12">
        <f t="shared" si="13"/>
        <v>0.57357395221787333</v>
      </c>
    </row>
    <row r="263" spans="1:15">
      <c r="A263" s="60">
        <v>45456</v>
      </c>
      <c r="B263">
        <f>VLOOKUP(A263,'BADI SID DATA'!A:B,2,0)</f>
        <v>74</v>
      </c>
      <c r="C263" s="11">
        <v>5328.1</v>
      </c>
      <c r="D263">
        <v>3.98</v>
      </c>
      <c r="H263" s="62">
        <v>1</v>
      </c>
      <c r="I263" s="62">
        <v>1</v>
      </c>
      <c r="K263" s="11">
        <f t="shared" si="14"/>
        <v>1412190.2899999998</v>
      </c>
      <c r="N263" s="12">
        <f t="shared" si="12"/>
        <v>0.15857440476190476</v>
      </c>
      <c r="O263" s="12">
        <f t="shared" si="13"/>
        <v>0.56796585022522517</v>
      </c>
    </row>
    <row r="264" spans="1:15">
      <c r="A264" s="60">
        <v>45457</v>
      </c>
      <c r="B264">
        <f>VLOOKUP(A264,'BADI SID DATA'!A:B,2,0)</f>
        <v>75</v>
      </c>
      <c r="C264" s="11">
        <v>7894.4000000000005</v>
      </c>
      <c r="D264">
        <v>6.19</v>
      </c>
      <c r="H264" s="62">
        <v>1</v>
      </c>
      <c r="I264" s="62">
        <v>1</v>
      </c>
      <c r="K264" s="11">
        <f t="shared" si="14"/>
        <v>1420084.6899999997</v>
      </c>
      <c r="N264" s="12">
        <f t="shared" si="12"/>
        <v>0.23495238095238097</v>
      </c>
      <c r="O264" s="12">
        <f t="shared" si="13"/>
        <v>0.56352567063492054</v>
      </c>
    </row>
    <row r="265" spans="1:15">
      <c r="A265" s="60">
        <v>45458</v>
      </c>
      <c r="B265">
        <f>VLOOKUP(A265,'BADI SID DATA'!A:B,2,0)</f>
        <v>76</v>
      </c>
      <c r="C265" s="11">
        <v>6638</v>
      </c>
      <c r="D265">
        <v>5.18</v>
      </c>
      <c r="H265" s="62">
        <v>1</v>
      </c>
      <c r="I265" s="62">
        <v>1</v>
      </c>
      <c r="K265" s="11">
        <f t="shared" si="14"/>
        <v>1426722.6899999997</v>
      </c>
      <c r="N265" s="12">
        <f t="shared" si="12"/>
        <v>0.1975595238095238</v>
      </c>
      <c r="O265" s="12">
        <f t="shared" si="13"/>
        <v>0.55871032659774422</v>
      </c>
    </row>
    <row r="266" spans="1:15">
      <c r="A266" s="60">
        <v>45459</v>
      </c>
      <c r="B266">
        <f>VLOOKUP(A266,'BADI SID DATA'!A:B,2,0)</f>
        <v>77</v>
      </c>
      <c r="C266" s="11">
        <v>5729.4000000000005</v>
      </c>
      <c r="D266">
        <v>4.21</v>
      </c>
      <c r="H266" s="62">
        <v>1</v>
      </c>
      <c r="I266" s="62">
        <v>1</v>
      </c>
      <c r="K266" s="11">
        <f t="shared" si="14"/>
        <v>1432452.0899999996</v>
      </c>
      <c r="N266" s="12">
        <f t="shared" si="12"/>
        <v>0.17051785714285717</v>
      </c>
      <c r="O266" s="12">
        <f t="shared" si="13"/>
        <v>0.55366886595547293</v>
      </c>
    </row>
    <row r="267" spans="1:15">
      <c r="A267" s="60">
        <v>45460</v>
      </c>
      <c r="B267">
        <f>VLOOKUP(A267,'BADI SID DATA'!A:B,2,0)</f>
        <v>78</v>
      </c>
      <c r="C267" s="11">
        <v>6771.7</v>
      </c>
      <c r="D267">
        <v>5.19</v>
      </c>
      <c r="H267" s="62">
        <v>1</v>
      </c>
      <c r="I267" s="62">
        <v>1</v>
      </c>
      <c r="K267" s="11">
        <f t="shared" si="14"/>
        <v>1439223.7899999996</v>
      </c>
      <c r="N267" s="12">
        <f t="shared" si="12"/>
        <v>0.20153869047619047</v>
      </c>
      <c r="O267" s="12">
        <f t="shared" si="13"/>
        <v>0.54915437652625132</v>
      </c>
    </row>
    <row r="268" spans="1:15">
      <c r="A268" s="60">
        <v>45461</v>
      </c>
      <c r="B268">
        <f>VLOOKUP(A268,'BADI SID DATA'!A:B,2,0)</f>
        <v>79</v>
      </c>
      <c r="C268" s="11">
        <v>5982.2000000000007</v>
      </c>
      <c r="D268">
        <v>4.49</v>
      </c>
      <c r="H268" s="62">
        <v>1</v>
      </c>
      <c r="I268" s="62">
        <v>1</v>
      </c>
      <c r="K268" s="11">
        <f t="shared" si="14"/>
        <v>1445205.9899999995</v>
      </c>
      <c r="N268" s="12">
        <f t="shared" si="12"/>
        <v>0.17804166666666668</v>
      </c>
      <c r="O268" s="12">
        <f t="shared" si="13"/>
        <v>0.54445674728752247</v>
      </c>
    </row>
    <row r="269" spans="1:15">
      <c r="A269" s="60">
        <v>45462</v>
      </c>
      <c r="B269">
        <f>VLOOKUP(A269,'BADI SID DATA'!A:B,2,0)</f>
        <v>80</v>
      </c>
      <c r="C269" s="11">
        <v>5972.5</v>
      </c>
      <c r="D269">
        <v>4.59</v>
      </c>
      <c r="H269" s="62">
        <v>1</v>
      </c>
      <c r="I269" s="62">
        <v>0.98611111111111116</v>
      </c>
      <c r="K269" s="11">
        <f t="shared" si="14"/>
        <v>1451178.4899999995</v>
      </c>
      <c r="N269" s="12">
        <f t="shared" si="12"/>
        <v>0.1777529761904762</v>
      </c>
      <c r="O269" s="12">
        <f t="shared" si="13"/>
        <v>0.53987295014880932</v>
      </c>
    </row>
    <row r="270" spans="1:15">
      <c r="A270" s="60">
        <v>45463</v>
      </c>
      <c r="B270">
        <f>VLOOKUP(A270,'BADI SID DATA'!A:B,2,0)</f>
        <v>81</v>
      </c>
      <c r="C270" s="11">
        <v>4945.5</v>
      </c>
      <c r="D270">
        <v>3.62</v>
      </c>
      <c r="H270" s="62">
        <v>1</v>
      </c>
      <c r="I270" s="62">
        <v>1</v>
      </c>
      <c r="K270" s="11">
        <f t="shared" si="14"/>
        <v>1456123.9899999995</v>
      </c>
      <c r="N270" s="12">
        <f t="shared" si="12"/>
        <v>0.1471875</v>
      </c>
      <c r="O270" s="12">
        <f t="shared" si="13"/>
        <v>0.53502498162845369</v>
      </c>
    </row>
    <row r="271" spans="1:15">
      <c r="A271" s="60">
        <v>45464</v>
      </c>
      <c r="B271">
        <f>VLOOKUP(A271,'BADI SID DATA'!A:B,2,0)</f>
        <v>82</v>
      </c>
      <c r="C271" s="11">
        <v>1391.3</v>
      </c>
      <c r="D271">
        <v>1.01</v>
      </c>
      <c r="H271" s="62">
        <v>1</v>
      </c>
      <c r="I271" s="62">
        <v>1</v>
      </c>
      <c r="K271" s="11">
        <f t="shared" si="14"/>
        <v>1457515.2899999996</v>
      </c>
      <c r="N271" s="12">
        <f t="shared" si="12"/>
        <v>4.1407738095238095E-2</v>
      </c>
      <c r="O271" s="12">
        <f t="shared" si="13"/>
        <v>0.52900525914634133</v>
      </c>
    </row>
    <row r="272" spans="1:15">
      <c r="A272" s="60">
        <v>45465</v>
      </c>
      <c r="B272">
        <f>VLOOKUP(A272,'BADI SID DATA'!A:B,2,0)</f>
        <v>83</v>
      </c>
      <c r="C272" s="11">
        <v>1956.5</v>
      </c>
      <c r="D272">
        <v>1.37</v>
      </c>
      <c r="H272" s="62">
        <v>1</v>
      </c>
      <c r="I272" s="62">
        <v>1</v>
      </c>
      <c r="K272" s="11">
        <f t="shared" si="14"/>
        <v>1459471.7899999996</v>
      </c>
      <c r="N272" s="12">
        <f t="shared" si="12"/>
        <v>5.8229166666666665E-2</v>
      </c>
      <c r="O272" s="12">
        <f t="shared" si="13"/>
        <v>0.52333325803212838</v>
      </c>
    </row>
    <row r="273" spans="1:15">
      <c r="A273" s="60">
        <v>45466</v>
      </c>
      <c r="B273">
        <f>VLOOKUP(A273,'BADI SID DATA'!A:B,2,0)</f>
        <v>84</v>
      </c>
      <c r="C273" s="11">
        <v>3003</v>
      </c>
      <c r="D273">
        <v>2.1</v>
      </c>
      <c r="H273" s="62">
        <v>1</v>
      </c>
      <c r="I273" s="62">
        <v>1</v>
      </c>
      <c r="K273" s="11">
        <f t="shared" si="14"/>
        <v>1462474.7899999996</v>
      </c>
      <c r="N273" s="12">
        <f t="shared" si="12"/>
        <v>8.9374999999999996E-2</v>
      </c>
      <c r="O273" s="12">
        <f t="shared" si="13"/>
        <v>0.51816708829365066</v>
      </c>
    </row>
    <row r="274" spans="1:15">
      <c r="A274" s="60">
        <v>45467</v>
      </c>
      <c r="B274">
        <f>VLOOKUP(A274,'BADI SID DATA'!A:B,2,0)</f>
        <v>85</v>
      </c>
      <c r="C274" s="11">
        <v>1894.8</v>
      </c>
      <c r="D274">
        <v>1.34</v>
      </c>
      <c r="H274" s="62">
        <v>1</v>
      </c>
      <c r="I274" s="62">
        <v>1</v>
      </c>
      <c r="K274" s="11">
        <f t="shared" si="14"/>
        <v>1464369.5899999996</v>
      </c>
      <c r="N274" s="12">
        <f t="shared" si="12"/>
        <v>5.639285714285714E-2</v>
      </c>
      <c r="O274" s="12">
        <f t="shared" si="13"/>
        <v>0.51273445028011189</v>
      </c>
    </row>
    <row r="275" spans="1:15">
      <c r="A275" s="60">
        <v>45468</v>
      </c>
      <c r="B275">
        <f>VLOOKUP(A275,'BADI SID DATA'!A:B,2,0)</f>
        <v>86</v>
      </c>
      <c r="C275" s="11">
        <v>3928</v>
      </c>
      <c r="D275">
        <v>2.97</v>
      </c>
      <c r="H275" s="62">
        <v>1</v>
      </c>
      <c r="I275" s="62">
        <v>1</v>
      </c>
      <c r="K275" s="11">
        <f t="shared" si="14"/>
        <v>1468297.5899999996</v>
      </c>
      <c r="N275" s="12">
        <f t="shared" si="12"/>
        <v>0.1169047619047619</v>
      </c>
      <c r="O275" s="12">
        <f t="shared" si="13"/>
        <v>0.50813177948504973</v>
      </c>
    </row>
    <row r="276" spans="1:15">
      <c r="A276" s="60">
        <v>45469</v>
      </c>
      <c r="B276">
        <f>VLOOKUP(A276,'BADI SID DATA'!A:B,2,0)</f>
        <v>87</v>
      </c>
      <c r="C276" s="11">
        <v>2961.5</v>
      </c>
      <c r="D276">
        <v>2.15</v>
      </c>
      <c r="H276" s="62">
        <v>1</v>
      </c>
      <c r="I276" s="62">
        <v>1</v>
      </c>
      <c r="K276" s="11">
        <f t="shared" si="14"/>
        <v>1471259.0899999996</v>
      </c>
      <c r="N276" s="12">
        <f t="shared" si="12"/>
        <v>8.8139880952380956E-2</v>
      </c>
      <c r="O276" s="12">
        <f t="shared" si="13"/>
        <v>0.50330428639846725</v>
      </c>
    </row>
    <row r="277" spans="1:15">
      <c r="A277" s="60">
        <v>45470</v>
      </c>
      <c r="B277">
        <f>VLOOKUP(A277,'BADI SID DATA'!A:B,2,0)</f>
        <v>88</v>
      </c>
      <c r="C277" s="11">
        <v>3313.1000000000004</v>
      </c>
      <c r="D277">
        <v>2.35</v>
      </c>
      <c r="H277" s="62">
        <v>1</v>
      </c>
      <c r="I277" s="62">
        <v>1</v>
      </c>
      <c r="K277" s="11">
        <f t="shared" si="14"/>
        <v>1474572.1899999997</v>
      </c>
      <c r="N277" s="12">
        <f t="shared" si="12"/>
        <v>9.8604166666666673E-2</v>
      </c>
      <c r="O277" s="12">
        <f t="shared" si="13"/>
        <v>0.49870542140151508</v>
      </c>
    </row>
    <row r="278" spans="1:15">
      <c r="A278" s="60">
        <v>45471</v>
      </c>
      <c r="B278">
        <f>VLOOKUP(A278,'BADI SID DATA'!A:B,2,0)</f>
        <v>89</v>
      </c>
      <c r="C278" s="11">
        <v>6130.0999999999995</v>
      </c>
      <c r="D278">
        <v>4.6900000000000004</v>
      </c>
      <c r="H278" s="62">
        <v>1</v>
      </c>
      <c r="I278" s="62">
        <v>1</v>
      </c>
      <c r="K278" s="11">
        <f t="shared" si="14"/>
        <v>1480702.2899999998</v>
      </c>
      <c r="N278" s="12">
        <f t="shared" si="12"/>
        <v>0.18244345238095236</v>
      </c>
      <c r="O278" s="12">
        <f t="shared" si="13"/>
        <v>0.49515191613162113</v>
      </c>
    </row>
    <row r="279" spans="1:15">
      <c r="A279" s="60">
        <v>45472</v>
      </c>
      <c r="B279">
        <f>VLOOKUP(A279,'BADI SID DATA'!A:B,2,0)</f>
        <v>90</v>
      </c>
      <c r="C279" s="11">
        <v>5836.7</v>
      </c>
      <c r="D279">
        <v>4.4000000000000004</v>
      </c>
      <c r="H279" s="62">
        <v>1</v>
      </c>
      <c r="I279" s="62">
        <v>1</v>
      </c>
      <c r="K279" s="11">
        <f t="shared" si="14"/>
        <v>1486538.9899999998</v>
      </c>
      <c r="N279" s="12">
        <f t="shared" si="12"/>
        <v>0.17371130952380953</v>
      </c>
      <c r="O279" s="12">
        <f t="shared" si="13"/>
        <v>0.49158035383597876</v>
      </c>
    </row>
    <row r="280" spans="1:15">
      <c r="A280" s="60">
        <v>45473</v>
      </c>
      <c r="B280">
        <f>VLOOKUP(A280,'BADI SID DATA'!A:B,2,0)</f>
        <v>91</v>
      </c>
      <c r="C280" s="11">
        <v>4828.2</v>
      </c>
      <c r="D280">
        <v>3.59</v>
      </c>
      <c r="H280" s="62">
        <v>1</v>
      </c>
      <c r="I280" s="62">
        <v>1</v>
      </c>
      <c r="K280" s="11">
        <f t="shared" si="14"/>
        <v>1491367.1899999997</v>
      </c>
      <c r="N280" s="12">
        <f t="shared" si="12"/>
        <v>0.14369642857142856</v>
      </c>
      <c r="O280" s="12">
        <f t="shared" si="13"/>
        <v>0.48775745355834632</v>
      </c>
    </row>
    <row r="281" spans="1:15">
      <c r="A281" s="60">
        <v>45474</v>
      </c>
      <c r="B281">
        <f>VLOOKUP(A281,'BADI SID DATA'!A:B,2,0)</f>
        <v>92</v>
      </c>
      <c r="C281" s="11">
        <v>3086.6</v>
      </c>
      <c r="D281">
        <v>2.2400000000000002</v>
      </c>
      <c r="H281" s="62">
        <v>1</v>
      </c>
      <c r="I281" s="62">
        <v>1</v>
      </c>
      <c r="K281" s="11">
        <f t="shared" si="14"/>
        <v>1494453.7899999998</v>
      </c>
      <c r="N281" s="12">
        <f t="shared" si="12"/>
        <v>9.186309523809523E-2</v>
      </c>
      <c r="O281" s="12">
        <f t="shared" si="13"/>
        <v>0.48345425401138709</v>
      </c>
    </row>
    <row r="282" spans="1:15">
      <c r="A282" s="60">
        <v>45475</v>
      </c>
      <c r="B282">
        <f>VLOOKUP(A282,'BADI SID DATA'!A:B,2,0)</f>
        <v>93</v>
      </c>
      <c r="C282" s="11">
        <v>6333.0999999999995</v>
      </c>
      <c r="D282">
        <v>5.44</v>
      </c>
      <c r="H282" s="62">
        <v>1</v>
      </c>
      <c r="I282" s="62">
        <v>0.95138888888888884</v>
      </c>
      <c r="K282" s="11">
        <f t="shared" si="14"/>
        <v>1500786.89</v>
      </c>
      <c r="N282" s="12">
        <f t="shared" si="12"/>
        <v>0.18848511904761903</v>
      </c>
      <c r="O282" s="12">
        <f t="shared" si="13"/>
        <v>0.48028254288274447</v>
      </c>
    </row>
    <row r="283" spans="1:15">
      <c r="A283" s="60">
        <v>45476</v>
      </c>
      <c r="B283">
        <f>VLOOKUP(A283,'BADI SID DATA'!A:B,2,0)</f>
        <v>94</v>
      </c>
      <c r="C283" s="11">
        <v>7043.8</v>
      </c>
      <c r="D283">
        <v>5.55</v>
      </c>
      <c r="H283" s="62">
        <v>1</v>
      </c>
      <c r="I283" s="62">
        <v>1</v>
      </c>
      <c r="K283" s="11">
        <f t="shared" si="14"/>
        <v>1507830.69</v>
      </c>
      <c r="N283" s="12">
        <f t="shared" si="12"/>
        <v>0.20963690476190477</v>
      </c>
      <c r="O283" s="12">
        <f t="shared" si="13"/>
        <v>0.47740333396656531</v>
      </c>
    </row>
    <row r="284" spans="1:15">
      <c r="A284" s="60">
        <v>45477</v>
      </c>
      <c r="B284">
        <f>VLOOKUP(A284,'BADI SID DATA'!A:B,2,0)</f>
        <v>95</v>
      </c>
      <c r="C284" s="11">
        <v>6756.9000000000005</v>
      </c>
      <c r="D284">
        <v>5.19</v>
      </c>
      <c r="H284" s="62">
        <v>1</v>
      </c>
      <c r="I284" s="62">
        <v>1</v>
      </c>
      <c r="K284" s="11">
        <f t="shared" si="14"/>
        <v>1514587.5899999999</v>
      </c>
      <c r="N284" s="12">
        <f t="shared" si="12"/>
        <v>0.20109821428571431</v>
      </c>
      <c r="O284" s="12">
        <f t="shared" si="13"/>
        <v>0.47449485902255634</v>
      </c>
    </row>
    <row r="285" spans="1:15">
      <c r="A285" s="60">
        <v>45478</v>
      </c>
      <c r="B285">
        <f>VLOOKUP(A285,'BADI SID DATA'!A:B,2,0)</f>
        <v>96</v>
      </c>
      <c r="C285" s="11">
        <v>5310.5</v>
      </c>
      <c r="D285">
        <v>4.0199999999999996</v>
      </c>
      <c r="H285" s="62">
        <v>1</v>
      </c>
      <c r="I285" s="62">
        <v>1</v>
      </c>
      <c r="K285" s="11">
        <f t="shared" si="14"/>
        <v>1519898.0899999999</v>
      </c>
      <c r="N285" s="12">
        <f t="shared" si="12"/>
        <v>0.15805059523809523</v>
      </c>
      <c r="O285" s="12">
        <f t="shared" si="13"/>
        <v>0.47119856460813486</v>
      </c>
    </row>
    <row r="286" spans="1:15">
      <c r="A286" s="60">
        <v>45479</v>
      </c>
      <c r="B286">
        <f>VLOOKUP(A286,'BADI SID DATA'!A:B,2,0)</f>
        <v>97</v>
      </c>
      <c r="C286" s="11">
        <v>4609.6000000000004</v>
      </c>
      <c r="D286">
        <v>3.86</v>
      </c>
      <c r="H286" s="62">
        <v>1</v>
      </c>
      <c r="I286" s="62">
        <v>0.90972222222222221</v>
      </c>
      <c r="K286" s="11">
        <f t="shared" si="14"/>
        <v>1524507.69</v>
      </c>
      <c r="N286" s="12">
        <f t="shared" si="12"/>
        <v>0.1371904761904762</v>
      </c>
      <c r="O286" s="12">
        <f t="shared" si="13"/>
        <v>0.46775518225331369</v>
      </c>
    </row>
    <row r="287" spans="1:15">
      <c r="A287" s="60">
        <v>45480</v>
      </c>
      <c r="B287">
        <f>VLOOKUP(A287,'BADI SID DATA'!A:B,2,0)</f>
        <v>98</v>
      </c>
      <c r="C287" s="11">
        <v>3765.0999999999995</v>
      </c>
      <c r="D287">
        <v>3.48</v>
      </c>
      <c r="H287" s="62">
        <v>1</v>
      </c>
      <c r="I287" s="62">
        <v>0.89583333333333326</v>
      </c>
      <c r="K287" s="11">
        <f t="shared" si="14"/>
        <v>1528272.79</v>
      </c>
      <c r="N287" s="12">
        <f t="shared" si="12"/>
        <v>0.1120565476190476</v>
      </c>
      <c r="O287" s="12">
        <f t="shared" si="13"/>
        <v>0.46412560434888245</v>
      </c>
    </row>
    <row r="288" spans="1:15">
      <c r="A288" s="60">
        <v>45481</v>
      </c>
      <c r="B288">
        <f>VLOOKUP(A288,'BADI SID DATA'!A:B,2,0)</f>
        <v>99</v>
      </c>
      <c r="C288" s="11">
        <v>3771.1000000000004</v>
      </c>
      <c r="D288">
        <v>2.7</v>
      </c>
      <c r="H288" s="62">
        <v>1</v>
      </c>
      <c r="I288" s="62">
        <v>1</v>
      </c>
      <c r="K288" s="11">
        <f t="shared" si="14"/>
        <v>1532043.8900000001</v>
      </c>
      <c r="N288" s="12">
        <f t="shared" si="12"/>
        <v>0.11223511904761906</v>
      </c>
      <c r="O288" s="12">
        <f t="shared" si="13"/>
        <v>0.46057115500240503</v>
      </c>
    </row>
    <row r="289" spans="1:15">
      <c r="A289" s="60">
        <v>45482</v>
      </c>
      <c r="B289">
        <f>VLOOKUP(A289,'BADI SID DATA'!A:B,2,0)</f>
        <v>100</v>
      </c>
      <c r="C289" s="11">
        <v>2578.2999999999997</v>
      </c>
      <c r="D289">
        <v>1.88</v>
      </c>
      <c r="H289" s="62">
        <v>1</v>
      </c>
      <c r="I289" s="62">
        <v>1</v>
      </c>
      <c r="K289" s="11">
        <f t="shared" si="14"/>
        <v>1534622.1900000002</v>
      </c>
      <c r="N289" s="12">
        <f t="shared" si="12"/>
        <v>7.6735119047619038E-2</v>
      </c>
      <c r="O289" s="12">
        <f t="shared" si="13"/>
        <v>0.45673279464285721</v>
      </c>
    </row>
    <row r="290" spans="1:15">
      <c r="A290" s="60">
        <v>45483</v>
      </c>
      <c r="B290">
        <f>VLOOKUP(A290,'BADI SID DATA'!A:B,2,0)</f>
        <v>101</v>
      </c>
      <c r="C290" s="11">
        <v>648.59999999999991</v>
      </c>
      <c r="D290">
        <v>0.51</v>
      </c>
      <c r="H290" s="62">
        <v>1</v>
      </c>
      <c r="I290" s="62">
        <v>1</v>
      </c>
      <c r="K290" s="11">
        <f t="shared" si="14"/>
        <v>1535270.7900000003</v>
      </c>
      <c r="N290" s="12">
        <f t="shared" si="12"/>
        <v>1.9303571428571427E-2</v>
      </c>
      <c r="O290" s="12">
        <f t="shared" si="13"/>
        <v>0.45240181223479498</v>
      </c>
    </row>
    <row r="291" spans="1:15">
      <c r="A291" s="60">
        <v>45484</v>
      </c>
      <c r="B291">
        <f>VLOOKUP(A291,'BADI SID DATA'!A:B,2,0)</f>
        <v>102</v>
      </c>
      <c r="C291" s="11">
        <v>4144.9000000000005</v>
      </c>
      <c r="D291">
        <v>3.08</v>
      </c>
      <c r="H291" s="62">
        <v>1</v>
      </c>
      <c r="I291" s="62">
        <v>1</v>
      </c>
      <c r="K291" s="11">
        <f t="shared" si="14"/>
        <v>1539415.6900000002</v>
      </c>
      <c r="N291" s="12">
        <f t="shared" si="12"/>
        <v>0.12336011904761907</v>
      </c>
      <c r="O291" s="12">
        <f t="shared" si="13"/>
        <v>0.44917591328197953</v>
      </c>
    </row>
    <row r="292" spans="1:15">
      <c r="A292" s="60">
        <v>45485</v>
      </c>
      <c r="B292">
        <f>VLOOKUP(A292,'BADI SID DATA'!A:B,2,0)</f>
        <v>103</v>
      </c>
      <c r="C292" s="11">
        <v>1155.8</v>
      </c>
      <c r="D292">
        <v>0.83</v>
      </c>
      <c r="H292" s="62">
        <v>1</v>
      </c>
      <c r="I292" s="62">
        <v>1</v>
      </c>
      <c r="K292" s="11">
        <f t="shared" si="14"/>
        <v>1540571.4900000002</v>
      </c>
      <c r="N292" s="12">
        <f t="shared" si="12"/>
        <v>3.4398809523809519E-2</v>
      </c>
      <c r="O292" s="12">
        <f t="shared" si="13"/>
        <v>0.44514895110957009</v>
      </c>
    </row>
    <row r="293" spans="1:15">
      <c r="A293" s="60">
        <v>45486</v>
      </c>
      <c r="B293">
        <f>VLOOKUP(A293,'BADI SID DATA'!A:B,2,0)</f>
        <v>104</v>
      </c>
      <c r="C293" s="11">
        <v>5137.8</v>
      </c>
      <c r="D293">
        <v>3.79</v>
      </c>
      <c r="H293" s="62">
        <v>1</v>
      </c>
      <c r="I293" s="62">
        <v>1</v>
      </c>
      <c r="K293" s="11">
        <f t="shared" si="14"/>
        <v>1545709.2900000003</v>
      </c>
      <c r="N293" s="12">
        <f t="shared" si="12"/>
        <v>0.15291071428571429</v>
      </c>
      <c r="O293" s="12">
        <f t="shared" si="13"/>
        <v>0.4423389680631869</v>
      </c>
    </row>
    <row r="294" spans="1:15">
      <c r="A294" s="60">
        <v>45487</v>
      </c>
      <c r="B294">
        <f>VLOOKUP(A294,'BADI SID DATA'!A:B,2,0)</f>
        <v>105</v>
      </c>
      <c r="C294" s="11">
        <v>4986.9000000000005</v>
      </c>
      <c r="D294">
        <v>3.66</v>
      </c>
      <c r="H294" s="62">
        <v>1</v>
      </c>
      <c r="I294" s="62">
        <v>1</v>
      </c>
      <c r="K294" s="11">
        <f t="shared" si="14"/>
        <v>1550696.1900000002</v>
      </c>
      <c r="N294" s="12">
        <f t="shared" si="12"/>
        <v>0.14841964285714287</v>
      </c>
      <c r="O294" s="12">
        <f t="shared" si="13"/>
        <v>0.4395397363945579</v>
      </c>
    </row>
    <row r="295" spans="1:15">
      <c r="A295" s="60">
        <v>45488</v>
      </c>
      <c r="B295">
        <f>VLOOKUP(A295,'BADI SID DATA'!A:B,2,0)</f>
        <v>106</v>
      </c>
      <c r="C295" s="11">
        <v>1299.5</v>
      </c>
      <c r="D295">
        <v>0.96</v>
      </c>
      <c r="H295" s="62">
        <v>1</v>
      </c>
      <c r="I295" s="62">
        <v>1</v>
      </c>
      <c r="K295" s="11">
        <f t="shared" si="14"/>
        <v>1551995.6900000002</v>
      </c>
      <c r="N295" s="12">
        <f t="shared" si="12"/>
        <v>3.8675595238095238E-2</v>
      </c>
      <c r="O295" s="12">
        <f t="shared" si="13"/>
        <v>0.43575799921383651</v>
      </c>
    </row>
    <row r="296" spans="1:15">
      <c r="A296" s="60">
        <v>45489</v>
      </c>
      <c r="B296">
        <f>VLOOKUP(A296,'BADI SID DATA'!A:B,2,0)</f>
        <v>107</v>
      </c>
      <c r="C296" s="11">
        <v>4577.5</v>
      </c>
      <c r="D296">
        <v>3.37</v>
      </c>
      <c r="H296" s="62">
        <v>1</v>
      </c>
      <c r="I296" s="62">
        <v>1</v>
      </c>
      <c r="K296" s="11">
        <f t="shared" si="14"/>
        <v>1556573.1900000002</v>
      </c>
      <c r="N296" s="12">
        <f t="shared" si="12"/>
        <v>0.13623511904761904</v>
      </c>
      <c r="O296" s="12">
        <f t="shared" si="13"/>
        <v>0.43295871995994667</v>
      </c>
    </row>
    <row r="297" spans="1:15">
      <c r="A297" s="60">
        <v>45490</v>
      </c>
      <c r="B297">
        <f>VLOOKUP(A297,'BADI SID DATA'!A:B,2,0)</f>
        <v>108</v>
      </c>
      <c r="C297" s="11">
        <v>1482</v>
      </c>
      <c r="D297">
        <v>1.08</v>
      </c>
      <c r="H297" s="62">
        <v>1</v>
      </c>
      <c r="I297" s="62">
        <v>1</v>
      </c>
      <c r="K297" s="11">
        <f t="shared" si="14"/>
        <v>1558055.1900000002</v>
      </c>
      <c r="N297" s="12">
        <f t="shared" si="12"/>
        <v>4.4107142857142859E-2</v>
      </c>
      <c r="O297" s="12">
        <f t="shared" si="13"/>
        <v>0.42935824239417997</v>
      </c>
    </row>
    <row r="298" spans="1:15">
      <c r="A298" s="60">
        <v>45491</v>
      </c>
      <c r="B298">
        <f>VLOOKUP(A298,'BADI SID DATA'!A:B,2,0)</f>
        <v>109</v>
      </c>
      <c r="C298" s="11">
        <v>3284.5</v>
      </c>
      <c r="D298">
        <v>2.36</v>
      </c>
      <c r="H298" s="62">
        <v>1</v>
      </c>
      <c r="I298" s="62">
        <v>1</v>
      </c>
      <c r="K298" s="11">
        <f t="shared" si="14"/>
        <v>1561339.6900000002</v>
      </c>
      <c r="N298" s="12">
        <f t="shared" si="12"/>
        <v>9.7752976190476196E-2</v>
      </c>
      <c r="O298" s="12">
        <f t="shared" si="13"/>
        <v>0.42631599224552214</v>
      </c>
    </row>
    <row r="299" spans="1:15">
      <c r="A299" s="60">
        <v>45492</v>
      </c>
      <c r="B299">
        <f>VLOOKUP(A299,'BADI SID DATA'!A:B,2,0)</f>
        <v>110</v>
      </c>
      <c r="C299" s="11">
        <v>6572.8</v>
      </c>
      <c r="D299">
        <v>4.97</v>
      </c>
      <c r="H299" s="62">
        <v>1</v>
      </c>
      <c r="I299" s="62">
        <v>1</v>
      </c>
      <c r="K299" s="11">
        <f t="shared" si="14"/>
        <v>1567912.4900000002</v>
      </c>
      <c r="N299" s="12">
        <f t="shared" si="12"/>
        <v>0.19561904761904764</v>
      </c>
      <c r="O299" s="12">
        <f t="shared" si="13"/>
        <v>0.42421874729437237</v>
      </c>
    </row>
    <row r="300" spans="1:15">
      <c r="A300" s="60">
        <v>45493</v>
      </c>
      <c r="B300">
        <f>VLOOKUP(A300,'BADI SID DATA'!A:B,2,0)</f>
        <v>111</v>
      </c>
      <c r="C300" s="11">
        <v>6160.1</v>
      </c>
      <c r="D300">
        <v>4.6900000000000004</v>
      </c>
      <c r="H300" s="62">
        <v>1</v>
      </c>
      <c r="I300" s="62">
        <v>1</v>
      </c>
      <c r="K300" s="11">
        <f t="shared" si="14"/>
        <v>1574072.5900000003</v>
      </c>
      <c r="N300" s="12">
        <f t="shared" si="12"/>
        <v>0.18333630952380953</v>
      </c>
      <c r="O300" s="12">
        <f t="shared" si="13"/>
        <v>0.42204863524238534</v>
      </c>
    </row>
    <row r="301" spans="1:15">
      <c r="A301" s="60">
        <v>45494</v>
      </c>
      <c r="B301">
        <f>VLOOKUP(A301,'BADI SID DATA'!A:B,2,0)</f>
        <v>112</v>
      </c>
      <c r="C301" s="11">
        <v>6727.2</v>
      </c>
      <c r="D301">
        <v>5.2</v>
      </c>
      <c r="H301" s="62">
        <v>1</v>
      </c>
      <c r="I301" s="62">
        <v>1</v>
      </c>
      <c r="K301" s="11">
        <f t="shared" si="14"/>
        <v>1580799.7900000003</v>
      </c>
      <c r="N301" s="12">
        <f t="shared" si="12"/>
        <v>0.20021428571428571</v>
      </c>
      <c r="O301" s="12">
        <f t="shared" si="13"/>
        <v>0.420067971407313</v>
      </c>
    </row>
    <row r="302" spans="1:15">
      <c r="A302" s="60">
        <v>45495</v>
      </c>
      <c r="B302">
        <f>VLOOKUP(A302,'BADI SID DATA'!A:B,2,0)</f>
        <v>113</v>
      </c>
      <c r="C302" s="11">
        <v>2491.1000000000004</v>
      </c>
      <c r="D302">
        <v>1.75</v>
      </c>
      <c r="H302" s="62">
        <v>1</v>
      </c>
      <c r="I302" s="62">
        <v>1</v>
      </c>
      <c r="K302" s="11">
        <f t="shared" si="14"/>
        <v>1583290.8900000004</v>
      </c>
      <c r="N302" s="12">
        <f t="shared" si="12"/>
        <v>7.4139880952380957E-2</v>
      </c>
      <c r="O302" s="12">
        <f t="shared" si="13"/>
        <v>0.41700666087231364</v>
      </c>
    </row>
    <row r="303" spans="1:15">
      <c r="A303" s="60">
        <v>45496</v>
      </c>
      <c r="B303">
        <f>VLOOKUP(A303,'BADI SID DATA'!A:B,2,0)</f>
        <v>114</v>
      </c>
      <c r="C303" s="11">
        <v>6645.0000000000009</v>
      </c>
      <c r="D303">
        <v>5.0999999999999996</v>
      </c>
      <c r="H303" s="62">
        <v>1</v>
      </c>
      <c r="I303" s="62">
        <v>1</v>
      </c>
      <c r="K303" s="11">
        <f t="shared" si="14"/>
        <v>1589935.8900000004</v>
      </c>
      <c r="N303" s="12">
        <f t="shared" si="12"/>
        <v>0.19776785714285716</v>
      </c>
      <c r="O303" s="12">
        <f t="shared" si="13"/>
        <v>0.41508351347117806</v>
      </c>
    </row>
    <row r="304" spans="1:15">
      <c r="A304" s="60">
        <v>45497</v>
      </c>
      <c r="B304">
        <f>VLOOKUP(A304,'BADI SID DATA'!A:B,2,0)</f>
        <v>115</v>
      </c>
      <c r="C304" s="11">
        <v>4874.6000000000004</v>
      </c>
      <c r="D304">
        <v>3.7</v>
      </c>
      <c r="H304" s="62">
        <v>1</v>
      </c>
      <c r="I304" s="62">
        <v>1</v>
      </c>
      <c r="K304" s="11">
        <f t="shared" si="14"/>
        <v>1594810.4900000005</v>
      </c>
      <c r="N304" s="12">
        <f t="shared" si="12"/>
        <v>0.14507738095238096</v>
      </c>
      <c r="O304" s="12">
        <f t="shared" si="13"/>
        <v>0.41273563405797115</v>
      </c>
    </row>
    <row r="305" spans="1:15">
      <c r="A305" s="60">
        <v>45498</v>
      </c>
      <c r="B305">
        <f>VLOOKUP(A305,'BADI SID DATA'!A:B,2,0)</f>
        <v>116</v>
      </c>
      <c r="C305" s="11">
        <v>3561.9999999999995</v>
      </c>
      <c r="D305">
        <v>2.58</v>
      </c>
      <c r="H305" s="62">
        <v>1</v>
      </c>
      <c r="I305" s="62">
        <v>1</v>
      </c>
      <c r="K305" s="11">
        <f t="shared" si="14"/>
        <v>1598372.4900000005</v>
      </c>
      <c r="N305" s="12">
        <f t="shared" si="12"/>
        <v>0.10601190476190475</v>
      </c>
      <c r="O305" s="12">
        <f t="shared" si="13"/>
        <v>0.41009146397783264</v>
      </c>
    </row>
    <row r="306" spans="1:15">
      <c r="A306" s="60">
        <v>45499</v>
      </c>
      <c r="B306">
        <f>VLOOKUP(A306,'BADI SID DATA'!A:B,2,0)</f>
        <v>117</v>
      </c>
      <c r="C306" s="11">
        <v>7480.4</v>
      </c>
      <c r="D306">
        <v>5.7</v>
      </c>
      <c r="H306" s="62">
        <v>1</v>
      </c>
      <c r="I306" s="62">
        <v>1</v>
      </c>
      <c r="K306" s="11">
        <f t="shared" si="14"/>
        <v>1605852.8900000004</v>
      </c>
      <c r="N306" s="12">
        <f t="shared" si="12"/>
        <v>0.22263095238095237</v>
      </c>
      <c r="O306" s="12">
        <f t="shared" si="13"/>
        <v>0.40848923738298748</v>
      </c>
    </row>
    <row r="307" spans="1:15">
      <c r="A307" s="60">
        <v>45500</v>
      </c>
      <c r="B307">
        <f>VLOOKUP(A307,'BADI SID DATA'!A:B,2,0)</f>
        <v>118</v>
      </c>
      <c r="C307" s="11">
        <v>5781.4000000000005</v>
      </c>
      <c r="D307">
        <v>4.3899999999999997</v>
      </c>
      <c r="H307" s="62">
        <v>1</v>
      </c>
      <c r="I307" s="62">
        <v>1</v>
      </c>
      <c r="K307" s="11">
        <f t="shared" si="14"/>
        <v>1611634.2900000003</v>
      </c>
      <c r="N307" s="12">
        <f t="shared" si="12"/>
        <v>0.17206547619047621</v>
      </c>
      <c r="O307" s="12">
        <f t="shared" si="13"/>
        <v>0.40648564618644073</v>
      </c>
    </row>
    <row r="308" spans="1:15">
      <c r="A308" s="60">
        <v>45501</v>
      </c>
      <c r="B308">
        <f>VLOOKUP(A308,'BADI SID DATA'!A:B,2,0)</f>
        <v>119</v>
      </c>
      <c r="C308" s="11">
        <v>6244</v>
      </c>
      <c r="D308">
        <v>4.75</v>
      </c>
      <c r="H308" s="62">
        <v>1</v>
      </c>
      <c r="I308" s="62">
        <v>1</v>
      </c>
      <c r="K308" s="11">
        <f t="shared" si="14"/>
        <v>1617878.2900000003</v>
      </c>
      <c r="N308" s="12">
        <f t="shared" si="12"/>
        <v>0.18583333333333332</v>
      </c>
      <c r="O308" s="12">
        <f t="shared" si="13"/>
        <v>0.40463142507002808</v>
      </c>
    </row>
    <row r="309" spans="1:15">
      <c r="A309" s="60">
        <v>45502</v>
      </c>
      <c r="B309">
        <f>VLOOKUP(A309,'BADI SID DATA'!A:B,2,0)</f>
        <v>120</v>
      </c>
      <c r="C309" s="11">
        <v>5680.9</v>
      </c>
      <c r="D309">
        <v>4.28</v>
      </c>
      <c r="H309" s="62">
        <v>1</v>
      </c>
      <c r="I309" s="62">
        <v>1</v>
      </c>
      <c r="K309" s="11">
        <f t="shared" si="14"/>
        <v>1623559.1900000002</v>
      </c>
      <c r="N309" s="12">
        <f t="shared" si="12"/>
        <v>0.16907440476190475</v>
      </c>
      <c r="O309" s="12">
        <f t="shared" si="13"/>
        <v>0.4026684499007937</v>
      </c>
    </row>
    <row r="310" spans="1:15">
      <c r="A310" s="60">
        <v>45503</v>
      </c>
      <c r="B310">
        <f>VLOOKUP(A310,'BADI SID DATA'!A:B,2,0)</f>
        <v>121</v>
      </c>
      <c r="C310" s="11">
        <v>1791.3000000000002</v>
      </c>
      <c r="D310">
        <v>1.27</v>
      </c>
      <c r="H310" s="62">
        <v>1</v>
      </c>
      <c r="I310" s="62">
        <v>1</v>
      </c>
      <c r="K310" s="11">
        <f t="shared" si="14"/>
        <v>1625350.4900000002</v>
      </c>
      <c r="N310" s="12">
        <f t="shared" si="12"/>
        <v>5.3312500000000006E-2</v>
      </c>
      <c r="O310" s="12">
        <f t="shared" si="13"/>
        <v>0.39978121064541522</v>
      </c>
    </row>
    <row r="311" spans="1:15">
      <c r="A311" s="60">
        <v>45504</v>
      </c>
      <c r="B311">
        <f>VLOOKUP(A311,'BADI SID DATA'!A:B,2,0)</f>
        <v>122</v>
      </c>
      <c r="C311" s="11">
        <v>1108.2</v>
      </c>
      <c r="D311">
        <v>0.8</v>
      </c>
      <c r="H311" s="62">
        <v>1</v>
      </c>
      <c r="I311" s="62">
        <v>1</v>
      </c>
      <c r="K311" s="11">
        <f t="shared" si="14"/>
        <v>1626458.6900000002</v>
      </c>
      <c r="N311" s="12">
        <f t="shared" si="12"/>
        <v>3.2982142857142856E-2</v>
      </c>
      <c r="O311" s="12">
        <f t="shared" si="13"/>
        <v>0.3967746609094458</v>
      </c>
    </row>
    <row r="312" spans="1:15">
      <c r="A312" s="60">
        <v>45505</v>
      </c>
      <c r="B312">
        <f>VLOOKUP(A312,'BADI SID DATA'!A:B,2,0)</f>
        <v>123</v>
      </c>
      <c r="C312" s="11">
        <v>6548.4000000000005</v>
      </c>
      <c r="D312">
        <v>4.93</v>
      </c>
      <c r="H312" s="62">
        <v>1</v>
      </c>
      <c r="I312" s="62">
        <v>1</v>
      </c>
      <c r="K312" s="11">
        <f t="shared" si="14"/>
        <v>1633007.09</v>
      </c>
      <c r="N312" s="12">
        <f t="shared" si="12"/>
        <v>0.19489285714285715</v>
      </c>
      <c r="O312" s="12">
        <f t="shared" si="13"/>
        <v>0.39513334543166861</v>
      </c>
    </row>
    <row r="313" spans="1:15">
      <c r="A313" s="60">
        <v>45506</v>
      </c>
      <c r="B313">
        <f>VLOOKUP(A313,'BADI SID DATA'!A:B,2,0)</f>
        <v>124</v>
      </c>
      <c r="C313" s="11">
        <v>5908.0999999999995</v>
      </c>
      <c r="D313">
        <v>4.5199999999999996</v>
      </c>
      <c r="H313" s="62">
        <v>1</v>
      </c>
      <c r="I313" s="62">
        <v>1</v>
      </c>
      <c r="K313" s="11">
        <f t="shared" si="14"/>
        <v>1638915.1900000002</v>
      </c>
      <c r="N313" s="12">
        <f t="shared" si="12"/>
        <v>0.17583630952380952</v>
      </c>
      <c r="O313" s="12">
        <f t="shared" si="13"/>
        <v>0.39336482094854075</v>
      </c>
    </row>
    <row r="314" spans="1:15">
      <c r="A314" s="60">
        <v>45507</v>
      </c>
      <c r="B314">
        <f>VLOOKUP(A314,'BADI SID DATA'!A:B,2,0)</f>
        <v>125</v>
      </c>
      <c r="C314" s="11">
        <v>5667.3499999999995</v>
      </c>
      <c r="D314">
        <v>4.26</v>
      </c>
      <c r="H314" s="62">
        <v>1</v>
      </c>
      <c r="I314" s="62">
        <v>1</v>
      </c>
      <c r="K314" s="11">
        <f t="shared" si="14"/>
        <v>1644582.5400000003</v>
      </c>
      <c r="N314" s="12">
        <f t="shared" si="12"/>
        <v>0.16867113095238093</v>
      </c>
      <c r="O314" s="12">
        <f t="shared" si="13"/>
        <v>0.39156727142857151</v>
      </c>
    </row>
    <row r="315" spans="1:15">
      <c r="A315" s="60">
        <v>45508</v>
      </c>
      <c r="B315">
        <f>VLOOKUP(A315,'BADI SID DATA'!A:B,2,0)</f>
        <v>126</v>
      </c>
      <c r="C315" s="11">
        <v>5359.7</v>
      </c>
      <c r="D315">
        <v>3.91</v>
      </c>
      <c r="H315" s="62">
        <v>1</v>
      </c>
      <c r="I315" s="62">
        <v>1</v>
      </c>
      <c r="K315" s="11">
        <f t="shared" si="14"/>
        <v>1649942.2400000002</v>
      </c>
      <c r="N315" s="12">
        <f t="shared" si="12"/>
        <v>0.15951488095238095</v>
      </c>
      <c r="O315" s="12">
        <f t="shared" si="13"/>
        <v>0.38972558578987154</v>
      </c>
    </row>
    <row r="316" spans="1:15">
      <c r="A316" s="60">
        <v>45509</v>
      </c>
      <c r="B316">
        <f>VLOOKUP(A316,'BADI SID DATA'!A:B,2,0)</f>
        <v>127</v>
      </c>
      <c r="C316" s="11">
        <v>4582.4000000000005</v>
      </c>
      <c r="D316">
        <v>3.37</v>
      </c>
      <c r="H316" s="62">
        <v>1</v>
      </c>
      <c r="I316" s="62">
        <v>1</v>
      </c>
      <c r="K316" s="11">
        <f t="shared" si="14"/>
        <v>1654524.6400000001</v>
      </c>
      <c r="N316" s="12">
        <f t="shared" si="12"/>
        <v>0.13638095238095241</v>
      </c>
      <c r="O316" s="12">
        <f t="shared" si="13"/>
        <v>0.38773074615673042</v>
      </c>
    </row>
    <row r="317" spans="1:15">
      <c r="A317" s="60">
        <v>45510</v>
      </c>
      <c r="B317">
        <f>VLOOKUP(A317,'BADI SID DATA'!A:B,2,0)</f>
        <v>128</v>
      </c>
      <c r="C317" s="11">
        <v>2566.2999999999997</v>
      </c>
      <c r="D317">
        <v>1.79</v>
      </c>
      <c r="H317" s="62">
        <v>1</v>
      </c>
      <c r="I317" s="62">
        <v>1</v>
      </c>
      <c r="K317" s="11">
        <f t="shared" si="14"/>
        <v>1657090.9400000002</v>
      </c>
      <c r="N317" s="12">
        <f t="shared" si="12"/>
        <v>7.6377976190476177E-2</v>
      </c>
      <c r="O317" s="12">
        <f t="shared" si="13"/>
        <v>0.38529830264136911</v>
      </c>
    </row>
    <row r="318" spans="1:15">
      <c r="A318" s="60">
        <v>45511</v>
      </c>
      <c r="B318">
        <f>VLOOKUP(A318,'BADI SID DATA'!A:B,2,0)</f>
        <v>129</v>
      </c>
      <c r="C318" s="11">
        <v>3211.4</v>
      </c>
      <c r="D318">
        <v>2.27</v>
      </c>
      <c r="H318" s="62">
        <v>1</v>
      </c>
      <c r="I318" s="62">
        <v>1</v>
      </c>
      <c r="K318" s="11">
        <f t="shared" si="14"/>
        <v>1660302.34</v>
      </c>
      <c r="N318" s="12">
        <f t="shared" si="12"/>
        <v>9.5577380952380955E-2</v>
      </c>
      <c r="O318" s="12">
        <f t="shared" si="13"/>
        <v>0.38305240402362495</v>
      </c>
    </row>
    <row r="319" spans="1:15">
      <c r="A319" s="60">
        <v>45512</v>
      </c>
      <c r="B319">
        <f>VLOOKUP(A319,'BADI SID DATA'!A:B,2,0)</f>
        <v>130</v>
      </c>
      <c r="C319" s="11">
        <v>4497.7000000000007</v>
      </c>
      <c r="D319">
        <v>2.25</v>
      </c>
      <c r="H319" s="62">
        <v>1</v>
      </c>
      <c r="I319" s="62">
        <v>0.89583333333333337</v>
      </c>
      <c r="K319" s="11">
        <f t="shared" si="14"/>
        <v>1664800.04</v>
      </c>
      <c r="N319" s="12">
        <f t="shared" si="12"/>
        <v>0.13386011904761907</v>
      </c>
      <c r="O319" s="12">
        <f t="shared" si="13"/>
        <v>0.38113554029304031</v>
      </c>
    </row>
    <row r="320" spans="1:15">
      <c r="A320" s="60">
        <v>45513</v>
      </c>
      <c r="B320">
        <f>VLOOKUP(A320,'BADI SID DATA'!A:B,2,0)</f>
        <v>131</v>
      </c>
      <c r="C320" s="11">
        <v>6212.6</v>
      </c>
      <c r="D320">
        <v>4.63</v>
      </c>
      <c r="H320" s="62">
        <v>1</v>
      </c>
      <c r="I320" s="62">
        <v>1</v>
      </c>
      <c r="K320" s="11">
        <f t="shared" si="14"/>
        <v>1671012.6400000001</v>
      </c>
      <c r="N320" s="12">
        <f t="shared" si="12"/>
        <v>0.18489880952380952</v>
      </c>
      <c r="O320" s="12">
        <f t="shared" si="13"/>
        <v>0.37963754998182481</v>
      </c>
    </row>
    <row r="321" spans="1:15">
      <c r="A321" s="60">
        <v>45514</v>
      </c>
      <c r="B321">
        <f>VLOOKUP(A321,'BADI SID DATA'!A:B,2,0)</f>
        <v>132</v>
      </c>
      <c r="C321" s="11">
        <v>2251.6999999999998</v>
      </c>
      <c r="D321">
        <v>2.4500000000000002</v>
      </c>
      <c r="H321" s="62">
        <v>1</v>
      </c>
      <c r="I321" s="62">
        <v>0.875</v>
      </c>
      <c r="K321" s="11">
        <f t="shared" si="14"/>
        <v>1673264.34</v>
      </c>
      <c r="N321" s="12">
        <f t="shared" si="12"/>
        <v>6.7014880952380951E-2</v>
      </c>
      <c r="O321" s="12">
        <f t="shared" si="13"/>
        <v>0.37726919642857143</v>
      </c>
    </row>
    <row r="322" spans="1:15">
      <c r="A322" s="60">
        <v>45515</v>
      </c>
      <c r="B322">
        <f>VLOOKUP(A322,'BADI SID DATA'!A:B,2,0)</f>
        <v>133</v>
      </c>
      <c r="C322" s="11">
        <v>7182.9999999999991</v>
      </c>
      <c r="D322">
        <v>5.67</v>
      </c>
      <c r="H322" s="62">
        <v>1</v>
      </c>
      <c r="I322" s="62">
        <v>1</v>
      </c>
      <c r="K322" s="11">
        <f t="shared" si="14"/>
        <v>1680447.34</v>
      </c>
      <c r="N322" s="12">
        <f t="shared" si="12"/>
        <v>0.21377976190476189</v>
      </c>
      <c r="O322" s="12">
        <f t="shared" si="13"/>
        <v>0.37603995255997136</v>
      </c>
    </row>
    <row r="323" spans="1:15">
      <c r="A323" s="60">
        <v>45516</v>
      </c>
      <c r="B323">
        <f>VLOOKUP(A323,'BADI SID DATA'!A:B,2,0)</f>
        <v>134</v>
      </c>
      <c r="C323" s="11">
        <v>7289.9</v>
      </c>
      <c r="D323">
        <v>5.58</v>
      </c>
      <c r="H323" s="62">
        <v>1</v>
      </c>
      <c r="I323" s="62">
        <v>1</v>
      </c>
      <c r="K323" s="11">
        <f t="shared" si="14"/>
        <v>1687737.24</v>
      </c>
      <c r="N323" s="12">
        <f t="shared" ref="N323:N386" si="15">C323/(1400*24)</f>
        <v>0.21696130952380951</v>
      </c>
      <c r="O323" s="12">
        <f t="shared" ref="O323:O386" si="16">K323/(B323*1400*24)</f>
        <v>0.37485279850746267</v>
      </c>
    </row>
    <row r="324" spans="1:15">
      <c r="A324" s="60">
        <v>45517</v>
      </c>
      <c r="B324">
        <f>VLOOKUP(A324,'BADI SID DATA'!A:B,2,0)</f>
        <v>135</v>
      </c>
      <c r="C324" s="11">
        <v>6601.1000000000013</v>
      </c>
      <c r="D324">
        <v>4.9800000000000004</v>
      </c>
      <c r="H324" s="62">
        <v>1</v>
      </c>
      <c r="I324" s="62">
        <v>1</v>
      </c>
      <c r="K324" s="11">
        <f t="shared" ref="K324:K367" si="17">K323+C324</f>
        <v>1694338.34</v>
      </c>
      <c r="N324" s="12">
        <f t="shared" si="15"/>
        <v>0.19646130952380955</v>
      </c>
      <c r="O324" s="12">
        <f t="shared" si="16"/>
        <v>0.37353138007054676</v>
      </c>
    </row>
    <row r="325" spans="1:15">
      <c r="A325" s="60">
        <v>45518</v>
      </c>
      <c r="B325">
        <f>VLOOKUP(A325,'BADI SID DATA'!A:B,2,0)</f>
        <v>136</v>
      </c>
      <c r="C325" s="11">
        <v>433.29999999999995</v>
      </c>
      <c r="D325">
        <v>0.37</v>
      </c>
      <c r="H325" s="62">
        <v>1</v>
      </c>
      <c r="I325" s="62">
        <v>1</v>
      </c>
      <c r="K325" s="11">
        <f t="shared" si="17"/>
        <v>1694771.6400000001</v>
      </c>
      <c r="N325" s="12">
        <f t="shared" si="15"/>
        <v>1.2895833333333332E-2</v>
      </c>
      <c r="O325" s="12">
        <f t="shared" si="16"/>
        <v>0.37087964810924373</v>
      </c>
    </row>
    <row r="326" spans="1:15">
      <c r="A326" s="60">
        <v>45519</v>
      </c>
      <c r="B326">
        <f>VLOOKUP(A326,'BADI SID DATA'!A:B,2,0)</f>
        <v>137</v>
      </c>
      <c r="C326" s="11">
        <v>778.30000000000007</v>
      </c>
      <c r="D326">
        <v>0.57999999999999996</v>
      </c>
      <c r="H326" s="62">
        <v>1</v>
      </c>
      <c r="I326" s="62">
        <v>1</v>
      </c>
      <c r="K326" s="11">
        <f t="shared" si="17"/>
        <v>1695549.9400000002</v>
      </c>
      <c r="N326" s="12">
        <f t="shared" si="15"/>
        <v>2.3163690476190477E-2</v>
      </c>
      <c r="O326" s="12">
        <f t="shared" si="16"/>
        <v>0.36834157542579077</v>
      </c>
    </row>
    <row r="327" spans="1:15">
      <c r="A327" s="60">
        <v>45520</v>
      </c>
      <c r="B327">
        <f>VLOOKUP(A327,'BADI SID DATA'!A:B,2,0)</f>
        <v>138</v>
      </c>
      <c r="C327" s="11">
        <v>3024.8999999999996</v>
      </c>
      <c r="D327">
        <v>2.13</v>
      </c>
      <c r="H327" s="62">
        <v>1</v>
      </c>
      <c r="I327" s="62">
        <v>1</v>
      </c>
      <c r="K327" s="11">
        <f t="shared" si="17"/>
        <v>1698574.84</v>
      </c>
      <c r="N327" s="12">
        <f t="shared" si="15"/>
        <v>9.0026785714285698E-2</v>
      </c>
      <c r="O327" s="12">
        <f t="shared" si="16"/>
        <v>0.36632480158730163</v>
      </c>
    </row>
    <row r="328" spans="1:15">
      <c r="A328" s="60">
        <v>45521</v>
      </c>
      <c r="B328">
        <f>VLOOKUP(A328,'BADI SID DATA'!A:B,2,0)</f>
        <v>139</v>
      </c>
      <c r="C328" s="11">
        <v>2186.5</v>
      </c>
      <c r="D328">
        <v>1.55</v>
      </c>
      <c r="H328" s="62">
        <v>1</v>
      </c>
      <c r="I328" s="62">
        <v>1</v>
      </c>
      <c r="K328" s="11">
        <f t="shared" si="17"/>
        <v>1700761.34</v>
      </c>
      <c r="N328" s="12">
        <f t="shared" si="15"/>
        <v>6.5074404761904764E-2</v>
      </c>
      <c r="O328" s="12">
        <f t="shared" si="16"/>
        <v>0.36415753254539229</v>
      </c>
    </row>
    <row r="329" spans="1:15">
      <c r="A329" s="60">
        <v>45522</v>
      </c>
      <c r="B329">
        <f>VLOOKUP(A329,'BADI SID DATA'!A:B,2,0)</f>
        <v>140</v>
      </c>
      <c r="C329" s="11">
        <v>4471.3999999999996</v>
      </c>
      <c r="D329">
        <v>3.32</v>
      </c>
      <c r="H329" s="62">
        <v>1</v>
      </c>
      <c r="I329" s="62">
        <v>1</v>
      </c>
      <c r="K329" s="11">
        <f t="shared" si="17"/>
        <v>1705232.74</v>
      </c>
      <c r="N329" s="12">
        <f t="shared" si="15"/>
        <v>0.13307738095238095</v>
      </c>
      <c r="O329" s="12">
        <f t="shared" si="16"/>
        <v>0.36250696003401361</v>
      </c>
    </row>
    <row r="330" spans="1:15">
      <c r="A330" s="60">
        <v>45523</v>
      </c>
      <c r="B330">
        <f>VLOOKUP(A330,'BADI SID DATA'!A:B,2,0)</f>
        <v>141</v>
      </c>
      <c r="C330" s="11">
        <v>6254.9</v>
      </c>
      <c r="D330">
        <v>4.6100000000000003</v>
      </c>
      <c r="H330" s="62">
        <v>1</v>
      </c>
      <c r="I330" s="62">
        <v>1</v>
      </c>
      <c r="K330" s="11">
        <f t="shared" si="17"/>
        <v>1711487.64</v>
      </c>
      <c r="N330" s="12">
        <f t="shared" si="15"/>
        <v>0.18615773809523808</v>
      </c>
      <c r="O330" s="12">
        <f t="shared" si="16"/>
        <v>0.36125625633232011</v>
      </c>
    </row>
    <row r="331" spans="1:15">
      <c r="A331" s="60">
        <v>45524</v>
      </c>
      <c r="B331">
        <f>VLOOKUP(A331,'BADI SID DATA'!A:B,2,0)</f>
        <v>142</v>
      </c>
      <c r="C331" s="11">
        <v>5851.0999999999995</v>
      </c>
      <c r="D331">
        <v>4.3899999999999997</v>
      </c>
      <c r="H331" s="62">
        <v>1</v>
      </c>
      <c r="I331" s="62">
        <v>1</v>
      </c>
      <c r="K331" s="11">
        <f t="shared" si="17"/>
        <v>1717338.74</v>
      </c>
      <c r="N331" s="12">
        <f t="shared" si="15"/>
        <v>0.17413988095238095</v>
      </c>
      <c r="O331" s="12">
        <f t="shared" si="16"/>
        <v>0.35993853537894033</v>
      </c>
    </row>
    <row r="332" spans="1:15">
      <c r="A332" s="60">
        <v>45525</v>
      </c>
      <c r="B332">
        <f>VLOOKUP(A332,'BADI SID DATA'!A:B,2,0)</f>
        <v>143</v>
      </c>
      <c r="C332" s="11">
        <v>669.7</v>
      </c>
      <c r="D332">
        <v>0.52</v>
      </c>
      <c r="H332" s="62">
        <v>1</v>
      </c>
      <c r="I332" s="62">
        <v>1</v>
      </c>
      <c r="K332" s="11">
        <f t="shared" si="17"/>
        <v>1718008.44</v>
      </c>
      <c r="N332" s="12">
        <f t="shared" si="15"/>
        <v>1.993154761904762E-2</v>
      </c>
      <c r="O332" s="12">
        <f t="shared" si="16"/>
        <v>0.35756086413586413</v>
      </c>
    </row>
    <row r="333" spans="1:15">
      <c r="A333" s="60">
        <v>45526</v>
      </c>
      <c r="B333">
        <f>VLOOKUP(A333,'BADI SID DATA'!A:B,2,0)</f>
        <v>144</v>
      </c>
      <c r="C333" s="11">
        <v>7629.2999999999993</v>
      </c>
      <c r="D333">
        <v>5.76</v>
      </c>
      <c r="H333" s="62">
        <v>1</v>
      </c>
      <c r="I333" s="62">
        <v>1</v>
      </c>
      <c r="K333" s="11">
        <f t="shared" si="17"/>
        <v>1725637.74</v>
      </c>
      <c r="N333" s="12">
        <f t="shared" si="15"/>
        <v>0.22706249999999997</v>
      </c>
      <c r="O333" s="12">
        <f t="shared" si="16"/>
        <v>0.35665462549603172</v>
      </c>
    </row>
    <row r="334" spans="1:15">
      <c r="A334" s="60">
        <v>45527</v>
      </c>
      <c r="B334">
        <f>VLOOKUP(A334,'BADI SID DATA'!A:B,2,0)</f>
        <v>145</v>
      </c>
      <c r="C334" s="11">
        <v>7614.1</v>
      </c>
      <c r="D334">
        <v>5.63</v>
      </c>
      <c r="H334" s="62">
        <v>1</v>
      </c>
      <c r="I334" s="62">
        <v>1</v>
      </c>
      <c r="K334" s="11">
        <f t="shared" si="17"/>
        <v>1733251.84</v>
      </c>
      <c r="N334" s="12">
        <f t="shared" si="15"/>
        <v>0.22661011904761905</v>
      </c>
      <c r="O334" s="12">
        <f t="shared" si="16"/>
        <v>0.35575776683087029</v>
      </c>
    </row>
    <row r="335" spans="1:15">
      <c r="A335" s="60">
        <v>45528</v>
      </c>
      <c r="B335">
        <f>VLOOKUP(A335,'BADI SID DATA'!A:B,2,0)</f>
        <v>146</v>
      </c>
      <c r="C335" s="11">
        <v>7170.9</v>
      </c>
      <c r="D335">
        <v>5.46</v>
      </c>
      <c r="H335" s="62">
        <v>1</v>
      </c>
      <c r="I335" s="62">
        <v>1</v>
      </c>
      <c r="K335" s="11">
        <f t="shared" si="17"/>
        <v>1740422.74</v>
      </c>
      <c r="N335" s="12">
        <f t="shared" si="15"/>
        <v>0.21341964285714285</v>
      </c>
      <c r="O335" s="12">
        <f t="shared" si="16"/>
        <v>0.35478284817351596</v>
      </c>
    </row>
    <row r="336" spans="1:15">
      <c r="A336" s="60">
        <v>45529</v>
      </c>
      <c r="B336">
        <f>VLOOKUP(A336,'BADI SID DATA'!A:B,2,0)</f>
        <v>147</v>
      </c>
      <c r="C336" s="11">
        <v>6450.5</v>
      </c>
      <c r="D336">
        <v>4.8899999999999997</v>
      </c>
      <c r="H336" s="62">
        <v>1</v>
      </c>
      <c r="I336" s="62">
        <v>1</v>
      </c>
      <c r="K336" s="11">
        <f t="shared" si="17"/>
        <v>1746873.24</v>
      </c>
      <c r="N336" s="12">
        <f t="shared" si="15"/>
        <v>0.19197916666666667</v>
      </c>
      <c r="O336" s="12">
        <f t="shared" si="16"/>
        <v>0.35367534013605439</v>
      </c>
    </row>
    <row r="337" spans="1:15">
      <c r="A337" s="60">
        <v>45530</v>
      </c>
      <c r="B337">
        <f>VLOOKUP(A337,'BADI SID DATA'!A:B,2,0)</f>
        <v>148</v>
      </c>
      <c r="C337" s="11">
        <v>8156.7999999999993</v>
      </c>
      <c r="D337">
        <v>6.3</v>
      </c>
      <c r="H337" s="62">
        <v>1</v>
      </c>
      <c r="I337" s="62">
        <v>1</v>
      </c>
      <c r="K337" s="11">
        <f t="shared" si="17"/>
        <v>1755030.04</v>
      </c>
      <c r="N337" s="12">
        <f t="shared" si="15"/>
        <v>0.24276190476190473</v>
      </c>
      <c r="O337" s="12">
        <f t="shared" si="16"/>
        <v>0.35292592503217501</v>
      </c>
    </row>
    <row r="338" spans="1:15">
      <c r="A338" s="60">
        <v>45531</v>
      </c>
      <c r="B338">
        <f>VLOOKUP(A338,'BADI SID DATA'!A:B,2,0)</f>
        <v>149</v>
      </c>
      <c r="C338" s="11">
        <v>7804.9000000000005</v>
      </c>
      <c r="D338">
        <v>5.99</v>
      </c>
      <c r="H338" s="62">
        <v>1</v>
      </c>
      <c r="I338" s="62">
        <v>1</v>
      </c>
      <c r="K338" s="11">
        <f t="shared" si="17"/>
        <v>1762834.94</v>
      </c>
      <c r="N338" s="12">
        <f t="shared" si="15"/>
        <v>0.2322886904761905</v>
      </c>
      <c r="O338" s="12">
        <f t="shared" si="16"/>
        <v>0.35211627916267174</v>
      </c>
    </row>
    <row r="339" spans="1:15">
      <c r="A339" s="60">
        <v>45532</v>
      </c>
      <c r="B339">
        <f>VLOOKUP(A339,'BADI SID DATA'!A:B,2,0)</f>
        <v>150</v>
      </c>
      <c r="C339" s="11">
        <v>7255.6</v>
      </c>
      <c r="D339">
        <v>5.75</v>
      </c>
      <c r="H339" s="62">
        <v>1</v>
      </c>
      <c r="I339" s="62">
        <v>1</v>
      </c>
      <c r="K339" s="11">
        <f t="shared" si="17"/>
        <v>1770090.54</v>
      </c>
      <c r="N339" s="12">
        <f t="shared" si="15"/>
        <v>0.21594047619047621</v>
      </c>
      <c r="O339" s="12">
        <f t="shared" si="16"/>
        <v>0.35120844047619049</v>
      </c>
    </row>
    <row r="340" spans="1:15">
      <c r="A340" s="60">
        <v>45533</v>
      </c>
      <c r="B340">
        <f>VLOOKUP(A340,'BADI SID DATA'!A:B,2,0)</f>
        <v>151</v>
      </c>
      <c r="C340" s="11">
        <v>6390.9</v>
      </c>
      <c r="D340">
        <v>4.8499999999999996</v>
      </c>
      <c r="H340" s="62">
        <v>1</v>
      </c>
      <c r="I340" s="62">
        <v>1</v>
      </c>
      <c r="K340" s="11">
        <f t="shared" si="17"/>
        <v>1776481.44</v>
      </c>
      <c r="N340" s="12">
        <f t="shared" si="15"/>
        <v>0.19020535714285713</v>
      </c>
      <c r="O340" s="12">
        <f t="shared" si="16"/>
        <v>0.35014219489120152</v>
      </c>
    </row>
    <row r="341" spans="1:15">
      <c r="A341" s="60">
        <v>45534</v>
      </c>
      <c r="B341">
        <f>VLOOKUP(A341,'BADI SID DATA'!A:B,2,0)</f>
        <v>152</v>
      </c>
      <c r="C341" s="11">
        <v>7230.2</v>
      </c>
      <c r="D341">
        <v>5.51</v>
      </c>
      <c r="H341" s="62">
        <v>1</v>
      </c>
      <c r="I341" s="62">
        <v>1</v>
      </c>
      <c r="K341" s="11">
        <f t="shared" si="17"/>
        <v>1783711.64</v>
      </c>
      <c r="N341" s="12">
        <f t="shared" si="15"/>
        <v>0.2151845238095238</v>
      </c>
      <c r="O341" s="12">
        <f t="shared" si="16"/>
        <v>0.34925431547619046</v>
      </c>
    </row>
    <row r="342" spans="1:15">
      <c r="A342" s="60">
        <v>45535</v>
      </c>
      <c r="B342">
        <f>VLOOKUP(A342,'BADI SID DATA'!A:B,2,0)</f>
        <v>153</v>
      </c>
      <c r="C342" s="11">
        <v>7190.6</v>
      </c>
      <c r="D342">
        <v>5.53</v>
      </c>
      <c r="H342" s="62">
        <v>1</v>
      </c>
      <c r="I342" s="62">
        <v>1</v>
      </c>
      <c r="K342" s="11">
        <f t="shared" si="17"/>
        <v>1790902.24</v>
      </c>
      <c r="N342" s="12">
        <f t="shared" si="15"/>
        <v>0.21400595238095238</v>
      </c>
      <c r="O342" s="12">
        <f t="shared" si="16"/>
        <v>0.34837033924680982</v>
      </c>
    </row>
    <row r="343" spans="1:15">
      <c r="A343" s="60">
        <v>45536</v>
      </c>
      <c r="B343">
        <f>VLOOKUP(A343,'BADI SID DATA'!A:B,2,0)</f>
        <v>154</v>
      </c>
      <c r="C343" s="11">
        <v>4300.2</v>
      </c>
      <c r="D343">
        <v>3.02</v>
      </c>
      <c r="H343" s="62">
        <v>1</v>
      </c>
      <c r="I343" s="62">
        <v>1</v>
      </c>
      <c r="K343" s="11">
        <f t="shared" si="17"/>
        <v>1795202.44</v>
      </c>
      <c r="N343" s="12">
        <f t="shared" si="15"/>
        <v>0.12798214285714285</v>
      </c>
      <c r="O343" s="12">
        <f t="shared" si="16"/>
        <v>0.34693924706246132</v>
      </c>
    </row>
    <row r="344" spans="1:15">
      <c r="A344" s="60">
        <v>45537</v>
      </c>
      <c r="B344">
        <f>VLOOKUP(A344,'BADI SID DATA'!A:B,2,0)</f>
        <v>155</v>
      </c>
      <c r="C344" s="11">
        <v>6579.4000000000005</v>
      </c>
      <c r="D344">
        <v>5.04</v>
      </c>
      <c r="H344" s="62">
        <v>1</v>
      </c>
      <c r="I344" s="62">
        <v>1</v>
      </c>
      <c r="K344" s="11">
        <f t="shared" si="17"/>
        <v>1801781.8399999999</v>
      </c>
      <c r="N344" s="12">
        <f t="shared" si="15"/>
        <v>0.19581547619047621</v>
      </c>
      <c r="O344" s="12">
        <f t="shared" si="16"/>
        <v>0.34596425499231948</v>
      </c>
    </row>
    <row r="345" spans="1:15">
      <c r="A345" s="60">
        <v>45538</v>
      </c>
      <c r="B345">
        <f>VLOOKUP(A345,'BADI SID DATA'!A:B,2,0)</f>
        <v>156</v>
      </c>
      <c r="C345" s="11">
        <v>7256.4</v>
      </c>
      <c r="D345">
        <v>5.54</v>
      </c>
      <c r="H345" s="62">
        <v>1</v>
      </c>
      <c r="I345" s="62">
        <v>1</v>
      </c>
      <c r="K345" s="11">
        <f t="shared" si="17"/>
        <v>1809038.2399999998</v>
      </c>
      <c r="N345" s="12">
        <f t="shared" si="15"/>
        <v>0.21596428571428569</v>
      </c>
      <c r="O345" s="12">
        <f t="shared" si="16"/>
        <v>0.34513092185592181</v>
      </c>
    </row>
    <row r="346" spans="1:15">
      <c r="A346" s="60">
        <v>45539</v>
      </c>
      <c r="B346">
        <f>VLOOKUP(A346,'BADI SID DATA'!A:B,2,0)</f>
        <v>157</v>
      </c>
      <c r="C346" s="11">
        <v>7580.5</v>
      </c>
      <c r="D346">
        <v>5.99</v>
      </c>
      <c r="H346" s="62">
        <v>1</v>
      </c>
      <c r="I346" s="62">
        <v>1</v>
      </c>
      <c r="K346" s="11">
        <f t="shared" si="17"/>
        <v>1816618.7399999998</v>
      </c>
      <c r="N346" s="12">
        <f t="shared" si="15"/>
        <v>0.22561011904761905</v>
      </c>
      <c r="O346" s="12">
        <f t="shared" si="16"/>
        <v>0.34436964285714283</v>
      </c>
    </row>
    <row r="347" spans="1:15">
      <c r="A347" s="60">
        <v>45540</v>
      </c>
      <c r="B347">
        <f>VLOOKUP(A347,'BADI SID DATA'!A:B,2,0)</f>
        <v>158</v>
      </c>
      <c r="C347" s="11">
        <v>7947.9</v>
      </c>
      <c r="D347">
        <v>6.16</v>
      </c>
      <c r="H347" s="62">
        <v>1</v>
      </c>
      <c r="I347" s="62">
        <v>1</v>
      </c>
      <c r="K347" s="11">
        <f t="shared" si="17"/>
        <v>1824566.6399999997</v>
      </c>
      <c r="N347" s="12">
        <f t="shared" si="15"/>
        <v>0.23654464285714286</v>
      </c>
      <c r="O347" s="12">
        <f t="shared" si="16"/>
        <v>0.34368720614828202</v>
      </c>
    </row>
    <row r="348" spans="1:15">
      <c r="A348" s="60">
        <v>45541</v>
      </c>
      <c r="B348">
        <f>VLOOKUP(A348,'BADI SID DATA'!A:B,2,0)</f>
        <v>159</v>
      </c>
      <c r="C348" s="11">
        <v>7583.6</v>
      </c>
      <c r="D348">
        <v>5.77</v>
      </c>
      <c r="H348" s="62">
        <v>1</v>
      </c>
      <c r="I348" s="62">
        <v>1</v>
      </c>
      <c r="K348" s="11">
        <f t="shared" si="17"/>
        <v>1832150.2399999998</v>
      </c>
      <c r="N348" s="12">
        <f t="shared" si="15"/>
        <v>0.22570238095238096</v>
      </c>
      <c r="O348" s="12">
        <f t="shared" si="16"/>
        <v>0.34294516322252167</v>
      </c>
    </row>
    <row r="349" spans="1:15">
      <c r="A349" s="60">
        <v>45542</v>
      </c>
      <c r="B349">
        <f>VLOOKUP(A349,'BADI SID DATA'!A:B,2,0)</f>
        <v>160</v>
      </c>
      <c r="C349" s="11">
        <v>5851.9000000000005</v>
      </c>
      <c r="D349">
        <v>4.37</v>
      </c>
      <c r="H349" s="62">
        <v>1</v>
      </c>
      <c r="I349" s="62">
        <v>1</v>
      </c>
      <c r="K349" s="11">
        <f t="shared" si="17"/>
        <v>1838002.1399999997</v>
      </c>
      <c r="N349" s="12">
        <f t="shared" si="15"/>
        <v>0.17416369047619049</v>
      </c>
      <c r="O349" s="12">
        <f t="shared" si="16"/>
        <v>0.34189027901785707</v>
      </c>
    </row>
    <row r="350" spans="1:15">
      <c r="A350" s="60">
        <v>45543</v>
      </c>
      <c r="B350">
        <f>VLOOKUP(A350,'BADI SID DATA'!A:B,2,0)</f>
        <v>161</v>
      </c>
      <c r="C350" s="11">
        <v>6320</v>
      </c>
      <c r="D350">
        <v>4.83</v>
      </c>
      <c r="H350" s="62">
        <v>1</v>
      </c>
      <c r="I350" s="62">
        <v>1</v>
      </c>
      <c r="K350" s="11">
        <f t="shared" si="17"/>
        <v>1844322.1399999997</v>
      </c>
      <c r="N350" s="12">
        <f t="shared" si="15"/>
        <v>0.18809523809523809</v>
      </c>
      <c r="O350" s="12">
        <f t="shared" si="16"/>
        <v>0.34093503031647437</v>
      </c>
    </row>
    <row r="351" spans="1:15">
      <c r="A351" s="60">
        <v>45544</v>
      </c>
      <c r="B351">
        <f>VLOOKUP(A351,'BADI SID DATA'!A:B,2,0)</f>
        <v>162</v>
      </c>
      <c r="C351" s="11">
        <v>6646.1</v>
      </c>
      <c r="D351">
        <v>5.05</v>
      </c>
      <c r="H351" s="62">
        <v>1</v>
      </c>
      <c r="I351" s="62">
        <v>1</v>
      </c>
      <c r="K351" s="11">
        <f t="shared" si="17"/>
        <v>1850968.2399999998</v>
      </c>
      <c r="N351" s="12">
        <f t="shared" si="15"/>
        <v>0.19780059523809526</v>
      </c>
      <c r="O351" s="12">
        <f t="shared" si="16"/>
        <v>0.34005148442092881</v>
      </c>
    </row>
    <row r="352" spans="1:15">
      <c r="A352" s="60">
        <v>45545</v>
      </c>
      <c r="B352">
        <f>VLOOKUP(A352,'BADI SID DATA'!A:B,2,0)</f>
        <v>163</v>
      </c>
      <c r="C352" s="11">
        <v>7209</v>
      </c>
      <c r="D352">
        <v>5.75</v>
      </c>
      <c r="H352" s="62">
        <v>1</v>
      </c>
      <c r="I352" s="62">
        <v>0.95972222222222214</v>
      </c>
      <c r="K352" s="11">
        <f t="shared" si="17"/>
        <v>1858177.2399999998</v>
      </c>
      <c r="N352" s="12">
        <f t="shared" si="15"/>
        <v>0.21455357142857143</v>
      </c>
      <c r="O352" s="12">
        <f t="shared" si="16"/>
        <v>0.33928155857434994</v>
      </c>
    </row>
    <row r="353" spans="1:15">
      <c r="A353" s="60">
        <v>45546</v>
      </c>
      <c r="B353">
        <f>VLOOKUP(A353,'BADI SID DATA'!A:B,2,0)</f>
        <v>164</v>
      </c>
      <c r="C353" s="11">
        <v>7749.2000000000007</v>
      </c>
      <c r="D353">
        <v>6.11</v>
      </c>
      <c r="H353" s="62">
        <v>1</v>
      </c>
      <c r="I353" s="62">
        <v>1</v>
      </c>
      <c r="K353" s="11">
        <f t="shared" si="17"/>
        <v>1865926.4399999997</v>
      </c>
      <c r="N353" s="12">
        <f t="shared" si="15"/>
        <v>0.23063095238095241</v>
      </c>
      <c r="O353" s="12">
        <f t="shared" si="16"/>
        <v>0.33861905487804872</v>
      </c>
    </row>
    <row r="354" spans="1:15">
      <c r="A354" s="60">
        <v>45547</v>
      </c>
      <c r="B354">
        <f>VLOOKUP(A354,'BADI SID DATA'!A:B,2,0)</f>
        <v>165</v>
      </c>
      <c r="C354" s="11">
        <v>7567.1000000000013</v>
      </c>
      <c r="D354">
        <v>5.99</v>
      </c>
      <c r="H354" s="62">
        <v>1</v>
      </c>
      <c r="I354" s="62">
        <v>1</v>
      </c>
      <c r="K354" s="11">
        <f t="shared" si="17"/>
        <v>1873493.5399999998</v>
      </c>
      <c r="N354" s="12">
        <f t="shared" si="15"/>
        <v>0.22521130952380955</v>
      </c>
      <c r="O354" s="12">
        <f t="shared" si="16"/>
        <v>0.3379317352092352</v>
      </c>
    </row>
    <row r="355" spans="1:15">
      <c r="A355" s="60">
        <v>45548</v>
      </c>
      <c r="B355">
        <f>VLOOKUP(A355,'BADI SID DATA'!A:B,2,0)</f>
        <v>166</v>
      </c>
      <c r="C355" s="11">
        <v>6265.2000000000007</v>
      </c>
      <c r="D355">
        <v>4.78</v>
      </c>
      <c r="H355" s="62">
        <v>1</v>
      </c>
      <c r="I355" s="62">
        <v>1</v>
      </c>
      <c r="K355" s="11">
        <f t="shared" si="17"/>
        <v>1879758.7399999998</v>
      </c>
      <c r="N355" s="12">
        <f t="shared" si="15"/>
        <v>0.18646428571428575</v>
      </c>
      <c r="O355" s="12">
        <f t="shared" si="16"/>
        <v>0.33701928069420534</v>
      </c>
    </row>
    <row r="356" spans="1:15">
      <c r="A356" s="60">
        <v>45549</v>
      </c>
      <c r="B356">
        <f>VLOOKUP(A356,'BADI SID DATA'!A:B,2,0)</f>
        <v>167</v>
      </c>
      <c r="C356" s="11">
        <v>6211.7</v>
      </c>
      <c r="D356">
        <v>4.66</v>
      </c>
      <c r="H356" s="62">
        <v>1</v>
      </c>
      <c r="I356" s="62">
        <v>1</v>
      </c>
      <c r="K356" s="11">
        <f t="shared" si="17"/>
        <v>1885970.4399999997</v>
      </c>
      <c r="N356" s="12">
        <f t="shared" si="15"/>
        <v>0.18487202380952381</v>
      </c>
      <c r="O356" s="12">
        <f t="shared" si="16"/>
        <v>0.3361082192757342</v>
      </c>
    </row>
    <row r="357" spans="1:15">
      <c r="A357" s="60">
        <v>45550</v>
      </c>
      <c r="B357">
        <f>VLOOKUP(A357,'BADI SID DATA'!A:B,2,0)</f>
        <v>168</v>
      </c>
      <c r="C357" s="11">
        <v>7065.9000000000005</v>
      </c>
      <c r="D357">
        <v>5.59</v>
      </c>
      <c r="H357" s="62">
        <v>1</v>
      </c>
      <c r="I357" s="62">
        <v>1</v>
      </c>
      <c r="K357" s="11">
        <f t="shared" si="17"/>
        <v>1893036.3399999996</v>
      </c>
      <c r="N357" s="12">
        <f t="shared" si="15"/>
        <v>0.21029464285714286</v>
      </c>
      <c r="O357" s="12">
        <f t="shared" si="16"/>
        <v>0.33535932893990922</v>
      </c>
    </row>
    <row r="358" spans="1:15">
      <c r="A358" s="60">
        <v>45551</v>
      </c>
      <c r="B358">
        <f>VLOOKUP(A358,'BADI SID DATA'!A:B,2,0)</f>
        <v>169</v>
      </c>
      <c r="C358" s="11">
        <v>7984.3</v>
      </c>
      <c r="D358">
        <v>6.37</v>
      </c>
      <c r="H358" s="62">
        <v>1</v>
      </c>
      <c r="I358" s="62">
        <v>1</v>
      </c>
      <c r="K358" s="11">
        <f t="shared" si="17"/>
        <v>1901020.6399999997</v>
      </c>
      <c r="N358" s="12">
        <f t="shared" si="15"/>
        <v>0.23762797619047621</v>
      </c>
      <c r="O358" s="12">
        <f t="shared" si="16"/>
        <v>0.33478103691180611</v>
      </c>
    </row>
    <row r="359" spans="1:15">
      <c r="A359" s="60">
        <v>45552</v>
      </c>
      <c r="B359">
        <f>VLOOKUP(A359,'BADI SID DATA'!A:B,2,0)</f>
        <v>170</v>
      </c>
      <c r="C359" s="11">
        <v>7467</v>
      </c>
      <c r="D359">
        <v>6.13</v>
      </c>
      <c r="H359" s="62">
        <v>1</v>
      </c>
      <c r="I359" s="62">
        <v>1</v>
      </c>
      <c r="K359" s="11">
        <f t="shared" si="17"/>
        <v>1908487.6399999997</v>
      </c>
      <c r="N359" s="12">
        <f t="shared" si="15"/>
        <v>0.22223214285714285</v>
      </c>
      <c r="O359" s="12">
        <f t="shared" si="16"/>
        <v>0.33411898459383749</v>
      </c>
    </row>
    <row r="360" spans="1:15">
      <c r="A360" s="60">
        <v>45553</v>
      </c>
      <c r="B360">
        <f>VLOOKUP(A360,'BADI SID DATA'!A:B,2,0)</f>
        <v>171</v>
      </c>
      <c r="C360" s="11">
        <v>7304.5</v>
      </c>
      <c r="D360">
        <v>5.87</v>
      </c>
      <c r="H360" s="62">
        <v>1</v>
      </c>
      <c r="I360" s="62">
        <v>0.96666666666666656</v>
      </c>
      <c r="K360" s="11">
        <f t="shared" si="17"/>
        <v>1915792.1399999997</v>
      </c>
      <c r="N360" s="12">
        <f t="shared" si="15"/>
        <v>0.21739583333333334</v>
      </c>
      <c r="O360" s="12">
        <f t="shared" si="16"/>
        <v>0.33343639306599826</v>
      </c>
    </row>
    <row r="361" spans="1:15">
      <c r="A361" s="60">
        <v>45554</v>
      </c>
      <c r="B361">
        <f>VLOOKUP(A361,'BADI SID DATA'!A:B,2,0)</f>
        <v>172</v>
      </c>
      <c r="C361" s="11">
        <v>7952.7000000000007</v>
      </c>
      <c r="D361">
        <v>6.29</v>
      </c>
      <c r="H361" s="62">
        <v>1</v>
      </c>
      <c r="I361" s="62">
        <v>1</v>
      </c>
      <c r="K361" s="11">
        <f t="shared" si="17"/>
        <v>1923744.8399999996</v>
      </c>
      <c r="N361" s="12">
        <f t="shared" si="15"/>
        <v>0.23668750000000002</v>
      </c>
      <c r="O361" s="12">
        <f t="shared" si="16"/>
        <v>0.33287389950166107</v>
      </c>
    </row>
    <row r="362" spans="1:15">
      <c r="A362" s="60">
        <v>45555</v>
      </c>
      <c r="B362">
        <f>VLOOKUP(A362,'BADI SID DATA'!A:B,2,0)</f>
        <v>173</v>
      </c>
      <c r="C362" s="11">
        <v>7093.7</v>
      </c>
      <c r="D362">
        <v>5.6</v>
      </c>
      <c r="H362" s="62">
        <v>1</v>
      </c>
      <c r="I362" s="62">
        <v>1</v>
      </c>
      <c r="K362" s="11">
        <f t="shared" si="17"/>
        <v>1930838.5399999996</v>
      </c>
      <c r="N362" s="12">
        <f t="shared" si="15"/>
        <v>0.2111220238095238</v>
      </c>
      <c r="O362" s="12">
        <f t="shared" si="16"/>
        <v>0.33217013143407642</v>
      </c>
    </row>
    <row r="363" spans="1:15">
      <c r="A363" s="60">
        <v>45556</v>
      </c>
      <c r="B363">
        <f>VLOOKUP(A363,'BADI SID DATA'!A:B,2,0)</f>
        <v>174</v>
      </c>
      <c r="C363" s="11">
        <v>7868.7000000000007</v>
      </c>
      <c r="D363">
        <v>6.35</v>
      </c>
      <c r="H363" s="62">
        <v>1</v>
      </c>
      <c r="I363" s="62">
        <v>1</v>
      </c>
      <c r="K363" s="11">
        <f t="shared" si="17"/>
        <v>1938707.2399999995</v>
      </c>
      <c r="N363" s="12">
        <f t="shared" si="15"/>
        <v>0.23418750000000002</v>
      </c>
      <c r="O363" s="12">
        <f t="shared" si="16"/>
        <v>0.33160701286261623</v>
      </c>
    </row>
    <row r="364" spans="1:15">
      <c r="A364" s="60">
        <v>45557</v>
      </c>
      <c r="B364">
        <f>VLOOKUP(A364,'BADI SID DATA'!A:B,2,0)</f>
        <v>175</v>
      </c>
      <c r="C364" s="11">
        <v>7577.0999999999995</v>
      </c>
      <c r="D364">
        <v>6.09</v>
      </c>
      <c r="H364" s="62">
        <v>1</v>
      </c>
      <c r="I364" s="62">
        <v>1</v>
      </c>
      <c r="K364" s="11">
        <f t="shared" si="17"/>
        <v>1946284.3399999996</v>
      </c>
      <c r="N364" s="12">
        <f t="shared" si="15"/>
        <v>0.22550892857142857</v>
      </c>
      <c r="O364" s="12">
        <f t="shared" si="16"/>
        <v>0.33100073809523806</v>
      </c>
    </row>
    <row r="365" spans="1:15">
      <c r="A365" s="60">
        <v>45558</v>
      </c>
      <c r="B365">
        <f>VLOOKUP(A365,'BADI SID DATA'!A:B,2,0)</f>
        <v>176</v>
      </c>
      <c r="C365" s="11">
        <v>7255</v>
      </c>
      <c r="D365">
        <v>5.67</v>
      </c>
      <c r="H365" s="62">
        <v>1</v>
      </c>
      <c r="I365" s="62">
        <v>1</v>
      </c>
      <c r="K365" s="11">
        <f t="shared" si="17"/>
        <v>1953539.3399999996</v>
      </c>
      <c r="N365" s="12">
        <f t="shared" si="15"/>
        <v>0.21592261904761906</v>
      </c>
      <c r="O365" s="12">
        <f t="shared" si="16"/>
        <v>0.33034688514610383</v>
      </c>
    </row>
    <row r="366" spans="1:15">
      <c r="A366" s="60">
        <v>45559</v>
      </c>
      <c r="B366">
        <f>VLOOKUP(A366,'BADI SID DATA'!A:B,2,0)</f>
        <v>177</v>
      </c>
      <c r="C366" s="11">
        <v>6349.2999999999993</v>
      </c>
      <c r="D366">
        <v>4.87</v>
      </c>
      <c r="H366" s="62">
        <v>1</v>
      </c>
      <c r="I366" s="62">
        <v>1</v>
      </c>
      <c r="K366" s="11">
        <f t="shared" si="17"/>
        <v>1959888.6399999997</v>
      </c>
      <c r="N366" s="12">
        <f t="shared" si="15"/>
        <v>0.18896726190476187</v>
      </c>
      <c r="O366" s="12">
        <f t="shared" si="16"/>
        <v>0.32954813021253693</v>
      </c>
    </row>
    <row r="367" spans="1:15">
      <c r="A367" s="60">
        <v>45560</v>
      </c>
      <c r="B367">
        <f>VLOOKUP(A367,'BADI SID DATA'!A:B,2,0)</f>
        <v>178</v>
      </c>
      <c r="C367" s="11">
        <v>7136.7</v>
      </c>
      <c r="D367">
        <v>5.53</v>
      </c>
      <c r="H367" s="62">
        <v>1</v>
      </c>
      <c r="I367" s="62">
        <v>1</v>
      </c>
      <c r="K367" s="11">
        <f t="shared" si="17"/>
        <v>1967025.3399999996</v>
      </c>
      <c r="N367" s="12">
        <f t="shared" si="15"/>
        <v>0.2124017857142857</v>
      </c>
      <c r="O367" s="12">
        <f t="shared" si="16"/>
        <v>0.32889000468164786</v>
      </c>
    </row>
    <row r="368" spans="1:15">
      <c r="A368" s="60">
        <v>45561</v>
      </c>
      <c r="B368">
        <f>VLOOKUP(A368,'BADI SID DATA'!A:B,2,0)</f>
        <v>179</v>
      </c>
      <c r="C368" s="11">
        <v>6856.1</v>
      </c>
      <c r="D368">
        <v>5.43</v>
      </c>
      <c r="H368" s="62">
        <v>1</v>
      </c>
      <c r="I368" s="62">
        <v>1</v>
      </c>
      <c r="K368" s="11">
        <f>C368</f>
        <v>6856.1</v>
      </c>
      <c r="N368" s="12">
        <f t="shared" si="15"/>
        <v>0.20405059523809524</v>
      </c>
      <c r="O368" s="12">
        <f t="shared" si="16"/>
        <v>1.1399474594306997E-3</v>
      </c>
    </row>
    <row r="369" spans="1:15">
      <c r="A369" s="60">
        <v>45562</v>
      </c>
      <c r="B369">
        <f>VLOOKUP(A369,'BADI SID DATA'!A:B,2,0)</f>
        <v>180</v>
      </c>
      <c r="C369" s="11">
        <v>7705.8</v>
      </c>
      <c r="D369">
        <v>6.07</v>
      </c>
      <c r="H369" s="62">
        <v>1</v>
      </c>
      <c r="I369" s="62">
        <v>1</v>
      </c>
      <c r="K369" s="11">
        <f>K368+C369</f>
        <v>14561.900000000001</v>
      </c>
      <c r="N369" s="12">
        <f t="shared" si="15"/>
        <v>0.22933928571428572</v>
      </c>
      <c r="O369" s="12">
        <f t="shared" si="16"/>
        <v>2.4077215608465613E-3</v>
      </c>
    </row>
    <row r="370" spans="1:15">
      <c r="A370" s="60">
        <v>45563</v>
      </c>
      <c r="B370">
        <f>VLOOKUP(A370,'BADI SID DATA'!A:B,2,0)</f>
        <v>181</v>
      </c>
      <c r="C370" s="11">
        <v>7940.5</v>
      </c>
      <c r="D370">
        <v>6.4</v>
      </c>
      <c r="H370" s="62">
        <v>1</v>
      </c>
      <c r="I370" s="62">
        <v>1</v>
      </c>
      <c r="K370" s="11">
        <f t="shared" ref="K370:K433" si="18">K369+C370</f>
        <v>22502.400000000001</v>
      </c>
      <c r="N370" s="12">
        <f t="shared" si="15"/>
        <v>0.23632440476190475</v>
      </c>
      <c r="O370" s="12">
        <f t="shared" si="16"/>
        <v>3.7000789265982637E-3</v>
      </c>
    </row>
    <row r="371" spans="1:15">
      <c r="A371" s="60">
        <v>45564</v>
      </c>
      <c r="B371">
        <f>VLOOKUP(A371,'BADI SID DATA'!A:B,2,0)</f>
        <v>182</v>
      </c>
      <c r="C371" s="11">
        <v>7167.0000000000009</v>
      </c>
      <c r="D371">
        <v>5.79</v>
      </c>
      <c r="H371" s="62">
        <v>1</v>
      </c>
      <c r="I371" s="62">
        <v>0.97222222222222232</v>
      </c>
      <c r="K371" s="11">
        <f t="shared" si="18"/>
        <v>29669.4</v>
      </c>
      <c r="N371" s="12">
        <f t="shared" si="15"/>
        <v>0.21330357142857145</v>
      </c>
      <c r="O371" s="12">
        <f t="shared" si="16"/>
        <v>4.8517464678178969E-3</v>
      </c>
    </row>
    <row r="372" spans="1:15">
      <c r="A372" s="60">
        <v>45565</v>
      </c>
      <c r="B372">
        <f>VLOOKUP(A372,'BADI SID DATA'!A:B,2,0)</f>
        <v>183</v>
      </c>
      <c r="C372" s="11">
        <v>6297.4000000000005</v>
      </c>
      <c r="D372">
        <v>4.91</v>
      </c>
      <c r="H372" s="62">
        <v>1</v>
      </c>
      <c r="I372" s="62">
        <v>0.94027777777777777</v>
      </c>
      <c r="K372" s="11">
        <f t="shared" si="18"/>
        <v>35966.800000000003</v>
      </c>
      <c r="N372" s="12">
        <f t="shared" si="15"/>
        <v>0.18742261904761906</v>
      </c>
      <c r="O372" s="12">
        <f t="shared" si="16"/>
        <v>5.8494015092375755E-3</v>
      </c>
    </row>
    <row r="373" spans="1:15">
      <c r="A373" s="60">
        <v>45566</v>
      </c>
      <c r="B373">
        <f>VLOOKUP(A373,'BADI SID DATA'!A:B,2,0)</f>
        <v>184</v>
      </c>
      <c r="C373" s="11">
        <v>1069.0999999999999</v>
      </c>
      <c r="D373">
        <v>0.8</v>
      </c>
      <c r="H373" s="62">
        <v>1</v>
      </c>
      <c r="I373" s="62">
        <v>1</v>
      </c>
      <c r="K373" s="11">
        <f t="shared" si="18"/>
        <v>37035.9</v>
      </c>
      <c r="N373" s="12">
        <f t="shared" si="15"/>
        <v>3.1818452380952378E-2</v>
      </c>
      <c r="O373" s="12">
        <f t="shared" si="16"/>
        <v>5.9905376552795032E-3</v>
      </c>
    </row>
    <row r="374" spans="1:15">
      <c r="A374" s="60">
        <v>45567</v>
      </c>
      <c r="B374">
        <f>VLOOKUP(A374,'BADI SID DATA'!A:B,2,0)</f>
        <v>185</v>
      </c>
      <c r="C374" s="11">
        <v>6605</v>
      </c>
      <c r="D374">
        <v>5.29</v>
      </c>
      <c r="H374" s="62">
        <v>1</v>
      </c>
      <c r="I374" s="62">
        <v>1</v>
      </c>
      <c r="K374" s="11">
        <f t="shared" si="18"/>
        <v>43640.9</v>
      </c>
      <c r="N374" s="12">
        <f t="shared" si="15"/>
        <v>0.19657738095238095</v>
      </c>
      <c r="O374" s="12">
        <f t="shared" si="16"/>
        <v>7.0207368082368087E-3</v>
      </c>
    </row>
    <row r="375" spans="1:15">
      <c r="A375" s="60">
        <v>45568</v>
      </c>
      <c r="B375">
        <f>VLOOKUP(A375,'BADI SID DATA'!A:B,2,0)</f>
        <v>186</v>
      </c>
      <c r="C375" s="11">
        <v>5549.8000000000011</v>
      </c>
      <c r="D375">
        <v>4.24</v>
      </c>
      <c r="H375" s="62">
        <v>1</v>
      </c>
      <c r="I375" s="62">
        <v>1</v>
      </c>
      <c r="K375" s="11">
        <f t="shared" si="18"/>
        <v>49190.700000000004</v>
      </c>
      <c r="N375" s="12">
        <f t="shared" si="15"/>
        <v>0.16517261904761907</v>
      </c>
      <c r="O375" s="12">
        <f t="shared" si="16"/>
        <v>7.8710157450076808E-3</v>
      </c>
    </row>
    <row r="376" spans="1:15">
      <c r="A376" s="60">
        <v>45569</v>
      </c>
      <c r="B376">
        <f>VLOOKUP(A376,'BADI SID DATA'!A:B,2,0)</f>
        <v>187</v>
      </c>
      <c r="C376" s="11">
        <v>7772.6</v>
      </c>
      <c r="D376">
        <v>6.16</v>
      </c>
      <c r="H376" s="62">
        <v>1</v>
      </c>
      <c r="I376" s="62">
        <v>1</v>
      </c>
      <c r="K376" s="11">
        <f t="shared" si="18"/>
        <v>56963.3</v>
      </c>
      <c r="N376" s="12">
        <f t="shared" si="15"/>
        <v>0.23132738095238095</v>
      </c>
      <c r="O376" s="12">
        <f t="shared" si="16"/>
        <v>9.0659695696460405E-3</v>
      </c>
    </row>
    <row r="377" spans="1:15">
      <c r="A377" s="60">
        <v>45570</v>
      </c>
      <c r="B377">
        <f>VLOOKUP(A377,'BADI SID DATA'!A:B,2,0)</f>
        <v>188</v>
      </c>
      <c r="C377" s="11">
        <v>4030.6</v>
      </c>
      <c r="D377">
        <v>3.07</v>
      </c>
      <c r="H377" s="62">
        <v>1</v>
      </c>
      <c r="I377" s="62">
        <v>0.94027777777777777</v>
      </c>
      <c r="K377" s="11">
        <f t="shared" si="18"/>
        <v>60993.9</v>
      </c>
      <c r="N377" s="12">
        <f t="shared" si="15"/>
        <v>0.11995833333333333</v>
      </c>
      <c r="O377" s="12">
        <f t="shared" si="16"/>
        <v>9.6558225683890577E-3</v>
      </c>
    </row>
    <row r="378" spans="1:15">
      <c r="A378" s="60">
        <v>45571</v>
      </c>
      <c r="B378">
        <f>VLOOKUP(A378,'BADI SID DATA'!A:B,2,0)</f>
        <v>189</v>
      </c>
      <c r="C378" s="11">
        <v>6745.7999999999993</v>
      </c>
      <c r="D378">
        <v>5.36</v>
      </c>
      <c r="H378" s="62">
        <v>1</v>
      </c>
      <c r="I378" s="62">
        <v>1</v>
      </c>
      <c r="K378" s="11">
        <f t="shared" si="18"/>
        <v>67739.7</v>
      </c>
      <c r="N378" s="12">
        <f t="shared" si="15"/>
        <v>0.20076785714285711</v>
      </c>
      <c r="O378" s="12">
        <f t="shared" si="16"/>
        <v>1.0666997354497354E-2</v>
      </c>
    </row>
    <row r="379" spans="1:15">
      <c r="A379" s="60">
        <v>45572</v>
      </c>
      <c r="B379">
        <f>VLOOKUP(A379,'BADI SID DATA'!A:B,2,0)</f>
        <v>190</v>
      </c>
      <c r="C379" s="11">
        <v>3383.4</v>
      </c>
      <c r="D379">
        <v>2.4300000000000002</v>
      </c>
      <c r="H379" s="62">
        <v>1</v>
      </c>
      <c r="I379" s="62">
        <v>1</v>
      </c>
      <c r="K379" s="11">
        <f t="shared" si="18"/>
        <v>71123.099999999991</v>
      </c>
      <c r="N379" s="12">
        <f t="shared" si="15"/>
        <v>0.10069642857142858</v>
      </c>
      <c r="O379" s="12">
        <f t="shared" si="16"/>
        <v>1.1140836466165413E-2</v>
      </c>
    </row>
    <row r="380" spans="1:15">
      <c r="A380" s="60">
        <v>45573</v>
      </c>
      <c r="B380">
        <f>VLOOKUP(A380,'BADI SID DATA'!A:B,2,0)</f>
        <v>191</v>
      </c>
      <c r="C380" s="11">
        <v>5073.7999999999993</v>
      </c>
      <c r="D380">
        <v>3.74</v>
      </c>
      <c r="H380" s="62">
        <v>1</v>
      </c>
      <c r="I380" s="62">
        <v>1</v>
      </c>
      <c r="K380" s="11">
        <f t="shared" si="18"/>
        <v>76196.899999999994</v>
      </c>
      <c r="N380" s="12">
        <f t="shared" si="15"/>
        <v>0.15100595238095235</v>
      </c>
      <c r="O380" s="12">
        <f t="shared" si="16"/>
        <v>1.1873114559960108E-2</v>
      </c>
    </row>
    <row r="381" spans="1:15">
      <c r="A381" s="60">
        <v>45574</v>
      </c>
      <c r="B381">
        <f>VLOOKUP(A381,'BADI SID DATA'!A:B,2,0)</f>
        <v>192</v>
      </c>
      <c r="C381" s="11">
        <v>4337.1000000000004</v>
      </c>
      <c r="D381">
        <v>3.09</v>
      </c>
      <c r="H381" s="62">
        <v>1</v>
      </c>
      <c r="I381" s="62">
        <v>1</v>
      </c>
      <c r="K381" s="11">
        <f t="shared" si="18"/>
        <v>80534</v>
      </c>
      <c r="N381" s="12">
        <f t="shared" si="15"/>
        <v>0.12908035714285715</v>
      </c>
      <c r="O381" s="12">
        <f t="shared" si="16"/>
        <v>1.2483568948412698E-2</v>
      </c>
    </row>
    <row r="382" spans="1:15">
      <c r="A382" s="60">
        <v>45575</v>
      </c>
      <c r="B382">
        <f>VLOOKUP(A382,'BADI SID DATA'!A:B,2,0)</f>
        <v>193</v>
      </c>
      <c r="C382" s="11">
        <v>4578.5999999999995</v>
      </c>
      <c r="D382">
        <v>3.38</v>
      </c>
      <c r="H382" s="62">
        <v>1</v>
      </c>
      <c r="I382" s="62">
        <v>1</v>
      </c>
      <c r="K382" s="11">
        <f t="shared" si="18"/>
        <v>85112.6</v>
      </c>
      <c r="N382" s="12">
        <f t="shared" si="15"/>
        <v>0.13626785714285714</v>
      </c>
      <c r="O382" s="12">
        <f t="shared" si="16"/>
        <v>1.3124938317295831E-2</v>
      </c>
    </row>
    <row r="383" spans="1:15">
      <c r="A383" s="60">
        <v>45576</v>
      </c>
      <c r="B383">
        <f>VLOOKUP(A383,'BADI SID DATA'!A:B,2,0)</f>
        <v>194</v>
      </c>
      <c r="C383" s="11">
        <v>1210.7</v>
      </c>
      <c r="D383">
        <v>0.84</v>
      </c>
      <c r="H383" s="62">
        <v>1</v>
      </c>
      <c r="I383" s="62">
        <v>1</v>
      </c>
      <c r="K383" s="11">
        <f t="shared" si="18"/>
        <v>86323.3</v>
      </c>
      <c r="N383" s="12">
        <f t="shared" si="15"/>
        <v>3.6032738095238097E-2</v>
      </c>
      <c r="O383" s="12">
        <f t="shared" si="16"/>
        <v>1.3243019759450173E-2</v>
      </c>
    </row>
    <row r="384" spans="1:15">
      <c r="A384" s="60">
        <v>45577</v>
      </c>
      <c r="B384">
        <f>VLOOKUP(A384,'BADI SID DATA'!A:B,2,0)</f>
        <v>195</v>
      </c>
      <c r="C384" s="11">
        <v>3119.1000000000004</v>
      </c>
      <c r="D384">
        <v>2.42</v>
      </c>
      <c r="H384" s="62">
        <v>1</v>
      </c>
      <c r="I384" s="62">
        <v>0.95</v>
      </c>
      <c r="K384" s="11">
        <f t="shared" si="18"/>
        <v>89442.400000000009</v>
      </c>
      <c r="N384" s="12">
        <f t="shared" si="15"/>
        <v>9.2830357142857159E-2</v>
      </c>
      <c r="O384" s="12">
        <f t="shared" si="16"/>
        <v>1.3651159951159952E-2</v>
      </c>
    </row>
    <row r="385" spans="1:15">
      <c r="A385" s="60">
        <v>45578</v>
      </c>
      <c r="B385">
        <f>VLOOKUP(A385,'BADI SID DATA'!A:B,2,0)</f>
        <v>196</v>
      </c>
      <c r="C385" s="11">
        <v>6763.6</v>
      </c>
      <c r="D385">
        <v>5.19</v>
      </c>
      <c r="H385" s="62">
        <v>1</v>
      </c>
      <c r="I385" s="62">
        <v>1</v>
      </c>
      <c r="K385" s="11">
        <f t="shared" si="18"/>
        <v>96206.000000000015</v>
      </c>
      <c r="N385" s="12">
        <f t="shared" si="15"/>
        <v>0.20129761904761906</v>
      </c>
      <c r="O385" s="12">
        <f t="shared" si="16"/>
        <v>1.4608539844509234E-2</v>
      </c>
    </row>
    <row r="386" spans="1:15">
      <c r="A386" s="60">
        <v>45579</v>
      </c>
      <c r="B386">
        <f>VLOOKUP(A386,'BADI SID DATA'!A:B,2,0)</f>
        <v>197</v>
      </c>
      <c r="C386" s="11">
        <v>7359.7999999999993</v>
      </c>
      <c r="D386">
        <v>5.81</v>
      </c>
      <c r="H386" s="62">
        <v>1</v>
      </c>
      <c r="I386" s="62">
        <v>1</v>
      </c>
      <c r="K386" s="11">
        <f t="shared" si="18"/>
        <v>103565.80000000002</v>
      </c>
      <c r="N386" s="12">
        <f t="shared" si="15"/>
        <v>0.21904166666666663</v>
      </c>
      <c r="O386" s="12">
        <f t="shared" si="16"/>
        <v>1.5646271452743537E-2</v>
      </c>
    </row>
    <row r="387" spans="1:15">
      <c r="A387" s="60">
        <v>45580</v>
      </c>
      <c r="B387">
        <f>VLOOKUP(A387,'BADI SID DATA'!A:B,2,0)</f>
        <v>198</v>
      </c>
      <c r="C387" s="11">
        <v>6366.4000000000005</v>
      </c>
      <c r="D387">
        <v>4.8899999999999997</v>
      </c>
      <c r="H387" s="62">
        <v>1</v>
      </c>
      <c r="I387" s="62">
        <v>1</v>
      </c>
      <c r="K387" s="11">
        <f t="shared" si="18"/>
        <v>109932.20000000001</v>
      </c>
      <c r="N387" s="12">
        <f t="shared" ref="N387:N450" si="19">C387/(1400*24)</f>
        <v>0.18947619047619049</v>
      </c>
      <c r="O387" s="12">
        <f t="shared" ref="O387:O450" si="20">K387/(B387*1400*24)</f>
        <v>1.6524200336700337E-2</v>
      </c>
    </row>
    <row r="388" spans="1:15">
      <c r="A388" s="60">
        <v>45581</v>
      </c>
      <c r="B388">
        <f>VLOOKUP(A388,'BADI SID DATA'!A:B,2,0)</f>
        <v>199</v>
      </c>
      <c r="C388" s="11">
        <v>1476.1999999999998</v>
      </c>
      <c r="D388">
        <v>1.03</v>
      </c>
      <c r="H388" s="62">
        <v>1</v>
      </c>
      <c r="I388" s="62">
        <v>1</v>
      </c>
      <c r="K388" s="11">
        <f t="shared" si="18"/>
        <v>111408.40000000001</v>
      </c>
      <c r="N388" s="12">
        <f t="shared" si="19"/>
        <v>4.3934523809523805E-2</v>
      </c>
      <c r="O388" s="12">
        <f t="shared" si="20"/>
        <v>1.6661940655659249E-2</v>
      </c>
    </row>
    <row r="389" spans="1:15">
      <c r="A389" s="60">
        <v>45582</v>
      </c>
      <c r="B389">
        <f>VLOOKUP(A389,'BADI SID DATA'!A:B,2,0)</f>
        <v>200</v>
      </c>
      <c r="C389" s="11">
        <v>6481.0999999999995</v>
      </c>
      <c r="D389">
        <v>5.08</v>
      </c>
      <c r="H389" s="62">
        <v>1</v>
      </c>
      <c r="I389" s="62">
        <v>1</v>
      </c>
      <c r="K389" s="11">
        <f t="shared" si="18"/>
        <v>117889.50000000001</v>
      </c>
      <c r="N389" s="12">
        <f t="shared" si="19"/>
        <v>0.19288988095238094</v>
      </c>
      <c r="O389" s="12">
        <f t="shared" si="20"/>
        <v>1.754308035714286E-2</v>
      </c>
    </row>
    <row r="390" spans="1:15">
      <c r="A390" s="60">
        <v>45583</v>
      </c>
      <c r="B390">
        <f>VLOOKUP(A390,'BADI SID DATA'!A:B,2,0)</f>
        <v>201</v>
      </c>
      <c r="C390" s="11">
        <v>7051.1</v>
      </c>
      <c r="D390">
        <v>5.5</v>
      </c>
      <c r="H390" s="62">
        <v>1</v>
      </c>
      <c r="I390" s="62">
        <v>1</v>
      </c>
      <c r="K390" s="11">
        <f t="shared" si="18"/>
        <v>124940.60000000002</v>
      </c>
      <c r="N390" s="12">
        <f t="shared" si="19"/>
        <v>0.20985416666666667</v>
      </c>
      <c r="O390" s="12">
        <f t="shared" si="20"/>
        <v>1.8499851930822084E-2</v>
      </c>
    </row>
    <row r="391" spans="1:15">
      <c r="A391" s="60">
        <v>45584</v>
      </c>
      <c r="B391">
        <f>VLOOKUP(A391,'BADI SID DATA'!A:B,2,0)</f>
        <v>202</v>
      </c>
      <c r="C391" s="11">
        <v>7693.2</v>
      </c>
      <c r="D391">
        <v>6.15</v>
      </c>
      <c r="H391" s="62">
        <v>1</v>
      </c>
      <c r="I391" s="62">
        <v>1</v>
      </c>
      <c r="K391" s="11">
        <f t="shared" si="18"/>
        <v>132633.80000000002</v>
      </c>
      <c r="N391" s="12">
        <f t="shared" si="19"/>
        <v>0.2289642857142857</v>
      </c>
      <c r="O391" s="12">
        <f t="shared" si="20"/>
        <v>1.9541755068363982E-2</v>
      </c>
    </row>
    <row r="392" spans="1:15">
      <c r="A392" s="60">
        <v>45585</v>
      </c>
      <c r="B392">
        <f>VLOOKUP(A392,'BADI SID DATA'!A:B,2,0)</f>
        <v>203</v>
      </c>
      <c r="C392" s="11">
        <v>7507.5</v>
      </c>
      <c r="D392">
        <v>6.37</v>
      </c>
      <c r="H392" s="62">
        <v>0.95059243565599494</v>
      </c>
      <c r="I392" s="62">
        <v>1</v>
      </c>
      <c r="K392" s="11">
        <f t="shared" si="18"/>
        <v>140141.30000000002</v>
      </c>
      <c r="N392" s="12">
        <f t="shared" si="19"/>
        <v>0.22343750000000001</v>
      </c>
      <c r="O392" s="12">
        <f t="shared" si="20"/>
        <v>2.0546167604973027E-2</v>
      </c>
    </row>
    <row r="393" spans="1:15">
      <c r="A393" s="60">
        <v>45586</v>
      </c>
      <c r="B393">
        <f>VLOOKUP(A393,'BADI SID DATA'!A:B,2,0)</f>
        <v>204</v>
      </c>
      <c r="C393" s="11">
        <v>5822.9000000000005</v>
      </c>
      <c r="D393">
        <v>5.54</v>
      </c>
      <c r="H393" s="62">
        <v>0.85831371625863151</v>
      </c>
      <c r="I393" s="62">
        <v>1</v>
      </c>
      <c r="K393" s="11">
        <f t="shared" si="18"/>
        <v>145964.20000000001</v>
      </c>
      <c r="N393" s="12">
        <f t="shared" si="19"/>
        <v>0.17330059523809527</v>
      </c>
      <c r="O393" s="12">
        <f t="shared" si="20"/>
        <v>2.1294963818860878E-2</v>
      </c>
    </row>
    <row r="394" spans="1:15">
      <c r="A394" s="60">
        <v>45587</v>
      </c>
      <c r="B394">
        <f>VLOOKUP(A394,'BADI SID DATA'!A:B,2,0)</f>
        <v>205</v>
      </c>
      <c r="C394" s="11">
        <v>5425.5</v>
      </c>
      <c r="D394">
        <v>5.03</v>
      </c>
      <c r="H394" s="62">
        <v>0.85831371625863151</v>
      </c>
      <c r="I394" s="62">
        <v>1</v>
      </c>
      <c r="K394" s="11">
        <f t="shared" si="18"/>
        <v>151389.70000000001</v>
      </c>
      <c r="N394" s="12">
        <f t="shared" si="19"/>
        <v>0.16147321428571429</v>
      </c>
      <c r="O394" s="12">
        <f t="shared" si="20"/>
        <v>2.1978760162601627E-2</v>
      </c>
    </row>
    <row r="395" spans="1:15">
      <c r="A395" s="60">
        <v>45588</v>
      </c>
      <c r="B395">
        <f>VLOOKUP(A395,'BADI SID DATA'!A:B,2,0)</f>
        <v>206</v>
      </c>
      <c r="C395" s="11">
        <v>5680.5</v>
      </c>
      <c r="D395">
        <v>5.24</v>
      </c>
      <c r="H395" s="62">
        <v>0.86350439422473324</v>
      </c>
      <c r="I395" s="62">
        <v>1</v>
      </c>
      <c r="K395" s="11">
        <f t="shared" si="18"/>
        <v>157070.20000000001</v>
      </c>
      <c r="N395" s="12">
        <f t="shared" si="19"/>
        <v>0.1690625</v>
      </c>
      <c r="O395" s="12">
        <f t="shared" si="20"/>
        <v>2.2692758899676375E-2</v>
      </c>
    </row>
    <row r="396" spans="1:15">
      <c r="A396" s="60">
        <v>45589</v>
      </c>
      <c r="B396">
        <f>VLOOKUP(A396,'BADI SID DATA'!A:B,2,0)</f>
        <v>207</v>
      </c>
      <c r="C396" s="11">
        <v>1263.4000000000001</v>
      </c>
      <c r="D396">
        <v>1.07</v>
      </c>
      <c r="H396" s="62">
        <v>0.86350439422473324</v>
      </c>
      <c r="I396" s="62">
        <v>1</v>
      </c>
      <c r="K396" s="11">
        <f t="shared" si="18"/>
        <v>158333.6</v>
      </c>
      <c r="N396" s="12">
        <f t="shared" si="19"/>
        <v>3.7601190476190476E-2</v>
      </c>
      <c r="O396" s="12">
        <f t="shared" si="20"/>
        <v>2.276478030825857E-2</v>
      </c>
    </row>
    <row r="397" spans="1:15">
      <c r="A397" s="60">
        <v>45590</v>
      </c>
      <c r="B397">
        <f>VLOOKUP(A397,'BADI SID DATA'!A:B,2,0)</f>
        <v>208</v>
      </c>
      <c r="C397" s="11">
        <v>4431.5000000000009</v>
      </c>
      <c r="D397">
        <v>4.07</v>
      </c>
      <c r="H397" s="62">
        <v>0.86350439422473324</v>
      </c>
      <c r="I397" s="62">
        <v>1</v>
      </c>
      <c r="K397" s="11">
        <f t="shared" si="18"/>
        <v>162765.1</v>
      </c>
      <c r="N397" s="12">
        <f t="shared" si="19"/>
        <v>0.13188988095238097</v>
      </c>
      <c r="O397" s="12">
        <f t="shared" si="20"/>
        <v>2.3289420215201466E-2</v>
      </c>
    </row>
    <row r="398" spans="1:15">
      <c r="A398" s="60">
        <v>45591</v>
      </c>
      <c r="B398">
        <f>VLOOKUP(A398,'BADI SID DATA'!A:B,2,0)</f>
        <v>209</v>
      </c>
      <c r="C398" s="11">
        <v>6191.4</v>
      </c>
      <c r="D398">
        <v>5.69</v>
      </c>
      <c r="H398" s="62">
        <v>0.86350439422473324</v>
      </c>
      <c r="I398" s="62">
        <v>1</v>
      </c>
      <c r="K398" s="11">
        <f t="shared" si="18"/>
        <v>168956.5</v>
      </c>
      <c r="N398" s="12">
        <f t="shared" si="19"/>
        <v>0.18426785714285712</v>
      </c>
      <c r="O398" s="12">
        <f t="shared" si="20"/>
        <v>2.405965197083618E-2</v>
      </c>
    </row>
    <row r="399" spans="1:15">
      <c r="A399" s="60">
        <v>45592</v>
      </c>
      <c r="B399">
        <f>VLOOKUP(A399,'BADI SID DATA'!A:B,2,0)</f>
        <v>210</v>
      </c>
      <c r="C399" s="11">
        <v>6153.5</v>
      </c>
      <c r="D399">
        <v>5.7</v>
      </c>
      <c r="H399" s="62">
        <v>0.86350439422473324</v>
      </c>
      <c r="I399" s="62">
        <v>1</v>
      </c>
      <c r="K399" s="11">
        <f t="shared" si="18"/>
        <v>175110</v>
      </c>
      <c r="N399" s="12">
        <f t="shared" si="19"/>
        <v>0.18313988095238096</v>
      </c>
      <c r="O399" s="12">
        <f t="shared" si="20"/>
        <v>2.48171768707483E-2</v>
      </c>
    </row>
    <row r="400" spans="1:15">
      <c r="A400" s="60">
        <v>45593</v>
      </c>
      <c r="B400">
        <f>VLOOKUP(A400,'BADI SID DATA'!A:B,2,0)</f>
        <v>211</v>
      </c>
      <c r="C400" s="11">
        <v>6102.9</v>
      </c>
      <c r="D400">
        <v>5.72</v>
      </c>
      <c r="H400" s="62">
        <v>0.72700878844946648</v>
      </c>
      <c r="I400" s="62">
        <v>1</v>
      </c>
      <c r="K400" s="11">
        <f t="shared" si="18"/>
        <v>181212.9</v>
      </c>
      <c r="N400" s="12">
        <f t="shared" si="19"/>
        <v>0.18163392857142857</v>
      </c>
      <c r="O400" s="12">
        <f t="shared" si="20"/>
        <v>2.5560384224779957E-2</v>
      </c>
    </row>
    <row r="401" spans="1:15">
      <c r="A401" s="60">
        <v>45594</v>
      </c>
      <c r="B401">
        <f>VLOOKUP(A401,'BADI SID DATA'!A:B,2,0)</f>
        <v>212</v>
      </c>
      <c r="C401" s="11">
        <v>5964.9000000000005</v>
      </c>
      <c r="D401">
        <v>5.5</v>
      </c>
      <c r="H401" s="62">
        <v>0.86350439422473324</v>
      </c>
      <c r="I401" s="62">
        <v>1</v>
      </c>
      <c r="K401" s="11">
        <f t="shared" si="18"/>
        <v>187177.8</v>
      </c>
      <c r="N401" s="12">
        <f t="shared" si="19"/>
        <v>0.17752678571428573</v>
      </c>
      <c r="O401" s="12">
        <f t="shared" si="20"/>
        <v>2.6277206873315362E-2</v>
      </c>
    </row>
    <row r="402" spans="1:15">
      <c r="A402" s="60">
        <v>45595</v>
      </c>
      <c r="B402">
        <f>VLOOKUP(A402,'BADI SID DATA'!A:B,2,0)</f>
        <v>213</v>
      </c>
      <c r="C402" s="11">
        <v>4266.6000000000004</v>
      </c>
      <c r="D402">
        <v>5.39</v>
      </c>
      <c r="H402" s="62">
        <v>0.86350439422473324</v>
      </c>
      <c r="I402" s="62">
        <v>0.91527777777777763</v>
      </c>
      <c r="K402" s="11">
        <f t="shared" si="18"/>
        <v>191444.4</v>
      </c>
      <c r="N402" s="12">
        <f t="shared" si="19"/>
        <v>0.12698214285714288</v>
      </c>
      <c r="O402" s="12">
        <f t="shared" si="20"/>
        <v>2.6749999999999999E-2</v>
      </c>
    </row>
    <row r="403" spans="1:15">
      <c r="A403" s="60">
        <v>45596</v>
      </c>
      <c r="B403">
        <f>VLOOKUP(A403,'BADI SID DATA'!A:B,2,0)</f>
        <v>214</v>
      </c>
      <c r="C403" s="11">
        <v>4743</v>
      </c>
      <c r="D403">
        <v>5.73</v>
      </c>
      <c r="H403" s="62">
        <v>0.86350439422473324</v>
      </c>
      <c r="I403" s="62">
        <v>0.75</v>
      </c>
      <c r="K403" s="11">
        <f t="shared" si="18"/>
        <v>196187.4</v>
      </c>
      <c r="N403" s="12">
        <f t="shared" si="19"/>
        <v>0.14116071428571428</v>
      </c>
      <c r="O403" s="12">
        <f t="shared" si="20"/>
        <v>2.7284629506008011E-2</v>
      </c>
    </row>
    <row r="404" spans="1:15">
      <c r="A404" s="60">
        <v>45597</v>
      </c>
      <c r="B404">
        <f>VLOOKUP(A404,'BADI SID DATA'!A:B,2,0)</f>
        <v>215</v>
      </c>
      <c r="C404" s="11">
        <v>1277.8</v>
      </c>
      <c r="D404">
        <v>5.47</v>
      </c>
      <c r="H404" s="62">
        <v>0.86350439422473324</v>
      </c>
      <c r="I404" s="62">
        <v>0.88888888888888895</v>
      </c>
      <c r="K404" s="11">
        <f t="shared" si="18"/>
        <v>197465.19999999998</v>
      </c>
      <c r="N404" s="12">
        <f t="shared" si="19"/>
        <v>3.8029761904761906E-2</v>
      </c>
      <c r="O404" s="12">
        <f t="shared" si="20"/>
        <v>2.7334606866002212E-2</v>
      </c>
    </row>
    <row r="405" spans="1:15">
      <c r="A405" s="60">
        <v>45598</v>
      </c>
      <c r="B405">
        <f>VLOOKUP(A405,'BADI SID DATA'!A:B,2,0)</f>
        <v>216</v>
      </c>
      <c r="C405" s="11">
        <v>4209.2999999999993</v>
      </c>
      <c r="D405">
        <v>5.32</v>
      </c>
      <c r="H405" s="62">
        <v>0.86350439422473324</v>
      </c>
      <c r="I405" s="62">
        <v>0.57101381042058996</v>
      </c>
      <c r="K405" s="11">
        <f t="shared" si="18"/>
        <v>201674.49999999997</v>
      </c>
      <c r="N405" s="12">
        <f t="shared" si="19"/>
        <v>0.12527678571428569</v>
      </c>
      <c r="O405" s="12">
        <f t="shared" si="20"/>
        <v>2.7788042879188707E-2</v>
      </c>
    </row>
    <row r="406" spans="1:15">
      <c r="A406" s="60">
        <v>45599</v>
      </c>
      <c r="B406">
        <f>VLOOKUP(A406,'BADI SID DATA'!A:B,2,0)</f>
        <v>217</v>
      </c>
      <c r="C406" s="11">
        <v>3305.1000000000004</v>
      </c>
      <c r="D406">
        <v>2.88</v>
      </c>
      <c r="H406" s="62">
        <v>0.86350439422473324</v>
      </c>
      <c r="I406" s="62">
        <v>1</v>
      </c>
      <c r="K406" s="11">
        <f t="shared" si="18"/>
        <v>204979.59999999998</v>
      </c>
      <c r="N406" s="12">
        <f t="shared" si="19"/>
        <v>9.8366071428571442E-2</v>
      </c>
      <c r="O406" s="12">
        <f t="shared" si="20"/>
        <v>2.811328725038402E-2</v>
      </c>
    </row>
    <row r="407" spans="1:15">
      <c r="A407" s="60">
        <v>45600</v>
      </c>
      <c r="B407">
        <f>VLOOKUP(A407,'BADI SID DATA'!A:B,2,0)</f>
        <v>218</v>
      </c>
      <c r="C407" s="11">
        <v>2551.1</v>
      </c>
      <c r="D407">
        <v>4.67</v>
      </c>
      <c r="H407" s="62">
        <v>0.86350439422473324</v>
      </c>
      <c r="I407" s="62">
        <v>1</v>
      </c>
      <c r="K407" s="11">
        <f t="shared" si="18"/>
        <v>207530.69999999998</v>
      </c>
      <c r="N407" s="12">
        <f t="shared" si="19"/>
        <v>7.5925595238095236E-2</v>
      </c>
      <c r="O407" s="12">
        <f t="shared" si="20"/>
        <v>2.833260976408912E-2</v>
      </c>
    </row>
    <row r="408" spans="1:15">
      <c r="A408" s="60">
        <v>45601</v>
      </c>
      <c r="B408">
        <f>VLOOKUP(A408,'BADI SID DATA'!A:B,2,0)</f>
        <v>219</v>
      </c>
      <c r="C408" s="11">
        <v>6448.3</v>
      </c>
      <c r="D408">
        <v>5.87</v>
      </c>
      <c r="H408" s="62">
        <v>0.86350439422473324</v>
      </c>
      <c r="I408" s="62">
        <v>1</v>
      </c>
      <c r="K408" s="11">
        <f t="shared" si="18"/>
        <v>213978.99999999997</v>
      </c>
      <c r="N408" s="12">
        <f t="shared" si="19"/>
        <v>0.19191369047619047</v>
      </c>
      <c r="O408" s="12">
        <f t="shared" si="20"/>
        <v>2.9079555338116979E-2</v>
      </c>
    </row>
    <row r="409" spans="1:15">
      <c r="A409" s="60">
        <v>45602</v>
      </c>
      <c r="B409">
        <f>VLOOKUP(A409,'BADI SID DATA'!A:B,2,0)</f>
        <v>220</v>
      </c>
      <c r="C409" s="11">
        <v>5120.7</v>
      </c>
      <c r="D409">
        <v>4.8499999999999996</v>
      </c>
      <c r="H409" s="62">
        <v>0.86350439422473324</v>
      </c>
      <c r="I409" s="62">
        <v>1</v>
      </c>
      <c r="K409" s="11">
        <f t="shared" si="18"/>
        <v>219099.69999999998</v>
      </c>
      <c r="N409" s="12">
        <f t="shared" si="19"/>
        <v>0.1524017857142857</v>
      </c>
      <c r="O409" s="12">
        <f t="shared" si="20"/>
        <v>2.964011093073593E-2</v>
      </c>
    </row>
    <row r="410" spans="1:15">
      <c r="A410" s="60">
        <v>45603</v>
      </c>
      <c r="B410">
        <f>VLOOKUP(A410,'BADI SID DATA'!A:B,2,0)</f>
        <v>221</v>
      </c>
      <c r="C410" s="11">
        <v>5641.6</v>
      </c>
      <c r="D410">
        <v>5.18</v>
      </c>
      <c r="H410" s="62">
        <v>0.86350439422473324</v>
      </c>
      <c r="I410" s="62">
        <v>1</v>
      </c>
      <c r="K410" s="11">
        <f t="shared" si="18"/>
        <v>224741.3</v>
      </c>
      <c r="N410" s="12">
        <f t="shared" si="19"/>
        <v>0.16790476190476192</v>
      </c>
      <c r="O410" s="12">
        <f t="shared" si="20"/>
        <v>3.0265742835595775E-2</v>
      </c>
    </row>
    <row r="411" spans="1:15">
      <c r="A411" s="60">
        <v>45604</v>
      </c>
      <c r="B411">
        <f>VLOOKUP(A411,'BADI SID DATA'!A:B,2,0)</f>
        <v>222</v>
      </c>
      <c r="C411" s="11">
        <v>5134.3</v>
      </c>
      <c r="D411">
        <v>4.6399999999999997</v>
      </c>
      <c r="H411" s="62">
        <v>0.86350439422473324</v>
      </c>
      <c r="I411" s="62">
        <v>1</v>
      </c>
      <c r="K411" s="11">
        <f t="shared" si="18"/>
        <v>229875.59999999998</v>
      </c>
      <c r="N411" s="12">
        <f t="shared" si="19"/>
        <v>0.15280654761904763</v>
      </c>
      <c r="O411" s="12">
        <f t="shared" si="20"/>
        <v>3.081772844272844E-2</v>
      </c>
    </row>
    <row r="412" spans="1:15">
      <c r="A412" s="60">
        <v>45605</v>
      </c>
      <c r="B412">
        <f>VLOOKUP(A412,'BADI SID DATA'!A:B,2,0)</f>
        <v>223</v>
      </c>
      <c r="C412" s="11">
        <v>5379.0999999999995</v>
      </c>
      <c r="D412">
        <v>4.96</v>
      </c>
      <c r="H412" s="62">
        <v>0.86350439422473324</v>
      </c>
      <c r="I412" s="62">
        <v>1</v>
      </c>
      <c r="K412" s="11">
        <f t="shared" si="18"/>
        <v>235254.69999999998</v>
      </c>
      <c r="N412" s="12">
        <f t="shared" si="19"/>
        <v>0.16009226190476189</v>
      </c>
      <c r="O412" s="12">
        <f t="shared" si="20"/>
        <v>3.1397434870809308E-2</v>
      </c>
    </row>
    <row r="413" spans="1:15">
      <c r="A413" s="60">
        <v>45606</v>
      </c>
      <c r="B413">
        <f>VLOOKUP(A413,'BADI SID DATA'!A:B,2,0)</f>
        <v>224</v>
      </c>
      <c r="C413" s="11">
        <v>5750.0999999999995</v>
      </c>
      <c r="D413">
        <v>5.36</v>
      </c>
      <c r="H413" s="62">
        <v>0.86350439422473324</v>
      </c>
      <c r="I413" s="62">
        <v>1</v>
      </c>
      <c r="K413" s="11">
        <f t="shared" si="18"/>
        <v>241004.79999999999</v>
      </c>
      <c r="N413" s="12">
        <f t="shared" si="19"/>
        <v>0.17113392857142856</v>
      </c>
      <c r="O413" s="12">
        <f t="shared" si="20"/>
        <v>3.2021258503401359E-2</v>
      </c>
    </row>
    <row r="414" spans="1:15">
      <c r="A414" s="60">
        <v>45607</v>
      </c>
      <c r="B414">
        <f>VLOOKUP(A414,'BADI SID DATA'!A:B,2,0)</f>
        <v>225</v>
      </c>
      <c r="C414" s="11">
        <v>5392.8</v>
      </c>
      <c r="D414">
        <v>5.0199999999999996</v>
      </c>
      <c r="H414" s="62">
        <v>0.86350439422473324</v>
      </c>
      <c r="I414" s="62">
        <v>1</v>
      </c>
      <c r="K414" s="11">
        <f t="shared" si="18"/>
        <v>246397.59999999998</v>
      </c>
      <c r="N414" s="12">
        <f t="shared" si="19"/>
        <v>0.1605</v>
      </c>
      <c r="O414" s="12">
        <f t="shared" si="20"/>
        <v>3.2592275132275132E-2</v>
      </c>
    </row>
    <row r="415" spans="1:15">
      <c r="A415" s="60">
        <v>45608</v>
      </c>
      <c r="B415">
        <f>VLOOKUP(A415,'BADI SID DATA'!A:B,2,0)</f>
        <v>226</v>
      </c>
      <c r="C415" s="11">
        <v>4747.7</v>
      </c>
      <c r="D415">
        <v>4.3499999999999996</v>
      </c>
      <c r="H415" s="62">
        <v>0.86350439422473324</v>
      </c>
      <c r="I415" s="62">
        <v>1</v>
      </c>
      <c r="K415" s="11">
        <f t="shared" si="18"/>
        <v>251145.3</v>
      </c>
      <c r="N415" s="12">
        <f t="shared" si="19"/>
        <v>0.14130059523809524</v>
      </c>
      <c r="O415" s="12">
        <f t="shared" si="20"/>
        <v>3.3073285398230089E-2</v>
      </c>
    </row>
    <row r="416" spans="1:15">
      <c r="A416" s="60">
        <v>45609</v>
      </c>
      <c r="B416">
        <f>VLOOKUP(A416,'BADI SID DATA'!A:B,2,0)</f>
        <v>227</v>
      </c>
      <c r="C416" s="11">
        <v>1825.3999999999999</v>
      </c>
      <c r="D416">
        <v>2.76</v>
      </c>
      <c r="H416" s="62">
        <v>0.56442247332077833</v>
      </c>
      <c r="I416" s="62">
        <v>1</v>
      </c>
      <c r="K416" s="11">
        <f t="shared" si="18"/>
        <v>252970.69999999998</v>
      </c>
      <c r="N416" s="12">
        <f t="shared" si="19"/>
        <v>5.4327380952380946E-2</v>
      </c>
      <c r="O416" s="12">
        <f t="shared" si="20"/>
        <v>3.3166915775120619E-2</v>
      </c>
    </row>
    <row r="417" spans="1:15">
      <c r="A417" s="60">
        <v>45610</v>
      </c>
      <c r="B417">
        <f>VLOOKUP(A417,'BADI SID DATA'!A:B,2,0)</f>
        <v>228</v>
      </c>
      <c r="C417" s="11">
        <v>1873.7999999999997</v>
      </c>
      <c r="D417">
        <v>3.29</v>
      </c>
      <c r="H417" s="62">
        <v>0.4345182046453232</v>
      </c>
      <c r="I417" s="62">
        <v>1</v>
      </c>
      <c r="K417" s="11">
        <f t="shared" si="18"/>
        <v>254844.49999999997</v>
      </c>
      <c r="N417" s="12">
        <f t="shared" si="19"/>
        <v>5.5767857142857133E-2</v>
      </c>
      <c r="O417" s="12">
        <f t="shared" si="20"/>
        <v>3.3266042710944022E-2</v>
      </c>
    </row>
    <row r="418" spans="1:15">
      <c r="A418" s="60">
        <v>45611</v>
      </c>
      <c r="B418">
        <f>VLOOKUP(A418,'BADI SID DATA'!A:B,2,0)</f>
        <v>229</v>
      </c>
      <c r="C418" s="11">
        <v>1984</v>
      </c>
      <c r="D418">
        <v>4.67</v>
      </c>
      <c r="H418" s="62">
        <v>0.86350439422473324</v>
      </c>
      <c r="I418" s="62">
        <v>0.459235718769617</v>
      </c>
      <c r="K418" s="11">
        <f t="shared" si="18"/>
        <v>256828.49999999997</v>
      </c>
      <c r="N418" s="12">
        <f t="shared" si="19"/>
        <v>5.904761904761905E-2</v>
      </c>
      <c r="O418" s="12">
        <f t="shared" si="20"/>
        <v>3.3378626013724266E-2</v>
      </c>
    </row>
    <row r="419" spans="1:15">
      <c r="A419" s="60">
        <v>45612</v>
      </c>
      <c r="B419">
        <f>VLOOKUP(A419,'BADI SID DATA'!A:B,2,0)</f>
        <v>230</v>
      </c>
      <c r="C419" s="11">
        <v>3313.8999999999996</v>
      </c>
      <c r="D419">
        <v>2.96</v>
      </c>
      <c r="H419" s="62">
        <v>0.86350439422473324</v>
      </c>
      <c r="I419" s="62">
        <v>1</v>
      </c>
      <c r="K419" s="11">
        <f t="shared" si="18"/>
        <v>260142.39999999997</v>
      </c>
      <c r="N419" s="12">
        <f t="shared" si="19"/>
        <v>9.8627976190476183E-2</v>
      </c>
      <c r="O419" s="12">
        <f t="shared" si="20"/>
        <v>3.3662318840579707E-2</v>
      </c>
    </row>
    <row r="420" spans="1:15">
      <c r="A420" s="60">
        <v>45613</v>
      </c>
      <c r="B420">
        <f>VLOOKUP(A420,'BADI SID DATA'!A:B,2,0)</f>
        <v>231</v>
      </c>
      <c r="C420" s="11">
        <v>4607.2999999999993</v>
      </c>
      <c r="D420">
        <v>4.24</v>
      </c>
      <c r="H420" s="62">
        <v>0.86350439422473324</v>
      </c>
      <c r="I420" s="62">
        <v>1</v>
      </c>
      <c r="K420" s="11">
        <f t="shared" si="18"/>
        <v>264749.69999999995</v>
      </c>
      <c r="N420" s="12">
        <f t="shared" si="19"/>
        <v>0.13712202380952379</v>
      </c>
      <c r="O420" s="12">
        <f t="shared" si="20"/>
        <v>3.4110196351267774E-2</v>
      </c>
    </row>
    <row r="421" spans="1:15">
      <c r="A421" s="60">
        <v>45614</v>
      </c>
      <c r="B421">
        <f>VLOOKUP(A421,'BADI SID DATA'!A:B,2,0)</f>
        <v>232</v>
      </c>
      <c r="C421" s="11">
        <v>3503.1000000000004</v>
      </c>
      <c r="D421">
        <v>3.07</v>
      </c>
      <c r="H421" s="62">
        <v>0.86350439422473324</v>
      </c>
      <c r="I421" s="62">
        <v>1</v>
      </c>
      <c r="K421" s="11">
        <f t="shared" si="18"/>
        <v>268252.79999999993</v>
      </c>
      <c r="N421" s="12">
        <f t="shared" si="19"/>
        <v>0.10425892857142859</v>
      </c>
      <c r="O421" s="12">
        <f t="shared" si="20"/>
        <v>3.4412561576354674E-2</v>
      </c>
    </row>
    <row r="422" spans="1:15">
      <c r="A422" s="60">
        <v>45615</v>
      </c>
      <c r="B422">
        <f>VLOOKUP(A422,'BADI SID DATA'!A:B,2,0)</f>
        <v>233</v>
      </c>
      <c r="C422" s="11">
        <v>5291.1</v>
      </c>
      <c r="D422">
        <v>4.83</v>
      </c>
      <c r="H422" s="62">
        <v>0.86350439422473324</v>
      </c>
      <c r="I422" s="62">
        <v>1</v>
      </c>
      <c r="K422" s="11">
        <f t="shared" si="18"/>
        <v>273543.89999999991</v>
      </c>
      <c r="N422" s="12">
        <f t="shared" si="19"/>
        <v>0.15747321428571429</v>
      </c>
      <c r="O422" s="12">
        <f t="shared" si="20"/>
        <v>3.4940718884120162E-2</v>
      </c>
    </row>
    <row r="423" spans="1:15">
      <c r="A423" s="60">
        <v>45616</v>
      </c>
      <c r="B423">
        <f>VLOOKUP(A423,'BADI SID DATA'!A:B,2,0)</f>
        <v>234</v>
      </c>
      <c r="C423" s="11">
        <v>2884.9</v>
      </c>
      <c r="D423">
        <v>2.44</v>
      </c>
      <c r="H423" s="62">
        <v>0.86350439422473324</v>
      </c>
      <c r="I423" s="62">
        <v>1</v>
      </c>
      <c r="K423" s="11">
        <f t="shared" si="18"/>
        <v>276428.79999999993</v>
      </c>
      <c r="N423" s="12">
        <f t="shared" si="19"/>
        <v>8.5860119047619046E-2</v>
      </c>
      <c r="O423" s="12">
        <f t="shared" si="20"/>
        <v>3.5158323158323151E-2</v>
      </c>
    </row>
    <row r="424" spans="1:15">
      <c r="A424" s="60">
        <v>45617</v>
      </c>
      <c r="B424">
        <f>VLOOKUP(A424,'BADI SID DATA'!A:B,2,0)</f>
        <v>235</v>
      </c>
      <c r="C424" s="11">
        <v>2712.7999999999997</v>
      </c>
      <c r="D424">
        <v>2.41</v>
      </c>
      <c r="H424" s="62">
        <v>0.86350439422473324</v>
      </c>
      <c r="I424" s="62">
        <v>1</v>
      </c>
      <c r="K424" s="11">
        <f t="shared" si="18"/>
        <v>279141.59999999992</v>
      </c>
      <c r="N424" s="12">
        <f t="shared" si="19"/>
        <v>8.0738095238095234E-2</v>
      </c>
      <c r="O424" s="12">
        <f t="shared" si="20"/>
        <v>3.5352279635258346E-2</v>
      </c>
    </row>
    <row r="425" spans="1:15">
      <c r="A425" s="60">
        <v>45618</v>
      </c>
      <c r="B425">
        <f>VLOOKUP(A425,'BADI SID DATA'!A:B,2,0)</f>
        <v>236</v>
      </c>
      <c r="C425" s="11">
        <v>5612.5</v>
      </c>
      <c r="D425">
        <v>5.24</v>
      </c>
      <c r="H425" s="62">
        <v>0.87792294413057126</v>
      </c>
      <c r="I425" s="62">
        <v>1</v>
      </c>
      <c r="K425" s="11">
        <f t="shared" si="18"/>
        <v>284754.09999999992</v>
      </c>
      <c r="N425" s="12">
        <f t="shared" si="19"/>
        <v>0.16703869047619047</v>
      </c>
      <c r="O425" s="12">
        <f t="shared" si="20"/>
        <v>3.5910272901533487E-2</v>
      </c>
    </row>
    <row r="426" spans="1:15">
      <c r="A426" s="60">
        <v>45619</v>
      </c>
      <c r="B426">
        <f>VLOOKUP(A426,'BADI SID DATA'!A:B,2,0)</f>
        <v>237</v>
      </c>
      <c r="C426" s="11">
        <v>5576</v>
      </c>
      <c r="D426">
        <v>4.4000000000000004</v>
      </c>
      <c r="H426" s="62">
        <v>1</v>
      </c>
      <c r="I426" s="62">
        <v>1</v>
      </c>
      <c r="K426" s="11">
        <f t="shared" si="18"/>
        <v>290330.09999999992</v>
      </c>
      <c r="N426" s="12">
        <f t="shared" si="19"/>
        <v>0.16595238095238096</v>
      </c>
      <c r="O426" s="12">
        <f t="shared" si="20"/>
        <v>3.6458973779385159E-2</v>
      </c>
    </row>
    <row r="427" spans="1:15">
      <c r="A427" s="60">
        <v>45620</v>
      </c>
      <c r="B427">
        <f>VLOOKUP(A427,'BADI SID DATA'!A:B,2,0)</f>
        <v>238</v>
      </c>
      <c r="C427" s="11">
        <v>6396.7</v>
      </c>
      <c r="D427">
        <v>5.07</v>
      </c>
      <c r="H427" s="62">
        <v>1</v>
      </c>
      <c r="I427" s="62">
        <v>1</v>
      </c>
      <c r="K427" s="11">
        <f t="shared" si="18"/>
        <v>296726.79999999993</v>
      </c>
      <c r="N427" s="12">
        <f t="shared" si="19"/>
        <v>0.19037797619047619</v>
      </c>
      <c r="O427" s="12">
        <f t="shared" si="20"/>
        <v>3.7105692276910754E-2</v>
      </c>
    </row>
    <row r="428" spans="1:15">
      <c r="A428" s="60">
        <v>45621</v>
      </c>
      <c r="B428">
        <f>VLOOKUP(A428,'BADI SID DATA'!A:B,2,0)</f>
        <v>239</v>
      </c>
      <c r="C428" s="11">
        <v>6794.7</v>
      </c>
      <c r="D428">
        <v>5.44</v>
      </c>
      <c r="H428" s="62">
        <v>1</v>
      </c>
      <c r="I428" s="62">
        <v>1</v>
      </c>
      <c r="K428" s="11">
        <f t="shared" si="18"/>
        <v>303521.49999999994</v>
      </c>
      <c r="N428" s="12">
        <f t="shared" si="19"/>
        <v>0.20222321428571427</v>
      </c>
      <c r="O428" s="12">
        <f t="shared" si="20"/>
        <v>3.7796560569834624E-2</v>
      </c>
    </row>
    <row r="429" spans="1:15">
      <c r="A429" s="60">
        <v>45622</v>
      </c>
      <c r="B429">
        <f>VLOOKUP(A429,'BADI SID DATA'!A:B,2,0)</f>
        <v>240</v>
      </c>
      <c r="C429" s="11">
        <v>4577.7</v>
      </c>
      <c r="D429">
        <v>4.91</v>
      </c>
      <c r="H429" s="62">
        <v>1</v>
      </c>
      <c r="I429" s="62">
        <v>0.84057203389830515</v>
      </c>
      <c r="K429" s="11">
        <f t="shared" si="18"/>
        <v>308099.19999999995</v>
      </c>
      <c r="N429" s="12">
        <f t="shared" si="19"/>
        <v>0.13624107142857142</v>
      </c>
      <c r="O429" s="12">
        <f t="shared" si="20"/>
        <v>3.8206746031746029E-2</v>
      </c>
    </row>
    <row r="430" spans="1:15">
      <c r="A430" s="60">
        <v>45623</v>
      </c>
      <c r="B430">
        <f>VLOOKUP(A430,'BADI SID DATA'!A:B,2,0)</f>
        <v>241</v>
      </c>
      <c r="C430" s="11">
        <v>5761.0000000000009</v>
      </c>
      <c r="D430">
        <v>4.49</v>
      </c>
      <c r="H430" s="62">
        <v>1</v>
      </c>
      <c r="I430" s="62">
        <v>1</v>
      </c>
      <c r="K430" s="11">
        <f t="shared" si="18"/>
        <v>313860.19999999995</v>
      </c>
      <c r="N430" s="12">
        <f t="shared" si="19"/>
        <v>0.17145833333333335</v>
      </c>
      <c r="O430" s="12">
        <f t="shared" si="20"/>
        <v>3.8759657182375021E-2</v>
      </c>
    </row>
    <row r="431" spans="1:15">
      <c r="A431" s="60">
        <v>45624</v>
      </c>
      <c r="B431">
        <f>VLOOKUP(A431,'BADI SID DATA'!A:B,2,0)</f>
        <v>242</v>
      </c>
      <c r="C431" s="11">
        <v>5643.5</v>
      </c>
      <c r="D431">
        <v>4.37</v>
      </c>
      <c r="H431" s="62">
        <v>1</v>
      </c>
      <c r="I431" s="62">
        <v>1</v>
      </c>
      <c r="K431" s="11">
        <f t="shared" si="18"/>
        <v>319503.69999999995</v>
      </c>
      <c r="N431" s="12">
        <f t="shared" si="19"/>
        <v>0.16796130952380953</v>
      </c>
      <c r="O431" s="12">
        <f t="shared" si="20"/>
        <v>3.9293548307752849E-2</v>
      </c>
    </row>
    <row r="432" spans="1:15">
      <c r="A432" s="60">
        <v>45625</v>
      </c>
      <c r="B432">
        <f>VLOOKUP(A432,'BADI SID DATA'!A:B,2,0)</f>
        <v>243</v>
      </c>
      <c r="C432" s="11">
        <v>5770.3</v>
      </c>
      <c r="D432">
        <v>4.4000000000000004</v>
      </c>
      <c r="H432" s="62">
        <v>1</v>
      </c>
      <c r="I432" s="62">
        <v>1</v>
      </c>
      <c r="K432" s="11">
        <f t="shared" si="18"/>
        <v>325273.99999999994</v>
      </c>
      <c r="N432" s="12">
        <f t="shared" si="19"/>
        <v>0.17173511904761904</v>
      </c>
      <c r="O432" s="12">
        <f t="shared" si="20"/>
        <v>3.9838575347834602E-2</v>
      </c>
    </row>
    <row r="433" spans="1:15">
      <c r="A433" s="60">
        <v>45626</v>
      </c>
      <c r="B433">
        <f>VLOOKUP(A433,'BADI SID DATA'!A:B,2,0)</f>
        <v>244</v>
      </c>
      <c r="C433" s="11">
        <v>5552</v>
      </c>
      <c r="D433">
        <v>4.67</v>
      </c>
      <c r="H433" s="62">
        <v>1</v>
      </c>
      <c r="I433" s="62">
        <v>0.94668079096045199</v>
      </c>
      <c r="K433" s="11">
        <f t="shared" si="18"/>
        <v>330825.99999999994</v>
      </c>
      <c r="N433" s="12">
        <f t="shared" si="19"/>
        <v>0.16523809523809524</v>
      </c>
      <c r="O433" s="12">
        <f t="shared" si="20"/>
        <v>4.035250780640124E-2</v>
      </c>
    </row>
    <row r="434" spans="1:15">
      <c r="A434" s="60">
        <v>45627</v>
      </c>
      <c r="B434">
        <f>VLOOKUP(A434,'BADI SID DATA'!A:B,2,0)</f>
        <v>245</v>
      </c>
      <c r="C434" s="11">
        <v>4939.5</v>
      </c>
      <c r="D434">
        <v>3.78</v>
      </c>
      <c r="H434" s="62">
        <v>1</v>
      </c>
      <c r="I434" s="62">
        <v>1</v>
      </c>
      <c r="K434" s="11">
        <f t="shared" ref="K434:K497" si="21">K433+C434</f>
        <v>335765.49999999994</v>
      </c>
      <c r="N434" s="12">
        <f t="shared" si="19"/>
        <v>0.14700892857142858</v>
      </c>
      <c r="O434" s="12">
        <f t="shared" si="20"/>
        <v>4.0787840136054417E-2</v>
      </c>
    </row>
    <row r="435" spans="1:15">
      <c r="A435" s="60">
        <v>45628</v>
      </c>
      <c r="B435">
        <f>VLOOKUP(A435,'BADI SID DATA'!A:B,2,0)</f>
        <v>246</v>
      </c>
      <c r="C435" s="11">
        <v>4869.5999999999995</v>
      </c>
      <c r="D435">
        <v>3.67</v>
      </c>
      <c r="H435" s="62">
        <v>1</v>
      </c>
      <c r="I435" s="62">
        <v>1</v>
      </c>
      <c r="K435" s="11">
        <f t="shared" si="21"/>
        <v>340635.09999999992</v>
      </c>
      <c r="N435" s="12">
        <f t="shared" si="19"/>
        <v>0.14492857142857141</v>
      </c>
      <c r="O435" s="12">
        <f t="shared" si="20"/>
        <v>4.1211176442121557E-2</v>
      </c>
    </row>
    <row r="436" spans="1:15">
      <c r="A436" s="60">
        <v>45629</v>
      </c>
      <c r="B436">
        <f>VLOOKUP(A436,'BADI SID DATA'!A:B,2,0)</f>
        <v>247</v>
      </c>
      <c r="C436" s="11">
        <v>5186.2</v>
      </c>
      <c r="D436">
        <v>4.03</v>
      </c>
      <c r="H436" s="62">
        <v>1</v>
      </c>
      <c r="I436" s="62">
        <v>1</v>
      </c>
      <c r="K436" s="11">
        <f t="shared" si="21"/>
        <v>345821.29999999993</v>
      </c>
      <c r="N436" s="12">
        <f t="shared" si="19"/>
        <v>0.15435119047619048</v>
      </c>
      <c r="O436" s="12">
        <f t="shared" si="20"/>
        <v>4.1669233179101595E-2</v>
      </c>
    </row>
    <row r="437" spans="1:15">
      <c r="A437" s="60">
        <v>45630</v>
      </c>
      <c r="B437">
        <f>VLOOKUP(A437,'BADI SID DATA'!A:B,2,0)</f>
        <v>248</v>
      </c>
      <c r="C437" s="11">
        <v>6222.2999999999993</v>
      </c>
      <c r="D437">
        <v>4.9400000000000004</v>
      </c>
      <c r="H437" s="62">
        <v>1</v>
      </c>
      <c r="I437" s="62">
        <v>1</v>
      </c>
      <c r="K437" s="11">
        <f t="shared" si="21"/>
        <v>352043.59999999992</v>
      </c>
      <c r="N437" s="12">
        <f t="shared" si="19"/>
        <v>0.18518749999999998</v>
      </c>
      <c r="O437" s="12">
        <f t="shared" si="20"/>
        <v>4.2247935867895534E-2</v>
      </c>
    </row>
    <row r="438" spans="1:15">
      <c r="A438" s="60">
        <v>45631</v>
      </c>
      <c r="B438">
        <f>VLOOKUP(A438,'BADI SID DATA'!A:B,2,0)</f>
        <v>249</v>
      </c>
      <c r="C438" s="11">
        <v>5672.5</v>
      </c>
      <c r="D438">
        <v>4.6500000000000004</v>
      </c>
      <c r="H438" s="62">
        <v>1</v>
      </c>
      <c r="I438" s="62">
        <v>0.97598870056497178</v>
      </c>
      <c r="K438" s="11">
        <f t="shared" si="21"/>
        <v>357716.09999999992</v>
      </c>
      <c r="N438" s="12">
        <f t="shared" si="19"/>
        <v>0.16882440476190477</v>
      </c>
      <c r="O438" s="12">
        <f t="shared" si="20"/>
        <v>4.27562751004016E-2</v>
      </c>
    </row>
    <row r="439" spans="1:15">
      <c r="A439" s="60">
        <v>45632</v>
      </c>
      <c r="B439">
        <f>VLOOKUP(A439,'BADI SID DATA'!A:B,2,0)</f>
        <v>250</v>
      </c>
      <c r="C439" s="11">
        <v>4460.8</v>
      </c>
      <c r="D439">
        <v>4.42</v>
      </c>
      <c r="H439" s="62">
        <v>1</v>
      </c>
      <c r="I439" s="62">
        <v>0.97999058380414317</v>
      </c>
      <c r="K439" s="11">
        <f t="shared" si="21"/>
        <v>362176.89999999991</v>
      </c>
      <c r="N439" s="12">
        <f t="shared" si="19"/>
        <v>0.13276190476190478</v>
      </c>
      <c r="O439" s="12">
        <f t="shared" si="20"/>
        <v>4.311629761904761E-2</v>
      </c>
    </row>
    <row r="440" spans="1:15">
      <c r="A440" s="60">
        <v>45633</v>
      </c>
      <c r="B440">
        <f>VLOOKUP(A440,'BADI SID DATA'!A:B,2,0)</f>
        <v>251</v>
      </c>
      <c r="C440" s="11">
        <v>6319.6</v>
      </c>
      <c r="D440">
        <v>5.08</v>
      </c>
      <c r="H440" s="62">
        <v>1</v>
      </c>
      <c r="I440" s="62">
        <v>1</v>
      </c>
      <c r="K440" s="11">
        <f t="shared" si="21"/>
        <v>368496.49999999988</v>
      </c>
      <c r="N440" s="12">
        <f t="shared" si="19"/>
        <v>0.18808333333333335</v>
      </c>
      <c r="O440" s="12">
        <f t="shared" si="20"/>
        <v>4.3693855530259902E-2</v>
      </c>
    </row>
    <row r="441" spans="1:15">
      <c r="A441" s="60">
        <v>45634</v>
      </c>
      <c r="B441">
        <f>VLOOKUP(A441,'BADI SID DATA'!A:B,2,0)</f>
        <v>252</v>
      </c>
      <c r="C441" s="11">
        <v>6189.1</v>
      </c>
      <c r="D441">
        <v>4.9000000000000004</v>
      </c>
      <c r="H441" s="62">
        <v>1</v>
      </c>
      <c r="I441" s="62">
        <v>1</v>
      </c>
      <c r="K441" s="11">
        <f t="shared" si="21"/>
        <v>374685.59999999986</v>
      </c>
      <c r="N441" s="12">
        <f t="shared" si="19"/>
        <v>0.18419940476190477</v>
      </c>
      <c r="O441" s="12">
        <f t="shared" si="20"/>
        <v>4.4251417233560075E-2</v>
      </c>
    </row>
    <row r="442" spans="1:15">
      <c r="A442" s="60">
        <v>45635</v>
      </c>
      <c r="B442">
        <f>VLOOKUP(A442,'BADI SID DATA'!A:B,2,0)</f>
        <v>253</v>
      </c>
      <c r="C442" s="11">
        <v>5117.5</v>
      </c>
      <c r="D442">
        <v>3.96</v>
      </c>
      <c r="H442" s="62">
        <v>1</v>
      </c>
      <c r="I442" s="62">
        <v>1</v>
      </c>
      <c r="K442" s="11">
        <f t="shared" si="21"/>
        <v>379803.09999999986</v>
      </c>
      <c r="N442" s="12">
        <f t="shared" si="19"/>
        <v>0.15230654761904761</v>
      </c>
      <c r="O442" s="12">
        <f t="shared" si="20"/>
        <v>4.4678512610577814E-2</v>
      </c>
    </row>
    <row r="443" spans="1:15">
      <c r="A443" s="60">
        <v>45636</v>
      </c>
      <c r="B443">
        <f>VLOOKUP(A443,'BADI SID DATA'!A:B,2,0)</f>
        <v>254</v>
      </c>
      <c r="C443" s="11">
        <v>4988.7</v>
      </c>
      <c r="D443">
        <v>3.84</v>
      </c>
      <c r="H443" s="62">
        <v>1</v>
      </c>
      <c r="I443" s="62">
        <v>1</v>
      </c>
      <c r="K443" s="11">
        <f t="shared" si="21"/>
        <v>384791.79999999987</v>
      </c>
      <c r="N443" s="12">
        <f t="shared" si="19"/>
        <v>0.14847321428571428</v>
      </c>
      <c r="O443" s="12">
        <f t="shared" si="20"/>
        <v>4.508715316835394E-2</v>
      </c>
    </row>
    <row r="444" spans="1:15">
      <c r="A444" s="60">
        <v>45637</v>
      </c>
      <c r="B444">
        <f>VLOOKUP(A444,'BADI SID DATA'!A:B,2,0)</f>
        <v>255</v>
      </c>
      <c r="C444" s="11">
        <v>6026</v>
      </c>
      <c r="D444">
        <v>3.84</v>
      </c>
      <c r="H444" s="62">
        <v>1</v>
      </c>
      <c r="I444" s="62">
        <v>1</v>
      </c>
      <c r="K444" s="11">
        <f t="shared" si="21"/>
        <v>390817.79999999987</v>
      </c>
      <c r="N444" s="12">
        <f t="shared" si="19"/>
        <v>0.17934523809523809</v>
      </c>
      <c r="O444" s="12">
        <f t="shared" si="20"/>
        <v>4.5613655462184856E-2</v>
      </c>
    </row>
    <row r="445" spans="1:15">
      <c r="A445" s="60">
        <v>45638</v>
      </c>
      <c r="B445">
        <f>VLOOKUP(A445,'BADI SID DATA'!A:B,2,0)</f>
        <v>256</v>
      </c>
      <c r="C445" s="11">
        <v>5788.7999999999993</v>
      </c>
      <c r="D445">
        <v>4.6100000000000003</v>
      </c>
      <c r="H445" s="62">
        <v>1</v>
      </c>
      <c r="I445" s="62">
        <v>0.99305555555555558</v>
      </c>
      <c r="K445" s="11">
        <f t="shared" si="21"/>
        <v>396606.59999999986</v>
      </c>
      <c r="N445" s="12">
        <f t="shared" si="19"/>
        <v>0.17228571428571426</v>
      </c>
      <c r="O445" s="12">
        <f t="shared" si="20"/>
        <v>4.6108468191964271E-2</v>
      </c>
    </row>
    <row r="446" spans="1:15">
      <c r="A446" s="60">
        <v>45639</v>
      </c>
      <c r="B446">
        <f>VLOOKUP(A446,'BADI SID DATA'!A:B,2,0)</f>
        <v>257</v>
      </c>
      <c r="C446" s="11">
        <v>4167.7</v>
      </c>
      <c r="D446">
        <v>3.28</v>
      </c>
      <c r="H446" s="62">
        <v>1</v>
      </c>
      <c r="I446" s="62">
        <v>1</v>
      </c>
      <c r="K446" s="11">
        <f t="shared" si="21"/>
        <v>400774.29999999987</v>
      </c>
      <c r="N446" s="12">
        <f t="shared" si="19"/>
        <v>0.12403869047619047</v>
      </c>
      <c r="O446" s="12">
        <f t="shared" si="20"/>
        <v>4.6411698628867876E-2</v>
      </c>
    </row>
    <row r="447" spans="1:15">
      <c r="A447" s="60">
        <v>45640</v>
      </c>
      <c r="B447">
        <f>VLOOKUP(A447,'BADI SID DATA'!A:B,2,0)</f>
        <v>258</v>
      </c>
      <c r="C447" s="11">
        <v>1298.4999999999998</v>
      </c>
      <c r="D447">
        <v>1.28</v>
      </c>
      <c r="H447" s="62">
        <v>1</v>
      </c>
      <c r="I447" s="62">
        <v>1</v>
      </c>
      <c r="K447" s="11">
        <f t="shared" si="21"/>
        <v>402072.79999999987</v>
      </c>
      <c r="N447" s="12">
        <f t="shared" si="19"/>
        <v>3.8645833333333324E-2</v>
      </c>
      <c r="O447" s="12">
        <f t="shared" si="20"/>
        <v>4.6381598375784407E-2</v>
      </c>
    </row>
    <row r="448" spans="1:15">
      <c r="A448" s="60">
        <v>45641</v>
      </c>
      <c r="B448">
        <f>VLOOKUP(A448,'BADI SID DATA'!A:B,2,0)</f>
        <v>259</v>
      </c>
      <c r="C448" s="11">
        <v>6046.8000000000011</v>
      </c>
      <c r="D448">
        <v>4.87</v>
      </c>
      <c r="H448" s="62">
        <v>1</v>
      </c>
      <c r="I448" s="62">
        <v>1</v>
      </c>
      <c r="K448" s="11">
        <f t="shared" si="21"/>
        <v>408119.59999999986</v>
      </c>
      <c r="N448" s="12">
        <f t="shared" si="19"/>
        <v>0.17996428571428574</v>
      </c>
      <c r="O448" s="12">
        <f t="shared" si="20"/>
        <v>4.6897361647361628E-2</v>
      </c>
    </row>
    <row r="449" spans="1:15">
      <c r="A449" s="60">
        <v>45642</v>
      </c>
      <c r="B449">
        <f>VLOOKUP(A449,'BADI SID DATA'!A:B,2,0)</f>
        <v>260</v>
      </c>
      <c r="C449" s="11">
        <v>5776.5</v>
      </c>
      <c r="D449">
        <v>4.53</v>
      </c>
      <c r="H449" s="62">
        <v>1</v>
      </c>
      <c r="I449" s="62">
        <v>1</v>
      </c>
      <c r="K449" s="11">
        <f t="shared" si="21"/>
        <v>413896.09999999986</v>
      </c>
      <c r="N449" s="12">
        <f t="shared" si="19"/>
        <v>0.17191964285714287</v>
      </c>
      <c r="O449" s="12">
        <f t="shared" si="20"/>
        <v>4.7378216575091558E-2</v>
      </c>
    </row>
    <row r="450" spans="1:15">
      <c r="A450" s="60">
        <v>45643</v>
      </c>
      <c r="B450">
        <f>VLOOKUP(A450,'BADI SID DATA'!A:B,2,0)</f>
        <v>261</v>
      </c>
      <c r="C450" s="11">
        <v>4767.2999999999993</v>
      </c>
      <c r="D450">
        <v>3.79</v>
      </c>
      <c r="H450" s="62">
        <v>1</v>
      </c>
      <c r="I450" s="62">
        <v>1</v>
      </c>
      <c r="K450" s="11">
        <f t="shared" si="21"/>
        <v>418663.39999999985</v>
      </c>
      <c r="N450" s="12">
        <f t="shared" si="19"/>
        <v>0.14188392857142856</v>
      </c>
      <c r="O450" s="12">
        <f t="shared" si="20"/>
        <v>4.7740307425652238E-2</v>
      </c>
    </row>
    <row r="451" spans="1:15">
      <c r="A451" s="60">
        <v>45644</v>
      </c>
      <c r="B451">
        <f>VLOOKUP(A451,'BADI SID DATA'!A:B,2,0)</f>
        <v>262</v>
      </c>
      <c r="C451" s="11">
        <v>5906.1</v>
      </c>
      <c r="D451">
        <v>4.68</v>
      </c>
      <c r="H451" s="62">
        <v>1</v>
      </c>
      <c r="I451" s="62">
        <v>1</v>
      </c>
      <c r="K451" s="11">
        <f t="shared" si="21"/>
        <v>424569.49999999983</v>
      </c>
      <c r="N451" s="12">
        <f t="shared" ref="N451:N514" si="22">C451/(1400*24)</f>
        <v>0.17577678571428573</v>
      </c>
      <c r="O451" s="12">
        <f t="shared" ref="O451:O514" si="23">K451/(B451*1400*24)</f>
        <v>4.8228996274082135E-2</v>
      </c>
    </row>
    <row r="452" spans="1:15">
      <c r="A452" s="60">
        <v>45645</v>
      </c>
      <c r="B452">
        <f>VLOOKUP(A452,'BADI SID DATA'!A:B,2,0)</f>
        <v>263</v>
      </c>
      <c r="C452" s="11">
        <v>6156.4000000000005</v>
      </c>
      <c r="D452">
        <v>4.9000000000000004</v>
      </c>
      <c r="H452" s="62">
        <v>1</v>
      </c>
      <c r="I452" s="62">
        <v>1</v>
      </c>
      <c r="K452" s="11">
        <f t="shared" si="21"/>
        <v>430725.89999999985</v>
      </c>
      <c r="N452" s="12">
        <f t="shared" si="22"/>
        <v>0.18322619047619049</v>
      </c>
      <c r="O452" s="12">
        <f t="shared" si="23"/>
        <v>4.874229359043996E-2</v>
      </c>
    </row>
    <row r="453" spans="1:15">
      <c r="A453" s="60">
        <v>45646</v>
      </c>
      <c r="B453">
        <f>VLOOKUP(A453,'BADI SID DATA'!A:B,2,0)</f>
        <v>264</v>
      </c>
      <c r="C453" s="11">
        <v>5655.7</v>
      </c>
      <c r="D453">
        <v>4.4400000000000004</v>
      </c>
      <c r="H453" s="62">
        <v>1</v>
      </c>
      <c r="I453" s="62">
        <v>1</v>
      </c>
      <c r="K453" s="11">
        <f t="shared" si="21"/>
        <v>436381.59999999986</v>
      </c>
      <c r="N453" s="12">
        <f t="shared" si="22"/>
        <v>0.16832440476190474</v>
      </c>
      <c r="O453" s="12">
        <f t="shared" si="23"/>
        <v>4.9195256132756118E-2</v>
      </c>
    </row>
    <row r="454" spans="1:15">
      <c r="A454" s="60">
        <v>45647</v>
      </c>
      <c r="B454">
        <f>VLOOKUP(A454,'BADI SID DATA'!A:B,2,0)</f>
        <v>265</v>
      </c>
      <c r="C454" s="11">
        <v>5764.2</v>
      </c>
      <c r="D454">
        <v>4.68</v>
      </c>
      <c r="H454" s="62">
        <v>1</v>
      </c>
      <c r="I454" s="62">
        <v>1</v>
      </c>
      <c r="K454" s="11">
        <f t="shared" si="21"/>
        <v>442145.79999999987</v>
      </c>
      <c r="N454" s="12">
        <f t="shared" si="22"/>
        <v>0.17155357142857142</v>
      </c>
      <c r="O454" s="12">
        <f t="shared" si="23"/>
        <v>4.9656985624438439E-2</v>
      </c>
    </row>
    <row r="455" spans="1:15">
      <c r="A455" s="60">
        <v>45648</v>
      </c>
      <c r="B455">
        <f>VLOOKUP(A455,'BADI SID DATA'!A:B,2,0)</f>
        <v>266</v>
      </c>
      <c r="C455" s="11">
        <v>6860.8000000000011</v>
      </c>
      <c r="D455">
        <v>5.46</v>
      </c>
      <c r="H455" s="62">
        <v>1</v>
      </c>
      <c r="I455" s="62">
        <v>1</v>
      </c>
      <c r="K455" s="11">
        <f t="shared" si="21"/>
        <v>449006.59999999986</v>
      </c>
      <c r="N455" s="12">
        <f t="shared" si="22"/>
        <v>0.20419047619047623</v>
      </c>
      <c r="O455" s="12">
        <f t="shared" si="23"/>
        <v>5.0237938596491213E-2</v>
      </c>
    </row>
    <row r="456" spans="1:15">
      <c r="A456" s="60">
        <v>45649</v>
      </c>
      <c r="B456">
        <f>VLOOKUP(A456,'BADI SID DATA'!A:B,2,0)</f>
        <v>267</v>
      </c>
      <c r="C456" s="11">
        <v>6559.4</v>
      </c>
      <c r="D456">
        <v>5.23</v>
      </c>
      <c r="H456" s="62">
        <v>1</v>
      </c>
      <c r="I456" s="62">
        <v>1</v>
      </c>
      <c r="K456" s="11">
        <f t="shared" si="21"/>
        <v>455565.99999999988</v>
      </c>
      <c r="N456" s="12">
        <f t="shared" si="22"/>
        <v>0.19522023809523809</v>
      </c>
      <c r="O456" s="12">
        <f t="shared" si="23"/>
        <v>5.0780943463527718E-2</v>
      </c>
    </row>
    <row r="457" spans="1:15">
      <c r="A457" s="60">
        <v>45650</v>
      </c>
      <c r="B457">
        <f>VLOOKUP(A457,'BADI SID DATA'!A:B,2,0)</f>
        <v>268</v>
      </c>
      <c r="C457" s="11">
        <v>6078.1</v>
      </c>
      <c r="D457">
        <v>4.87</v>
      </c>
      <c r="H457" s="62">
        <v>1</v>
      </c>
      <c r="I457" s="62">
        <v>1</v>
      </c>
      <c r="K457" s="11">
        <f t="shared" si="21"/>
        <v>461644.09999999986</v>
      </c>
      <c r="N457" s="12">
        <f t="shared" si="22"/>
        <v>0.18089583333333334</v>
      </c>
      <c r="O457" s="12">
        <f t="shared" si="23"/>
        <v>5.1266446783937443E-2</v>
      </c>
    </row>
    <row r="458" spans="1:15">
      <c r="A458" s="60">
        <v>45651</v>
      </c>
      <c r="B458">
        <f>VLOOKUP(A458,'BADI SID DATA'!A:B,2,0)</f>
        <v>269</v>
      </c>
      <c r="C458" s="11">
        <v>6878.7</v>
      </c>
      <c r="D458">
        <v>5.21</v>
      </c>
      <c r="H458" s="62">
        <v>1</v>
      </c>
      <c r="I458" s="62">
        <v>1</v>
      </c>
      <c r="K458" s="11">
        <f t="shared" si="21"/>
        <v>468522.79999999987</v>
      </c>
      <c r="N458" s="12">
        <f t="shared" si="22"/>
        <v>0.20472321428571427</v>
      </c>
      <c r="O458" s="12">
        <f t="shared" si="23"/>
        <v>5.183691803859089E-2</v>
      </c>
    </row>
    <row r="459" spans="1:15">
      <c r="A459" s="60">
        <v>45652</v>
      </c>
      <c r="B459">
        <f>VLOOKUP(A459,'BADI SID DATA'!A:B,2,0)</f>
        <v>270</v>
      </c>
      <c r="C459" s="11">
        <v>6225.2000000000007</v>
      </c>
      <c r="D459">
        <v>5</v>
      </c>
      <c r="H459" s="62">
        <v>1</v>
      </c>
      <c r="I459" s="62">
        <v>1</v>
      </c>
      <c r="K459" s="11">
        <f t="shared" si="21"/>
        <v>474747.99999999988</v>
      </c>
      <c r="N459" s="12">
        <f t="shared" si="22"/>
        <v>0.18527380952380954</v>
      </c>
      <c r="O459" s="12">
        <f t="shared" si="23"/>
        <v>5.23311287477954E-2</v>
      </c>
    </row>
    <row r="460" spans="1:15">
      <c r="A460" s="60">
        <v>45653</v>
      </c>
      <c r="B460">
        <f>VLOOKUP(A460,'BADI SID DATA'!A:B,2,0)</f>
        <v>271</v>
      </c>
      <c r="C460" s="11">
        <v>6121.7000000000007</v>
      </c>
      <c r="D460">
        <v>4.92</v>
      </c>
      <c r="H460" s="62">
        <v>1</v>
      </c>
      <c r="I460" s="62">
        <v>1</v>
      </c>
      <c r="K460" s="11">
        <f t="shared" si="21"/>
        <v>480869.6999999999</v>
      </c>
      <c r="N460" s="12">
        <f t="shared" si="22"/>
        <v>0.18219345238095241</v>
      </c>
      <c r="O460" s="12">
        <f t="shared" si="23"/>
        <v>5.2810325513969414E-2</v>
      </c>
    </row>
    <row r="461" spans="1:15">
      <c r="A461" s="60">
        <v>45654</v>
      </c>
      <c r="B461">
        <f>VLOOKUP(A461,'BADI SID DATA'!A:B,2,0)</f>
        <v>272</v>
      </c>
      <c r="C461" s="11">
        <v>5981.0999999999995</v>
      </c>
      <c r="D461">
        <v>4.6900000000000004</v>
      </c>
      <c r="H461" s="62">
        <v>1</v>
      </c>
      <c r="I461" s="62">
        <v>1</v>
      </c>
      <c r="K461" s="11">
        <f t="shared" si="21"/>
        <v>486850.79999999987</v>
      </c>
      <c r="N461" s="12">
        <f t="shared" si="22"/>
        <v>0.17800892857142855</v>
      </c>
      <c r="O461" s="12">
        <f t="shared" si="23"/>
        <v>5.3270614495798306E-2</v>
      </c>
    </row>
    <row r="462" spans="1:15">
      <c r="A462" s="60">
        <v>45655</v>
      </c>
      <c r="B462">
        <f>VLOOKUP(A462,'BADI SID DATA'!A:B,2,0)</f>
        <v>273</v>
      </c>
      <c r="C462" s="11">
        <v>4405.9000000000005</v>
      </c>
      <c r="D462">
        <v>3.52</v>
      </c>
      <c r="H462" s="62">
        <v>1</v>
      </c>
      <c r="I462" s="62">
        <v>1</v>
      </c>
      <c r="K462" s="11">
        <f t="shared" si="21"/>
        <v>491256.6999999999</v>
      </c>
      <c r="N462" s="12">
        <f t="shared" si="22"/>
        <v>0.1311279761904762</v>
      </c>
      <c r="O462" s="12">
        <f t="shared" si="23"/>
        <v>5.3555806296877714E-2</v>
      </c>
    </row>
    <row r="463" spans="1:15">
      <c r="A463" s="60">
        <v>45656</v>
      </c>
      <c r="B463">
        <f>VLOOKUP(A463,'BADI SID DATA'!A:B,2,0)</f>
        <v>274</v>
      </c>
      <c r="C463" s="11">
        <v>6097.8000000000011</v>
      </c>
      <c r="D463">
        <v>4.9000000000000004</v>
      </c>
      <c r="H463" s="62">
        <v>1</v>
      </c>
      <c r="I463" s="62">
        <v>1</v>
      </c>
      <c r="K463" s="11">
        <f t="shared" si="21"/>
        <v>497354.49999999988</v>
      </c>
      <c r="N463" s="12">
        <f t="shared" si="22"/>
        <v>0.1814821428571429</v>
      </c>
      <c r="O463" s="12">
        <f t="shared" si="23"/>
        <v>5.4022690736878681E-2</v>
      </c>
    </row>
    <row r="464" spans="1:15">
      <c r="A464" s="60">
        <v>45657</v>
      </c>
      <c r="B464">
        <f>VLOOKUP(A464,'BADI SID DATA'!A:B,2,0)</f>
        <v>275</v>
      </c>
      <c r="C464" s="11">
        <v>6218.7999999999993</v>
      </c>
      <c r="D464">
        <v>4.97</v>
      </c>
      <c r="H464" s="62">
        <v>1</v>
      </c>
      <c r="I464" s="62">
        <v>1</v>
      </c>
      <c r="K464" s="11">
        <f t="shared" si="21"/>
        <v>503573.29999999987</v>
      </c>
      <c r="N464" s="12">
        <f t="shared" si="22"/>
        <v>0.18508333333333332</v>
      </c>
      <c r="O464" s="12">
        <f t="shared" si="23"/>
        <v>5.4499274891774876E-2</v>
      </c>
    </row>
    <row r="465" spans="1:15">
      <c r="A465" s="60">
        <v>45658</v>
      </c>
      <c r="B465">
        <f>VLOOKUP(A465,'BADI SID DATA'!A:B,2,0)</f>
        <v>276</v>
      </c>
      <c r="C465" s="11">
        <v>6691.3</v>
      </c>
      <c r="D465">
        <v>5.39</v>
      </c>
      <c r="H465" s="62">
        <v>1</v>
      </c>
      <c r="I465" s="62">
        <v>1</v>
      </c>
      <c r="K465" s="11">
        <f t="shared" si="21"/>
        <v>510264.59999999986</v>
      </c>
      <c r="N465" s="12">
        <f t="shared" si="22"/>
        <v>0.19914583333333333</v>
      </c>
      <c r="O465" s="12">
        <f t="shared" si="23"/>
        <v>5.5023356625258785E-2</v>
      </c>
    </row>
    <row r="466" spans="1:15">
      <c r="A466" s="60">
        <v>45659</v>
      </c>
      <c r="B466">
        <f>VLOOKUP(A466,'BADI SID DATA'!A:B,2,0)</f>
        <v>277</v>
      </c>
      <c r="C466" s="11">
        <v>6401.3999999999987</v>
      </c>
      <c r="D466">
        <v>5.13</v>
      </c>
      <c r="H466" s="62">
        <v>1</v>
      </c>
      <c r="I466" s="62">
        <v>1</v>
      </c>
      <c r="K466" s="11">
        <f t="shared" si="21"/>
        <v>516665.99999999988</v>
      </c>
      <c r="N466" s="12">
        <f t="shared" si="22"/>
        <v>0.1905178571428571</v>
      </c>
      <c r="O466" s="12">
        <f t="shared" si="23"/>
        <v>5.5512506446621958E-2</v>
      </c>
    </row>
    <row r="467" spans="1:15">
      <c r="A467" s="60">
        <v>45660</v>
      </c>
      <c r="B467">
        <f>VLOOKUP(A467,'BADI SID DATA'!A:B,2,0)</f>
        <v>278</v>
      </c>
      <c r="C467" s="11">
        <v>6073.6</v>
      </c>
      <c r="D467">
        <v>4.9000000000000004</v>
      </c>
      <c r="H467" s="62">
        <v>1</v>
      </c>
      <c r="I467" s="62">
        <v>1</v>
      </c>
      <c r="K467" s="11">
        <f t="shared" si="21"/>
        <v>522739.59999999986</v>
      </c>
      <c r="N467" s="12">
        <f t="shared" si="22"/>
        <v>0.18076190476190476</v>
      </c>
      <c r="O467" s="12">
        <f t="shared" si="23"/>
        <v>5.5963043850633762E-2</v>
      </c>
    </row>
    <row r="468" spans="1:15">
      <c r="A468" s="60">
        <v>45661</v>
      </c>
      <c r="B468">
        <f>VLOOKUP(A468,'BADI SID DATA'!A:B,2,0)</f>
        <v>279</v>
      </c>
      <c r="C468" s="11">
        <v>6051.5</v>
      </c>
      <c r="D468">
        <v>4.84</v>
      </c>
      <c r="H468" s="62">
        <v>1</v>
      </c>
      <c r="I468" s="62">
        <v>1</v>
      </c>
      <c r="K468" s="11">
        <f t="shared" si="21"/>
        <v>528791.09999999986</v>
      </c>
      <c r="N468" s="12">
        <f t="shared" si="22"/>
        <v>0.18010416666666668</v>
      </c>
      <c r="O468" s="12">
        <f t="shared" si="23"/>
        <v>5.640799411162313E-2</v>
      </c>
    </row>
    <row r="469" spans="1:15">
      <c r="A469" s="60">
        <v>45662</v>
      </c>
      <c r="B469">
        <f>VLOOKUP(A469,'BADI SID DATA'!A:B,2,0)</f>
        <v>280</v>
      </c>
      <c r="C469" s="11">
        <v>4225.2000000000007</v>
      </c>
      <c r="D469">
        <v>3.29</v>
      </c>
      <c r="H469" s="62">
        <v>1</v>
      </c>
      <c r="I469" s="62">
        <v>1</v>
      </c>
      <c r="K469" s="11">
        <f t="shared" si="21"/>
        <v>533016.29999999981</v>
      </c>
      <c r="N469" s="12">
        <f t="shared" si="22"/>
        <v>0.12575000000000003</v>
      </c>
      <c r="O469" s="12">
        <f t="shared" si="23"/>
        <v>5.6655644132653039E-2</v>
      </c>
    </row>
    <row r="470" spans="1:15">
      <c r="A470" s="60">
        <v>45663</v>
      </c>
      <c r="B470">
        <f>VLOOKUP(A470,'BADI SID DATA'!A:B,2,0)</f>
        <v>281</v>
      </c>
      <c r="C470" s="11">
        <v>6043.4</v>
      </c>
      <c r="D470">
        <v>4.8899999999999997</v>
      </c>
      <c r="H470" s="62">
        <v>1</v>
      </c>
      <c r="I470" s="62">
        <v>1</v>
      </c>
      <c r="K470" s="11">
        <f t="shared" si="21"/>
        <v>539059.69999999984</v>
      </c>
      <c r="N470" s="12">
        <f t="shared" si="22"/>
        <v>0.17986309523809524</v>
      </c>
      <c r="O470" s="12">
        <f t="shared" si="23"/>
        <v>5.7094104812743587E-2</v>
      </c>
    </row>
    <row r="471" spans="1:15">
      <c r="A471" s="60">
        <v>45664</v>
      </c>
      <c r="B471">
        <f>VLOOKUP(A471,'BADI SID DATA'!A:B,2,0)</f>
        <v>282</v>
      </c>
      <c r="C471" s="11">
        <v>6299.6</v>
      </c>
      <c r="D471">
        <v>5.0199999999999996</v>
      </c>
      <c r="H471" s="62">
        <v>1</v>
      </c>
      <c r="I471" s="62">
        <v>1</v>
      </c>
      <c r="K471" s="11">
        <f t="shared" si="21"/>
        <v>545359.29999999981</v>
      </c>
      <c r="N471" s="12">
        <f t="shared" si="22"/>
        <v>0.18748809523809526</v>
      </c>
      <c r="O471" s="12">
        <f t="shared" si="23"/>
        <v>5.7556494849712918E-2</v>
      </c>
    </row>
    <row r="472" spans="1:15">
      <c r="A472" s="60">
        <v>45665</v>
      </c>
      <c r="B472">
        <f>VLOOKUP(A472,'BADI SID DATA'!A:B,2,0)</f>
        <v>283</v>
      </c>
      <c r="C472" s="11">
        <v>5374.7000000000007</v>
      </c>
      <c r="D472">
        <v>4.3099999999999996</v>
      </c>
      <c r="H472" s="62">
        <v>1</v>
      </c>
      <c r="I472" s="62">
        <v>1</v>
      </c>
      <c r="K472" s="11">
        <f t="shared" si="21"/>
        <v>550733.99999999977</v>
      </c>
      <c r="N472" s="12">
        <f t="shared" si="22"/>
        <v>0.15996130952380955</v>
      </c>
      <c r="O472" s="12">
        <f t="shared" si="23"/>
        <v>5.791834931852597E-2</v>
      </c>
    </row>
    <row r="473" spans="1:15">
      <c r="A473" s="60">
        <v>45666</v>
      </c>
      <c r="B473">
        <f>VLOOKUP(A473,'BADI SID DATA'!A:B,2,0)</f>
        <v>284</v>
      </c>
      <c r="C473" s="11">
        <v>6238</v>
      </c>
      <c r="D473">
        <v>4.96</v>
      </c>
      <c r="H473" s="62">
        <v>1</v>
      </c>
      <c r="I473" s="62">
        <v>1</v>
      </c>
      <c r="K473" s="11">
        <f t="shared" si="21"/>
        <v>556971.99999999977</v>
      </c>
      <c r="N473" s="12">
        <f t="shared" si="22"/>
        <v>0.18565476190476191</v>
      </c>
      <c r="O473" s="12">
        <f t="shared" si="23"/>
        <v>5.8368125419181731E-2</v>
      </c>
    </row>
    <row r="474" spans="1:15">
      <c r="A474" s="60">
        <v>45667</v>
      </c>
      <c r="B474">
        <f>VLOOKUP(A474,'BADI SID DATA'!A:B,2,0)</f>
        <v>285</v>
      </c>
      <c r="C474" s="11">
        <v>6240.7000000000007</v>
      </c>
      <c r="D474">
        <v>4.9400000000000004</v>
      </c>
      <c r="H474" s="62">
        <v>1</v>
      </c>
      <c r="I474" s="62">
        <v>1</v>
      </c>
      <c r="K474" s="11">
        <f t="shared" si="21"/>
        <v>563212.69999999972</v>
      </c>
      <c r="N474" s="12">
        <f t="shared" si="22"/>
        <v>0.18573511904761908</v>
      </c>
      <c r="O474" s="12">
        <f t="shared" si="23"/>
        <v>5.8815027151211334E-2</v>
      </c>
    </row>
    <row r="475" spans="1:15">
      <c r="A475" s="60">
        <v>45668</v>
      </c>
      <c r="B475">
        <f>VLOOKUP(A475,'BADI SID DATA'!A:B,2,0)</f>
        <v>286</v>
      </c>
      <c r="C475" s="11">
        <v>4416.7</v>
      </c>
      <c r="D475">
        <v>3.42</v>
      </c>
      <c r="H475" s="62">
        <v>1</v>
      </c>
      <c r="I475" s="62">
        <v>1</v>
      </c>
      <c r="K475" s="11">
        <f t="shared" si="21"/>
        <v>567629.39999999967</v>
      </c>
      <c r="N475" s="12">
        <f t="shared" si="22"/>
        <v>0.13144940476190475</v>
      </c>
      <c r="O475" s="12">
        <f t="shared" si="23"/>
        <v>5.9068993506493472E-2</v>
      </c>
    </row>
    <row r="476" spans="1:15">
      <c r="A476" s="60">
        <v>45669</v>
      </c>
      <c r="B476">
        <f>VLOOKUP(A476,'BADI SID DATA'!A:B,2,0)</f>
        <v>287</v>
      </c>
      <c r="C476" s="11">
        <v>4980.2</v>
      </c>
      <c r="D476">
        <v>4.0199999999999996</v>
      </c>
      <c r="H476" s="62">
        <v>1</v>
      </c>
      <c r="I476" s="62">
        <v>1</v>
      </c>
      <c r="K476" s="11">
        <f t="shared" si="21"/>
        <v>572609.59999999963</v>
      </c>
      <c r="N476" s="12">
        <f t="shared" si="22"/>
        <v>0.1482202380952381</v>
      </c>
      <c r="O476" s="12">
        <f t="shared" si="23"/>
        <v>5.9379625020739964E-2</v>
      </c>
    </row>
    <row r="477" spans="1:15">
      <c r="A477" s="60">
        <v>45670</v>
      </c>
      <c r="B477">
        <f>VLOOKUP(A477,'BADI SID DATA'!A:B,2,0)</f>
        <v>288</v>
      </c>
      <c r="C477" s="11">
        <v>5555.7000000000007</v>
      </c>
      <c r="D477">
        <v>4.46</v>
      </c>
      <c r="H477" s="62">
        <v>1</v>
      </c>
      <c r="I477" s="62">
        <v>1</v>
      </c>
      <c r="K477" s="11">
        <f t="shared" si="21"/>
        <v>578165.29999999958</v>
      </c>
      <c r="N477" s="12">
        <f t="shared" si="22"/>
        <v>0.16534821428571431</v>
      </c>
      <c r="O477" s="12">
        <f t="shared" si="23"/>
        <v>5.9747571511243346E-2</v>
      </c>
    </row>
    <row r="478" spans="1:15">
      <c r="A478" s="60">
        <v>45671</v>
      </c>
      <c r="B478">
        <f>VLOOKUP(A478,'BADI SID DATA'!A:B,2,0)</f>
        <v>289</v>
      </c>
      <c r="C478" s="11">
        <v>2968.2</v>
      </c>
      <c r="D478">
        <v>2.2000000000000002</v>
      </c>
      <c r="H478" s="62">
        <v>1</v>
      </c>
      <c r="I478" s="62">
        <v>1</v>
      </c>
      <c r="K478" s="11">
        <f t="shared" si="21"/>
        <v>581133.49999999953</v>
      </c>
      <c r="N478" s="12">
        <f t="shared" si="22"/>
        <v>8.8339285714285704E-2</v>
      </c>
      <c r="O478" s="12">
        <f t="shared" si="23"/>
        <v>5.9846504778381895E-2</v>
      </c>
    </row>
    <row r="479" spans="1:15">
      <c r="A479" s="60">
        <v>45672</v>
      </c>
      <c r="B479">
        <f>VLOOKUP(A479,'BADI SID DATA'!A:B,2,0)</f>
        <v>290</v>
      </c>
      <c r="C479" s="11">
        <v>3609.7000000000003</v>
      </c>
      <c r="D479">
        <v>2.67</v>
      </c>
      <c r="H479" s="62">
        <v>1</v>
      </c>
      <c r="I479" s="62">
        <v>1</v>
      </c>
      <c r="K479" s="11">
        <f t="shared" si="21"/>
        <v>584743.19999999949</v>
      </c>
      <c r="N479" s="12">
        <f t="shared" si="22"/>
        <v>0.10743154761904762</v>
      </c>
      <c r="O479" s="12">
        <f t="shared" si="23"/>
        <v>6.0010591133004873E-2</v>
      </c>
    </row>
    <row r="480" spans="1:15">
      <c r="A480" s="60">
        <v>45673</v>
      </c>
      <c r="B480">
        <f>VLOOKUP(A480,'BADI SID DATA'!A:B,2,0)</f>
        <v>291</v>
      </c>
      <c r="C480" s="11">
        <v>4160.3999999999996</v>
      </c>
      <c r="D480">
        <v>3.13</v>
      </c>
      <c r="H480" s="62">
        <v>1</v>
      </c>
      <c r="I480" s="62">
        <v>1</v>
      </c>
      <c r="K480" s="11">
        <f t="shared" si="21"/>
        <v>588903.59999999951</v>
      </c>
      <c r="N480" s="12">
        <f t="shared" si="22"/>
        <v>0.12382142857142855</v>
      </c>
      <c r="O480" s="12">
        <f t="shared" si="23"/>
        <v>6.0229872361315613E-2</v>
      </c>
    </row>
    <row r="481" spans="1:15">
      <c r="A481" s="60">
        <v>45674</v>
      </c>
      <c r="B481">
        <f>VLOOKUP(A481,'BADI SID DATA'!A:B,2,0)</f>
        <v>292</v>
      </c>
      <c r="C481" s="11">
        <v>5403.5</v>
      </c>
      <c r="D481">
        <v>4.3600000000000003</v>
      </c>
      <c r="H481" s="62">
        <v>1</v>
      </c>
      <c r="I481" s="62">
        <v>1</v>
      </c>
      <c r="K481" s="11">
        <f t="shared" si="21"/>
        <v>594307.09999999951</v>
      </c>
      <c r="N481" s="12">
        <f t="shared" si="22"/>
        <v>0.16081845238095238</v>
      </c>
      <c r="O481" s="12">
        <f t="shared" si="23"/>
        <v>6.0574353799739022E-2</v>
      </c>
    </row>
    <row r="482" spans="1:15">
      <c r="A482" s="60">
        <v>45675</v>
      </c>
      <c r="B482">
        <f>VLOOKUP(A482,'BADI SID DATA'!A:B,2,0)</f>
        <v>293</v>
      </c>
      <c r="C482" s="11">
        <v>5098.7</v>
      </c>
      <c r="D482">
        <v>3.78</v>
      </c>
      <c r="H482" s="62">
        <v>1</v>
      </c>
      <c r="I482" s="62">
        <v>1</v>
      </c>
      <c r="K482" s="11">
        <f t="shared" si="21"/>
        <v>599405.79999999946</v>
      </c>
      <c r="N482" s="12">
        <f t="shared" si="22"/>
        <v>0.15174702380952382</v>
      </c>
      <c r="O482" s="12">
        <f t="shared" si="23"/>
        <v>6.0885523321956715E-2</v>
      </c>
    </row>
    <row r="483" spans="1:15">
      <c r="A483" s="60">
        <v>45676</v>
      </c>
      <c r="B483">
        <f>VLOOKUP(A483,'BADI SID DATA'!A:B,2,0)</f>
        <v>294</v>
      </c>
      <c r="C483" s="11">
        <v>4207.2</v>
      </c>
      <c r="D483">
        <v>3.21</v>
      </c>
      <c r="H483" s="62">
        <v>1</v>
      </c>
      <c r="I483" s="62">
        <v>1</v>
      </c>
      <c r="K483" s="11">
        <f t="shared" si="21"/>
        <v>603612.99999999942</v>
      </c>
      <c r="N483" s="12">
        <f t="shared" si="22"/>
        <v>0.12521428571428572</v>
      </c>
      <c r="O483" s="12">
        <f t="shared" si="23"/>
        <v>6.1104328636216329E-2</v>
      </c>
    </row>
    <row r="484" spans="1:15">
      <c r="A484" s="60">
        <v>45677</v>
      </c>
      <c r="B484">
        <f>VLOOKUP(A484,'BADI SID DATA'!A:B,2,0)</f>
        <v>295</v>
      </c>
      <c r="C484" s="11">
        <v>6172.2</v>
      </c>
      <c r="D484">
        <v>5.0199999999999996</v>
      </c>
      <c r="H484" s="62">
        <v>1</v>
      </c>
      <c r="I484" s="62">
        <v>1</v>
      </c>
      <c r="K484" s="11">
        <f t="shared" si="21"/>
        <v>609785.19999999937</v>
      </c>
      <c r="N484" s="12">
        <f t="shared" si="22"/>
        <v>0.18369642857142857</v>
      </c>
      <c r="O484" s="12">
        <f t="shared" si="23"/>
        <v>6.1519895076674672E-2</v>
      </c>
    </row>
    <row r="485" spans="1:15">
      <c r="A485" s="60">
        <v>45678</v>
      </c>
      <c r="B485">
        <f>VLOOKUP(A485,'BADI SID DATA'!A:B,2,0)</f>
        <v>296</v>
      </c>
      <c r="C485" s="11">
        <v>6276.0000000000009</v>
      </c>
      <c r="D485">
        <v>4.99</v>
      </c>
      <c r="H485" s="62">
        <v>1</v>
      </c>
      <c r="I485" s="62">
        <v>1</v>
      </c>
      <c r="K485" s="11">
        <f t="shared" si="21"/>
        <v>616061.19999999937</v>
      </c>
      <c r="N485" s="12">
        <f t="shared" si="22"/>
        <v>0.1867857142857143</v>
      </c>
      <c r="O485" s="12">
        <f t="shared" si="23"/>
        <v>6.1943090411840346E-2</v>
      </c>
    </row>
    <row r="486" spans="1:15">
      <c r="A486" s="60">
        <v>45679</v>
      </c>
      <c r="B486">
        <f>VLOOKUP(A486,'BADI SID DATA'!A:B,2,0)</f>
        <v>297</v>
      </c>
      <c r="C486" s="11">
        <v>6365.6</v>
      </c>
      <c r="D486">
        <v>5.12</v>
      </c>
      <c r="H486" s="62">
        <v>1</v>
      </c>
      <c r="I486" s="62">
        <v>1</v>
      </c>
      <c r="K486" s="11">
        <f t="shared" si="21"/>
        <v>622426.79999999935</v>
      </c>
      <c r="N486" s="12">
        <f t="shared" si="22"/>
        <v>0.18945238095238096</v>
      </c>
      <c r="O486" s="12">
        <f t="shared" si="23"/>
        <v>6.2372414622414558E-2</v>
      </c>
    </row>
    <row r="487" spans="1:15">
      <c r="A487" s="60">
        <v>45680</v>
      </c>
      <c r="B487">
        <f>VLOOKUP(A487,'BADI SID DATA'!A:B,2,0)</f>
        <v>298</v>
      </c>
      <c r="C487" s="11">
        <v>5790.2</v>
      </c>
      <c r="D487">
        <v>4.62</v>
      </c>
      <c r="H487" s="62">
        <v>1</v>
      </c>
      <c r="I487" s="62">
        <v>1</v>
      </c>
      <c r="K487" s="11">
        <f t="shared" si="21"/>
        <v>628216.9999999993</v>
      </c>
      <c r="N487" s="12">
        <f t="shared" si="22"/>
        <v>0.17232738095238095</v>
      </c>
      <c r="O487" s="12">
        <f t="shared" si="23"/>
        <v>6.2741391019494983E-2</v>
      </c>
    </row>
    <row r="488" spans="1:15">
      <c r="A488" s="60">
        <v>45681</v>
      </c>
      <c r="B488">
        <f>VLOOKUP(A488,'BADI SID DATA'!A:B,2,0)</f>
        <v>299</v>
      </c>
      <c r="C488" s="11">
        <v>5918.7</v>
      </c>
      <c r="D488">
        <v>4.6900000000000004</v>
      </c>
      <c r="H488" s="62">
        <v>1</v>
      </c>
      <c r="I488" s="62">
        <v>1</v>
      </c>
      <c r="K488" s="11">
        <f t="shared" si="21"/>
        <v>634135.69999999925</v>
      </c>
      <c r="N488" s="12">
        <f t="shared" si="22"/>
        <v>0.17615178571428572</v>
      </c>
      <c r="O488" s="12">
        <f t="shared" si="23"/>
        <v>6.3120689998407309E-2</v>
      </c>
    </row>
    <row r="489" spans="1:15">
      <c r="A489" s="60">
        <v>45682</v>
      </c>
      <c r="B489">
        <f>VLOOKUP(A489,'BADI SID DATA'!A:B,2,0)</f>
        <v>300</v>
      </c>
      <c r="C489" s="11">
        <v>6503.1</v>
      </c>
      <c r="D489">
        <v>5.2</v>
      </c>
      <c r="H489" s="62">
        <v>1</v>
      </c>
      <c r="I489" s="62">
        <v>1</v>
      </c>
      <c r="K489" s="11">
        <f t="shared" si="21"/>
        <v>640638.79999999923</v>
      </c>
      <c r="N489" s="12">
        <f t="shared" si="22"/>
        <v>0.19354464285714287</v>
      </c>
      <c r="O489" s="12">
        <f t="shared" si="23"/>
        <v>6.3555436507936436E-2</v>
      </c>
    </row>
    <row r="490" spans="1:15">
      <c r="A490" s="60">
        <v>45683</v>
      </c>
      <c r="B490">
        <f>VLOOKUP(A490,'BADI SID DATA'!A:B,2,0)</f>
        <v>301</v>
      </c>
      <c r="C490" s="11">
        <v>5925.5999999999995</v>
      </c>
      <c r="D490">
        <v>4.72</v>
      </c>
      <c r="H490" s="62">
        <v>1</v>
      </c>
      <c r="I490" s="62">
        <v>1</v>
      </c>
      <c r="K490" s="11">
        <f t="shared" si="21"/>
        <v>646564.39999999921</v>
      </c>
      <c r="N490" s="12">
        <f t="shared" si="22"/>
        <v>0.17635714285714285</v>
      </c>
      <c r="O490" s="12">
        <f t="shared" si="23"/>
        <v>6.3930193007435451E-2</v>
      </c>
    </row>
    <row r="491" spans="1:15">
      <c r="A491" s="60">
        <v>45684</v>
      </c>
      <c r="B491">
        <f>VLOOKUP(A491,'BADI SID DATA'!A:B,2,0)</f>
        <v>302</v>
      </c>
      <c r="C491" s="11">
        <v>6110.5</v>
      </c>
      <c r="D491">
        <v>4.79</v>
      </c>
      <c r="H491" s="62">
        <v>1</v>
      </c>
      <c r="I491" s="62">
        <v>1</v>
      </c>
      <c r="K491" s="11">
        <f t="shared" si="21"/>
        <v>652674.89999999921</v>
      </c>
      <c r="N491" s="12">
        <f t="shared" si="22"/>
        <v>0.18186011904761903</v>
      </c>
      <c r="O491" s="12">
        <f t="shared" si="23"/>
        <v>6.4320689451277127E-2</v>
      </c>
    </row>
    <row r="492" spans="1:15">
      <c r="A492" s="60">
        <v>45685</v>
      </c>
      <c r="B492">
        <f>VLOOKUP(A492,'BADI SID DATA'!A:B,2,0)</f>
        <v>303</v>
      </c>
      <c r="C492" s="11">
        <v>6554.7000000000007</v>
      </c>
      <c r="D492">
        <v>5.33</v>
      </c>
      <c r="H492" s="62">
        <v>1</v>
      </c>
      <c r="I492" s="62">
        <v>1</v>
      </c>
      <c r="K492" s="11">
        <f t="shared" si="21"/>
        <v>659229.59999999916</v>
      </c>
      <c r="N492" s="12">
        <f t="shared" si="22"/>
        <v>0.19508035714285715</v>
      </c>
      <c r="O492" s="12">
        <f t="shared" si="23"/>
        <v>6.4752239509665174E-2</v>
      </c>
    </row>
    <row r="493" spans="1:15">
      <c r="A493" s="60">
        <v>45686</v>
      </c>
      <c r="B493">
        <f>VLOOKUP(A493,'BADI SID DATA'!A:B,2,0)</f>
        <v>304</v>
      </c>
      <c r="C493" s="11">
        <v>6298</v>
      </c>
      <c r="D493">
        <v>5</v>
      </c>
      <c r="H493" s="62">
        <v>1</v>
      </c>
      <c r="I493" s="62">
        <v>1</v>
      </c>
      <c r="K493" s="11">
        <f t="shared" si="21"/>
        <v>665527.59999999916</v>
      </c>
      <c r="N493" s="12">
        <f t="shared" si="22"/>
        <v>0.18744047619047619</v>
      </c>
      <c r="O493" s="12">
        <f t="shared" si="23"/>
        <v>6.5155819235588885E-2</v>
      </c>
    </row>
    <row r="494" spans="1:15">
      <c r="A494" s="60">
        <v>45687</v>
      </c>
      <c r="B494">
        <f>VLOOKUP(A494,'BADI SID DATA'!A:B,2,0)</f>
        <v>305</v>
      </c>
      <c r="C494" s="11">
        <v>6541</v>
      </c>
      <c r="D494">
        <v>5.25</v>
      </c>
      <c r="H494" s="62">
        <v>1</v>
      </c>
      <c r="I494" s="62">
        <v>1</v>
      </c>
      <c r="K494" s="11">
        <f t="shared" si="21"/>
        <v>672068.59999999916</v>
      </c>
      <c r="N494" s="12">
        <f t="shared" si="22"/>
        <v>0.19467261904761904</v>
      </c>
      <c r="O494" s="12">
        <f t="shared" si="23"/>
        <v>6.5580464480874234E-2</v>
      </c>
    </row>
    <row r="495" spans="1:15">
      <c r="A495" s="60">
        <v>45688</v>
      </c>
      <c r="B495">
        <f>VLOOKUP(A495,'BADI SID DATA'!A:B,2,0)</f>
        <v>306</v>
      </c>
      <c r="C495" s="11">
        <v>6276.1</v>
      </c>
      <c r="D495">
        <v>5.0599999999999996</v>
      </c>
      <c r="H495" s="62">
        <v>1</v>
      </c>
      <c r="I495" s="62">
        <v>1</v>
      </c>
      <c r="K495" s="11">
        <f t="shared" si="21"/>
        <v>678344.69999999914</v>
      </c>
      <c r="N495" s="12">
        <f t="shared" si="22"/>
        <v>0.18678869047619048</v>
      </c>
      <c r="O495" s="12">
        <f t="shared" si="23"/>
        <v>6.5976569794584411E-2</v>
      </c>
    </row>
    <row r="496" spans="1:15">
      <c r="A496" s="60">
        <v>45689</v>
      </c>
      <c r="B496">
        <f>VLOOKUP(A496,'BADI SID DATA'!A:B,2,0)</f>
        <v>307</v>
      </c>
      <c r="C496" s="11">
        <v>3945.7</v>
      </c>
      <c r="D496">
        <v>3.04</v>
      </c>
      <c r="H496" s="62">
        <v>1</v>
      </c>
      <c r="I496" s="62">
        <v>1</v>
      </c>
      <c r="K496" s="11">
        <f t="shared" si="21"/>
        <v>682290.39999999909</v>
      </c>
      <c r="N496" s="12">
        <f t="shared" si="22"/>
        <v>0.11743154761904762</v>
      </c>
      <c r="O496" s="12">
        <f t="shared" si="23"/>
        <v>6.6144175585543571E-2</v>
      </c>
    </row>
    <row r="497" spans="1:15">
      <c r="A497" s="60">
        <v>45690</v>
      </c>
      <c r="B497">
        <f>VLOOKUP(A497,'BADI SID DATA'!A:B,2,0)</f>
        <v>308</v>
      </c>
      <c r="C497" s="11">
        <v>4369.7</v>
      </c>
      <c r="D497">
        <v>3.45</v>
      </c>
      <c r="H497" s="62">
        <v>1</v>
      </c>
      <c r="I497" s="62">
        <v>1</v>
      </c>
      <c r="K497" s="11">
        <f t="shared" si="21"/>
        <v>686660.09999999905</v>
      </c>
      <c r="N497" s="12">
        <f t="shared" si="22"/>
        <v>0.13005059523809523</v>
      </c>
      <c r="O497" s="12">
        <f t="shared" si="23"/>
        <v>6.6351663961038865E-2</v>
      </c>
    </row>
    <row r="498" spans="1:15">
      <c r="A498" s="60">
        <v>45691</v>
      </c>
      <c r="B498">
        <f>VLOOKUP(A498,'BADI SID DATA'!A:B,2,0)</f>
        <v>309</v>
      </c>
      <c r="C498" s="11">
        <v>5410.9</v>
      </c>
      <c r="D498">
        <v>4.17</v>
      </c>
      <c r="H498" s="62">
        <v>1</v>
      </c>
      <c r="I498" s="62">
        <v>1</v>
      </c>
      <c r="K498" s="11">
        <f t="shared" ref="K498:K561" si="24">K497+C498</f>
        <v>692070.99999999907</v>
      </c>
      <c r="N498" s="12">
        <f t="shared" si="22"/>
        <v>0.16103869047619046</v>
      </c>
      <c r="O498" s="12">
        <f t="shared" si="23"/>
        <v>6.6658094467560394E-2</v>
      </c>
    </row>
    <row r="499" spans="1:15">
      <c r="A499" s="60">
        <v>45692</v>
      </c>
      <c r="B499">
        <f>VLOOKUP(A499,'BADI SID DATA'!A:B,2,0)</f>
        <v>310</v>
      </c>
      <c r="C499" s="11">
        <v>6058.5000000000009</v>
      </c>
      <c r="D499">
        <v>4.84</v>
      </c>
      <c r="H499" s="62">
        <v>1</v>
      </c>
      <c r="I499" s="62">
        <v>1</v>
      </c>
      <c r="K499" s="11">
        <f t="shared" si="24"/>
        <v>698129.49999999907</v>
      </c>
      <c r="N499" s="12">
        <f t="shared" si="22"/>
        <v>0.18031250000000001</v>
      </c>
      <c r="O499" s="12">
        <f t="shared" si="23"/>
        <v>6.7024721582181174E-2</v>
      </c>
    </row>
    <row r="500" spans="1:15">
      <c r="A500" s="60">
        <v>45693</v>
      </c>
      <c r="B500">
        <f>VLOOKUP(A500,'BADI SID DATA'!A:B,2,0)</f>
        <v>311</v>
      </c>
      <c r="C500" s="11">
        <v>6440.3</v>
      </c>
      <c r="D500">
        <v>5.52</v>
      </c>
      <c r="H500" s="62">
        <v>1</v>
      </c>
      <c r="I500" s="62">
        <v>0.97916666666666674</v>
      </c>
      <c r="K500" s="11">
        <f t="shared" si="24"/>
        <v>704569.79999999912</v>
      </c>
      <c r="N500" s="12">
        <f t="shared" si="22"/>
        <v>0.19167559523809524</v>
      </c>
      <c r="O500" s="12">
        <f t="shared" si="23"/>
        <v>6.7425528249885083E-2</v>
      </c>
    </row>
    <row r="501" spans="1:15">
      <c r="A501" s="60">
        <v>45694</v>
      </c>
      <c r="B501">
        <f>VLOOKUP(A501,'BADI SID DATA'!A:B,2,0)</f>
        <v>312</v>
      </c>
      <c r="C501" s="11">
        <v>5727.9</v>
      </c>
      <c r="D501">
        <v>4.67</v>
      </c>
      <c r="H501" s="62">
        <v>1</v>
      </c>
      <c r="I501" s="62">
        <v>1</v>
      </c>
      <c r="K501" s="11">
        <f t="shared" si="24"/>
        <v>710297.69999999914</v>
      </c>
      <c r="N501" s="12">
        <f t="shared" si="22"/>
        <v>0.17047321428571427</v>
      </c>
      <c r="O501" s="12">
        <f t="shared" si="23"/>
        <v>6.7755809294871711E-2</v>
      </c>
    </row>
    <row r="502" spans="1:15">
      <c r="A502" s="60">
        <v>45695</v>
      </c>
      <c r="B502">
        <f>VLOOKUP(A502,'BADI SID DATA'!A:B,2,0)</f>
        <v>313</v>
      </c>
      <c r="C502" s="11">
        <v>7028.5</v>
      </c>
      <c r="D502">
        <v>5.67</v>
      </c>
      <c r="H502" s="62">
        <v>1</v>
      </c>
      <c r="I502" s="62">
        <v>1</v>
      </c>
      <c r="K502" s="11">
        <f t="shared" si="24"/>
        <v>717326.19999999914</v>
      </c>
      <c r="N502" s="12">
        <f t="shared" si="22"/>
        <v>0.20918154761904761</v>
      </c>
      <c r="O502" s="12">
        <f t="shared" si="23"/>
        <v>6.8207648714437769E-2</v>
      </c>
    </row>
    <row r="503" spans="1:15">
      <c r="A503" s="60">
        <v>45696</v>
      </c>
      <c r="B503">
        <f>VLOOKUP(A503,'BADI SID DATA'!A:B,2,0)</f>
        <v>314</v>
      </c>
      <c r="C503" s="11">
        <v>6985.3</v>
      </c>
      <c r="D503">
        <v>5.67</v>
      </c>
      <c r="H503" s="62">
        <v>1</v>
      </c>
      <c r="I503" s="62">
        <v>1</v>
      </c>
      <c r="K503" s="11">
        <f t="shared" si="24"/>
        <v>724311.49999999919</v>
      </c>
      <c r="N503" s="12">
        <f t="shared" si="22"/>
        <v>0.20789583333333334</v>
      </c>
      <c r="O503" s="12">
        <f t="shared" si="23"/>
        <v>6.8652515544434259E-2</v>
      </c>
    </row>
    <row r="504" spans="1:15">
      <c r="A504" s="60">
        <v>45697</v>
      </c>
      <c r="B504">
        <f>VLOOKUP(A504,'BADI SID DATA'!A:B,2,0)</f>
        <v>315</v>
      </c>
      <c r="C504" s="11">
        <v>6152.2</v>
      </c>
      <c r="D504">
        <v>5.05</v>
      </c>
      <c r="H504" s="62">
        <v>1</v>
      </c>
      <c r="I504" s="62">
        <v>1</v>
      </c>
      <c r="K504" s="11">
        <f t="shared" si="24"/>
        <v>730463.69999999914</v>
      </c>
      <c r="N504" s="12">
        <f t="shared" si="22"/>
        <v>0.18310119047619047</v>
      </c>
      <c r="O504" s="12">
        <f t="shared" si="23"/>
        <v>6.9015844671201726E-2</v>
      </c>
    </row>
    <row r="505" spans="1:15">
      <c r="A505" s="60">
        <v>45698</v>
      </c>
      <c r="B505">
        <f>VLOOKUP(A505,'BADI SID DATA'!A:B,2,0)</f>
        <v>316</v>
      </c>
      <c r="C505" s="11">
        <v>6223.9</v>
      </c>
      <c r="D505">
        <v>5.01</v>
      </c>
      <c r="H505" s="62">
        <v>1</v>
      </c>
      <c r="I505" s="62">
        <v>1</v>
      </c>
      <c r="K505" s="11">
        <f t="shared" si="24"/>
        <v>736687.59999999916</v>
      </c>
      <c r="N505" s="12">
        <f t="shared" si="22"/>
        <v>0.18523511904761902</v>
      </c>
      <c r="O505" s="12">
        <f t="shared" si="23"/>
        <v>6.9383627185051158E-2</v>
      </c>
    </row>
    <row r="506" spans="1:15">
      <c r="A506" s="60">
        <v>45699</v>
      </c>
      <c r="B506">
        <f>VLOOKUP(A506,'BADI SID DATA'!A:B,2,0)</f>
        <v>317</v>
      </c>
      <c r="C506" s="11">
        <v>6631.5</v>
      </c>
      <c r="D506">
        <v>5.39</v>
      </c>
      <c r="H506" s="62">
        <v>1</v>
      </c>
      <c r="I506" s="62">
        <v>1</v>
      </c>
      <c r="K506" s="11">
        <f t="shared" si="24"/>
        <v>743319.09999999916</v>
      </c>
      <c r="N506" s="12">
        <f t="shared" si="22"/>
        <v>0.19736607142857143</v>
      </c>
      <c r="O506" s="12">
        <f t="shared" si="23"/>
        <v>6.9787357293074878E-2</v>
      </c>
    </row>
    <row r="507" spans="1:15">
      <c r="A507" s="60">
        <v>45700</v>
      </c>
      <c r="B507">
        <f>VLOOKUP(A507,'BADI SID DATA'!A:B,2,0)</f>
        <v>318</v>
      </c>
      <c r="C507" s="11">
        <v>6103.4</v>
      </c>
      <c r="D507">
        <v>5</v>
      </c>
      <c r="H507" s="62">
        <v>1</v>
      </c>
      <c r="I507" s="62">
        <v>1</v>
      </c>
      <c r="K507" s="11">
        <f t="shared" si="24"/>
        <v>749422.49999999919</v>
      </c>
      <c r="N507" s="12">
        <f t="shared" si="22"/>
        <v>0.18164880952380952</v>
      </c>
      <c r="O507" s="12">
        <f t="shared" si="23"/>
        <v>7.0139122866127501E-2</v>
      </c>
    </row>
    <row r="508" spans="1:15">
      <c r="A508" s="60">
        <v>45701</v>
      </c>
      <c r="B508">
        <f>VLOOKUP(A508,'BADI SID DATA'!A:B,2,0)</f>
        <v>319</v>
      </c>
      <c r="C508" s="11">
        <v>7097.0000000000009</v>
      </c>
      <c r="D508">
        <v>5.81</v>
      </c>
      <c r="H508" s="62">
        <v>1</v>
      </c>
      <c r="I508" s="62">
        <v>1</v>
      </c>
      <c r="K508" s="11">
        <f t="shared" si="24"/>
        <v>756519.49999999919</v>
      </c>
      <c r="N508" s="12">
        <f t="shared" si="22"/>
        <v>0.21122023809523813</v>
      </c>
      <c r="O508" s="12">
        <f t="shared" si="23"/>
        <v>7.0581383415435059E-2</v>
      </c>
    </row>
    <row r="509" spans="1:15">
      <c r="A509" s="60">
        <v>45702</v>
      </c>
      <c r="B509">
        <f>VLOOKUP(A509,'BADI SID DATA'!A:B,2,0)</f>
        <v>320</v>
      </c>
      <c r="C509" s="11">
        <v>6775.3</v>
      </c>
      <c r="D509">
        <v>5.53</v>
      </c>
      <c r="H509" s="62">
        <v>1</v>
      </c>
      <c r="I509" s="62">
        <v>1</v>
      </c>
      <c r="K509" s="11">
        <f t="shared" si="24"/>
        <v>763294.79999999923</v>
      </c>
      <c r="N509" s="12">
        <f t="shared" si="22"/>
        <v>0.20164583333333333</v>
      </c>
      <c r="O509" s="12">
        <f t="shared" si="23"/>
        <v>7.0990959821428501E-2</v>
      </c>
    </row>
    <row r="510" spans="1:15">
      <c r="A510" s="60">
        <v>45703</v>
      </c>
      <c r="B510">
        <f>VLOOKUP(A510,'BADI SID DATA'!A:B,2,0)</f>
        <v>321</v>
      </c>
      <c r="C510" s="11">
        <v>6715.8</v>
      </c>
      <c r="D510">
        <v>5.42</v>
      </c>
      <c r="H510" s="62">
        <v>1</v>
      </c>
      <c r="I510" s="62">
        <v>1</v>
      </c>
      <c r="K510" s="11">
        <f t="shared" si="24"/>
        <v>770010.59999999928</v>
      </c>
      <c r="N510" s="12">
        <f t="shared" si="22"/>
        <v>0.199875</v>
      </c>
      <c r="O510" s="12">
        <f t="shared" si="23"/>
        <v>7.1392467734757381E-2</v>
      </c>
    </row>
    <row r="511" spans="1:15">
      <c r="A511" s="60">
        <v>45704</v>
      </c>
      <c r="B511">
        <f>VLOOKUP(A511,'BADI SID DATA'!A:B,2,0)</f>
        <v>322</v>
      </c>
      <c r="C511" s="11">
        <v>6502.7</v>
      </c>
      <c r="D511">
        <v>5.29</v>
      </c>
      <c r="H511" s="62">
        <v>1</v>
      </c>
      <c r="I511" s="62">
        <v>1</v>
      </c>
      <c r="K511" s="11">
        <f t="shared" si="24"/>
        <v>776513.29999999923</v>
      </c>
      <c r="N511" s="12">
        <f t="shared" si="22"/>
        <v>0.19353273809523808</v>
      </c>
      <c r="O511" s="12">
        <f t="shared" si="23"/>
        <v>7.1771785344572542E-2</v>
      </c>
    </row>
    <row r="512" spans="1:15">
      <c r="A512" s="60">
        <v>45705</v>
      </c>
      <c r="B512">
        <f>VLOOKUP(A512,'BADI SID DATA'!A:B,2,0)</f>
        <v>323</v>
      </c>
      <c r="C512" s="11">
        <v>5823.2</v>
      </c>
      <c r="D512">
        <v>4.68</v>
      </c>
      <c r="H512" s="62">
        <v>1</v>
      </c>
      <c r="I512" s="62">
        <v>1</v>
      </c>
      <c r="K512" s="11">
        <f t="shared" si="24"/>
        <v>782336.49999999919</v>
      </c>
      <c r="N512" s="12">
        <f t="shared" si="22"/>
        <v>0.1733095238095238</v>
      </c>
      <c r="O512" s="12">
        <f t="shared" si="23"/>
        <v>7.2086143667993444E-2</v>
      </c>
    </row>
    <row r="513" spans="1:15">
      <c r="A513" s="60">
        <v>45706</v>
      </c>
      <c r="B513">
        <f>VLOOKUP(A513,'BADI SID DATA'!A:B,2,0)</f>
        <v>324</v>
      </c>
      <c r="C513" s="11">
        <v>6237.5</v>
      </c>
      <c r="D513">
        <v>5.07</v>
      </c>
      <c r="H513" s="62">
        <v>1</v>
      </c>
      <c r="I513" s="62">
        <v>1</v>
      </c>
      <c r="K513" s="11">
        <f t="shared" si="24"/>
        <v>788573.99999999919</v>
      </c>
      <c r="N513" s="12">
        <f t="shared" si="22"/>
        <v>0.18563988095238096</v>
      </c>
      <c r="O513" s="12">
        <f t="shared" si="23"/>
        <v>7.2436618165784755E-2</v>
      </c>
    </row>
    <row r="514" spans="1:15">
      <c r="A514" s="60">
        <v>45707</v>
      </c>
      <c r="B514">
        <f>VLOOKUP(A514,'BADI SID DATA'!A:B,2,0)</f>
        <v>325</v>
      </c>
      <c r="C514" s="11">
        <v>6904.4</v>
      </c>
      <c r="D514">
        <v>5.5</v>
      </c>
      <c r="H514" s="62">
        <v>1</v>
      </c>
      <c r="I514" s="62">
        <v>1</v>
      </c>
      <c r="K514" s="11">
        <f t="shared" si="24"/>
        <v>795478.39999999921</v>
      </c>
      <c r="N514" s="12">
        <f t="shared" si="22"/>
        <v>0.20548809523809522</v>
      </c>
      <c r="O514" s="12">
        <f t="shared" si="23"/>
        <v>7.2846007326007253E-2</v>
      </c>
    </row>
    <row r="515" spans="1:15">
      <c r="A515" s="60">
        <v>45708</v>
      </c>
      <c r="B515">
        <f>VLOOKUP(A515,'BADI SID DATA'!A:B,2,0)</f>
        <v>326</v>
      </c>
      <c r="C515" s="11">
        <v>6894.5</v>
      </c>
      <c r="D515">
        <v>5.48</v>
      </c>
      <c r="H515" s="62">
        <v>1</v>
      </c>
      <c r="I515" s="62">
        <v>1</v>
      </c>
      <c r="K515" s="11">
        <f t="shared" si="24"/>
        <v>802372.89999999921</v>
      </c>
      <c r="N515" s="12">
        <f t="shared" ref="N515:N578" si="25">C515/(1400*24)</f>
        <v>0.20519345238095238</v>
      </c>
      <c r="O515" s="12">
        <f t="shared" ref="O515:O578" si="26">K515/(B515*1400*24)</f>
        <v>7.3251981083844508E-2</v>
      </c>
    </row>
    <row r="516" spans="1:15">
      <c r="A516" s="60">
        <v>45709</v>
      </c>
      <c r="B516">
        <f>VLOOKUP(A516,'BADI SID DATA'!A:B,2,0)</f>
        <v>327</v>
      </c>
      <c r="C516" s="11">
        <v>6545</v>
      </c>
      <c r="D516">
        <v>5.24</v>
      </c>
      <c r="H516" s="62">
        <v>1</v>
      </c>
      <c r="I516" s="62">
        <v>1</v>
      </c>
      <c r="K516" s="11">
        <f t="shared" si="24"/>
        <v>808917.89999999921</v>
      </c>
      <c r="N516" s="12">
        <f t="shared" si="25"/>
        <v>0.19479166666666667</v>
      </c>
      <c r="O516" s="12">
        <f t="shared" si="26"/>
        <v>7.3623662079510627E-2</v>
      </c>
    </row>
    <row r="517" spans="1:15">
      <c r="A517" s="60">
        <v>45710</v>
      </c>
      <c r="B517">
        <f>VLOOKUP(A517,'BADI SID DATA'!A:B,2,0)</f>
        <v>328</v>
      </c>
      <c r="C517" s="11">
        <v>6514.2</v>
      </c>
      <c r="D517">
        <v>5.27</v>
      </c>
      <c r="H517" s="62">
        <v>1</v>
      </c>
      <c r="I517" s="62">
        <v>1</v>
      </c>
      <c r="K517" s="11">
        <f t="shared" si="24"/>
        <v>815432.09999999916</v>
      </c>
      <c r="N517" s="12">
        <f t="shared" si="25"/>
        <v>0.19387499999999999</v>
      </c>
      <c r="O517" s="12">
        <f t="shared" si="26"/>
        <v>7.3990282012195041E-2</v>
      </c>
    </row>
    <row r="518" spans="1:15">
      <c r="A518" s="60">
        <v>45711</v>
      </c>
      <c r="B518">
        <f>VLOOKUP(A518,'BADI SID DATA'!A:B,2,0)</f>
        <v>329</v>
      </c>
      <c r="C518" s="11">
        <v>5801.8</v>
      </c>
      <c r="D518">
        <v>4.55</v>
      </c>
      <c r="H518" s="62">
        <v>1</v>
      </c>
      <c r="I518" s="62">
        <v>1</v>
      </c>
      <c r="K518" s="11">
        <f t="shared" si="24"/>
        <v>821233.89999999921</v>
      </c>
      <c r="N518" s="12">
        <f t="shared" si="25"/>
        <v>0.17267261904761905</v>
      </c>
      <c r="O518" s="12">
        <f t="shared" si="26"/>
        <v>7.4290228325372631E-2</v>
      </c>
    </row>
    <row r="519" spans="1:15">
      <c r="A519" s="60">
        <v>45712</v>
      </c>
      <c r="B519">
        <f>VLOOKUP(A519,'BADI SID DATA'!A:B,2,0)</f>
        <v>330</v>
      </c>
      <c r="C519" s="11">
        <v>7153.7</v>
      </c>
      <c r="D519">
        <v>5.57</v>
      </c>
      <c r="H519" s="62">
        <v>1</v>
      </c>
      <c r="I519" s="62">
        <v>1</v>
      </c>
      <c r="K519" s="11">
        <f t="shared" si="24"/>
        <v>828387.59999999916</v>
      </c>
      <c r="N519" s="12">
        <f t="shared" si="25"/>
        <v>0.21290773809523808</v>
      </c>
      <c r="O519" s="12">
        <f t="shared" si="26"/>
        <v>7.471028138528131E-2</v>
      </c>
    </row>
    <row r="520" spans="1:15">
      <c r="A520" s="60">
        <v>45713</v>
      </c>
      <c r="B520">
        <f>VLOOKUP(A520,'BADI SID DATA'!A:B,2,0)</f>
        <v>331</v>
      </c>
      <c r="C520" s="11">
        <v>7167.3</v>
      </c>
      <c r="D520">
        <v>5.69</v>
      </c>
      <c r="H520" s="62">
        <v>1</v>
      </c>
      <c r="I520" s="62">
        <v>1</v>
      </c>
      <c r="K520" s="11">
        <f t="shared" si="24"/>
        <v>835554.89999999921</v>
      </c>
      <c r="N520" s="12">
        <f t="shared" si="25"/>
        <v>0.21331250000000002</v>
      </c>
      <c r="O520" s="12">
        <f t="shared" si="26"/>
        <v>7.512901920586959E-2</v>
      </c>
    </row>
    <row r="521" spans="1:15">
      <c r="A521" s="60">
        <v>45714</v>
      </c>
      <c r="B521">
        <f>VLOOKUP(A521,'BADI SID DATA'!A:B,2,0)</f>
        <v>332</v>
      </c>
      <c r="C521" s="11">
        <v>6250.9000000000005</v>
      </c>
      <c r="D521">
        <v>5.04</v>
      </c>
      <c r="H521" s="62">
        <v>1</v>
      </c>
      <c r="I521" s="62">
        <v>1</v>
      </c>
      <c r="K521" s="11">
        <f t="shared" si="24"/>
        <v>841805.79999999923</v>
      </c>
      <c r="N521" s="12">
        <f t="shared" si="25"/>
        <v>0.18603869047619048</v>
      </c>
      <c r="O521" s="12">
        <f t="shared" si="26"/>
        <v>7.5463084480780193E-2</v>
      </c>
    </row>
    <row r="522" spans="1:15">
      <c r="A522" s="60">
        <v>45715</v>
      </c>
      <c r="B522">
        <f>VLOOKUP(A522,'BADI SID DATA'!A:B,2,0)</f>
        <v>333</v>
      </c>
      <c r="C522" s="11">
        <v>6798.4000000000005</v>
      </c>
      <c r="D522">
        <v>5.45</v>
      </c>
      <c r="H522" s="62">
        <v>1</v>
      </c>
      <c r="I522" s="62">
        <v>1</v>
      </c>
      <c r="K522" s="11">
        <f t="shared" si="24"/>
        <v>848604.19999999925</v>
      </c>
      <c r="N522" s="12">
        <f t="shared" si="25"/>
        <v>0.20233333333333334</v>
      </c>
      <c r="O522" s="12">
        <f t="shared" si="26"/>
        <v>7.5844076219076156E-2</v>
      </c>
    </row>
    <row r="523" spans="1:15">
      <c r="A523" s="60">
        <v>45716</v>
      </c>
      <c r="B523">
        <f>VLOOKUP(A523,'BADI SID DATA'!A:B,2,0)</f>
        <v>334</v>
      </c>
      <c r="C523" s="11">
        <v>6808.5</v>
      </c>
      <c r="D523">
        <v>5.51</v>
      </c>
      <c r="H523" s="62">
        <v>1</v>
      </c>
      <c r="I523" s="62">
        <v>1</v>
      </c>
      <c r="K523" s="11">
        <f t="shared" si="24"/>
        <v>855412.69999999925</v>
      </c>
      <c r="N523" s="12">
        <f t="shared" si="25"/>
        <v>0.20263392857142856</v>
      </c>
      <c r="O523" s="12">
        <f t="shared" si="26"/>
        <v>7.622368655546044E-2</v>
      </c>
    </row>
    <row r="524" spans="1:15">
      <c r="A524" s="60">
        <v>45717</v>
      </c>
      <c r="B524">
        <f>VLOOKUP(A524,'BADI SID DATA'!A:B,2,0)</f>
        <v>335</v>
      </c>
      <c r="C524" s="11">
        <v>4564.3999999999996</v>
      </c>
      <c r="D524">
        <v>3.5</v>
      </c>
      <c r="H524" s="62">
        <v>1</v>
      </c>
      <c r="I524" s="62">
        <v>1</v>
      </c>
      <c r="K524" s="11">
        <f t="shared" si="24"/>
        <v>859977.09999999928</v>
      </c>
      <c r="N524" s="12">
        <f t="shared" si="25"/>
        <v>0.13584523809523807</v>
      </c>
      <c r="O524" s="12">
        <f t="shared" si="26"/>
        <v>7.6401661336176194E-2</v>
      </c>
    </row>
    <row r="525" spans="1:15">
      <c r="A525" s="60">
        <v>45718</v>
      </c>
      <c r="B525">
        <f>VLOOKUP(A525,'BADI SID DATA'!A:B,2,0)</f>
        <v>336</v>
      </c>
      <c r="C525" s="11">
        <v>3540.1</v>
      </c>
      <c r="D525">
        <v>2.58</v>
      </c>
      <c r="H525" s="62">
        <v>1</v>
      </c>
      <c r="I525" s="62">
        <v>1</v>
      </c>
      <c r="K525" s="11">
        <f t="shared" si="24"/>
        <v>863517.19999999925</v>
      </c>
      <c r="N525" s="12">
        <f t="shared" si="25"/>
        <v>0.10536011904761905</v>
      </c>
      <c r="O525" s="12">
        <f t="shared" si="26"/>
        <v>7.6487847222222155E-2</v>
      </c>
    </row>
    <row r="526" spans="1:15">
      <c r="A526" s="60">
        <v>45719</v>
      </c>
      <c r="B526">
        <f>VLOOKUP(A526,'BADI SID DATA'!A:B,2,0)</f>
        <v>337</v>
      </c>
      <c r="C526" s="11">
        <v>5387.5</v>
      </c>
      <c r="D526">
        <v>4.18</v>
      </c>
      <c r="H526" s="62">
        <v>1</v>
      </c>
      <c r="I526" s="62">
        <v>1</v>
      </c>
      <c r="K526" s="11">
        <f t="shared" si="24"/>
        <v>868904.69999999925</v>
      </c>
      <c r="N526" s="12">
        <f t="shared" si="25"/>
        <v>0.16034226190476192</v>
      </c>
      <c r="O526" s="12">
        <f t="shared" si="26"/>
        <v>7.6736673378550169E-2</v>
      </c>
    </row>
    <row r="527" spans="1:15">
      <c r="A527" s="60">
        <v>45720</v>
      </c>
      <c r="B527">
        <f>VLOOKUP(A527,'BADI SID DATA'!A:B,2,0)</f>
        <v>338</v>
      </c>
      <c r="C527" s="11">
        <v>7081</v>
      </c>
      <c r="D527">
        <v>5.7</v>
      </c>
      <c r="H527" s="62">
        <v>1</v>
      </c>
      <c r="I527" s="62">
        <v>1</v>
      </c>
      <c r="K527" s="11">
        <f t="shared" si="24"/>
        <v>875985.69999999925</v>
      </c>
      <c r="N527" s="12">
        <f t="shared" si="25"/>
        <v>0.21074404761904761</v>
      </c>
      <c r="O527" s="12">
        <f t="shared" si="26"/>
        <v>7.7133144899971751E-2</v>
      </c>
    </row>
    <row r="528" spans="1:15">
      <c r="A528" s="60">
        <v>45721</v>
      </c>
      <c r="B528">
        <f>VLOOKUP(A528,'BADI SID DATA'!A:B,2,0)</f>
        <v>339</v>
      </c>
      <c r="C528" s="11">
        <v>6337.0000000000009</v>
      </c>
      <c r="D528">
        <v>5.05</v>
      </c>
      <c r="H528" s="62">
        <v>1</v>
      </c>
      <c r="I528" s="62">
        <v>1</v>
      </c>
      <c r="K528" s="11">
        <f t="shared" si="24"/>
        <v>882322.69999999925</v>
      </c>
      <c r="N528" s="12">
        <f t="shared" si="25"/>
        <v>0.18860119047619051</v>
      </c>
      <c r="O528" s="12">
        <f t="shared" si="26"/>
        <v>7.7461959193706922E-2</v>
      </c>
    </row>
    <row r="529" spans="1:15">
      <c r="A529" s="60">
        <v>45722</v>
      </c>
      <c r="B529">
        <f>VLOOKUP(A529,'BADI SID DATA'!A:B,2,0)</f>
        <v>340</v>
      </c>
      <c r="C529" s="11">
        <v>6738.3</v>
      </c>
      <c r="D529">
        <v>5.43</v>
      </c>
      <c r="H529" s="62">
        <v>1</v>
      </c>
      <c r="I529" s="62">
        <v>1</v>
      </c>
      <c r="K529" s="11">
        <f t="shared" si="24"/>
        <v>889060.9999999993</v>
      </c>
      <c r="N529" s="12">
        <f t="shared" si="25"/>
        <v>0.20054464285714285</v>
      </c>
      <c r="O529" s="12">
        <f t="shared" si="26"/>
        <v>7.7823967086834672E-2</v>
      </c>
    </row>
    <row r="530" spans="1:15">
      <c r="A530" s="60">
        <v>45723</v>
      </c>
      <c r="B530">
        <f>VLOOKUP(A530,'BADI SID DATA'!A:B,2,0)</f>
        <v>341</v>
      </c>
      <c r="C530" s="11">
        <v>7056.3</v>
      </c>
      <c r="D530">
        <v>5.69</v>
      </c>
      <c r="H530" s="62">
        <v>1</v>
      </c>
      <c r="I530" s="62">
        <v>1</v>
      </c>
      <c r="K530" s="11">
        <f t="shared" si="24"/>
        <v>896117.29999999935</v>
      </c>
      <c r="N530" s="12">
        <f t="shared" si="25"/>
        <v>0.21000892857142858</v>
      </c>
      <c r="O530" s="12">
        <f t="shared" si="26"/>
        <v>7.8211606270073952E-2</v>
      </c>
    </row>
    <row r="531" spans="1:15">
      <c r="A531" s="60">
        <v>45724</v>
      </c>
      <c r="B531">
        <f>VLOOKUP(A531,'BADI SID DATA'!A:B,2,0)</f>
        <v>342</v>
      </c>
      <c r="C531" s="11">
        <v>7264.6000000000013</v>
      </c>
      <c r="D531">
        <v>5.8</v>
      </c>
      <c r="H531" s="62">
        <v>1</v>
      </c>
      <c r="I531" s="62">
        <v>1</v>
      </c>
      <c r="K531" s="11">
        <f t="shared" si="24"/>
        <v>903381.89999999932</v>
      </c>
      <c r="N531" s="12">
        <f t="shared" si="25"/>
        <v>0.21620833333333336</v>
      </c>
      <c r="O531" s="12">
        <f t="shared" si="26"/>
        <v>7.8615105472013308E-2</v>
      </c>
    </row>
    <row r="532" spans="1:15">
      <c r="A532" s="60">
        <v>45725</v>
      </c>
      <c r="B532">
        <f>VLOOKUP(A532,'BADI SID DATA'!A:B,2,0)</f>
        <v>343</v>
      </c>
      <c r="C532" s="11">
        <v>7347</v>
      </c>
      <c r="D532">
        <v>5.92</v>
      </c>
      <c r="H532" s="62">
        <v>1</v>
      </c>
      <c r="I532" s="62">
        <v>1</v>
      </c>
      <c r="K532" s="11">
        <f t="shared" si="24"/>
        <v>910728.89999999932</v>
      </c>
      <c r="N532" s="12">
        <f t="shared" si="25"/>
        <v>0.21866071428571429</v>
      </c>
      <c r="O532" s="12">
        <f t="shared" si="26"/>
        <v>7.902340170762176E-2</v>
      </c>
    </row>
    <row r="533" spans="1:15">
      <c r="A533" s="60">
        <v>45726</v>
      </c>
      <c r="B533">
        <f>VLOOKUP(A533,'BADI SID DATA'!A:B,2,0)</f>
        <v>344</v>
      </c>
      <c r="C533" s="11">
        <v>6934.8</v>
      </c>
      <c r="D533">
        <v>5.53</v>
      </c>
      <c r="H533" s="62">
        <v>1</v>
      </c>
      <c r="I533" s="62">
        <v>1</v>
      </c>
      <c r="K533" s="11">
        <f t="shared" si="24"/>
        <v>917663.69999999937</v>
      </c>
      <c r="N533" s="12">
        <f t="shared" si="25"/>
        <v>0.20639285714285716</v>
      </c>
      <c r="O533" s="12">
        <f t="shared" si="26"/>
        <v>7.9393661752491643E-2</v>
      </c>
    </row>
    <row r="534" spans="1:15">
      <c r="A534" s="60">
        <v>45727</v>
      </c>
      <c r="B534">
        <f>VLOOKUP(A534,'BADI SID DATA'!A:B,2,0)</f>
        <v>345</v>
      </c>
      <c r="C534" s="11">
        <v>6076.2999999999993</v>
      </c>
      <c r="D534">
        <v>5.29</v>
      </c>
      <c r="H534" s="62">
        <v>1</v>
      </c>
      <c r="I534" s="62">
        <v>0.95972222222222237</v>
      </c>
      <c r="K534" s="11">
        <f t="shared" si="24"/>
        <v>923739.99999999942</v>
      </c>
      <c r="N534" s="12">
        <f t="shared" si="25"/>
        <v>0.18084226190476188</v>
      </c>
      <c r="O534" s="12">
        <f t="shared" si="26"/>
        <v>7.9687715665976488E-2</v>
      </c>
    </row>
    <row r="535" spans="1:15">
      <c r="A535" s="60">
        <v>45728</v>
      </c>
      <c r="B535">
        <f>VLOOKUP(A535,'BADI SID DATA'!A:B,2,0)</f>
        <v>346</v>
      </c>
      <c r="C535" s="11">
        <v>4297.3</v>
      </c>
      <c r="D535">
        <v>3.23</v>
      </c>
      <c r="H535" s="62">
        <v>1</v>
      </c>
      <c r="I535" s="62">
        <v>1</v>
      </c>
      <c r="K535" s="11">
        <f t="shared" si="24"/>
        <v>928037.29999999946</v>
      </c>
      <c r="N535" s="12">
        <f t="shared" si="25"/>
        <v>0.12789583333333335</v>
      </c>
      <c r="O535" s="12">
        <f t="shared" si="26"/>
        <v>7.9827045485824338E-2</v>
      </c>
    </row>
    <row r="536" spans="1:15">
      <c r="A536" s="60">
        <v>45729</v>
      </c>
      <c r="B536">
        <f>VLOOKUP(A536,'BADI SID DATA'!A:B,2,0)</f>
        <v>347</v>
      </c>
      <c r="C536" s="11">
        <v>6297</v>
      </c>
      <c r="D536">
        <v>5.01</v>
      </c>
      <c r="H536" s="62">
        <v>1</v>
      </c>
      <c r="I536" s="62">
        <v>1</v>
      </c>
      <c r="K536" s="11">
        <f t="shared" si="24"/>
        <v>934334.29999999946</v>
      </c>
      <c r="N536" s="12">
        <f t="shared" si="25"/>
        <v>0.18741071428571429</v>
      </c>
      <c r="O536" s="12">
        <f t="shared" si="26"/>
        <v>8.0137084877178494E-2</v>
      </c>
    </row>
    <row r="537" spans="1:15">
      <c r="A537" s="60">
        <v>45730</v>
      </c>
      <c r="B537">
        <f>VLOOKUP(A537,'BADI SID DATA'!A:B,2,0)</f>
        <v>348</v>
      </c>
      <c r="C537" s="11">
        <v>7319.9</v>
      </c>
      <c r="D537">
        <v>5.93</v>
      </c>
      <c r="H537" s="62">
        <v>1</v>
      </c>
      <c r="I537" s="62">
        <v>1</v>
      </c>
      <c r="K537" s="11">
        <f t="shared" si="24"/>
        <v>941654.19999999949</v>
      </c>
      <c r="N537" s="12">
        <f t="shared" si="25"/>
        <v>0.21785416666666665</v>
      </c>
      <c r="O537" s="12">
        <f t="shared" si="26"/>
        <v>8.0532823617952887E-2</v>
      </c>
    </row>
    <row r="538" spans="1:15">
      <c r="A538" s="60">
        <v>45731</v>
      </c>
      <c r="B538">
        <f>VLOOKUP(A538,'BADI SID DATA'!A:B,2,0)</f>
        <v>349</v>
      </c>
      <c r="C538" s="11">
        <v>7593.8000000000011</v>
      </c>
      <c r="D538">
        <v>6.21</v>
      </c>
      <c r="H538" s="62">
        <v>1</v>
      </c>
      <c r="I538" s="62">
        <v>1</v>
      </c>
      <c r="K538" s="11">
        <f t="shared" si="24"/>
        <v>949247.99999999953</v>
      </c>
      <c r="N538" s="12">
        <f t="shared" si="25"/>
        <v>0.22600595238095242</v>
      </c>
      <c r="O538" s="12">
        <f t="shared" si="26"/>
        <v>8.0949652067130534E-2</v>
      </c>
    </row>
    <row r="539" spans="1:15">
      <c r="A539" s="60">
        <v>45732</v>
      </c>
      <c r="B539">
        <f>VLOOKUP(A539,'BADI SID DATA'!A:B,2,0)</f>
        <v>350</v>
      </c>
      <c r="C539" s="11">
        <v>7168.8</v>
      </c>
      <c r="D539">
        <v>5.84</v>
      </c>
      <c r="H539" s="62">
        <v>1</v>
      </c>
      <c r="I539" s="62">
        <v>1</v>
      </c>
      <c r="K539" s="11">
        <f t="shared" si="24"/>
        <v>956416.79999999958</v>
      </c>
      <c r="N539" s="12">
        <f t="shared" si="25"/>
        <v>0.21335714285714286</v>
      </c>
      <c r="O539" s="12">
        <f t="shared" si="26"/>
        <v>8.1327959183673429E-2</v>
      </c>
    </row>
    <row r="540" spans="1:15">
      <c r="A540" s="60">
        <v>45733</v>
      </c>
      <c r="B540">
        <f>VLOOKUP(A540,'BADI SID DATA'!A:B,2,0)</f>
        <v>351</v>
      </c>
      <c r="C540" s="11">
        <v>4277.8999999999996</v>
      </c>
      <c r="D540">
        <v>3.16</v>
      </c>
      <c r="H540" s="62">
        <v>1</v>
      </c>
      <c r="I540" s="62">
        <v>1</v>
      </c>
      <c r="K540" s="11">
        <f t="shared" si="24"/>
        <v>960694.6999999996</v>
      </c>
      <c r="N540" s="12">
        <f t="shared" si="25"/>
        <v>0.12731845238095238</v>
      </c>
      <c r="O540" s="12">
        <f t="shared" si="26"/>
        <v>8.1458986229819536E-2</v>
      </c>
    </row>
    <row r="541" spans="1:15">
      <c r="A541" s="60">
        <v>45734</v>
      </c>
      <c r="B541">
        <f>VLOOKUP(A541,'BADI SID DATA'!A:B,2,0)</f>
        <v>352</v>
      </c>
      <c r="C541" s="11">
        <v>7779.4</v>
      </c>
      <c r="D541">
        <v>6.19</v>
      </c>
      <c r="H541" s="62">
        <v>1</v>
      </c>
      <c r="I541" s="62">
        <v>1</v>
      </c>
      <c r="K541" s="11">
        <f t="shared" si="24"/>
        <v>968474.09999999963</v>
      </c>
      <c r="N541" s="12">
        <f t="shared" si="25"/>
        <v>0.2315297619047619</v>
      </c>
      <c r="O541" s="12">
        <f t="shared" si="26"/>
        <v>8.1885323660714257E-2</v>
      </c>
    </row>
    <row r="542" spans="1:15">
      <c r="A542" s="60">
        <v>45735</v>
      </c>
      <c r="B542">
        <f>VLOOKUP(A542,'BADI SID DATA'!A:B,2,0)</f>
        <v>353</v>
      </c>
      <c r="C542" s="11">
        <v>6400.2999999999993</v>
      </c>
      <c r="D542">
        <v>4.95</v>
      </c>
      <c r="H542" s="62">
        <v>1</v>
      </c>
      <c r="I542" s="62">
        <v>1</v>
      </c>
      <c r="K542" s="11">
        <f t="shared" si="24"/>
        <v>974874.39999999967</v>
      </c>
      <c r="N542" s="12">
        <f t="shared" si="25"/>
        <v>0.19048511904761903</v>
      </c>
      <c r="O542" s="12">
        <f t="shared" si="26"/>
        <v>8.2192971806286222E-2</v>
      </c>
    </row>
    <row r="543" spans="1:15">
      <c r="A543" s="60">
        <v>45736</v>
      </c>
      <c r="B543">
        <f>VLOOKUP(A543,'BADI SID DATA'!A:B,2,0)</f>
        <v>354</v>
      </c>
      <c r="C543" s="11">
        <v>7292.0999999999985</v>
      </c>
      <c r="D543">
        <v>5.86</v>
      </c>
      <c r="H543" s="62">
        <v>1</v>
      </c>
      <c r="I543" s="62">
        <v>1</v>
      </c>
      <c r="K543" s="11">
        <f t="shared" si="24"/>
        <v>982166.49999999965</v>
      </c>
      <c r="N543" s="12">
        <f t="shared" si="25"/>
        <v>0.21702678571428566</v>
      </c>
      <c r="O543" s="12">
        <f t="shared" si="26"/>
        <v>8.2573858286252327E-2</v>
      </c>
    </row>
    <row r="544" spans="1:15">
      <c r="A544" s="60">
        <v>45737</v>
      </c>
      <c r="B544">
        <f>VLOOKUP(A544,'BADI SID DATA'!A:B,2,0)</f>
        <v>355</v>
      </c>
      <c r="C544" s="11">
        <v>7872.0000000000009</v>
      </c>
      <c r="D544">
        <v>6.29</v>
      </c>
      <c r="H544" s="62">
        <v>1</v>
      </c>
      <c r="I544" s="62">
        <v>1</v>
      </c>
      <c r="K544" s="11">
        <f t="shared" si="24"/>
        <v>990038.49999999965</v>
      </c>
      <c r="N544" s="12">
        <f t="shared" si="25"/>
        <v>0.23428571428571432</v>
      </c>
      <c r="O544" s="12">
        <f t="shared" si="26"/>
        <v>8.3001215627095878E-2</v>
      </c>
    </row>
    <row r="545" spans="1:15">
      <c r="A545" s="60">
        <v>45738</v>
      </c>
      <c r="B545">
        <f>VLOOKUP(A545,'BADI SID DATA'!A:B,2,0)</f>
        <v>356</v>
      </c>
      <c r="C545" s="11">
        <v>7849.0999999999995</v>
      </c>
      <c r="D545">
        <v>6.34</v>
      </c>
      <c r="H545" s="62">
        <v>1</v>
      </c>
      <c r="I545" s="62">
        <v>1</v>
      </c>
      <c r="K545" s="11">
        <f t="shared" si="24"/>
        <v>997887.59999999963</v>
      </c>
      <c r="N545" s="12">
        <f t="shared" si="25"/>
        <v>0.23360416666666664</v>
      </c>
      <c r="O545" s="12">
        <f t="shared" si="26"/>
        <v>8.3424257624398049E-2</v>
      </c>
    </row>
    <row r="546" spans="1:15">
      <c r="A546" s="60">
        <v>45739</v>
      </c>
      <c r="B546">
        <f>VLOOKUP(A546,'BADI SID DATA'!A:B,2,0)</f>
        <v>357</v>
      </c>
      <c r="C546" s="11">
        <v>7635.4</v>
      </c>
      <c r="D546">
        <v>6.06</v>
      </c>
      <c r="H546" s="62">
        <v>1</v>
      </c>
      <c r="I546" s="62">
        <v>1</v>
      </c>
      <c r="K546" s="11">
        <f t="shared" si="24"/>
        <v>1005522.9999999997</v>
      </c>
      <c r="N546" s="12">
        <f t="shared" si="25"/>
        <v>0.2272440476190476</v>
      </c>
      <c r="O546" s="12">
        <f t="shared" si="26"/>
        <v>8.3827114179004902E-2</v>
      </c>
    </row>
    <row r="547" spans="1:15">
      <c r="A547" s="60">
        <v>45740</v>
      </c>
      <c r="B547">
        <f>VLOOKUP(A547,'BADI SID DATA'!A:B,2,0)</f>
        <v>358</v>
      </c>
      <c r="C547" s="11">
        <v>7843.1</v>
      </c>
      <c r="D547">
        <v>6.25</v>
      </c>
      <c r="H547" s="62">
        <v>1</v>
      </c>
      <c r="I547" s="62">
        <v>1</v>
      </c>
      <c r="K547" s="11">
        <f t="shared" si="24"/>
        <v>1013366.0999999996</v>
      </c>
      <c r="N547" s="12">
        <f t="shared" si="25"/>
        <v>0.23342559523809525</v>
      </c>
      <c r="O547" s="12">
        <f t="shared" si="26"/>
        <v>8.4244987031125262E-2</v>
      </c>
    </row>
    <row r="548" spans="1:15">
      <c r="A548" s="60">
        <v>45741</v>
      </c>
      <c r="B548">
        <f>VLOOKUP(A548,'BADI SID DATA'!A:B,2,0)</f>
        <v>359</v>
      </c>
      <c r="C548" s="11">
        <v>7516.9</v>
      </c>
      <c r="D548">
        <v>6.01</v>
      </c>
      <c r="H548" s="62">
        <v>1</v>
      </c>
      <c r="I548" s="62">
        <v>1</v>
      </c>
      <c r="K548" s="11">
        <f t="shared" si="24"/>
        <v>1020882.9999999997</v>
      </c>
      <c r="N548" s="12">
        <f t="shared" si="25"/>
        <v>0.2237172619047619</v>
      </c>
      <c r="O548" s="12">
        <f t="shared" si="26"/>
        <v>8.4633489189547662E-2</v>
      </c>
    </row>
    <row r="549" spans="1:15">
      <c r="A549" s="60">
        <v>45742</v>
      </c>
      <c r="B549">
        <f>VLOOKUP(A549,'BADI SID DATA'!A:B,2,0)</f>
        <v>360</v>
      </c>
      <c r="C549" s="11">
        <v>6956.8</v>
      </c>
      <c r="D549">
        <v>5.55</v>
      </c>
      <c r="H549" s="62">
        <v>1</v>
      </c>
      <c r="I549" s="62">
        <v>1</v>
      </c>
      <c r="K549" s="11">
        <f t="shared" si="24"/>
        <v>1027839.7999999997</v>
      </c>
      <c r="N549" s="12">
        <f t="shared" si="25"/>
        <v>0.20704761904761906</v>
      </c>
      <c r="O549" s="12">
        <f t="shared" si="26"/>
        <v>8.4973528439153415E-2</v>
      </c>
    </row>
    <row r="550" spans="1:15">
      <c r="A550" s="60">
        <v>45743</v>
      </c>
      <c r="B550">
        <f>VLOOKUP(A550,'BADI SID DATA'!A:B,2,0)</f>
        <v>361</v>
      </c>
      <c r="C550" s="11">
        <v>7196.1</v>
      </c>
      <c r="D550">
        <v>5.73</v>
      </c>
      <c r="H550" s="62">
        <v>1</v>
      </c>
      <c r="I550" s="62">
        <v>1</v>
      </c>
      <c r="K550" s="11">
        <f t="shared" si="24"/>
        <v>1035035.8999999997</v>
      </c>
      <c r="N550" s="12">
        <f t="shared" si="25"/>
        <v>0.21416964285714288</v>
      </c>
      <c r="O550" s="12">
        <f t="shared" si="26"/>
        <v>8.5331412412610441E-2</v>
      </c>
    </row>
    <row r="551" spans="1:15">
      <c r="A551" s="60">
        <v>45744</v>
      </c>
      <c r="B551">
        <f>VLOOKUP(A551,'BADI SID DATA'!A:B,2,0)</f>
        <v>362</v>
      </c>
      <c r="C551" s="11">
        <v>7405.5</v>
      </c>
      <c r="D551">
        <v>5.88</v>
      </c>
      <c r="H551" s="62">
        <v>1</v>
      </c>
      <c r="I551" s="62">
        <v>1</v>
      </c>
      <c r="K551" s="11">
        <f t="shared" si="24"/>
        <v>1042441.3999999997</v>
      </c>
      <c r="N551" s="12">
        <f t="shared" si="25"/>
        <v>0.2204017857142857</v>
      </c>
      <c r="O551" s="12">
        <f t="shared" si="26"/>
        <v>8.5704534990791864E-2</v>
      </c>
    </row>
    <row r="552" spans="1:15">
      <c r="A552" s="60">
        <v>45745</v>
      </c>
      <c r="B552">
        <f>VLOOKUP(A552,'BADI SID DATA'!A:B,2,0)</f>
        <v>363</v>
      </c>
      <c r="C552" s="11">
        <v>7197.9000000000005</v>
      </c>
      <c r="D552">
        <v>5.71</v>
      </c>
      <c r="H552" s="62">
        <v>1</v>
      </c>
      <c r="I552" s="62">
        <v>1</v>
      </c>
      <c r="K552" s="11">
        <f t="shared" si="24"/>
        <v>1049639.2999999996</v>
      </c>
      <c r="N552" s="12">
        <f t="shared" si="25"/>
        <v>0.21422321428571431</v>
      </c>
      <c r="O552" s="12">
        <f t="shared" si="26"/>
        <v>8.6058580939262719E-2</v>
      </c>
    </row>
    <row r="553" spans="1:15">
      <c r="A553" s="60">
        <v>45746</v>
      </c>
      <c r="B553">
        <f>VLOOKUP(A553,'BADI SID DATA'!A:B,2,0)</f>
        <v>364</v>
      </c>
      <c r="C553" s="11">
        <v>7423.4</v>
      </c>
      <c r="D553">
        <v>5.91</v>
      </c>
      <c r="H553" s="62">
        <v>1</v>
      </c>
      <c r="I553" s="62">
        <v>1</v>
      </c>
      <c r="K553" s="11">
        <f t="shared" si="24"/>
        <v>1057062.6999999995</v>
      </c>
      <c r="N553" s="12">
        <f t="shared" si="25"/>
        <v>0.2209345238095238</v>
      </c>
      <c r="O553" s="12">
        <f t="shared" si="26"/>
        <v>8.6429119243851341E-2</v>
      </c>
    </row>
    <row r="554" spans="1:15">
      <c r="A554" s="60">
        <v>45747</v>
      </c>
      <c r="B554">
        <f>VLOOKUP(A554,'BADI SID DATA'!A:B,2,0)</f>
        <v>365</v>
      </c>
      <c r="C554" s="11">
        <v>6574.8000000000011</v>
      </c>
      <c r="D554">
        <v>5.34</v>
      </c>
      <c r="H554" s="62">
        <v>1</v>
      </c>
      <c r="I554" s="62">
        <v>0.98888888888888893</v>
      </c>
      <c r="K554" s="11">
        <f t="shared" si="24"/>
        <v>1063637.4999999995</v>
      </c>
      <c r="N554" s="12">
        <f t="shared" si="25"/>
        <v>0.19567857142857145</v>
      </c>
      <c r="O554" s="12">
        <f t="shared" si="26"/>
        <v>8.6728432811480724E-2</v>
      </c>
    </row>
    <row r="555" spans="1:15">
      <c r="A555" s="60">
        <v>45748</v>
      </c>
      <c r="B555">
        <f>VLOOKUP(A555,'BADI SID DATA'!A:B,2,0)</f>
        <v>1</v>
      </c>
      <c r="C555" s="11">
        <v>6889.1</v>
      </c>
      <c r="D555">
        <v>5.46</v>
      </c>
      <c r="H555" s="62">
        <v>1</v>
      </c>
      <c r="I555" s="62">
        <v>1</v>
      </c>
      <c r="K555" s="11">
        <f>C555</f>
        <v>6889.1</v>
      </c>
      <c r="L555" s="11">
        <f>F555</f>
        <v>0</v>
      </c>
      <c r="M555" s="11">
        <f>G555</f>
        <v>0</v>
      </c>
      <c r="N555" s="12">
        <f t="shared" si="25"/>
        <v>0.20503273809523812</v>
      </c>
      <c r="O555" s="12">
        <f>K555/(B555*1400*24)</f>
        <v>0.20503273809523812</v>
      </c>
    </row>
    <row r="556" spans="1:15">
      <c r="A556" s="60">
        <v>45749</v>
      </c>
      <c r="B556">
        <f>VLOOKUP(A556,'BADI SID DATA'!A:B,2,0)</f>
        <v>2</v>
      </c>
      <c r="C556" s="11">
        <v>7154</v>
      </c>
      <c r="D556">
        <v>5.69</v>
      </c>
      <c r="H556" s="62">
        <v>1</v>
      </c>
      <c r="I556" s="62">
        <v>1</v>
      </c>
      <c r="K556" s="11">
        <f t="shared" si="24"/>
        <v>14043.1</v>
      </c>
      <c r="L556" s="11">
        <f>L555+F556</f>
        <v>0</v>
      </c>
      <c r="M556" s="11">
        <f>M555+G556</f>
        <v>0</v>
      </c>
      <c r="N556" s="12">
        <f t="shared" si="25"/>
        <v>0.21291666666666667</v>
      </c>
      <c r="O556" s="12">
        <f t="shared" si="26"/>
        <v>0.20897470238095239</v>
      </c>
    </row>
    <row r="557" spans="1:15">
      <c r="A557" s="60">
        <v>45750</v>
      </c>
      <c r="B557">
        <f>VLOOKUP(A557,'BADI SID DATA'!A:B,2,0)</f>
        <v>3</v>
      </c>
      <c r="C557" s="11">
        <v>7035.5</v>
      </c>
      <c r="D557">
        <v>5.67</v>
      </c>
      <c r="H557" s="62">
        <v>1</v>
      </c>
      <c r="I557" s="62">
        <v>1</v>
      </c>
      <c r="K557" s="11">
        <f t="shared" si="24"/>
        <v>21078.6</v>
      </c>
      <c r="L557" s="11">
        <f t="shared" ref="L557:L620" si="27">L556+F557</f>
        <v>0</v>
      </c>
      <c r="M557" s="11">
        <f t="shared" ref="M557:M620" si="28">M556+G557</f>
        <v>0</v>
      </c>
      <c r="N557" s="12">
        <f t="shared" si="25"/>
        <v>0.20938988095238095</v>
      </c>
      <c r="O557" s="12">
        <f t="shared" si="26"/>
        <v>0.20911309523809524</v>
      </c>
    </row>
    <row r="558" spans="1:15">
      <c r="A558" s="60">
        <v>45751</v>
      </c>
      <c r="B558">
        <f>VLOOKUP(A558,'BADI SID DATA'!A:B,2,0)</f>
        <v>4</v>
      </c>
      <c r="C558" s="11">
        <v>7667</v>
      </c>
      <c r="D558">
        <v>6.2</v>
      </c>
      <c r="H558" s="62">
        <v>1</v>
      </c>
      <c r="I558" s="62">
        <v>1</v>
      </c>
      <c r="K558" s="11">
        <f t="shared" si="24"/>
        <v>28745.599999999999</v>
      </c>
      <c r="L558" s="11">
        <f t="shared" si="27"/>
        <v>0</v>
      </c>
      <c r="M558" s="11">
        <f t="shared" si="28"/>
        <v>0</v>
      </c>
      <c r="N558" s="12">
        <f t="shared" si="25"/>
        <v>0.22818452380952381</v>
      </c>
      <c r="O558" s="12">
        <f t="shared" si="26"/>
        <v>0.21388095238095237</v>
      </c>
    </row>
    <row r="559" spans="1:15">
      <c r="A559" s="60">
        <v>45752</v>
      </c>
      <c r="B559">
        <f>VLOOKUP(A559,'BADI SID DATA'!A:B,2,0)</f>
        <v>5</v>
      </c>
      <c r="C559" s="11">
        <v>7871.5</v>
      </c>
      <c r="D559">
        <v>6.25</v>
      </c>
      <c r="H559" s="62">
        <v>1</v>
      </c>
      <c r="I559" s="62">
        <v>1</v>
      </c>
      <c r="K559" s="11">
        <f t="shared" si="24"/>
        <v>36617.1</v>
      </c>
      <c r="L559" s="11">
        <f t="shared" si="27"/>
        <v>0</v>
      </c>
      <c r="M559" s="11">
        <f t="shared" si="28"/>
        <v>0</v>
      </c>
      <c r="N559" s="12">
        <f t="shared" si="25"/>
        <v>0.23427083333333334</v>
      </c>
      <c r="O559" s="12">
        <f t="shared" si="26"/>
        <v>0.21795892857142857</v>
      </c>
    </row>
    <row r="560" spans="1:15">
      <c r="A560" s="60">
        <v>45753</v>
      </c>
      <c r="B560">
        <f>VLOOKUP(A560,'BADI SID DATA'!A:B,2,0)</f>
        <v>6</v>
      </c>
      <c r="C560" s="11">
        <v>7417.9</v>
      </c>
      <c r="D560">
        <v>5.95</v>
      </c>
      <c r="H560" s="62">
        <v>1</v>
      </c>
      <c r="I560" s="62">
        <v>1</v>
      </c>
      <c r="K560" s="11">
        <f t="shared" si="24"/>
        <v>44035</v>
      </c>
      <c r="L560" s="11">
        <f t="shared" si="27"/>
        <v>0</v>
      </c>
      <c r="M560" s="11">
        <f t="shared" si="28"/>
        <v>0</v>
      </c>
      <c r="N560" s="12">
        <f t="shared" si="25"/>
        <v>0.22077083333333333</v>
      </c>
      <c r="O560" s="12">
        <f t="shared" si="26"/>
        <v>0.21842757936507937</v>
      </c>
    </row>
    <row r="561" spans="1:15">
      <c r="A561" s="60">
        <v>45754</v>
      </c>
      <c r="B561">
        <f>VLOOKUP(A561,'BADI SID DATA'!A:B,2,0)</f>
        <v>7</v>
      </c>
      <c r="C561" s="11">
        <v>6708.5</v>
      </c>
      <c r="D561">
        <v>6.1</v>
      </c>
      <c r="H561" s="62">
        <v>1</v>
      </c>
      <c r="I561" s="62">
        <v>0.92916666666666659</v>
      </c>
      <c r="K561" s="11">
        <f t="shared" si="24"/>
        <v>50743.5</v>
      </c>
      <c r="L561" s="11">
        <f t="shared" si="27"/>
        <v>0</v>
      </c>
      <c r="M561" s="11">
        <f t="shared" si="28"/>
        <v>0</v>
      </c>
      <c r="N561" s="12">
        <f t="shared" si="25"/>
        <v>0.1996577380952381</v>
      </c>
      <c r="O561" s="12">
        <f t="shared" si="26"/>
        <v>0.21574617346938776</v>
      </c>
    </row>
    <row r="562" spans="1:15">
      <c r="A562" s="60">
        <v>45755</v>
      </c>
      <c r="B562">
        <f>VLOOKUP(A562,'BADI SID DATA'!A:B,2,0)</f>
        <v>8</v>
      </c>
      <c r="C562" s="11">
        <v>7617.9</v>
      </c>
      <c r="D562">
        <v>6.06</v>
      </c>
      <c r="H562" s="62">
        <v>1</v>
      </c>
      <c r="I562" s="62">
        <v>1</v>
      </c>
      <c r="K562" s="11">
        <f t="shared" ref="K562:K625" si="29">K561+C562</f>
        <v>58361.4</v>
      </c>
      <c r="L562" s="11">
        <f t="shared" si="27"/>
        <v>0</v>
      </c>
      <c r="M562" s="11">
        <f t="shared" si="28"/>
        <v>0</v>
      </c>
      <c r="N562" s="12">
        <f t="shared" si="25"/>
        <v>0.22672321428571426</v>
      </c>
      <c r="O562" s="12">
        <f t="shared" si="26"/>
        <v>0.21711830357142858</v>
      </c>
    </row>
    <row r="563" spans="1:15">
      <c r="A563" s="60">
        <v>45756</v>
      </c>
      <c r="B563">
        <f>VLOOKUP(A563,'BADI SID DATA'!A:B,2,0)</f>
        <v>9</v>
      </c>
      <c r="C563" s="11">
        <v>7251.1</v>
      </c>
      <c r="D563">
        <v>5.74</v>
      </c>
      <c r="H563" s="62">
        <v>1</v>
      </c>
      <c r="I563" s="62">
        <v>1</v>
      </c>
      <c r="K563" s="11">
        <f t="shared" si="29"/>
        <v>65612.5</v>
      </c>
      <c r="L563" s="11">
        <f t="shared" si="27"/>
        <v>0</v>
      </c>
      <c r="M563" s="11">
        <f t="shared" si="28"/>
        <v>0</v>
      </c>
      <c r="N563" s="12">
        <f t="shared" si="25"/>
        <v>0.21580654761904763</v>
      </c>
      <c r="O563" s="12">
        <f t="shared" si="26"/>
        <v>0.21697255291005291</v>
      </c>
    </row>
    <row r="564" spans="1:15">
      <c r="A564" s="60">
        <v>45757</v>
      </c>
      <c r="B564">
        <f>VLOOKUP(A564,'BADI SID DATA'!A:B,2,0)</f>
        <v>10</v>
      </c>
      <c r="C564" s="11">
        <v>6901</v>
      </c>
      <c r="D564">
        <v>5.4</v>
      </c>
      <c r="H564" s="62">
        <v>1</v>
      </c>
      <c r="I564" s="62">
        <v>1</v>
      </c>
      <c r="K564" s="11">
        <f t="shared" si="29"/>
        <v>72513.5</v>
      </c>
      <c r="L564" s="11">
        <f t="shared" si="27"/>
        <v>0</v>
      </c>
      <c r="M564" s="11">
        <f t="shared" si="28"/>
        <v>0</v>
      </c>
      <c r="N564" s="12">
        <f t="shared" si="25"/>
        <v>0.20538690476190477</v>
      </c>
      <c r="O564" s="12">
        <f t="shared" si="26"/>
        <v>0.21581398809523811</v>
      </c>
    </row>
    <row r="565" spans="1:15">
      <c r="A565" s="60">
        <v>45758</v>
      </c>
      <c r="B565">
        <f>VLOOKUP(A565,'BADI SID DATA'!A:B,2,0)</f>
        <v>11</v>
      </c>
      <c r="C565" s="11">
        <v>7384.7999999999993</v>
      </c>
      <c r="D565">
        <v>5.87</v>
      </c>
      <c r="H565" s="62">
        <v>1</v>
      </c>
      <c r="I565" s="62">
        <v>1</v>
      </c>
      <c r="K565" s="11">
        <f t="shared" si="29"/>
        <v>79898.3</v>
      </c>
      <c r="L565" s="11">
        <f t="shared" si="27"/>
        <v>0</v>
      </c>
      <c r="M565" s="11">
        <f t="shared" si="28"/>
        <v>0</v>
      </c>
      <c r="N565" s="12">
        <f t="shared" si="25"/>
        <v>0.21978571428571425</v>
      </c>
      <c r="O565" s="12">
        <f t="shared" si="26"/>
        <v>0.21617505411255411</v>
      </c>
    </row>
    <row r="566" spans="1:15">
      <c r="A566" s="60">
        <v>45759</v>
      </c>
      <c r="B566">
        <f>VLOOKUP(A566,'BADI SID DATA'!A:B,2,0)</f>
        <v>12</v>
      </c>
      <c r="C566" s="11">
        <v>7589.5</v>
      </c>
      <c r="D566">
        <v>6.07</v>
      </c>
      <c r="H566" s="62">
        <v>1</v>
      </c>
      <c r="I566" s="62">
        <v>1</v>
      </c>
      <c r="K566" s="11">
        <f t="shared" si="29"/>
        <v>87487.8</v>
      </c>
      <c r="L566" s="11">
        <f t="shared" si="27"/>
        <v>0</v>
      </c>
      <c r="M566" s="11">
        <f t="shared" si="28"/>
        <v>0</v>
      </c>
      <c r="N566" s="12">
        <f t="shared" si="25"/>
        <v>0.2258779761904762</v>
      </c>
      <c r="O566" s="12">
        <f t="shared" si="26"/>
        <v>0.21698363095238096</v>
      </c>
    </row>
    <row r="567" spans="1:15">
      <c r="A567" s="60">
        <v>45760</v>
      </c>
      <c r="B567">
        <f>VLOOKUP(A567,'BADI SID DATA'!A:B,2,0)</f>
        <v>13</v>
      </c>
      <c r="C567" s="11">
        <v>7551.5</v>
      </c>
      <c r="D567">
        <v>6.1</v>
      </c>
      <c r="H567" s="62">
        <v>1</v>
      </c>
      <c r="I567" s="62">
        <v>1</v>
      </c>
      <c r="K567" s="11">
        <f t="shared" si="29"/>
        <v>95039.3</v>
      </c>
      <c r="L567" s="11">
        <f t="shared" si="27"/>
        <v>0</v>
      </c>
      <c r="M567" s="11">
        <f t="shared" si="28"/>
        <v>0</v>
      </c>
      <c r="N567" s="12">
        <f t="shared" si="25"/>
        <v>0.2247470238095238</v>
      </c>
      <c r="O567" s="12">
        <f t="shared" si="26"/>
        <v>0.21758081501831503</v>
      </c>
    </row>
    <row r="568" spans="1:15">
      <c r="A568" s="60">
        <v>45761</v>
      </c>
      <c r="B568">
        <f>VLOOKUP(A568,'BADI SID DATA'!A:B,2,0)</f>
        <v>14</v>
      </c>
      <c r="C568" s="11">
        <v>7427.5</v>
      </c>
      <c r="D568">
        <v>5.98</v>
      </c>
      <c r="H568" s="62">
        <v>1</v>
      </c>
      <c r="I568" s="62">
        <v>1</v>
      </c>
      <c r="K568" s="11">
        <f t="shared" si="29"/>
        <v>102466.8</v>
      </c>
      <c r="L568" s="11">
        <f t="shared" si="27"/>
        <v>0</v>
      </c>
      <c r="M568" s="11">
        <f t="shared" si="28"/>
        <v>0</v>
      </c>
      <c r="N568" s="12">
        <f t="shared" si="25"/>
        <v>0.22105654761904761</v>
      </c>
      <c r="O568" s="12">
        <f t="shared" si="26"/>
        <v>0.21782908163265308</v>
      </c>
    </row>
    <row r="569" spans="1:15">
      <c r="A569" s="60">
        <v>45762</v>
      </c>
      <c r="B569">
        <f>VLOOKUP(A569,'BADI SID DATA'!A:B,2,0)</f>
        <v>15</v>
      </c>
      <c r="C569" s="11">
        <v>7346.8</v>
      </c>
      <c r="D569">
        <v>5.88</v>
      </c>
      <c r="H569" s="62">
        <v>1</v>
      </c>
      <c r="I569" s="62">
        <v>1</v>
      </c>
      <c r="K569" s="11">
        <f t="shared" si="29"/>
        <v>109813.6</v>
      </c>
      <c r="L569" s="11">
        <f t="shared" si="27"/>
        <v>0</v>
      </c>
      <c r="M569" s="11">
        <f t="shared" si="28"/>
        <v>0</v>
      </c>
      <c r="N569" s="12">
        <f t="shared" si="25"/>
        <v>0.21865476190476191</v>
      </c>
      <c r="O569" s="12">
        <f t="shared" si="26"/>
        <v>0.21788412698412699</v>
      </c>
    </row>
    <row r="570" spans="1:15">
      <c r="A570" s="60">
        <v>45763</v>
      </c>
      <c r="B570">
        <f>VLOOKUP(A570,'BADI SID DATA'!A:B,2,0)</f>
        <v>16</v>
      </c>
      <c r="C570" s="11">
        <v>7478</v>
      </c>
      <c r="D570">
        <v>6</v>
      </c>
      <c r="H570" s="62">
        <v>1</v>
      </c>
      <c r="I570" s="62">
        <v>1</v>
      </c>
      <c r="K570" s="11">
        <f t="shared" si="29"/>
        <v>117291.6</v>
      </c>
      <c r="L570" s="11">
        <f t="shared" si="27"/>
        <v>0</v>
      </c>
      <c r="M570" s="11">
        <f t="shared" si="28"/>
        <v>0</v>
      </c>
      <c r="N570" s="12">
        <f t="shared" si="25"/>
        <v>0.22255952380952382</v>
      </c>
      <c r="O570" s="12">
        <f t="shared" si="26"/>
        <v>0.21817633928571431</v>
      </c>
    </row>
    <row r="571" spans="1:15">
      <c r="A571" s="60">
        <v>45764</v>
      </c>
      <c r="B571">
        <f>VLOOKUP(A571,'BADI SID DATA'!A:B,2,0)</f>
        <v>17</v>
      </c>
      <c r="C571" s="11">
        <v>7219.2</v>
      </c>
      <c r="D571">
        <v>5.76</v>
      </c>
      <c r="H571" s="62">
        <v>1</v>
      </c>
      <c r="I571" s="62">
        <v>1</v>
      </c>
      <c r="K571" s="11">
        <f t="shared" si="29"/>
        <v>124510.8</v>
      </c>
      <c r="L571" s="11">
        <f t="shared" si="27"/>
        <v>0</v>
      </c>
      <c r="M571" s="11">
        <f t="shared" si="28"/>
        <v>0</v>
      </c>
      <c r="N571" s="12">
        <f t="shared" si="25"/>
        <v>0.21485714285714286</v>
      </c>
      <c r="O571" s="12">
        <f t="shared" si="26"/>
        <v>0.2179810924369748</v>
      </c>
    </row>
    <row r="572" spans="1:15">
      <c r="A572" s="60">
        <v>45765</v>
      </c>
      <c r="B572">
        <f>VLOOKUP(A572,'BADI SID DATA'!A:B,2,0)</f>
        <v>18</v>
      </c>
      <c r="C572" s="11">
        <v>7600.2999999999993</v>
      </c>
      <c r="D572">
        <v>6.08</v>
      </c>
      <c r="H572" s="62">
        <v>1</v>
      </c>
      <c r="I572" s="62">
        <v>1</v>
      </c>
      <c r="K572" s="11">
        <f t="shared" si="29"/>
        <v>132111.1</v>
      </c>
      <c r="L572" s="11">
        <f t="shared" si="27"/>
        <v>0</v>
      </c>
      <c r="M572" s="11">
        <f t="shared" si="28"/>
        <v>0</v>
      </c>
      <c r="N572" s="12">
        <f t="shared" si="25"/>
        <v>0.22619940476190473</v>
      </c>
      <c r="O572" s="12">
        <f t="shared" si="26"/>
        <v>0.21843766534391534</v>
      </c>
    </row>
    <row r="573" spans="1:15">
      <c r="A573" s="60">
        <v>45766</v>
      </c>
      <c r="B573">
        <f>VLOOKUP(A573,'BADI SID DATA'!A:B,2,0)</f>
        <v>19</v>
      </c>
      <c r="C573" s="11">
        <v>7362.2999999999993</v>
      </c>
      <c r="D573">
        <v>5.97</v>
      </c>
      <c r="H573" s="62">
        <v>1</v>
      </c>
      <c r="I573" s="62">
        <v>1</v>
      </c>
      <c r="K573" s="11">
        <f t="shared" si="29"/>
        <v>139473.4</v>
      </c>
      <c r="L573" s="11">
        <f t="shared" si="27"/>
        <v>0</v>
      </c>
      <c r="M573" s="11">
        <f t="shared" si="28"/>
        <v>0</v>
      </c>
      <c r="N573" s="12">
        <f t="shared" si="25"/>
        <v>0.2191160714285714</v>
      </c>
      <c r="O573" s="12">
        <f t="shared" si="26"/>
        <v>0.21847337092731828</v>
      </c>
    </row>
    <row r="574" spans="1:15">
      <c r="A574" s="60">
        <v>45767</v>
      </c>
      <c r="B574">
        <f>VLOOKUP(A574,'BADI SID DATA'!A:B,2,0)</f>
        <v>20</v>
      </c>
      <c r="C574" s="11">
        <v>7413.7000000000007</v>
      </c>
      <c r="D574">
        <v>5.95</v>
      </c>
      <c r="H574" s="62">
        <v>1</v>
      </c>
      <c r="I574" s="62">
        <v>1</v>
      </c>
      <c r="K574" s="11">
        <f t="shared" si="29"/>
        <v>146887.1</v>
      </c>
      <c r="L574" s="11">
        <f t="shared" si="27"/>
        <v>0</v>
      </c>
      <c r="M574" s="11">
        <f t="shared" si="28"/>
        <v>0</v>
      </c>
      <c r="N574" s="12">
        <f t="shared" si="25"/>
        <v>0.22064583333333335</v>
      </c>
      <c r="O574" s="12">
        <f t="shared" si="26"/>
        <v>0.21858199404761905</v>
      </c>
    </row>
    <row r="575" spans="1:15">
      <c r="A575" s="60">
        <v>45768</v>
      </c>
      <c r="B575">
        <f>VLOOKUP(A575,'BADI SID DATA'!A:B,2,0)</f>
        <v>21</v>
      </c>
      <c r="C575" s="11">
        <v>7544.0999999999995</v>
      </c>
      <c r="D575">
        <v>6.06</v>
      </c>
      <c r="H575" s="62">
        <v>1</v>
      </c>
      <c r="I575" s="62">
        <v>1</v>
      </c>
      <c r="K575" s="11">
        <f t="shared" si="29"/>
        <v>154431.20000000001</v>
      </c>
      <c r="L575" s="11">
        <f t="shared" si="27"/>
        <v>0</v>
      </c>
      <c r="M575" s="11">
        <f t="shared" si="28"/>
        <v>0</v>
      </c>
      <c r="N575" s="12">
        <f t="shared" si="25"/>
        <v>0.22452678571428569</v>
      </c>
      <c r="O575" s="12">
        <f t="shared" si="26"/>
        <v>0.21886507936507937</v>
      </c>
    </row>
    <row r="576" spans="1:15">
      <c r="A576" s="60">
        <v>45769</v>
      </c>
      <c r="B576">
        <f>VLOOKUP(A576,'BADI SID DATA'!A:B,2,0)</f>
        <v>22</v>
      </c>
      <c r="C576" s="11">
        <v>6764.9</v>
      </c>
      <c r="D576">
        <v>5.36</v>
      </c>
      <c r="H576" s="62">
        <v>1</v>
      </c>
      <c r="I576" s="62">
        <v>1</v>
      </c>
      <c r="K576" s="11">
        <f t="shared" si="29"/>
        <v>161196.1</v>
      </c>
      <c r="L576" s="11">
        <f t="shared" si="27"/>
        <v>0</v>
      </c>
      <c r="M576" s="11">
        <f t="shared" si="28"/>
        <v>0</v>
      </c>
      <c r="N576" s="12">
        <f t="shared" si="25"/>
        <v>0.20133630952380951</v>
      </c>
      <c r="O576" s="12">
        <f t="shared" si="26"/>
        <v>0.21806831709956712</v>
      </c>
    </row>
    <row r="577" spans="1:15">
      <c r="A577" s="60">
        <v>45770</v>
      </c>
      <c r="B577">
        <f>VLOOKUP(A577,'BADI SID DATA'!A:B,2,0)</f>
        <v>23</v>
      </c>
      <c r="C577" s="11">
        <v>6195</v>
      </c>
      <c r="D577">
        <v>4.83</v>
      </c>
      <c r="H577" s="62">
        <v>1</v>
      </c>
      <c r="I577" s="62">
        <v>1</v>
      </c>
      <c r="K577" s="11">
        <f t="shared" si="29"/>
        <v>167391.1</v>
      </c>
      <c r="L577" s="11">
        <f t="shared" si="27"/>
        <v>0</v>
      </c>
      <c r="M577" s="11">
        <f t="shared" si="28"/>
        <v>0</v>
      </c>
      <c r="N577" s="12">
        <f t="shared" si="25"/>
        <v>0.18437500000000001</v>
      </c>
      <c r="O577" s="12">
        <f t="shared" si="26"/>
        <v>0.21660339026915115</v>
      </c>
    </row>
    <row r="578" spans="1:15">
      <c r="A578" s="60">
        <v>45771</v>
      </c>
      <c r="B578">
        <f>VLOOKUP(A578,'BADI SID DATA'!A:B,2,0)</f>
        <v>24</v>
      </c>
      <c r="C578" s="11">
        <v>4798.3999999999996</v>
      </c>
      <c r="D578">
        <v>3.65</v>
      </c>
      <c r="H578" s="62">
        <v>1</v>
      </c>
      <c r="I578" s="62">
        <v>1</v>
      </c>
      <c r="K578" s="11">
        <f t="shared" si="29"/>
        <v>172189.5</v>
      </c>
      <c r="L578" s="11">
        <f t="shared" si="27"/>
        <v>0</v>
      </c>
      <c r="M578" s="11">
        <f t="shared" si="28"/>
        <v>0</v>
      </c>
      <c r="N578" s="12">
        <f t="shared" si="25"/>
        <v>0.1428095238095238</v>
      </c>
      <c r="O578" s="12">
        <f t="shared" si="26"/>
        <v>0.21352864583333334</v>
      </c>
    </row>
    <row r="579" spans="1:15">
      <c r="A579" s="60">
        <v>45772</v>
      </c>
      <c r="B579">
        <f>VLOOKUP(A579,'BADI SID DATA'!A:B,2,0)</f>
        <v>25</v>
      </c>
      <c r="C579" s="11">
        <v>7285.2</v>
      </c>
      <c r="D579">
        <v>5.81</v>
      </c>
      <c r="H579" s="62">
        <v>1</v>
      </c>
      <c r="I579" s="62">
        <v>1</v>
      </c>
      <c r="K579" s="11">
        <f t="shared" si="29"/>
        <v>179474.7</v>
      </c>
      <c r="L579" s="11">
        <f t="shared" si="27"/>
        <v>0</v>
      </c>
      <c r="M579" s="11">
        <f t="shared" si="28"/>
        <v>0</v>
      </c>
      <c r="N579" s="12">
        <f t="shared" ref="N579:N642" si="30">C579/(1400*24)</f>
        <v>0.21682142857142855</v>
      </c>
      <c r="O579" s="12">
        <f t="shared" ref="O579:O642" si="31">K579/(B579*1400*24)</f>
        <v>0.21366035714285717</v>
      </c>
    </row>
    <row r="580" spans="1:15">
      <c r="A580" s="60">
        <v>45773</v>
      </c>
      <c r="B580">
        <f>VLOOKUP(A580,'BADI SID DATA'!A:B,2,0)</f>
        <v>26</v>
      </c>
      <c r="C580" s="11">
        <v>7436.9</v>
      </c>
      <c r="D580">
        <v>5.95</v>
      </c>
      <c r="H580" s="62">
        <v>1</v>
      </c>
      <c r="I580" s="62">
        <v>1</v>
      </c>
      <c r="K580" s="11">
        <f t="shared" si="29"/>
        <v>186911.6</v>
      </c>
      <c r="L580" s="11">
        <f t="shared" si="27"/>
        <v>0</v>
      </c>
      <c r="M580" s="11">
        <f t="shared" si="28"/>
        <v>0</v>
      </c>
      <c r="N580" s="12">
        <f t="shared" si="30"/>
        <v>0.2213363095238095</v>
      </c>
      <c r="O580" s="12">
        <f t="shared" si="31"/>
        <v>0.2139555860805861</v>
      </c>
    </row>
    <row r="581" spans="1:15">
      <c r="A581" s="60">
        <v>45774</v>
      </c>
      <c r="B581">
        <f>VLOOKUP(A581,'BADI SID DATA'!A:B,2,0)</f>
        <v>27</v>
      </c>
      <c r="C581" s="11">
        <v>7635.1</v>
      </c>
      <c r="D581">
        <v>6.08</v>
      </c>
      <c r="H581" s="62">
        <v>1</v>
      </c>
      <c r="I581" s="62">
        <v>1</v>
      </c>
      <c r="K581" s="11">
        <f t="shared" si="29"/>
        <v>194546.7</v>
      </c>
      <c r="L581" s="11">
        <f t="shared" si="27"/>
        <v>0</v>
      </c>
      <c r="M581" s="11">
        <f t="shared" si="28"/>
        <v>0</v>
      </c>
      <c r="N581" s="12">
        <f t="shared" si="30"/>
        <v>0.22723511904761906</v>
      </c>
      <c r="O581" s="12">
        <f t="shared" si="31"/>
        <v>0.21444742063492064</v>
      </c>
    </row>
    <row r="582" spans="1:15">
      <c r="A582" s="60">
        <v>45775</v>
      </c>
      <c r="B582">
        <f>VLOOKUP(A582,'BADI SID DATA'!A:B,2,0)</f>
        <v>28</v>
      </c>
      <c r="C582" s="11">
        <v>7253.7999999999993</v>
      </c>
      <c r="D582">
        <v>5.75</v>
      </c>
      <c r="H582" s="62">
        <v>1</v>
      </c>
      <c r="I582" s="62">
        <v>1</v>
      </c>
      <c r="K582" s="11">
        <f t="shared" si="29"/>
        <v>201800.5</v>
      </c>
      <c r="L582" s="11">
        <f t="shared" si="27"/>
        <v>0</v>
      </c>
      <c r="M582" s="11">
        <f t="shared" si="28"/>
        <v>0</v>
      </c>
      <c r="N582" s="12">
        <f t="shared" si="30"/>
        <v>0.21588690476190475</v>
      </c>
      <c r="O582" s="12">
        <f t="shared" si="31"/>
        <v>0.21449883078231294</v>
      </c>
    </row>
    <row r="583" spans="1:15">
      <c r="A583" s="60">
        <v>45776</v>
      </c>
      <c r="B583">
        <f>VLOOKUP(A583,'BADI SID DATA'!A:B,2,0)</f>
        <v>29</v>
      </c>
      <c r="C583" s="11">
        <v>6636.1</v>
      </c>
      <c r="D583">
        <v>5.75</v>
      </c>
      <c r="H583" s="62">
        <v>1</v>
      </c>
      <c r="I583" s="62">
        <v>1</v>
      </c>
      <c r="K583" s="11">
        <f t="shared" si="29"/>
        <v>208436.6</v>
      </c>
      <c r="L583" s="11">
        <f t="shared" si="27"/>
        <v>0</v>
      </c>
      <c r="M583" s="11">
        <f t="shared" si="28"/>
        <v>0</v>
      </c>
      <c r="N583" s="12">
        <f t="shared" si="30"/>
        <v>0.19750297619047621</v>
      </c>
      <c r="O583" s="12">
        <f t="shared" si="31"/>
        <v>0.21391276683087029</v>
      </c>
    </row>
    <row r="584" spans="1:15">
      <c r="A584" s="60">
        <v>45777</v>
      </c>
      <c r="B584">
        <f>VLOOKUP(A584,'BADI SID DATA'!A:B,2,0)</f>
        <v>30</v>
      </c>
      <c r="C584" s="11">
        <v>5875.2</v>
      </c>
      <c r="D584">
        <v>4.6399999999999997</v>
      </c>
      <c r="H584" s="62">
        <v>1</v>
      </c>
      <c r="I584" s="62">
        <v>1</v>
      </c>
      <c r="K584" s="11">
        <f t="shared" si="29"/>
        <v>214311.80000000002</v>
      </c>
      <c r="L584" s="11">
        <f t="shared" si="27"/>
        <v>0</v>
      </c>
      <c r="M584" s="11">
        <f t="shared" si="28"/>
        <v>0</v>
      </c>
      <c r="N584" s="12">
        <f t="shared" si="30"/>
        <v>0.17485714285714285</v>
      </c>
      <c r="O584" s="12">
        <f t="shared" si="31"/>
        <v>0.21261091269841273</v>
      </c>
    </row>
    <row r="585" spans="1:15">
      <c r="A585" s="60">
        <v>45778</v>
      </c>
      <c r="B585">
        <f>VLOOKUP(A585,'BADI SID DATA'!A:B,2,0)</f>
        <v>31</v>
      </c>
      <c r="C585" s="11">
        <v>6519.5999999999995</v>
      </c>
      <c r="D585">
        <v>5.13</v>
      </c>
      <c r="H585" s="62">
        <v>1</v>
      </c>
      <c r="I585" s="62">
        <v>1</v>
      </c>
      <c r="K585" s="11">
        <f t="shared" si="29"/>
        <v>220831.40000000002</v>
      </c>
      <c r="L585" s="11">
        <f t="shared" si="27"/>
        <v>0</v>
      </c>
      <c r="M585" s="11">
        <f t="shared" si="28"/>
        <v>0</v>
      </c>
      <c r="N585" s="12">
        <f t="shared" si="30"/>
        <v>0.19403571428571426</v>
      </c>
      <c r="O585" s="12">
        <f t="shared" si="31"/>
        <v>0.212011712749616</v>
      </c>
    </row>
    <row r="586" spans="1:15">
      <c r="A586" s="60">
        <v>45779</v>
      </c>
      <c r="B586">
        <f>VLOOKUP(A586,'BADI SID DATA'!A:B,2,0)</f>
        <v>32</v>
      </c>
      <c r="C586" s="11">
        <v>7203.5</v>
      </c>
      <c r="D586">
        <v>5.71</v>
      </c>
      <c r="H586" s="62">
        <v>1</v>
      </c>
      <c r="I586" s="62">
        <v>1</v>
      </c>
      <c r="K586" s="11">
        <f t="shared" si="29"/>
        <v>228034.90000000002</v>
      </c>
      <c r="L586" s="11">
        <f t="shared" si="27"/>
        <v>0</v>
      </c>
      <c r="M586" s="11">
        <f t="shared" si="28"/>
        <v>0</v>
      </c>
      <c r="N586" s="12">
        <f t="shared" si="30"/>
        <v>0.21438988095238096</v>
      </c>
      <c r="O586" s="12">
        <f t="shared" si="31"/>
        <v>0.2120860305059524</v>
      </c>
    </row>
    <row r="587" spans="1:15">
      <c r="A587" s="60">
        <v>45780</v>
      </c>
      <c r="B587">
        <f>VLOOKUP(A587,'BADI SID DATA'!A:B,2,0)</f>
        <v>33</v>
      </c>
      <c r="C587" s="11">
        <v>4624.5</v>
      </c>
      <c r="D587">
        <v>3.27</v>
      </c>
      <c r="H587" s="62">
        <v>1</v>
      </c>
      <c r="I587" s="62">
        <v>1</v>
      </c>
      <c r="K587" s="11">
        <f t="shared" si="29"/>
        <v>232659.40000000002</v>
      </c>
      <c r="L587" s="11">
        <f t="shared" si="27"/>
        <v>0</v>
      </c>
      <c r="M587" s="11">
        <f t="shared" si="28"/>
        <v>0</v>
      </c>
      <c r="N587" s="12">
        <f t="shared" si="30"/>
        <v>0.13763392857142856</v>
      </c>
      <c r="O587" s="12">
        <f t="shared" si="31"/>
        <v>0.20982990620490621</v>
      </c>
    </row>
    <row r="588" spans="1:15">
      <c r="A588" s="60">
        <v>45781</v>
      </c>
      <c r="B588">
        <f>VLOOKUP(A588,'BADI SID DATA'!A:B,2,0)</f>
        <v>34</v>
      </c>
      <c r="C588" s="11">
        <v>7479.0999999999995</v>
      </c>
      <c r="D588">
        <v>5.89</v>
      </c>
      <c r="H588" s="62">
        <v>1</v>
      </c>
      <c r="I588" s="62">
        <v>1</v>
      </c>
      <c r="K588" s="11">
        <f t="shared" si="29"/>
        <v>240138.50000000003</v>
      </c>
      <c r="L588" s="11">
        <f t="shared" si="27"/>
        <v>0</v>
      </c>
      <c r="M588" s="11">
        <f t="shared" si="28"/>
        <v>0</v>
      </c>
      <c r="N588" s="12">
        <f t="shared" si="30"/>
        <v>0.22259226190476189</v>
      </c>
      <c r="O588" s="12">
        <f t="shared" si="31"/>
        <v>0.21020526960784316</v>
      </c>
    </row>
    <row r="589" spans="1:15">
      <c r="A589" s="60">
        <v>45782</v>
      </c>
      <c r="B589">
        <f>VLOOKUP(A589,'BADI SID DATA'!A:B,2,0)</f>
        <v>35</v>
      </c>
      <c r="C589" s="11">
        <v>8029</v>
      </c>
      <c r="D589">
        <v>6.33</v>
      </c>
      <c r="H589" s="62">
        <v>1</v>
      </c>
      <c r="I589" s="62">
        <v>1</v>
      </c>
      <c r="K589" s="11">
        <f t="shared" si="29"/>
        <v>248167.50000000003</v>
      </c>
      <c r="L589" s="11">
        <f t="shared" si="27"/>
        <v>0</v>
      </c>
      <c r="M589" s="11">
        <f t="shared" si="28"/>
        <v>0</v>
      </c>
      <c r="N589" s="12">
        <f t="shared" si="30"/>
        <v>0.23895833333333333</v>
      </c>
      <c r="O589" s="12">
        <f t="shared" si="31"/>
        <v>0.21102678571428574</v>
      </c>
    </row>
    <row r="590" spans="1:15">
      <c r="A590" s="60">
        <v>45783</v>
      </c>
      <c r="B590">
        <f>VLOOKUP(A590,'BADI SID DATA'!A:B,2,0)</f>
        <v>36</v>
      </c>
      <c r="C590" s="11">
        <v>7529.2000000000007</v>
      </c>
      <c r="D590">
        <v>6.01</v>
      </c>
      <c r="H590" s="62">
        <v>1</v>
      </c>
      <c r="I590" s="62">
        <v>1</v>
      </c>
      <c r="K590" s="11">
        <f t="shared" si="29"/>
        <v>255696.70000000004</v>
      </c>
      <c r="L590" s="11">
        <f t="shared" si="27"/>
        <v>0</v>
      </c>
      <c r="M590" s="11">
        <f t="shared" si="28"/>
        <v>0</v>
      </c>
      <c r="N590" s="12">
        <f t="shared" si="30"/>
        <v>0.22408333333333336</v>
      </c>
      <c r="O590" s="12">
        <f t="shared" si="31"/>
        <v>0.21138946759259264</v>
      </c>
    </row>
    <row r="591" spans="1:15">
      <c r="A591" s="60">
        <v>45784</v>
      </c>
      <c r="B591">
        <f>VLOOKUP(A591,'BADI SID DATA'!A:B,2,0)</f>
        <v>37</v>
      </c>
      <c r="C591" s="11">
        <v>7952.5999999999995</v>
      </c>
      <c r="D591">
        <v>6.25</v>
      </c>
      <c r="H591" s="62">
        <v>1</v>
      </c>
      <c r="I591" s="62">
        <v>1</v>
      </c>
      <c r="K591" s="11">
        <f t="shared" si="29"/>
        <v>263649.30000000005</v>
      </c>
      <c r="L591" s="11">
        <f t="shared" si="27"/>
        <v>0</v>
      </c>
      <c r="M591" s="11">
        <f t="shared" si="28"/>
        <v>0</v>
      </c>
      <c r="N591" s="12">
        <f t="shared" si="30"/>
        <v>0.23668452380952379</v>
      </c>
      <c r="O591" s="12">
        <f t="shared" si="31"/>
        <v>0.2120731177606178</v>
      </c>
    </row>
    <row r="592" spans="1:15">
      <c r="A592" s="60">
        <v>45785</v>
      </c>
      <c r="B592">
        <f>VLOOKUP(A592,'BADI SID DATA'!A:B,2,0)</f>
        <v>38</v>
      </c>
      <c r="C592" s="11">
        <v>8002.7000000000007</v>
      </c>
      <c r="D592">
        <v>6.33</v>
      </c>
      <c r="H592" s="62">
        <v>1</v>
      </c>
      <c r="I592" s="62">
        <v>1</v>
      </c>
      <c r="K592" s="11">
        <f t="shared" si="29"/>
        <v>271652.00000000006</v>
      </c>
      <c r="L592" s="11">
        <f t="shared" si="27"/>
        <v>0</v>
      </c>
      <c r="M592" s="11">
        <f t="shared" si="28"/>
        <v>0</v>
      </c>
      <c r="N592" s="12">
        <f t="shared" si="30"/>
        <v>0.23817559523809526</v>
      </c>
      <c r="O592" s="12">
        <f t="shared" si="31"/>
        <v>0.21276002506265668</v>
      </c>
    </row>
    <row r="593" spans="1:15">
      <c r="A593" s="60">
        <v>45786</v>
      </c>
      <c r="B593">
        <f>VLOOKUP(A593,'BADI SID DATA'!A:B,2,0)</f>
        <v>39</v>
      </c>
      <c r="C593" s="11">
        <v>8180.3</v>
      </c>
      <c r="D593">
        <v>6.28</v>
      </c>
      <c r="H593" s="62">
        <v>1</v>
      </c>
      <c r="I593" s="62">
        <v>1</v>
      </c>
      <c r="K593" s="11">
        <f t="shared" si="29"/>
        <v>279832.30000000005</v>
      </c>
      <c r="L593" s="11">
        <f t="shared" si="27"/>
        <v>0</v>
      </c>
      <c r="M593" s="11">
        <f t="shared" si="28"/>
        <v>0</v>
      </c>
      <c r="N593" s="12">
        <f t="shared" si="30"/>
        <v>0.24346130952380954</v>
      </c>
      <c r="O593" s="12">
        <f t="shared" si="31"/>
        <v>0.21354723748473753</v>
      </c>
    </row>
    <row r="594" spans="1:15">
      <c r="A594" s="60">
        <v>45787</v>
      </c>
      <c r="B594">
        <f>VLOOKUP(A594,'BADI SID DATA'!A:B,2,0)</f>
        <v>40</v>
      </c>
      <c r="C594" s="11">
        <v>7629.5999999999995</v>
      </c>
      <c r="D594">
        <v>6.03</v>
      </c>
      <c r="H594" s="62">
        <v>1</v>
      </c>
      <c r="I594" s="62">
        <v>1</v>
      </c>
      <c r="K594" s="11">
        <f t="shared" si="29"/>
        <v>287461.90000000002</v>
      </c>
      <c r="L594" s="11">
        <f t="shared" si="27"/>
        <v>0</v>
      </c>
      <c r="M594" s="11">
        <f t="shared" si="28"/>
        <v>0</v>
      </c>
      <c r="N594" s="12">
        <f t="shared" si="30"/>
        <v>0.22707142857142856</v>
      </c>
      <c r="O594" s="12">
        <f t="shared" si="31"/>
        <v>0.21388534226190478</v>
      </c>
    </row>
    <row r="595" spans="1:15">
      <c r="A595" s="60">
        <v>45788</v>
      </c>
      <c r="B595">
        <f>VLOOKUP(A595,'BADI SID DATA'!A:B,2,0)</f>
        <v>41</v>
      </c>
      <c r="C595" s="11">
        <v>6810</v>
      </c>
      <c r="D595">
        <v>6.01</v>
      </c>
      <c r="H595" s="62">
        <v>1</v>
      </c>
      <c r="I595" s="62">
        <v>0.91527777777777763</v>
      </c>
      <c r="K595" s="11">
        <f t="shared" si="29"/>
        <v>294271.90000000002</v>
      </c>
      <c r="L595" s="11">
        <f t="shared" si="27"/>
        <v>0</v>
      </c>
      <c r="M595" s="11">
        <f t="shared" si="28"/>
        <v>0</v>
      </c>
      <c r="N595" s="12">
        <f t="shared" si="30"/>
        <v>0.20267857142857143</v>
      </c>
      <c r="O595" s="12">
        <f t="shared" si="31"/>
        <v>0.21361200638792105</v>
      </c>
    </row>
    <row r="596" spans="1:15">
      <c r="A596" s="60">
        <v>45789</v>
      </c>
      <c r="B596">
        <f>VLOOKUP(A596,'BADI SID DATA'!A:B,2,0)</f>
        <v>42</v>
      </c>
      <c r="C596" s="11">
        <v>7008.3</v>
      </c>
      <c r="D596">
        <v>5.47</v>
      </c>
      <c r="H596" s="62">
        <v>1</v>
      </c>
      <c r="I596" s="62">
        <v>1</v>
      </c>
      <c r="K596" s="11">
        <f t="shared" si="29"/>
        <v>301280.2</v>
      </c>
      <c r="L596" s="11">
        <f t="shared" si="27"/>
        <v>0</v>
      </c>
      <c r="M596" s="11">
        <f t="shared" si="28"/>
        <v>0</v>
      </c>
      <c r="N596" s="12">
        <f t="shared" si="30"/>
        <v>0.20858035714285714</v>
      </c>
      <c r="O596" s="12">
        <f t="shared" si="31"/>
        <v>0.21349220521541951</v>
      </c>
    </row>
    <row r="597" spans="1:15">
      <c r="A597" s="60">
        <v>45790</v>
      </c>
      <c r="B597">
        <f>VLOOKUP(A597,'BADI SID DATA'!A:B,2,0)</f>
        <v>43</v>
      </c>
      <c r="C597" s="11">
        <v>3120.3</v>
      </c>
      <c r="D597">
        <v>2.29</v>
      </c>
      <c r="H597" s="62">
        <v>1</v>
      </c>
      <c r="I597" s="62">
        <v>1</v>
      </c>
      <c r="K597" s="11">
        <f t="shared" si="29"/>
        <v>304400.5</v>
      </c>
      <c r="L597" s="11">
        <f t="shared" si="27"/>
        <v>0</v>
      </c>
      <c r="M597" s="11">
        <f t="shared" si="28"/>
        <v>0</v>
      </c>
      <c r="N597" s="12">
        <f t="shared" si="30"/>
        <v>9.2866071428571437E-2</v>
      </c>
      <c r="O597" s="12">
        <f t="shared" si="31"/>
        <v>0.21068694629014398</v>
      </c>
    </row>
    <row r="598" spans="1:15">
      <c r="A598" s="60">
        <v>45791</v>
      </c>
      <c r="B598">
        <f>VLOOKUP(A598,'BADI SID DATA'!A:B,2,0)</f>
        <v>44</v>
      </c>
      <c r="C598" s="11">
        <v>5150</v>
      </c>
      <c r="D598">
        <v>3.8</v>
      </c>
      <c r="H598" s="62">
        <v>1</v>
      </c>
      <c r="I598" s="62">
        <v>1</v>
      </c>
      <c r="K598" s="11">
        <f t="shared" si="29"/>
        <v>309550.5</v>
      </c>
      <c r="L598" s="11">
        <f t="shared" si="27"/>
        <v>0</v>
      </c>
      <c r="M598" s="11">
        <f t="shared" si="28"/>
        <v>0</v>
      </c>
      <c r="N598" s="12">
        <f t="shared" si="30"/>
        <v>0.15327380952380953</v>
      </c>
      <c r="O598" s="12">
        <f t="shared" si="31"/>
        <v>0.20938210227272727</v>
      </c>
    </row>
    <row r="599" spans="1:15">
      <c r="A599" s="60">
        <v>45792</v>
      </c>
      <c r="B599">
        <f>VLOOKUP(A599,'BADI SID DATA'!A:B,2,0)</f>
        <v>45</v>
      </c>
      <c r="C599" s="11">
        <v>6876.9</v>
      </c>
      <c r="D599">
        <v>5.31</v>
      </c>
      <c r="H599" s="62">
        <v>1</v>
      </c>
      <c r="I599" s="62">
        <v>1</v>
      </c>
      <c r="K599" s="11">
        <f t="shared" si="29"/>
        <v>316427.40000000002</v>
      </c>
      <c r="L599" s="11">
        <f t="shared" si="27"/>
        <v>0</v>
      </c>
      <c r="M599" s="11">
        <f t="shared" si="28"/>
        <v>0</v>
      </c>
      <c r="N599" s="12">
        <f t="shared" si="30"/>
        <v>0.20466964285714284</v>
      </c>
      <c r="O599" s="12">
        <f t="shared" si="31"/>
        <v>0.20927738095238096</v>
      </c>
    </row>
    <row r="600" spans="1:15">
      <c r="A600" s="60">
        <v>45793</v>
      </c>
      <c r="B600">
        <f>VLOOKUP(A600,'BADI SID DATA'!A:B,2,0)</f>
        <v>46</v>
      </c>
      <c r="C600" s="11">
        <v>7270.7999999999993</v>
      </c>
      <c r="D600">
        <v>5.86</v>
      </c>
      <c r="H600" s="62">
        <v>1</v>
      </c>
      <c r="I600" s="62">
        <v>1</v>
      </c>
      <c r="K600" s="11">
        <f t="shared" si="29"/>
        <v>323698.2</v>
      </c>
      <c r="L600" s="11">
        <f t="shared" si="27"/>
        <v>0</v>
      </c>
      <c r="M600" s="11">
        <f t="shared" si="28"/>
        <v>0</v>
      </c>
      <c r="N600" s="12">
        <f t="shared" si="30"/>
        <v>0.21639285714285711</v>
      </c>
      <c r="O600" s="12">
        <f t="shared" si="31"/>
        <v>0.2094320652173913</v>
      </c>
    </row>
    <row r="601" spans="1:15">
      <c r="A601" s="60">
        <v>45794</v>
      </c>
      <c r="B601">
        <f>VLOOKUP(A601,'BADI SID DATA'!A:B,2,0)</f>
        <v>47</v>
      </c>
      <c r="C601" s="11">
        <v>6482</v>
      </c>
      <c r="D601">
        <v>5.09</v>
      </c>
      <c r="H601" s="62">
        <v>1</v>
      </c>
      <c r="I601" s="62">
        <v>1</v>
      </c>
      <c r="K601" s="11">
        <f t="shared" si="29"/>
        <v>330180.2</v>
      </c>
      <c r="L601" s="11">
        <f t="shared" si="27"/>
        <v>0</v>
      </c>
      <c r="M601" s="11">
        <f t="shared" si="28"/>
        <v>0</v>
      </c>
      <c r="N601" s="12">
        <f t="shared" si="30"/>
        <v>0.19291666666666665</v>
      </c>
      <c r="O601" s="12">
        <f t="shared" si="31"/>
        <v>0.20908067375886524</v>
      </c>
    </row>
    <row r="602" spans="1:15">
      <c r="A602" s="60">
        <v>45795</v>
      </c>
      <c r="B602">
        <f>VLOOKUP(A602,'BADI SID DATA'!A:B,2,0)</f>
        <v>48</v>
      </c>
      <c r="C602" s="11">
        <v>5090.8999999999996</v>
      </c>
      <c r="D602">
        <v>3.76</v>
      </c>
      <c r="H602" s="62">
        <v>1</v>
      </c>
      <c r="I602" s="62">
        <v>1</v>
      </c>
      <c r="K602" s="11">
        <f t="shared" si="29"/>
        <v>335271.10000000003</v>
      </c>
      <c r="L602" s="11">
        <f t="shared" si="27"/>
        <v>0</v>
      </c>
      <c r="M602" s="11">
        <f t="shared" si="28"/>
        <v>0</v>
      </c>
      <c r="N602" s="12">
        <f t="shared" si="30"/>
        <v>0.15151488095238094</v>
      </c>
      <c r="O602" s="12">
        <f t="shared" si="31"/>
        <v>0.20788138640873019</v>
      </c>
    </row>
    <row r="603" spans="1:15">
      <c r="A603" s="60">
        <v>45796</v>
      </c>
      <c r="B603">
        <f>VLOOKUP(A603,'BADI SID DATA'!A:B,2,0)</f>
        <v>49</v>
      </c>
      <c r="C603" s="11">
        <v>4557.8</v>
      </c>
      <c r="D603">
        <v>3.41</v>
      </c>
      <c r="H603" s="62">
        <v>1</v>
      </c>
      <c r="I603" s="62">
        <v>1</v>
      </c>
      <c r="K603" s="11">
        <f t="shared" si="29"/>
        <v>339828.9</v>
      </c>
      <c r="L603" s="11">
        <f t="shared" si="27"/>
        <v>0</v>
      </c>
      <c r="M603" s="11">
        <f t="shared" si="28"/>
        <v>0</v>
      </c>
      <c r="N603" s="12">
        <f t="shared" si="30"/>
        <v>0.13564880952380953</v>
      </c>
      <c r="O603" s="12">
        <f t="shared" si="31"/>
        <v>0.20640725218658892</v>
      </c>
    </row>
    <row r="604" spans="1:15">
      <c r="A604" s="60">
        <v>45797</v>
      </c>
      <c r="B604">
        <f>VLOOKUP(A604,'BADI SID DATA'!A:B,2,0)</f>
        <v>50</v>
      </c>
      <c r="C604" s="11">
        <v>3645.5</v>
      </c>
      <c r="D604">
        <v>2.57</v>
      </c>
      <c r="H604" s="62">
        <v>1</v>
      </c>
      <c r="I604" s="62">
        <v>1</v>
      </c>
      <c r="K604" s="11">
        <f t="shared" si="29"/>
        <v>343474.4</v>
      </c>
      <c r="L604" s="11">
        <f t="shared" si="27"/>
        <v>0</v>
      </c>
      <c r="M604" s="11">
        <f t="shared" si="28"/>
        <v>0</v>
      </c>
      <c r="N604" s="12">
        <f t="shared" si="30"/>
        <v>0.10849702380952381</v>
      </c>
      <c r="O604" s="12">
        <f t="shared" si="31"/>
        <v>0.20444904761904764</v>
      </c>
    </row>
    <row r="605" spans="1:15">
      <c r="A605" s="60">
        <v>45798</v>
      </c>
      <c r="B605">
        <f>VLOOKUP(A605,'BADI SID DATA'!A:B,2,0)</f>
        <v>51</v>
      </c>
      <c r="C605" s="11">
        <v>3224.2000000000003</v>
      </c>
      <c r="D605">
        <v>2.2999999999999998</v>
      </c>
      <c r="H605" s="62">
        <v>1</v>
      </c>
      <c r="I605" s="62">
        <v>1</v>
      </c>
      <c r="K605" s="11">
        <f t="shared" si="29"/>
        <v>346698.60000000003</v>
      </c>
      <c r="L605" s="11">
        <f t="shared" si="27"/>
        <v>0</v>
      </c>
      <c r="M605" s="11">
        <f t="shared" si="28"/>
        <v>0</v>
      </c>
      <c r="N605" s="12">
        <f t="shared" si="30"/>
        <v>9.595833333333334E-2</v>
      </c>
      <c r="O605" s="12">
        <f t="shared" si="31"/>
        <v>0.2023217787114846</v>
      </c>
    </row>
    <row r="606" spans="1:15">
      <c r="A606" s="60">
        <v>45799</v>
      </c>
      <c r="B606">
        <f>VLOOKUP(A606,'BADI SID DATA'!A:B,2,0)</f>
        <v>52</v>
      </c>
      <c r="C606" s="11">
        <v>6921.3000000000011</v>
      </c>
      <c r="D606">
        <v>5.03</v>
      </c>
      <c r="H606" s="62">
        <v>1</v>
      </c>
      <c r="I606" s="62">
        <v>1</v>
      </c>
      <c r="K606" s="11">
        <f t="shared" si="29"/>
        <v>353619.9</v>
      </c>
      <c r="L606" s="11">
        <f t="shared" si="27"/>
        <v>0</v>
      </c>
      <c r="M606" s="11">
        <f t="shared" si="28"/>
        <v>0</v>
      </c>
      <c r="N606" s="12">
        <f t="shared" si="30"/>
        <v>0.20599107142857145</v>
      </c>
      <c r="O606" s="12">
        <f t="shared" si="31"/>
        <v>0.20239234203296705</v>
      </c>
    </row>
    <row r="607" spans="1:15">
      <c r="A607" s="60">
        <v>45800</v>
      </c>
      <c r="B607">
        <f>VLOOKUP(A607,'BADI SID DATA'!A:B,2,0)</f>
        <v>53</v>
      </c>
      <c r="C607" s="11">
        <v>3480.3</v>
      </c>
      <c r="D607">
        <v>2.56</v>
      </c>
      <c r="H607" s="62">
        <v>1</v>
      </c>
      <c r="I607" s="62">
        <v>1</v>
      </c>
      <c r="K607" s="11">
        <f t="shared" si="29"/>
        <v>357100.2</v>
      </c>
      <c r="L607" s="11">
        <f t="shared" si="27"/>
        <v>0</v>
      </c>
      <c r="M607" s="11">
        <f t="shared" si="28"/>
        <v>0</v>
      </c>
      <c r="N607" s="12">
        <f t="shared" si="30"/>
        <v>0.10358035714285715</v>
      </c>
      <c r="O607" s="12">
        <f t="shared" si="31"/>
        <v>0.20052796495956873</v>
      </c>
    </row>
    <row r="608" spans="1:15">
      <c r="A608" s="60">
        <v>45801</v>
      </c>
      <c r="B608">
        <f>VLOOKUP(A608,'BADI SID DATA'!A:B,2,0)</f>
        <v>54</v>
      </c>
      <c r="C608" s="11">
        <v>5260.7</v>
      </c>
      <c r="D608">
        <v>3.89</v>
      </c>
      <c r="H608" s="62">
        <v>1</v>
      </c>
      <c r="I608" s="62">
        <v>1</v>
      </c>
      <c r="K608" s="11">
        <f t="shared" si="29"/>
        <v>362360.9</v>
      </c>
      <c r="L608" s="11">
        <f t="shared" si="27"/>
        <v>0</v>
      </c>
      <c r="M608" s="11">
        <f t="shared" si="28"/>
        <v>0</v>
      </c>
      <c r="N608" s="12">
        <f t="shared" si="30"/>
        <v>0.15656845238095238</v>
      </c>
      <c r="O608" s="12">
        <f t="shared" si="31"/>
        <v>0.19971389991181659</v>
      </c>
    </row>
    <row r="609" spans="1:15">
      <c r="A609" s="60">
        <v>45802</v>
      </c>
      <c r="B609">
        <f>VLOOKUP(A609,'BADI SID DATA'!A:B,2,0)</f>
        <v>55</v>
      </c>
      <c r="C609" s="11">
        <v>1916.6000000000001</v>
      </c>
      <c r="D609">
        <v>1.39</v>
      </c>
      <c r="H609" s="62">
        <v>1</v>
      </c>
      <c r="I609" s="62">
        <v>1</v>
      </c>
      <c r="K609" s="11">
        <f t="shared" si="29"/>
        <v>364277.5</v>
      </c>
      <c r="L609" s="11">
        <f t="shared" si="27"/>
        <v>0</v>
      </c>
      <c r="M609" s="11">
        <f t="shared" si="28"/>
        <v>0</v>
      </c>
      <c r="N609" s="12">
        <f t="shared" si="30"/>
        <v>5.7041666666666671E-2</v>
      </c>
      <c r="O609" s="12">
        <f t="shared" si="31"/>
        <v>0.19711985930735931</v>
      </c>
    </row>
    <row r="610" spans="1:15">
      <c r="A610" s="60">
        <v>45803</v>
      </c>
      <c r="B610">
        <f>VLOOKUP(A610,'BADI SID DATA'!A:B,2,0)</f>
        <v>56</v>
      </c>
      <c r="C610" s="11">
        <v>1063.8999999999999</v>
      </c>
      <c r="D610">
        <v>0.81</v>
      </c>
      <c r="H610" s="62">
        <v>1</v>
      </c>
      <c r="I610" s="62">
        <v>1</v>
      </c>
      <c r="K610" s="11">
        <f t="shared" si="29"/>
        <v>365341.4</v>
      </c>
      <c r="L610" s="11">
        <f t="shared" si="27"/>
        <v>0</v>
      </c>
      <c r="M610" s="11">
        <f t="shared" si="28"/>
        <v>0</v>
      </c>
      <c r="N610" s="12">
        <f t="shared" si="30"/>
        <v>3.166369047619047E-2</v>
      </c>
      <c r="O610" s="12">
        <f t="shared" si="31"/>
        <v>0.1941652848639456</v>
      </c>
    </row>
    <row r="611" spans="1:15">
      <c r="A611" s="60">
        <v>45804</v>
      </c>
      <c r="B611">
        <f>VLOOKUP(A611,'BADI SID DATA'!A:B,2,0)</f>
        <v>57</v>
      </c>
      <c r="C611" s="11">
        <v>6385.5</v>
      </c>
      <c r="D611">
        <v>4.83</v>
      </c>
      <c r="H611" s="62">
        <v>1</v>
      </c>
      <c r="I611" s="62">
        <v>1</v>
      </c>
      <c r="K611" s="11">
        <f t="shared" si="29"/>
        <v>371726.9</v>
      </c>
      <c r="L611" s="11">
        <f t="shared" si="27"/>
        <v>0</v>
      </c>
      <c r="M611" s="11">
        <f t="shared" si="28"/>
        <v>0</v>
      </c>
      <c r="N611" s="12">
        <f t="shared" si="30"/>
        <v>0.19004464285714287</v>
      </c>
      <c r="O611" s="12">
        <f t="shared" si="31"/>
        <v>0.19409299289891396</v>
      </c>
    </row>
    <row r="612" spans="1:15">
      <c r="A612" s="60">
        <v>45805</v>
      </c>
      <c r="B612">
        <f>VLOOKUP(A612,'BADI SID DATA'!A:B,2,0)</f>
        <v>58</v>
      </c>
      <c r="C612" s="11">
        <v>5526.9999999999991</v>
      </c>
      <c r="D612">
        <v>4.17</v>
      </c>
      <c r="H612" s="62">
        <v>1</v>
      </c>
      <c r="I612" s="62">
        <v>1</v>
      </c>
      <c r="K612" s="11">
        <f t="shared" si="29"/>
        <v>377253.9</v>
      </c>
      <c r="L612" s="11">
        <f t="shared" si="27"/>
        <v>0</v>
      </c>
      <c r="M612" s="11">
        <f t="shared" si="28"/>
        <v>0</v>
      </c>
      <c r="N612" s="12">
        <f t="shared" si="30"/>
        <v>0.1644940476190476</v>
      </c>
      <c r="O612" s="12">
        <f t="shared" si="31"/>
        <v>0.19358266625615764</v>
      </c>
    </row>
    <row r="613" spans="1:15">
      <c r="A613" s="60">
        <v>45806</v>
      </c>
      <c r="B613">
        <f>VLOOKUP(A613,'BADI SID DATA'!A:B,2,0)</f>
        <v>59</v>
      </c>
      <c r="C613" s="11">
        <v>1027.3</v>
      </c>
      <c r="D613">
        <v>0.79</v>
      </c>
      <c r="H613" s="62">
        <v>1</v>
      </c>
      <c r="I613" s="62">
        <v>1</v>
      </c>
      <c r="K613" s="11">
        <f t="shared" si="29"/>
        <v>378281.2</v>
      </c>
      <c r="L613" s="11">
        <f t="shared" si="27"/>
        <v>0</v>
      </c>
      <c r="M613" s="11">
        <f t="shared" si="28"/>
        <v>0</v>
      </c>
      <c r="N613" s="12">
        <f t="shared" si="30"/>
        <v>3.0574404761904761E-2</v>
      </c>
      <c r="O613" s="12">
        <f t="shared" si="31"/>
        <v>0.19081981436642453</v>
      </c>
    </row>
    <row r="614" spans="1:15">
      <c r="A614" s="60">
        <v>45807</v>
      </c>
      <c r="B614">
        <f>VLOOKUP(A614,'BADI SID DATA'!A:B,2,0)</f>
        <v>60</v>
      </c>
      <c r="C614" s="11">
        <v>522.4</v>
      </c>
      <c r="D614">
        <v>0.45</v>
      </c>
      <c r="H614" s="62">
        <v>1</v>
      </c>
      <c r="I614" s="62">
        <v>1</v>
      </c>
      <c r="K614" s="11">
        <f t="shared" si="29"/>
        <v>378803.60000000003</v>
      </c>
      <c r="L614" s="11">
        <f t="shared" si="27"/>
        <v>0</v>
      </c>
      <c r="M614" s="11">
        <f t="shared" si="28"/>
        <v>0</v>
      </c>
      <c r="N614" s="12">
        <f t="shared" si="30"/>
        <v>1.5547619047619046E-2</v>
      </c>
      <c r="O614" s="12">
        <f t="shared" si="31"/>
        <v>0.18789861111111114</v>
      </c>
    </row>
    <row r="615" spans="1:15">
      <c r="A615" s="60">
        <v>45808</v>
      </c>
      <c r="B615">
        <f>VLOOKUP(A615,'BADI SID DATA'!A:B,2,0)</f>
        <v>61</v>
      </c>
      <c r="C615" s="11">
        <v>5070.8999999999996</v>
      </c>
      <c r="D615">
        <v>3.74</v>
      </c>
      <c r="H615" s="62">
        <v>1</v>
      </c>
      <c r="I615" s="62">
        <v>1</v>
      </c>
      <c r="K615" s="11">
        <f t="shared" si="29"/>
        <v>383874.50000000006</v>
      </c>
      <c r="L615" s="11">
        <f t="shared" si="27"/>
        <v>0</v>
      </c>
      <c r="M615" s="11">
        <f t="shared" si="28"/>
        <v>0</v>
      </c>
      <c r="N615" s="12">
        <f t="shared" si="30"/>
        <v>0.15091964285714285</v>
      </c>
      <c r="O615" s="12">
        <f t="shared" si="31"/>
        <v>0.18729239851678378</v>
      </c>
    </row>
    <row r="616" spans="1:15">
      <c r="A616" s="60">
        <v>45809</v>
      </c>
      <c r="B616">
        <f>VLOOKUP(A616,'BADI SID DATA'!A:B,2,0)</f>
        <v>62</v>
      </c>
      <c r="C616" s="11">
        <v>7780.5</v>
      </c>
      <c r="D616">
        <v>6.17</v>
      </c>
      <c r="H616" s="62">
        <v>1</v>
      </c>
      <c r="I616" s="62">
        <v>1</v>
      </c>
      <c r="K616" s="11">
        <f t="shared" si="29"/>
        <v>391655.00000000006</v>
      </c>
      <c r="L616" s="11">
        <f t="shared" si="27"/>
        <v>0</v>
      </c>
      <c r="M616" s="11">
        <f t="shared" si="28"/>
        <v>0</v>
      </c>
      <c r="N616" s="12">
        <f t="shared" si="30"/>
        <v>0.2315625</v>
      </c>
      <c r="O616" s="12">
        <f t="shared" si="31"/>
        <v>0.18800643241167436</v>
      </c>
    </row>
    <row r="617" spans="1:15">
      <c r="A617" s="60">
        <v>45810</v>
      </c>
      <c r="B617">
        <f>VLOOKUP(A617,'BADI SID DATA'!A:B,2,0)</f>
        <v>63</v>
      </c>
      <c r="C617" s="11">
        <v>7397.1</v>
      </c>
      <c r="D617">
        <v>5.57</v>
      </c>
      <c r="H617" s="62">
        <v>1</v>
      </c>
      <c r="I617" s="62">
        <v>1</v>
      </c>
      <c r="K617" s="11">
        <f t="shared" si="29"/>
        <v>399052.10000000003</v>
      </c>
      <c r="L617" s="11">
        <f t="shared" si="27"/>
        <v>0</v>
      </c>
      <c r="M617" s="11">
        <f t="shared" si="28"/>
        <v>0</v>
      </c>
      <c r="N617" s="12">
        <f t="shared" si="30"/>
        <v>0.22015178571428573</v>
      </c>
      <c r="O617" s="12">
        <f t="shared" si="31"/>
        <v>0.18851667611489042</v>
      </c>
    </row>
    <row r="618" spans="1:15">
      <c r="A618" s="60">
        <v>45811</v>
      </c>
      <c r="B618">
        <f>VLOOKUP(A618,'BADI SID DATA'!A:B,2,0)</f>
        <v>64</v>
      </c>
      <c r="C618" s="11">
        <v>6990.2</v>
      </c>
      <c r="D618">
        <v>5.38</v>
      </c>
      <c r="H618" s="62">
        <v>1</v>
      </c>
      <c r="I618" s="62">
        <v>1</v>
      </c>
      <c r="K618" s="11">
        <f t="shared" si="29"/>
        <v>406042.30000000005</v>
      </c>
      <c r="L618" s="11">
        <f t="shared" si="27"/>
        <v>0</v>
      </c>
      <c r="M618" s="11">
        <f t="shared" si="28"/>
        <v>0</v>
      </c>
      <c r="N618" s="12">
        <f t="shared" si="30"/>
        <v>0.20804166666666665</v>
      </c>
      <c r="O618" s="12">
        <f t="shared" si="31"/>
        <v>0.18882175409226193</v>
      </c>
    </row>
    <row r="619" spans="1:15">
      <c r="A619" s="60">
        <v>45812</v>
      </c>
      <c r="B619">
        <f>VLOOKUP(A619,'BADI SID DATA'!A:B,2,0)</f>
        <v>65</v>
      </c>
      <c r="C619" s="11">
        <v>6576.2000000000007</v>
      </c>
      <c r="D619">
        <v>4.93</v>
      </c>
      <c r="H619" s="62">
        <v>1</v>
      </c>
      <c r="I619" s="62">
        <v>1</v>
      </c>
      <c r="K619" s="11">
        <f t="shared" si="29"/>
        <v>412618.50000000006</v>
      </c>
      <c r="L619" s="11">
        <f t="shared" si="27"/>
        <v>0</v>
      </c>
      <c r="M619" s="11">
        <f t="shared" si="28"/>
        <v>0</v>
      </c>
      <c r="N619" s="12">
        <f t="shared" si="30"/>
        <v>0.19572023809523811</v>
      </c>
      <c r="O619" s="12">
        <f t="shared" si="31"/>
        <v>0.18892788461538465</v>
      </c>
    </row>
    <row r="620" spans="1:15">
      <c r="A620" s="60">
        <v>45813</v>
      </c>
      <c r="B620">
        <f>VLOOKUP(A620,'BADI SID DATA'!A:B,2,0)</f>
        <v>66</v>
      </c>
      <c r="C620" s="11">
        <v>7332.0000000000009</v>
      </c>
      <c r="D620">
        <v>5.82</v>
      </c>
      <c r="H620" s="62">
        <v>1</v>
      </c>
      <c r="I620" s="62">
        <v>1</v>
      </c>
      <c r="K620" s="11">
        <f t="shared" si="29"/>
        <v>419950.50000000006</v>
      </c>
      <c r="L620" s="11">
        <f t="shared" si="27"/>
        <v>0</v>
      </c>
      <c r="M620" s="11">
        <f t="shared" si="28"/>
        <v>0</v>
      </c>
      <c r="N620" s="12">
        <f t="shared" si="30"/>
        <v>0.21821428571428575</v>
      </c>
      <c r="O620" s="12">
        <f t="shared" si="31"/>
        <v>0.189371617965368</v>
      </c>
    </row>
    <row r="621" spans="1:15">
      <c r="A621" s="60">
        <v>45814</v>
      </c>
      <c r="B621">
        <f>VLOOKUP(A621,'BADI SID DATA'!A:B,2,0)</f>
        <v>67</v>
      </c>
      <c r="C621" s="11">
        <v>7700.9</v>
      </c>
      <c r="D621">
        <v>6.11</v>
      </c>
      <c r="H621" s="62">
        <v>1</v>
      </c>
      <c r="I621" s="62">
        <v>1</v>
      </c>
      <c r="K621" s="11">
        <f t="shared" si="29"/>
        <v>427651.40000000008</v>
      </c>
      <c r="L621" s="11">
        <f t="shared" ref="L621:L684" si="32">L620+F621</f>
        <v>0</v>
      </c>
      <c r="M621" s="11">
        <f t="shared" ref="M621:M684" si="33">M620+G621</f>
        <v>0</v>
      </c>
      <c r="N621" s="12">
        <f t="shared" si="30"/>
        <v>0.22919345238095237</v>
      </c>
      <c r="O621" s="12">
        <f t="shared" si="31"/>
        <v>0.18996597370291404</v>
      </c>
    </row>
    <row r="622" spans="1:15">
      <c r="A622" s="60">
        <v>45815</v>
      </c>
      <c r="B622">
        <f>VLOOKUP(A622,'BADI SID DATA'!A:B,2,0)</f>
        <v>68</v>
      </c>
      <c r="C622" s="11">
        <v>7847.3000000000011</v>
      </c>
      <c r="D622">
        <v>6.21</v>
      </c>
      <c r="H622" s="62">
        <v>1</v>
      </c>
      <c r="I622" s="62">
        <v>0.98611111111111116</v>
      </c>
      <c r="K622" s="11">
        <f t="shared" si="29"/>
        <v>435498.70000000007</v>
      </c>
      <c r="L622" s="11">
        <f t="shared" si="32"/>
        <v>0</v>
      </c>
      <c r="M622" s="11">
        <f t="shared" si="33"/>
        <v>0</v>
      </c>
      <c r="N622" s="12">
        <f t="shared" si="30"/>
        <v>0.23355059523809527</v>
      </c>
      <c r="O622" s="12">
        <f t="shared" si="31"/>
        <v>0.19060692401960788</v>
      </c>
    </row>
    <row r="623" spans="1:15">
      <c r="A623" s="60">
        <v>45816</v>
      </c>
      <c r="B623">
        <f>VLOOKUP(A623,'BADI SID DATA'!A:B,2,0)</f>
        <v>69</v>
      </c>
      <c r="C623" s="11">
        <v>7446.5999999999995</v>
      </c>
      <c r="D623">
        <v>5.87</v>
      </c>
      <c r="H623" s="62">
        <v>1</v>
      </c>
      <c r="I623" s="62">
        <v>1</v>
      </c>
      <c r="K623" s="11">
        <f t="shared" si="29"/>
        <v>442945.30000000005</v>
      </c>
      <c r="L623" s="11">
        <f t="shared" si="32"/>
        <v>0</v>
      </c>
      <c r="M623" s="11">
        <f t="shared" si="33"/>
        <v>0</v>
      </c>
      <c r="N623" s="12">
        <f t="shared" si="30"/>
        <v>0.22162499999999999</v>
      </c>
      <c r="O623" s="12">
        <f t="shared" si="31"/>
        <v>0.19105646135265703</v>
      </c>
    </row>
    <row r="624" spans="1:15">
      <c r="A624" s="60">
        <v>45817</v>
      </c>
      <c r="B624">
        <f>VLOOKUP(A624,'BADI SID DATA'!A:B,2,0)</f>
        <v>70</v>
      </c>
      <c r="C624" s="11">
        <v>7892</v>
      </c>
      <c r="D624">
        <v>6.22</v>
      </c>
      <c r="H624" s="62">
        <v>1</v>
      </c>
      <c r="I624" s="62">
        <v>1</v>
      </c>
      <c r="K624" s="11">
        <f t="shared" si="29"/>
        <v>450837.30000000005</v>
      </c>
      <c r="L624" s="11">
        <f t="shared" si="32"/>
        <v>0</v>
      </c>
      <c r="M624" s="11">
        <f t="shared" si="33"/>
        <v>0</v>
      </c>
      <c r="N624" s="12">
        <f t="shared" si="30"/>
        <v>0.23488095238095238</v>
      </c>
      <c r="O624" s="12">
        <f t="shared" si="31"/>
        <v>0.19168252551020409</v>
      </c>
    </row>
    <row r="625" spans="1:15">
      <c r="A625" s="60">
        <v>45818</v>
      </c>
      <c r="B625">
        <f>VLOOKUP(A625,'BADI SID DATA'!A:B,2,0)</f>
        <v>71</v>
      </c>
      <c r="C625" s="11">
        <v>6974.9000000000005</v>
      </c>
      <c r="D625">
        <v>5.59</v>
      </c>
      <c r="H625" s="62">
        <v>1</v>
      </c>
      <c r="I625" s="62">
        <v>1</v>
      </c>
      <c r="K625" s="11">
        <f t="shared" si="29"/>
        <v>457812.20000000007</v>
      </c>
      <c r="L625" s="11">
        <f t="shared" si="32"/>
        <v>0</v>
      </c>
      <c r="M625" s="11">
        <f t="shared" si="33"/>
        <v>0</v>
      </c>
      <c r="N625" s="12">
        <f t="shared" si="30"/>
        <v>0.20758630952380955</v>
      </c>
      <c r="O625" s="12">
        <f t="shared" si="31"/>
        <v>0.19190652246814222</v>
      </c>
    </row>
    <row r="626" spans="1:15">
      <c r="A626" s="60">
        <v>45819</v>
      </c>
      <c r="B626">
        <f>VLOOKUP(A626,'BADI SID DATA'!A:B,2,0)</f>
        <v>72</v>
      </c>
      <c r="C626" s="11">
        <v>4443.6000000000004</v>
      </c>
      <c r="D626">
        <v>3.21</v>
      </c>
      <c r="H626" s="62">
        <v>1</v>
      </c>
      <c r="I626" s="62">
        <v>1</v>
      </c>
      <c r="K626" s="11">
        <f t="shared" ref="K626:K689" si="34">K625+C626</f>
        <v>462255.80000000005</v>
      </c>
      <c r="L626" s="11">
        <f t="shared" si="32"/>
        <v>0</v>
      </c>
      <c r="M626" s="11">
        <f t="shared" si="33"/>
        <v>0</v>
      </c>
      <c r="N626" s="12">
        <f t="shared" si="30"/>
        <v>0.13225000000000001</v>
      </c>
      <c r="O626" s="12">
        <f t="shared" si="31"/>
        <v>0.19107795965608468</v>
      </c>
    </row>
    <row r="627" spans="1:15">
      <c r="A627" s="60">
        <v>45820</v>
      </c>
      <c r="B627">
        <f>VLOOKUP(A627,'BADI SID DATA'!A:B,2,0)</f>
        <v>73</v>
      </c>
      <c r="C627" s="11">
        <v>4859.3999999999996</v>
      </c>
      <c r="D627">
        <v>3.59</v>
      </c>
      <c r="H627" s="62">
        <v>1</v>
      </c>
      <c r="I627" s="62">
        <v>1</v>
      </c>
      <c r="K627" s="11">
        <f t="shared" si="34"/>
        <v>467115.20000000007</v>
      </c>
      <c r="L627" s="11">
        <f t="shared" si="32"/>
        <v>0</v>
      </c>
      <c r="M627" s="11">
        <f t="shared" si="33"/>
        <v>0</v>
      </c>
      <c r="N627" s="12">
        <f t="shared" si="30"/>
        <v>0.14462499999999998</v>
      </c>
      <c r="O627" s="12">
        <f t="shared" si="31"/>
        <v>0.19044161774298762</v>
      </c>
    </row>
    <row r="628" spans="1:15">
      <c r="A628" s="60">
        <v>45821</v>
      </c>
      <c r="B628">
        <f>VLOOKUP(A628,'BADI SID DATA'!A:B,2,0)</f>
        <v>74</v>
      </c>
      <c r="C628" s="11">
        <v>3494.9</v>
      </c>
      <c r="D628">
        <v>2.5099999999999998</v>
      </c>
      <c r="H628" s="62">
        <v>1</v>
      </c>
      <c r="I628" s="62">
        <v>1</v>
      </c>
      <c r="K628" s="11">
        <f t="shared" si="34"/>
        <v>470610.10000000009</v>
      </c>
      <c r="L628" s="11">
        <f t="shared" si="32"/>
        <v>0</v>
      </c>
      <c r="M628" s="11">
        <f t="shared" si="33"/>
        <v>0</v>
      </c>
      <c r="N628" s="12">
        <f t="shared" si="30"/>
        <v>0.10401488095238096</v>
      </c>
      <c r="O628" s="12">
        <f t="shared" si="31"/>
        <v>0.18927368886743889</v>
      </c>
    </row>
    <row r="629" spans="1:15">
      <c r="A629" s="60">
        <v>45822</v>
      </c>
      <c r="B629">
        <f>VLOOKUP(A629,'BADI SID DATA'!A:B,2,0)</f>
        <v>75</v>
      </c>
      <c r="C629" s="11">
        <v>1956.9999999999998</v>
      </c>
      <c r="D629">
        <v>1.4</v>
      </c>
      <c r="H629" s="62">
        <v>1</v>
      </c>
      <c r="I629" s="62">
        <v>1</v>
      </c>
      <c r="K629" s="11">
        <f t="shared" si="34"/>
        <v>472567.10000000009</v>
      </c>
      <c r="L629" s="11">
        <f t="shared" si="32"/>
        <v>0</v>
      </c>
      <c r="M629" s="11">
        <f t="shared" si="33"/>
        <v>0</v>
      </c>
      <c r="N629" s="12">
        <f t="shared" si="30"/>
        <v>5.8244047619047612E-2</v>
      </c>
      <c r="O629" s="12">
        <f t="shared" si="31"/>
        <v>0.18752662698412703</v>
      </c>
    </row>
    <row r="630" spans="1:15">
      <c r="A630" s="60">
        <v>45823</v>
      </c>
      <c r="B630">
        <f>VLOOKUP(A630,'BADI SID DATA'!A:B,2,0)</f>
        <v>76</v>
      </c>
      <c r="C630" s="11">
        <v>2298.6</v>
      </c>
      <c r="D630">
        <v>1.66</v>
      </c>
      <c r="H630" s="62">
        <v>1</v>
      </c>
      <c r="I630" s="62">
        <v>1</v>
      </c>
      <c r="K630" s="11">
        <f t="shared" si="34"/>
        <v>474865.70000000007</v>
      </c>
      <c r="L630" s="11">
        <f t="shared" si="32"/>
        <v>0</v>
      </c>
      <c r="M630" s="11">
        <f t="shared" si="33"/>
        <v>0</v>
      </c>
      <c r="N630" s="12">
        <f t="shared" si="30"/>
        <v>6.8410714285714283E-2</v>
      </c>
      <c r="O630" s="12">
        <f t="shared" si="31"/>
        <v>0.18595931234335841</v>
      </c>
    </row>
    <row r="631" spans="1:15">
      <c r="A631" s="60">
        <v>45824</v>
      </c>
      <c r="B631">
        <f>VLOOKUP(A631,'BADI SID DATA'!A:B,2,0)</f>
        <v>77</v>
      </c>
      <c r="C631" s="11">
        <v>2440.5000000000005</v>
      </c>
      <c r="D631">
        <v>1.76</v>
      </c>
      <c r="H631" s="62">
        <v>1</v>
      </c>
      <c r="I631" s="62">
        <v>1</v>
      </c>
      <c r="K631" s="11">
        <f t="shared" si="34"/>
        <v>477306.20000000007</v>
      </c>
      <c r="L631" s="11">
        <f t="shared" si="32"/>
        <v>0</v>
      </c>
      <c r="M631" s="11">
        <f t="shared" si="33"/>
        <v>0</v>
      </c>
      <c r="N631" s="12">
        <f t="shared" si="30"/>
        <v>7.2633928571428585E-2</v>
      </c>
      <c r="O631" s="12">
        <f t="shared" si="31"/>
        <v>0.18448755411255413</v>
      </c>
    </row>
    <row r="632" spans="1:15">
      <c r="A632" s="60">
        <v>45825</v>
      </c>
      <c r="B632">
        <f>VLOOKUP(A632,'BADI SID DATA'!A:B,2,0)</f>
        <v>78</v>
      </c>
      <c r="C632" s="11">
        <v>6550.3</v>
      </c>
      <c r="D632">
        <v>4.92</v>
      </c>
      <c r="H632" s="62">
        <v>1</v>
      </c>
      <c r="I632" s="62">
        <v>1</v>
      </c>
      <c r="K632" s="11">
        <f t="shared" si="34"/>
        <v>483856.50000000006</v>
      </c>
      <c r="L632" s="11">
        <f t="shared" si="32"/>
        <v>0</v>
      </c>
      <c r="M632" s="11">
        <f t="shared" si="33"/>
        <v>0</v>
      </c>
      <c r="N632" s="12">
        <f t="shared" si="30"/>
        <v>0.19494940476190475</v>
      </c>
      <c r="O632" s="12">
        <f t="shared" si="31"/>
        <v>0.18462168040293042</v>
      </c>
    </row>
    <row r="633" spans="1:15">
      <c r="A633" s="60">
        <v>45826</v>
      </c>
      <c r="B633">
        <f>VLOOKUP(A633,'BADI SID DATA'!A:B,2,0)</f>
        <v>79</v>
      </c>
      <c r="C633" s="11">
        <v>7166.4</v>
      </c>
      <c r="D633">
        <v>5.47</v>
      </c>
      <c r="H633" s="62">
        <v>1</v>
      </c>
      <c r="I633" s="62">
        <v>1</v>
      </c>
      <c r="K633" s="11">
        <f t="shared" si="34"/>
        <v>491022.90000000008</v>
      </c>
      <c r="L633" s="11">
        <f t="shared" si="32"/>
        <v>0</v>
      </c>
      <c r="M633" s="11">
        <f t="shared" si="33"/>
        <v>0</v>
      </c>
      <c r="N633" s="12">
        <f t="shared" si="30"/>
        <v>0.21328571428571427</v>
      </c>
      <c r="O633" s="12">
        <f t="shared" si="31"/>
        <v>0.1849845162748644</v>
      </c>
    </row>
    <row r="634" spans="1:15">
      <c r="A634" s="60">
        <v>45827</v>
      </c>
      <c r="B634">
        <f>VLOOKUP(A634,'BADI SID DATA'!A:B,2,0)</f>
        <v>80</v>
      </c>
      <c r="C634" s="11">
        <v>6299.5000000000009</v>
      </c>
      <c r="D634">
        <v>4.8499999999999996</v>
      </c>
      <c r="H634" s="62">
        <v>1</v>
      </c>
      <c r="I634" s="62">
        <v>1</v>
      </c>
      <c r="K634" s="11">
        <f t="shared" si="34"/>
        <v>497322.40000000008</v>
      </c>
      <c r="L634" s="11">
        <f t="shared" si="32"/>
        <v>0</v>
      </c>
      <c r="M634" s="11">
        <f t="shared" si="33"/>
        <v>0</v>
      </c>
      <c r="N634" s="12">
        <f t="shared" si="30"/>
        <v>0.18748511904761908</v>
      </c>
      <c r="O634" s="12">
        <f t="shared" si="31"/>
        <v>0.18501577380952383</v>
      </c>
    </row>
    <row r="635" spans="1:15">
      <c r="A635" s="60">
        <v>45828</v>
      </c>
      <c r="B635">
        <f>VLOOKUP(A635,'BADI SID DATA'!A:B,2,0)</f>
        <v>81</v>
      </c>
      <c r="C635" s="11">
        <v>7776.3</v>
      </c>
      <c r="D635">
        <v>6.08</v>
      </c>
      <c r="H635" s="62">
        <v>0.99384737202533813</v>
      </c>
      <c r="I635" s="62">
        <v>1</v>
      </c>
      <c r="K635" s="11">
        <f t="shared" si="34"/>
        <v>505098.70000000007</v>
      </c>
      <c r="L635" s="11">
        <f t="shared" si="32"/>
        <v>0</v>
      </c>
      <c r="M635" s="11">
        <f t="shared" si="33"/>
        <v>0</v>
      </c>
      <c r="N635" s="12">
        <f t="shared" si="30"/>
        <v>0.23143750000000002</v>
      </c>
      <c r="O635" s="12">
        <f t="shared" si="31"/>
        <v>0.18558888154027045</v>
      </c>
    </row>
    <row r="636" spans="1:15">
      <c r="A636" s="60">
        <v>45829</v>
      </c>
      <c r="B636">
        <f>VLOOKUP(A636,'BADI SID DATA'!A:B,2,0)</f>
        <v>82</v>
      </c>
      <c r="C636" s="11">
        <v>6695.8</v>
      </c>
      <c r="D636">
        <v>5.73</v>
      </c>
      <c r="H636" s="62">
        <v>1</v>
      </c>
      <c r="I636" s="62">
        <v>0.96527777777777768</v>
      </c>
      <c r="K636" s="11">
        <f t="shared" si="34"/>
        <v>511794.50000000006</v>
      </c>
      <c r="L636" s="11">
        <f t="shared" si="32"/>
        <v>0</v>
      </c>
      <c r="M636" s="11">
        <f t="shared" si="33"/>
        <v>0</v>
      </c>
      <c r="N636" s="12">
        <f t="shared" si="30"/>
        <v>0.1992797619047619</v>
      </c>
      <c r="O636" s="12">
        <f t="shared" si="31"/>
        <v>0.18575584349593499</v>
      </c>
    </row>
    <row r="637" spans="1:15">
      <c r="A637" s="60">
        <v>45830</v>
      </c>
      <c r="B637">
        <f>VLOOKUP(A637,'BADI SID DATA'!A:B,2,0)</f>
        <v>83</v>
      </c>
      <c r="C637" s="11">
        <v>6967.6</v>
      </c>
      <c r="D637">
        <v>5.3</v>
      </c>
      <c r="H637" s="62">
        <v>1</v>
      </c>
      <c r="I637" s="62">
        <v>1</v>
      </c>
      <c r="K637" s="11">
        <f t="shared" si="34"/>
        <v>518762.10000000003</v>
      </c>
      <c r="L637" s="11">
        <f t="shared" si="32"/>
        <v>0</v>
      </c>
      <c r="M637" s="11">
        <f t="shared" si="33"/>
        <v>0</v>
      </c>
      <c r="N637" s="12">
        <f t="shared" si="30"/>
        <v>0.20736904761904762</v>
      </c>
      <c r="O637" s="12">
        <f t="shared" si="31"/>
        <v>0.18601624354561103</v>
      </c>
    </row>
    <row r="638" spans="1:15">
      <c r="A638" s="60">
        <v>45831</v>
      </c>
      <c r="B638">
        <f>VLOOKUP(A638,'BADI SID DATA'!A:B,2,0)</f>
        <v>84</v>
      </c>
      <c r="C638" s="11">
        <v>6261.8</v>
      </c>
      <c r="D638">
        <v>4.7</v>
      </c>
      <c r="H638" s="62">
        <v>1</v>
      </c>
      <c r="I638" s="62">
        <v>1</v>
      </c>
      <c r="K638" s="11">
        <f t="shared" si="34"/>
        <v>525023.9</v>
      </c>
      <c r="L638" s="11">
        <f t="shared" si="32"/>
        <v>0</v>
      </c>
      <c r="M638" s="11">
        <f t="shared" si="33"/>
        <v>0</v>
      </c>
      <c r="N638" s="12">
        <f t="shared" si="30"/>
        <v>0.18636309523809524</v>
      </c>
      <c r="O638" s="12">
        <f t="shared" si="31"/>
        <v>0.1860203727324263</v>
      </c>
    </row>
    <row r="639" spans="1:15">
      <c r="A639" s="60">
        <v>45832</v>
      </c>
      <c r="B639">
        <f>VLOOKUP(A639,'BADI SID DATA'!A:B,2,0)</f>
        <v>85</v>
      </c>
      <c r="C639" s="11">
        <v>6632.2</v>
      </c>
      <c r="D639">
        <v>5.16</v>
      </c>
      <c r="H639" s="62">
        <v>1</v>
      </c>
      <c r="I639" s="62">
        <v>1</v>
      </c>
      <c r="K639" s="11">
        <f t="shared" si="34"/>
        <v>531656.1</v>
      </c>
      <c r="L639" s="11">
        <f t="shared" si="32"/>
        <v>0</v>
      </c>
      <c r="M639" s="11">
        <f t="shared" si="33"/>
        <v>0</v>
      </c>
      <c r="N639" s="12">
        <f t="shared" si="30"/>
        <v>0.19738690476190476</v>
      </c>
      <c r="O639" s="12">
        <f t="shared" si="31"/>
        <v>0.18615409663865545</v>
      </c>
    </row>
    <row r="640" spans="1:15">
      <c r="A640" s="60">
        <v>45833</v>
      </c>
      <c r="B640">
        <f>VLOOKUP(A640,'BADI SID DATA'!A:B,2,0)</f>
        <v>86</v>
      </c>
      <c r="C640" s="11">
        <v>6435.7999999999993</v>
      </c>
      <c r="D640">
        <v>4.74</v>
      </c>
      <c r="H640" s="62">
        <v>1</v>
      </c>
      <c r="I640" s="62">
        <v>1</v>
      </c>
      <c r="K640" s="11">
        <f t="shared" si="34"/>
        <v>538091.9</v>
      </c>
      <c r="L640" s="11">
        <f t="shared" si="32"/>
        <v>0</v>
      </c>
      <c r="M640" s="11">
        <f t="shared" si="33"/>
        <v>0</v>
      </c>
      <c r="N640" s="12">
        <f t="shared" si="30"/>
        <v>0.19154166666666664</v>
      </c>
      <c r="O640" s="12">
        <f t="shared" si="31"/>
        <v>0.18621674280177189</v>
      </c>
    </row>
    <row r="641" spans="1:15">
      <c r="A641" s="60">
        <v>45834</v>
      </c>
      <c r="B641">
        <f>VLOOKUP(A641,'BADI SID DATA'!A:B,2,0)</f>
        <v>87</v>
      </c>
      <c r="C641" s="11">
        <v>5725.7</v>
      </c>
      <c r="D641">
        <v>4.2699999999999996</v>
      </c>
      <c r="H641" s="62">
        <v>1</v>
      </c>
      <c r="I641" s="62">
        <v>1</v>
      </c>
      <c r="K641" s="11">
        <f t="shared" si="34"/>
        <v>543817.6</v>
      </c>
      <c r="L641" s="11">
        <f t="shared" si="32"/>
        <v>0</v>
      </c>
      <c r="M641" s="11">
        <f t="shared" si="33"/>
        <v>0</v>
      </c>
      <c r="N641" s="12">
        <f t="shared" si="30"/>
        <v>0.1704077380952381</v>
      </c>
      <c r="O641" s="12">
        <f t="shared" si="31"/>
        <v>0.18603503010399561</v>
      </c>
    </row>
    <row r="642" spans="1:15">
      <c r="A642" s="60">
        <v>45835</v>
      </c>
      <c r="B642">
        <f>VLOOKUP(A642,'BADI SID DATA'!A:B,2,0)</f>
        <v>88</v>
      </c>
      <c r="C642" s="11">
        <v>3091.7000000000003</v>
      </c>
      <c r="D642">
        <v>2.25</v>
      </c>
      <c r="H642" s="62">
        <v>1</v>
      </c>
      <c r="I642" s="62">
        <v>1</v>
      </c>
      <c r="K642" s="11">
        <f t="shared" si="34"/>
        <v>546909.29999999993</v>
      </c>
      <c r="L642" s="11">
        <f t="shared" si="32"/>
        <v>0</v>
      </c>
      <c r="M642" s="11">
        <f t="shared" si="33"/>
        <v>0</v>
      </c>
      <c r="N642" s="12">
        <f t="shared" si="30"/>
        <v>9.2014880952380959E-2</v>
      </c>
      <c r="O642" s="12">
        <f t="shared" si="31"/>
        <v>0.18496661931818179</v>
      </c>
    </row>
    <row r="643" spans="1:15">
      <c r="A643" s="60">
        <v>45836</v>
      </c>
      <c r="B643">
        <f>VLOOKUP(A643,'BADI SID DATA'!A:B,2,0)</f>
        <v>89</v>
      </c>
      <c r="C643" s="11">
        <v>7241.3</v>
      </c>
      <c r="D643">
        <v>5.63</v>
      </c>
      <c r="H643" s="62">
        <v>1</v>
      </c>
      <c r="I643" s="62">
        <v>1</v>
      </c>
      <c r="K643" s="11">
        <f t="shared" si="34"/>
        <v>554150.6</v>
      </c>
      <c r="L643" s="11">
        <f t="shared" si="32"/>
        <v>0</v>
      </c>
      <c r="M643" s="11">
        <f t="shared" si="33"/>
        <v>0</v>
      </c>
      <c r="N643" s="12">
        <f t="shared" ref="N643:N706" si="35">C643/(1400*24)</f>
        <v>0.21551488095238097</v>
      </c>
      <c r="O643" s="12">
        <f t="shared" ref="O643:O706" si="36">K643/(B643*1400*24)</f>
        <v>0.1853098582129481</v>
      </c>
    </row>
    <row r="644" spans="1:15">
      <c r="A644" s="60">
        <v>45837</v>
      </c>
      <c r="B644">
        <f>VLOOKUP(A644,'BADI SID DATA'!A:B,2,0)</f>
        <v>90</v>
      </c>
      <c r="C644" s="11">
        <v>6703.7999999999993</v>
      </c>
      <c r="D644">
        <v>5.12</v>
      </c>
      <c r="H644" s="62">
        <v>1</v>
      </c>
      <c r="I644" s="62">
        <v>1</v>
      </c>
      <c r="K644" s="11">
        <f t="shared" si="34"/>
        <v>560854.4</v>
      </c>
      <c r="L644" s="11">
        <f t="shared" si="32"/>
        <v>0</v>
      </c>
      <c r="M644" s="11">
        <f t="shared" si="33"/>
        <v>0</v>
      </c>
      <c r="N644" s="12">
        <f t="shared" si="35"/>
        <v>0.19951785714285711</v>
      </c>
      <c r="O644" s="12">
        <f t="shared" si="36"/>
        <v>0.18546772486772486</v>
      </c>
    </row>
    <row r="645" spans="1:15">
      <c r="A645" s="60">
        <v>45838</v>
      </c>
      <c r="B645">
        <f>VLOOKUP(A645,'BADI SID DATA'!A:B,2,0)</f>
        <v>91</v>
      </c>
      <c r="C645" s="11">
        <v>6450.9</v>
      </c>
      <c r="D645">
        <v>4.83</v>
      </c>
      <c r="H645" s="62">
        <v>1</v>
      </c>
      <c r="I645" s="62">
        <v>1</v>
      </c>
      <c r="K645" s="11">
        <f t="shared" si="34"/>
        <v>567305.30000000005</v>
      </c>
      <c r="L645" s="11">
        <f t="shared" si="32"/>
        <v>0</v>
      </c>
      <c r="M645" s="11">
        <f t="shared" si="33"/>
        <v>0</v>
      </c>
      <c r="N645" s="12">
        <f t="shared" si="35"/>
        <v>0.19199107142857141</v>
      </c>
      <c r="O645" s="12">
        <f t="shared" si="36"/>
        <v>0.18553940999476715</v>
      </c>
    </row>
    <row r="646" spans="1:15">
      <c r="A646" s="60">
        <v>45839</v>
      </c>
      <c r="B646">
        <f>VLOOKUP(A646,'BADI SID DATA'!A:B,2,0)</f>
        <v>92</v>
      </c>
      <c r="C646" s="11">
        <v>5661.6</v>
      </c>
      <c r="D646">
        <v>4.18</v>
      </c>
      <c r="H646" s="62">
        <v>1</v>
      </c>
      <c r="I646" s="62">
        <v>1</v>
      </c>
      <c r="K646" s="11">
        <f t="shared" si="34"/>
        <v>572966.9</v>
      </c>
      <c r="L646" s="11">
        <f t="shared" si="32"/>
        <v>0</v>
      </c>
      <c r="M646" s="11">
        <f t="shared" si="33"/>
        <v>0</v>
      </c>
      <c r="N646" s="12">
        <f t="shared" si="35"/>
        <v>0.16850000000000001</v>
      </c>
      <c r="O646" s="12">
        <f t="shared" si="36"/>
        <v>0.18535419901656316</v>
      </c>
    </row>
    <row r="647" spans="1:15">
      <c r="A647" s="60">
        <v>45840</v>
      </c>
      <c r="B647">
        <f>VLOOKUP(A647,'BADI SID DATA'!A:B,2,0)</f>
        <v>93</v>
      </c>
      <c r="C647" s="11">
        <v>3597.3999999999996</v>
      </c>
      <c r="D647">
        <v>2.5499999999999998</v>
      </c>
      <c r="H647" s="62">
        <v>1</v>
      </c>
      <c r="I647" s="62">
        <v>1</v>
      </c>
      <c r="K647" s="11">
        <f t="shared" si="34"/>
        <v>576564.30000000005</v>
      </c>
      <c r="L647" s="11">
        <f t="shared" si="32"/>
        <v>0</v>
      </c>
      <c r="M647" s="11">
        <f t="shared" si="33"/>
        <v>0</v>
      </c>
      <c r="N647" s="12">
        <f t="shared" si="35"/>
        <v>0.10706547619047618</v>
      </c>
      <c r="O647" s="12">
        <f t="shared" si="36"/>
        <v>0.18451238479262674</v>
      </c>
    </row>
    <row r="648" spans="1:15">
      <c r="A648" s="60">
        <v>45841</v>
      </c>
      <c r="B648">
        <f>VLOOKUP(A648,'BADI SID DATA'!A:B,2,0)</f>
        <v>94</v>
      </c>
      <c r="C648" s="11">
        <v>5283.7000000000007</v>
      </c>
      <c r="D648">
        <v>3.96</v>
      </c>
      <c r="H648" s="62">
        <v>1</v>
      </c>
      <c r="I648" s="62">
        <v>1</v>
      </c>
      <c r="K648" s="11">
        <f t="shared" si="34"/>
        <v>581848</v>
      </c>
      <c r="L648" s="11">
        <f t="shared" si="32"/>
        <v>0</v>
      </c>
      <c r="M648" s="11">
        <f t="shared" si="33"/>
        <v>0</v>
      </c>
      <c r="N648" s="12">
        <f t="shared" si="35"/>
        <v>0.15725297619047621</v>
      </c>
      <c r="O648" s="12">
        <f t="shared" si="36"/>
        <v>0.18422239108409322</v>
      </c>
    </row>
    <row r="649" spans="1:15">
      <c r="A649" s="60">
        <v>45842</v>
      </c>
      <c r="B649">
        <f>VLOOKUP(A649,'BADI SID DATA'!A:B,2,0)</f>
        <v>95</v>
      </c>
      <c r="C649" s="11">
        <v>2607.6</v>
      </c>
      <c r="D649">
        <v>1.84</v>
      </c>
      <c r="H649" s="62">
        <v>1</v>
      </c>
      <c r="I649" s="62">
        <v>1</v>
      </c>
      <c r="K649" s="11">
        <f t="shared" si="34"/>
        <v>584455.6</v>
      </c>
      <c r="L649" s="11">
        <f t="shared" si="32"/>
        <v>0</v>
      </c>
      <c r="M649" s="11">
        <f t="shared" si="33"/>
        <v>0</v>
      </c>
      <c r="N649" s="12">
        <f t="shared" si="35"/>
        <v>7.7607142857142861E-2</v>
      </c>
      <c r="O649" s="12">
        <f t="shared" si="36"/>
        <v>0.18310012531328321</v>
      </c>
    </row>
    <row r="650" spans="1:15">
      <c r="A650" s="60">
        <v>45843</v>
      </c>
      <c r="B650">
        <f>VLOOKUP(A650,'BADI SID DATA'!A:B,2,0)</f>
        <v>96</v>
      </c>
      <c r="C650" s="11">
        <v>5002.2999999999993</v>
      </c>
      <c r="D650">
        <v>3.69</v>
      </c>
      <c r="H650" s="62">
        <v>1</v>
      </c>
      <c r="I650" s="62">
        <v>1</v>
      </c>
      <c r="K650" s="11">
        <f t="shared" si="34"/>
        <v>589457.9</v>
      </c>
      <c r="L650" s="11">
        <f t="shared" si="32"/>
        <v>0</v>
      </c>
      <c r="M650" s="11">
        <f t="shared" si="33"/>
        <v>0</v>
      </c>
      <c r="N650" s="12">
        <f t="shared" si="35"/>
        <v>0.14887797619047616</v>
      </c>
      <c r="O650" s="12">
        <f t="shared" si="36"/>
        <v>0.18274364459325398</v>
      </c>
    </row>
    <row r="651" spans="1:15">
      <c r="A651" s="60">
        <v>45844</v>
      </c>
      <c r="B651">
        <f>VLOOKUP(A651,'BADI SID DATA'!A:B,2,0)</f>
        <v>97</v>
      </c>
      <c r="C651" s="11">
        <v>5551.3</v>
      </c>
      <c r="D651">
        <v>4.1399999999999997</v>
      </c>
      <c r="H651" s="62">
        <v>1</v>
      </c>
      <c r="I651" s="62">
        <v>1</v>
      </c>
      <c r="K651" s="11">
        <f t="shared" si="34"/>
        <v>595009.20000000007</v>
      </c>
      <c r="L651" s="11">
        <f t="shared" si="32"/>
        <v>0</v>
      </c>
      <c r="M651" s="11">
        <f t="shared" si="33"/>
        <v>0</v>
      </c>
      <c r="N651" s="12">
        <f t="shared" si="35"/>
        <v>0.16521726190476191</v>
      </c>
      <c r="O651" s="12">
        <f t="shared" si="36"/>
        <v>0.18256296023564067</v>
      </c>
    </row>
    <row r="652" spans="1:15">
      <c r="A652" s="60">
        <v>45845</v>
      </c>
      <c r="B652">
        <f>VLOOKUP(A652,'BADI SID DATA'!A:B,2,0)</f>
        <v>98</v>
      </c>
      <c r="C652" s="11">
        <v>5548.1</v>
      </c>
      <c r="D652">
        <v>4.1500000000000004</v>
      </c>
      <c r="H652" s="62">
        <v>1</v>
      </c>
      <c r="I652" s="62">
        <v>1</v>
      </c>
      <c r="K652" s="11">
        <f t="shared" si="34"/>
        <v>600557.30000000005</v>
      </c>
      <c r="L652" s="11">
        <f t="shared" si="32"/>
        <v>0</v>
      </c>
      <c r="M652" s="11">
        <f t="shared" si="33"/>
        <v>0</v>
      </c>
      <c r="N652" s="12">
        <f t="shared" si="35"/>
        <v>0.16512202380952382</v>
      </c>
      <c r="O652" s="12">
        <f t="shared" si="36"/>
        <v>0.18238499149659865</v>
      </c>
    </row>
    <row r="653" spans="1:15">
      <c r="A653" s="60">
        <v>45846</v>
      </c>
      <c r="B653">
        <f>VLOOKUP(A653,'BADI SID DATA'!A:B,2,0)</f>
        <v>99</v>
      </c>
      <c r="C653" s="11">
        <v>4851.9000000000005</v>
      </c>
      <c r="D653">
        <v>3.49</v>
      </c>
      <c r="H653" s="62">
        <v>1</v>
      </c>
      <c r="I653" s="62">
        <v>1</v>
      </c>
      <c r="K653" s="11">
        <f t="shared" si="34"/>
        <v>605409.20000000007</v>
      </c>
      <c r="L653" s="11">
        <f t="shared" si="32"/>
        <v>0</v>
      </c>
      <c r="M653" s="11">
        <f t="shared" si="33"/>
        <v>0</v>
      </c>
      <c r="N653" s="12">
        <f t="shared" si="35"/>
        <v>0.14440178571428572</v>
      </c>
      <c r="O653" s="12">
        <f t="shared" si="36"/>
        <v>0.18200132275132277</v>
      </c>
    </row>
    <row r="654" spans="1:15">
      <c r="A654" s="60">
        <v>45847</v>
      </c>
      <c r="B654">
        <f>VLOOKUP(A654,'BADI SID DATA'!A:B,2,0)</f>
        <v>100</v>
      </c>
      <c r="C654" s="11">
        <v>7474.5</v>
      </c>
      <c r="D654">
        <v>5.8</v>
      </c>
      <c r="H654" s="62">
        <v>1</v>
      </c>
      <c r="I654" s="62">
        <v>1</v>
      </c>
      <c r="K654" s="11">
        <f t="shared" si="34"/>
        <v>612883.70000000007</v>
      </c>
      <c r="L654" s="11">
        <f t="shared" si="32"/>
        <v>0</v>
      </c>
      <c r="M654" s="11">
        <f t="shared" si="33"/>
        <v>0</v>
      </c>
      <c r="N654" s="12">
        <f t="shared" si="35"/>
        <v>0.22245535714285714</v>
      </c>
      <c r="O654" s="12">
        <f t="shared" si="36"/>
        <v>0.18240586309523812</v>
      </c>
    </row>
    <row r="655" spans="1:15">
      <c r="A655" s="60">
        <v>45848</v>
      </c>
      <c r="B655">
        <f>VLOOKUP(A655,'BADI SID DATA'!A:B,2,0)</f>
        <v>101</v>
      </c>
      <c r="C655" s="11">
        <v>7109.2</v>
      </c>
      <c r="D655">
        <v>5.74</v>
      </c>
      <c r="H655" s="62">
        <v>1</v>
      </c>
      <c r="I655" s="62">
        <v>0.97916666666666652</v>
      </c>
      <c r="K655" s="11">
        <f t="shared" si="34"/>
        <v>619992.9</v>
      </c>
      <c r="L655" s="11">
        <f t="shared" si="32"/>
        <v>0</v>
      </c>
      <c r="M655" s="11">
        <f t="shared" si="33"/>
        <v>0</v>
      </c>
      <c r="N655" s="12">
        <f t="shared" si="35"/>
        <v>0.21158333333333332</v>
      </c>
      <c r="O655" s="12">
        <f t="shared" si="36"/>
        <v>0.18269474893917964</v>
      </c>
    </row>
    <row r="656" spans="1:15">
      <c r="A656" s="60">
        <v>45849</v>
      </c>
      <c r="B656">
        <f>VLOOKUP(A656,'BADI SID DATA'!A:B,2,0)</f>
        <v>102</v>
      </c>
      <c r="C656" s="11">
        <v>6973.7</v>
      </c>
      <c r="D656">
        <v>5.35</v>
      </c>
      <c r="H656" s="62">
        <v>1</v>
      </c>
      <c r="I656" s="62">
        <v>1</v>
      </c>
      <c r="K656" s="11">
        <f t="shared" si="34"/>
        <v>626966.6</v>
      </c>
      <c r="L656" s="11">
        <f t="shared" si="32"/>
        <v>0</v>
      </c>
      <c r="M656" s="11">
        <f t="shared" si="33"/>
        <v>0</v>
      </c>
      <c r="N656" s="12">
        <f t="shared" si="35"/>
        <v>0.20755059523809524</v>
      </c>
      <c r="O656" s="12">
        <f t="shared" si="36"/>
        <v>0.18293843370681606</v>
      </c>
    </row>
    <row r="657" spans="1:15">
      <c r="A657" s="60">
        <v>45850</v>
      </c>
      <c r="B657">
        <f>VLOOKUP(A657,'BADI SID DATA'!A:B,2,0)</f>
        <v>103</v>
      </c>
      <c r="C657" s="11">
        <v>4953.5</v>
      </c>
      <c r="D657">
        <v>3.67</v>
      </c>
      <c r="H657" s="62">
        <v>1</v>
      </c>
      <c r="I657" s="62">
        <v>1</v>
      </c>
      <c r="K657" s="11">
        <f t="shared" si="34"/>
        <v>631920.1</v>
      </c>
      <c r="L657" s="11">
        <f t="shared" si="32"/>
        <v>0</v>
      </c>
      <c r="M657" s="11">
        <f t="shared" si="33"/>
        <v>0</v>
      </c>
      <c r="N657" s="12">
        <f t="shared" si="35"/>
        <v>0.14742559523809523</v>
      </c>
      <c r="O657" s="12">
        <f t="shared" si="36"/>
        <v>0.18259364886731391</v>
      </c>
    </row>
    <row r="658" spans="1:15">
      <c r="A658" s="60">
        <v>45851</v>
      </c>
      <c r="B658">
        <f>VLOOKUP(A658,'BADI SID DATA'!A:B,2,0)</f>
        <v>104</v>
      </c>
      <c r="C658" s="11">
        <v>5226.8999999999996</v>
      </c>
      <c r="D658">
        <v>3.85</v>
      </c>
      <c r="H658" s="62">
        <v>1</v>
      </c>
      <c r="I658" s="62">
        <v>1</v>
      </c>
      <c r="K658" s="11">
        <f t="shared" si="34"/>
        <v>637147</v>
      </c>
      <c r="L658" s="11">
        <f t="shared" si="32"/>
        <v>0</v>
      </c>
      <c r="M658" s="11">
        <f t="shared" si="33"/>
        <v>0</v>
      </c>
      <c r="N658" s="12">
        <f t="shared" si="35"/>
        <v>0.15556249999999999</v>
      </c>
      <c r="O658" s="12">
        <f t="shared" si="36"/>
        <v>0.18233373397435898</v>
      </c>
    </row>
    <row r="659" spans="1:15">
      <c r="A659" s="60">
        <v>45852</v>
      </c>
      <c r="B659">
        <f>VLOOKUP(A659,'BADI SID DATA'!A:B,2,0)</f>
        <v>105</v>
      </c>
      <c r="C659" s="11">
        <v>2522.9999999999995</v>
      </c>
      <c r="D659">
        <v>1.69</v>
      </c>
      <c r="H659" s="62">
        <v>1</v>
      </c>
      <c r="I659" s="62">
        <v>1</v>
      </c>
      <c r="K659" s="11">
        <f t="shared" si="34"/>
        <v>639670</v>
      </c>
      <c r="L659" s="11">
        <f t="shared" si="32"/>
        <v>0</v>
      </c>
      <c r="M659" s="11">
        <f t="shared" si="33"/>
        <v>0</v>
      </c>
      <c r="N659" s="12">
        <f t="shared" si="35"/>
        <v>7.5089285714285706E-2</v>
      </c>
      <c r="O659" s="12">
        <f t="shared" si="36"/>
        <v>0.18131235827664399</v>
      </c>
    </row>
    <row r="660" spans="1:15">
      <c r="A660" s="60">
        <v>45853</v>
      </c>
      <c r="B660">
        <f>VLOOKUP(A660,'BADI SID DATA'!A:B,2,0)</f>
        <v>106</v>
      </c>
      <c r="C660" s="11">
        <v>3348.8</v>
      </c>
      <c r="D660">
        <v>2.4300000000000002</v>
      </c>
      <c r="H660" s="62">
        <v>1</v>
      </c>
      <c r="I660" s="62">
        <v>0.97083333333333344</v>
      </c>
      <c r="K660" s="11">
        <f t="shared" si="34"/>
        <v>643018.80000000005</v>
      </c>
      <c r="L660" s="11">
        <f t="shared" si="32"/>
        <v>0</v>
      </c>
      <c r="M660" s="11">
        <f t="shared" si="33"/>
        <v>0</v>
      </c>
      <c r="N660" s="12">
        <f t="shared" si="35"/>
        <v>9.9666666666666667E-2</v>
      </c>
      <c r="O660" s="12">
        <f t="shared" si="36"/>
        <v>0.18054211590296498</v>
      </c>
    </row>
    <row r="661" spans="1:15">
      <c r="A661" s="60">
        <v>45854</v>
      </c>
      <c r="B661">
        <f>VLOOKUP(A661,'BADI SID DATA'!A:B,2,0)</f>
        <v>107</v>
      </c>
      <c r="C661" s="11">
        <v>1662.2</v>
      </c>
      <c r="D661">
        <v>1.18</v>
      </c>
      <c r="H661" s="62">
        <v>1</v>
      </c>
      <c r="I661" s="62">
        <v>1</v>
      </c>
      <c r="K661" s="11">
        <f t="shared" si="34"/>
        <v>644681</v>
      </c>
      <c r="L661" s="11">
        <f t="shared" si="32"/>
        <v>0</v>
      </c>
      <c r="M661" s="11">
        <f t="shared" si="33"/>
        <v>0</v>
      </c>
      <c r="N661" s="12">
        <f t="shared" si="35"/>
        <v>4.9470238095238095E-2</v>
      </c>
      <c r="O661" s="12">
        <f t="shared" si="36"/>
        <v>0.17931714508233199</v>
      </c>
    </row>
    <row r="662" spans="1:15">
      <c r="A662" s="60">
        <v>45855</v>
      </c>
      <c r="B662">
        <f>VLOOKUP(A662,'BADI SID DATA'!A:B,2,0)</f>
        <v>108</v>
      </c>
      <c r="C662" s="11">
        <v>1859.5000000000002</v>
      </c>
      <c r="D662">
        <v>1.31</v>
      </c>
      <c r="H662" s="62">
        <v>1</v>
      </c>
      <c r="I662" s="62">
        <v>1</v>
      </c>
      <c r="K662" s="11">
        <f t="shared" si="34"/>
        <v>646540.5</v>
      </c>
      <c r="L662" s="11">
        <f t="shared" si="32"/>
        <v>0</v>
      </c>
      <c r="M662" s="11">
        <f t="shared" si="33"/>
        <v>0</v>
      </c>
      <c r="N662" s="12">
        <f t="shared" si="35"/>
        <v>5.5342261904761915E-2</v>
      </c>
      <c r="O662" s="12">
        <f t="shared" si="36"/>
        <v>0.1781692294973545</v>
      </c>
    </row>
    <row r="663" spans="1:15">
      <c r="A663" s="60">
        <v>45856</v>
      </c>
      <c r="B663">
        <f>VLOOKUP(A663,'BADI SID DATA'!A:B,2,0)</f>
        <v>109</v>
      </c>
      <c r="C663" s="11">
        <v>2668.1000000000004</v>
      </c>
      <c r="D663">
        <v>1.9</v>
      </c>
      <c r="H663" s="62">
        <v>1</v>
      </c>
      <c r="I663" s="62">
        <v>0.93055555555555558</v>
      </c>
      <c r="K663" s="11">
        <f t="shared" si="34"/>
        <v>649208.6</v>
      </c>
      <c r="L663" s="11">
        <f t="shared" si="32"/>
        <v>0</v>
      </c>
      <c r="M663" s="11">
        <f t="shared" si="33"/>
        <v>0</v>
      </c>
      <c r="N663" s="12">
        <f t="shared" si="35"/>
        <v>7.9407738095238101E-2</v>
      </c>
      <c r="O663" s="12">
        <f t="shared" si="36"/>
        <v>0.1772631607688947</v>
      </c>
    </row>
    <row r="664" spans="1:15">
      <c r="A664" s="60">
        <v>45857</v>
      </c>
      <c r="B664">
        <f>VLOOKUP(A664,'BADI SID DATA'!A:B,2,0)</f>
        <v>110</v>
      </c>
      <c r="C664" s="11">
        <v>3018.4000000000005</v>
      </c>
      <c r="D664">
        <v>2.14</v>
      </c>
      <c r="H664" s="62">
        <v>1</v>
      </c>
      <c r="I664" s="62">
        <v>1</v>
      </c>
      <c r="K664" s="11">
        <f t="shared" si="34"/>
        <v>652227</v>
      </c>
      <c r="L664" s="11">
        <f t="shared" si="32"/>
        <v>0</v>
      </c>
      <c r="M664" s="11">
        <f t="shared" si="33"/>
        <v>0</v>
      </c>
      <c r="N664" s="12">
        <f t="shared" si="35"/>
        <v>8.9833333333333348E-2</v>
      </c>
      <c r="O664" s="12">
        <f t="shared" si="36"/>
        <v>0.17646834415584414</v>
      </c>
    </row>
    <row r="665" spans="1:15">
      <c r="A665" s="60">
        <v>45858</v>
      </c>
      <c r="B665">
        <f>VLOOKUP(A665,'BADI SID DATA'!A:B,2,0)</f>
        <v>111</v>
      </c>
      <c r="C665" s="11">
        <v>1623.1000000000001</v>
      </c>
      <c r="D665">
        <v>1.1499999999999999</v>
      </c>
      <c r="H665" s="62">
        <v>1</v>
      </c>
      <c r="I665" s="62">
        <v>1</v>
      </c>
      <c r="K665" s="11">
        <f t="shared" si="34"/>
        <v>653850.1</v>
      </c>
      <c r="L665" s="11">
        <f t="shared" si="32"/>
        <v>0</v>
      </c>
      <c r="M665" s="11">
        <f t="shared" si="33"/>
        <v>0</v>
      </c>
      <c r="N665" s="12">
        <f t="shared" si="35"/>
        <v>4.8306547619047624E-2</v>
      </c>
      <c r="O665" s="12">
        <f t="shared" si="36"/>
        <v>0.17531373337623338</v>
      </c>
    </row>
    <row r="666" spans="1:15">
      <c r="A666" s="60">
        <v>45859</v>
      </c>
      <c r="B666">
        <f>VLOOKUP(A666,'BADI SID DATA'!A:B,2,0)</f>
        <v>112</v>
      </c>
      <c r="C666" s="11">
        <v>2007.3999999999999</v>
      </c>
      <c r="D666">
        <v>1.43</v>
      </c>
      <c r="H666" s="62">
        <v>1</v>
      </c>
      <c r="I666" s="62">
        <v>1</v>
      </c>
      <c r="K666" s="11">
        <f t="shared" si="34"/>
        <v>655857.5</v>
      </c>
      <c r="L666" s="11">
        <f t="shared" si="32"/>
        <v>0</v>
      </c>
      <c r="M666" s="11">
        <f t="shared" si="33"/>
        <v>0</v>
      </c>
      <c r="N666" s="12">
        <f t="shared" si="35"/>
        <v>5.9744047619047613E-2</v>
      </c>
      <c r="O666" s="12">
        <f t="shared" si="36"/>
        <v>0.17428186118197278</v>
      </c>
    </row>
    <row r="667" spans="1:15">
      <c r="A667" s="60">
        <v>45860</v>
      </c>
      <c r="B667">
        <f>VLOOKUP(A667,'BADI SID DATA'!A:B,2,0)</f>
        <v>113</v>
      </c>
      <c r="C667" s="11">
        <v>5049</v>
      </c>
      <c r="D667">
        <v>3.82</v>
      </c>
      <c r="H667" s="62">
        <v>1</v>
      </c>
      <c r="I667" s="62">
        <v>1</v>
      </c>
      <c r="K667" s="11">
        <f t="shared" si="34"/>
        <v>660906.5</v>
      </c>
      <c r="L667" s="11">
        <f t="shared" si="32"/>
        <v>0</v>
      </c>
      <c r="M667" s="11">
        <f t="shared" si="33"/>
        <v>0</v>
      </c>
      <c r="N667" s="12">
        <f t="shared" si="35"/>
        <v>0.15026785714285715</v>
      </c>
      <c r="O667" s="12">
        <f t="shared" si="36"/>
        <v>0.17406934787189213</v>
      </c>
    </row>
    <row r="668" spans="1:15">
      <c r="A668" s="60">
        <v>45861</v>
      </c>
      <c r="B668">
        <f>VLOOKUP(A668,'BADI SID DATA'!A:B,2,0)</f>
        <v>114</v>
      </c>
      <c r="C668" s="11">
        <v>3781.1000000000004</v>
      </c>
      <c r="D668">
        <v>2.7</v>
      </c>
      <c r="H668" s="62">
        <v>1</v>
      </c>
      <c r="I668" s="62">
        <v>1</v>
      </c>
      <c r="K668" s="11">
        <f t="shared" si="34"/>
        <v>664687.6</v>
      </c>
      <c r="L668" s="11">
        <f t="shared" si="32"/>
        <v>0</v>
      </c>
      <c r="M668" s="11">
        <f t="shared" si="33"/>
        <v>0</v>
      </c>
      <c r="N668" s="12">
        <f t="shared" si="35"/>
        <v>0.1125327380952381</v>
      </c>
      <c r="O668" s="12">
        <f t="shared" si="36"/>
        <v>0.17352955304928988</v>
      </c>
    </row>
    <row r="669" spans="1:15">
      <c r="A669" s="60">
        <v>45862</v>
      </c>
      <c r="B669">
        <f>VLOOKUP(A669,'BADI SID DATA'!A:B,2,0)</f>
        <v>115</v>
      </c>
      <c r="C669" s="11">
        <v>3948.6</v>
      </c>
      <c r="D669">
        <v>2.84</v>
      </c>
      <c r="H669" s="62">
        <v>1</v>
      </c>
      <c r="I669" s="62">
        <v>1</v>
      </c>
      <c r="K669" s="11">
        <f t="shared" si="34"/>
        <v>668636.19999999995</v>
      </c>
      <c r="L669" s="11">
        <f t="shared" si="32"/>
        <v>0</v>
      </c>
      <c r="M669" s="11">
        <f t="shared" si="33"/>
        <v>0</v>
      </c>
      <c r="N669" s="12">
        <f t="shared" si="35"/>
        <v>0.11751785714285715</v>
      </c>
      <c r="O669" s="12">
        <f t="shared" si="36"/>
        <v>0.17304249482401654</v>
      </c>
    </row>
    <row r="670" spans="1:15">
      <c r="A670" s="60">
        <v>45863</v>
      </c>
      <c r="B670">
        <f>VLOOKUP(A670,'BADI SID DATA'!A:B,2,0)</f>
        <v>116</v>
      </c>
      <c r="C670" s="11">
        <v>6681.0000000000009</v>
      </c>
      <c r="D670">
        <v>5.29</v>
      </c>
      <c r="H670" s="62">
        <v>1</v>
      </c>
      <c r="I670" s="62">
        <v>0.99305555555555558</v>
      </c>
      <c r="K670" s="11">
        <f t="shared" si="34"/>
        <v>675317.2</v>
      </c>
      <c r="L670" s="11">
        <f t="shared" si="32"/>
        <v>0</v>
      </c>
      <c r="M670" s="11">
        <f t="shared" si="33"/>
        <v>0</v>
      </c>
      <c r="N670" s="12">
        <f t="shared" si="35"/>
        <v>0.19883928571428575</v>
      </c>
      <c r="O670" s="12">
        <f t="shared" si="36"/>
        <v>0.17326488095238093</v>
      </c>
    </row>
    <row r="671" spans="1:15">
      <c r="A671" s="60">
        <v>45864</v>
      </c>
      <c r="B671">
        <f>VLOOKUP(A671,'BADI SID DATA'!A:B,2,0)</f>
        <v>117</v>
      </c>
      <c r="C671" s="11">
        <v>2829.2999999999997</v>
      </c>
      <c r="D671">
        <v>2.0699999999999998</v>
      </c>
      <c r="H671" s="62">
        <v>1</v>
      </c>
      <c r="I671" s="62">
        <v>1</v>
      </c>
      <c r="K671" s="11">
        <f t="shared" si="34"/>
        <v>678146.5</v>
      </c>
      <c r="L671" s="11">
        <f t="shared" si="32"/>
        <v>0</v>
      </c>
      <c r="M671" s="11">
        <f t="shared" si="33"/>
        <v>0</v>
      </c>
      <c r="N671" s="12">
        <f t="shared" si="35"/>
        <v>8.4205357142857137E-2</v>
      </c>
      <c r="O671" s="12">
        <f t="shared" si="36"/>
        <v>0.17250368844118844</v>
      </c>
    </row>
    <row r="672" spans="1:15">
      <c r="A672" s="60">
        <v>45865</v>
      </c>
      <c r="B672">
        <f>VLOOKUP(A672,'BADI SID DATA'!A:B,2,0)</f>
        <v>118</v>
      </c>
      <c r="C672" s="11">
        <v>5852.7</v>
      </c>
      <c r="D672">
        <v>4.7699999999999996</v>
      </c>
      <c r="H672" s="62">
        <v>1</v>
      </c>
      <c r="I672" s="62">
        <v>0.95</v>
      </c>
      <c r="K672" s="11">
        <f t="shared" si="34"/>
        <v>683999.2</v>
      </c>
      <c r="L672" s="11">
        <f t="shared" si="32"/>
        <v>0</v>
      </c>
      <c r="M672" s="11">
        <f t="shared" si="33"/>
        <v>0</v>
      </c>
      <c r="N672" s="12">
        <f t="shared" si="35"/>
        <v>0.1741875</v>
      </c>
      <c r="O672" s="12">
        <f t="shared" si="36"/>
        <v>0.17251795803066988</v>
      </c>
    </row>
    <row r="673" spans="1:15">
      <c r="A673" s="60">
        <v>45866</v>
      </c>
      <c r="B673">
        <f>VLOOKUP(A673,'BADI SID DATA'!A:B,2,0)</f>
        <v>119</v>
      </c>
      <c r="C673" s="11">
        <v>6898.5000000000009</v>
      </c>
      <c r="D673">
        <v>5.42</v>
      </c>
      <c r="H673" s="62">
        <v>1</v>
      </c>
      <c r="I673" s="62">
        <v>1</v>
      </c>
      <c r="K673" s="11">
        <f t="shared" si="34"/>
        <v>690897.7</v>
      </c>
      <c r="L673" s="11">
        <f t="shared" si="32"/>
        <v>0</v>
      </c>
      <c r="M673" s="11">
        <f t="shared" si="33"/>
        <v>0</v>
      </c>
      <c r="N673" s="12">
        <f t="shared" si="35"/>
        <v>0.20531250000000004</v>
      </c>
      <c r="O673" s="12">
        <f t="shared" si="36"/>
        <v>0.17279354241696679</v>
      </c>
    </row>
    <row r="674" spans="1:15">
      <c r="A674" s="60">
        <v>45867</v>
      </c>
      <c r="B674">
        <f>VLOOKUP(A674,'BADI SID DATA'!A:B,2,0)</f>
        <v>120</v>
      </c>
      <c r="C674" s="11">
        <v>7961.6</v>
      </c>
      <c r="D674">
        <v>6.13</v>
      </c>
      <c r="H674" s="62">
        <v>1</v>
      </c>
      <c r="I674" s="62">
        <v>1</v>
      </c>
      <c r="K674" s="11">
        <f t="shared" si="34"/>
        <v>698859.29999999993</v>
      </c>
      <c r="L674" s="11">
        <f t="shared" si="32"/>
        <v>0</v>
      </c>
      <c r="M674" s="11">
        <f t="shared" si="33"/>
        <v>0</v>
      </c>
      <c r="N674" s="12">
        <f t="shared" si="35"/>
        <v>0.23695238095238097</v>
      </c>
      <c r="O674" s="12">
        <f t="shared" si="36"/>
        <v>0.17332819940476188</v>
      </c>
    </row>
    <row r="675" spans="1:15">
      <c r="A675" s="60">
        <v>45868</v>
      </c>
      <c r="B675">
        <f>VLOOKUP(A675,'BADI SID DATA'!A:B,2,0)</f>
        <v>121</v>
      </c>
      <c r="C675" s="11">
        <v>6849.5999999999995</v>
      </c>
      <c r="D675">
        <v>5.35</v>
      </c>
      <c r="H675" s="62">
        <v>1</v>
      </c>
      <c r="I675" s="62">
        <v>1</v>
      </c>
      <c r="K675" s="11">
        <f t="shared" si="34"/>
        <v>705708.89999999991</v>
      </c>
      <c r="L675" s="11">
        <f t="shared" si="32"/>
        <v>0</v>
      </c>
      <c r="M675" s="11">
        <f t="shared" si="33"/>
        <v>0</v>
      </c>
      <c r="N675" s="12">
        <f t="shared" si="35"/>
        <v>0.20385714285714285</v>
      </c>
      <c r="O675" s="12">
        <f t="shared" si="36"/>
        <v>0.17358050472255016</v>
      </c>
    </row>
    <row r="676" spans="1:15">
      <c r="A676" s="60">
        <v>45869</v>
      </c>
      <c r="B676">
        <f>VLOOKUP(A676,'BADI SID DATA'!A:B,2,0)</f>
        <v>122</v>
      </c>
      <c r="C676" s="11">
        <v>6398.2999999999993</v>
      </c>
      <c r="D676">
        <v>4.8600000000000003</v>
      </c>
      <c r="H676" s="62">
        <v>1</v>
      </c>
      <c r="I676" s="62">
        <v>1</v>
      </c>
      <c r="K676" s="11">
        <f t="shared" si="34"/>
        <v>712107.2</v>
      </c>
      <c r="L676" s="11">
        <f t="shared" si="32"/>
        <v>0</v>
      </c>
      <c r="M676" s="11">
        <f t="shared" si="33"/>
        <v>0</v>
      </c>
      <c r="N676" s="12">
        <f t="shared" si="35"/>
        <v>0.19042559523809521</v>
      </c>
      <c r="O676" s="12">
        <f t="shared" si="36"/>
        <v>0.17371857923497266</v>
      </c>
    </row>
    <row r="677" spans="1:15">
      <c r="A677" s="60">
        <v>45870</v>
      </c>
      <c r="B677">
        <f>VLOOKUP(A677,'BADI SID DATA'!A:B,2,0)</f>
        <v>123</v>
      </c>
      <c r="C677" s="61">
        <v>4332.5</v>
      </c>
      <c r="D677">
        <v>3.24</v>
      </c>
      <c r="H677" s="62">
        <v>1</v>
      </c>
      <c r="I677" s="62">
        <v>1</v>
      </c>
      <c r="K677" s="11">
        <f t="shared" si="34"/>
        <v>716439.7</v>
      </c>
      <c r="L677" s="11">
        <f t="shared" si="32"/>
        <v>0</v>
      </c>
      <c r="M677" s="11">
        <f t="shared" si="33"/>
        <v>0</v>
      </c>
      <c r="N677" s="12">
        <f t="shared" si="35"/>
        <v>0.12894345238095239</v>
      </c>
      <c r="O677" s="12">
        <f t="shared" si="36"/>
        <v>0.17335455381339526</v>
      </c>
    </row>
    <row r="678" spans="1:15">
      <c r="A678" s="60">
        <v>45871</v>
      </c>
      <c r="B678">
        <f>VLOOKUP(A678,'BADI SID DATA'!A:B,2,0)</f>
        <v>124</v>
      </c>
      <c r="C678" s="61">
        <v>1388.6</v>
      </c>
      <c r="D678">
        <v>1.01</v>
      </c>
      <c r="H678" s="62">
        <v>1</v>
      </c>
      <c r="I678" s="62">
        <v>1</v>
      </c>
      <c r="K678" s="11">
        <f t="shared" si="34"/>
        <v>717828.29999999993</v>
      </c>
      <c r="L678" s="11">
        <f t="shared" si="32"/>
        <v>0</v>
      </c>
      <c r="M678" s="11">
        <f t="shared" si="33"/>
        <v>0</v>
      </c>
      <c r="N678" s="12">
        <f t="shared" si="35"/>
        <v>4.1327380952380949E-2</v>
      </c>
      <c r="O678" s="12">
        <f t="shared" si="36"/>
        <v>0.17228981854838707</v>
      </c>
    </row>
    <row r="679" spans="1:15">
      <c r="A679" s="60">
        <v>45872</v>
      </c>
      <c r="B679">
        <f>VLOOKUP(A679,'BADI SID DATA'!A:B,2,0)</f>
        <v>125</v>
      </c>
      <c r="C679" s="61">
        <v>2329.5</v>
      </c>
      <c r="D679">
        <v>1.8</v>
      </c>
      <c r="H679" s="62">
        <v>1</v>
      </c>
      <c r="I679" s="62">
        <v>0.95555555555555549</v>
      </c>
      <c r="K679" s="11">
        <f t="shared" si="34"/>
        <v>720157.79999999993</v>
      </c>
      <c r="L679" s="11">
        <f t="shared" si="32"/>
        <v>0</v>
      </c>
      <c r="M679" s="11">
        <f t="shared" si="33"/>
        <v>0</v>
      </c>
      <c r="N679" s="12">
        <f t="shared" si="35"/>
        <v>6.9330357142857138E-2</v>
      </c>
      <c r="O679" s="12">
        <f t="shared" si="36"/>
        <v>0.17146614285714284</v>
      </c>
    </row>
    <row r="680" spans="1:15">
      <c r="A680" s="60">
        <v>45873</v>
      </c>
      <c r="B680">
        <f>VLOOKUP(A680,'BADI SID DATA'!A:B,2,0)</f>
        <v>126</v>
      </c>
      <c r="C680" s="61">
        <v>4652.9000000000005</v>
      </c>
      <c r="D680">
        <v>3.52</v>
      </c>
      <c r="H680" s="62">
        <v>1</v>
      </c>
      <c r="I680" s="62">
        <v>1</v>
      </c>
      <c r="K680" s="11">
        <f t="shared" si="34"/>
        <v>724810.7</v>
      </c>
      <c r="L680" s="11">
        <f t="shared" si="32"/>
        <v>0</v>
      </c>
      <c r="M680" s="11">
        <f t="shared" si="33"/>
        <v>0</v>
      </c>
      <c r="N680" s="12">
        <f t="shared" si="35"/>
        <v>0.13847916666666668</v>
      </c>
      <c r="O680" s="12">
        <f t="shared" si="36"/>
        <v>0.17120434145880573</v>
      </c>
    </row>
    <row r="681" spans="1:15">
      <c r="A681" s="60">
        <v>45874</v>
      </c>
      <c r="B681">
        <f>VLOOKUP(A681,'BADI SID DATA'!A:B,2,0)</f>
        <v>127</v>
      </c>
      <c r="C681" s="61">
        <v>1162.3000000000002</v>
      </c>
      <c r="D681">
        <v>0.85</v>
      </c>
      <c r="H681" s="62">
        <v>1</v>
      </c>
      <c r="I681" s="62">
        <v>1</v>
      </c>
      <c r="K681" s="11">
        <f t="shared" si="34"/>
        <v>725973</v>
      </c>
      <c r="L681" s="11">
        <f t="shared" si="32"/>
        <v>0</v>
      </c>
      <c r="M681" s="11">
        <f t="shared" si="33"/>
        <v>0</v>
      </c>
      <c r="N681" s="12">
        <f t="shared" si="35"/>
        <v>3.459226190476191E-2</v>
      </c>
      <c r="O681" s="12">
        <f t="shared" si="36"/>
        <v>0.17012865579302588</v>
      </c>
    </row>
    <row r="682" spans="1:15">
      <c r="A682" s="60">
        <v>45875</v>
      </c>
      <c r="B682">
        <f>VLOOKUP(A682,'BADI SID DATA'!A:B,2,0)</f>
        <v>128</v>
      </c>
      <c r="C682" s="61">
        <v>6306.8</v>
      </c>
      <c r="D682">
        <v>4.9000000000000004</v>
      </c>
      <c r="H682" s="62">
        <v>1</v>
      </c>
      <c r="I682" s="62">
        <v>1</v>
      </c>
      <c r="K682" s="11">
        <f t="shared" si="34"/>
        <v>732279.8</v>
      </c>
      <c r="L682" s="11">
        <f t="shared" si="32"/>
        <v>0</v>
      </c>
      <c r="M682" s="11">
        <f t="shared" si="33"/>
        <v>0</v>
      </c>
      <c r="N682" s="12">
        <f t="shared" si="35"/>
        <v>0.18770238095238095</v>
      </c>
      <c r="O682" s="12">
        <f t="shared" si="36"/>
        <v>0.17026595052083335</v>
      </c>
    </row>
    <row r="683" spans="1:15">
      <c r="A683" s="60">
        <v>45876</v>
      </c>
      <c r="B683">
        <f>VLOOKUP(A683,'BADI SID DATA'!A:B,2,0)</f>
        <v>129</v>
      </c>
      <c r="C683" s="61">
        <v>5868.7000000000007</v>
      </c>
      <c r="D683">
        <v>4.4800000000000004</v>
      </c>
      <c r="H683" s="62">
        <v>1</v>
      </c>
      <c r="I683" s="62">
        <v>1</v>
      </c>
      <c r="K683" s="11">
        <f t="shared" si="34"/>
        <v>738148.5</v>
      </c>
      <c r="L683" s="11">
        <f t="shared" si="32"/>
        <v>0</v>
      </c>
      <c r="M683" s="11">
        <f t="shared" si="33"/>
        <v>0</v>
      </c>
      <c r="N683" s="12">
        <f t="shared" si="35"/>
        <v>0.17466369047619049</v>
      </c>
      <c r="O683" s="12">
        <f t="shared" si="36"/>
        <v>0.17030004152823922</v>
      </c>
    </row>
    <row r="684" spans="1:15">
      <c r="A684" s="60">
        <v>45877</v>
      </c>
      <c r="B684">
        <f>VLOOKUP(A684,'BADI SID DATA'!A:B,2,0)</f>
        <v>130</v>
      </c>
      <c r="C684" s="61">
        <v>4219.9000000000005</v>
      </c>
      <c r="D684">
        <v>3.06</v>
      </c>
      <c r="H684" s="62">
        <v>1</v>
      </c>
      <c r="I684" s="62">
        <v>1</v>
      </c>
      <c r="K684" s="11">
        <f t="shared" si="34"/>
        <v>742368.4</v>
      </c>
      <c r="L684" s="11">
        <f t="shared" si="32"/>
        <v>0</v>
      </c>
      <c r="M684" s="11">
        <f t="shared" si="33"/>
        <v>0</v>
      </c>
      <c r="N684" s="12">
        <f t="shared" si="35"/>
        <v>0.12559226190476191</v>
      </c>
      <c r="O684" s="12">
        <f t="shared" si="36"/>
        <v>0.16995613553113553</v>
      </c>
    </row>
    <row r="685" spans="1:15">
      <c r="A685" s="60">
        <v>45878</v>
      </c>
      <c r="B685">
        <f>VLOOKUP(A685,'BADI SID DATA'!A:B,2,0)</f>
        <v>131</v>
      </c>
      <c r="C685" s="61">
        <v>1843.9</v>
      </c>
      <c r="D685">
        <v>1.3</v>
      </c>
      <c r="H685" s="62">
        <v>1</v>
      </c>
      <c r="I685" s="62">
        <v>1</v>
      </c>
      <c r="K685" s="11">
        <f t="shared" si="34"/>
        <v>744212.3</v>
      </c>
      <c r="L685" s="11">
        <f t="shared" ref="L685:L748" si="37">L684+F685</f>
        <v>0</v>
      </c>
      <c r="M685" s="11">
        <f t="shared" ref="M685:M748" si="38">M684+G685</f>
        <v>0</v>
      </c>
      <c r="N685" s="12">
        <f t="shared" si="35"/>
        <v>5.4877976190476192E-2</v>
      </c>
      <c r="O685" s="12">
        <f t="shared" si="36"/>
        <v>0.16907767629952747</v>
      </c>
    </row>
    <row r="686" spans="1:15">
      <c r="A686" s="60">
        <v>45879</v>
      </c>
      <c r="B686">
        <f>VLOOKUP(A686,'BADI SID DATA'!A:B,2,0)</f>
        <v>132</v>
      </c>
      <c r="C686" s="61">
        <v>6767.3</v>
      </c>
      <c r="D686">
        <v>5.49</v>
      </c>
      <c r="H686" s="62">
        <v>1</v>
      </c>
      <c r="I686" s="62">
        <v>0.97916666666666674</v>
      </c>
      <c r="K686" s="11">
        <f t="shared" si="34"/>
        <v>750979.60000000009</v>
      </c>
      <c r="L686" s="11">
        <f t="shared" si="37"/>
        <v>0</v>
      </c>
      <c r="M686" s="11">
        <f t="shared" si="38"/>
        <v>0</v>
      </c>
      <c r="N686" s="12">
        <f t="shared" si="35"/>
        <v>0.2014077380952381</v>
      </c>
      <c r="O686" s="12">
        <f t="shared" si="36"/>
        <v>0.16932260101010102</v>
      </c>
    </row>
    <row r="687" spans="1:15">
      <c r="A687" s="60">
        <v>45880</v>
      </c>
      <c r="B687">
        <f>VLOOKUP(A687,'BADI SID DATA'!A:B,2,0)</f>
        <v>133</v>
      </c>
      <c r="C687" s="61">
        <v>6923.1</v>
      </c>
      <c r="D687">
        <v>5.34</v>
      </c>
      <c r="H687" s="62">
        <v>1</v>
      </c>
      <c r="I687" s="62">
        <v>1</v>
      </c>
      <c r="K687" s="11">
        <f t="shared" si="34"/>
        <v>757902.70000000007</v>
      </c>
      <c r="L687" s="11">
        <f t="shared" si="37"/>
        <v>0</v>
      </c>
      <c r="M687" s="11">
        <f t="shared" si="38"/>
        <v>0</v>
      </c>
      <c r="N687" s="12">
        <f t="shared" si="35"/>
        <v>0.20604464285714286</v>
      </c>
      <c r="O687" s="12">
        <f t="shared" si="36"/>
        <v>0.16959870658789833</v>
      </c>
    </row>
    <row r="688" spans="1:15">
      <c r="A688" s="60">
        <v>45881</v>
      </c>
      <c r="B688">
        <f>VLOOKUP(A688,'BADI SID DATA'!A:B,2,0)</f>
        <v>134</v>
      </c>
      <c r="C688" s="61">
        <v>5304.7</v>
      </c>
      <c r="D688">
        <v>4.0199999999999996</v>
      </c>
      <c r="H688" s="62">
        <v>1</v>
      </c>
      <c r="I688" s="62">
        <v>1</v>
      </c>
      <c r="K688" s="11">
        <f t="shared" si="34"/>
        <v>763207.4</v>
      </c>
      <c r="L688" s="11">
        <f t="shared" si="37"/>
        <v>0</v>
      </c>
      <c r="M688" s="11">
        <f t="shared" si="38"/>
        <v>0</v>
      </c>
      <c r="N688" s="12">
        <f t="shared" si="35"/>
        <v>0.15787797619047619</v>
      </c>
      <c r="O688" s="12">
        <f t="shared" si="36"/>
        <v>0.16951123845060412</v>
      </c>
    </row>
    <row r="689" spans="1:15">
      <c r="A689" s="60">
        <v>45882</v>
      </c>
      <c r="B689">
        <f>VLOOKUP(A689,'BADI SID DATA'!A:B,2,0)</f>
        <v>135</v>
      </c>
      <c r="C689" s="61">
        <v>4308.6000000000004</v>
      </c>
      <c r="D689">
        <v>3.1</v>
      </c>
      <c r="H689" s="62">
        <v>1</v>
      </c>
      <c r="I689" s="62">
        <v>1</v>
      </c>
      <c r="K689" s="11">
        <f t="shared" si="34"/>
        <v>767516</v>
      </c>
      <c r="L689" s="11">
        <f t="shared" si="37"/>
        <v>0</v>
      </c>
      <c r="M689" s="11">
        <f t="shared" si="38"/>
        <v>0</v>
      </c>
      <c r="N689" s="12">
        <f t="shared" si="35"/>
        <v>0.12823214285714288</v>
      </c>
      <c r="O689" s="12">
        <f t="shared" si="36"/>
        <v>0.16920546737213404</v>
      </c>
    </row>
    <row r="690" spans="1:15">
      <c r="A690" s="60">
        <v>45883</v>
      </c>
      <c r="B690">
        <f>VLOOKUP(A690,'BADI SID DATA'!A:B,2,0)</f>
        <v>136</v>
      </c>
      <c r="C690" s="61">
        <v>6766.7</v>
      </c>
      <c r="D690">
        <v>5.22</v>
      </c>
      <c r="H690" s="62">
        <v>1</v>
      </c>
      <c r="I690" s="62">
        <v>1</v>
      </c>
      <c r="K690" s="11">
        <f t="shared" ref="K690:K753" si="39">K689+C690</f>
        <v>774282.7</v>
      </c>
      <c r="L690" s="11">
        <f t="shared" si="37"/>
        <v>0</v>
      </c>
      <c r="M690" s="11">
        <f t="shared" si="38"/>
        <v>0</v>
      </c>
      <c r="N690" s="12">
        <f t="shared" si="35"/>
        <v>0.20138988095238095</v>
      </c>
      <c r="O690" s="12">
        <f t="shared" si="36"/>
        <v>0.16944211747198878</v>
      </c>
    </row>
    <row r="691" spans="1:15">
      <c r="A691" s="60">
        <v>45884</v>
      </c>
      <c r="B691">
        <f>VLOOKUP(A691,'BADI SID DATA'!A:B,2,0)</f>
        <v>137</v>
      </c>
      <c r="C691" s="61">
        <v>6697.4</v>
      </c>
      <c r="D691">
        <v>5.19</v>
      </c>
      <c r="H691" s="62">
        <v>1</v>
      </c>
      <c r="I691" s="62">
        <v>1</v>
      </c>
      <c r="K691" s="11">
        <f t="shared" si="39"/>
        <v>780980.1</v>
      </c>
      <c r="L691" s="11">
        <f t="shared" si="37"/>
        <v>0</v>
      </c>
      <c r="M691" s="11">
        <f t="shared" si="38"/>
        <v>0</v>
      </c>
      <c r="N691" s="12">
        <f t="shared" si="35"/>
        <v>0.19932738095238095</v>
      </c>
      <c r="O691" s="12">
        <f t="shared" si="36"/>
        <v>0.16966025808133472</v>
      </c>
    </row>
    <row r="692" spans="1:15">
      <c r="A692" s="60">
        <v>45885</v>
      </c>
      <c r="B692">
        <f>VLOOKUP(A692,'BADI SID DATA'!A:B,2,0)</f>
        <v>138</v>
      </c>
      <c r="C692" s="61">
        <v>2042.7999999999997</v>
      </c>
      <c r="D692">
        <v>1.52</v>
      </c>
      <c r="H692" s="62">
        <v>1</v>
      </c>
      <c r="I692" s="62">
        <v>1</v>
      </c>
      <c r="K692" s="11">
        <f t="shared" si="39"/>
        <v>783022.9</v>
      </c>
      <c r="L692" s="11">
        <f t="shared" si="37"/>
        <v>0</v>
      </c>
      <c r="M692" s="11">
        <f t="shared" si="38"/>
        <v>0</v>
      </c>
      <c r="N692" s="12">
        <f t="shared" si="35"/>
        <v>6.0797619047619038E-2</v>
      </c>
      <c r="O692" s="12">
        <f t="shared" si="36"/>
        <v>0.16887139837819187</v>
      </c>
    </row>
    <row r="693" spans="1:15">
      <c r="A693" s="60">
        <v>45886</v>
      </c>
      <c r="B693">
        <f>VLOOKUP(A693,'BADI SID DATA'!A:B,2,0)</f>
        <v>139</v>
      </c>
      <c r="C693" s="61">
        <v>6046</v>
      </c>
      <c r="D693">
        <v>4.55</v>
      </c>
      <c r="H693" s="62">
        <v>1</v>
      </c>
      <c r="I693" s="62">
        <v>1</v>
      </c>
      <c r="K693" s="11">
        <f t="shared" si="39"/>
        <v>789068.9</v>
      </c>
      <c r="L693" s="11">
        <f t="shared" si="37"/>
        <v>0</v>
      </c>
      <c r="M693" s="11">
        <f t="shared" si="38"/>
        <v>0</v>
      </c>
      <c r="N693" s="12">
        <f t="shared" si="35"/>
        <v>0.17994047619047618</v>
      </c>
      <c r="O693" s="12">
        <f t="shared" si="36"/>
        <v>0.16895103203151765</v>
      </c>
    </row>
    <row r="694" spans="1:15">
      <c r="A694" s="60">
        <v>45887</v>
      </c>
      <c r="B694">
        <f>VLOOKUP(A694,'BADI SID DATA'!A:B,2,0)</f>
        <v>140</v>
      </c>
      <c r="C694" s="61">
        <v>7216.0999999999995</v>
      </c>
      <c r="D694">
        <v>5.55</v>
      </c>
      <c r="H694" s="62">
        <v>1</v>
      </c>
      <c r="I694" s="62">
        <v>1</v>
      </c>
      <c r="K694" s="11">
        <f t="shared" si="39"/>
        <v>796285</v>
      </c>
      <c r="L694" s="11">
        <f t="shared" si="37"/>
        <v>0</v>
      </c>
      <c r="M694" s="11">
        <f t="shared" si="38"/>
        <v>0</v>
      </c>
      <c r="N694" s="12">
        <f t="shared" si="35"/>
        <v>0.21476488095238094</v>
      </c>
      <c r="O694" s="12">
        <f t="shared" si="36"/>
        <v>0.16927827380952382</v>
      </c>
    </row>
    <row r="695" spans="1:15">
      <c r="A695" s="60">
        <v>45888</v>
      </c>
      <c r="B695">
        <f>VLOOKUP(A695,'BADI SID DATA'!A:B,2,0)</f>
        <v>141</v>
      </c>
      <c r="C695" s="61">
        <v>6447.8</v>
      </c>
      <c r="D695">
        <v>5.03</v>
      </c>
      <c r="H695" s="62">
        <v>1</v>
      </c>
      <c r="I695" s="62">
        <v>1</v>
      </c>
      <c r="K695" s="11">
        <f t="shared" si="39"/>
        <v>802732.8</v>
      </c>
      <c r="L695" s="11">
        <f t="shared" si="37"/>
        <v>0</v>
      </c>
      <c r="M695" s="11">
        <f t="shared" si="38"/>
        <v>0</v>
      </c>
      <c r="N695" s="12">
        <f t="shared" si="35"/>
        <v>0.19189880952380953</v>
      </c>
      <c r="O695" s="12">
        <f t="shared" si="36"/>
        <v>0.16943870314083082</v>
      </c>
    </row>
    <row r="696" spans="1:15">
      <c r="A696" s="60">
        <v>45889</v>
      </c>
      <c r="B696">
        <f>VLOOKUP(A696,'BADI SID DATA'!A:B,2,0)</f>
        <v>142</v>
      </c>
      <c r="C696" s="61">
        <v>7173.8</v>
      </c>
      <c r="D696">
        <v>5.62</v>
      </c>
      <c r="H696" s="62">
        <v>1</v>
      </c>
      <c r="I696" s="62">
        <v>1</v>
      </c>
      <c r="K696" s="11">
        <f t="shared" si="39"/>
        <v>809906.60000000009</v>
      </c>
      <c r="L696" s="11">
        <f t="shared" si="37"/>
        <v>0</v>
      </c>
      <c r="M696" s="11">
        <f t="shared" si="38"/>
        <v>0</v>
      </c>
      <c r="N696" s="12">
        <f t="shared" si="35"/>
        <v>0.21350595238095238</v>
      </c>
      <c r="O696" s="12">
        <f t="shared" si="36"/>
        <v>0.16974903588195844</v>
      </c>
    </row>
    <row r="697" spans="1:15">
      <c r="A697" s="60">
        <v>45890</v>
      </c>
      <c r="B697">
        <f>VLOOKUP(A697,'BADI SID DATA'!A:B,2,0)</f>
        <v>143</v>
      </c>
      <c r="C697" s="61">
        <v>7090.9999999999991</v>
      </c>
      <c r="D697">
        <v>5.56</v>
      </c>
      <c r="H697" s="62">
        <v>1</v>
      </c>
      <c r="I697" s="62">
        <v>1</v>
      </c>
      <c r="K697" s="11">
        <f t="shared" si="39"/>
        <v>816997.60000000009</v>
      </c>
      <c r="L697" s="11">
        <f t="shared" si="37"/>
        <v>0</v>
      </c>
      <c r="M697" s="11">
        <f t="shared" si="38"/>
        <v>0</v>
      </c>
      <c r="N697" s="12">
        <f t="shared" si="35"/>
        <v>0.21104166666666663</v>
      </c>
      <c r="O697" s="12">
        <f t="shared" si="36"/>
        <v>0.17003779553779555</v>
      </c>
    </row>
    <row r="698" spans="1:15">
      <c r="A698" s="60">
        <v>45891</v>
      </c>
      <c r="B698">
        <f>VLOOKUP(A698,'BADI SID DATA'!A:B,2,0)</f>
        <v>144</v>
      </c>
      <c r="C698" s="61">
        <v>7319</v>
      </c>
      <c r="D698">
        <v>5.74</v>
      </c>
      <c r="H698" s="62">
        <v>1</v>
      </c>
      <c r="I698" s="62">
        <v>1</v>
      </c>
      <c r="K698" s="11">
        <f t="shared" si="39"/>
        <v>824316.60000000009</v>
      </c>
      <c r="L698" s="11">
        <f t="shared" si="37"/>
        <v>0</v>
      </c>
      <c r="M698" s="11">
        <f t="shared" si="38"/>
        <v>0</v>
      </c>
      <c r="N698" s="12">
        <f t="shared" si="35"/>
        <v>0.21782738095238094</v>
      </c>
      <c r="O698" s="12">
        <f t="shared" si="36"/>
        <v>0.17036966765873018</v>
      </c>
    </row>
    <row r="699" spans="1:15">
      <c r="A699" s="60">
        <v>45892</v>
      </c>
      <c r="B699">
        <f>VLOOKUP(A699,'BADI SID DATA'!A:B,2,0)</f>
        <v>145</v>
      </c>
      <c r="C699" s="61">
        <v>6177.5</v>
      </c>
      <c r="D699">
        <v>4.78</v>
      </c>
      <c r="H699" s="62">
        <v>1</v>
      </c>
      <c r="I699" s="62">
        <v>1</v>
      </c>
      <c r="K699" s="11">
        <f t="shared" si="39"/>
        <v>830494.10000000009</v>
      </c>
      <c r="L699" s="11">
        <f t="shared" si="37"/>
        <v>0</v>
      </c>
      <c r="M699" s="11">
        <f t="shared" si="38"/>
        <v>0</v>
      </c>
      <c r="N699" s="12">
        <f t="shared" si="35"/>
        <v>0.18385416666666668</v>
      </c>
      <c r="O699" s="12">
        <f t="shared" si="36"/>
        <v>0.1704626642036125</v>
      </c>
    </row>
    <row r="700" spans="1:15">
      <c r="A700" s="60">
        <v>45893</v>
      </c>
      <c r="B700">
        <f>VLOOKUP(A700,'BADI SID DATA'!A:B,2,0)</f>
        <v>146</v>
      </c>
      <c r="C700" s="61">
        <v>7278.6</v>
      </c>
      <c r="D700">
        <v>6.01</v>
      </c>
      <c r="H700" s="62">
        <v>1</v>
      </c>
      <c r="I700" s="62">
        <v>0.98888888888888893</v>
      </c>
      <c r="K700" s="11">
        <f t="shared" si="39"/>
        <v>837772.70000000007</v>
      </c>
      <c r="L700" s="11">
        <f t="shared" si="37"/>
        <v>0</v>
      </c>
      <c r="M700" s="11">
        <f t="shared" si="38"/>
        <v>0</v>
      </c>
      <c r="N700" s="12">
        <f t="shared" si="35"/>
        <v>0.21662500000000001</v>
      </c>
      <c r="O700" s="12">
        <f t="shared" si="36"/>
        <v>0.17077884458577952</v>
      </c>
    </row>
    <row r="701" spans="1:15">
      <c r="A701" s="60">
        <v>45894</v>
      </c>
      <c r="B701">
        <f>VLOOKUP(A701,'BADI SID DATA'!A:B,2,0)</f>
        <v>147</v>
      </c>
      <c r="C701" s="61">
        <v>7684.1</v>
      </c>
      <c r="D701">
        <v>6.27</v>
      </c>
      <c r="H701" s="62">
        <v>1</v>
      </c>
      <c r="I701" s="62">
        <v>1</v>
      </c>
      <c r="K701" s="11">
        <f t="shared" si="39"/>
        <v>845456.8</v>
      </c>
      <c r="L701" s="11">
        <f t="shared" si="37"/>
        <v>0</v>
      </c>
      <c r="M701" s="11">
        <f t="shared" si="38"/>
        <v>0</v>
      </c>
      <c r="N701" s="12">
        <f t="shared" si="35"/>
        <v>0.2286934523809524</v>
      </c>
      <c r="O701" s="12">
        <f t="shared" si="36"/>
        <v>0.17117282150955621</v>
      </c>
    </row>
    <row r="702" spans="1:15">
      <c r="A702" s="60">
        <v>45895</v>
      </c>
      <c r="B702">
        <f>VLOOKUP(A702,'BADI SID DATA'!A:B,2,0)</f>
        <v>148</v>
      </c>
      <c r="C702" s="61">
        <v>7425.9000000000005</v>
      </c>
      <c r="D702">
        <v>6.05</v>
      </c>
      <c r="H702" s="62">
        <v>1</v>
      </c>
      <c r="I702" s="62">
        <v>1</v>
      </c>
      <c r="K702" s="11">
        <f t="shared" si="39"/>
        <v>852882.70000000007</v>
      </c>
      <c r="L702" s="11">
        <f t="shared" si="37"/>
        <v>0</v>
      </c>
      <c r="M702" s="11">
        <f t="shared" si="38"/>
        <v>0</v>
      </c>
      <c r="N702" s="12">
        <f t="shared" si="35"/>
        <v>0.22100892857142859</v>
      </c>
      <c r="O702" s="12">
        <f t="shared" si="36"/>
        <v>0.17150955196267698</v>
      </c>
    </row>
    <row r="703" spans="1:15">
      <c r="A703" s="60">
        <v>45896</v>
      </c>
      <c r="B703">
        <f>VLOOKUP(A703,'BADI SID DATA'!A:B,2,0)</f>
        <v>149</v>
      </c>
      <c r="C703" s="61">
        <v>1906.4999999999998</v>
      </c>
      <c r="D703">
        <v>1.35</v>
      </c>
      <c r="H703" s="62">
        <v>1</v>
      </c>
      <c r="I703" s="62">
        <v>1</v>
      </c>
      <c r="K703" s="11">
        <f t="shared" si="39"/>
        <v>854789.20000000007</v>
      </c>
      <c r="L703" s="11">
        <f t="shared" si="37"/>
        <v>0</v>
      </c>
      <c r="M703" s="11">
        <f t="shared" si="38"/>
        <v>0</v>
      </c>
      <c r="N703" s="12">
        <f t="shared" si="35"/>
        <v>5.6741071428571419E-2</v>
      </c>
      <c r="O703" s="12">
        <f t="shared" si="36"/>
        <v>0.17073929370405883</v>
      </c>
    </row>
    <row r="704" spans="1:15">
      <c r="A704" s="60">
        <v>45897</v>
      </c>
      <c r="B704">
        <f>VLOOKUP(A704,'BADI SID DATA'!A:B,2,0)</f>
        <v>150</v>
      </c>
      <c r="C704" s="61">
        <v>954.2</v>
      </c>
      <c r="D704">
        <v>0.72</v>
      </c>
      <c r="H704" s="62">
        <v>1</v>
      </c>
      <c r="I704" s="62">
        <v>1</v>
      </c>
      <c r="K704" s="11">
        <f t="shared" si="39"/>
        <v>855743.4</v>
      </c>
      <c r="L704" s="11">
        <f t="shared" si="37"/>
        <v>0</v>
      </c>
      <c r="M704" s="11">
        <f t="shared" si="38"/>
        <v>0</v>
      </c>
      <c r="N704" s="12">
        <f t="shared" si="35"/>
        <v>2.8398809523809524E-2</v>
      </c>
      <c r="O704" s="12">
        <f t="shared" si="36"/>
        <v>0.16979035714285715</v>
      </c>
    </row>
    <row r="705" spans="1:15">
      <c r="A705" s="60">
        <v>45898</v>
      </c>
      <c r="B705">
        <f>VLOOKUP(A705,'BADI SID DATA'!A:B,2,0)</f>
        <v>151</v>
      </c>
      <c r="C705" s="61">
        <v>5350.7999999999993</v>
      </c>
      <c r="D705">
        <v>4.01</v>
      </c>
      <c r="H705" s="62">
        <v>1</v>
      </c>
      <c r="I705" s="62">
        <v>1</v>
      </c>
      <c r="K705" s="11">
        <f t="shared" si="39"/>
        <v>861094.20000000007</v>
      </c>
      <c r="L705" s="11">
        <f t="shared" si="37"/>
        <v>0</v>
      </c>
      <c r="M705" s="11">
        <f t="shared" si="38"/>
        <v>0</v>
      </c>
      <c r="N705" s="12">
        <f t="shared" si="35"/>
        <v>0.15924999999999997</v>
      </c>
      <c r="O705" s="12">
        <f t="shared" si="36"/>
        <v>0.16972055345316936</v>
      </c>
    </row>
    <row r="706" spans="1:15">
      <c r="A706" s="60">
        <v>45899</v>
      </c>
      <c r="B706">
        <f>VLOOKUP(A706,'BADI SID DATA'!A:B,2,0)</f>
        <v>152</v>
      </c>
      <c r="C706" s="61">
        <v>7685.1000000000013</v>
      </c>
      <c r="D706">
        <v>6.08</v>
      </c>
      <c r="H706" s="62">
        <v>1</v>
      </c>
      <c r="I706" s="62">
        <v>1</v>
      </c>
      <c r="K706" s="11">
        <f t="shared" si="39"/>
        <v>868779.3</v>
      </c>
      <c r="L706" s="11">
        <f t="shared" si="37"/>
        <v>0</v>
      </c>
      <c r="M706" s="11">
        <f t="shared" si="38"/>
        <v>0</v>
      </c>
      <c r="N706" s="12">
        <f t="shared" si="35"/>
        <v>0.22872321428571432</v>
      </c>
      <c r="O706" s="12">
        <f t="shared" si="36"/>
        <v>0.17010872885338346</v>
      </c>
    </row>
    <row r="707" spans="1:15">
      <c r="A707" s="60">
        <v>45900</v>
      </c>
      <c r="B707">
        <f>VLOOKUP(A707,'BADI SID DATA'!A:B,2,0)</f>
        <v>153</v>
      </c>
      <c r="C707" s="61">
        <v>7244.6</v>
      </c>
      <c r="D707">
        <v>5.7</v>
      </c>
      <c r="H707" s="62">
        <v>1</v>
      </c>
      <c r="I707" s="62">
        <v>1</v>
      </c>
      <c r="K707" s="11">
        <f t="shared" si="39"/>
        <v>876023.9</v>
      </c>
      <c r="L707" s="11">
        <f t="shared" si="37"/>
        <v>0</v>
      </c>
      <c r="M707" s="11">
        <f t="shared" si="38"/>
        <v>0</v>
      </c>
      <c r="N707" s="12">
        <f t="shared" ref="N707:N752" si="40">C707/(1400*24)</f>
        <v>0.21561309523809524</v>
      </c>
      <c r="O707" s="12">
        <f t="shared" ref="O707:O770" si="41">K707/(B707*1400*24)</f>
        <v>0.17040614301276066</v>
      </c>
    </row>
    <row r="708" spans="1:15">
      <c r="A708" s="60">
        <v>45901</v>
      </c>
      <c r="B708">
        <f>VLOOKUP(A708,'BADI SID DATA'!A:B,2,0)</f>
        <v>154</v>
      </c>
      <c r="C708" s="61">
        <v>7153.9000000000005</v>
      </c>
      <c r="D708">
        <v>5.82</v>
      </c>
      <c r="H708" s="62">
        <v>1</v>
      </c>
      <c r="I708" s="62">
        <v>1</v>
      </c>
      <c r="K708" s="11">
        <f t="shared" si="39"/>
        <v>883177.8</v>
      </c>
      <c r="L708" s="11">
        <f t="shared" si="37"/>
        <v>0</v>
      </c>
      <c r="M708" s="11">
        <f t="shared" si="38"/>
        <v>0</v>
      </c>
      <c r="N708" s="12">
        <f t="shared" si="40"/>
        <v>0.21291369047619049</v>
      </c>
      <c r="O708" s="12">
        <f t="shared" si="41"/>
        <v>0.17068216604823749</v>
      </c>
    </row>
    <row r="709" spans="1:15">
      <c r="A709" s="60">
        <v>45902</v>
      </c>
      <c r="B709">
        <f>VLOOKUP(A709,'BADI SID DATA'!A:B,2,0)</f>
        <v>155</v>
      </c>
      <c r="C709" s="61">
        <v>7992</v>
      </c>
      <c r="D709">
        <v>6.43</v>
      </c>
      <c r="H709" s="62">
        <v>1</v>
      </c>
      <c r="I709" s="62">
        <v>1</v>
      </c>
      <c r="K709" s="11">
        <f t="shared" si="39"/>
        <v>891169.8</v>
      </c>
      <c r="L709" s="11">
        <f t="shared" si="37"/>
        <v>0</v>
      </c>
      <c r="M709" s="11">
        <f t="shared" si="38"/>
        <v>0</v>
      </c>
      <c r="N709" s="12">
        <f t="shared" si="40"/>
        <v>0.23785714285714285</v>
      </c>
      <c r="O709" s="12">
        <f t="shared" si="41"/>
        <v>0.17111555299539172</v>
      </c>
    </row>
    <row r="710" spans="1:15">
      <c r="A710" s="60">
        <v>45903</v>
      </c>
      <c r="B710">
        <f>VLOOKUP(A710,'BADI SID DATA'!A:B,2,0)</f>
        <v>156</v>
      </c>
      <c r="C710" s="61">
        <v>6456</v>
      </c>
      <c r="D710">
        <v>4.9800000000000004</v>
      </c>
      <c r="H710" s="62">
        <v>1</v>
      </c>
      <c r="I710" s="62">
        <v>1</v>
      </c>
      <c r="K710" s="11">
        <f t="shared" si="39"/>
        <v>897625.8</v>
      </c>
      <c r="L710" s="11">
        <f t="shared" si="37"/>
        <v>0</v>
      </c>
      <c r="M710" s="11">
        <f t="shared" si="38"/>
        <v>0</v>
      </c>
      <c r="N710" s="12">
        <f t="shared" si="40"/>
        <v>0.19214285714285714</v>
      </c>
      <c r="O710" s="12">
        <f t="shared" si="41"/>
        <v>0.17125034340659342</v>
      </c>
    </row>
    <row r="711" spans="1:15">
      <c r="A711" s="60">
        <v>45904</v>
      </c>
      <c r="B711">
        <f>VLOOKUP(A711,'BADI SID DATA'!A:B,2,0)</f>
        <v>157</v>
      </c>
      <c r="C711" s="61">
        <v>7255.5</v>
      </c>
      <c r="D711">
        <v>5.81</v>
      </c>
      <c r="H711" s="62">
        <v>1</v>
      </c>
      <c r="I711" s="62">
        <v>1</v>
      </c>
      <c r="K711" s="11">
        <f t="shared" si="39"/>
        <v>904881.3</v>
      </c>
      <c r="L711" s="11">
        <f t="shared" si="37"/>
        <v>0</v>
      </c>
      <c r="M711" s="11">
        <f t="shared" si="38"/>
        <v>0</v>
      </c>
      <c r="N711" s="12">
        <f t="shared" si="40"/>
        <v>0.2159375</v>
      </c>
      <c r="O711" s="12">
        <f t="shared" si="41"/>
        <v>0.17153497497725206</v>
      </c>
    </row>
    <row r="712" spans="1:15">
      <c r="A712" s="60">
        <v>45905</v>
      </c>
      <c r="B712">
        <f>VLOOKUP(A712,'BADI SID DATA'!A:B,2,0)</f>
        <v>158</v>
      </c>
      <c r="C712" s="61">
        <v>6471.7</v>
      </c>
      <c r="D712">
        <v>5.4</v>
      </c>
      <c r="H712" s="62">
        <v>1</v>
      </c>
      <c r="I712" s="62">
        <v>1</v>
      </c>
      <c r="K712" s="11">
        <f t="shared" si="39"/>
        <v>911353</v>
      </c>
      <c r="L712" s="11">
        <f t="shared" si="37"/>
        <v>0</v>
      </c>
      <c r="M712" s="11">
        <f t="shared" si="38"/>
        <v>0</v>
      </c>
      <c r="N712" s="12">
        <f t="shared" si="40"/>
        <v>0.19261011904761904</v>
      </c>
      <c r="O712" s="12">
        <f t="shared" si="41"/>
        <v>0.17166836196503918</v>
      </c>
    </row>
    <row r="713" spans="1:15">
      <c r="A713" s="60">
        <v>45906</v>
      </c>
      <c r="B713">
        <f>VLOOKUP(A713,'BADI SID DATA'!A:B,2,0)</f>
        <v>159</v>
      </c>
      <c r="C713" s="61">
        <v>7741.9</v>
      </c>
      <c r="D713">
        <v>6.32</v>
      </c>
      <c r="H713" s="62">
        <v>1</v>
      </c>
      <c r="I713" s="62">
        <v>1</v>
      </c>
      <c r="K713" s="11">
        <f t="shared" si="39"/>
        <v>919094.9</v>
      </c>
      <c r="L713" s="11">
        <f t="shared" si="37"/>
        <v>0</v>
      </c>
      <c r="M713" s="11">
        <f t="shared" si="38"/>
        <v>0</v>
      </c>
      <c r="N713" s="12">
        <f t="shared" si="40"/>
        <v>0.23041369047619045</v>
      </c>
      <c r="O713" s="12">
        <f t="shared" si="41"/>
        <v>0.17203782943995208</v>
      </c>
    </row>
    <row r="714" spans="1:15">
      <c r="A714" s="60">
        <v>45907</v>
      </c>
      <c r="B714">
        <f>VLOOKUP(A714,'BADI SID DATA'!A:B,2,0)</f>
        <v>160</v>
      </c>
      <c r="C714" s="61">
        <v>7029.8000000000011</v>
      </c>
      <c r="D714">
        <v>5.85</v>
      </c>
      <c r="H714" s="62">
        <v>1</v>
      </c>
      <c r="I714" s="62">
        <v>0.96944444444444433</v>
      </c>
      <c r="K714" s="11">
        <f t="shared" si="39"/>
        <v>926124.70000000007</v>
      </c>
      <c r="L714" s="11">
        <f t="shared" si="37"/>
        <v>0</v>
      </c>
      <c r="M714" s="11">
        <f t="shared" si="38"/>
        <v>0</v>
      </c>
      <c r="N714" s="12">
        <f t="shared" si="40"/>
        <v>0.20922023809523813</v>
      </c>
      <c r="O714" s="12">
        <f t="shared" si="41"/>
        <v>0.17227021949404764</v>
      </c>
    </row>
    <row r="715" spans="1:15">
      <c r="A715" s="60">
        <v>45908</v>
      </c>
      <c r="B715">
        <f>VLOOKUP(A715,'BADI SID DATA'!A:B,2,0)</f>
        <v>161</v>
      </c>
      <c r="C715" s="61">
        <v>7847.7999999999993</v>
      </c>
      <c r="D715">
        <v>6.26</v>
      </c>
      <c r="H715" s="62">
        <v>1</v>
      </c>
      <c r="I715" s="62">
        <v>1</v>
      </c>
      <c r="K715" s="11">
        <f t="shared" si="39"/>
        <v>933972.50000000012</v>
      </c>
      <c r="L715" s="11">
        <f t="shared" si="37"/>
        <v>0</v>
      </c>
      <c r="M715" s="11">
        <f t="shared" si="38"/>
        <v>0</v>
      </c>
      <c r="N715" s="12">
        <f t="shared" si="40"/>
        <v>0.23356547619047616</v>
      </c>
      <c r="O715" s="12">
        <f t="shared" si="41"/>
        <v>0.17265093537414969</v>
      </c>
    </row>
    <row r="716" spans="1:15">
      <c r="A716" s="60">
        <v>45909</v>
      </c>
      <c r="B716">
        <f>VLOOKUP(A716,'BADI SID DATA'!A:B,2,0)</f>
        <v>162</v>
      </c>
      <c r="C716" s="61">
        <v>7845.4</v>
      </c>
      <c r="D716">
        <v>6.25</v>
      </c>
      <c r="H716" s="62">
        <v>1</v>
      </c>
      <c r="I716" s="62">
        <v>1</v>
      </c>
      <c r="K716" s="11">
        <f t="shared" si="39"/>
        <v>941817.90000000014</v>
      </c>
      <c r="L716" s="11">
        <f t="shared" si="37"/>
        <v>0</v>
      </c>
      <c r="M716" s="11">
        <f t="shared" si="38"/>
        <v>0</v>
      </c>
      <c r="N716" s="12">
        <f t="shared" si="40"/>
        <v>0.2334940476190476</v>
      </c>
      <c r="O716" s="12">
        <f t="shared" si="41"/>
        <v>0.17302651014109349</v>
      </c>
    </row>
    <row r="717" spans="1:15">
      <c r="A717" s="60">
        <v>45910</v>
      </c>
      <c r="B717">
        <f>VLOOKUP(A717,'BADI SID DATA'!A:B,2,0)</f>
        <v>163</v>
      </c>
      <c r="C717" s="61">
        <v>7308</v>
      </c>
      <c r="D717">
        <v>5.59</v>
      </c>
      <c r="H717" s="62">
        <v>1</v>
      </c>
      <c r="I717" s="62">
        <v>1</v>
      </c>
      <c r="K717" s="11">
        <f t="shared" si="39"/>
        <v>949125.90000000014</v>
      </c>
      <c r="L717" s="11">
        <f t="shared" si="37"/>
        <v>0</v>
      </c>
      <c r="M717" s="11">
        <f t="shared" si="38"/>
        <v>0</v>
      </c>
      <c r="N717" s="12">
        <f t="shared" si="40"/>
        <v>0.2175</v>
      </c>
      <c r="O717" s="12">
        <f t="shared" si="41"/>
        <v>0.17329935363716042</v>
      </c>
    </row>
    <row r="718" spans="1:15">
      <c r="A718" s="60">
        <v>45911</v>
      </c>
      <c r="B718">
        <f>VLOOKUP(A718,'BADI SID DATA'!A:B,2,0)</f>
        <v>164</v>
      </c>
      <c r="C718" s="61">
        <v>5842.5999999999995</v>
      </c>
      <c r="D718">
        <v>4.67</v>
      </c>
      <c r="H718" s="62">
        <v>1</v>
      </c>
      <c r="I718" s="62">
        <v>1</v>
      </c>
      <c r="K718" s="11">
        <f t="shared" si="39"/>
        <v>954968.50000000012</v>
      </c>
      <c r="L718" s="11">
        <f t="shared" si="37"/>
        <v>0</v>
      </c>
      <c r="M718" s="11">
        <f t="shared" si="38"/>
        <v>0</v>
      </c>
      <c r="N718" s="12">
        <f t="shared" si="40"/>
        <v>0.17388690476190474</v>
      </c>
      <c r="O718" s="12">
        <f t="shared" si="41"/>
        <v>0.17330293626596982</v>
      </c>
    </row>
    <row r="719" spans="1:15">
      <c r="A719" s="60">
        <v>45912</v>
      </c>
      <c r="B719">
        <f>VLOOKUP(A719,'BADI SID DATA'!A:B,2,0)</f>
        <v>165</v>
      </c>
      <c r="C719" s="61">
        <v>7564</v>
      </c>
      <c r="D719">
        <v>6.13</v>
      </c>
      <c r="H719" s="62">
        <v>1</v>
      </c>
      <c r="I719" s="62">
        <v>1</v>
      </c>
      <c r="K719" s="11">
        <f t="shared" si="39"/>
        <v>962532.50000000012</v>
      </c>
      <c r="L719" s="11">
        <f t="shared" si="37"/>
        <v>0</v>
      </c>
      <c r="M719" s="11">
        <f t="shared" si="38"/>
        <v>0</v>
      </c>
      <c r="N719" s="12">
        <f t="shared" si="40"/>
        <v>0.22511904761904761</v>
      </c>
      <c r="O719" s="12">
        <f t="shared" si="41"/>
        <v>0.17361697330447332</v>
      </c>
    </row>
    <row r="720" spans="1:15">
      <c r="A720" s="60">
        <v>45913</v>
      </c>
      <c r="B720">
        <f>VLOOKUP(A720,'BADI SID DATA'!A:B,2,0)</f>
        <v>166</v>
      </c>
      <c r="C720" s="61">
        <v>7528.6</v>
      </c>
      <c r="D720">
        <v>5.99</v>
      </c>
      <c r="H720" s="62">
        <v>1</v>
      </c>
      <c r="I720" s="62">
        <v>1</v>
      </c>
      <c r="K720" s="11">
        <f t="shared" si="39"/>
        <v>970061.10000000009</v>
      </c>
      <c r="L720" s="11">
        <f t="shared" si="37"/>
        <v>0</v>
      </c>
      <c r="M720" s="11">
        <f t="shared" si="38"/>
        <v>0</v>
      </c>
      <c r="N720" s="12">
        <f t="shared" si="40"/>
        <v>0.2240654761904762</v>
      </c>
      <c r="O720" s="12">
        <f t="shared" si="41"/>
        <v>0.17392087994836491</v>
      </c>
    </row>
    <row r="721" spans="1:15">
      <c r="A721" s="60">
        <v>45914</v>
      </c>
      <c r="B721">
        <f>VLOOKUP(A721,'BADI SID DATA'!A:B,2,0)</f>
        <v>167</v>
      </c>
      <c r="C721" s="61">
        <v>7171.9000000000005</v>
      </c>
      <c r="D721">
        <v>5.73</v>
      </c>
      <c r="H721" s="62">
        <v>1</v>
      </c>
      <c r="I721" s="62">
        <v>1</v>
      </c>
      <c r="K721" s="11">
        <f t="shared" si="39"/>
        <v>977233.00000000012</v>
      </c>
      <c r="L721" s="11">
        <f t="shared" si="37"/>
        <v>0</v>
      </c>
      <c r="M721" s="11">
        <f t="shared" si="38"/>
        <v>0</v>
      </c>
      <c r="N721" s="12">
        <f t="shared" si="40"/>
        <v>0.21344940476190477</v>
      </c>
      <c r="O721" s="12">
        <f t="shared" si="41"/>
        <v>0.1741575777017394</v>
      </c>
    </row>
    <row r="722" spans="1:15">
      <c r="A722" s="60">
        <v>45915</v>
      </c>
      <c r="B722">
        <f>VLOOKUP(A722,'BADI SID DATA'!A:B,2,0)</f>
        <v>168</v>
      </c>
      <c r="C722" s="61">
        <v>7562.6</v>
      </c>
      <c r="D722">
        <v>6.14</v>
      </c>
      <c r="H722" s="62">
        <v>1</v>
      </c>
      <c r="I722" s="62">
        <v>1</v>
      </c>
      <c r="K722" s="11">
        <f t="shared" si="39"/>
        <v>984795.60000000009</v>
      </c>
      <c r="L722" s="11">
        <f t="shared" si="37"/>
        <v>0</v>
      </c>
      <c r="M722" s="11">
        <f t="shared" si="38"/>
        <v>0</v>
      </c>
      <c r="N722" s="12">
        <f t="shared" si="40"/>
        <v>0.22507738095238097</v>
      </c>
      <c r="O722" s="12">
        <f t="shared" si="41"/>
        <v>0.1744606717687075</v>
      </c>
    </row>
    <row r="723" spans="1:15">
      <c r="A723" s="60">
        <v>45916</v>
      </c>
      <c r="B723">
        <f>VLOOKUP(A723,'BADI SID DATA'!A:B,2,0)</f>
        <v>169</v>
      </c>
      <c r="C723" s="61">
        <v>5927</v>
      </c>
      <c r="D723">
        <v>4.47</v>
      </c>
      <c r="H723" s="62">
        <v>1</v>
      </c>
      <c r="I723" s="62">
        <v>1</v>
      </c>
      <c r="K723" s="11">
        <f t="shared" si="39"/>
        <v>990722.60000000009</v>
      </c>
      <c r="L723" s="11">
        <f t="shared" si="37"/>
        <v>0</v>
      </c>
      <c r="M723" s="11">
        <f t="shared" si="38"/>
        <v>0</v>
      </c>
      <c r="N723" s="12">
        <f t="shared" si="40"/>
        <v>0.17639880952380951</v>
      </c>
      <c r="O723" s="12">
        <f t="shared" si="41"/>
        <v>0.17447214003944775</v>
      </c>
    </row>
    <row r="724" spans="1:15">
      <c r="A724" s="60">
        <v>45917</v>
      </c>
      <c r="B724">
        <f>VLOOKUP(A724,'BADI SID DATA'!A:B,2,0)</f>
        <v>170</v>
      </c>
      <c r="C724" s="61">
        <v>3539.2</v>
      </c>
      <c r="D724">
        <v>2.5</v>
      </c>
      <c r="H724" s="62">
        <v>1</v>
      </c>
      <c r="I724" s="62">
        <v>1</v>
      </c>
      <c r="K724" s="11">
        <f t="shared" si="39"/>
        <v>994261.8</v>
      </c>
      <c r="L724" s="11">
        <f t="shared" si="37"/>
        <v>0</v>
      </c>
      <c r="M724" s="11">
        <f t="shared" si="38"/>
        <v>0</v>
      </c>
      <c r="N724" s="12">
        <f t="shared" si="40"/>
        <v>0.10533333333333333</v>
      </c>
      <c r="O724" s="12">
        <f t="shared" si="41"/>
        <v>0.1740654411764706</v>
      </c>
    </row>
    <row r="725" spans="1:15">
      <c r="A725" s="60">
        <v>45918</v>
      </c>
      <c r="B725">
        <f>VLOOKUP(A725,'BADI SID DATA'!A:B,2,0)</f>
        <v>171</v>
      </c>
      <c r="C725" s="61">
        <v>6971.9000000000005</v>
      </c>
      <c r="D725">
        <v>5.52</v>
      </c>
      <c r="H725" s="62">
        <v>1</v>
      </c>
      <c r="I725" s="62">
        <v>1</v>
      </c>
      <c r="K725" s="11">
        <f t="shared" si="39"/>
        <v>1001233.7000000001</v>
      </c>
      <c r="L725" s="11">
        <f t="shared" si="37"/>
        <v>0</v>
      </c>
      <c r="M725" s="11">
        <f t="shared" si="38"/>
        <v>0</v>
      </c>
      <c r="N725" s="12">
        <f t="shared" si="40"/>
        <v>0.20749702380952384</v>
      </c>
      <c r="O725" s="12">
        <f t="shared" si="41"/>
        <v>0.17426094750765805</v>
      </c>
    </row>
    <row r="726" spans="1:15">
      <c r="A726" s="60">
        <v>45919</v>
      </c>
      <c r="B726">
        <f>VLOOKUP(A726,'BADI SID DATA'!A:B,2,0)</f>
        <v>172</v>
      </c>
      <c r="C726" s="61">
        <v>7686.2000000000007</v>
      </c>
      <c r="D726">
        <v>6.14</v>
      </c>
      <c r="H726" s="62">
        <v>1</v>
      </c>
      <c r="I726" s="62">
        <v>1</v>
      </c>
      <c r="K726" s="11">
        <f t="shared" si="39"/>
        <v>1008919.9</v>
      </c>
      <c r="L726" s="11">
        <f t="shared" si="37"/>
        <v>0</v>
      </c>
      <c r="M726" s="11">
        <f t="shared" si="38"/>
        <v>0</v>
      </c>
      <c r="N726" s="12">
        <f t="shared" si="40"/>
        <v>0.22875595238095239</v>
      </c>
      <c r="O726" s="12">
        <f t="shared" si="41"/>
        <v>0.17457777893133999</v>
      </c>
    </row>
    <row r="727" spans="1:15">
      <c r="A727" s="60">
        <v>45920</v>
      </c>
      <c r="B727">
        <f>VLOOKUP(A727,'BADI SID DATA'!A:B,2,0)</f>
        <v>173</v>
      </c>
      <c r="C727" s="61">
        <v>7590.5</v>
      </c>
      <c r="D727">
        <v>6.16</v>
      </c>
      <c r="H727" s="62">
        <v>1</v>
      </c>
      <c r="I727" s="62">
        <v>1</v>
      </c>
      <c r="K727" s="11">
        <f t="shared" si="39"/>
        <v>1016510.4</v>
      </c>
      <c r="L727" s="11">
        <f t="shared" si="37"/>
        <v>0</v>
      </c>
      <c r="M727" s="11">
        <f t="shared" si="38"/>
        <v>0</v>
      </c>
      <c r="N727" s="12">
        <f t="shared" si="40"/>
        <v>0.22590773809523809</v>
      </c>
      <c r="O727" s="12">
        <f t="shared" si="41"/>
        <v>0.17487448389760529</v>
      </c>
    </row>
    <row r="728" spans="1:15">
      <c r="A728" s="60">
        <v>45921</v>
      </c>
      <c r="B728">
        <f>VLOOKUP(A728,'BADI SID DATA'!A:B,2,0)</f>
        <v>174</v>
      </c>
      <c r="C728" s="61">
        <v>7416.2000000000007</v>
      </c>
      <c r="D728">
        <v>6.07</v>
      </c>
      <c r="H728" s="62">
        <v>1</v>
      </c>
      <c r="I728" s="62">
        <v>1</v>
      </c>
      <c r="K728" s="11">
        <f t="shared" si="39"/>
        <v>1023926.6</v>
      </c>
      <c r="L728" s="11">
        <f t="shared" si="37"/>
        <v>0</v>
      </c>
      <c r="M728" s="11">
        <f t="shared" si="38"/>
        <v>0</v>
      </c>
      <c r="N728" s="12">
        <f t="shared" si="40"/>
        <v>0.22072023809523811</v>
      </c>
      <c r="O728" s="12">
        <f t="shared" si="41"/>
        <v>0.1751379652435687</v>
      </c>
    </row>
    <row r="729" spans="1:15">
      <c r="A729" s="60">
        <v>45922</v>
      </c>
      <c r="B729">
        <f>VLOOKUP(A729,'BADI SID DATA'!A:B,2,0)</f>
        <v>175</v>
      </c>
      <c r="C729" s="61">
        <v>7504.6</v>
      </c>
      <c r="D729">
        <v>6.15</v>
      </c>
      <c r="H729" s="62">
        <v>1</v>
      </c>
      <c r="I729" s="62">
        <v>0.97777777777777786</v>
      </c>
      <c r="K729" s="11">
        <f t="shared" si="39"/>
        <v>1031431.2</v>
      </c>
      <c r="L729" s="11">
        <f t="shared" si="37"/>
        <v>0</v>
      </c>
      <c r="M729" s="11">
        <f t="shared" si="38"/>
        <v>0</v>
      </c>
      <c r="N729" s="12">
        <f t="shared" si="40"/>
        <v>0.22335119047619048</v>
      </c>
      <c r="O729" s="12">
        <f t="shared" si="41"/>
        <v>0.17541346938775509</v>
      </c>
    </row>
    <row r="730" spans="1:15">
      <c r="A730" s="60">
        <v>45923</v>
      </c>
      <c r="B730">
        <f>VLOOKUP(A730,'BADI SID DATA'!A:B,2,0)</f>
        <v>176</v>
      </c>
      <c r="C730" s="61">
        <v>5636.9</v>
      </c>
      <c r="D730">
        <v>4.33</v>
      </c>
      <c r="H730" s="62">
        <v>1</v>
      </c>
      <c r="I730" s="62">
        <v>1</v>
      </c>
      <c r="K730" s="11">
        <f t="shared" si="39"/>
        <v>1037068.1</v>
      </c>
      <c r="L730" s="11">
        <f t="shared" si="37"/>
        <v>0</v>
      </c>
      <c r="M730" s="11">
        <f t="shared" si="38"/>
        <v>0</v>
      </c>
      <c r="N730" s="12">
        <f t="shared" si="40"/>
        <v>0.16776488095238093</v>
      </c>
      <c r="O730" s="12">
        <f t="shared" si="41"/>
        <v>0.17537001149891773</v>
      </c>
    </row>
    <row r="731" spans="1:15">
      <c r="A731" s="60">
        <v>45924</v>
      </c>
      <c r="B731">
        <f>VLOOKUP(A731,'BADI SID DATA'!A:B,2,0)</f>
        <v>177</v>
      </c>
      <c r="C731" s="61">
        <v>7105.3</v>
      </c>
      <c r="D731">
        <v>5.61</v>
      </c>
      <c r="H731" s="62">
        <v>1</v>
      </c>
      <c r="I731" s="62">
        <v>1</v>
      </c>
      <c r="K731" s="11">
        <f t="shared" si="39"/>
        <v>1044173.4</v>
      </c>
      <c r="L731" s="11">
        <f t="shared" si="37"/>
        <v>0</v>
      </c>
      <c r="M731" s="11">
        <f t="shared" si="38"/>
        <v>0</v>
      </c>
      <c r="N731" s="12">
        <f t="shared" si="40"/>
        <v>0.21146726190476192</v>
      </c>
      <c r="O731" s="12">
        <f t="shared" si="41"/>
        <v>0.17557395076674739</v>
      </c>
    </row>
    <row r="732" spans="1:15">
      <c r="A732" s="60">
        <v>45925</v>
      </c>
      <c r="B732">
        <f>VLOOKUP(A732,'BADI SID DATA'!A:B,2,0)</f>
        <v>178</v>
      </c>
      <c r="C732" s="61">
        <v>5773.7000000000007</v>
      </c>
      <c r="D732">
        <v>4.46</v>
      </c>
      <c r="H732" s="62">
        <v>1</v>
      </c>
      <c r="I732" s="62">
        <v>1</v>
      </c>
      <c r="K732" s="11">
        <f t="shared" si="39"/>
        <v>1049947.1000000001</v>
      </c>
      <c r="L732" s="11">
        <f t="shared" si="37"/>
        <v>0</v>
      </c>
      <c r="M732" s="11">
        <f t="shared" si="38"/>
        <v>0</v>
      </c>
      <c r="N732" s="12">
        <f t="shared" si="40"/>
        <v>0.17183630952380954</v>
      </c>
      <c r="O732" s="12">
        <f t="shared" si="41"/>
        <v>0.17555295278223651</v>
      </c>
    </row>
    <row r="733" spans="1:15">
      <c r="A733" s="60">
        <v>45926</v>
      </c>
      <c r="B733">
        <f>VLOOKUP(A733,'BADI SID DATA'!A:B,2,0)</f>
        <v>179</v>
      </c>
      <c r="C733" s="61">
        <v>7633.3000000000011</v>
      </c>
      <c r="D733">
        <v>6.09</v>
      </c>
      <c r="H733" s="62">
        <v>1</v>
      </c>
      <c r="I733" s="62">
        <v>1</v>
      </c>
      <c r="K733" s="11">
        <f t="shared" si="39"/>
        <v>1057580.4000000001</v>
      </c>
      <c r="L733" s="11">
        <f t="shared" si="37"/>
        <v>0</v>
      </c>
      <c r="M733" s="11">
        <f t="shared" si="38"/>
        <v>0</v>
      </c>
      <c r="N733" s="12">
        <f t="shared" si="40"/>
        <v>0.22718154761904766</v>
      </c>
      <c r="O733" s="12">
        <f t="shared" si="41"/>
        <v>0.17584138068635277</v>
      </c>
    </row>
    <row r="734" spans="1:15">
      <c r="A734" s="60">
        <v>45927</v>
      </c>
      <c r="B734">
        <f>VLOOKUP(A734,'BADI SID DATA'!A:B,2,0)</f>
        <v>180</v>
      </c>
      <c r="C734" s="61">
        <v>6894.3</v>
      </c>
      <c r="D734">
        <v>5.42</v>
      </c>
      <c r="H734" s="62">
        <v>1</v>
      </c>
      <c r="I734" s="62">
        <v>1</v>
      </c>
      <c r="K734" s="11">
        <f t="shared" si="39"/>
        <v>1064474.7000000002</v>
      </c>
      <c r="L734" s="11">
        <f t="shared" si="37"/>
        <v>0</v>
      </c>
      <c r="M734" s="11">
        <f t="shared" si="38"/>
        <v>0</v>
      </c>
      <c r="N734" s="12">
        <f t="shared" si="40"/>
        <v>0.20518749999999999</v>
      </c>
      <c r="O734" s="12">
        <f t="shared" si="41"/>
        <v>0.17600441468253972</v>
      </c>
    </row>
    <row r="735" spans="1:15">
      <c r="A735" s="60">
        <v>45928</v>
      </c>
      <c r="B735">
        <f>VLOOKUP(A735,'BADI SID DATA'!A:B,2,0)</f>
        <v>181</v>
      </c>
      <c r="C735" s="61">
        <v>6727.2999999999993</v>
      </c>
      <c r="D735">
        <v>5.51</v>
      </c>
      <c r="H735" s="62">
        <v>1</v>
      </c>
      <c r="I735" s="62">
        <v>1</v>
      </c>
      <c r="K735" s="11">
        <f t="shared" si="39"/>
        <v>1071202.0000000002</v>
      </c>
      <c r="L735" s="11">
        <f t="shared" si="37"/>
        <v>0</v>
      </c>
      <c r="M735" s="11">
        <f t="shared" si="38"/>
        <v>0</v>
      </c>
      <c r="N735" s="12">
        <f t="shared" si="40"/>
        <v>0.20021726190476188</v>
      </c>
      <c r="O735" s="12">
        <f t="shared" si="41"/>
        <v>0.17613818731912659</v>
      </c>
    </row>
    <row r="736" spans="1:15">
      <c r="A736" s="60">
        <v>45929</v>
      </c>
      <c r="B736">
        <f>VLOOKUP(A736,'BADI SID DATA'!A:B,2,0)</f>
        <v>182</v>
      </c>
      <c r="C736" s="61">
        <v>7945.3</v>
      </c>
      <c r="D736">
        <v>6.3</v>
      </c>
      <c r="H736" s="62">
        <v>1</v>
      </c>
      <c r="I736" s="62">
        <v>1</v>
      </c>
      <c r="K736" s="11">
        <f t="shared" si="39"/>
        <v>1079147.3000000003</v>
      </c>
      <c r="L736" s="11">
        <f t="shared" si="37"/>
        <v>0</v>
      </c>
      <c r="M736" s="11">
        <f t="shared" si="38"/>
        <v>0</v>
      </c>
      <c r="N736" s="12">
        <f t="shared" si="40"/>
        <v>0.23646726190476192</v>
      </c>
      <c r="O736" s="12">
        <f t="shared" si="41"/>
        <v>0.1764696657509158</v>
      </c>
    </row>
    <row r="737" spans="1:15">
      <c r="A737" s="60">
        <v>45930</v>
      </c>
      <c r="B737">
        <f>VLOOKUP(A737,'BADI SID DATA'!A:B,2,0)</f>
        <v>183</v>
      </c>
      <c r="C737" s="61">
        <v>7622.6000000000013</v>
      </c>
      <c r="D737">
        <v>6.05</v>
      </c>
      <c r="H737" s="62">
        <v>1</v>
      </c>
      <c r="I737" s="62">
        <v>1</v>
      </c>
      <c r="K737" s="11">
        <f t="shared" si="39"/>
        <v>1086769.9000000004</v>
      </c>
      <c r="L737" s="11">
        <f t="shared" si="37"/>
        <v>0</v>
      </c>
      <c r="M737" s="11">
        <f t="shared" si="38"/>
        <v>0</v>
      </c>
      <c r="N737" s="12">
        <f t="shared" si="40"/>
        <v>0.22686309523809528</v>
      </c>
      <c r="O737" s="12">
        <f t="shared" si="41"/>
        <v>0.17674503968253974</v>
      </c>
    </row>
    <row r="738" spans="1:15">
      <c r="A738" s="60">
        <v>45931</v>
      </c>
      <c r="B738">
        <f>VLOOKUP(A738,'BADI SID DATA'!A:B,2,0)</f>
        <v>184</v>
      </c>
      <c r="C738" s="61">
        <v>7686</v>
      </c>
      <c r="D738">
        <v>6.16</v>
      </c>
      <c r="H738" s="62">
        <v>1</v>
      </c>
      <c r="I738" s="62">
        <v>1</v>
      </c>
      <c r="K738" s="11">
        <f t="shared" si="39"/>
        <v>1094455.9000000004</v>
      </c>
      <c r="L738" s="11">
        <f t="shared" si="37"/>
        <v>0</v>
      </c>
      <c r="M738" s="11">
        <f t="shared" si="38"/>
        <v>0</v>
      </c>
      <c r="N738" s="12">
        <f t="shared" si="40"/>
        <v>0.22875000000000001</v>
      </c>
      <c r="O738" s="12">
        <f t="shared" si="41"/>
        <v>0.17702767533643898</v>
      </c>
    </row>
    <row r="739" spans="1:15">
      <c r="A739" s="60">
        <v>45932</v>
      </c>
      <c r="B739">
        <f>VLOOKUP(A739,'BADI SID DATA'!A:B,2,0)</f>
        <v>185</v>
      </c>
      <c r="C739" s="61">
        <v>6481.3</v>
      </c>
      <c r="D739">
        <v>5.1100000000000003</v>
      </c>
      <c r="H739" s="62">
        <v>1</v>
      </c>
      <c r="I739" s="62">
        <v>1</v>
      </c>
      <c r="K739" s="11">
        <f t="shared" si="39"/>
        <v>1100937.2000000004</v>
      </c>
      <c r="L739" s="11">
        <f t="shared" si="37"/>
        <v>0</v>
      </c>
      <c r="M739" s="11">
        <f t="shared" si="38"/>
        <v>0</v>
      </c>
      <c r="N739" s="12">
        <f t="shared" si="40"/>
        <v>0.19289583333333335</v>
      </c>
      <c r="O739" s="12">
        <f t="shared" si="41"/>
        <v>0.17711344916344923</v>
      </c>
    </row>
    <row r="740" spans="1:15">
      <c r="A740" s="60">
        <v>45933</v>
      </c>
      <c r="B740">
        <f>VLOOKUP(A740,'BADI SID DATA'!A:B,2,0)</f>
        <v>186</v>
      </c>
      <c r="C740" s="61">
        <v>6774.7</v>
      </c>
      <c r="D740">
        <v>5.4</v>
      </c>
      <c r="H740" s="62">
        <v>1</v>
      </c>
      <c r="I740" s="62">
        <v>1</v>
      </c>
      <c r="K740" s="11">
        <f t="shared" si="39"/>
        <v>1107711.9000000004</v>
      </c>
      <c r="L740" s="11">
        <f t="shared" si="37"/>
        <v>0</v>
      </c>
      <c r="M740" s="11">
        <f t="shared" si="38"/>
        <v>0</v>
      </c>
      <c r="N740" s="12">
        <f t="shared" si="40"/>
        <v>0.20162797619047618</v>
      </c>
      <c r="O740" s="12">
        <f t="shared" si="41"/>
        <v>0.17724524769585259</v>
      </c>
    </row>
    <row r="741" spans="1:15">
      <c r="A741" s="60">
        <v>45934</v>
      </c>
      <c r="B741">
        <f>VLOOKUP(A741,'BADI SID DATA'!A:B,2,0)</f>
        <v>187</v>
      </c>
      <c r="C741" s="61">
        <v>5155.1000000000004</v>
      </c>
      <c r="D741">
        <v>3.96</v>
      </c>
      <c r="H741" s="62">
        <v>1</v>
      </c>
      <c r="I741" s="62">
        <v>1</v>
      </c>
      <c r="K741" s="11">
        <f t="shared" si="39"/>
        <v>1112867.0000000005</v>
      </c>
      <c r="L741" s="11">
        <f t="shared" si="37"/>
        <v>0</v>
      </c>
      <c r="M741" s="11">
        <f t="shared" si="38"/>
        <v>0</v>
      </c>
      <c r="N741" s="12">
        <f t="shared" si="40"/>
        <v>0.15342559523809524</v>
      </c>
      <c r="O741" s="12">
        <f t="shared" si="41"/>
        <v>0.17711786987522288</v>
      </c>
    </row>
    <row r="742" spans="1:15">
      <c r="A742" s="60">
        <v>45935</v>
      </c>
      <c r="B742">
        <f>VLOOKUP(A742,'BADI SID DATA'!A:B,2,0)</f>
        <v>188</v>
      </c>
      <c r="C742" s="61">
        <v>6733.9000000000005</v>
      </c>
      <c r="D742">
        <v>5.51</v>
      </c>
      <c r="H742" s="62">
        <v>1</v>
      </c>
      <c r="I742" s="62">
        <v>1</v>
      </c>
      <c r="K742" s="11">
        <f t="shared" si="39"/>
        <v>1119600.9000000004</v>
      </c>
      <c r="L742" s="11">
        <f t="shared" si="37"/>
        <v>0</v>
      </c>
      <c r="M742" s="11">
        <f t="shared" si="38"/>
        <v>0</v>
      </c>
      <c r="N742" s="12">
        <f t="shared" si="40"/>
        <v>0.20041369047619048</v>
      </c>
      <c r="O742" s="12">
        <f t="shared" si="41"/>
        <v>0.17724178381458972</v>
      </c>
    </row>
    <row r="743" spans="1:15">
      <c r="A743" s="60">
        <v>45936</v>
      </c>
      <c r="B743">
        <f>VLOOKUP(A743,'BADI SID DATA'!A:B,2,0)</f>
        <v>189</v>
      </c>
      <c r="C743" s="61">
        <v>7556.4000000000005</v>
      </c>
      <c r="D743">
        <v>6.08</v>
      </c>
      <c r="H743" s="62">
        <v>1</v>
      </c>
      <c r="I743" s="62">
        <v>1</v>
      </c>
      <c r="K743" s="11">
        <f t="shared" si="39"/>
        <v>1127157.3000000003</v>
      </c>
      <c r="L743" s="11">
        <f t="shared" si="37"/>
        <v>0</v>
      </c>
      <c r="M743" s="11">
        <f t="shared" si="38"/>
        <v>0</v>
      </c>
      <c r="N743" s="12">
        <f t="shared" si="40"/>
        <v>0.22489285714285717</v>
      </c>
      <c r="O743" s="12">
        <f t="shared" si="41"/>
        <v>0.17749390589569167</v>
      </c>
    </row>
    <row r="744" spans="1:15">
      <c r="A744" s="60">
        <v>45937</v>
      </c>
      <c r="B744">
        <f>VLOOKUP(A744,'BADI SID DATA'!A:B,2,0)</f>
        <v>190</v>
      </c>
      <c r="C744" s="61">
        <v>7407.7</v>
      </c>
      <c r="D744">
        <v>5.91</v>
      </c>
      <c r="H744" s="62">
        <v>1</v>
      </c>
      <c r="I744" s="62">
        <v>1</v>
      </c>
      <c r="K744" s="11">
        <f t="shared" si="39"/>
        <v>1134565.0000000002</v>
      </c>
      <c r="L744" s="11">
        <f t="shared" si="37"/>
        <v>0</v>
      </c>
      <c r="M744" s="11">
        <f t="shared" si="38"/>
        <v>0</v>
      </c>
      <c r="N744" s="12">
        <f t="shared" si="40"/>
        <v>0.2204672619047619</v>
      </c>
      <c r="O744" s="12">
        <f t="shared" si="41"/>
        <v>0.17772008145363413</v>
      </c>
    </row>
    <row r="745" spans="1:15">
      <c r="A745" s="60">
        <v>45938</v>
      </c>
      <c r="B745">
        <f>VLOOKUP(A745,'BADI SID DATA'!A:B,2,0)</f>
        <v>191</v>
      </c>
      <c r="C745" s="61">
        <v>5548.7</v>
      </c>
      <c r="D745">
        <v>4.3499999999999996</v>
      </c>
      <c r="H745" s="62">
        <v>1</v>
      </c>
      <c r="I745" s="62">
        <v>1</v>
      </c>
      <c r="K745" s="11">
        <f t="shared" si="39"/>
        <v>1140113.7000000002</v>
      </c>
      <c r="L745" s="11">
        <f t="shared" si="37"/>
        <v>0</v>
      </c>
      <c r="M745" s="11">
        <f t="shared" si="38"/>
        <v>0</v>
      </c>
      <c r="N745" s="12">
        <f t="shared" si="40"/>
        <v>0.16513988095238094</v>
      </c>
      <c r="O745" s="12">
        <f t="shared" si="41"/>
        <v>0.17765421652954377</v>
      </c>
    </row>
    <row r="746" spans="1:15">
      <c r="A746" s="60">
        <v>45939</v>
      </c>
      <c r="B746">
        <f>VLOOKUP(A746,'BADI SID DATA'!A:B,2,0)</f>
        <v>192</v>
      </c>
      <c r="C746" s="61">
        <v>5913</v>
      </c>
      <c r="D746">
        <v>4.67</v>
      </c>
      <c r="H746" s="62">
        <v>1</v>
      </c>
      <c r="I746" s="62">
        <v>1</v>
      </c>
      <c r="K746" s="11">
        <f t="shared" si="39"/>
        <v>1146026.7000000002</v>
      </c>
      <c r="L746" s="11">
        <f t="shared" si="37"/>
        <v>0</v>
      </c>
      <c r="M746" s="11">
        <f t="shared" si="38"/>
        <v>0</v>
      </c>
      <c r="N746" s="12">
        <f t="shared" si="40"/>
        <v>0.17598214285714286</v>
      </c>
      <c r="O746" s="12">
        <f t="shared" si="41"/>
        <v>0.17764550781250002</v>
      </c>
    </row>
    <row r="747" spans="1:15">
      <c r="A747" s="60">
        <v>45940</v>
      </c>
      <c r="B747">
        <f>VLOOKUP(A747,'BADI SID DATA'!A:B,2,0)</f>
        <v>193</v>
      </c>
      <c r="C747" s="61">
        <v>5661.9000000000005</v>
      </c>
      <c r="D747">
        <v>4.42</v>
      </c>
      <c r="H747" s="62">
        <v>1</v>
      </c>
      <c r="I747" s="62">
        <v>1</v>
      </c>
      <c r="K747" s="11">
        <f t="shared" si="39"/>
        <v>1151688.6000000001</v>
      </c>
      <c r="L747" s="11">
        <f t="shared" si="37"/>
        <v>0</v>
      </c>
      <c r="M747" s="11">
        <f t="shared" si="38"/>
        <v>0</v>
      </c>
      <c r="N747" s="12">
        <f t="shared" si="40"/>
        <v>0.1685089285714286</v>
      </c>
      <c r="O747" s="12">
        <f t="shared" si="41"/>
        <v>0.17759816802368616</v>
      </c>
    </row>
    <row r="748" spans="1:15">
      <c r="A748" s="60">
        <v>45941</v>
      </c>
      <c r="B748">
        <f>VLOOKUP(A748,'BADI SID DATA'!A:B,2,0)</f>
        <v>194</v>
      </c>
      <c r="C748" s="61">
        <v>4937.7</v>
      </c>
      <c r="D748">
        <v>3.79</v>
      </c>
      <c r="H748" s="62">
        <v>1</v>
      </c>
      <c r="I748" s="62">
        <v>0.97777777777777775</v>
      </c>
      <c r="K748" s="11">
        <f t="shared" si="39"/>
        <v>1156626.3</v>
      </c>
      <c r="L748" s="11">
        <f t="shared" si="37"/>
        <v>0</v>
      </c>
      <c r="M748" s="11">
        <f t="shared" si="38"/>
        <v>0</v>
      </c>
      <c r="N748" s="12">
        <f t="shared" si="40"/>
        <v>0.14695535714285712</v>
      </c>
      <c r="O748" s="12">
        <f t="shared" si="41"/>
        <v>0.17744021539027982</v>
      </c>
    </row>
    <row r="749" spans="1:15">
      <c r="A749" s="60">
        <v>45942</v>
      </c>
      <c r="B749">
        <f>VLOOKUP(A749,'BADI SID DATA'!A:B,2,0)</f>
        <v>195</v>
      </c>
      <c r="C749" s="61">
        <v>7439.8</v>
      </c>
      <c r="D749">
        <v>6.07</v>
      </c>
      <c r="H749" s="62">
        <v>1</v>
      </c>
      <c r="I749" s="62">
        <v>1</v>
      </c>
      <c r="K749" s="11">
        <f t="shared" si="39"/>
        <v>1164066.1000000001</v>
      </c>
      <c r="L749" s="11">
        <f t="shared" ref="L749:L812" si="42">L748+F749</f>
        <v>0</v>
      </c>
      <c r="M749" s="11">
        <f t="shared" ref="M749:M812" si="43">M748+G749</f>
        <v>0</v>
      </c>
      <c r="N749" s="12">
        <f t="shared" si="40"/>
        <v>0.22142261904761906</v>
      </c>
      <c r="O749" s="12">
        <f t="shared" si="41"/>
        <v>0.17766576617826618</v>
      </c>
    </row>
    <row r="750" spans="1:15">
      <c r="A750" s="60">
        <v>45943</v>
      </c>
      <c r="B750">
        <f>VLOOKUP(A750,'BADI SID DATA'!A:B,2,0)</f>
        <v>196</v>
      </c>
      <c r="C750" s="61">
        <v>5411.4</v>
      </c>
      <c r="D750">
        <v>4.24</v>
      </c>
      <c r="H750" s="62">
        <v>1</v>
      </c>
      <c r="I750" s="62">
        <v>1</v>
      </c>
      <c r="K750" s="11">
        <f t="shared" si="39"/>
        <v>1169477.5</v>
      </c>
      <c r="L750" s="11">
        <f t="shared" si="42"/>
        <v>0</v>
      </c>
      <c r="M750" s="11">
        <f t="shared" si="43"/>
        <v>0</v>
      </c>
      <c r="N750" s="12">
        <f t="shared" si="40"/>
        <v>0.16105357142857141</v>
      </c>
      <c r="O750" s="12">
        <f t="shared" si="41"/>
        <v>0.17758101008260446</v>
      </c>
    </row>
    <row r="751" spans="1:15">
      <c r="A751" s="60">
        <v>45944</v>
      </c>
      <c r="B751">
        <f>VLOOKUP(A751,'BADI SID DATA'!A:B,2,0)</f>
        <v>197</v>
      </c>
      <c r="C751" s="61">
        <v>6002.3</v>
      </c>
      <c r="D751">
        <v>4.75</v>
      </c>
      <c r="H751" s="62">
        <v>1</v>
      </c>
      <c r="I751" s="62">
        <v>1</v>
      </c>
      <c r="K751" s="11">
        <f t="shared" si="39"/>
        <v>1175479.8</v>
      </c>
      <c r="L751" s="11">
        <f t="shared" si="42"/>
        <v>0</v>
      </c>
      <c r="M751" s="11">
        <f t="shared" si="43"/>
        <v>0</v>
      </c>
      <c r="N751" s="12">
        <f t="shared" si="40"/>
        <v>0.17863988095238095</v>
      </c>
      <c r="O751" s="12">
        <f t="shared" si="41"/>
        <v>0.17758638506163887</v>
      </c>
    </row>
    <row r="752" spans="1:15">
      <c r="A752" s="60">
        <v>45945</v>
      </c>
      <c r="B752">
        <f>VLOOKUP(A752,'BADI SID DATA'!A:B,2,0)</f>
        <v>198</v>
      </c>
      <c r="C752" s="61">
        <v>6504.5999999999995</v>
      </c>
      <c r="D752">
        <v>5.15</v>
      </c>
      <c r="H752" s="62">
        <v>1</v>
      </c>
      <c r="I752" s="62">
        <v>1</v>
      </c>
      <c r="K752" s="11">
        <f t="shared" si="39"/>
        <v>1181984.4000000001</v>
      </c>
      <c r="L752" s="11">
        <f t="shared" si="42"/>
        <v>0</v>
      </c>
      <c r="M752" s="11">
        <f t="shared" si="43"/>
        <v>0</v>
      </c>
      <c r="N752" s="12">
        <f t="shared" si="40"/>
        <v>0.19358928571428569</v>
      </c>
      <c r="O752" s="12">
        <f t="shared" si="41"/>
        <v>0.17766720779220782</v>
      </c>
    </row>
    <row r="753" spans="1:16">
      <c r="A753" s="60">
        <v>45946</v>
      </c>
      <c r="B753">
        <f>VLOOKUP(A753,'BADI SID DATA'!A:B,2,0)</f>
        <v>199</v>
      </c>
      <c r="C753" s="61">
        <v>1820</v>
      </c>
      <c r="D753">
        <v>1.31</v>
      </c>
      <c r="F753">
        <v>0</v>
      </c>
      <c r="G753">
        <v>0</v>
      </c>
      <c r="H753" s="62">
        <v>1</v>
      </c>
      <c r="I753" s="62">
        <v>1</v>
      </c>
      <c r="K753" s="11">
        <f t="shared" si="39"/>
        <v>1183804.4000000001</v>
      </c>
      <c r="L753" s="11">
        <f t="shared" si="42"/>
        <v>0</v>
      </c>
      <c r="M753" s="11">
        <f t="shared" si="43"/>
        <v>0</v>
      </c>
      <c r="N753" s="12">
        <f t="shared" ref="N753:N816" si="44">C753/(1400*24)</f>
        <v>5.4166666666666669E-2</v>
      </c>
      <c r="O753" s="12">
        <f t="shared" si="41"/>
        <v>0.17704660205790862</v>
      </c>
    </row>
    <row r="754" spans="1:16">
      <c r="A754" s="60">
        <v>45947</v>
      </c>
      <c r="B754">
        <f>VLOOKUP(A754,'BADI SID DATA'!A:B,2,0)</f>
        <v>200</v>
      </c>
      <c r="C754" s="61">
        <v>553</v>
      </c>
      <c r="D754">
        <v>0.43</v>
      </c>
      <c r="F754">
        <v>0</v>
      </c>
      <c r="G754">
        <v>0</v>
      </c>
      <c r="H754" s="62">
        <v>1</v>
      </c>
      <c r="I754" s="62">
        <v>1</v>
      </c>
      <c r="J754" s="62">
        <v>1</v>
      </c>
      <c r="K754" s="11">
        <f>K753+C754</f>
        <v>1184357.4000000001</v>
      </c>
      <c r="L754" s="11">
        <f t="shared" si="42"/>
        <v>0</v>
      </c>
      <c r="M754" s="11">
        <f t="shared" si="43"/>
        <v>0</v>
      </c>
      <c r="N754" s="12">
        <f t="shared" si="44"/>
        <v>1.6458333333333332E-2</v>
      </c>
      <c r="O754" s="12">
        <f t="shared" si="41"/>
        <v>0.17624366071428574</v>
      </c>
      <c r="P754" s="59" t="s">
        <v>92</v>
      </c>
    </row>
    <row r="755" spans="1:16">
      <c r="A755" s="60">
        <v>45948</v>
      </c>
      <c r="B755">
        <f>VLOOKUP(A755,'BADI SID DATA'!A:B,2,0)</f>
        <v>201</v>
      </c>
      <c r="C755" s="61">
        <v>6498</v>
      </c>
      <c r="D755">
        <v>5.35</v>
      </c>
      <c r="F755">
        <v>1195</v>
      </c>
      <c r="H755" s="62">
        <v>1</v>
      </c>
      <c r="I755" s="62">
        <v>1</v>
      </c>
      <c r="J755" s="62">
        <v>1</v>
      </c>
      <c r="K755" s="11">
        <f t="shared" ref="K755:K818" si="45">K754+C755</f>
        <v>1190855.4000000001</v>
      </c>
      <c r="L755" s="11">
        <f t="shared" si="42"/>
        <v>1195</v>
      </c>
      <c r="M755" s="11">
        <f t="shared" si="43"/>
        <v>0</v>
      </c>
      <c r="N755" s="12">
        <f t="shared" si="44"/>
        <v>0.19339285714285714</v>
      </c>
      <c r="O755" s="12">
        <f t="shared" si="41"/>
        <v>0.17632898009950251</v>
      </c>
    </row>
    <row r="756" spans="1:16">
      <c r="A756" s="60">
        <v>45949</v>
      </c>
      <c r="B756">
        <f>VLOOKUP(A756,'BADI SID DATA'!A:B,2,0)</f>
        <v>202</v>
      </c>
      <c r="C756" s="61">
        <v>4414</v>
      </c>
      <c r="D756">
        <v>3.42</v>
      </c>
      <c r="F756">
        <v>0</v>
      </c>
      <c r="G756">
        <v>0</v>
      </c>
      <c r="H756" s="62">
        <v>1</v>
      </c>
      <c r="I756" s="62">
        <v>1</v>
      </c>
      <c r="J756" s="62">
        <v>1</v>
      </c>
      <c r="K756" s="11">
        <f t="shared" si="45"/>
        <v>1195269.4000000001</v>
      </c>
      <c r="L756" s="11">
        <f t="shared" si="42"/>
        <v>1195</v>
      </c>
      <c r="M756" s="11">
        <f t="shared" si="43"/>
        <v>0</v>
      </c>
      <c r="N756" s="12">
        <f t="shared" si="44"/>
        <v>0.13136904761904761</v>
      </c>
      <c r="O756" s="12">
        <f t="shared" si="41"/>
        <v>0.17610640617633194</v>
      </c>
      <c r="P756" s="59" t="s">
        <v>93</v>
      </c>
    </row>
    <row r="757" spans="1:16">
      <c r="A757" s="60">
        <v>45950</v>
      </c>
      <c r="B757">
        <f>VLOOKUP(A757,'BADI SID DATA'!A:B,2,0)</f>
        <v>203</v>
      </c>
      <c r="C757" s="61">
        <v>6357</v>
      </c>
      <c r="D757">
        <v>5.16</v>
      </c>
      <c r="F757">
        <v>1202</v>
      </c>
      <c r="H757" s="62">
        <v>1</v>
      </c>
      <c r="I757" s="62">
        <v>1</v>
      </c>
      <c r="J757" s="62">
        <v>1</v>
      </c>
      <c r="K757" s="11">
        <f t="shared" si="45"/>
        <v>1201626.4000000001</v>
      </c>
      <c r="L757" s="11">
        <f t="shared" si="42"/>
        <v>2397</v>
      </c>
      <c r="M757" s="11">
        <f t="shared" si="43"/>
        <v>0</v>
      </c>
      <c r="N757" s="12">
        <f t="shared" si="44"/>
        <v>0.18919642857142857</v>
      </c>
      <c r="O757" s="12">
        <f t="shared" si="41"/>
        <v>0.17617088904527331</v>
      </c>
    </row>
    <row r="758" spans="1:16">
      <c r="A758" s="60">
        <v>45951</v>
      </c>
      <c r="B758">
        <f>VLOOKUP(A758,'BADI SID DATA'!A:B,2,0)</f>
        <v>204</v>
      </c>
      <c r="C758" s="61">
        <v>7048</v>
      </c>
      <c r="D758">
        <v>5.67</v>
      </c>
      <c r="E758">
        <v>1110</v>
      </c>
      <c r="F758">
        <v>1390</v>
      </c>
      <c r="G758">
        <v>1561</v>
      </c>
      <c r="H758" s="62">
        <v>1</v>
      </c>
      <c r="I758" s="62">
        <v>1</v>
      </c>
      <c r="J758" s="62">
        <v>1</v>
      </c>
      <c r="K758" s="11">
        <f t="shared" si="45"/>
        <v>1208674.4000000001</v>
      </c>
      <c r="L758" s="11">
        <f>F758</f>
        <v>1390</v>
      </c>
      <c r="M758" s="11">
        <f t="shared" si="43"/>
        <v>1561</v>
      </c>
      <c r="N758" s="12">
        <f t="shared" si="44"/>
        <v>0.20976190476190476</v>
      </c>
      <c r="O758" s="12">
        <f t="shared" si="41"/>
        <v>0.17633555088702149</v>
      </c>
    </row>
    <row r="759" spans="1:16">
      <c r="A759" s="60">
        <v>45952</v>
      </c>
      <c r="B759">
        <f>VLOOKUP(A759,'BADI SID DATA'!A:B,2,0)</f>
        <v>205</v>
      </c>
      <c r="C759" s="61">
        <v>2053</v>
      </c>
      <c r="D759">
        <v>2.64</v>
      </c>
      <c r="E759">
        <v>554</v>
      </c>
      <c r="F759">
        <v>436</v>
      </c>
      <c r="G759">
        <v>557</v>
      </c>
      <c r="H759" s="62">
        <v>1</v>
      </c>
      <c r="I759" s="62">
        <v>1</v>
      </c>
      <c r="J759" s="62">
        <v>1</v>
      </c>
      <c r="K759" s="11">
        <f t="shared" si="45"/>
        <v>1210727.4000000001</v>
      </c>
      <c r="L759" s="11">
        <f t="shared" si="42"/>
        <v>1826</v>
      </c>
      <c r="M759" s="11">
        <f t="shared" si="43"/>
        <v>2118</v>
      </c>
      <c r="N759" s="12">
        <f t="shared" si="44"/>
        <v>6.1101190476190476E-2</v>
      </c>
      <c r="O759" s="12">
        <f t="shared" si="41"/>
        <v>0.17577343205574916</v>
      </c>
    </row>
    <row r="760" spans="1:16">
      <c r="A760" s="60">
        <v>45953</v>
      </c>
      <c r="B760">
        <f>VLOOKUP(A760,'BADI SID DATA'!A:B,2,0)</f>
        <v>206</v>
      </c>
      <c r="C760" s="61">
        <v>2706</v>
      </c>
      <c r="D760">
        <v>2</v>
      </c>
      <c r="E760">
        <v>548</v>
      </c>
      <c r="F760">
        <v>270</v>
      </c>
      <c r="G760">
        <v>422</v>
      </c>
      <c r="H760" s="62">
        <v>1</v>
      </c>
      <c r="I760" s="62">
        <v>1</v>
      </c>
      <c r="J760" s="62">
        <v>1</v>
      </c>
      <c r="K760" s="11">
        <f t="shared" si="45"/>
        <v>1213433.4000000001</v>
      </c>
      <c r="L760" s="11">
        <f t="shared" si="42"/>
        <v>2096</v>
      </c>
      <c r="M760" s="11">
        <f t="shared" si="43"/>
        <v>2540</v>
      </c>
      <c r="N760" s="12">
        <f t="shared" si="44"/>
        <v>8.053571428571428E-2</v>
      </c>
      <c r="O760" s="12">
        <f t="shared" si="41"/>
        <v>0.17531111303744801</v>
      </c>
      <c r="P760" s="59" t="s">
        <v>97</v>
      </c>
    </row>
    <row r="761" spans="1:16">
      <c r="A761" s="60">
        <v>45954</v>
      </c>
      <c r="B761">
        <f>VLOOKUP(A761,'BADI SID DATA'!A:B,2,0)</f>
        <v>207</v>
      </c>
      <c r="C761" s="61">
        <v>3846</v>
      </c>
      <c r="D761">
        <v>2.95</v>
      </c>
      <c r="E761">
        <v>749</v>
      </c>
      <c r="F761">
        <v>878</v>
      </c>
      <c r="G761">
        <v>860</v>
      </c>
      <c r="H761" s="62">
        <v>1</v>
      </c>
      <c r="I761" s="62">
        <v>1</v>
      </c>
      <c r="J761" s="62">
        <v>1</v>
      </c>
      <c r="K761" s="11">
        <f t="shared" si="45"/>
        <v>1217279.4000000001</v>
      </c>
      <c r="L761" s="11">
        <f t="shared" si="42"/>
        <v>2974</v>
      </c>
      <c r="M761" s="11">
        <f t="shared" si="43"/>
        <v>3400</v>
      </c>
      <c r="N761" s="12">
        <f t="shared" si="44"/>
        <v>0.11446428571428571</v>
      </c>
      <c r="O761" s="12">
        <f t="shared" si="41"/>
        <v>0.17501716701173226</v>
      </c>
    </row>
    <row r="762" spans="1:16">
      <c r="A762" s="60">
        <v>45955</v>
      </c>
      <c r="B762">
        <f>VLOOKUP(A762,'BADI SID DATA'!A:B,2,0)</f>
        <v>208</v>
      </c>
      <c r="C762" s="61">
        <v>7027</v>
      </c>
      <c r="D762">
        <v>5.9</v>
      </c>
      <c r="E762">
        <v>1131</v>
      </c>
      <c r="F762">
        <v>1490</v>
      </c>
      <c r="G762">
        <v>1499</v>
      </c>
      <c r="H762" s="62">
        <v>1</v>
      </c>
      <c r="I762" s="62">
        <v>1</v>
      </c>
      <c r="J762" s="62">
        <v>1</v>
      </c>
      <c r="K762" s="11">
        <f t="shared" si="45"/>
        <v>1224306.4000000001</v>
      </c>
      <c r="L762" s="11">
        <f t="shared" si="42"/>
        <v>4464</v>
      </c>
      <c r="M762" s="11">
        <f t="shared" si="43"/>
        <v>4899</v>
      </c>
      <c r="N762" s="12">
        <f t="shared" si="44"/>
        <v>0.20913690476190477</v>
      </c>
      <c r="O762" s="12">
        <f t="shared" si="41"/>
        <v>0.17518120421245423</v>
      </c>
    </row>
    <row r="763" spans="1:16">
      <c r="A763" s="60">
        <v>45956</v>
      </c>
      <c r="B763">
        <f>VLOOKUP(A763,'BADI SID DATA'!A:B,2,0)</f>
        <v>209</v>
      </c>
      <c r="C763" s="61">
        <v>5191</v>
      </c>
      <c r="D763">
        <v>4.24</v>
      </c>
      <c r="E763">
        <v>747</v>
      </c>
      <c r="F763">
        <v>1078</v>
      </c>
      <c r="G763">
        <v>1234</v>
      </c>
      <c r="H763" s="62">
        <v>1</v>
      </c>
      <c r="I763" s="62">
        <v>0.98</v>
      </c>
      <c r="J763" s="62">
        <v>1</v>
      </c>
      <c r="K763" s="11">
        <f t="shared" si="45"/>
        <v>1229497.4000000001</v>
      </c>
      <c r="L763" s="11">
        <f t="shared" si="42"/>
        <v>5542</v>
      </c>
      <c r="M763" s="11">
        <f t="shared" si="43"/>
        <v>6133</v>
      </c>
      <c r="N763" s="12">
        <f t="shared" si="44"/>
        <v>0.15449404761904761</v>
      </c>
      <c r="O763" s="12">
        <f t="shared" si="41"/>
        <v>0.17508222260195946</v>
      </c>
      <c r="P763" s="59" t="s">
        <v>97</v>
      </c>
    </row>
    <row r="764" spans="1:16">
      <c r="A764" s="60">
        <v>45957</v>
      </c>
      <c r="B764">
        <f>VLOOKUP(A764,'BADI SID DATA'!A:B,2,0)</f>
        <v>210</v>
      </c>
      <c r="C764" s="61">
        <v>2443</v>
      </c>
      <c r="D764">
        <v>1.79</v>
      </c>
      <c r="E764">
        <v>493</v>
      </c>
      <c r="F764">
        <v>73.400000000000006</v>
      </c>
      <c r="G764">
        <v>222</v>
      </c>
      <c r="H764" s="62">
        <v>1</v>
      </c>
      <c r="I764" s="62">
        <v>0.97</v>
      </c>
      <c r="J764" s="62">
        <v>1</v>
      </c>
      <c r="K764" s="11">
        <f t="shared" si="45"/>
        <v>1231940.4000000001</v>
      </c>
      <c r="L764" s="11">
        <f t="shared" si="42"/>
        <v>5615.4</v>
      </c>
      <c r="M764" s="11">
        <f t="shared" si="43"/>
        <v>6355</v>
      </c>
      <c r="N764" s="12">
        <f t="shared" si="44"/>
        <v>7.2708333333333333E-2</v>
      </c>
      <c r="O764" s="12">
        <f t="shared" si="41"/>
        <v>0.17459472789115649</v>
      </c>
      <c r="P764" s="59" t="s">
        <v>97</v>
      </c>
    </row>
    <row r="765" spans="1:16" ht="112">
      <c r="A765" s="60">
        <v>45958</v>
      </c>
      <c r="B765">
        <f>VLOOKUP(A765,'BADI SID DATA'!A:B,2,0)</f>
        <v>211</v>
      </c>
      <c r="C765" s="61">
        <v>719</v>
      </c>
      <c r="D765">
        <v>4.9400000000000004</v>
      </c>
      <c r="E765">
        <v>388</v>
      </c>
      <c r="F765">
        <v>0</v>
      </c>
      <c r="G765">
        <v>0</v>
      </c>
      <c r="H765" s="62">
        <v>0.35</v>
      </c>
      <c r="I765" s="62">
        <v>0.96</v>
      </c>
      <c r="J765" s="62">
        <v>1</v>
      </c>
      <c r="K765" s="11">
        <f t="shared" si="45"/>
        <v>1232659.4000000001</v>
      </c>
      <c r="L765" s="11">
        <f t="shared" si="42"/>
        <v>5615.4</v>
      </c>
      <c r="M765" s="11">
        <f t="shared" si="43"/>
        <v>6355</v>
      </c>
      <c r="N765" s="12">
        <f t="shared" si="44"/>
        <v>2.1398809523809525E-2</v>
      </c>
      <c r="O765" s="12">
        <f t="shared" si="41"/>
        <v>0.17386868088467616</v>
      </c>
      <c r="P765" s="75" t="s">
        <v>101</v>
      </c>
    </row>
    <row r="766" spans="1:16" ht="64">
      <c r="A766" s="60">
        <v>45959</v>
      </c>
      <c r="B766">
        <f>VLOOKUP(A766,'BADI SID DATA'!A:B,2,0)</f>
        <v>212</v>
      </c>
      <c r="C766" s="61">
        <v>2059</v>
      </c>
      <c r="D766">
        <v>5.17</v>
      </c>
      <c r="E766">
        <v>956</v>
      </c>
      <c r="F766">
        <v>615</v>
      </c>
      <c r="G766">
        <v>561</v>
      </c>
      <c r="H766" s="62">
        <v>0.78</v>
      </c>
      <c r="I766" s="62">
        <v>0.74</v>
      </c>
      <c r="J766" s="62">
        <v>1</v>
      </c>
      <c r="K766" s="11">
        <f t="shared" si="45"/>
        <v>1234718.4000000001</v>
      </c>
      <c r="L766" s="11">
        <f t="shared" si="42"/>
        <v>6230.4</v>
      </c>
      <c r="M766" s="11">
        <f t="shared" si="43"/>
        <v>6916</v>
      </c>
      <c r="N766" s="12">
        <f t="shared" si="44"/>
        <v>6.1279761904761906E-2</v>
      </c>
      <c r="O766" s="12">
        <f t="shared" si="41"/>
        <v>0.17333760107816715</v>
      </c>
      <c r="P766" s="75" t="s">
        <v>102</v>
      </c>
    </row>
    <row r="767" spans="1:16" ht="64">
      <c r="A767" s="60">
        <v>45960</v>
      </c>
      <c r="B767">
        <f>VLOOKUP(A767,'BADI SID DATA'!A:B,2,0)</f>
        <v>213</v>
      </c>
      <c r="C767" s="61">
        <v>0</v>
      </c>
      <c r="D767">
        <v>5.46</v>
      </c>
      <c r="E767">
        <v>0</v>
      </c>
      <c r="F767">
        <v>0</v>
      </c>
      <c r="G767">
        <v>0</v>
      </c>
      <c r="H767" s="62">
        <v>1</v>
      </c>
      <c r="I767" s="62">
        <v>0</v>
      </c>
      <c r="J767" s="62">
        <v>0</v>
      </c>
      <c r="K767" s="11">
        <f t="shared" si="45"/>
        <v>1234718.4000000001</v>
      </c>
      <c r="L767" s="11">
        <f t="shared" si="42"/>
        <v>6230.4</v>
      </c>
      <c r="M767" s="11">
        <f t="shared" si="43"/>
        <v>6916</v>
      </c>
      <c r="N767" s="12">
        <f t="shared" si="44"/>
        <v>0</v>
      </c>
      <c r="O767" s="12">
        <f t="shared" si="41"/>
        <v>0.17252380952380955</v>
      </c>
      <c r="P767" s="75" t="s">
        <v>104</v>
      </c>
    </row>
    <row r="768" spans="1:16" ht="64">
      <c r="A768" s="60">
        <v>45961</v>
      </c>
      <c r="B768">
        <f>VLOOKUP(A768,'BADI SID DATA'!A:B,2,0)</f>
        <v>214</v>
      </c>
      <c r="C768" s="61">
        <v>5547</v>
      </c>
      <c r="D768">
        <v>5.86</v>
      </c>
      <c r="E768">
        <v>1190</v>
      </c>
      <c r="F768">
        <v>1265</v>
      </c>
      <c r="G768">
        <v>1368</v>
      </c>
      <c r="H768" s="62">
        <v>1</v>
      </c>
      <c r="I768" s="62">
        <v>1</v>
      </c>
      <c r="J768" s="62">
        <v>1</v>
      </c>
      <c r="K768" s="11">
        <f t="shared" si="45"/>
        <v>1240265.4000000001</v>
      </c>
      <c r="L768" s="11">
        <f t="shared" si="42"/>
        <v>7495.4</v>
      </c>
      <c r="M768" s="11">
        <f t="shared" si="43"/>
        <v>8284</v>
      </c>
      <c r="N768" s="12">
        <f t="shared" si="44"/>
        <v>0.16508928571428572</v>
      </c>
      <c r="O768" s="12">
        <f t="shared" si="41"/>
        <v>0.17248906875834447</v>
      </c>
      <c r="P768" s="75" t="s">
        <v>107</v>
      </c>
    </row>
    <row r="769" spans="1:16">
      <c r="A769" s="60">
        <v>45962</v>
      </c>
      <c r="B769">
        <f>VLOOKUP(A769,'BADI SID DATA'!A:B,2,0)</f>
        <v>215</v>
      </c>
      <c r="C769" s="61">
        <v>6312</v>
      </c>
      <c r="D769">
        <v>5.82</v>
      </c>
      <c r="E769">
        <v>1126</v>
      </c>
      <c r="F769">
        <v>1407</v>
      </c>
      <c r="G769">
        <v>1423</v>
      </c>
      <c r="H769" s="62">
        <v>1</v>
      </c>
      <c r="I769" s="62">
        <v>1</v>
      </c>
      <c r="J769" s="62">
        <v>1</v>
      </c>
      <c r="K769" s="11">
        <f t="shared" si="45"/>
        <v>1246577.4000000001</v>
      </c>
      <c r="L769" s="11">
        <f t="shared" si="42"/>
        <v>8902.4</v>
      </c>
      <c r="M769" s="11">
        <f t="shared" si="43"/>
        <v>9707</v>
      </c>
      <c r="N769" s="12">
        <f t="shared" si="44"/>
        <v>0.18785714285714286</v>
      </c>
      <c r="O769" s="12">
        <f t="shared" si="41"/>
        <v>0.17256054817275748</v>
      </c>
    </row>
    <row r="770" spans="1:16">
      <c r="A770" s="60">
        <v>45963</v>
      </c>
      <c r="B770">
        <f>VLOOKUP(A770,'BADI SID DATA'!A:B,2,0)</f>
        <v>216</v>
      </c>
      <c r="C770" s="61">
        <v>6868</v>
      </c>
      <c r="D770">
        <v>6.04</v>
      </c>
      <c r="E770">
        <v>1211</v>
      </c>
      <c r="F770">
        <v>1360</v>
      </c>
      <c r="G770">
        <v>1529</v>
      </c>
      <c r="H770" s="62">
        <v>1</v>
      </c>
      <c r="I770" s="62">
        <v>1</v>
      </c>
      <c r="J770" s="62">
        <v>1</v>
      </c>
      <c r="K770" s="11">
        <f t="shared" si="45"/>
        <v>1253445.4000000001</v>
      </c>
      <c r="L770" s="11">
        <f t="shared" si="42"/>
        <v>10262.4</v>
      </c>
      <c r="M770" s="11">
        <f t="shared" si="43"/>
        <v>11236</v>
      </c>
      <c r="N770" s="12">
        <f t="shared" si="44"/>
        <v>0.20440476190476189</v>
      </c>
      <c r="O770" s="12">
        <f t="shared" si="41"/>
        <v>0.17270797508818345</v>
      </c>
    </row>
    <row r="771" spans="1:16" ht="112">
      <c r="A771" s="60">
        <v>45964</v>
      </c>
      <c r="B771">
        <f>VLOOKUP(A771,'BADI SID DATA'!A:B,2,0)</f>
        <v>217</v>
      </c>
      <c r="C771" s="61">
        <v>6928</v>
      </c>
      <c r="D771" s="5">
        <v>6.03</v>
      </c>
      <c r="E771">
        <v>1156</v>
      </c>
      <c r="F771">
        <v>1365</v>
      </c>
      <c r="G771">
        <v>1470</v>
      </c>
      <c r="H771" s="62">
        <v>0.96</v>
      </c>
      <c r="I771" s="62">
        <v>1</v>
      </c>
      <c r="J771" s="62">
        <v>1</v>
      </c>
      <c r="K771" s="11">
        <f t="shared" si="45"/>
        <v>1260373.4000000001</v>
      </c>
      <c r="L771" s="11">
        <f t="shared" si="42"/>
        <v>11627.4</v>
      </c>
      <c r="M771" s="11">
        <f t="shared" si="43"/>
        <v>12706</v>
      </c>
      <c r="N771" s="12">
        <f t="shared" si="44"/>
        <v>0.2061904761904762</v>
      </c>
      <c r="O771" s="12">
        <f t="shared" ref="O771:O834" si="46">K771/(B771*1400*24)</f>
        <v>0.17286227232828616</v>
      </c>
      <c r="P771" s="75" t="s">
        <v>110</v>
      </c>
    </row>
    <row r="772" spans="1:16" ht="112">
      <c r="A772" s="60">
        <v>45965</v>
      </c>
      <c r="B772">
        <f>VLOOKUP(A772,'BADI SID DATA'!A:B,2,0)</f>
        <v>218</v>
      </c>
      <c r="C772" s="61">
        <v>7124</v>
      </c>
      <c r="D772" s="5">
        <v>5.86</v>
      </c>
      <c r="E772">
        <v>1156</v>
      </c>
      <c r="F772">
        <v>1349</v>
      </c>
      <c r="G772">
        <v>1520</v>
      </c>
      <c r="H772" s="62">
        <v>1</v>
      </c>
      <c r="I772" s="62">
        <v>1</v>
      </c>
      <c r="J772" s="62">
        <v>1</v>
      </c>
      <c r="K772" s="11">
        <f t="shared" si="45"/>
        <v>1267497.4000000001</v>
      </c>
      <c r="L772" s="11">
        <f t="shared" si="42"/>
        <v>12976.4</v>
      </c>
      <c r="M772" s="11">
        <f t="shared" si="43"/>
        <v>14226</v>
      </c>
      <c r="N772" s="12">
        <f t="shared" si="44"/>
        <v>0.21202380952380953</v>
      </c>
      <c r="O772" s="12">
        <f t="shared" si="46"/>
        <v>0.17304191240716471</v>
      </c>
      <c r="P772" s="75" t="s">
        <v>109</v>
      </c>
    </row>
    <row r="773" spans="1:16" ht="128">
      <c r="A773" s="60">
        <v>45966</v>
      </c>
      <c r="B773">
        <f>VLOOKUP(A773,'BADI SID DATA'!A:B,2,0)</f>
        <v>219</v>
      </c>
      <c r="C773" s="61">
        <v>6755</v>
      </c>
      <c r="D773" s="5">
        <v>5.67</v>
      </c>
      <c r="E773">
        <v>1102</v>
      </c>
      <c r="F773" s="59">
        <v>1427</v>
      </c>
      <c r="G773">
        <v>1596</v>
      </c>
      <c r="H773" s="62">
        <v>1</v>
      </c>
      <c r="I773" s="62">
        <v>1</v>
      </c>
      <c r="J773" s="62">
        <v>1</v>
      </c>
      <c r="K773" s="11">
        <f t="shared" si="45"/>
        <v>1274252.4000000001</v>
      </c>
      <c r="L773" s="11">
        <f t="shared" si="42"/>
        <v>14403.4</v>
      </c>
      <c r="M773" s="11">
        <f t="shared" si="43"/>
        <v>15822</v>
      </c>
      <c r="N773" s="12">
        <f t="shared" si="44"/>
        <v>0.20104166666666667</v>
      </c>
      <c r="O773" s="12">
        <f t="shared" si="46"/>
        <v>0.17316976516634053</v>
      </c>
      <c r="P773" s="75" t="s">
        <v>108</v>
      </c>
    </row>
    <row r="774" spans="1:16" ht="128">
      <c r="A774" s="60">
        <v>45967</v>
      </c>
      <c r="B774">
        <f>VLOOKUP(A774,'BADI SID DATA'!A:B,2,0)</f>
        <v>220</v>
      </c>
      <c r="C774" s="59">
        <v>6304</v>
      </c>
      <c r="D774" s="5">
        <v>5.67</v>
      </c>
      <c r="E774">
        <v>1157</v>
      </c>
      <c r="F774" s="59">
        <v>1494</v>
      </c>
      <c r="G774" s="59">
        <v>1605</v>
      </c>
      <c r="H774" s="62">
        <v>1</v>
      </c>
      <c r="I774" s="62">
        <v>1</v>
      </c>
      <c r="J774" s="62">
        <v>1</v>
      </c>
      <c r="K774" s="11">
        <f>K773+C774</f>
        <v>1280556.4000000001</v>
      </c>
      <c r="L774" s="11">
        <f t="shared" si="42"/>
        <v>15897.4</v>
      </c>
      <c r="M774" s="11">
        <f t="shared" si="43"/>
        <v>17427</v>
      </c>
      <c r="N774" s="12">
        <f t="shared" si="44"/>
        <v>0.18761904761904763</v>
      </c>
      <c r="O774" s="12">
        <f t="shared" si="46"/>
        <v>0.17323544372294375</v>
      </c>
      <c r="P774" s="75" t="s">
        <v>113</v>
      </c>
    </row>
    <row r="775" spans="1:16">
      <c r="A775" s="60">
        <v>45968</v>
      </c>
      <c r="B775">
        <f>VLOOKUP(A775,'BADI SID DATA'!A:B,2,0)</f>
        <v>221</v>
      </c>
      <c r="C775" s="61">
        <v>6808</v>
      </c>
      <c r="D775" s="5">
        <v>5.74</v>
      </c>
      <c r="E775">
        <v>1160</v>
      </c>
      <c r="F775" s="59">
        <v>1422</v>
      </c>
      <c r="G775" s="59">
        <v>1603</v>
      </c>
      <c r="H775" s="62">
        <v>1</v>
      </c>
      <c r="I775" s="62">
        <v>1</v>
      </c>
      <c r="J775" s="62">
        <v>1</v>
      </c>
      <c r="K775" s="11">
        <f t="shared" si="45"/>
        <v>1287364.4000000001</v>
      </c>
      <c r="L775" s="11">
        <f t="shared" si="42"/>
        <v>17319.400000000001</v>
      </c>
      <c r="M775" s="11">
        <f t="shared" si="43"/>
        <v>19030</v>
      </c>
      <c r="N775" s="12">
        <f t="shared" si="44"/>
        <v>0.20261904761904762</v>
      </c>
      <c r="O775" s="12">
        <f t="shared" si="46"/>
        <v>0.17336840120663652</v>
      </c>
    </row>
    <row r="776" spans="1:16">
      <c r="A776" s="60">
        <v>45969</v>
      </c>
      <c r="B776">
        <f>VLOOKUP(A776,'BADI SID DATA'!A:B,2,0)</f>
        <v>222</v>
      </c>
      <c r="C776" s="61">
        <v>7143</v>
      </c>
      <c r="D776" s="5">
        <v>5.99</v>
      </c>
      <c r="E776">
        <v>1050</v>
      </c>
      <c r="F776">
        <v>1399</v>
      </c>
      <c r="G776">
        <v>1514</v>
      </c>
      <c r="H776" s="62">
        <v>1</v>
      </c>
      <c r="I776" s="62">
        <v>1</v>
      </c>
      <c r="J776" s="62">
        <v>1</v>
      </c>
      <c r="K776" s="11">
        <f t="shared" si="45"/>
        <v>1294507.4000000001</v>
      </c>
      <c r="L776" s="11">
        <f t="shared" si="42"/>
        <v>18718.400000000001</v>
      </c>
      <c r="M776" s="11">
        <f t="shared" si="43"/>
        <v>20544</v>
      </c>
      <c r="N776" s="12">
        <f t="shared" si="44"/>
        <v>0.2125892857142857</v>
      </c>
      <c r="O776" s="12">
        <f t="shared" si="46"/>
        <v>0.17354507185757187</v>
      </c>
    </row>
    <row r="777" spans="1:16">
      <c r="A777" s="60">
        <v>45970</v>
      </c>
      <c r="B777">
        <f>VLOOKUP(A777,'BADI SID DATA'!A:B,2,0)</f>
        <v>223</v>
      </c>
      <c r="C777">
        <v>6278</v>
      </c>
      <c r="D777" s="5">
        <v>5.39</v>
      </c>
      <c r="E777">
        <v>1030</v>
      </c>
      <c r="F777">
        <v>1493</v>
      </c>
      <c r="G777">
        <v>1670</v>
      </c>
      <c r="H777" s="62">
        <v>1</v>
      </c>
      <c r="I777" s="62">
        <v>1</v>
      </c>
      <c r="J777" s="62">
        <v>1</v>
      </c>
      <c r="K777" s="11">
        <f t="shared" si="45"/>
        <v>1300785.4000000001</v>
      </c>
      <c r="L777" s="11">
        <f t="shared" si="42"/>
        <v>20211.400000000001</v>
      </c>
      <c r="M777" s="11">
        <f t="shared" si="43"/>
        <v>22214</v>
      </c>
      <c r="N777" s="12">
        <f t="shared" si="44"/>
        <v>0.18684523809523809</v>
      </c>
      <c r="O777" s="12">
        <f t="shared" si="46"/>
        <v>0.17360471385863765</v>
      </c>
    </row>
    <row r="778" spans="1:16">
      <c r="A778" s="60">
        <v>45971</v>
      </c>
      <c r="B778">
        <f>VLOOKUP(A778,'BADI SID DATA'!A:B,2,0)</f>
        <v>224</v>
      </c>
      <c r="C778" s="61">
        <v>6309</v>
      </c>
      <c r="D778" s="5">
        <v>5.18</v>
      </c>
      <c r="E778">
        <v>1080</v>
      </c>
      <c r="F778">
        <v>1372</v>
      </c>
      <c r="G778">
        <v>1499</v>
      </c>
      <c r="H778" s="62">
        <v>1</v>
      </c>
      <c r="I778" s="62">
        <v>1</v>
      </c>
      <c r="J778" s="62">
        <v>1</v>
      </c>
      <c r="K778" s="11">
        <f t="shared" si="45"/>
        <v>1307094.4000000001</v>
      </c>
      <c r="L778" s="11">
        <f t="shared" si="42"/>
        <v>21583.4</v>
      </c>
      <c r="M778" s="11">
        <f t="shared" si="43"/>
        <v>23713</v>
      </c>
      <c r="N778" s="12">
        <f t="shared" si="44"/>
        <v>0.18776785714285715</v>
      </c>
      <c r="O778" s="12">
        <f t="shared" si="46"/>
        <v>0.17366794217687076</v>
      </c>
    </row>
    <row r="779" spans="1:16">
      <c r="A779" s="60">
        <v>45972</v>
      </c>
      <c r="B779">
        <f>VLOOKUP(A779,'BADI SID DATA'!A:B,2,0)</f>
        <v>225</v>
      </c>
      <c r="C779" s="61">
        <v>7022</v>
      </c>
      <c r="D779" s="5">
        <v>5.81</v>
      </c>
      <c r="E779">
        <v>1060</v>
      </c>
      <c r="F779">
        <v>1352</v>
      </c>
      <c r="G779">
        <v>1499</v>
      </c>
      <c r="H779" s="62">
        <v>1</v>
      </c>
      <c r="I779" s="62">
        <v>1</v>
      </c>
      <c r="J779" s="62">
        <v>1</v>
      </c>
      <c r="K779" s="11">
        <f t="shared" si="45"/>
        <v>1314116.4000000001</v>
      </c>
      <c r="L779" s="11">
        <f t="shared" si="42"/>
        <v>22935.4</v>
      </c>
      <c r="M779" s="11">
        <f t="shared" si="43"/>
        <v>25212</v>
      </c>
      <c r="N779" s="12">
        <f t="shared" si="44"/>
        <v>0.20898809523809525</v>
      </c>
      <c r="O779" s="12">
        <f t="shared" si="46"/>
        <v>0.17382492063492067</v>
      </c>
    </row>
    <row r="780" spans="1:16">
      <c r="A780" s="60">
        <v>45973</v>
      </c>
      <c r="B780">
        <f>VLOOKUP(A780,'BADI SID DATA'!A:B,2,0)</f>
        <v>226</v>
      </c>
      <c r="C780" s="61">
        <v>7098</v>
      </c>
      <c r="D780" s="5">
        <v>5.84</v>
      </c>
      <c r="E780">
        <v>1030</v>
      </c>
      <c r="F780">
        <v>1378</v>
      </c>
      <c r="G780">
        <v>1542</v>
      </c>
      <c r="H780" s="62">
        <v>1</v>
      </c>
      <c r="I780" s="62">
        <v>1</v>
      </c>
      <c r="J780" s="62">
        <v>1</v>
      </c>
      <c r="K780" s="11">
        <f t="shared" si="45"/>
        <v>1321214.4000000001</v>
      </c>
      <c r="L780" s="11">
        <f t="shared" si="42"/>
        <v>24313.4</v>
      </c>
      <c r="M780" s="11">
        <f t="shared" si="43"/>
        <v>26754</v>
      </c>
      <c r="N780" s="12">
        <f t="shared" si="44"/>
        <v>0.21124999999999999</v>
      </c>
      <c r="O780" s="12">
        <f t="shared" si="46"/>
        <v>0.17399051833122631</v>
      </c>
    </row>
    <row r="781" spans="1:16">
      <c r="A781" s="60">
        <v>45974</v>
      </c>
      <c r="B781">
        <f>VLOOKUP(A781,'BADI SID DATA'!A:B,2,0)</f>
        <v>227</v>
      </c>
      <c r="C781" s="61">
        <v>5288</v>
      </c>
      <c r="D781" s="5">
        <v>4.2300000000000004</v>
      </c>
      <c r="E781">
        <v>929</v>
      </c>
      <c r="F781">
        <v>760</v>
      </c>
      <c r="G781">
        <v>888</v>
      </c>
      <c r="H781" s="62">
        <v>1</v>
      </c>
      <c r="I781" s="62">
        <v>1</v>
      </c>
      <c r="J781" s="62">
        <v>1</v>
      </c>
      <c r="K781" s="11">
        <f t="shared" si="45"/>
        <v>1326502.4000000001</v>
      </c>
      <c r="L781" s="11">
        <f t="shared" si="42"/>
        <v>25073.4</v>
      </c>
      <c r="M781" s="11">
        <f t="shared" si="43"/>
        <v>27642</v>
      </c>
      <c r="N781" s="12">
        <f t="shared" si="44"/>
        <v>0.15738095238095237</v>
      </c>
      <c r="O781" s="12">
        <f t="shared" si="46"/>
        <v>0.17391734843717224</v>
      </c>
      <c r="P781" s="59" t="s">
        <v>97</v>
      </c>
    </row>
    <row r="782" spans="1:16">
      <c r="A782" s="60">
        <v>45975</v>
      </c>
      <c r="B782">
        <f>VLOOKUP(A782,'BADI SID DATA'!A:B,2,0)</f>
        <v>228</v>
      </c>
      <c r="C782" s="61">
        <v>5194</v>
      </c>
      <c r="D782" s="5">
        <v>4.26</v>
      </c>
      <c r="E782">
        <v>1123</v>
      </c>
      <c r="F782">
        <v>924</v>
      </c>
      <c r="G782">
        <v>1053</v>
      </c>
      <c r="H782" s="62">
        <v>1</v>
      </c>
      <c r="I782" s="62">
        <v>1</v>
      </c>
      <c r="J782" s="62">
        <v>1</v>
      </c>
      <c r="K782" s="11">
        <f t="shared" si="45"/>
        <v>1331696.4000000001</v>
      </c>
      <c r="L782" s="11">
        <f t="shared" si="42"/>
        <v>25997.4</v>
      </c>
      <c r="M782" s="11">
        <f t="shared" si="43"/>
        <v>28695</v>
      </c>
      <c r="N782" s="12">
        <f t="shared" si="44"/>
        <v>0.15458333333333332</v>
      </c>
      <c r="O782" s="12">
        <f t="shared" si="46"/>
        <v>0.17383255012531329</v>
      </c>
      <c r="P782" s="59" t="s">
        <v>97</v>
      </c>
    </row>
    <row r="783" spans="1:16">
      <c r="A783" s="60">
        <v>45976</v>
      </c>
      <c r="B783">
        <f>VLOOKUP(A783,'BADI SID DATA'!A:B,2,0)</f>
        <v>229</v>
      </c>
      <c r="C783" s="61">
        <v>4341</v>
      </c>
      <c r="D783" s="5">
        <v>3.42</v>
      </c>
      <c r="E783">
        <v>844</v>
      </c>
      <c r="F783">
        <v>176</v>
      </c>
      <c r="G783">
        <v>416</v>
      </c>
      <c r="H783" s="62">
        <v>1</v>
      </c>
      <c r="I783" s="62">
        <v>1</v>
      </c>
      <c r="J783" s="62">
        <v>1</v>
      </c>
      <c r="K783" s="11">
        <f t="shared" si="45"/>
        <v>1336037.4000000001</v>
      </c>
      <c r="L783" s="11">
        <f t="shared" si="42"/>
        <v>26173.4</v>
      </c>
      <c r="M783" s="11">
        <f t="shared" si="43"/>
        <v>29111</v>
      </c>
      <c r="N783" s="12">
        <f t="shared" si="44"/>
        <v>0.12919642857142857</v>
      </c>
      <c r="O783" s="12">
        <f t="shared" si="46"/>
        <v>0.17363763256394263</v>
      </c>
    </row>
    <row r="784" spans="1:16">
      <c r="A784" s="60">
        <v>45977</v>
      </c>
      <c r="B784">
        <f>VLOOKUP(A784,'BADI SID DATA'!A:B,2,0)</f>
        <v>230</v>
      </c>
      <c r="C784" s="61">
        <v>4322</v>
      </c>
      <c r="D784" s="5">
        <v>3.42</v>
      </c>
      <c r="E784">
        <v>850</v>
      </c>
      <c r="F784">
        <v>906</v>
      </c>
      <c r="G784">
        <v>858</v>
      </c>
      <c r="H784" s="62">
        <v>1</v>
      </c>
      <c r="I784" s="62">
        <v>1</v>
      </c>
      <c r="J784" s="62">
        <v>1</v>
      </c>
      <c r="K784" s="11">
        <f t="shared" si="45"/>
        <v>1340359.4000000001</v>
      </c>
      <c r="L784" s="11">
        <f t="shared" si="42"/>
        <v>27079.4</v>
      </c>
      <c r="M784" s="11">
        <f t="shared" si="43"/>
        <v>29969</v>
      </c>
      <c r="N784" s="12">
        <f t="shared" si="44"/>
        <v>0.12863095238095237</v>
      </c>
      <c r="O784" s="12">
        <f t="shared" si="46"/>
        <v>0.17344195134575571</v>
      </c>
    </row>
    <row r="785" spans="1:16">
      <c r="A785" s="60">
        <v>45978</v>
      </c>
      <c r="B785">
        <f>VLOOKUP(A785,'BADI SID DATA'!A:B,2,0)</f>
        <v>231</v>
      </c>
      <c r="C785" s="61">
        <v>6399</v>
      </c>
      <c r="D785" s="5">
        <v>5.21</v>
      </c>
      <c r="E785">
        <v>968</v>
      </c>
      <c r="F785">
        <v>1335</v>
      </c>
      <c r="G785">
        <v>1372</v>
      </c>
      <c r="H785" s="62">
        <v>1</v>
      </c>
      <c r="I785" s="62">
        <v>1</v>
      </c>
      <c r="J785" s="62">
        <v>1</v>
      </c>
      <c r="K785" s="11">
        <f t="shared" si="45"/>
        <v>1346758.4000000001</v>
      </c>
      <c r="L785" s="11">
        <f t="shared" si="42"/>
        <v>28414.400000000001</v>
      </c>
      <c r="M785" s="11">
        <f t="shared" si="43"/>
        <v>31341</v>
      </c>
      <c r="N785" s="12">
        <f t="shared" si="44"/>
        <v>0.19044642857142857</v>
      </c>
      <c r="O785" s="12">
        <f t="shared" si="46"/>
        <v>0.17351556380127811</v>
      </c>
    </row>
    <row r="786" spans="1:16">
      <c r="A786" s="60">
        <v>45979</v>
      </c>
      <c r="B786">
        <f>VLOOKUP(A786,'BADI SID DATA'!A:B,2,0)</f>
        <v>232</v>
      </c>
      <c r="C786" s="61">
        <v>3730</v>
      </c>
      <c r="D786" s="5">
        <v>2.92</v>
      </c>
      <c r="E786">
        <v>3730</v>
      </c>
      <c r="F786">
        <v>580</v>
      </c>
      <c r="G786">
        <v>701</v>
      </c>
      <c r="H786" s="62">
        <v>1</v>
      </c>
      <c r="I786" s="62">
        <v>1</v>
      </c>
      <c r="J786" s="62">
        <v>1</v>
      </c>
      <c r="K786" s="11">
        <f t="shared" si="45"/>
        <v>1350488.4000000001</v>
      </c>
      <c r="L786" s="11">
        <f t="shared" si="42"/>
        <v>28994.400000000001</v>
      </c>
      <c r="M786" s="11">
        <f t="shared" si="43"/>
        <v>32042</v>
      </c>
      <c r="N786" s="12">
        <f t="shared" si="44"/>
        <v>0.11101190476190476</v>
      </c>
      <c r="O786" s="12">
        <f t="shared" si="46"/>
        <v>0.17324615147783254</v>
      </c>
      <c r="P786" s="59" t="s">
        <v>97</v>
      </c>
    </row>
    <row r="787" spans="1:16">
      <c r="A787" s="60">
        <v>45980</v>
      </c>
      <c r="B787">
        <f>VLOOKUP(A787,'BADI SID DATA'!A:B,2,0)</f>
        <v>233</v>
      </c>
      <c r="C787" s="61">
        <v>6009</v>
      </c>
      <c r="D787" s="5">
        <v>4.76</v>
      </c>
      <c r="E787">
        <v>1278</v>
      </c>
      <c r="F787">
        <v>1556</v>
      </c>
      <c r="G787">
        <v>1681</v>
      </c>
      <c r="H787" s="62">
        <v>1</v>
      </c>
      <c r="I787" s="62">
        <v>1</v>
      </c>
      <c r="J787" s="62">
        <v>1</v>
      </c>
      <c r="K787" s="11">
        <f t="shared" si="45"/>
        <v>1356497.4000000001</v>
      </c>
      <c r="L787" s="11">
        <f t="shared" si="42"/>
        <v>30550.400000000001</v>
      </c>
      <c r="M787" s="11">
        <f t="shared" si="43"/>
        <v>33723</v>
      </c>
      <c r="N787" s="12">
        <f t="shared" si="44"/>
        <v>0.1788392857142857</v>
      </c>
      <c r="O787" s="12">
        <f t="shared" si="46"/>
        <v>0.17327015634580015</v>
      </c>
    </row>
    <row r="788" spans="1:16">
      <c r="A788" s="60">
        <v>45981</v>
      </c>
      <c r="B788">
        <f>VLOOKUP(A788,'BADI SID DATA'!A:B,2,0)</f>
        <v>234</v>
      </c>
      <c r="C788" s="61">
        <v>4906</v>
      </c>
      <c r="D788" s="5">
        <v>3.87</v>
      </c>
      <c r="E788">
        <v>1210</v>
      </c>
      <c r="F788">
        <v>1110</v>
      </c>
      <c r="G788">
        <v>1258</v>
      </c>
      <c r="H788" s="62">
        <v>1</v>
      </c>
      <c r="I788" s="62">
        <v>1</v>
      </c>
      <c r="J788" s="62">
        <v>1</v>
      </c>
      <c r="K788" s="11">
        <f t="shared" si="45"/>
        <v>1361403.4000000001</v>
      </c>
      <c r="L788" s="11">
        <f t="shared" si="42"/>
        <v>31660.400000000001</v>
      </c>
      <c r="M788" s="11">
        <f t="shared" si="43"/>
        <v>34981</v>
      </c>
      <c r="N788" s="12">
        <f t="shared" si="44"/>
        <v>0.14601190476190476</v>
      </c>
      <c r="O788" s="12">
        <f t="shared" si="46"/>
        <v>0.17315366809116811</v>
      </c>
    </row>
    <row r="789" spans="1:16">
      <c r="A789" s="60">
        <v>45982</v>
      </c>
      <c r="B789">
        <f>VLOOKUP(A789,'BADI SID DATA'!A:B,2,0)</f>
        <v>235</v>
      </c>
      <c r="C789" s="61">
        <v>6651</v>
      </c>
      <c r="D789" s="5">
        <v>5.44</v>
      </c>
      <c r="E789">
        <v>1090</v>
      </c>
      <c r="F789">
        <v>1593</v>
      </c>
      <c r="G789">
        <v>1413</v>
      </c>
      <c r="H789" s="62">
        <v>1</v>
      </c>
      <c r="I789" s="62">
        <v>1</v>
      </c>
      <c r="J789" s="62">
        <v>1</v>
      </c>
      <c r="K789" s="11">
        <f t="shared" si="45"/>
        <v>1368054.4000000001</v>
      </c>
      <c r="L789" s="11">
        <f t="shared" si="42"/>
        <v>33253.4</v>
      </c>
      <c r="M789" s="11">
        <f t="shared" si="43"/>
        <v>36394</v>
      </c>
      <c r="N789" s="12">
        <f t="shared" si="44"/>
        <v>0.19794642857142858</v>
      </c>
      <c r="O789" s="12">
        <f t="shared" si="46"/>
        <v>0.17325916919959475</v>
      </c>
    </row>
    <row r="790" spans="1:16">
      <c r="A790" s="60">
        <v>45983</v>
      </c>
      <c r="B790">
        <f>VLOOKUP(A790,'BADI SID DATA'!A:B,2,0)</f>
        <v>236</v>
      </c>
      <c r="C790" s="61">
        <v>4431</v>
      </c>
      <c r="D790" s="5">
        <v>3.56</v>
      </c>
      <c r="E790">
        <v>821</v>
      </c>
      <c r="F790">
        <v>787</v>
      </c>
      <c r="G790">
        <v>907</v>
      </c>
      <c r="H790" s="62">
        <v>1</v>
      </c>
      <c r="I790" s="62">
        <v>1</v>
      </c>
      <c r="J790" s="62">
        <v>1</v>
      </c>
      <c r="K790" s="11">
        <f t="shared" si="45"/>
        <v>1372485.4000000001</v>
      </c>
      <c r="L790" s="11">
        <f t="shared" si="42"/>
        <v>34040.400000000001</v>
      </c>
      <c r="M790" s="11">
        <f t="shared" si="43"/>
        <v>37301</v>
      </c>
      <c r="N790" s="12">
        <f t="shared" si="44"/>
        <v>0.13187499999999999</v>
      </c>
      <c r="O790" s="12">
        <f t="shared" si="46"/>
        <v>0.17308381255044392</v>
      </c>
    </row>
    <row r="791" spans="1:16">
      <c r="A791" s="60">
        <v>45984</v>
      </c>
      <c r="B791">
        <f>VLOOKUP(A791,'BADI SID DATA'!A:B,2,0)</f>
        <v>237</v>
      </c>
      <c r="C791" s="61">
        <v>4978</v>
      </c>
      <c r="D791" s="5">
        <v>3.95</v>
      </c>
      <c r="E791">
        <v>1333</v>
      </c>
      <c r="F791">
        <v>1138</v>
      </c>
      <c r="G791">
        <v>1288</v>
      </c>
      <c r="H791" s="62">
        <v>1</v>
      </c>
      <c r="I791" s="62">
        <v>1</v>
      </c>
      <c r="J791" s="62">
        <v>1</v>
      </c>
      <c r="K791" s="11">
        <f t="shared" si="45"/>
        <v>1377463.4000000001</v>
      </c>
      <c r="L791" s="11">
        <f t="shared" si="42"/>
        <v>35178.400000000001</v>
      </c>
      <c r="M791" s="11">
        <f t="shared" si="43"/>
        <v>38589</v>
      </c>
      <c r="N791" s="12">
        <f t="shared" si="44"/>
        <v>0.1481547619047619</v>
      </c>
      <c r="O791" s="12">
        <f t="shared" si="46"/>
        <v>0.17297862668274061</v>
      </c>
      <c r="P791" s="59" t="s">
        <v>100</v>
      </c>
    </row>
    <row r="792" spans="1:16">
      <c r="A792" s="60">
        <v>45985</v>
      </c>
      <c r="B792">
        <f>VLOOKUP(A792,'BADI SID DATA'!A:B,2,0)</f>
        <v>238</v>
      </c>
      <c r="C792" s="61">
        <v>5006</v>
      </c>
      <c r="D792" s="5">
        <v>4.05</v>
      </c>
      <c r="E792">
        <v>1239</v>
      </c>
      <c r="F792">
        <v>1415</v>
      </c>
      <c r="G792">
        <v>1585</v>
      </c>
      <c r="H792" s="62">
        <v>1</v>
      </c>
      <c r="I792" s="62">
        <v>1</v>
      </c>
      <c r="J792" s="62">
        <v>1</v>
      </c>
      <c r="K792" s="11">
        <f t="shared" si="45"/>
        <v>1382469.4000000001</v>
      </c>
      <c r="L792" s="11">
        <f t="shared" si="42"/>
        <v>36593.4</v>
      </c>
      <c r="M792" s="11">
        <f t="shared" si="43"/>
        <v>40174</v>
      </c>
      <c r="N792" s="12">
        <f t="shared" si="44"/>
        <v>0.14898809523809523</v>
      </c>
      <c r="O792" s="12">
        <f t="shared" si="46"/>
        <v>0.17287782613045219</v>
      </c>
    </row>
    <row r="793" spans="1:16">
      <c r="A793" s="60">
        <v>45986</v>
      </c>
      <c r="B793">
        <f>VLOOKUP(A793,'BADI SID DATA'!A:B,2,0)</f>
        <v>239</v>
      </c>
      <c r="C793" s="61">
        <v>3900</v>
      </c>
      <c r="D793" s="5">
        <v>3.31</v>
      </c>
      <c r="E793">
        <v>1228</v>
      </c>
      <c r="F793">
        <v>840</v>
      </c>
      <c r="G793">
        <v>973</v>
      </c>
      <c r="H793" s="62">
        <v>1</v>
      </c>
      <c r="I793" s="62">
        <v>1</v>
      </c>
      <c r="J793" s="62">
        <v>1</v>
      </c>
      <c r="K793" s="11">
        <f t="shared" si="45"/>
        <v>1386369.4000000001</v>
      </c>
      <c r="L793" s="11">
        <f t="shared" si="42"/>
        <v>37433.4</v>
      </c>
      <c r="M793" s="11">
        <f t="shared" si="43"/>
        <v>41147</v>
      </c>
      <c r="N793" s="12">
        <f t="shared" si="44"/>
        <v>0.11607142857142858</v>
      </c>
      <c r="O793" s="12">
        <f t="shared" si="46"/>
        <v>0.17264014245865711</v>
      </c>
      <c r="P793" s="59" t="s">
        <v>100</v>
      </c>
    </row>
    <row r="794" spans="1:16">
      <c r="A794" s="60">
        <v>45987</v>
      </c>
      <c r="B794">
        <f>VLOOKUP(A794,'BADI SID DATA'!A:B,2,0)</f>
        <v>240</v>
      </c>
      <c r="C794" s="61">
        <v>6490</v>
      </c>
      <c r="D794" s="5">
        <v>5.41</v>
      </c>
      <c r="E794">
        <v>1003</v>
      </c>
      <c r="F794">
        <v>1378</v>
      </c>
      <c r="G794">
        <v>1398</v>
      </c>
      <c r="H794" s="62">
        <v>1</v>
      </c>
      <c r="I794" s="62">
        <v>1</v>
      </c>
      <c r="J794" s="62">
        <v>1</v>
      </c>
      <c r="K794" s="11">
        <f t="shared" si="45"/>
        <v>1392859.4000000001</v>
      </c>
      <c r="L794" s="11">
        <f t="shared" si="42"/>
        <v>38811.4</v>
      </c>
      <c r="M794" s="11">
        <f t="shared" si="43"/>
        <v>42545</v>
      </c>
      <c r="N794" s="12">
        <f t="shared" si="44"/>
        <v>0.19315476190476191</v>
      </c>
      <c r="O794" s="12">
        <f t="shared" si="46"/>
        <v>0.17272562003968256</v>
      </c>
    </row>
    <row r="795" spans="1:16">
      <c r="A795" s="60">
        <v>45988</v>
      </c>
      <c r="B795">
        <f>VLOOKUP(A795,'BADI SID DATA'!A:B,2,0)</f>
        <v>241</v>
      </c>
      <c r="C795" s="61">
        <v>4851</v>
      </c>
      <c r="D795" s="5">
        <v>3.93</v>
      </c>
      <c r="E795">
        <v>1024</v>
      </c>
      <c r="F795">
        <v>907</v>
      </c>
      <c r="G795">
        <v>1038</v>
      </c>
      <c r="H795" s="62">
        <v>1</v>
      </c>
      <c r="I795" s="62">
        <v>1</v>
      </c>
      <c r="J795" s="62">
        <v>1</v>
      </c>
      <c r="K795" s="11">
        <f t="shared" si="45"/>
        <v>1397710.4000000001</v>
      </c>
      <c r="L795" s="11">
        <f t="shared" si="42"/>
        <v>39718.400000000001</v>
      </c>
      <c r="M795" s="11">
        <f t="shared" si="43"/>
        <v>43583</v>
      </c>
      <c r="N795" s="12">
        <f t="shared" si="44"/>
        <v>0.144375</v>
      </c>
      <c r="O795" s="12">
        <f t="shared" si="46"/>
        <v>0.172607982612132</v>
      </c>
    </row>
    <row r="796" spans="1:16">
      <c r="A796" s="60">
        <v>45989</v>
      </c>
      <c r="B796">
        <f>VLOOKUP(A796,'BADI SID DATA'!A:B,2,0)</f>
        <v>242</v>
      </c>
      <c r="C796" s="61">
        <v>5642</v>
      </c>
      <c r="D796" s="59">
        <v>4.28</v>
      </c>
      <c r="E796">
        <v>1051</v>
      </c>
      <c r="F796">
        <v>1296</v>
      </c>
      <c r="G796">
        <v>1450</v>
      </c>
      <c r="H796" s="62">
        <v>1</v>
      </c>
      <c r="I796" s="62">
        <v>1</v>
      </c>
      <c r="J796" s="62">
        <v>1</v>
      </c>
      <c r="K796" s="11">
        <f t="shared" si="45"/>
        <v>1403352.4000000001</v>
      </c>
      <c r="L796" s="11">
        <f t="shared" si="42"/>
        <v>41014.400000000001</v>
      </c>
      <c r="M796" s="11">
        <f t="shared" si="43"/>
        <v>45033</v>
      </c>
      <c r="N796" s="12">
        <f t="shared" si="44"/>
        <v>0.16791666666666666</v>
      </c>
      <c r="O796" s="12">
        <f t="shared" si="46"/>
        <v>0.17258859700905158</v>
      </c>
    </row>
    <row r="797" spans="1:16">
      <c r="A797" s="60">
        <v>45990</v>
      </c>
      <c r="B797">
        <f>VLOOKUP(A797,'BADI SID DATA'!A:B,2,0)</f>
        <v>243</v>
      </c>
      <c r="C797" s="61">
        <v>5840</v>
      </c>
      <c r="D797" s="5">
        <v>4.5199999999999996</v>
      </c>
      <c r="E797">
        <v>980</v>
      </c>
      <c r="F797">
        <v>1355</v>
      </c>
      <c r="G797">
        <v>1462</v>
      </c>
      <c r="H797" s="62">
        <v>1</v>
      </c>
      <c r="I797" s="62">
        <v>1</v>
      </c>
      <c r="J797" s="62">
        <v>1</v>
      </c>
      <c r="K797" s="11">
        <f t="shared" si="45"/>
        <v>1409192.4000000001</v>
      </c>
      <c r="L797" s="11">
        <f t="shared" si="42"/>
        <v>42369.4</v>
      </c>
      <c r="M797" s="11">
        <f t="shared" si="43"/>
        <v>46495</v>
      </c>
      <c r="N797" s="12">
        <f t="shared" si="44"/>
        <v>0.1738095238095238</v>
      </c>
      <c r="O797" s="12">
        <f t="shared" si="46"/>
        <v>0.17259362139917697</v>
      </c>
    </row>
    <row r="798" spans="1:16">
      <c r="A798" s="60">
        <v>45991</v>
      </c>
      <c r="B798">
        <f>VLOOKUP(A798,'BADI SID DATA'!A:B,2,0)</f>
        <v>244</v>
      </c>
      <c r="C798" s="61">
        <v>5959</v>
      </c>
      <c r="D798" s="5">
        <v>4.6399999999999997</v>
      </c>
      <c r="E798">
        <v>882</v>
      </c>
      <c r="F798">
        <v>1332</v>
      </c>
      <c r="G798">
        <v>1502</v>
      </c>
      <c r="H798" s="62">
        <v>1</v>
      </c>
      <c r="I798" s="62">
        <v>1</v>
      </c>
      <c r="J798" s="62">
        <v>1</v>
      </c>
      <c r="K798" s="11">
        <f t="shared" si="45"/>
        <v>1415151.4000000001</v>
      </c>
      <c r="L798" s="11">
        <f t="shared" si="42"/>
        <v>43701.4</v>
      </c>
      <c r="M798" s="11">
        <f t="shared" si="43"/>
        <v>47997</v>
      </c>
      <c r="N798" s="12">
        <f t="shared" si="44"/>
        <v>0.17735119047619047</v>
      </c>
      <c r="O798" s="12">
        <f t="shared" si="46"/>
        <v>0.17261311963309917</v>
      </c>
    </row>
    <row r="799" spans="1:16">
      <c r="A799" s="60">
        <v>45992</v>
      </c>
      <c r="B799">
        <f>VLOOKUP(A799,'BADI SID DATA'!A:B,2,0)</f>
        <v>245</v>
      </c>
      <c r="C799" s="61">
        <v>5934</v>
      </c>
      <c r="D799" s="5">
        <v>4.76</v>
      </c>
      <c r="E799">
        <v>1008</v>
      </c>
      <c r="F799">
        <v>1355</v>
      </c>
      <c r="G799">
        <v>1528</v>
      </c>
      <c r="H799" s="62">
        <v>1</v>
      </c>
      <c r="I799" s="62">
        <v>1</v>
      </c>
      <c r="J799" s="62">
        <v>1</v>
      </c>
      <c r="K799" s="11">
        <f t="shared" si="45"/>
        <v>1421085.4000000001</v>
      </c>
      <c r="L799" s="11">
        <f t="shared" si="42"/>
        <v>45056.4</v>
      </c>
      <c r="M799" s="11">
        <f t="shared" si="43"/>
        <v>49525</v>
      </c>
      <c r="N799" s="12">
        <f t="shared" si="44"/>
        <v>0.17660714285714285</v>
      </c>
      <c r="O799" s="12">
        <f t="shared" si="46"/>
        <v>0.17262942176870749</v>
      </c>
    </row>
    <row r="800" spans="1:16">
      <c r="A800" s="60">
        <v>45993</v>
      </c>
      <c r="B800">
        <f>VLOOKUP(A800,'BADI SID DATA'!A:B,2,0)</f>
        <v>246</v>
      </c>
      <c r="C800" s="61">
        <v>5178</v>
      </c>
      <c r="D800" s="5">
        <v>4.0199999999999996</v>
      </c>
      <c r="E800">
        <v>993</v>
      </c>
      <c r="F800">
        <v>1141</v>
      </c>
      <c r="G800">
        <v>1295</v>
      </c>
      <c r="H800" s="62">
        <v>1</v>
      </c>
      <c r="I800" s="62">
        <v>1</v>
      </c>
      <c r="J800" s="62">
        <v>1</v>
      </c>
      <c r="K800" s="11">
        <f t="shared" si="45"/>
        <v>1426263.4000000001</v>
      </c>
      <c r="L800" s="11">
        <f t="shared" si="42"/>
        <v>46197.4</v>
      </c>
      <c r="M800" s="11">
        <f t="shared" si="43"/>
        <v>50820</v>
      </c>
      <c r="N800" s="12">
        <f t="shared" si="44"/>
        <v>0.15410714285714286</v>
      </c>
      <c r="O800" s="12">
        <f t="shared" si="46"/>
        <v>0.17255412795199382</v>
      </c>
    </row>
    <row r="801" spans="1:16">
      <c r="A801" s="60">
        <v>45994</v>
      </c>
      <c r="B801">
        <f>VLOOKUP(A801,'BADI SID DATA'!A:B,2,0)</f>
        <v>247</v>
      </c>
      <c r="C801">
        <v>5795</v>
      </c>
      <c r="D801" s="5">
        <v>4.51</v>
      </c>
      <c r="E801" s="5">
        <v>1060</v>
      </c>
      <c r="F801">
        <v>1344</v>
      </c>
      <c r="G801">
        <v>1421</v>
      </c>
      <c r="H801" s="62">
        <v>1</v>
      </c>
      <c r="I801" s="62">
        <v>1</v>
      </c>
      <c r="J801" s="62">
        <v>1</v>
      </c>
      <c r="K801" s="11">
        <f t="shared" si="45"/>
        <v>1432058.4000000001</v>
      </c>
      <c r="L801" s="11">
        <f t="shared" si="42"/>
        <v>47541.4</v>
      </c>
      <c r="M801" s="11">
        <f t="shared" si="43"/>
        <v>52241</v>
      </c>
      <c r="N801" s="12">
        <f t="shared" si="44"/>
        <v>0.17247023809523809</v>
      </c>
      <c r="O801" s="12">
        <f t="shared" si="46"/>
        <v>0.17255378831694623</v>
      </c>
    </row>
    <row r="802" spans="1:16">
      <c r="A802" s="60">
        <v>45995</v>
      </c>
      <c r="B802">
        <f>VLOOKUP(A802,'BADI SID DATA'!A:B,2,0)</f>
        <v>248</v>
      </c>
      <c r="C802" s="61">
        <v>947</v>
      </c>
      <c r="D802" s="5">
        <v>0.85</v>
      </c>
      <c r="E802">
        <v>467</v>
      </c>
      <c r="F802">
        <v>37</v>
      </c>
      <c r="G802">
        <v>172</v>
      </c>
      <c r="H802" s="62">
        <v>1</v>
      </c>
      <c r="I802" s="62">
        <v>1</v>
      </c>
      <c r="J802" s="62">
        <v>1</v>
      </c>
      <c r="K802" s="11">
        <f t="shared" si="45"/>
        <v>1433005.4000000001</v>
      </c>
      <c r="L802" s="11">
        <f t="shared" si="42"/>
        <v>47578.400000000001</v>
      </c>
      <c r="M802" s="11">
        <f t="shared" si="43"/>
        <v>52413</v>
      </c>
      <c r="N802" s="12">
        <f t="shared" si="44"/>
        <v>2.8184523809523809E-2</v>
      </c>
      <c r="O802" s="12">
        <f t="shared" si="46"/>
        <v>0.17197165418586791</v>
      </c>
      <c r="P802" s="59" t="s">
        <v>100</v>
      </c>
    </row>
    <row r="803" spans="1:16">
      <c r="A803" s="60">
        <v>45996</v>
      </c>
      <c r="B803">
        <f>VLOOKUP(A803,'BADI SID DATA'!A:B,2,0)</f>
        <v>249</v>
      </c>
      <c r="C803" s="61">
        <v>5941</v>
      </c>
      <c r="D803" s="5">
        <v>4.63</v>
      </c>
      <c r="E803">
        <v>1115</v>
      </c>
      <c r="F803">
        <v>1399</v>
      </c>
      <c r="G803">
        <v>1409</v>
      </c>
      <c r="H803" s="62">
        <v>1</v>
      </c>
      <c r="I803" s="62">
        <v>1</v>
      </c>
      <c r="J803" s="62">
        <v>1</v>
      </c>
      <c r="K803" s="11">
        <f t="shared" si="45"/>
        <v>1438946.4000000001</v>
      </c>
      <c r="L803" s="11">
        <f t="shared" si="42"/>
        <v>48977.4</v>
      </c>
      <c r="M803" s="11">
        <f t="shared" si="43"/>
        <v>53822</v>
      </c>
      <c r="N803" s="12">
        <f t="shared" si="44"/>
        <v>0.17681547619047619</v>
      </c>
      <c r="O803" s="12">
        <f t="shared" si="46"/>
        <v>0.17199110728628803</v>
      </c>
    </row>
    <row r="804" spans="1:16">
      <c r="A804" s="60">
        <v>45997</v>
      </c>
      <c r="B804">
        <f>VLOOKUP(A804,'BADI SID DATA'!A:B,2,0)</f>
        <v>250</v>
      </c>
      <c r="C804" s="61">
        <v>1955</v>
      </c>
      <c r="D804" s="5">
        <v>1.43</v>
      </c>
      <c r="E804">
        <v>783</v>
      </c>
      <c r="F804">
        <v>128</v>
      </c>
      <c r="G804">
        <v>238</v>
      </c>
      <c r="H804" s="62">
        <v>1</v>
      </c>
      <c r="I804" s="62">
        <v>1</v>
      </c>
      <c r="J804" s="62">
        <v>1</v>
      </c>
      <c r="K804" s="11">
        <f t="shared" si="45"/>
        <v>1440901.4000000001</v>
      </c>
      <c r="L804" s="11">
        <f t="shared" si="42"/>
        <v>49105.4</v>
      </c>
      <c r="M804" s="11">
        <f t="shared" si="43"/>
        <v>54060</v>
      </c>
      <c r="N804" s="12">
        <f t="shared" si="44"/>
        <v>5.8184523809523811E-2</v>
      </c>
      <c r="O804" s="12">
        <f t="shared" si="46"/>
        <v>0.17153588095238098</v>
      </c>
      <c r="P804" s="59" t="s">
        <v>92</v>
      </c>
    </row>
    <row r="805" spans="1:16">
      <c r="A805" s="60">
        <v>45998</v>
      </c>
      <c r="B805">
        <f>VLOOKUP(A805,'BADI SID DATA'!A:B,2,0)</f>
        <v>251</v>
      </c>
      <c r="C805" s="61">
        <v>5145</v>
      </c>
      <c r="D805" s="5">
        <v>4.03</v>
      </c>
      <c r="E805">
        <v>1118</v>
      </c>
      <c r="F805">
        <v>1092</v>
      </c>
      <c r="G805">
        <v>1162</v>
      </c>
      <c r="H805" s="62">
        <v>1</v>
      </c>
      <c r="I805" s="62">
        <v>1</v>
      </c>
      <c r="J805" s="62">
        <v>1</v>
      </c>
      <c r="K805" s="11">
        <f t="shared" si="45"/>
        <v>1446046.4000000001</v>
      </c>
      <c r="L805" s="11">
        <f t="shared" si="42"/>
        <v>50197.4</v>
      </c>
      <c r="M805" s="11">
        <f t="shared" si="43"/>
        <v>55222</v>
      </c>
      <c r="N805" s="12">
        <f t="shared" si="44"/>
        <v>0.15312500000000001</v>
      </c>
      <c r="O805" s="12">
        <f t="shared" si="46"/>
        <v>0.17146253082906471</v>
      </c>
    </row>
    <row r="806" spans="1:16">
      <c r="A806" s="60">
        <v>45999</v>
      </c>
      <c r="B806">
        <f>VLOOKUP(A806,'BADI SID DATA'!A:B,2,0)</f>
        <v>252</v>
      </c>
      <c r="C806" s="61">
        <v>5735</v>
      </c>
      <c r="D806" s="5">
        <v>4.6100000000000003</v>
      </c>
      <c r="E806">
        <v>926</v>
      </c>
      <c r="F806">
        <v>1350</v>
      </c>
      <c r="G806">
        <v>1455</v>
      </c>
      <c r="H806" s="62">
        <v>1</v>
      </c>
      <c r="I806" s="62">
        <v>1</v>
      </c>
      <c r="J806" s="62">
        <v>1</v>
      </c>
      <c r="K806" s="11">
        <f t="shared" si="45"/>
        <v>1451781.4000000001</v>
      </c>
      <c r="L806" s="11">
        <f t="shared" si="42"/>
        <v>51547.4</v>
      </c>
      <c r="M806" s="11">
        <f t="shared" si="43"/>
        <v>56677</v>
      </c>
      <c r="N806" s="12">
        <f t="shared" si="44"/>
        <v>0.17068452380952381</v>
      </c>
      <c r="O806" s="12">
        <f t="shared" si="46"/>
        <v>0.17145944349962208</v>
      </c>
    </row>
    <row r="807" spans="1:16">
      <c r="A807" s="60">
        <v>46000</v>
      </c>
      <c r="B807">
        <f>VLOOKUP(A807,'BADI SID DATA'!A:B,2,0)</f>
        <v>253</v>
      </c>
      <c r="C807" s="61">
        <v>5299</v>
      </c>
      <c r="D807" s="5">
        <v>4.0999999999999996</v>
      </c>
      <c r="E807">
        <v>1022</v>
      </c>
      <c r="F807">
        <v>1056.21</v>
      </c>
      <c r="G807">
        <v>1189</v>
      </c>
      <c r="H807" s="62">
        <v>1</v>
      </c>
      <c r="I807" s="62">
        <v>1</v>
      </c>
      <c r="J807" s="62">
        <v>1</v>
      </c>
      <c r="K807" s="11">
        <f t="shared" si="45"/>
        <v>1457080.4000000001</v>
      </c>
      <c r="L807" s="11">
        <f t="shared" si="42"/>
        <v>52603.61</v>
      </c>
      <c r="M807" s="11">
        <f t="shared" si="43"/>
        <v>57866</v>
      </c>
      <c r="N807" s="12">
        <f t="shared" si="44"/>
        <v>0.15770833333333334</v>
      </c>
      <c r="O807" s="12">
        <f t="shared" si="46"/>
        <v>0.17140509128552608</v>
      </c>
    </row>
    <row r="808" spans="1:16">
      <c r="A808" s="60">
        <v>46001</v>
      </c>
      <c r="B808">
        <f>VLOOKUP(A808,'BADI SID DATA'!A:B,2,0)</f>
        <v>254</v>
      </c>
      <c r="C808" s="61">
        <v>6050</v>
      </c>
      <c r="D808" s="5">
        <v>4.72</v>
      </c>
      <c r="E808">
        <v>980</v>
      </c>
      <c r="F808">
        <v>1313</v>
      </c>
      <c r="G808">
        <v>1471</v>
      </c>
      <c r="H808" s="62">
        <v>1</v>
      </c>
      <c r="I808" s="62">
        <v>1</v>
      </c>
      <c r="J808" s="62">
        <v>1</v>
      </c>
      <c r="K808" s="11">
        <f t="shared" si="45"/>
        <v>1463130.4000000001</v>
      </c>
      <c r="L808" s="11">
        <f t="shared" si="42"/>
        <v>53916.61</v>
      </c>
      <c r="M808" s="11">
        <f t="shared" si="43"/>
        <v>59337</v>
      </c>
      <c r="N808" s="12">
        <f t="shared" si="44"/>
        <v>0.18005952380952381</v>
      </c>
      <c r="O808" s="12">
        <f t="shared" si="46"/>
        <v>0.17143916385451821</v>
      </c>
    </row>
    <row r="809" spans="1:16">
      <c r="A809" s="60">
        <v>46002</v>
      </c>
      <c r="B809">
        <f>VLOOKUP(A809,'BADI SID DATA'!A:B,2,0)</f>
        <v>255</v>
      </c>
      <c r="C809" s="61">
        <v>6083</v>
      </c>
      <c r="D809" s="5">
        <v>4.78</v>
      </c>
      <c r="E809">
        <v>972</v>
      </c>
      <c r="F809">
        <v>1390</v>
      </c>
      <c r="G809">
        <v>1472</v>
      </c>
      <c r="H809" s="62">
        <v>1</v>
      </c>
      <c r="I809" s="62">
        <v>1</v>
      </c>
      <c r="J809" s="62">
        <v>1</v>
      </c>
      <c r="K809" s="11">
        <f t="shared" si="45"/>
        <v>1469213.4000000001</v>
      </c>
      <c r="L809" s="11">
        <f t="shared" si="42"/>
        <v>55306.61</v>
      </c>
      <c r="M809" s="11">
        <f t="shared" si="43"/>
        <v>60809</v>
      </c>
      <c r="N809" s="12">
        <f t="shared" si="44"/>
        <v>0.18104166666666666</v>
      </c>
      <c r="O809" s="12">
        <f t="shared" si="46"/>
        <v>0.17147682072829135</v>
      </c>
    </row>
    <row r="810" spans="1:16">
      <c r="A810" s="60">
        <v>46003</v>
      </c>
      <c r="B810">
        <f>VLOOKUP(A810,'BADI SID DATA'!A:B,2,0)</f>
        <v>256</v>
      </c>
      <c r="C810" s="61">
        <v>5819</v>
      </c>
      <c r="D810" s="5">
        <v>4.55</v>
      </c>
      <c r="E810">
        <v>930</v>
      </c>
      <c r="F810">
        <v>1362</v>
      </c>
      <c r="G810">
        <v>1458</v>
      </c>
      <c r="H810" s="62">
        <v>1</v>
      </c>
      <c r="I810" s="62">
        <v>1</v>
      </c>
      <c r="J810" s="62">
        <v>1</v>
      </c>
      <c r="K810" s="11">
        <f t="shared" si="45"/>
        <v>1475032.4000000001</v>
      </c>
      <c r="L810" s="11">
        <f t="shared" si="42"/>
        <v>56668.61</v>
      </c>
      <c r="M810" s="11">
        <f t="shared" si="43"/>
        <v>62267</v>
      </c>
      <c r="N810" s="12">
        <f t="shared" si="44"/>
        <v>0.17318452380952382</v>
      </c>
      <c r="O810" s="12">
        <f t="shared" si="46"/>
        <v>0.1714834914434524</v>
      </c>
    </row>
    <row r="811" spans="1:16">
      <c r="A811" s="60">
        <v>46004</v>
      </c>
      <c r="B811">
        <f>VLOOKUP(A811,'BADI SID DATA'!A:B,2,0)</f>
        <v>257</v>
      </c>
      <c r="C811" s="61">
        <v>5975</v>
      </c>
      <c r="D811" s="5">
        <v>4.75</v>
      </c>
      <c r="E811">
        <v>1002</v>
      </c>
      <c r="F811">
        <v>1440</v>
      </c>
      <c r="G811">
        <v>1606</v>
      </c>
      <c r="H811" s="62">
        <v>1</v>
      </c>
      <c r="I811" s="62">
        <v>1</v>
      </c>
      <c r="J811" s="62">
        <v>1</v>
      </c>
      <c r="K811" s="11">
        <f t="shared" si="45"/>
        <v>1481007.4000000001</v>
      </c>
      <c r="L811" s="11">
        <f t="shared" si="42"/>
        <v>58108.61</v>
      </c>
      <c r="M811" s="11">
        <f t="shared" si="43"/>
        <v>63873</v>
      </c>
      <c r="N811" s="12">
        <f t="shared" si="44"/>
        <v>0.17782738095238096</v>
      </c>
      <c r="O811" s="12">
        <f t="shared" si="46"/>
        <v>0.17150817583842878</v>
      </c>
    </row>
    <row r="812" spans="1:16">
      <c r="A812" s="60">
        <v>46005</v>
      </c>
      <c r="B812">
        <f>VLOOKUP(A812,'BADI SID DATA'!A:B,2,0)</f>
        <v>258</v>
      </c>
      <c r="C812" s="61">
        <v>5798</v>
      </c>
      <c r="D812" s="5">
        <v>4.92</v>
      </c>
      <c r="E812">
        <v>967</v>
      </c>
      <c r="F812">
        <v>1460</v>
      </c>
      <c r="G812">
        <v>1641</v>
      </c>
      <c r="H812" s="62">
        <v>1</v>
      </c>
      <c r="I812" s="62">
        <v>1</v>
      </c>
      <c r="J812" s="62">
        <v>1</v>
      </c>
      <c r="K812" s="11">
        <f t="shared" si="45"/>
        <v>1486805.4000000001</v>
      </c>
      <c r="L812" s="11">
        <f t="shared" si="42"/>
        <v>59568.61</v>
      </c>
      <c r="M812" s="11">
        <f t="shared" si="43"/>
        <v>65514</v>
      </c>
      <c r="N812" s="12">
        <f t="shared" si="44"/>
        <v>0.1725595238095238</v>
      </c>
      <c r="O812" s="12">
        <f t="shared" si="46"/>
        <v>0.17151225083056479</v>
      </c>
    </row>
    <row r="813" spans="1:16">
      <c r="A813" s="60">
        <v>46006</v>
      </c>
      <c r="B813">
        <f>VLOOKUP(A813,'BADI SID DATA'!A:B,2,0)</f>
        <v>259</v>
      </c>
      <c r="C813" s="61">
        <v>6107</v>
      </c>
      <c r="D813" s="5">
        <v>4.88</v>
      </c>
      <c r="E813">
        <v>1037</v>
      </c>
      <c r="F813">
        <v>1428</v>
      </c>
      <c r="G813">
        <v>1605</v>
      </c>
      <c r="H813" s="62">
        <v>1</v>
      </c>
      <c r="I813" s="62">
        <v>1</v>
      </c>
      <c r="J813" s="62">
        <v>1</v>
      </c>
      <c r="K813" s="11">
        <f t="shared" si="45"/>
        <v>1492912.4000000001</v>
      </c>
      <c r="L813" s="11">
        <f t="shared" ref="L813:M876" si="47">L812+F813</f>
        <v>60996.61</v>
      </c>
      <c r="M813" s="11">
        <f t="shared" si="47"/>
        <v>67119</v>
      </c>
      <c r="N813" s="12">
        <f t="shared" si="44"/>
        <v>0.18175595238095238</v>
      </c>
      <c r="O813" s="12">
        <f t="shared" si="46"/>
        <v>0.17155180180180182</v>
      </c>
    </row>
    <row r="814" spans="1:16">
      <c r="A814" s="60">
        <v>46007</v>
      </c>
      <c r="B814">
        <f>VLOOKUP(A814,'BADI SID DATA'!A:B,2,0)</f>
        <v>260</v>
      </c>
      <c r="C814" s="61">
        <v>6348</v>
      </c>
      <c r="D814" s="5">
        <v>5.28</v>
      </c>
      <c r="E814">
        <v>1079</v>
      </c>
      <c r="F814">
        <v>1394</v>
      </c>
      <c r="G814">
        <v>1470</v>
      </c>
      <c r="H814" s="62">
        <v>1</v>
      </c>
      <c r="I814" s="62">
        <v>1</v>
      </c>
      <c r="J814" s="62">
        <v>1</v>
      </c>
      <c r="K814" s="11">
        <f t="shared" si="45"/>
        <v>1499260.4000000001</v>
      </c>
      <c r="L814" s="11">
        <f t="shared" si="47"/>
        <v>62390.61</v>
      </c>
      <c r="M814" s="11">
        <f t="shared" si="47"/>
        <v>68589</v>
      </c>
      <c r="N814" s="12">
        <f t="shared" si="44"/>
        <v>0.18892857142857142</v>
      </c>
      <c r="O814" s="12">
        <f t="shared" si="46"/>
        <v>0.17161863553113554</v>
      </c>
    </row>
    <row r="815" spans="1:16">
      <c r="A815" s="60">
        <v>46008</v>
      </c>
      <c r="B815">
        <f>VLOOKUP(A815,'BADI SID DATA'!A:B,2,0)</f>
        <v>261</v>
      </c>
      <c r="C815" s="61">
        <v>5400</v>
      </c>
      <c r="D815" s="5">
        <v>4.26</v>
      </c>
      <c r="E815">
        <v>1051</v>
      </c>
      <c r="F815">
        <v>1196</v>
      </c>
      <c r="G815">
        <v>1346</v>
      </c>
      <c r="H815" s="62">
        <v>1</v>
      </c>
      <c r="I815" s="62">
        <v>1</v>
      </c>
      <c r="J815" s="62">
        <v>1</v>
      </c>
      <c r="K815" s="11">
        <f t="shared" si="45"/>
        <v>1504660.4000000001</v>
      </c>
      <c r="L815" s="11">
        <f t="shared" si="47"/>
        <v>63586.61</v>
      </c>
      <c r="M815" s="11">
        <f t="shared" si="47"/>
        <v>69935</v>
      </c>
      <c r="N815" s="12">
        <f t="shared" si="44"/>
        <v>0.16071428571428573</v>
      </c>
      <c r="O815" s="12">
        <f t="shared" si="46"/>
        <v>0.17157685641306333</v>
      </c>
    </row>
    <row r="816" spans="1:16">
      <c r="A816" s="60">
        <v>46009</v>
      </c>
      <c r="B816">
        <f>VLOOKUP(A816,'BADI SID DATA'!A:B,2,0)</f>
        <v>262</v>
      </c>
      <c r="C816" s="61">
        <v>4740</v>
      </c>
      <c r="D816" s="5">
        <v>3.91</v>
      </c>
      <c r="E816">
        <v>1145</v>
      </c>
      <c r="F816">
        <v>1080</v>
      </c>
      <c r="G816">
        <v>1212</v>
      </c>
      <c r="H816" s="62">
        <v>1</v>
      </c>
      <c r="I816" s="62">
        <v>1</v>
      </c>
      <c r="J816" s="62">
        <v>1</v>
      </c>
      <c r="K816" s="11">
        <f t="shared" si="45"/>
        <v>1509400.4000000001</v>
      </c>
      <c r="L816" s="11">
        <f t="shared" si="47"/>
        <v>64666.61</v>
      </c>
      <c r="M816" s="11">
        <f t="shared" si="47"/>
        <v>71147</v>
      </c>
      <c r="N816" s="12">
        <f t="shared" si="44"/>
        <v>0.14107142857142857</v>
      </c>
      <c r="O816" s="12">
        <f t="shared" si="46"/>
        <v>0.17146042348237006</v>
      </c>
    </row>
    <row r="817" spans="1:16">
      <c r="A817" s="60">
        <v>46010</v>
      </c>
      <c r="B817">
        <f>VLOOKUP(A817,'BADI SID DATA'!A:B,2,0)</f>
        <v>263</v>
      </c>
      <c r="C817" s="61">
        <v>5720</v>
      </c>
      <c r="D817" s="5">
        <v>4.45</v>
      </c>
      <c r="E817">
        <v>1215</v>
      </c>
      <c r="F817">
        <v>1338</v>
      </c>
      <c r="G817">
        <v>1501</v>
      </c>
      <c r="H817" s="62">
        <v>1</v>
      </c>
      <c r="I817" s="62">
        <v>1</v>
      </c>
      <c r="J817" s="62">
        <v>1</v>
      </c>
      <c r="K817" s="11">
        <f t="shared" si="45"/>
        <v>1515120.4000000001</v>
      </c>
      <c r="L817" s="11">
        <f t="shared" si="47"/>
        <v>66004.61</v>
      </c>
      <c r="M817" s="11">
        <f t="shared" si="47"/>
        <v>72648</v>
      </c>
      <c r="N817" s="12">
        <f t="shared" ref="N817:N880" si="48">C817/(1400*24)</f>
        <v>0.17023809523809524</v>
      </c>
      <c r="O817" s="12">
        <f t="shared" si="46"/>
        <v>0.17145577584646027</v>
      </c>
    </row>
    <row r="818" spans="1:16">
      <c r="A818" s="60">
        <v>46011</v>
      </c>
      <c r="B818">
        <f>VLOOKUP(A818,'BADI SID DATA'!A:B,2,0)</f>
        <v>264</v>
      </c>
      <c r="C818" s="61">
        <v>6161</v>
      </c>
      <c r="D818" s="5">
        <v>4.8899999999999997</v>
      </c>
      <c r="E818">
        <v>1212</v>
      </c>
      <c r="F818">
        <v>1334</v>
      </c>
      <c r="G818">
        <v>1501</v>
      </c>
      <c r="H818" s="62">
        <v>1</v>
      </c>
      <c r="I818" s="62">
        <v>1</v>
      </c>
      <c r="J818" s="62">
        <v>1</v>
      </c>
      <c r="K818" s="11">
        <f t="shared" si="45"/>
        <v>1521281.4000000001</v>
      </c>
      <c r="L818" s="11">
        <f t="shared" si="47"/>
        <v>67338.61</v>
      </c>
      <c r="M818" s="11">
        <f t="shared" si="47"/>
        <v>74149</v>
      </c>
      <c r="N818" s="12">
        <f t="shared" si="48"/>
        <v>0.18336309523809524</v>
      </c>
      <c r="O818" s="12">
        <f t="shared" si="46"/>
        <v>0.17150087932900435</v>
      </c>
    </row>
    <row r="819" spans="1:16">
      <c r="A819" s="60">
        <v>46012</v>
      </c>
      <c r="B819">
        <f>VLOOKUP(A819,'BADI SID DATA'!A:B,2,0)</f>
        <v>265</v>
      </c>
      <c r="C819" s="61">
        <v>6500</v>
      </c>
      <c r="D819" s="5">
        <v>5.31</v>
      </c>
      <c r="E819">
        <v>1127</v>
      </c>
      <c r="F819">
        <v>177</v>
      </c>
      <c r="G819">
        <v>1535</v>
      </c>
      <c r="H819" s="62">
        <v>1</v>
      </c>
      <c r="I819" s="62">
        <v>1</v>
      </c>
      <c r="J819" s="62">
        <v>1</v>
      </c>
      <c r="K819" s="11">
        <f t="shared" ref="K819:K882" si="49">K818+C819</f>
        <v>1527781.4000000001</v>
      </c>
      <c r="L819" s="11">
        <f t="shared" si="47"/>
        <v>67515.61</v>
      </c>
      <c r="M819" s="11">
        <f t="shared" si="47"/>
        <v>75684</v>
      </c>
      <c r="N819" s="12">
        <f t="shared" si="48"/>
        <v>0.19345238095238096</v>
      </c>
      <c r="O819" s="12">
        <f t="shared" si="46"/>
        <v>0.17158371518418689</v>
      </c>
    </row>
    <row r="820" spans="1:16">
      <c r="A820" s="60">
        <v>46013</v>
      </c>
      <c r="B820">
        <f>VLOOKUP(A820,'BADI SID DATA'!A:B,2,0)</f>
        <v>266</v>
      </c>
      <c r="C820" s="61">
        <v>6224</v>
      </c>
      <c r="D820" s="5">
        <v>4.9400000000000004</v>
      </c>
      <c r="E820">
        <v>975</v>
      </c>
      <c r="F820">
        <v>2682</v>
      </c>
      <c r="G820">
        <v>1630</v>
      </c>
      <c r="H820" s="62">
        <v>1</v>
      </c>
      <c r="I820" s="62">
        <v>1</v>
      </c>
      <c r="J820" s="62">
        <v>1</v>
      </c>
      <c r="K820" s="11">
        <f t="shared" si="49"/>
        <v>1534005.4000000001</v>
      </c>
      <c r="L820" s="11">
        <f t="shared" si="47"/>
        <v>70197.61</v>
      </c>
      <c r="M820" s="11">
        <f t="shared" si="47"/>
        <v>77314</v>
      </c>
      <c r="N820" s="12">
        <f t="shared" si="48"/>
        <v>0.18523809523809523</v>
      </c>
      <c r="O820" s="12">
        <f t="shared" si="46"/>
        <v>0.17163504744002867</v>
      </c>
      <c r="P820" s="59" t="s">
        <v>118</v>
      </c>
    </row>
    <row r="821" spans="1:16">
      <c r="A821" s="60">
        <v>46014</v>
      </c>
      <c r="B821">
        <f>VLOOKUP(A821,'BADI SID DATA'!A:B,2,0)</f>
        <v>267</v>
      </c>
      <c r="C821" s="61">
        <v>4115</v>
      </c>
      <c r="D821" s="5">
        <v>3.23</v>
      </c>
      <c r="E821">
        <v>973</v>
      </c>
      <c r="F821">
        <v>657</v>
      </c>
      <c r="G821">
        <v>752</v>
      </c>
      <c r="H821" s="62">
        <v>1</v>
      </c>
      <c r="I821" s="62">
        <v>1</v>
      </c>
      <c r="J821" s="62">
        <v>1</v>
      </c>
      <c r="K821" s="11">
        <f t="shared" si="49"/>
        <v>1538120.4000000001</v>
      </c>
      <c r="L821" s="11">
        <f t="shared" si="47"/>
        <v>70854.61</v>
      </c>
      <c r="M821" s="11">
        <f t="shared" si="47"/>
        <v>78066</v>
      </c>
      <c r="N821" s="12">
        <f t="shared" si="48"/>
        <v>0.12247023809523809</v>
      </c>
      <c r="O821" s="12">
        <f t="shared" si="46"/>
        <v>0.1714509095773141</v>
      </c>
    </row>
    <row r="822" spans="1:16">
      <c r="A822" s="60">
        <v>46015</v>
      </c>
      <c r="B822">
        <f>VLOOKUP(A822,'BADI SID DATA'!A:B,2,0)</f>
        <v>268</v>
      </c>
      <c r="C822" s="61">
        <v>6347</v>
      </c>
      <c r="D822" s="5">
        <v>5.04</v>
      </c>
      <c r="E822">
        <v>967</v>
      </c>
      <c r="F822">
        <v>1327</v>
      </c>
      <c r="G822">
        <v>1467</v>
      </c>
      <c r="H822" s="62">
        <v>1</v>
      </c>
      <c r="I822" s="62">
        <v>1</v>
      </c>
      <c r="J822" s="62">
        <v>1</v>
      </c>
      <c r="K822" s="11">
        <f t="shared" si="49"/>
        <v>1544467.4000000001</v>
      </c>
      <c r="L822" s="11">
        <f t="shared" si="47"/>
        <v>72181.61</v>
      </c>
      <c r="M822" s="11">
        <f t="shared" si="47"/>
        <v>79533</v>
      </c>
      <c r="N822" s="12">
        <f t="shared" si="48"/>
        <v>0.18889880952380952</v>
      </c>
      <c r="O822" s="12">
        <f t="shared" si="46"/>
        <v>0.17151601368159206</v>
      </c>
    </row>
    <row r="823" spans="1:16">
      <c r="A823" s="60">
        <v>46016</v>
      </c>
      <c r="B823">
        <f>VLOOKUP(A823,'BADI SID DATA'!A:B,2,0)</f>
        <v>269</v>
      </c>
      <c r="C823" s="61">
        <v>6231</v>
      </c>
      <c r="D823" s="5">
        <v>4.9800000000000004</v>
      </c>
      <c r="E823">
        <v>957</v>
      </c>
      <c r="F823">
        <v>1359</v>
      </c>
      <c r="G823">
        <v>1462</v>
      </c>
      <c r="H823" s="62">
        <v>1</v>
      </c>
      <c r="I823" s="62">
        <v>1</v>
      </c>
      <c r="J823" s="62">
        <v>1</v>
      </c>
      <c r="K823" s="11">
        <f t="shared" si="49"/>
        <v>1550698.4000000001</v>
      </c>
      <c r="L823" s="11">
        <f t="shared" si="47"/>
        <v>73540.61</v>
      </c>
      <c r="M823" s="11">
        <f t="shared" si="47"/>
        <v>80995</v>
      </c>
      <c r="N823" s="12">
        <f t="shared" si="48"/>
        <v>0.18544642857142857</v>
      </c>
      <c r="O823" s="12">
        <f t="shared" si="46"/>
        <v>0.17156779961055055</v>
      </c>
    </row>
    <row r="824" spans="1:16">
      <c r="A824" s="60">
        <v>46017</v>
      </c>
      <c r="B824">
        <f>VLOOKUP(A824,'BADI SID DATA'!A:B,2,0)</f>
        <v>270</v>
      </c>
      <c r="C824" s="61">
        <v>6352</v>
      </c>
      <c r="D824" s="5">
        <v>4.99</v>
      </c>
      <c r="E824">
        <v>968</v>
      </c>
      <c r="F824">
        <v>1375</v>
      </c>
      <c r="G824">
        <v>1533</v>
      </c>
      <c r="H824" s="62">
        <v>1</v>
      </c>
      <c r="I824" s="62">
        <v>1</v>
      </c>
      <c r="J824" s="62">
        <v>1</v>
      </c>
      <c r="K824" s="11">
        <f t="shared" si="49"/>
        <v>1557050.4000000001</v>
      </c>
      <c r="L824" s="11">
        <f t="shared" si="47"/>
        <v>74915.61</v>
      </c>
      <c r="M824" s="11">
        <f t="shared" si="47"/>
        <v>82528</v>
      </c>
      <c r="N824" s="12">
        <f t="shared" si="48"/>
        <v>0.18904761904761905</v>
      </c>
      <c r="O824" s="12">
        <f t="shared" si="46"/>
        <v>0.17163253968253969</v>
      </c>
    </row>
    <row r="825" spans="1:16">
      <c r="A825" s="60">
        <v>46018</v>
      </c>
      <c r="B825">
        <f>VLOOKUP(A825,'BADI SID DATA'!A:B,2,0)</f>
        <v>271</v>
      </c>
      <c r="C825" s="61">
        <v>6361</v>
      </c>
      <c r="D825" s="5">
        <v>5.07</v>
      </c>
      <c r="E825">
        <v>968</v>
      </c>
      <c r="F825">
        <v>1325</v>
      </c>
      <c r="G825">
        <v>1498</v>
      </c>
      <c r="H825" s="62">
        <v>1</v>
      </c>
      <c r="I825" s="62">
        <v>1</v>
      </c>
      <c r="J825" s="62">
        <v>1</v>
      </c>
      <c r="K825" s="11">
        <f t="shared" si="49"/>
        <v>1563411.4000000001</v>
      </c>
      <c r="L825" s="11">
        <f t="shared" si="47"/>
        <v>76240.61</v>
      </c>
      <c r="M825" s="11">
        <f t="shared" si="47"/>
        <v>84026</v>
      </c>
      <c r="N825" s="12">
        <f t="shared" si="48"/>
        <v>0.1893154761904762</v>
      </c>
      <c r="O825" s="12">
        <f t="shared" si="46"/>
        <v>0.17169779037076086</v>
      </c>
    </row>
    <row r="826" spans="1:16">
      <c r="A826" s="60">
        <v>46019</v>
      </c>
      <c r="B826">
        <f>VLOOKUP(A826,'BADI SID DATA'!A:B,2,0)</f>
        <v>272</v>
      </c>
      <c r="C826" s="61">
        <v>6063</v>
      </c>
      <c r="D826" s="5">
        <v>4.82</v>
      </c>
      <c r="E826">
        <v>966</v>
      </c>
      <c r="F826">
        <v>1360</v>
      </c>
      <c r="G826">
        <v>1466</v>
      </c>
      <c r="H826" s="62">
        <v>1</v>
      </c>
      <c r="I826" s="62">
        <v>1</v>
      </c>
      <c r="J826" s="62">
        <v>1</v>
      </c>
      <c r="K826" s="11">
        <f t="shared" si="49"/>
        <v>1569474.4000000001</v>
      </c>
      <c r="L826" s="11">
        <f t="shared" si="47"/>
        <v>77600.61</v>
      </c>
      <c r="M826" s="11">
        <f t="shared" si="47"/>
        <v>85492</v>
      </c>
      <c r="N826" s="12">
        <f t="shared" si="48"/>
        <v>0.18044642857142856</v>
      </c>
      <c r="O826" s="12">
        <f t="shared" si="46"/>
        <v>0.17172995448179273</v>
      </c>
    </row>
    <row r="827" spans="1:16">
      <c r="A827" s="60">
        <v>46020</v>
      </c>
      <c r="B827">
        <f>VLOOKUP(A827,'BADI SID DATA'!A:B,2,0)</f>
        <v>273</v>
      </c>
      <c r="C827" s="61">
        <v>6048</v>
      </c>
      <c r="D827" s="5">
        <v>4.8600000000000003</v>
      </c>
      <c r="E827">
        <v>992</v>
      </c>
      <c r="F827">
        <v>1336</v>
      </c>
      <c r="G827">
        <v>1508</v>
      </c>
      <c r="H827" s="62">
        <v>1</v>
      </c>
      <c r="I827" s="62">
        <v>1</v>
      </c>
      <c r="J827" s="62">
        <v>1</v>
      </c>
      <c r="K827" s="11">
        <f t="shared" si="49"/>
        <v>1575522.4000000001</v>
      </c>
      <c r="L827" s="11">
        <f t="shared" si="47"/>
        <v>78936.61</v>
      </c>
      <c r="M827" s="11">
        <f t="shared" si="47"/>
        <v>87000</v>
      </c>
      <c r="N827" s="12">
        <f t="shared" si="48"/>
        <v>0.18</v>
      </c>
      <c r="O827" s="12">
        <f t="shared" si="46"/>
        <v>0.17176024768881915</v>
      </c>
    </row>
    <row r="828" spans="1:16">
      <c r="A828" s="60">
        <v>46021</v>
      </c>
      <c r="B828">
        <f>VLOOKUP(A828,'BADI SID DATA'!A:B,2,0)</f>
        <v>274</v>
      </c>
      <c r="C828" s="61">
        <v>6218</v>
      </c>
      <c r="D828" s="5">
        <v>4.9400000000000004</v>
      </c>
      <c r="E828">
        <v>943</v>
      </c>
      <c r="F828">
        <v>1320</v>
      </c>
      <c r="G828">
        <v>1490</v>
      </c>
      <c r="H828" s="62">
        <v>1</v>
      </c>
      <c r="I828" s="62">
        <v>1</v>
      </c>
      <c r="J828" s="62">
        <v>1</v>
      </c>
      <c r="K828" s="11">
        <f t="shared" si="49"/>
        <v>1581740.4000000001</v>
      </c>
      <c r="L828" s="11">
        <f t="shared" si="47"/>
        <v>80256.61</v>
      </c>
      <c r="M828" s="11">
        <f t="shared" si="47"/>
        <v>88490</v>
      </c>
      <c r="N828" s="12">
        <f t="shared" si="48"/>
        <v>0.18505952380952381</v>
      </c>
      <c r="O828" s="12">
        <f t="shared" si="46"/>
        <v>0.17180878519290929</v>
      </c>
    </row>
    <row r="829" spans="1:16">
      <c r="A829" s="60">
        <v>46022</v>
      </c>
      <c r="B829">
        <f>VLOOKUP(A829,'BADI SID DATA'!A:B,2,0)</f>
        <v>275</v>
      </c>
      <c r="C829" s="61">
        <v>5248</v>
      </c>
      <c r="D829" s="5">
        <v>4.1500000000000004</v>
      </c>
      <c r="E829">
        <v>968</v>
      </c>
      <c r="F829">
        <v>1223</v>
      </c>
      <c r="G829">
        <v>1379</v>
      </c>
      <c r="H829" s="62">
        <v>1</v>
      </c>
      <c r="I829" s="62">
        <v>1</v>
      </c>
      <c r="J829" s="62">
        <v>1</v>
      </c>
      <c r="K829" s="11">
        <f t="shared" si="49"/>
        <v>1586988.4000000001</v>
      </c>
      <c r="L829" s="11">
        <f t="shared" si="47"/>
        <v>81479.61</v>
      </c>
      <c r="M829" s="11">
        <f t="shared" si="47"/>
        <v>89869</v>
      </c>
      <c r="N829" s="12">
        <f t="shared" si="48"/>
        <v>0.15619047619047619</v>
      </c>
      <c r="O829" s="12">
        <f t="shared" si="46"/>
        <v>0.17175199134199134</v>
      </c>
    </row>
    <row r="830" spans="1:16">
      <c r="A830" s="60">
        <v>46023</v>
      </c>
      <c r="B830">
        <f>VLOOKUP(A830,'BADI SID DATA'!A:B,2,0)</f>
        <v>276</v>
      </c>
      <c r="C830" s="61">
        <v>5913</v>
      </c>
      <c r="D830" s="5">
        <v>4.67</v>
      </c>
      <c r="E830">
        <v>994</v>
      </c>
      <c r="F830">
        <v>1387</v>
      </c>
      <c r="G830">
        <v>1491</v>
      </c>
      <c r="H830" s="62">
        <v>1</v>
      </c>
      <c r="I830" s="62">
        <v>1</v>
      </c>
      <c r="J830" s="62">
        <v>1</v>
      </c>
      <c r="K830" s="11">
        <f t="shared" si="49"/>
        <v>1592901.4000000001</v>
      </c>
      <c r="L830" s="11">
        <f t="shared" si="47"/>
        <v>82866.61</v>
      </c>
      <c r="M830" s="11">
        <f t="shared" si="47"/>
        <v>91360</v>
      </c>
      <c r="N830" s="12">
        <f t="shared" si="48"/>
        <v>0.17598214285714286</v>
      </c>
      <c r="O830" s="12">
        <f t="shared" si="46"/>
        <v>0.17176731797791581</v>
      </c>
    </row>
    <row r="831" spans="1:16">
      <c r="A831" s="60">
        <v>46024</v>
      </c>
      <c r="B831">
        <f>VLOOKUP(A831,'BADI SID DATA'!A:B,2,0)</f>
        <v>277</v>
      </c>
      <c r="C831" s="61">
        <v>6537</v>
      </c>
      <c r="D831" s="5">
        <v>5.24</v>
      </c>
      <c r="E831">
        <v>1073</v>
      </c>
      <c r="F831">
        <v>1337</v>
      </c>
      <c r="G831">
        <v>1511</v>
      </c>
      <c r="H831" s="62">
        <v>1</v>
      </c>
      <c r="I831" s="62">
        <v>1</v>
      </c>
      <c r="J831" s="62">
        <v>1</v>
      </c>
      <c r="K831" s="11">
        <f t="shared" si="49"/>
        <v>1599438.4000000001</v>
      </c>
      <c r="L831" s="11">
        <f t="shared" si="47"/>
        <v>84203.61</v>
      </c>
      <c r="M831" s="11">
        <f t="shared" si="47"/>
        <v>92871</v>
      </c>
      <c r="N831" s="12">
        <f t="shared" si="48"/>
        <v>0.19455357142857144</v>
      </c>
      <c r="O831" s="12">
        <f t="shared" si="46"/>
        <v>0.17184957882069796</v>
      </c>
    </row>
    <row r="832" spans="1:16">
      <c r="A832" s="60">
        <v>46025</v>
      </c>
      <c r="B832">
        <f>VLOOKUP(A832,'BADI SID DATA'!A:B,2,0)</f>
        <v>278</v>
      </c>
      <c r="C832" s="61">
        <v>4941</v>
      </c>
      <c r="D832" s="59">
        <v>4</v>
      </c>
      <c r="E832">
        <v>1103</v>
      </c>
      <c r="F832">
        <v>1131</v>
      </c>
      <c r="G832">
        <v>1274</v>
      </c>
      <c r="H832" s="62">
        <v>1</v>
      </c>
      <c r="I832" s="62">
        <v>1</v>
      </c>
      <c r="J832" s="62">
        <v>1</v>
      </c>
      <c r="K832" s="11">
        <f t="shared" si="49"/>
        <v>1604379.4000000001</v>
      </c>
      <c r="L832" s="11">
        <f t="shared" si="47"/>
        <v>85334.61</v>
      </c>
      <c r="M832" s="11">
        <f t="shared" si="47"/>
        <v>94145</v>
      </c>
      <c r="N832" s="12">
        <f t="shared" si="48"/>
        <v>0.14705357142857142</v>
      </c>
      <c r="O832" s="12">
        <f t="shared" si="46"/>
        <v>0.17176038454950326</v>
      </c>
    </row>
    <row r="833" spans="1:15">
      <c r="A833" s="60">
        <v>46026</v>
      </c>
      <c r="B833">
        <f>VLOOKUP(A833,'BADI SID DATA'!A:B,2,0)</f>
        <v>279</v>
      </c>
      <c r="C833" s="61">
        <v>5621</v>
      </c>
      <c r="D833" s="5">
        <v>4.47</v>
      </c>
      <c r="E833">
        <v>935</v>
      </c>
      <c r="F833">
        <v>1143</v>
      </c>
      <c r="G833">
        <v>1383</v>
      </c>
      <c r="H833" s="62">
        <v>1</v>
      </c>
      <c r="I833" s="62">
        <v>1</v>
      </c>
      <c r="J833" s="62">
        <v>1</v>
      </c>
      <c r="K833" s="11">
        <f t="shared" si="49"/>
        <v>1610000.4000000001</v>
      </c>
      <c r="L833" s="11">
        <f t="shared" si="47"/>
        <v>86477.61</v>
      </c>
      <c r="M833" s="11">
        <f t="shared" si="47"/>
        <v>95528</v>
      </c>
      <c r="N833" s="12">
        <f t="shared" si="48"/>
        <v>0.16729166666666667</v>
      </c>
      <c r="O833" s="12">
        <f t="shared" si="46"/>
        <v>0.17174436763952894</v>
      </c>
    </row>
    <row r="834" spans="1:15">
      <c r="A834" s="60">
        <v>46027</v>
      </c>
      <c r="B834">
        <f>VLOOKUP(A834,'BADI SID DATA'!A:B,2,0)</f>
        <v>280</v>
      </c>
      <c r="C834" s="61">
        <v>5537</v>
      </c>
      <c r="D834" s="5">
        <v>4.3</v>
      </c>
      <c r="E834">
        <v>938</v>
      </c>
      <c r="F834">
        <v>1275</v>
      </c>
      <c r="G834">
        <v>1434</v>
      </c>
      <c r="H834" s="62">
        <v>1</v>
      </c>
      <c r="I834" s="62">
        <v>1</v>
      </c>
      <c r="J834" s="62">
        <v>1</v>
      </c>
      <c r="K834" s="11">
        <f t="shared" si="49"/>
        <v>1615537.4000000001</v>
      </c>
      <c r="L834" s="11">
        <f t="shared" si="47"/>
        <v>87752.61</v>
      </c>
      <c r="M834" s="11">
        <f t="shared" si="47"/>
        <v>96962</v>
      </c>
      <c r="N834" s="12">
        <f t="shared" si="48"/>
        <v>0.16479166666666667</v>
      </c>
      <c r="O834" s="12">
        <f t="shared" si="46"/>
        <v>0.17171953656462585</v>
      </c>
    </row>
    <row r="835" spans="1:15">
      <c r="A835" s="60">
        <v>46028</v>
      </c>
      <c r="B835">
        <f>VLOOKUP(A835,'BADI SID DATA'!A:B,2,0)</f>
        <v>281</v>
      </c>
      <c r="H835" s="62">
        <v>1</v>
      </c>
      <c r="I835" s="62">
        <v>1</v>
      </c>
      <c r="J835" s="62">
        <v>1</v>
      </c>
      <c r="K835" s="11">
        <f t="shared" si="49"/>
        <v>1615537.4000000001</v>
      </c>
      <c r="L835" s="11">
        <f t="shared" si="47"/>
        <v>87752.61</v>
      </c>
      <c r="M835" s="11">
        <f t="shared" si="47"/>
        <v>96962</v>
      </c>
      <c r="N835" s="12">
        <f t="shared" si="48"/>
        <v>0</v>
      </c>
      <c r="O835" s="12">
        <f t="shared" ref="O835:O898" si="50">K835/(B835*1400*24)</f>
        <v>0.17110843501101511</v>
      </c>
    </row>
    <row r="836" spans="1:15">
      <c r="A836" s="60">
        <v>46029</v>
      </c>
      <c r="B836">
        <f>VLOOKUP(A836,'BADI SID DATA'!A:B,2,0)</f>
        <v>282</v>
      </c>
      <c r="H836" s="62">
        <v>1</v>
      </c>
      <c r="I836" s="62">
        <v>1</v>
      </c>
      <c r="J836" s="62">
        <v>1</v>
      </c>
      <c r="K836" s="11">
        <f t="shared" si="49"/>
        <v>1615537.4000000001</v>
      </c>
      <c r="L836" s="11">
        <f t="shared" si="47"/>
        <v>87752.61</v>
      </c>
      <c r="M836" s="11">
        <f t="shared" si="47"/>
        <v>96962</v>
      </c>
      <c r="N836" s="12">
        <f t="shared" si="48"/>
        <v>0</v>
      </c>
      <c r="O836" s="12">
        <f t="shared" si="50"/>
        <v>0.17050166751097603</v>
      </c>
    </row>
    <row r="837" spans="1:15">
      <c r="A837" s="60">
        <v>46030</v>
      </c>
      <c r="B837">
        <f>VLOOKUP(A837,'BADI SID DATA'!A:B,2,0)</f>
        <v>283</v>
      </c>
      <c r="H837" s="62">
        <v>1</v>
      </c>
      <c r="I837" s="62">
        <v>1</v>
      </c>
      <c r="J837" s="62">
        <v>1</v>
      </c>
      <c r="K837" s="11">
        <f t="shared" si="49"/>
        <v>1615537.4000000001</v>
      </c>
      <c r="L837" s="11">
        <f t="shared" si="47"/>
        <v>87752.61</v>
      </c>
      <c r="M837" s="11">
        <f t="shared" si="47"/>
        <v>96962</v>
      </c>
      <c r="N837" s="12">
        <f t="shared" si="48"/>
        <v>0</v>
      </c>
      <c r="O837" s="12">
        <f t="shared" si="50"/>
        <v>0.16989918812047788</v>
      </c>
    </row>
    <row r="838" spans="1:15">
      <c r="A838" s="60">
        <v>46031</v>
      </c>
      <c r="B838">
        <f>VLOOKUP(A838,'BADI SID DATA'!A:B,2,0)</f>
        <v>284</v>
      </c>
      <c r="H838" s="62">
        <v>1</v>
      </c>
      <c r="I838" s="62">
        <v>1</v>
      </c>
      <c r="J838" s="62">
        <v>1</v>
      </c>
      <c r="K838" s="11">
        <f t="shared" si="49"/>
        <v>1615537.4000000001</v>
      </c>
      <c r="L838" s="11">
        <f t="shared" si="47"/>
        <v>87752.61</v>
      </c>
      <c r="M838" s="11">
        <f t="shared" si="47"/>
        <v>96962</v>
      </c>
      <c r="N838" s="12">
        <f t="shared" si="48"/>
        <v>0</v>
      </c>
      <c r="O838" s="12">
        <f t="shared" si="50"/>
        <v>0.16930095154258887</v>
      </c>
    </row>
    <row r="839" spans="1:15">
      <c r="A839" s="60">
        <v>46032</v>
      </c>
      <c r="B839">
        <f>VLOOKUP(A839,'BADI SID DATA'!A:B,2,0)</f>
        <v>285</v>
      </c>
      <c r="H839" s="62">
        <v>1</v>
      </c>
      <c r="I839" s="62">
        <v>1</v>
      </c>
      <c r="J839" s="62">
        <v>1</v>
      </c>
      <c r="K839" s="11">
        <f t="shared" si="49"/>
        <v>1615537.4000000001</v>
      </c>
      <c r="L839" s="11">
        <f t="shared" si="47"/>
        <v>87752.61</v>
      </c>
      <c r="M839" s="11">
        <f t="shared" si="47"/>
        <v>96962</v>
      </c>
      <c r="N839" s="12">
        <f t="shared" si="48"/>
        <v>0</v>
      </c>
      <c r="O839" s="12">
        <f t="shared" si="50"/>
        <v>0.16870691311612365</v>
      </c>
    </row>
    <row r="840" spans="1:15">
      <c r="A840" s="60">
        <v>46033</v>
      </c>
      <c r="B840">
        <f>VLOOKUP(A840,'BADI SID DATA'!A:B,2,0)</f>
        <v>286</v>
      </c>
      <c r="H840" s="62">
        <v>1</v>
      </c>
      <c r="I840" s="62">
        <v>1</v>
      </c>
      <c r="J840" s="62">
        <v>1</v>
      </c>
      <c r="K840" s="11">
        <f t="shared" si="49"/>
        <v>1615537.4000000001</v>
      </c>
      <c r="L840" s="11">
        <f t="shared" si="47"/>
        <v>87752.61</v>
      </c>
      <c r="M840" s="11">
        <f t="shared" si="47"/>
        <v>96962</v>
      </c>
      <c r="N840" s="12">
        <f t="shared" si="48"/>
        <v>0</v>
      </c>
      <c r="O840" s="12">
        <f t="shared" si="50"/>
        <v>0.16811702880452881</v>
      </c>
    </row>
    <row r="841" spans="1:15">
      <c r="A841" s="60">
        <v>46034</v>
      </c>
      <c r="B841">
        <f>VLOOKUP(A841,'BADI SID DATA'!A:B,2,0)</f>
        <v>287</v>
      </c>
      <c r="H841" s="62">
        <v>1</v>
      </c>
      <c r="I841" s="62">
        <v>1</v>
      </c>
      <c r="J841" s="62">
        <v>1</v>
      </c>
      <c r="K841" s="11">
        <f t="shared" si="49"/>
        <v>1615537.4000000001</v>
      </c>
      <c r="L841" s="11">
        <f t="shared" si="47"/>
        <v>87752.61</v>
      </c>
      <c r="M841" s="11">
        <f t="shared" si="47"/>
        <v>96962</v>
      </c>
      <c r="N841" s="12">
        <f t="shared" si="48"/>
        <v>0</v>
      </c>
      <c r="O841" s="12">
        <f t="shared" si="50"/>
        <v>0.16753125518500084</v>
      </c>
    </row>
    <row r="842" spans="1:15">
      <c r="A842" s="60">
        <v>46035</v>
      </c>
      <c r="B842">
        <f>VLOOKUP(A842,'BADI SID DATA'!A:B,2,0)</f>
        <v>288</v>
      </c>
      <c r="H842" s="62">
        <v>1</v>
      </c>
      <c r="I842" s="62">
        <v>1</v>
      </c>
      <c r="J842" s="62">
        <v>1</v>
      </c>
      <c r="K842" s="11">
        <f t="shared" si="49"/>
        <v>1615537.4000000001</v>
      </c>
      <c r="L842" s="11">
        <f t="shared" si="47"/>
        <v>87752.61</v>
      </c>
      <c r="M842" s="11">
        <f t="shared" si="47"/>
        <v>96962</v>
      </c>
      <c r="N842" s="12">
        <f t="shared" si="48"/>
        <v>0</v>
      </c>
      <c r="O842" s="12">
        <f t="shared" si="50"/>
        <v>0.16694954943783069</v>
      </c>
    </row>
    <row r="843" spans="1:15">
      <c r="A843" s="60">
        <v>46036</v>
      </c>
      <c r="B843">
        <f>VLOOKUP(A843,'BADI SID DATA'!A:B,2,0)</f>
        <v>289</v>
      </c>
      <c r="H843" s="62">
        <v>1</v>
      </c>
      <c r="I843" s="62">
        <v>1</v>
      </c>
      <c r="J843" s="62">
        <v>1</v>
      </c>
      <c r="K843" s="11">
        <f t="shared" si="49"/>
        <v>1615537.4000000001</v>
      </c>
      <c r="L843" s="11">
        <f t="shared" si="47"/>
        <v>87752.61</v>
      </c>
      <c r="M843" s="11">
        <f t="shared" si="47"/>
        <v>96962</v>
      </c>
      <c r="N843" s="12">
        <f t="shared" si="48"/>
        <v>0</v>
      </c>
      <c r="O843" s="12">
        <f t="shared" si="50"/>
        <v>0.1663718693359697</v>
      </c>
    </row>
    <row r="844" spans="1:15">
      <c r="A844" s="60">
        <v>46037</v>
      </c>
      <c r="B844">
        <f>VLOOKUP(A844,'BADI SID DATA'!A:B,2,0)</f>
        <v>290</v>
      </c>
      <c r="H844" s="62">
        <v>1</v>
      </c>
      <c r="I844" s="62">
        <v>1</v>
      </c>
      <c r="J844" s="62">
        <v>1</v>
      </c>
      <c r="K844" s="11">
        <f t="shared" si="49"/>
        <v>1615537.4000000001</v>
      </c>
      <c r="L844" s="11">
        <f t="shared" si="47"/>
        <v>87752.61</v>
      </c>
      <c r="M844" s="11">
        <f t="shared" si="47"/>
        <v>96962</v>
      </c>
      <c r="N844" s="12">
        <f t="shared" si="48"/>
        <v>0</v>
      </c>
      <c r="O844" s="12">
        <f t="shared" si="50"/>
        <v>0.16579817323481119</v>
      </c>
    </row>
    <row r="845" spans="1:15">
      <c r="A845" s="60">
        <v>46038</v>
      </c>
      <c r="B845">
        <f>VLOOKUP(A845,'BADI SID DATA'!A:B,2,0)</f>
        <v>291</v>
      </c>
      <c r="H845" s="62">
        <v>1</v>
      </c>
      <c r="I845" s="62">
        <v>1</v>
      </c>
      <c r="J845" s="62">
        <v>1</v>
      </c>
      <c r="K845" s="11">
        <f t="shared" si="49"/>
        <v>1615537.4000000001</v>
      </c>
      <c r="L845" s="11">
        <f t="shared" si="47"/>
        <v>87752.61</v>
      </c>
      <c r="M845" s="11">
        <f t="shared" si="47"/>
        <v>96962</v>
      </c>
      <c r="N845" s="12">
        <f t="shared" si="48"/>
        <v>0</v>
      </c>
      <c r="O845" s="12">
        <f t="shared" si="50"/>
        <v>0.16522842006218297</v>
      </c>
    </row>
    <row r="846" spans="1:15">
      <c r="A846" s="60">
        <v>46039</v>
      </c>
      <c r="B846">
        <f>VLOOKUP(A846,'BADI SID DATA'!A:B,2,0)</f>
        <v>292</v>
      </c>
      <c r="H846" s="62">
        <v>1</v>
      </c>
      <c r="I846" s="62">
        <v>1</v>
      </c>
      <c r="J846" s="62">
        <v>1</v>
      </c>
      <c r="K846" s="11">
        <f t="shared" si="49"/>
        <v>1615537.4000000001</v>
      </c>
      <c r="L846" s="11">
        <f t="shared" si="47"/>
        <v>87752.61</v>
      </c>
      <c r="M846" s="11">
        <f t="shared" si="47"/>
        <v>96962</v>
      </c>
      <c r="N846" s="12">
        <f t="shared" si="48"/>
        <v>0</v>
      </c>
      <c r="O846" s="12">
        <f t="shared" si="50"/>
        <v>0.16466256930854534</v>
      </c>
    </row>
    <row r="847" spans="1:15">
      <c r="A847" s="60">
        <v>46040</v>
      </c>
      <c r="B847">
        <f>VLOOKUP(A847,'BADI SID DATA'!A:B,2,0)</f>
        <v>293</v>
      </c>
      <c r="H847" s="62">
        <v>1</v>
      </c>
      <c r="I847" s="62">
        <v>1</v>
      </c>
      <c r="J847" s="62">
        <v>1</v>
      </c>
      <c r="K847" s="11">
        <f t="shared" si="49"/>
        <v>1615537.4000000001</v>
      </c>
      <c r="L847" s="11">
        <f t="shared" si="47"/>
        <v>87752.61</v>
      </c>
      <c r="M847" s="11">
        <f t="shared" si="47"/>
        <v>96962</v>
      </c>
      <c r="N847" s="12">
        <f t="shared" si="48"/>
        <v>0</v>
      </c>
      <c r="O847" s="12">
        <f t="shared" si="50"/>
        <v>0.16410058101738992</v>
      </c>
    </row>
    <row r="848" spans="1:15">
      <c r="A848" s="60">
        <v>46041</v>
      </c>
      <c r="B848">
        <f>VLOOKUP(A848,'BADI SID DATA'!A:B,2,0)</f>
        <v>294</v>
      </c>
      <c r="H848" s="62">
        <v>1</v>
      </c>
      <c r="I848" s="62">
        <v>1</v>
      </c>
      <c r="J848" s="62">
        <v>1</v>
      </c>
      <c r="K848" s="11">
        <f t="shared" si="49"/>
        <v>1615537.4000000001</v>
      </c>
      <c r="L848" s="11">
        <f t="shared" si="47"/>
        <v>87752.61</v>
      </c>
      <c r="M848" s="11">
        <f t="shared" si="47"/>
        <v>96962</v>
      </c>
      <c r="N848" s="12">
        <f t="shared" si="48"/>
        <v>0</v>
      </c>
      <c r="O848" s="12">
        <f t="shared" si="50"/>
        <v>0.16354241577583414</v>
      </c>
    </row>
    <row r="849" spans="1:15">
      <c r="A849" s="60">
        <v>46042</v>
      </c>
      <c r="B849">
        <f>VLOOKUP(A849,'BADI SID DATA'!A:B,2,0)</f>
        <v>295</v>
      </c>
      <c r="H849" s="62">
        <v>1</v>
      </c>
      <c r="I849" s="62">
        <v>1</v>
      </c>
      <c r="J849" s="62">
        <v>1</v>
      </c>
      <c r="K849" s="11">
        <f t="shared" si="49"/>
        <v>1615537.4000000001</v>
      </c>
      <c r="L849" s="11">
        <f t="shared" si="47"/>
        <v>87752.61</v>
      </c>
      <c r="M849" s="11">
        <f t="shared" si="47"/>
        <v>96962</v>
      </c>
      <c r="N849" s="12">
        <f t="shared" si="48"/>
        <v>0</v>
      </c>
      <c r="O849" s="12">
        <f t="shared" si="50"/>
        <v>0.1629880347054076</v>
      </c>
    </row>
    <row r="850" spans="1:15">
      <c r="A850" s="60">
        <v>46043</v>
      </c>
      <c r="B850">
        <f>VLOOKUP(A850,'BADI SID DATA'!A:B,2,0)</f>
        <v>296</v>
      </c>
      <c r="H850" s="62">
        <v>1</v>
      </c>
      <c r="I850" s="62">
        <v>1</v>
      </c>
      <c r="J850" s="62">
        <v>1</v>
      </c>
      <c r="K850" s="11">
        <f t="shared" si="49"/>
        <v>1615537.4000000001</v>
      </c>
      <c r="L850" s="11">
        <f t="shared" si="47"/>
        <v>87752.61</v>
      </c>
      <c r="M850" s="11">
        <f t="shared" si="47"/>
        <v>96962</v>
      </c>
      <c r="N850" s="12">
        <f t="shared" si="48"/>
        <v>0</v>
      </c>
      <c r="O850" s="12">
        <f t="shared" si="50"/>
        <v>0.16243739945302446</v>
      </c>
    </row>
    <row r="851" spans="1:15">
      <c r="A851" s="60">
        <v>46044</v>
      </c>
      <c r="B851">
        <f>VLOOKUP(A851,'BADI SID DATA'!A:B,2,0)</f>
        <v>297</v>
      </c>
      <c r="H851" s="62">
        <v>1</v>
      </c>
      <c r="I851" s="62">
        <v>1</v>
      </c>
      <c r="J851" s="62">
        <v>1</v>
      </c>
      <c r="K851" s="11">
        <f t="shared" si="49"/>
        <v>1615537.4000000001</v>
      </c>
      <c r="L851" s="11">
        <f t="shared" si="47"/>
        <v>87752.61</v>
      </c>
      <c r="M851" s="11">
        <f t="shared" si="47"/>
        <v>96962</v>
      </c>
      <c r="N851" s="12">
        <f t="shared" si="48"/>
        <v>0</v>
      </c>
      <c r="O851" s="12">
        <f t="shared" si="50"/>
        <v>0.16189047218213887</v>
      </c>
    </row>
    <row r="852" spans="1:15">
      <c r="A852" s="60">
        <v>46045</v>
      </c>
      <c r="B852">
        <f>VLOOKUP(A852,'BADI SID DATA'!A:B,2,0)</f>
        <v>298</v>
      </c>
      <c r="H852" s="62">
        <v>1</v>
      </c>
      <c r="I852" s="62">
        <v>1</v>
      </c>
      <c r="J852" s="62">
        <v>1</v>
      </c>
      <c r="K852" s="11">
        <f t="shared" si="49"/>
        <v>1615537.4000000001</v>
      </c>
      <c r="L852" s="11">
        <f t="shared" si="47"/>
        <v>87752.61</v>
      </c>
      <c r="M852" s="11">
        <f t="shared" si="47"/>
        <v>96962</v>
      </c>
      <c r="N852" s="12">
        <f t="shared" si="48"/>
        <v>0</v>
      </c>
      <c r="O852" s="12">
        <f t="shared" si="50"/>
        <v>0.16134721556407799</v>
      </c>
    </row>
    <row r="853" spans="1:15">
      <c r="A853" s="60">
        <v>46046</v>
      </c>
      <c r="B853">
        <f>VLOOKUP(A853,'BADI SID DATA'!A:B,2,0)</f>
        <v>299</v>
      </c>
      <c r="H853" s="62">
        <v>1</v>
      </c>
      <c r="I853" s="62">
        <v>1</v>
      </c>
      <c r="J853" s="62">
        <v>1</v>
      </c>
      <c r="K853" s="11">
        <f t="shared" si="49"/>
        <v>1615537.4000000001</v>
      </c>
      <c r="L853" s="11">
        <f t="shared" si="47"/>
        <v>87752.61</v>
      </c>
      <c r="M853" s="11">
        <f t="shared" si="47"/>
        <v>96962</v>
      </c>
      <c r="N853" s="12">
        <f t="shared" si="48"/>
        <v>0</v>
      </c>
      <c r="O853" s="12">
        <f t="shared" si="50"/>
        <v>0.16080759276954931</v>
      </c>
    </row>
    <row r="854" spans="1:15">
      <c r="A854" s="60">
        <v>46047</v>
      </c>
      <c r="B854">
        <f>VLOOKUP(A854,'BADI SID DATA'!A:B,2,0)</f>
        <v>300</v>
      </c>
      <c r="H854" s="62">
        <v>1</v>
      </c>
      <c r="I854" s="62">
        <v>1</v>
      </c>
      <c r="J854" s="62">
        <v>1</v>
      </c>
      <c r="K854" s="11">
        <f t="shared" si="49"/>
        <v>1615537.4000000001</v>
      </c>
      <c r="L854" s="11">
        <f t="shared" si="47"/>
        <v>87752.61</v>
      </c>
      <c r="M854" s="11">
        <f t="shared" si="47"/>
        <v>96962</v>
      </c>
      <c r="N854" s="12">
        <f t="shared" si="48"/>
        <v>0</v>
      </c>
      <c r="O854" s="12">
        <f t="shared" si="50"/>
        <v>0.16027156746031748</v>
      </c>
    </row>
    <row r="855" spans="1:15">
      <c r="A855" s="60">
        <v>46048</v>
      </c>
      <c r="B855">
        <f>VLOOKUP(A855,'BADI SID DATA'!A:B,2,0)</f>
        <v>301</v>
      </c>
      <c r="H855" s="62">
        <v>1</v>
      </c>
      <c r="I855" s="62">
        <v>1</v>
      </c>
      <c r="J855" s="62">
        <v>1</v>
      </c>
      <c r="K855" s="11">
        <f t="shared" si="49"/>
        <v>1615537.4000000001</v>
      </c>
      <c r="L855" s="11">
        <f t="shared" si="47"/>
        <v>87752.61</v>
      </c>
      <c r="M855" s="11">
        <f t="shared" si="47"/>
        <v>96962</v>
      </c>
      <c r="N855" s="12">
        <f t="shared" si="48"/>
        <v>0</v>
      </c>
      <c r="O855" s="12">
        <f t="shared" si="50"/>
        <v>0.1597391037810473</v>
      </c>
    </row>
    <row r="856" spans="1:15">
      <c r="A856" s="60">
        <v>46049</v>
      </c>
      <c r="B856">
        <f>VLOOKUP(A856,'BADI SID DATA'!A:B,2,0)</f>
        <v>302</v>
      </c>
      <c r="H856" s="62">
        <v>1</v>
      </c>
      <c r="I856" s="62">
        <v>1</v>
      </c>
      <c r="J856" s="62">
        <v>1</v>
      </c>
      <c r="K856" s="11">
        <f t="shared" si="49"/>
        <v>1615537.4000000001</v>
      </c>
      <c r="L856" s="11">
        <f t="shared" si="47"/>
        <v>87752.61</v>
      </c>
      <c r="M856" s="11">
        <f t="shared" si="47"/>
        <v>96962</v>
      </c>
      <c r="N856" s="12">
        <f t="shared" si="48"/>
        <v>0</v>
      </c>
      <c r="O856" s="12">
        <f t="shared" si="50"/>
        <v>0.15921016635130875</v>
      </c>
    </row>
    <row r="857" spans="1:15">
      <c r="A857" s="60">
        <v>46050</v>
      </c>
      <c r="B857">
        <f>VLOOKUP(A857,'BADI SID DATA'!A:B,2,0)</f>
        <v>303</v>
      </c>
      <c r="H857" s="62">
        <v>1</v>
      </c>
      <c r="I857" s="62">
        <v>1</v>
      </c>
      <c r="J857" s="62">
        <v>1</v>
      </c>
      <c r="K857" s="11">
        <f t="shared" si="49"/>
        <v>1615537.4000000001</v>
      </c>
      <c r="L857" s="11">
        <f t="shared" si="47"/>
        <v>87752.61</v>
      </c>
      <c r="M857" s="11">
        <f t="shared" si="47"/>
        <v>96962</v>
      </c>
      <c r="N857" s="12">
        <f t="shared" si="48"/>
        <v>0</v>
      </c>
      <c r="O857" s="12">
        <f t="shared" si="50"/>
        <v>0.15868472025774008</v>
      </c>
    </row>
    <row r="858" spans="1:15">
      <c r="A858" s="60">
        <v>46051</v>
      </c>
      <c r="B858">
        <f>VLOOKUP(A858,'BADI SID DATA'!A:B,2,0)</f>
        <v>304</v>
      </c>
      <c r="H858" s="62">
        <v>1</v>
      </c>
      <c r="I858" s="62">
        <v>1</v>
      </c>
      <c r="J858" s="62">
        <v>1</v>
      </c>
      <c r="K858" s="11">
        <f t="shared" si="49"/>
        <v>1615537.4000000001</v>
      </c>
      <c r="L858" s="11">
        <f t="shared" si="47"/>
        <v>87752.61</v>
      </c>
      <c r="M858" s="11">
        <f t="shared" si="47"/>
        <v>96962</v>
      </c>
      <c r="N858" s="12">
        <f t="shared" si="48"/>
        <v>0</v>
      </c>
      <c r="O858" s="12">
        <f t="shared" si="50"/>
        <v>0.15816273104636594</v>
      </c>
    </row>
    <row r="859" spans="1:15">
      <c r="A859" s="60">
        <v>46052</v>
      </c>
      <c r="B859">
        <f>VLOOKUP(A859,'BADI SID DATA'!A:B,2,0)</f>
        <v>305</v>
      </c>
      <c r="H859" s="62">
        <v>1</v>
      </c>
      <c r="I859" s="62">
        <v>1</v>
      </c>
      <c r="J859" s="62">
        <v>1</v>
      </c>
      <c r="K859" s="11">
        <f t="shared" si="49"/>
        <v>1615537.4000000001</v>
      </c>
      <c r="L859" s="11">
        <f t="shared" si="47"/>
        <v>87752.61</v>
      </c>
      <c r="M859" s="11">
        <f t="shared" si="47"/>
        <v>96962</v>
      </c>
      <c r="N859" s="12">
        <f t="shared" si="48"/>
        <v>0</v>
      </c>
      <c r="O859" s="12">
        <f t="shared" si="50"/>
        <v>0.15764416471506637</v>
      </c>
    </row>
    <row r="860" spans="1:15">
      <c r="A860" s="60">
        <v>46053</v>
      </c>
      <c r="B860">
        <f>VLOOKUP(A860,'BADI SID DATA'!A:B,2,0)</f>
        <v>306</v>
      </c>
      <c r="H860" s="62">
        <v>1</v>
      </c>
      <c r="I860" s="62">
        <v>1</v>
      </c>
      <c r="J860" s="62">
        <v>1</v>
      </c>
      <c r="K860" s="11">
        <f t="shared" si="49"/>
        <v>1615537.4000000001</v>
      </c>
      <c r="L860" s="11">
        <f t="shared" si="47"/>
        <v>87752.61</v>
      </c>
      <c r="M860" s="11">
        <f t="shared" si="47"/>
        <v>96962</v>
      </c>
      <c r="N860" s="12">
        <f t="shared" si="48"/>
        <v>0</v>
      </c>
      <c r="O860" s="12">
        <f t="shared" si="50"/>
        <v>0.1571289877061936</v>
      </c>
    </row>
    <row r="861" spans="1:15">
      <c r="A861" s="60">
        <v>46054</v>
      </c>
      <c r="B861">
        <f>VLOOKUP(A861,'BADI SID DATA'!A:B,2,0)</f>
        <v>307</v>
      </c>
      <c r="H861" s="62">
        <v>1</v>
      </c>
      <c r="I861" s="62">
        <v>1</v>
      </c>
      <c r="J861" s="62">
        <v>1</v>
      </c>
      <c r="K861" s="11">
        <f t="shared" si="49"/>
        <v>1615537.4000000001</v>
      </c>
      <c r="L861" s="11">
        <f t="shared" si="47"/>
        <v>87752.61</v>
      </c>
      <c r="M861" s="11">
        <f t="shared" si="47"/>
        <v>96962</v>
      </c>
      <c r="N861" s="12">
        <f t="shared" si="48"/>
        <v>0</v>
      </c>
      <c r="O861" s="12">
        <f t="shared" si="50"/>
        <v>0.15661716689933303</v>
      </c>
    </row>
    <row r="862" spans="1:15">
      <c r="A862" s="60">
        <v>46055</v>
      </c>
      <c r="B862">
        <f>VLOOKUP(A862,'BADI SID DATA'!A:B,2,0)</f>
        <v>308</v>
      </c>
      <c r="H862" s="62">
        <v>1</v>
      </c>
      <c r="I862" s="62">
        <v>1</v>
      </c>
      <c r="J862" s="62">
        <v>1</v>
      </c>
      <c r="K862" s="11">
        <f t="shared" si="49"/>
        <v>1615537.4000000001</v>
      </c>
      <c r="L862" s="11">
        <f t="shared" si="47"/>
        <v>87752.61</v>
      </c>
      <c r="M862" s="11">
        <f t="shared" si="47"/>
        <v>96962</v>
      </c>
      <c r="N862" s="12">
        <f t="shared" si="48"/>
        <v>0</v>
      </c>
      <c r="O862" s="12">
        <f t="shared" si="50"/>
        <v>0.15610866960420533</v>
      </c>
    </row>
    <row r="863" spans="1:15">
      <c r="A863" s="60">
        <v>46056</v>
      </c>
      <c r="B863">
        <f>VLOOKUP(A863,'BADI SID DATA'!A:B,2,0)</f>
        <v>309</v>
      </c>
      <c r="H863" s="62">
        <v>1</v>
      </c>
      <c r="I863" s="62">
        <v>1</v>
      </c>
      <c r="J863" s="62">
        <v>1</v>
      </c>
      <c r="K863" s="11">
        <f t="shared" si="49"/>
        <v>1615537.4000000001</v>
      </c>
      <c r="L863" s="11">
        <f t="shared" si="47"/>
        <v>87752.61</v>
      </c>
      <c r="M863" s="11">
        <f t="shared" si="47"/>
        <v>96962</v>
      </c>
      <c r="N863" s="12">
        <f t="shared" si="48"/>
        <v>0</v>
      </c>
      <c r="O863" s="12">
        <f t="shared" si="50"/>
        <v>0.15560346355370627</v>
      </c>
    </row>
    <row r="864" spans="1:15">
      <c r="A864" s="60">
        <v>46057</v>
      </c>
      <c r="B864">
        <f>VLOOKUP(A864,'BADI SID DATA'!A:B,2,0)</f>
        <v>310</v>
      </c>
      <c r="H864" s="62">
        <v>1</v>
      </c>
      <c r="I864" s="62">
        <v>1</v>
      </c>
      <c r="J864" s="62">
        <v>1</v>
      </c>
      <c r="K864" s="11">
        <f t="shared" si="49"/>
        <v>1615537.4000000001</v>
      </c>
      <c r="L864" s="11">
        <f t="shared" si="47"/>
        <v>87752.61</v>
      </c>
      <c r="M864" s="11">
        <f t="shared" si="47"/>
        <v>96962</v>
      </c>
      <c r="N864" s="12">
        <f t="shared" si="48"/>
        <v>0</v>
      </c>
      <c r="O864" s="12">
        <f t="shared" si="50"/>
        <v>0.15510151689708143</v>
      </c>
    </row>
    <row r="865" spans="1:15">
      <c r="A865" s="60">
        <v>46058</v>
      </c>
      <c r="B865">
        <f>VLOOKUP(A865,'BADI SID DATA'!A:B,2,0)</f>
        <v>311</v>
      </c>
      <c r="H865" s="62">
        <v>1</v>
      </c>
      <c r="I865" s="62">
        <v>1</v>
      </c>
      <c r="J865" s="62">
        <v>1</v>
      </c>
      <c r="K865" s="11">
        <f t="shared" si="49"/>
        <v>1615537.4000000001</v>
      </c>
      <c r="L865" s="11">
        <f t="shared" si="47"/>
        <v>87752.61</v>
      </c>
      <c r="M865" s="11">
        <f t="shared" si="47"/>
        <v>96962</v>
      </c>
      <c r="N865" s="12">
        <f t="shared" si="48"/>
        <v>0</v>
      </c>
      <c r="O865" s="12">
        <f t="shared" si="50"/>
        <v>0.15460279819323228</v>
      </c>
    </row>
    <row r="866" spans="1:15">
      <c r="A866" s="60">
        <v>46059</v>
      </c>
      <c r="B866">
        <f>VLOOKUP(A866,'BADI SID DATA'!A:B,2,0)</f>
        <v>312</v>
      </c>
      <c r="H866" s="62">
        <v>1</v>
      </c>
      <c r="I866" s="62">
        <v>1</v>
      </c>
      <c r="J866" s="62">
        <v>1</v>
      </c>
      <c r="K866" s="11">
        <f t="shared" si="49"/>
        <v>1615537.4000000001</v>
      </c>
      <c r="L866" s="11">
        <f t="shared" si="47"/>
        <v>87752.61</v>
      </c>
      <c r="M866" s="11">
        <f t="shared" si="47"/>
        <v>96962</v>
      </c>
      <c r="N866" s="12">
        <f t="shared" si="48"/>
        <v>0</v>
      </c>
      <c r="O866" s="12">
        <f t="shared" si="50"/>
        <v>0.15410727640415142</v>
      </c>
    </row>
    <row r="867" spans="1:15">
      <c r="A867" s="60">
        <v>46060</v>
      </c>
      <c r="B867">
        <f>VLOOKUP(A867,'BADI SID DATA'!A:B,2,0)</f>
        <v>313</v>
      </c>
      <c r="H867" s="62">
        <v>1</v>
      </c>
      <c r="I867" s="62">
        <v>1</v>
      </c>
      <c r="J867" s="62">
        <v>1</v>
      </c>
      <c r="K867" s="11">
        <f t="shared" si="49"/>
        <v>1615537.4000000001</v>
      </c>
      <c r="L867" s="11">
        <f t="shared" si="47"/>
        <v>87752.61</v>
      </c>
      <c r="M867" s="11">
        <f t="shared" si="47"/>
        <v>96962</v>
      </c>
      <c r="N867" s="12">
        <f t="shared" si="48"/>
        <v>0</v>
      </c>
      <c r="O867" s="12">
        <f t="shared" si="50"/>
        <v>0.15361492088848319</v>
      </c>
    </row>
    <row r="868" spans="1:15">
      <c r="A868" s="60">
        <v>46061</v>
      </c>
      <c r="B868">
        <f>VLOOKUP(A868,'BADI SID DATA'!A:B,2,0)</f>
        <v>314</v>
      </c>
      <c r="H868" s="62">
        <v>1</v>
      </c>
      <c r="I868" s="62">
        <v>1</v>
      </c>
      <c r="J868" s="62">
        <v>1</v>
      </c>
      <c r="K868" s="11">
        <f t="shared" si="49"/>
        <v>1615537.4000000001</v>
      </c>
      <c r="L868" s="11">
        <f t="shared" si="47"/>
        <v>87752.61</v>
      </c>
      <c r="M868" s="11">
        <f t="shared" si="47"/>
        <v>96962</v>
      </c>
      <c r="N868" s="12">
        <f t="shared" si="48"/>
        <v>0</v>
      </c>
      <c r="O868" s="12">
        <f t="shared" si="50"/>
        <v>0.15312570139520779</v>
      </c>
    </row>
    <row r="869" spans="1:15">
      <c r="A869" s="60">
        <v>46062</v>
      </c>
      <c r="B869">
        <f>VLOOKUP(A869,'BADI SID DATA'!A:B,2,0)</f>
        <v>315</v>
      </c>
      <c r="H869" s="62">
        <v>1</v>
      </c>
      <c r="I869" s="62">
        <v>1</v>
      </c>
      <c r="J869" s="62">
        <v>1</v>
      </c>
      <c r="K869" s="11">
        <f t="shared" si="49"/>
        <v>1615537.4000000001</v>
      </c>
      <c r="L869" s="11">
        <f t="shared" si="47"/>
        <v>87752.61</v>
      </c>
      <c r="M869" s="11">
        <f t="shared" si="47"/>
        <v>96962</v>
      </c>
      <c r="N869" s="12">
        <f t="shared" si="48"/>
        <v>0</v>
      </c>
      <c r="O869" s="12">
        <f t="shared" si="50"/>
        <v>0.15263958805744521</v>
      </c>
    </row>
    <row r="870" spans="1:15">
      <c r="A870" s="60">
        <v>46063</v>
      </c>
      <c r="B870">
        <f>VLOOKUP(A870,'BADI SID DATA'!A:B,2,0)</f>
        <v>316</v>
      </c>
      <c r="H870" s="62">
        <v>1</v>
      </c>
      <c r="I870" s="62">
        <v>1</v>
      </c>
      <c r="J870" s="62">
        <v>1</v>
      </c>
      <c r="K870" s="11">
        <f t="shared" si="49"/>
        <v>1615537.4000000001</v>
      </c>
      <c r="L870" s="11">
        <f t="shared" si="47"/>
        <v>87752.61</v>
      </c>
      <c r="M870" s="11">
        <f t="shared" si="47"/>
        <v>96962</v>
      </c>
      <c r="N870" s="12">
        <f t="shared" si="48"/>
        <v>0</v>
      </c>
      <c r="O870" s="12">
        <f t="shared" si="50"/>
        <v>0.15215655138637735</v>
      </c>
    </row>
    <row r="871" spans="1:15">
      <c r="A871" s="60">
        <v>46064</v>
      </c>
      <c r="B871">
        <f>VLOOKUP(A871,'BADI SID DATA'!A:B,2,0)</f>
        <v>317</v>
      </c>
      <c r="H871" s="62">
        <v>1</v>
      </c>
      <c r="I871" s="62">
        <v>1</v>
      </c>
      <c r="J871" s="62">
        <v>1</v>
      </c>
      <c r="K871" s="11">
        <f t="shared" si="49"/>
        <v>1615537.4000000001</v>
      </c>
      <c r="L871" s="11">
        <f t="shared" si="47"/>
        <v>87752.61</v>
      </c>
      <c r="M871" s="11">
        <f t="shared" si="47"/>
        <v>96962</v>
      </c>
      <c r="N871" s="12">
        <f t="shared" si="48"/>
        <v>0</v>
      </c>
      <c r="O871" s="12">
        <f t="shared" si="50"/>
        <v>0.15167656226528467</v>
      </c>
    </row>
    <row r="872" spans="1:15">
      <c r="A872" s="60">
        <v>46065</v>
      </c>
      <c r="B872">
        <f>VLOOKUP(A872,'BADI SID DATA'!A:B,2,0)</f>
        <v>318</v>
      </c>
      <c r="H872" s="62">
        <v>1</v>
      </c>
      <c r="I872" s="62">
        <v>1</v>
      </c>
      <c r="J872" s="62">
        <v>1</v>
      </c>
      <c r="K872" s="11">
        <f t="shared" si="49"/>
        <v>1615537.4000000001</v>
      </c>
      <c r="L872" s="11">
        <f t="shared" si="47"/>
        <v>87752.61</v>
      </c>
      <c r="M872" s="11">
        <f t="shared" si="47"/>
        <v>96962</v>
      </c>
      <c r="N872" s="12">
        <f t="shared" si="48"/>
        <v>0</v>
      </c>
      <c r="O872" s="12">
        <f t="shared" si="50"/>
        <v>0.15119959194369573</v>
      </c>
    </row>
    <row r="873" spans="1:15">
      <c r="A873" s="60">
        <v>46066</v>
      </c>
      <c r="B873">
        <f>VLOOKUP(A873,'BADI SID DATA'!A:B,2,0)</f>
        <v>319</v>
      </c>
      <c r="H873" s="62">
        <v>1</v>
      </c>
      <c r="I873" s="62">
        <v>1</v>
      </c>
      <c r="J873" s="62">
        <v>1</v>
      </c>
      <c r="K873" s="11">
        <f t="shared" si="49"/>
        <v>1615537.4000000001</v>
      </c>
      <c r="L873" s="11">
        <f t="shared" si="47"/>
        <v>87752.61</v>
      </c>
      <c r="M873" s="11">
        <f t="shared" si="47"/>
        <v>96962</v>
      </c>
      <c r="N873" s="12">
        <f t="shared" si="48"/>
        <v>0</v>
      </c>
      <c r="O873" s="12">
        <f t="shared" si="50"/>
        <v>0.15072561203164653</v>
      </c>
    </row>
    <row r="874" spans="1:15">
      <c r="A874" s="60">
        <v>46067</v>
      </c>
      <c r="B874">
        <f>VLOOKUP(A874,'BADI SID DATA'!A:B,2,0)</f>
        <v>320</v>
      </c>
      <c r="H874" s="62">
        <v>1</v>
      </c>
      <c r="I874" s="62">
        <v>1</v>
      </c>
      <c r="J874" s="62">
        <v>1</v>
      </c>
      <c r="K874" s="11">
        <f t="shared" si="49"/>
        <v>1615537.4000000001</v>
      </c>
      <c r="L874" s="11">
        <f t="shared" si="47"/>
        <v>87752.61</v>
      </c>
      <c r="M874" s="11">
        <f t="shared" si="47"/>
        <v>96962</v>
      </c>
      <c r="N874" s="12">
        <f t="shared" si="48"/>
        <v>0</v>
      </c>
      <c r="O874" s="12">
        <f t="shared" si="50"/>
        <v>0.15025459449404763</v>
      </c>
    </row>
    <row r="875" spans="1:15">
      <c r="A875" s="60">
        <v>46068</v>
      </c>
      <c r="B875">
        <f>VLOOKUP(A875,'BADI SID DATA'!A:B,2,0)</f>
        <v>321</v>
      </c>
      <c r="H875" s="62">
        <v>1</v>
      </c>
      <c r="I875" s="62">
        <v>1</v>
      </c>
      <c r="J875" s="62">
        <v>1</v>
      </c>
      <c r="K875" s="11">
        <f t="shared" si="49"/>
        <v>1615537.4000000001</v>
      </c>
      <c r="L875" s="11">
        <f t="shared" si="47"/>
        <v>87752.61</v>
      </c>
      <c r="M875" s="11">
        <f t="shared" si="47"/>
        <v>96962</v>
      </c>
      <c r="N875" s="12">
        <f t="shared" si="48"/>
        <v>0</v>
      </c>
      <c r="O875" s="12">
        <f t="shared" si="50"/>
        <v>0.14978651164515652</v>
      </c>
    </row>
    <row r="876" spans="1:15">
      <c r="A876" s="60">
        <v>46069</v>
      </c>
      <c r="B876">
        <f>VLOOKUP(A876,'BADI SID DATA'!A:B,2,0)</f>
        <v>322</v>
      </c>
      <c r="H876" s="62">
        <v>1</v>
      </c>
      <c r="I876" s="62">
        <v>1</v>
      </c>
      <c r="J876" s="62">
        <v>1</v>
      </c>
      <c r="K876" s="11">
        <f t="shared" si="49"/>
        <v>1615537.4000000001</v>
      </c>
      <c r="L876" s="11">
        <f t="shared" si="47"/>
        <v>87752.61</v>
      </c>
      <c r="M876" s="11">
        <f t="shared" si="47"/>
        <v>96962</v>
      </c>
      <c r="N876" s="12">
        <f t="shared" si="48"/>
        <v>0</v>
      </c>
      <c r="O876" s="12">
        <f t="shared" si="50"/>
        <v>0.14932133614315293</v>
      </c>
    </row>
    <row r="877" spans="1:15">
      <c r="A877" s="60">
        <v>46070</v>
      </c>
      <c r="B877">
        <f>VLOOKUP(A877,'BADI SID DATA'!A:B,2,0)</f>
        <v>323</v>
      </c>
      <c r="H877" s="62">
        <v>1</v>
      </c>
      <c r="I877" s="62">
        <v>1</v>
      </c>
      <c r="J877" s="62">
        <v>1</v>
      </c>
      <c r="K877" s="11">
        <f t="shared" si="49"/>
        <v>1615537.4000000001</v>
      </c>
      <c r="L877" s="11">
        <f t="shared" ref="L877:M940" si="51">L876+F877</f>
        <v>87752.61</v>
      </c>
      <c r="M877" s="11">
        <f t="shared" si="51"/>
        <v>96962</v>
      </c>
      <c r="N877" s="12">
        <f t="shared" si="48"/>
        <v>0</v>
      </c>
      <c r="O877" s="12">
        <f t="shared" si="50"/>
        <v>0.14885904098481501</v>
      </c>
    </row>
    <row r="878" spans="1:15">
      <c r="A878" s="60">
        <v>46071</v>
      </c>
      <c r="B878">
        <f>VLOOKUP(A878,'BADI SID DATA'!A:B,2,0)</f>
        <v>324</v>
      </c>
      <c r="H878" s="62">
        <v>1</v>
      </c>
      <c r="I878" s="62">
        <v>1</v>
      </c>
      <c r="J878" s="62">
        <v>1</v>
      </c>
      <c r="K878" s="11">
        <f t="shared" si="49"/>
        <v>1615537.4000000001</v>
      </c>
      <c r="L878" s="11">
        <f t="shared" si="51"/>
        <v>87752.61</v>
      </c>
      <c r="M878" s="11">
        <f t="shared" si="51"/>
        <v>96962</v>
      </c>
      <c r="N878" s="12">
        <f t="shared" si="48"/>
        <v>0</v>
      </c>
      <c r="O878" s="12">
        <f t="shared" si="50"/>
        <v>0.14839959950029397</v>
      </c>
    </row>
    <row r="879" spans="1:15">
      <c r="A879" s="60">
        <v>46072</v>
      </c>
      <c r="B879">
        <f>VLOOKUP(A879,'BADI SID DATA'!A:B,2,0)</f>
        <v>325</v>
      </c>
      <c r="H879" s="62">
        <v>1</v>
      </c>
      <c r="I879" s="62">
        <v>1</v>
      </c>
      <c r="J879" s="62">
        <v>1</v>
      </c>
      <c r="K879" s="11">
        <f t="shared" si="49"/>
        <v>1615537.4000000001</v>
      </c>
      <c r="L879" s="11">
        <f t="shared" si="51"/>
        <v>87752.61</v>
      </c>
      <c r="M879" s="11">
        <f t="shared" si="51"/>
        <v>96962</v>
      </c>
      <c r="N879" s="12">
        <f t="shared" si="48"/>
        <v>0</v>
      </c>
      <c r="O879" s="12">
        <f t="shared" si="50"/>
        <v>0.14794298534798536</v>
      </c>
    </row>
    <row r="880" spans="1:15">
      <c r="A880" s="60">
        <v>46073</v>
      </c>
      <c r="B880">
        <f>VLOOKUP(A880,'BADI SID DATA'!A:B,2,0)</f>
        <v>326</v>
      </c>
      <c r="H880" s="62">
        <v>1</v>
      </c>
      <c r="I880" s="62">
        <v>1</v>
      </c>
      <c r="J880" s="62">
        <v>1</v>
      </c>
      <c r="K880" s="11">
        <f t="shared" si="49"/>
        <v>1615537.4000000001</v>
      </c>
      <c r="L880" s="11">
        <f t="shared" si="51"/>
        <v>87752.61</v>
      </c>
      <c r="M880" s="11">
        <f t="shared" si="51"/>
        <v>96962</v>
      </c>
      <c r="N880" s="12">
        <f t="shared" si="48"/>
        <v>0</v>
      </c>
      <c r="O880" s="12">
        <f t="shared" si="50"/>
        <v>0.14748917250949461</v>
      </c>
    </row>
    <row r="881" spans="1:15">
      <c r="A881" s="60">
        <v>46074</v>
      </c>
      <c r="B881">
        <f>VLOOKUP(A881,'BADI SID DATA'!A:B,2,0)</f>
        <v>327</v>
      </c>
      <c r="H881" s="62">
        <v>1</v>
      </c>
      <c r="I881" s="62">
        <v>1</v>
      </c>
      <c r="J881" s="62">
        <v>1</v>
      </c>
      <c r="K881" s="11">
        <f t="shared" si="49"/>
        <v>1615537.4000000001</v>
      </c>
      <c r="L881" s="11">
        <f t="shared" si="51"/>
        <v>87752.61</v>
      </c>
      <c r="M881" s="11">
        <f t="shared" si="51"/>
        <v>96962</v>
      </c>
      <c r="N881" s="12">
        <f t="shared" ref="N881:N944" si="52">C881/(1400*24)</f>
        <v>0</v>
      </c>
      <c r="O881" s="12">
        <f t="shared" si="50"/>
        <v>0.14703813528469492</v>
      </c>
    </row>
    <row r="882" spans="1:15">
      <c r="A882" s="60">
        <v>46075</v>
      </c>
      <c r="B882">
        <f>VLOOKUP(A882,'BADI SID DATA'!A:B,2,0)</f>
        <v>328</v>
      </c>
      <c r="H882" s="62">
        <v>1</v>
      </c>
      <c r="I882" s="62">
        <v>1</v>
      </c>
      <c r="J882" s="62">
        <v>1</v>
      </c>
      <c r="K882" s="11">
        <f t="shared" si="49"/>
        <v>1615537.4000000001</v>
      </c>
      <c r="L882" s="11">
        <f t="shared" si="51"/>
        <v>87752.61</v>
      </c>
      <c r="M882" s="11">
        <f t="shared" si="51"/>
        <v>96962</v>
      </c>
      <c r="N882" s="12">
        <f t="shared" si="52"/>
        <v>0</v>
      </c>
      <c r="O882" s="12">
        <f t="shared" si="50"/>
        <v>0.14658984828687574</v>
      </c>
    </row>
    <row r="883" spans="1:15">
      <c r="A883" s="60">
        <v>46076</v>
      </c>
      <c r="B883">
        <f>VLOOKUP(A883,'BADI SID DATA'!A:B,2,0)</f>
        <v>329</v>
      </c>
      <c r="H883" s="62">
        <v>1</v>
      </c>
      <c r="I883" s="62">
        <v>1</v>
      </c>
      <c r="J883" s="62">
        <v>1</v>
      </c>
      <c r="K883" s="11">
        <f t="shared" ref="K883:K946" si="53">K882+C883</f>
        <v>1615537.4000000001</v>
      </c>
      <c r="L883" s="11">
        <f t="shared" si="51"/>
        <v>87752.61</v>
      </c>
      <c r="M883" s="11">
        <f t="shared" si="51"/>
        <v>96962</v>
      </c>
      <c r="N883" s="12">
        <f t="shared" si="52"/>
        <v>0</v>
      </c>
      <c r="O883" s="12">
        <f t="shared" si="50"/>
        <v>0.14614428643797947</v>
      </c>
    </row>
    <row r="884" spans="1:15">
      <c r="A884" s="60">
        <v>46077</v>
      </c>
      <c r="B884">
        <f>VLOOKUP(A884,'BADI SID DATA'!A:B,2,0)</f>
        <v>330</v>
      </c>
      <c r="H884" s="62">
        <v>1</v>
      </c>
      <c r="I884" s="62">
        <v>1</v>
      </c>
      <c r="J884" s="62">
        <v>1</v>
      </c>
      <c r="K884" s="11">
        <f t="shared" si="53"/>
        <v>1615537.4000000001</v>
      </c>
      <c r="L884" s="11">
        <f t="shared" si="51"/>
        <v>87752.61</v>
      </c>
      <c r="M884" s="11">
        <f t="shared" si="51"/>
        <v>96962</v>
      </c>
      <c r="N884" s="12">
        <f t="shared" si="52"/>
        <v>0</v>
      </c>
      <c r="O884" s="12">
        <f t="shared" si="50"/>
        <v>0.14570142496392496</v>
      </c>
    </row>
    <row r="885" spans="1:15">
      <c r="A885" s="60">
        <v>46078</v>
      </c>
      <c r="B885">
        <f>VLOOKUP(A885,'BADI SID DATA'!A:B,2,0)</f>
        <v>331</v>
      </c>
      <c r="H885" s="62">
        <v>1</v>
      </c>
      <c r="I885" s="62">
        <v>1</v>
      </c>
      <c r="J885" s="62">
        <v>1</v>
      </c>
      <c r="K885" s="11">
        <f t="shared" si="53"/>
        <v>1615537.4000000001</v>
      </c>
      <c r="L885" s="11">
        <f t="shared" si="51"/>
        <v>87752.61</v>
      </c>
      <c r="M885" s="11">
        <f t="shared" si="51"/>
        <v>96962</v>
      </c>
      <c r="N885" s="12">
        <f t="shared" si="52"/>
        <v>0</v>
      </c>
      <c r="O885" s="12">
        <f t="shared" si="50"/>
        <v>0.14526123939001584</v>
      </c>
    </row>
    <row r="886" spans="1:15">
      <c r="A886" s="60">
        <v>46079</v>
      </c>
      <c r="B886">
        <f>VLOOKUP(A886,'BADI SID DATA'!A:B,2,0)</f>
        <v>332</v>
      </c>
      <c r="H886" s="62">
        <v>1</v>
      </c>
      <c r="I886" s="62">
        <v>1</v>
      </c>
      <c r="J886" s="62">
        <v>1</v>
      </c>
      <c r="K886" s="11">
        <f t="shared" si="53"/>
        <v>1615537.4000000001</v>
      </c>
      <c r="L886" s="11">
        <f t="shared" si="51"/>
        <v>87752.61</v>
      </c>
      <c r="M886" s="11">
        <f t="shared" si="51"/>
        <v>96962</v>
      </c>
      <c r="N886" s="12">
        <f t="shared" si="52"/>
        <v>0</v>
      </c>
      <c r="O886" s="12">
        <f t="shared" si="50"/>
        <v>0.14482370553643145</v>
      </c>
    </row>
    <row r="887" spans="1:15">
      <c r="A887" s="60">
        <v>46080</v>
      </c>
      <c r="B887">
        <f>VLOOKUP(A887,'BADI SID DATA'!A:B,2,0)</f>
        <v>333</v>
      </c>
      <c r="H887" s="62">
        <v>1</v>
      </c>
      <c r="I887" s="62">
        <v>1</v>
      </c>
      <c r="J887" s="62">
        <v>1</v>
      </c>
      <c r="K887" s="11">
        <f t="shared" si="53"/>
        <v>1615537.4000000001</v>
      </c>
      <c r="L887" s="11">
        <f t="shared" si="51"/>
        <v>87752.61</v>
      </c>
      <c r="M887" s="11">
        <f t="shared" si="51"/>
        <v>96962</v>
      </c>
      <c r="N887" s="12">
        <f t="shared" si="52"/>
        <v>0</v>
      </c>
      <c r="O887" s="12">
        <f t="shared" si="50"/>
        <v>0.14438879951379952</v>
      </c>
    </row>
    <row r="888" spans="1:15">
      <c r="A888" s="60">
        <v>46081</v>
      </c>
      <c r="B888">
        <f>VLOOKUP(A888,'BADI SID DATA'!A:B,2,0)</f>
        <v>334</v>
      </c>
      <c r="H888" s="62">
        <v>1</v>
      </c>
      <c r="I888" s="62">
        <v>1</v>
      </c>
      <c r="J888" s="62">
        <v>1</v>
      </c>
      <c r="K888" s="11">
        <f t="shared" si="53"/>
        <v>1615537.4000000001</v>
      </c>
      <c r="L888" s="11">
        <f t="shared" si="51"/>
        <v>87752.61</v>
      </c>
      <c r="M888" s="11">
        <f t="shared" si="51"/>
        <v>96962</v>
      </c>
      <c r="N888" s="12">
        <f t="shared" si="52"/>
        <v>0</v>
      </c>
      <c r="O888" s="12">
        <f t="shared" si="50"/>
        <v>0.14395649771884803</v>
      </c>
    </row>
    <row r="889" spans="1:15">
      <c r="A889" s="60">
        <v>46082</v>
      </c>
      <c r="B889">
        <f>VLOOKUP(A889,'BADI SID DATA'!A:B,2,0)</f>
        <v>335</v>
      </c>
      <c r="H889" s="62">
        <v>1</v>
      </c>
      <c r="I889" s="62">
        <v>1</v>
      </c>
      <c r="J889" s="62">
        <v>1</v>
      </c>
      <c r="K889" s="11">
        <f t="shared" si="53"/>
        <v>1615537.4000000001</v>
      </c>
      <c r="L889" s="11">
        <f t="shared" si="51"/>
        <v>87752.61</v>
      </c>
      <c r="M889" s="11">
        <f t="shared" si="51"/>
        <v>96962</v>
      </c>
      <c r="N889" s="12">
        <f t="shared" si="52"/>
        <v>0</v>
      </c>
      <c r="O889" s="12">
        <f t="shared" si="50"/>
        <v>0.14352677683013504</v>
      </c>
    </row>
    <row r="890" spans="1:15">
      <c r="A890" s="60">
        <v>46083</v>
      </c>
      <c r="B890">
        <f>VLOOKUP(A890,'BADI SID DATA'!A:B,2,0)</f>
        <v>336</v>
      </c>
      <c r="H890" s="62">
        <v>1</v>
      </c>
      <c r="I890" s="62">
        <v>1</v>
      </c>
      <c r="J890" s="62">
        <v>1</v>
      </c>
      <c r="K890" s="11">
        <f t="shared" si="53"/>
        <v>1615537.4000000001</v>
      </c>
      <c r="L890" s="11">
        <f t="shared" si="51"/>
        <v>87752.61</v>
      </c>
      <c r="M890" s="11">
        <f t="shared" si="51"/>
        <v>96962</v>
      </c>
      <c r="N890" s="12">
        <f t="shared" si="52"/>
        <v>0</v>
      </c>
      <c r="O890" s="12">
        <f t="shared" si="50"/>
        <v>0.14309961380385489</v>
      </c>
    </row>
    <row r="891" spans="1:15">
      <c r="A891" s="60">
        <v>46084</v>
      </c>
      <c r="B891">
        <f>VLOOKUP(A891,'BADI SID DATA'!A:B,2,0)</f>
        <v>337</v>
      </c>
      <c r="H891" s="62">
        <v>1</v>
      </c>
      <c r="I891" s="62">
        <v>1</v>
      </c>
      <c r="J891" s="62">
        <v>1</v>
      </c>
      <c r="K891" s="11">
        <f t="shared" si="53"/>
        <v>1615537.4000000001</v>
      </c>
      <c r="L891" s="11">
        <f t="shared" si="51"/>
        <v>87752.61</v>
      </c>
      <c r="M891" s="11">
        <f t="shared" si="51"/>
        <v>96962</v>
      </c>
      <c r="N891" s="12">
        <f t="shared" si="52"/>
        <v>0</v>
      </c>
      <c r="O891" s="12">
        <f t="shared" si="50"/>
        <v>0.14267498586971883</v>
      </c>
    </row>
    <row r="892" spans="1:15">
      <c r="A892" s="60">
        <v>46085</v>
      </c>
      <c r="B892">
        <f>VLOOKUP(A892,'BADI SID DATA'!A:B,2,0)</f>
        <v>338</v>
      </c>
      <c r="H892" s="62">
        <v>1</v>
      </c>
      <c r="I892" s="62">
        <v>1</v>
      </c>
      <c r="J892" s="62">
        <v>1</v>
      </c>
      <c r="K892" s="11">
        <f t="shared" si="53"/>
        <v>1615537.4000000001</v>
      </c>
      <c r="L892" s="11">
        <f t="shared" si="51"/>
        <v>87752.61</v>
      </c>
      <c r="M892" s="11">
        <f t="shared" si="51"/>
        <v>96962</v>
      </c>
      <c r="N892" s="12">
        <f t="shared" si="52"/>
        <v>0</v>
      </c>
      <c r="O892" s="12">
        <f t="shared" si="50"/>
        <v>0.14225287052690899</v>
      </c>
    </row>
    <row r="893" spans="1:15">
      <c r="A893" s="60">
        <v>46086</v>
      </c>
      <c r="B893">
        <f>VLOOKUP(A893,'BADI SID DATA'!A:B,2,0)</f>
        <v>339</v>
      </c>
      <c r="H893" s="62">
        <v>1</v>
      </c>
      <c r="I893" s="62">
        <v>1</v>
      </c>
      <c r="J893" s="62">
        <v>1</v>
      </c>
      <c r="K893" s="11">
        <f t="shared" si="53"/>
        <v>1615537.4000000001</v>
      </c>
      <c r="L893" s="11">
        <f t="shared" si="51"/>
        <v>87752.61</v>
      </c>
      <c r="M893" s="11">
        <f t="shared" si="51"/>
        <v>96962</v>
      </c>
      <c r="N893" s="12">
        <f t="shared" si="52"/>
        <v>0</v>
      </c>
      <c r="O893" s="12">
        <f t="shared" si="50"/>
        <v>0.14183324554010396</v>
      </c>
    </row>
    <row r="894" spans="1:15">
      <c r="A894" s="60">
        <v>46087</v>
      </c>
      <c r="B894">
        <f>VLOOKUP(A894,'BADI SID DATA'!A:B,2,0)</f>
        <v>340</v>
      </c>
      <c r="H894" s="62">
        <v>1</v>
      </c>
      <c r="I894" s="62">
        <v>1</v>
      </c>
      <c r="J894" s="62">
        <v>1</v>
      </c>
      <c r="K894" s="11">
        <f t="shared" si="53"/>
        <v>1615537.4000000001</v>
      </c>
      <c r="L894" s="11">
        <f t="shared" si="51"/>
        <v>87752.61</v>
      </c>
      <c r="M894" s="11">
        <f t="shared" si="51"/>
        <v>96962</v>
      </c>
      <c r="N894" s="12">
        <f t="shared" si="52"/>
        <v>0</v>
      </c>
      <c r="O894" s="12">
        <f t="shared" si="50"/>
        <v>0.14141608893557425</v>
      </c>
    </row>
    <row r="895" spans="1:15">
      <c r="A895" s="60">
        <v>46088</v>
      </c>
      <c r="B895">
        <f>VLOOKUP(A895,'BADI SID DATA'!A:B,2,0)</f>
        <v>341</v>
      </c>
      <c r="H895" s="62">
        <v>1</v>
      </c>
      <c r="I895" s="62">
        <v>1</v>
      </c>
      <c r="J895" s="62">
        <v>1</v>
      </c>
      <c r="K895" s="11">
        <f t="shared" si="53"/>
        <v>1615537.4000000001</v>
      </c>
      <c r="L895" s="11">
        <f t="shared" si="51"/>
        <v>87752.61</v>
      </c>
      <c r="M895" s="11">
        <f t="shared" si="51"/>
        <v>96962</v>
      </c>
      <c r="N895" s="12">
        <f t="shared" si="52"/>
        <v>0</v>
      </c>
      <c r="O895" s="12">
        <f t="shared" si="50"/>
        <v>0.14100137899734674</v>
      </c>
    </row>
    <row r="896" spans="1:15">
      <c r="A896" s="60">
        <v>46089</v>
      </c>
      <c r="B896">
        <f>VLOOKUP(A896,'BADI SID DATA'!A:B,2,0)</f>
        <v>342</v>
      </c>
      <c r="H896" s="62">
        <v>1</v>
      </c>
      <c r="I896" s="62">
        <v>1</v>
      </c>
      <c r="J896" s="62">
        <v>1</v>
      </c>
      <c r="K896" s="11">
        <f t="shared" si="53"/>
        <v>1615537.4000000001</v>
      </c>
      <c r="L896" s="11">
        <f t="shared" si="51"/>
        <v>87752.61</v>
      </c>
      <c r="M896" s="11">
        <f t="shared" si="51"/>
        <v>96962</v>
      </c>
      <c r="N896" s="12">
        <f t="shared" si="52"/>
        <v>0</v>
      </c>
      <c r="O896" s="12">
        <f t="shared" si="50"/>
        <v>0.14058909426343638</v>
      </c>
    </row>
    <row r="897" spans="1:15">
      <c r="A897" s="60">
        <v>46090</v>
      </c>
      <c r="B897">
        <f>VLOOKUP(A897,'BADI SID DATA'!A:B,2,0)</f>
        <v>343</v>
      </c>
      <c r="H897" s="62">
        <v>1</v>
      </c>
      <c r="I897" s="62">
        <v>1</v>
      </c>
      <c r="J897" s="62">
        <v>1</v>
      </c>
      <c r="K897" s="11">
        <f t="shared" si="53"/>
        <v>1615537.4000000001</v>
      </c>
      <c r="L897" s="11">
        <f t="shared" si="51"/>
        <v>87752.61</v>
      </c>
      <c r="M897" s="11">
        <f t="shared" si="51"/>
        <v>96962</v>
      </c>
      <c r="N897" s="12">
        <f t="shared" si="52"/>
        <v>0</v>
      </c>
      <c r="O897" s="12">
        <f t="shared" si="50"/>
        <v>0.14017921352214358</v>
      </c>
    </row>
    <row r="898" spans="1:15">
      <c r="A898" s="60">
        <v>46091</v>
      </c>
      <c r="B898">
        <f>VLOOKUP(A898,'BADI SID DATA'!A:B,2,0)</f>
        <v>344</v>
      </c>
      <c r="H898" s="62">
        <v>1</v>
      </c>
      <c r="I898" s="62">
        <v>1</v>
      </c>
      <c r="J898" s="62">
        <v>1</v>
      </c>
      <c r="K898" s="11">
        <f t="shared" si="53"/>
        <v>1615537.4000000001</v>
      </c>
      <c r="L898" s="11">
        <f t="shared" si="51"/>
        <v>87752.61</v>
      </c>
      <c r="M898" s="11">
        <f t="shared" si="51"/>
        <v>96962</v>
      </c>
      <c r="N898" s="12">
        <f t="shared" si="52"/>
        <v>0</v>
      </c>
      <c r="O898" s="12">
        <f t="shared" si="50"/>
        <v>0.13977171580841641</v>
      </c>
    </row>
    <row r="899" spans="1:15">
      <c r="A899" s="60">
        <v>46092</v>
      </c>
      <c r="B899">
        <f>VLOOKUP(A899,'BADI SID DATA'!A:B,2,0)</f>
        <v>345</v>
      </c>
      <c r="H899" s="62">
        <v>1</v>
      </c>
      <c r="I899" s="62">
        <v>1</v>
      </c>
      <c r="J899" s="62">
        <v>1</v>
      </c>
      <c r="K899" s="11">
        <f t="shared" si="53"/>
        <v>1615537.4000000001</v>
      </c>
      <c r="L899" s="11">
        <f t="shared" si="51"/>
        <v>87752.61</v>
      </c>
      <c r="M899" s="11">
        <f t="shared" si="51"/>
        <v>96962</v>
      </c>
      <c r="N899" s="12">
        <f t="shared" si="52"/>
        <v>0</v>
      </c>
      <c r="O899" s="12">
        <f t="shared" ref="O899:O962" si="54">K899/(B899*1400*24)</f>
        <v>0.13936658040027605</v>
      </c>
    </row>
    <row r="900" spans="1:15">
      <c r="A900" s="60">
        <v>46093</v>
      </c>
      <c r="B900">
        <f>VLOOKUP(A900,'BADI SID DATA'!A:B,2,0)</f>
        <v>346</v>
      </c>
      <c r="H900" s="62">
        <v>1</v>
      </c>
      <c r="I900" s="62">
        <v>1</v>
      </c>
      <c r="J900" s="62">
        <v>1</v>
      </c>
      <c r="K900" s="11">
        <f t="shared" si="53"/>
        <v>1615537.4000000001</v>
      </c>
      <c r="L900" s="11">
        <f t="shared" si="51"/>
        <v>87752.61</v>
      </c>
      <c r="M900" s="11">
        <f t="shared" si="51"/>
        <v>96962</v>
      </c>
      <c r="N900" s="12">
        <f t="shared" si="52"/>
        <v>0</v>
      </c>
      <c r="O900" s="12">
        <f t="shared" si="54"/>
        <v>0.13896378681530416</v>
      </c>
    </row>
    <row r="901" spans="1:15">
      <c r="A901" s="60">
        <v>46094</v>
      </c>
      <c r="B901">
        <f>VLOOKUP(A901,'BADI SID DATA'!A:B,2,0)</f>
        <v>347</v>
      </c>
      <c r="H901" s="62">
        <v>1</v>
      </c>
      <c r="I901" s="62">
        <v>1</v>
      </c>
      <c r="J901" s="62">
        <v>1</v>
      </c>
      <c r="K901" s="11">
        <f t="shared" si="53"/>
        <v>1615537.4000000001</v>
      </c>
      <c r="L901" s="11">
        <f t="shared" si="51"/>
        <v>87752.61</v>
      </c>
      <c r="M901" s="11">
        <f t="shared" si="51"/>
        <v>96962</v>
      </c>
      <c r="N901" s="12">
        <f t="shared" si="52"/>
        <v>0</v>
      </c>
      <c r="O901" s="12">
        <f t="shared" si="54"/>
        <v>0.13856331480719089</v>
      </c>
    </row>
    <row r="902" spans="1:15">
      <c r="A902" s="60">
        <v>46095</v>
      </c>
      <c r="B902">
        <f>VLOOKUP(A902,'BADI SID DATA'!A:B,2,0)</f>
        <v>348</v>
      </c>
      <c r="H902" s="62">
        <v>1</v>
      </c>
      <c r="I902" s="62">
        <v>1</v>
      </c>
      <c r="J902" s="62">
        <v>1</v>
      </c>
      <c r="K902" s="11">
        <f t="shared" si="53"/>
        <v>1615537.4000000001</v>
      </c>
      <c r="L902" s="11">
        <f t="shared" si="51"/>
        <v>87752.61</v>
      </c>
      <c r="M902" s="11">
        <f t="shared" si="51"/>
        <v>96962</v>
      </c>
      <c r="N902" s="12">
        <f t="shared" si="52"/>
        <v>0</v>
      </c>
      <c r="O902" s="12">
        <f t="shared" si="54"/>
        <v>0.13816514436234265</v>
      </c>
    </row>
    <row r="903" spans="1:15">
      <c r="A903" s="60">
        <v>46096</v>
      </c>
      <c r="B903">
        <f>VLOOKUP(A903,'BADI SID DATA'!A:B,2,0)</f>
        <v>349</v>
      </c>
      <c r="H903" s="62">
        <v>1</v>
      </c>
      <c r="I903" s="62">
        <v>1</v>
      </c>
      <c r="J903" s="62">
        <v>1</v>
      </c>
      <c r="K903" s="11">
        <f t="shared" si="53"/>
        <v>1615537.4000000001</v>
      </c>
      <c r="L903" s="11">
        <f t="shared" si="51"/>
        <v>87752.61</v>
      </c>
      <c r="M903" s="11">
        <f t="shared" si="51"/>
        <v>96962</v>
      </c>
      <c r="N903" s="12">
        <f t="shared" si="52"/>
        <v>0</v>
      </c>
      <c r="O903" s="12">
        <f t="shared" si="54"/>
        <v>0.13776925569654797</v>
      </c>
    </row>
    <row r="904" spans="1:15">
      <c r="A904" s="60">
        <v>46097</v>
      </c>
      <c r="B904">
        <f>VLOOKUP(A904,'BADI SID DATA'!A:B,2,0)</f>
        <v>350</v>
      </c>
      <c r="H904" s="62">
        <v>1</v>
      </c>
      <c r="I904" s="62">
        <v>1</v>
      </c>
      <c r="J904" s="62">
        <v>1</v>
      </c>
      <c r="K904" s="11">
        <f t="shared" si="53"/>
        <v>1615537.4000000001</v>
      </c>
      <c r="L904" s="11">
        <f t="shared" si="51"/>
        <v>87752.61</v>
      </c>
      <c r="M904" s="11">
        <f t="shared" si="51"/>
        <v>96962</v>
      </c>
      <c r="N904" s="12">
        <f t="shared" si="52"/>
        <v>0</v>
      </c>
      <c r="O904" s="12">
        <f t="shared" si="54"/>
        <v>0.13737562925170069</v>
      </c>
    </row>
    <row r="905" spans="1:15">
      <c r="A905" s="60">
        <v>46098</v>
      </c>
      <c r="B905">
        <f>VLOOKUP(A905,'BADI SID DATA'!A:B,2,0)</f>
        <v>351</v>
      </c>
      <c r="H905" s="62">
        <v>1</v>
      </c>
      <c r="I905" s="62">
        <v>1</v>
      </c>
      <c r="J905" s="62">
        <v>1</v>
      </c>
      <c r="K905" s="11">
        <f t="shared" si="53"/>
        <v>1615537.4000000001</v>
      </c>
      <c r="L905" s="11">
        <f t="shared" si="51"/>
        <v>87752.61</v>
      </c>
      <c r="M905" s="11">
        <f t="shared" si="51"/>
        <v>96962</v>
      </c>
      <c r="N905" s="12">
        <f t="shared" si="52"/>
        <v>0</v>
      </c>
      <c r="O905" s="12">
        <f t="shared" si="54"/>
        <v>0.13698424569257903</v>
      </c>
    </row>
    <row r="906" spans="1:15">
      <c r="A906" s="60">
        <v>46099</v>
      </c>
      <c r="B906">
        <f>VLOOKUP(A906,'BADI SID DATA'!A:B,2,0)</f>
        <v>352</v>
      </c>
      <c r="H906" s="62">
        <v>1</v>
      </c>
      <c r="I906" s="62">
        <v>1</v>
      </c>
      <c r="J906" s="62">
        <v>1</v>
      </c>
      <c r="K906" s="11">
        <f t="shared" si="53"/>
        <v>1615537.4000000001</v>
      </c>
      <c r="L906" s="11">
        <f t="shared" si="51"/>
        <v>87752.61</v>
      </c>
      <c r="M906" s="11">
        <f t="shared" si="51"/>
        <v>96962</v>
      </c>
      <c r="N906" s="12">
        <f t="shared" si="52"/>
        <v>0</v>
      </c>
      <c r="O906" s="12">
        <f t="shared" si="54"/>
        <v>0.13659508590367966</v>
      </c>
    </row>
    <row r="907" spans="1:15">
      <c r="A907" s="60">
        <v>46100</v>
      </c>
      <c r="B907">
        <f>VLOOKUP(A907,'BADI SID DATA'!A:B,2,0)</f>
        <v>353</v>
      </c>
      <c r="H907" s="62">
        <v>1</v>
      </c>
      <c r="I907" s="62">
        <v>1</v>
      </c>
      <c r="J907" s="62">
        <v>1</v>
      </c>
      <c r="K907" s="11">
        <f t="shared" si="53"/>
        <v>1615537.4000000001</v>
      </c>
      <c r="L907" s="11">
        <f t="shared" si="51"/>
        <v>87752.61</v>
      </c>
      <c r="M907" s="11">
        <f t="shared" si="51"/>
        <v>96962</v>
      </c>
      <c r="N907" s="12">
        <f t="shared" si="52"/>
        <v>0</v>
      </c>
      <c r="O907" s="12">
        <f t="shared" si="54"/>
        <v>0.13620813098610551</v>
      </c>
    </row>
    <row r="908" spans="1:15">
      <c r="A908" s="60">
        <v>46101</v>
      </c>
      <c r="B908">
        <f>VLOOKUP(A908,'BADI SID DATA'!A:B,2,0)</f>
        <v>354</v>
      </c>
      <c r="H908" s="62">
        <v>1</v>
      </c>
      <c r="I908" s="62">
        <v>1</v>
      </c>
      <c r="J908" s="62">
        <v>1</v>
      </c>
      <c r="K908" s="11">
        <f t="shared" si="53"/>
        <v>1615537.4000000001</v>
      </c>
      <c r="L908" s="11">
        <f t="shared" si="51"/>
        <v>87752.61</v>
      </c>
      <c r="M908" s="11">
        <f t="shared" si="51"/>
        <v>96962</v>
      </c>
      <c r="N908" s="12">
        <f t="shared" si="52"/>
        <v>0</v>
      </c>
      <c r="O908" s="12">
        <f t="shared" si="54"/>
        <v>0.13582336225450634</v>
      </c>
    </row>
    <row r="909" spans="1:15">
      <c r="A909" s="60">
        <v>46102</v>
      </c>
      <c r="B909">
        <f>VLOOKUP(A909,'BADI SID DATA'!A:B,2,0)</f>
        <v>355</v>
      </c>
      <c r="H909" s="62">
        <v>1</v>
      </c>
      <c r="I909" s="62">
        <v>1</v>
      </c>
      <c r="J909" s="62">
        <v>1</v>
      </c>
      <c r="K909" s="11">
        <f t="shared" si="53"/>
        <v>1615537.4000000001</v>
      </c>
      <c r="L909" s="11">
        <f t="shared" si="51"/>
        <v>87752.61</v>
      </c>
      <c r="M909" s="11">
        <f t="shared" si="51"/>
        <v>96962</v>
      </c>
      <c r="N909" s="12">
        <f t="shared" si="52"/>
        <v>0</v>
      </c>
      <c r="O909" s="12">
        <f t="shared" si="54"/>
        <v>0.13544076123407112</v>
      </c>
    </row>
    <row r="910" spans="1:15">
      <c r="A910" s="60">
        <v>46103</v>
      </c>
      <c r="B910">
        <f>VLOOKUP(A910,'BADI SID DATA'!A:B,2,0)</f>
        <v>356</v>
      </c>
      <c r="H910" s="62">
        <v>1</v>
      </c>
      <c r="I910" s="62">
        <v>1</v>
      </c>
      <c r="J910" s="62">
        <v>1</v>
      </c>
      <c r="K910" s="11">
        <f t="shared" si="53"/>
        <v>1615537.4000000001</v>
      </c>
      <c r="L910" s="11">
        <f t="shared" si="51"/>
        <v>87752.61</v>
      </c>
      <c r="M910" s="11">
        <f t="shared" si="51"/>
        <v>96962</v>
      </c>
      <c r="N910" s="12">
        <f t="shared" si="52"/>
        <v>0</v>
      </c>
      <c r="O910" s="12">
        <f t="shared" si="54"/>
        <v>0.1350603096575709</v>
      </c>
    </row>
    <row r="911" spans="1:15">
      <c r="A911" s="60">
        <v>46104</v>
      </c>
      <c r="B911">
        <f>VLOOKUP(A911,'BADI SID DATA'!A:B,2,0)</f>
        <v>357</v>
      </c>
      <c r="H911" s="62">
        <v>1</v>
      </c>
      <c r="I911" s="62">
        <v>1</v>
      </c>
      <c r="J911" s="62">
        <v>1</v>
      </c>
      <c r="K911" s="11">
        <f t="shared" si="53"/>
        <v>1615537.4000000001</v>
      </c>
      <c r="L911" s="11">
        <f t="shared" si="51"/>
        <v>87752.61</v>
      </c>
      <c r="M911" s="11">
        <f t="shared" si="51"/>
        <v>96962</v>
      </c>
      <c r="N911" s="12">
        <f t="shared" si="52"/>
        <v>0</v>
      </c>
      <c r="O911" s="12">
        <f t="shared" si="54"/>
        <v>0.13468198946245166</v>
      </c>
    </row>
    <row r="912" spans="1:15">
      <c r="A912" s="60">
        <v>46105</v>
      </c>
      <c r="B912">
        <f>VLOOKUP(A912,'BADI SID DATA'!A:B,2,0)</f>
        <v>358</v>
      </c>
      <c r="H912" s="62">
        <v>1</v>
      </c>
      <c r="I912" s="62">
        <v>1</v>
      </c>
      <c r="J912" s="62">
        <v>1</v>
      </c>
      <c r="K912" s="11">
        <f t="shared" si="53"/>
        <v>1615537.4000000001</v>
      </c>
      <c r="L912" s="11">
        <f t="shared" si="51"/>
        <v>87752.61</v>
      </c>
      <c r="M912" s="11">
        <f t="shared" si="51"/>
        <v>96962</v>
      </c>
      <c r="N912" s="12">
        <f t="shared" si="52"/>
        <v>0</v>
      </c>
      <c r="O912" s="12">
        <f t="shared" si="54"/>
        <v>0.13430578278797553</v>
      </c>
    </row>
    <row r="913" spans="1:15">
      <c r="A913" s="60">
        <v>46106</v>
      </c>
      <c r="B913">
        <f>VLOOKUP(A913,'BADI SID DATA'!A:B,2,0)</f>
        <v>359</v>
      </c>
      <c r="H913" s="62">
        <v>1</v>
      </c>
      <c r="I913" s="62">
        <v>1</v>
      </c>
      <c r="J913" s="62">
        <v>1</v>
      </c>
      <c r="K913" s="11">
        <f t="shared" si="53"/>
        <v>1615537.4000000001</v>
      </c>
      <c r="L913" s="11">
        <f t="shared" si="51"/>
        <v>87752.61</v>
      </c>
      <c r="M913" s="11">
        <f t="shared" si="51"/>
        <v>96962</v>
      </c>
      <c r="N913" s="12">
        <f t="shared" si="52"/>
        <v>0</v>
      </c>
      <c r="O913" s="12">
        <f t="shared" si="54"/>
        <v>0.13393167197241015</v>
      </c>
    </row>
    <row r="914" spans="1:15">
      <c r="A914" s="60">
        <v>46107</v>
      </c>
      <c r="B914">
        <f>VLOOKUP(A914,'BADI SID DATA'!A:B,2,0)</f>
        <v>360</v>
      </c>
      <c r="H914" s="62">
        <v>1</v>
      </c>
      <c r="I914" s="62">
        <v>1</v>
      </c>
      <c r="J914" s="62">
        <v>1</v>
      </c>
      <c r="K914" s="11">
        <f t="shared" si="53"/>
        <v>1615537.4000000001</v>
      </c>
      <c r="L914" s="11">
        <f t="shared" si="51"/>
        <v>87752.61</v>
      </c>
      <c r="M914" s="11">
        <f t="shared" si="51"/>
        <v>96962</v>
      </c>
      <c r="N914" s="12">
        <f t="shared" si="52"/>
        <v>0</v>
      </c>
      <c r="O914" s="12">
        <f t="shared" si="54"/>
        <v>0.13355963955026456</v>
      </c>
    </row>
    <row r="915" spans="1:15">
      <c r="A915" s="60">
        <v>46108</v>
      </c>
      <c r="B915">
        <f>VLOOKUP(A915,'BADI SID DATA'!A:B,2,0)</f>
        <v>361</v>
      </c>
      <c r="H915" s="62">
        <v>1</v>
      </c>
      <c r="I915" s="62">
        <v>1</v>
      </c>
      <c r="J915" s="62">
        <v>1</v>
      </c>
      <c r="K915" s="11">
        <f t="shared" si="53"/>
        <v>1615537.4000000001</v>
      </c>
      <c r="L915" s="11">
        <f t="shared" si="51"/>
        <v>87752.61</v>
      </c>
      <c r="M915" s="11">
        <f t="shared" si="51"/>
        <v>96962</v>
      </c>
      <c r="N915" s="12">
        <f t="shared" si="52"/>
        <v>0</v>
      </c>
      <c r="O915" s="12">
        <f t="shared" si="54"/>
        <v>0.13318966824957132</v>
      </c>
    </row>
    <row r="916" spans="1:15">
      <c r="A916" s="60">
        <v>46109</v>
      </c>
      <c r="B916">
        <f>VLOOKUP(A916,'BADI SID DATA'!A:B,2,0)</f>
        <v>362</v>
      </c>
      <c r="H916" s="62">
        <v>1</v>
      </c>
      <c r="I916" s="62">
        <v>1</v>
      </c>
      <c r="J916" s="62">
        <v>1</v>
      </c>
      <c r="K916" s="11">
        <f t="shared" si="53"/>
        <v>1615537.4000000001</v>
      </c>
      <c r="L916" s="11">
        <f t="shared" si="51"/>
        <v>87752.61</v>
      </c>
      <c r="M916" s="11">
        <f t="shared" si="51"/>
        <v>96962</v>
      </c>
      <c r="N916" s="12">
        <f t="shared" si="52"/>
        <v>0</v>
      </c>
      <c r="O916" s="12">
        <f t="shared" si="54"/>
        <v>0.13282174098921337</v>
      </c>
    </row>
    <row r="917" spans="1:15">
      <c r="A917" s="60">
        <v>46110</v>
      </c>
      <c r="B917">
        <f>VLOOKUP(A917,'BADI SID DATA'!A:B,2,0)</f>
        <v>363</v>
      </c>
      <c r="H917" s="62">
        <v>1</v>
      </c>
      <c r="I917" s="62">
        <v>1</v>
      </c>
      <c r="J917" s="62">
        <v>1</v>
      </c>
      <c r="K917" s="11">
        <f t="shared" si="53"/>
        <v>1615537.4000000001</v>
      </c>
      <c r="L917" s="11">
        <f t="shared" si="51"/>
        <v>87752.61</v>
      </c>
      <c r="M917" s="11">
        <f t="shared" si="51"/>
        <v>96962</v>
      </c>
      <c r="N917" s="12">
        <f t="shared" si="52"/>
        <v>0</v>
      </c>
      <c r="O917" s="12">
        <f t="shared" si="54"/>
        <v>0.13245584087629544</v>
      </c>
    </row>
    <row r="918" spans="1:15">
      <c r="A918" s="60">
        <v>46111</v>
      </c>
      <c r="B918">
        <f>VLOOKUP(A918,'BADI SID DATA'!A:B,2,0)</f>
        <v>364</v>
      </c>
      <c r="H918" s="62">
        <v>1</v>
      </c>
      <c r="I918" s="62">
        <v>1</v>
      </c>
      <c r="J918" s="62">
        <v>1</v>
      </c>
      <c r="K918" s="11">
        <f t="shared" si="53"/>
        <v>1615537.4000000001</v>
      </c>
      <c r="L918" s="11">
        <f t="shared" si="51"/>
        <v>87752.61</v>
      </c>
      <c r="M918" s="11">
        <f t="shared" si="51"/>
        <v>96962</v>
      </c>
      <c r="N918" s="12">
        <f t="shared" si="52"/>
        <v>0</v>
      </c>
      <c r="O918" s="12">
        <f t="shared" si="54"/>
        <v>0.13209195120355835</v>
      </c>
    </row>
    <row r="919" spans="1:15">
      <c r="A919" s="60">
        <v>46112</v>
      </c>
      <c r="B919">
        <f>VLOOKUP(A919,'BADI SID DATA'!A:B,2,0)</f>
        <v>365</v>
      </c>
      <c r="H919" s="62">
        <v>1</v>
      </c>
      <c r="I919" s="62">
        <v>1</v>
      </c>
      <c r="J919" s="62">
        <v>1</v>
      </c>
      <c r="K919" s="11">
        <f t="shared" si="53"/>
        <v>1615537.4000000001</v>
      </c>
      <c r="L919" s="11">
        <f t="shared" si="51"/>
        <v>87752.61</v>
      </c>
      <c r="M919" s="11">
        <f t="shared" si="51"/>
        <v>96962</v>
      </c>
      <c r="N919" s="12">
        <f t="shared" si="52"/>
        <v>0</v>
      </c>
      <c r="O919" s="12">
        <f t="shared" si="54"/>
        <v>0.13173005544683627</v>
      </c>
    </row>
    <row r="920" spans="1:15">
      <c r="A920" s="60">
        <v>46113</v>
      </c>
      <c r="H920" s="62">
        <v>1</v>
      </c>
      <c r="I920" s="62">
        <v>1</v>
      </c>
      <c r="J920" s="62">
        <v>1</v>
      </c>
      <c r="K920" s="11">
        <f t="shared" si="53"/>
        <v>1615537.4000000001</v>
      </c>
      <c r="L920" s="11">
        <f t="shared" si="51"/>
        <v>87752.61</v>
      </c>
      <c r="M920" s="11">
        <f t="shared" si="51"/>
        <v>96962</v>
      </c>
      <c r="N920" s="12">
        <f t="shared" si="52"/>
        <v>0</v>
      </c>
      <c r="O920" s="12" t="e">
        <f t="shared" si="54"/>
        <v>#DIV/0!</v>
      </c>
    </row>
    <row r="921" spans="1:15">
      <c r="A921" s="60">
        <v>46114</v>
      </c>
      <c r="H921" s="62">
        <v>1</v>
      </c>
      <c r="I921" s="62">
        <v>1</v>
      </c>
      <c r="J921" s="62">
        <v>1</v>
      </c>
      <c r="K921" s="11">
        <f t="shared" si="53"/>
        <v>1615537.4000000001</v>
      </c>
      <c r="L921" s="11">
        <f t="shared" si="51"/>
        <v>87752.61</v>
      </c>
      <c r="M921" s="11">
        <f t="shared" si="51"/>
        <v>96962</v>
      </c>
      <c r="N921" s="12">
        <f t="shared" si="52"/>
        <v>0</v>
      </c>
      <c r="O921" s="12" t="e">
        <f t="shared" si="54"/>
        <v>#DIV/0!</v>
      </c>
    </row>
    <row r="922" spans="1:15">
      <c r="A922" s="60">
        <v>46115</v>
      </c>
      <c r="H922" s="62">
        <v>1</v>
      </c>
      <c r="I922" s="62">
        <v>1</v>
      </c>
      <c r="J922" s="62">
        <v>1</v>
      </c>
      <c r="K922" s="11">
        <f t="shared" si="53"/>
        <v>1615537.4000000001</v>
      </c>
      <c r="L922" s="11">
        <f t="shared" si="51"/>
        <v>87752.61</v>
      </c>
      <c r="M922" s="11">
        <f t="shared" si="51"/>
        <v>96962</v>
      </c>
      <c r="N922" s="12">
        <f t="shared" si="52"/>
        <v>0</v>
      </c>
      <c r="O922" s="12" t="e">
        <f t="shared" si="54"/>
        <v>#DIV/0!</v>
      </c>
    </row>
    <row r="923" spans="1:15">
      <c r="A923" s="60">
        <v>46116</v>
      </c>
      <c r="H923" s="62">
        <v>1</v>
      </c>
      <c r="I923" s="62">
        <v>1</v>
      </c>
      <c r="J923" s="62">
        <v>1</v>
      </c>
      <c r="K923" s="11">
        <f t="shared" si="53"/>
        <v>1615537.4000000001</v>
      </c>
      <c r="L923" s="11">
        <f t="shared" si="51"/>
        <v>87752.61</v>
      </c>
      <c r="M923" s="11">
        <f t="shared" si="51"/>
        <v>96962</v>
      </c>
      <c r="N923" s="12">
        <f t="shared" si="52"/>
        <v>0</v>
      </c>
      <c r="O923" s="12" t="e">
        <f t="shared" si="54"/>
        <v>#DIV/0!</v>
      </c>
    </row>
    <row r="924" spans="1:15">
      <c r="A924" s="60">
        <v>46117</v>
      </c>
      <c r="H924" s="62">
        <v>1</v>
      </c>
      <c r="I924" s="62">
        <v>1</v>
      </c>
      <c r="J924" s="62">
        <v>1</v>
      </c>
      <c r="K924" s="11">
        <f t="shared" si="53"/>
        <v>1615537.4000000001</v>
      </c>
      <c r="L924" s="11">
        <f t="shared" si="51"/>
        <v>87752.61</v>
      </c>
      <c r="M924" s="11">
        <f t="shared" si="51"/>
        <v>96962</v>
      </c>
      <c r="N924" s="12">
        <f t="shared" si="52"/>
        <v>0</v>
      </c>
      <c r="O924" s="12" t="e">
        <f t="shared" si="54"/>
        <v>#DIV/0!</v>
      </c>
    </row>
    <row r="925" spans="1:15">
      <c r="A925" s="60">
        <v>46118</v>
      </c>
      <c r="H925" s="62">
        <v>1</v>
      </c>
      <c r="I925" s="62">
        <v>1</v>
      </c>
      <c r="J925" s="62">
        <v>1</v>
      </c>
      <c r="K925" s="11">
        <f t="shared" si="53"/>
        <v>1615537.4000000001</v>
      </c>
      <c r="L925" s="11">
        <f t="shared" si="51"/>
        <v>87752.61</v>
      </c>
      <c r="M925" s="11">
        <f t="shared" si="51"/>
        <v>96962</v>
      </c>
      <c r="N925" s="12">
        <f t="shared" si="52"/>
        <v>0</v>
      </c>
      <c r="O925" s="12" t="e">
        <f t="shared" si="54"/>
        <v>#DIV/0!</v>
      </c>
    </row>
    <row r="926" spans="1:15">
      <c r="A926" s="60">
        <v>46119</v>
      </c>
      <c r="H926" s="62">
        <v>1</v>
      </c>
      <c r="I926" s="62">
        <v>1</v>
      </c>
      <c r="J926" s="62">
        <v>1</v>
      </c>
      <c r="K926" s="11">
        <f t="shared" si="53"/>
        <v>1615537.4000000001</v>
      </c>
      <c r="L926" s="11">
        <f t="shared" si="51"/>
        <v>87752.61</v>
      </c>
      <c r="M926" s="11">
        <f t="shared" si="51"/>
        <v>96962</v>
      </c>
      <c r="N926" s="12">
        <f t="shared" si="52"/>
        <v>0</v>
      </c>
      <c r="O926" s="12" t="e">
        <f t="shared" si="54"/>
        <v>#DIV/0!</v>
      </c>
    </row>
    <row r="927" spans="1:15">
      <c r="A927" s="60">
        <v>46120</v>
      </c>
      <c r="H927" s="62">
        <v>1</v>
      </c>
      <c r="I927" s="62">
        <v>1</v>
      </c>
      <c r="J927" s="62">
        <v>1</v>
      </c>
      <c r="K927" s="11">
        <f t="shared" si="53"/>
        <v>1615537.4000000001</v>
      </c>
      <c r="L927" s="11">
        <f t="shared" si="51"/>
        <v>87752.61</v>
      </c>
      <c r="M927" s="11">
        <f t="shared" si="51"/>
        <v>96962</v>
      </c>
      <c r="N927" s="12">
        <f t="shared" si="52"/>
        <v>0</v>
      </c>
      <c r="O927" s="12" t="e">
        <f t="shared" si="54"/>
        <v>#DIV/0!</v>
      </c>
    </row>
    <row r="928" spans="1:15">
      <c r="A928" s="60">
        <v>46121</v>
      </c>
      <c r="H928" s="62">
        <v>1</v>
      </c>
      <c r="I928" s="62">
        <v>1</v>
      </c>
      <c r="J928" s="62">
        <v>1</v>
      </c>
      <c r="K928" s="11">
        <f t="shared" si="53"/>
        <v>1615537.4000000001</v>
      </c>
      <c r="L928" s="11">
        <f t="shared" si="51"/>
        <v>87752.61</v>
      </c>
      <c r="M928" s="11">
        <f t="shared" si="51"/>
        <v>96962</v>
      </c>
      <c r="N928" s="12">
        <f t="shared" si="52"/>
        <v>0</v>
      </c>
      <c r="O928" s="12" t="e">
        <f t="shared" si="54"/>
        <v>#DIV/0!</v>
      </c>
    </row>
    <row r="929" spans="1:15">
      <c r="A929" s="60">
        <v>46122</v>
      </c>
      <c r="H929" s="62">
        <v>1</v>
      </c>
      <c r="I929" s="62">
        <v>1</v>
      </c>
      <c r="J929" s="62">
        <v>1</v>
      </c>
      <c r="K929" s="11">
        <f t="shared" si="53"/>
        <v>1615537.4000000001</v>
      </c>
      <c r="L929" s="11">
        <f t="shared" si="51"/>
        <v>87752.61</v>
      </c>
      <c r="M929" s="11">
        <f t="shared" si="51"/>
        <v>96962</v>
      </c>
      <c r="N929" s="12">
        <f t="shared" si="52"/>
        <v>0</v>
      </c>
      <c r="O929" s="12" t="e">
        <f t="shared" si="54"/>
        <v>#DIV/0!</v>
      </c>
    </row>
    <row r="930" spans="1:15">
      <c r="A930" s="60">
        <v>46123</v>
      </c>
      <c r="H930" s="62">
        <v>1</v>
      </c>
      <c r="I930" s="62">
        <v>1</v>
      </c>
      <c r="J930" s="62">
        <v>1</v>
      </c>
      <c r="K930" s="11">
        <f t="shared" si="53"/>
        <v>1615537.4000000001</v>
      </c>
      <c r="L930" s="11">
        <f t="shared" si="51"/>
        <v>87752.61</v>
      </c>
      <c r="M930" s="11">
        <f t="shared" si="51"/>
        <v>96962</v>
      </c>
      <c r="N930" s="12">
        <f t="shared" si="52"/>
        <v>0</v>
      </c>
      <c r="O930" s="12" t="e">
        <f t="shared" si="54"/>
        <v>#DIV/0!</v>
      </c>
    </row>
    <row r="931" spans="1:15">
      <c r="A931" s="60">
        <v>46124</v>
      </c>
      <c r="H931" s="62">
        <v>1</v>
      </c>
      <c r="I931" s="62">
        <v>1</v>
      </c>
      <c r="J931" s="62">
        <v>1</v>
      </c>
      <c r="K931" s="11">
        <f t="shared" si="53"/>
        <v>1615537.4000000001</v>
      </c>
      <c r="L931" s="11">
        <f t="shared" si="51"/>
        <v>87752.61</v>
      </c>
      <c r="M931" s="11">
        <f t="shared" si="51"/>
        <v>96962</v>
      </c>
      <c r="N931" s="12">
        <f t="shared" si="52"/>
        <v>0</v>
      </c>
      <c r="O931" s="12" t="e">
        <f t="shared" si="54"/>
        <v>#DIV/0!</v>
      </c>
    </row>
    <row r="932" spans="1:15">
      <c r="A932" s="60">
        <v>46125</v>
      </c>
      <c r="H932" s="62">
        <v>1</v>
      </c>
      <c r="I932" s="62">
        <v>1</v>
      </c>
      <c r="J932" s="62">
        <v>1</v>
      </c>
      <c r="K932" s="11">
        <f t="shared" si="53"/>
        <v>1615537.4000000001</v>
      </c>
      <c r="L932" s="11">
        <f t="shared" si="51"/>
        <v>87752.61</v>
      </c>
      <c r="M932" s="11">
        <f t="shared" si="51"/>
        <v>96962</v>
      </c>
      <c r="N932" s="12">
        <f t="shared" si="52"/>
        <v>0</v>
      </c>
      <c r="O932" s="12" t="e">
        <f t="shared" si="54"/>
        <v>#DIV/0!</v>
      </c>
    </row>
    <row r="933" spans="1:15">
      <c r="A933" s="60">
        <v>46126</v>
      </c>
      <c r="H933" s="62">
        <v>1</v>
      </c>
      <c r="I933" s="62">
        <v>1</v>
      </c>
      <c r="J933" s="62">
        <v>1</v>
      </c>
      <c r="K933" s="11">
        <f t="shared" si="53"/>
        <v>1615537.4000000001</v>
      </c>
      <c r="L933" s="11">
        <f t="shared" si="51"/>
        <v>87752.61</v>
      </c>
      <c r="M933" s="11">
        <f t="shared" si="51"/>
        <v>96962</v>
      </c>
      <c r="N933" s="12">
        <f t="shared" si="52"/>
        <v>0</v>
      </c>
      <c r="O933" s="12" t="e">
        <f t="shared" si="54"/>
        <v>#DIV/0!</v>
      </c>
    </row>
    <row r="934" spans="1:15">
      <c r="A934" s="60">
        <v>46127</v>
      </c>
      <c r="H934" s="62">
        <v>1</v>
      </c>
      <c r="I934" s="62">
        <v>1</v>
      </c>
      <c r="J934" s="62">
        <v>1</v>
      </c>
      <c r="K934" s="11">
        <f t="shared" si="53"/>
        <v>1615537.4000000001</v>
      </c>
      <c r="L934" s="11">
        <f t="shared" si="51"/>
        <v>87752.61</v>
      </c>
      <c r="M934" s="11">
        <f t="shared" si="51"/>
        <v>96962</v>
      </c>
      <c r="N934" s="12">
        <f t="shared" si="52"/>
        <v>0</v>
      </c>
      <c r="O934" s="12" t="e">
        <f t="shared" si="54"/>
        <v>#DIV/0!</v>
      </c>
    </row>
    <row r="935" spans="1:15">
      <c r="A935" s="60">
        <v>46128</v>
      </c>
      <c r="H935" s="62">
        <v>1</v>
      </c>
      <c r="I935" s="62">
        <v>1</v>
      </c>
      <c r="J935" s="62">
        <v>1</v>
      </c>
      <c r="K935" s="11">
        <f t="shared" si="53"/>
        <v>1615537.4000000001</v>
      </c>
      <c r="L935" s="11">
        <f t="shared" si="51"/>
        <v>87752.61</v>
      </c>
      <c r="M935" s="11">
        <f t="shared" si="51"/>
        <v>96962</v>
      </c>
      <c r="N935" s="12">
        <f t="shared" si="52"/>
        <v>0</v>
      </c>
      <c r="O935" s="12" t="e">
        <f t="shared" si="54"/>
        <v>#DIV/0!</v>
      </c>
    </row>
    <row r="936" spans="1:15">
      <c r="A936" s="60">
        <v>46129</v>
      </c>
      <c r="H936" s="62">
        <v>1</v>
      </c>
      <c r="I936" s="62">
        <v>1</v>
      </c>
      <c r="J936" s="62">
        <v>1</v>
      </c>
      <c r="K936" s="11">
        <f t="shared" si="53"/>
        <v>1615537.4000000001</v>
      </c>
      <c r="L936" s="11">
        <f t="shared" si="51"/>
        <v>87752.61</v>
      </c>
      <c r="M936" s="11">
        <f t="shared" si="51"/>
        <v>96962</v>
      </c>
      <c r="N936" s="12">
        <f t="shared" si="52"/>
        <v>0</v>
      </c>
      <c r="O936" s="12" t="e">
        <f t="shared" si="54"/>
        <v>#DIV/0!</v>
      </c>
    </row>
    <row r="937" spans="1:15">
      <c r="A937" s="60">
        <v>46130</v>
      </c>
      <c r="H937" s="62">
        <v>1</v>
      </c>
      <c r="I937" s="62">
        <v>1</v>
      </c>
      <c r="J937" s="62">
        <v>1</v>
      </c>
      <c r="K937" s="11">
        <f t="shared" si="53"/>
        <v>1615537.4000000001</v>
      </c>
      <c r="L937" s="11">
        <f t="shared" si="51"/>
        <v>87752.61</v>
      </c>
      <c r="M937" s="11">
        <f t="shared" si="51"/>
        <v>96962</v>
      </c>
      <c r="N937" s="12">
        <f t="shared" si="52"/>
        <v>0</v>
      </c>
      <c r="O937" s="12" t="e">
        <f t="shared" si="54"/>
        <v>#DIV/0!</v>
      </c>
    </row>
    <row r="938" spans="1:15">
      <c r="A938" s="60">
        <v>46131</v>
      </c>
      <c r="H938" s="62">
        <v>1</v>
      </c>
      <c r="I938" s="62">
        <v>1</v>
      </c>
      <c r="J938" s="62">
        <v>1</v>
      </c>
      <c r="K938" s="11">
        <f t="shared" si="53"/>
        <v>1615537.4000000001</v>
      </c>
      <c r="L938" s="11">
        <f t="shared" si="51"/>
        <v>87752.61</v>
      </c>
      <c r="M938" s="11">
        <f t="shared" si="51"/>
        <v>96962</v>
      </c>
      <c r="N938" s="12">
        <f t="shared" si="52"/>
        <v>0</v>
      </c>
      <c r="O938" s="12" t="e">
        <f t="shared" si="54"/>
        <v>#DIV/0!</v>
      </c>
    </row>
    <row r="939" spans="1:15">
      <c r="A939" s="60">
        <v>46132</v>
      </c>
      <c r="H939" s="62">
        <v>1</v>
      </c>
      <c r="I939" s="62">
        <v>1</v>
      </c>
      <c r="J939" s="62">
        <v>1</v>
      </c>
      <c r="K939" s="11">
        <f t="shared" si="53"/>
        <v>1615537.4000000001</v>
      </c>
      <c r="L939" s="11">
        <f t="shared" si="51"/>
        <v>87752.61</v>
      </c>
      <c r="M939" s="11">
        <f t="shared" si="51"/>
        <v>96962</v>
      </c>
      <c r="N939" s="12">
        <f t="shared" si="52"/>
        <v>0</v>
      </c>
      <c r="O939" s="12" t="e">
        <f t="shared" si="54"/>
        <v>#DIV/0!</v>
      </c>
    </row>
    <row r="940" spans="1:15">
      <c r="A940" s="60">
        <v>46133</v>
      </c>
      <c r="H940" s="62">
        <v>1</v>
      </c>
      <c r="I940" s="62">
        <v>1</v>
      </c>
      <c r="J940" s="62">
        <v>1</v>
      </c>
      <c r="K940" s="11">
        <f t="shared" si="53"/>
        <v>1615537.4000000001</v>
      </c>
      <c r="L940" s="11">
        <f t="shared" si="51"/>
        <v>87752.61</v>
      </c>
      <c r="M940" s="11">
        <f t="shared" si="51"/>
        <v>96962</v>
      </c>
      <c r="N940" s="12">
        <f t="shared" si="52"/>
        <v>0</v>
      </c>
      <c r="O940" s="12" t="e">
        <f t="shared" si="54"/>
        <v>#DIV/0!</v>
      </c>
    </row>
    <row r="941" spans="1:15">
      <c r="A941" s="60">
        <v>46134</v>
      </c>
      <c r="H941" s="62">
        <v>1</v>
      </c>
      <c r="I941" s="62">
        <v>1</v>
      </c>
      <c r="J941" s="62">
        <v>1</v>
      </c>
      <c r="K941" s="11">
        <f t="shared" si="53"/>
        <v>1615537.4000000001</v>
      </c>
      <c r="L941" s="11">
        <f t="shared" ref="L941:M1004" si="55">L940+F941</f>
        <v>87752.61</v>
      </c>
      <c r="M941" s="11">
        <f t="shared" si="55"/>
        <v>96962</v>
      </c>
      <c r="N941" s="12">
        <f t="shared" si="52"/>
        <v>0</v>
      </c>
      <c r="O941" s="12" t="e">
        <f t="shared" si="54"/>
        <v>#DIV/0!</v>
      </c>
    </row>
    <row r="942" spans="1:15">
      <c r="A942" s="60">
        <v>46135</v>
      </c>
      <c r="H942" s="62">
        <v>1</v>
      </c>
      <c r="I942" s="62">
        <v>1</v>
      </c>
      <c r="J942" s="62">
        <v>1</v>
      </c>
      <c r="K942" s="11">
        <f t="shared" si="53"/>
        <v>1615537.4000000001</v>
      </c>
      <c r="L942" s="11">
        <f t="shared" si="55"/>
        <v>87752.61</v>
      </c>
      <c r="M942" s="11">
        <f t="shared" si="55"/>
        <v>96962</v>
      </c>
      <c r="N942" s="12">
        <f t="shared" si="52"/>
        <v>0</v>
      </c>
      <c r="O942" s="12" t="e">
        <f t="shared" si="54"/>
        <v>#DIV/0!</v>
      </c>
    </row>
    <row r="943" spans="1:15">
      <c r="A943" s="60">
        <v>46136</v>
      </c>
      <c r="H943" s="62">
        <v>1</v>
      </c>
      <c r="I943" s="62">
        <v>1</v>
      </c>
      <c r="J943" s="62">
        <v>1</v>
      </c>
      <c r="K943" s="11">
        <f t="shared" si="53"/>
        <v>1615537.4000000001</v>
      </c>
      <c r="L943" s="11">
        <f t="shared" si="55"/>
        <v>87752.61</v>
      </c>
      <c r="M943" s="11">
        <f t="shared" si="55"/>
        <v>96962</v>
      </c>
      <c r="N943" s="12">
        <f t="shared" si="52"/>
        <v>0</v>
      </c>
      <c r="O943" s="12" t="e">
        <f t="shared" si="54"/>
        <v>#DIV/0!</v>
      </c>
    </row>
    <row r="944" spans="1:15">
      <c r="A944" s="60">
        <v>46137</v>
      </c>
      <c r="H944" s="62">
        <v>1</v>
      </c>
      <c r="I944" s="62">
        <v>1</v>
      </c>
      <c r="J944" s="62">
        <v>1</v>
      </c>
      <c r="K944" s="11">
        <f t="shared" si="53"/>
        <v>1615537.4000000001</v>
      </c>
      <c r="L944" s="11">
        <f t="shared" si="55"/>
        <v>87752.61</v>
      </c>
      <c r="M944" s="11">
        <f t="shared" si="55"/>
        <v>96962</v>
      </c>
      <c r="N944" s="12">
        <f t="shared" si="52"/>
        <v>0</v>
      </c>
      <c r="O944" s="12" t="e">
        <f t="shared" si="54"/>
        <v>#DIV/0!</v>
      </c>
    </row>
    <row r="945" spans="1:15">
      <c r="A945" s="60">
        <v>46138</v>
      </c>
      <c r="H945" s="62">
        <v>1</v>
      </c>
      <c r="I945" s="62">
        <v>1</v>
      </c>
      <c r="J945" s="62">
        <v>1</v>
      </c>
      <c r="K945" s="11">
        <f t="shared" si="53"/>
        <v>1615537.4000000001</v>
      </c>
      <c r="L945" s="11">
        <f t="shared" si="55"/>
        <v>87752.61</v>
      </c>
      <c r="M945" s="11">
        <f t="shared" si="55"/>
        <v>96962</v>
      </c>
      <c r="N945" s="12">
        <f t="shared" ref="N945:N1008" si="56">C945/(1400*24)</f>
        <v>0</v>
      </c>
      <c r="O945" s="12" t="e">
        <f t="shared" si="54"/>
        <v>#DIV/0!</v>
      </c>
    </row>
    <row r="946" spans="1:15">
      <c r="A946" s="60">
        <v>46139</v>
      </c>
      <c r="H946" s="62">
        <v>1</v>
      </c>
      <c r="I946" s="62">
        <v>1</v>
      </c>
      <c r="J946" s="62">
        <v>1</v>
      </c>
      <c r="K946" s="11">
        <f t="shared" si="53"/>
        <v>1615537.4000000001</v>
      </c>
      <c r="L946" s="11">
        <f t="shared" si="55"/>
        <v>87752.61</v>
      </c>
      <c r="M946" s="11">
        <f t="shared" si="55"/>
        <v>96962</v>
      </c>
      <c r="N946" s="12">
        <f t="shared" si="56"/>
        <v>0</v>
      </c>
      <c r="O946" s="12" t="e">
        <f t="shared" si="54"/>
        <v>#DIV/0!</v>
      </c>
    </row>
    <row r="947" spans="1:15">
      <c r="A947" s="60">
        <v>46140</v>
      </c>
      <c r="H947" s="62">
        <v>1</v>
      </c>
      <c r="I947" s="62">
        <v>1</v>
      </c>
      <c r="J947" s="62">
        <v>1</v>
      </c>
      <c r="K947" s="11">
        <f t="shared" ref="K947:K1010" si="57">K946+C947</f>
        <v>1615537.4000000001</v>
      </c>
      <c r="L947" s="11">
        <f t="shared" si="55"/>
        <v>87752.61</v>
      </c>
      <c r="M947" s="11">
        <f t="shared" si="55"/>
        <v>96962</v>
      </c>
      <c r="N947" s="12">
        <f t="shared" si="56"/>
        <v>0</v>
      </c>
      <c r="O947" s="12" t="e">
        <f t="shared" si="54"/>
        <v>#DIV/0!</v>
      </c>
    </row>
    <row r="948" spans="1:15">
      <c r="A948" s="60">
        <v>46141</v>
      </c>
      <c r="H948" s="62">
        <v>1</v>
      </c>
      <c r="I948" s="62">
        <v>1</v>
      </c>
      <c r="J948" s="62">
        <v>1</v>
      </c>
      <c r="K948" s="11">
        <f t="shared" si="57"/>
        <v>1615537.4000000001</v>
      </c>
      <c r="L948" s="11">
        <f t="shared" si="55"/>
        <v>87752.61</v>
      </c>
      <c r="M948" s="11">
        <f t="shared" si="55"/>
        <v>96962</v>
      </c>
      <c r="N948" s="12">
        <f t="shared" si="56"/>
        <v>0</v>
      </c>
      <c r="O948" s="12" t="e">
        <f t="shared" si="54"/>
        <v>#DIV/0!</v>
      </c>
    </row>
    <row r="949" spans="1:15">
      <c r="A949" s="60">
        <v>46142</v>
      </c>
      <c r="H949" s="62">
        <v>1</v>
      </c>
      <c r="I949" s="62">
        <v>1</v>
      </c>
      <c r="J949" s="62">
        <v>1</v>
      </c>
      <c r="K949" s="11">
        <f t="shared" si="57"/>
        <v>1615537.4000000001</v>
      </c>
      <c r="L949" s="11">
        <f t="shared" si="55"/>
        <v>87752.61</v>
      </c>
      <c r="M949" s="11">
        <f t="shared" si="55"/>
        <v>96962</v>
      </c>
      <c r="N949" s="12">
        <f t="shared" si="56"/>
        <v>0</v>
      </c>
      <c r="O949" s="12" t="e">
        <f t="shared" si="54"/>
        <v>#DIV/0!</v>
      </c>
    </row>
    <row r="950" spans="1:15">
      <c r="A950" s="60">
        <v>46143</v>
      </c>
      <c r="H950" s="62">
        <v>1</v>
      </c>
      <c r="I950" s="62">
        <v>1</v>
      </c>
      <c r="J950" s="62">
        <v>1</v>
      </c>
      <c r="K950" s="11">
        <f t="shared" si="57"/>
        <v>1615537.4000000001</v>
      </c>
      <c r="L950" s="11">
        <f t="shared" si="55"/>
        <v>87752.61</v>
      </c>
      <c r="M950" s="11">
        <f t="shared" si="55"/>
        <v>96962</v>
      </c>
      <c r="N950" s="12">
        <f t="shared" si="56"/>
        <v>0</v>
      </c>
      <c r="O950" s="12" t="e">
        <f t="shared" si="54"/>
        <v>#DIV/0!</v>
      </c>
    </row>
    <row r="951" spans="1:15">
      <c r="A951" s="60">
        <v>46144</v>
      </c>
      <c r="H951" s="62">
        <v>1</v>
      </c>
      <c r="I951" s="62">
        <v>1</v>
      </c>
      <c r="J951" s="62">
        <v>1</v>
      </c>
      <c r="K951" s="11">
        <f t="shared" si="57"/>
        <v>1615537.4000000001</v>
      </c>
      <c r="L951" s="11">
        <f t="shared" si="55"/>
        <v>87752.61</v>
      </c>
      <c r="M951" s="11">
        <f t="shared" si="55"/>
        <v>96962</v>
      </c>
      <c r="N951" s="12">
        <f t="shared" si="56"/>
        <v>0</v>
      </c>
      <c r="O951" s="12" t="e">
        <f t="shared" si="54"/>
        <v>#DIV/0!</v>
      </c>
    </row>
    <row r="952" spans="1:15">
      <c r="A952" s="60">
        <v>46145</v>
      </c>
      <c r="H952" s="62">
        <v>1</v>
      </c>
      <c r="I952" s="62">
        <v>1</v>
      </c>
      <c r="J952" s="62">
        <v>1</v>
      </c>
      <c r="K952" s="11">
        <f t="shared" si="57"/>
        <v>1615537.4000000001</v>
      </c>
      <c r="L952" s="11">
        <f t="shared" si="55"/>
        <v>87752.61</v>
      </c>
      <c r="M952" s="11">
        <f t="shared" si="55"/>
        <v>96962</v>
      </c>
      <c r="N952" s="12">
        <f t="shared" si="56"/>
        <v>0</v>
      </c>
      <c r="O952" s="12" t="e">
        <f t="shared" si="54"/>
        <v>#DIV/0!</v>
      </c>
    </row>
    <row r="953" spans="1:15">
      <c r="A953" s="60">
        <v>46146</v>
      </c>
      <c r="H953" s="62">
        <v>1</v>
      </c>
      <c r="I953" s="62">
        <v>1</v>
      </c>
      <c r="J953" s="62">
        <v>1</v>
      </c>
      <c r="K953" s="11">
        <f t="shared" si="57"/>
        <v>1615537.4000000001</v>
      </c>
      <c r="L953" s="11">
        <f t="shared" si="55"/>
        <v>87752.61</v>
      </c>
      <c r="M953" s="11">
        <f t="shared" si="55"/>
        <v>96962</v>
      </c>
      <c r="N953" s="12">
        <f t="shared" si="56"/>
        <v>0</v>
      </c>
      <c r="O953" s="12" t="e">
        <f t="shared" si="54"/>
        <v>#DIV/0!</v>
      </c>
    </row>
    <row r="954" spans="1:15">
      <c r="A954" s="60">
        <v>46147</v>
      </c>
      <c r="H954" s="62">
        <v>1</v>
      </c>
      <c r="I954" s="62">
        <v>1</v>
      </c>
      <c r="J954" s="62">
        <v>1</v>
      </c>
      <c r="K954" s="11">
        <f t="shared" si="57"/>
        <v>1615537.4000000001</v>
      </c>
      <c r="L954" s="11">
        <f t="shared" si="55"/>
        <v>87752.61</v>
      </c>
      <c r="M954" s="11">
        <f t="shared" si="55"/>
        <v>96962</v>
      </c>
      <c r="N954" s="12">
        <f t="shared" si="56"/>
        <v>0</v>
      </c>
      <c r="O954" s="12" t="e">
        <f t="shared" si="54"/>
        <v>#DIV/0!</v>
      </c>
    </row>
    <row r="955" spans="1:15">
      <c r="A955" s="60">
        <v>46148</v>
      </c>
      <c r="H955" s="62">
        <v>1</v>
      </c>
      <c r="I955" s="62">
        <v>1</v>
      </c>
      <c r="J955" s="62">
        <v>1</v>
      </c>
      <c r="K955" s="11">
        <f t="shared" si="57"/>
        <v>1615537.4000000001</v>
      </c>
      <c r="L955" s="11">
        <f t="shared" si="55"/>
        <v>87752.61</v>
      </c>
      <c r="M955" s="11">
        <f t="shared" si="55"/>
        <v>96962</v>
      </c>
      <c r="N955" s="12">
        <f t="shared" si="56"/>
        <v>0</v>
      </c>
      <c r="O955" s="12" t="e">
        <f t="shared" si="54"/>
        <v>#DIV/0!</v>
      </c>
    </row>
    <row r="956" spans="1:15">
      <c r="A956" s="60">
        <v>46149</v>
      </c>
      <c r="H956" s="62">
        <v>1</v>
      </c>
      <c r="I956" s="62">
        <v>1</v>
      </c>
      <c r="J956" s="62">
        <v>1</v>
      </c>
      <c r="K956" s="11">
        <f t="shared" si="57"/>
        <v>1615537.4000000001</v>
      </c>
      <c r="L956" s="11">
        <f t="shared" si="55"/>
        <v>87752.61</v>
      </c>
      <c r="M956" s="11">
        <f t="shared" si="55"/>
        <v>96962</v>
      </c>
      <c r="N956" s="12">
        <f t="shared" si="56"/>
        <v>0</v>
      </c>
      <c r="O956" s="12" t="e">
        <f t="shared" si="54"/>
        <v>#DIV/0!</v>
      </c>
    </row>
    <row r="957" spans="1:15">
      <c r="A957" s="60">
        <v>46150</v>
      </c>
      <c r="H957" s="62">
        <v>1</v>
      </c>
      <c r="I957" s="62">
        <v>1</v>
      </c>
      <c r="J957" s="62">
        <v>1</v>
      </c>
      <c r="K957" s="11">
        <f t="shared" si="57"/>
        <v>1615537.4000000001</v>
      </c>
      <c r="L957" s="11">
        <f t="shared" si="55"/>
        <v>87752.61</v>
      </c>
      <c r="M957" s="11">
        <f t="shared" si="55"/>
        <v>96962</v>
      </c>
      <c r="N957" s="12">
        <f t="shared" si="56"/>
        <v>0</v>
      </c>
      <c r="O957" s="12" t="e">
        <f t="shared" si="54"/>
        <v>#DIV/0!</v>
      </c>
    </row>
    <row r="958" spans="1:15">
      <c r="A958" s="60">
        <v>46151</v>
      </c>
      <c r="H958" s="62">
        <v>1</v>
      </c>
      <c r="I958" s="62">
        <v>1</v>
      </c>
      <c r="J958" s="62">
        <v>1</v>
      </c>
      <c r="K958" s="11">
        <f t="shared" si="57"/>
        <v>1615537.4000000001</v>
      </c>
      <c r="L958" s="11">
        <f t="shared" si="55"/>
        <v>87752.61</v>
      </c>
      <c r="M958" s="11">
        <f t="shared" si="55"/>
        <v>96962</v>
      </c>
      <c r="N958" s="12">
        <f t="shared" si="56"/>
        <v>0</v>
      </c>
      <c r="O958" s="12" t="e">
        <f t="shared" si="54"/>
        <v>#DIV/0!</v>
      </c>
    </row>
    <row r="959" spans="1:15">
      <c r="A959" s="60">
        <v>46152</v>
      </c>
      <c r="H959" s="62">
        <v>1</v>
      </c>
      <c r="I959" s="62">
        <v>1</v>
      </c>
      <c r="J959" s="62">
        <v>1</v>
      </c>
      <c r="K959" s="11">
        <f t="shared" si="57"/>
        <v>1615537.4000000001</v>
      </c>
      <c r="L959" s="11">
        <f t="shared" si="55"/>
        <v>87752.61</v>
      </c>
      <c r="M959" s="11">
        <f t="shared" si="55"/>
        <v>96962</v>
      </c>
      <c r="N959" s="12">
        <f t="shared" si="56"/>
        <v>0</v>
      </c>
      <c r="O959" s="12" t="e">
        <f t="shared" si="54"/>
        <v>#DIV/0!</v>
      </c>
    </row>
    <row r="960" spans="1:15">
      <c r="A960" s="60">
        <v>46153</v>
      </c>
      <c r="H960" s="62">
        <v>1</v>
      </c>
      <c r="I960" s="62">
        <v>1</v>
      </c>
      <c r="J960" s="62">
        <v>1</v>
      </c>
      <c r="K960" s="11">
        <f t="shared" si="57"/>
        <v>1615537.4000000001</v>
      </c>
      <c r="L960" s="11">
        <f t="shared" si="55"/>
        <v>87752.61</v>
      </c>
      <c r="M960" s="11">
        <f t="shared" si="55"/>
        <v>96962</v>
      </c>
      <c r="N960" s="12">
        <f t="shared" si="56"/>
        <v>0</v>
      </c>
      <c r="O960" s="12" t="e">
        <f t="shared" si="54"/>
        <v>#DIV/0!</v>
      </c>
    </row>
    <row r="961" spans="1:15">
      <c r="A961" s="60">
        <v>46154</v>
      </c>
      <c r="H961" s="62">
        <v>1</v>
      </c>
      <c r="I961" s="62">
        <v>1</v>
      </c>
      <c r="J961" s="62">
        <v>1</v>
      </c>
      <c r="K961" s="11">
        <f t="shared" si="57"/>
        <v>1615537.4000000001</v>
      </c>
      <c r="L961" s="11">
        <f t="shared" si="55"/>
        <v>87752.61</v>
      </c>
      <c r="M961" s="11">
        <f t="shared" si="55"/>
        <v>96962</v>
      </c>
      <c r="N961" s="12">
        <f t="shared" si="56"/>
        <v>0</v>
      </c>
      <c r="O961" s="12" t="e">
        <f t="shared" si="54"/>
        <v>#DIV/0!</v>
      </c>
    </row>
    <row r="962" spans="1:15">
      <c r="A962" s="60">
        <v>46155</v>
      </c>
      <c r="H962" s="62">
        <v>1</v>
      </c>
      <c r="I962" s="62">
        <v>1</v>
      </c>
      <c r="J962" s="62">
        <v>1</v>
      </c>
      <c r="K962" s="11">
        <f t="shared" si="57"/>
        <v>1615537.4000000001</v>
      </c>
      <c r="L962" s="11">
        <f t="shared" si="55"/>
        <v>87752.61</v>
      </c>
      <c r="M962" s="11">
        <f t="shared" si="55"/>
        <v>96962</v>
      </c>
      <c r="N962" s="12">
        <f t="shared" si="56"/>
        <v>0</v>
      </c>
      <c r="O962" s="12" t="e">
        <f t="shared" si="54"/>
        <v>#DIV/0!</v>
      </c>
    </row>
    <row r="963" spans="1:15">
      <c r="A963" s="60">
        <v>46156</v>
      </c>
      <c r="H963" s="62">
        <v>1</v>
      </c>
      <c r="I963" s="62">
        <v>1</v>
      </c>
      <c r="J963" s="62">
        <v>1</v>
      </c>
      <c r="K963" s="11">
        <f t="shared" si="57"/>
        <v>1615537.4000000001</v>
      </c>
      <c r="L963" s="11">
        <f t="shared" si="55"/>
        <v>87752.61</v>
      </c>
      <c r="M963" s="11">
        <f t="shared" si="55"/>
        <v>96962</v>
      </c>
      <c r="N963" s="12">
        <f t="shared" si="56"/>
        <v>0</v>
      </c>
      <c r="O963" s="12" t="e">
        <f t="shared" ref="O963:O1026" si="58">K963/(B963*1400*24)</f>
        <v>#DIV/0!</v>
      </c>
    </row>
    <row r="964" spans="1:15">
      <c r="A964" s="60">
        <v>46157</v>
      </c>
      <c r="H964" s="62">
        <v>1</v>
      </c>
      <c r="I964" s="62">
        <v>1</v>
      </c>
      <c r="J964" s="62">
        <v>1</v>
      </c>
      <c r="K964" s="11">
        <f t="shared" si="57"/>
        <v>1615537.4000000001</v>
      </c>
      <c r="L964" s="11">
        <f t="shared" si="55"/>
        <v>87752.61</v>
      </c>
      <c r="M964" s="11">
        <f t="shared" si="55"/>
        <v>96962</v>
      </c>
      <c r="N964" s="12">
        <f t="shared" si="56"/>
        <v>0</v>
      </c>
      <c r="O964" s="12" t="e">
        <f t="shared" si="58"/>
        <v>#DIV/0!</v>
      </c>
    </row>
    <row r="965" spans="1:15">
      <c r="A965" s="60">
        <v>46158</v>
      </c>
      <c r="H965" s="62">
        <v>1</v>
      </c>
      <c r="I965" s="62">
        <v>1</v>
      </c>
      <c r="J965" s="62">
        <v>1</v>
      </c>
      <c r="K965" s="11">
        <f t="shared" si="57"/>
        <v>1615537.4000000001</v>
      </c>
      <c r="L965" s="11">
        <f t="shared" si="55"/>
        <v>87752.61</v>
      </c>
      <c r="M965" s="11">
        <f t="shared" si="55"/>
        <v>96962</v>
      </c>
      <c r="N965" s="12">
        <f t="shared" si="56"/>
        <v>0</v>
      </c>
      <c r="O965" s="12" t="e">
        <f t="shared" si="58"/>
        <v>#DIV/0!</v>
      </c>
    </row>
    <row r="966" spans="1:15">
      <c r="A966" s="60">
        <v>46159</v>
      </c>
      <c r="H966" s="62">
        <v>1</v>
      </c>
      <c r="I966" s="62">
        <v>1</v>
      </c>
      <c r="J966" s="62">
        <v>1</v>
      </c>
      <c r="K966" s="11">
        <f t="shared" si="57"/>
        <v>1615537.4000000001</v>
      </c>
      <c r="L966" s="11">
        <f t="shared" si="55"/>
        <v>87752.61</v>
      </c>
      <c r="M966" s="11">
        <f t="shared" si="55"/>
        <v>96962</v>
      </c>
      <c r="N966" s="12">
        <f t="shared" si="56"/>
        <v>0</v>
      </c>
      <c r="O966" s="12" t="e">
        <f t="shared" si="58"/>
        <v>#DIV/0!</v>
      </c>
    </row>
    <row r="967" spans="1:15">
      <c r="A967" s="60">
        <v>46160</v>
      </c>
      <c r="H967" s="62">
        <v>1</v>
      </c>
      <c r="I967" s="62">
        <v>1</v>
      </c>
      <c r="J967" s="62">
        <v>1</v>
      </c>
      <c r="K967" s="11">
        <f t="shared" si="57"/>
        <v>1615537.4000000001</v>
      </c>
      <c r="L967" s="11">
        <f t="shared" si="55"/>
        <v>87752.61</v>
      </c>
      <c r="M967" s="11">
        <f t="shared" si="55"/>
        <v>96962</v>
      </c>
      <c r="N967" s="12">
        <f t="shared" si="56"/>
        <v>0</v>
      </c>
      <c r="O967" s="12" t="e">
        <f t="shared" si="58"/>
        <v>#DIV/0!</v>
      </c>
    </row>
    <row r="968" spans="1:15">
      <c r="A968" s="60">
        <v>46161</v>
      </c>
      <c r="H968" s="62">
        <v>1</v>
      </c>
      <c r="I968" s="62">
        <v>1</v>
      </c>
      <c r="J968" s="62">
        <v>1</v>
      </c>
      <c r="K968" s="11">
        <f t="shared" si="57"/>
        <v>1615537.4000000001</v>
      </c>
      <c r="L968" s="11">
        <f t="shared" si="55"/>
        <v>87752.61</v>
      </c>
      <c r="M968" s="11">
        <f t="shared" si="55"/>
        <v>96962</v>
      </c>
      <c r="N968" s="12">
        <f t="shared" si="56"/>
        <v>0</v>
      </c>
      <c r="O968" s="12" t="e">
        <f t="shared" si="58"/>
        <v>#DIV/0!</v>
      </c>
    </row>
    <row r="969" spans="1:15">
      <c r="A969" s="60">
        <v>46162</v>
      </c>
      <c r="H969" s="62">
        <v>1</v>
      </c>
      <c r="I969" s="62">
        <v>1</v>
      </c>
      <c r="J969" s="62">
        <v>1</v>
      </c>
      <c r="K969" s="11">
        <f t="shared" si="57"/>
        <v>1615537.4000000001</v>
      </c>
      <c r="L969" s="11">
        <f t="shared" si="55"/>
        <v>87752.61</v>
      </c>
      <c r="M969" s="11">
        <f t="shared" si="55"/>
        <v>96962</v>
      </c>
      <c r="N969" s="12">
        <f t="shared" si="56"/>
        <v>0</v>
      </c>
      <c r="O969" s="12" t="e">
        <f t="shared" si="58"/>
        <v>#DIV/0!</v>
      </c>
    </row>
    <row r="970" spans="1:15">
      <c r="A970" s="60">
        <v>46163</v>
      </c>
      <c r="H970" s="62">
        <v>1</v>
      </c>
      <c r="I970" s="62">
        <v>1</v>
      </c>
      <c r="J970" s="62">
        <v>1</v>
      </c>
      <c r="K970" s="11">
        <f t="shared" si="57"/>
        <v>1615537.4000000001</v>
      </c>
      <c r="L970" s="11">
        <f t="shared" si="55"/>
        <v>87752.61</v>
      </c>
      <c r="M970" s="11">
        <f t="shared" si="55"/>
        <v>96962</v>
      </c>
      <c r="N970" s="12">
        <f t="shared" si="56"/>
        <v>0</v>
      </c>
      <c r="O970" s="12" t="e">
        <f t="shared" si="58"/>
        <v>#DIV/0!</v>
      </c>
    </row>
    <row r="971" spans="1:15">
      <c r="A971" s="60">
        <v>46164</v>
      </c>
      <c r="H971" s="62">
        <v>1</v>
      </c>
      <c r="I971" s="62">
        <v>1</v>
      </c>
      <c r="J971" s="62">
        <v>1</v>
      </c>
      <c r="K971" s="11">
        <f t="shared" si="57"/>
        <v>1615537.4000000001</v>
      </c>
      <c r="L971" s="11">
        <f t="shared" si="55"/>
        <v>87752.61</v>
      </c>
      <c r="M971" s="11">
        <f t="shared" si="55"/>
        <v>96962</v>
      </c>
      <c r="N971" s="12">
        <f t="shared" si="56"/>
        <v>0</v>
      </c>
      <c r="O971" s="12" t="e">
        <f t="shared" si="58"/>
        <v>#DIV/0!</v>
      </c>
    </row>
    <row r="972" spans="1:15">
      <c r="A972" s="60">
        <v>46165</v>
      </c>
      <c r="H972" s="62">
        <v>1</v>
      </c>
      <c r="I972" s="62">
        <v>1</v>
      </c>
      <c r="J972" s="62">
        <v>1</v>
      </c>
      <c r="K972" s="11">
        <f t="shared" si="57"/>
        <v>1615537.4000000001</v>
      </c>
      <c r="L972" s="11">
        <f t="shared" si="55"/>
        <v>87752.61</v>
      </c>
      <c r="M972" s="11">
        <f t="shared" si="55"/>
        <v>96962</v>
      </c>
      <c r="N972" s="12">
        <f t="shared" si="56"/>
        <v>0</v>
      </c>
      <c r="O972" s="12" t="e">
        <f t="shared" si="58"/>
        <v>#DIV/0!</v>
      </c>
    </row>
    <row r="973" spans="1:15">
      <c r="A973" s="60">
        <v>46166</v>
      </c>
      <c r="H973" s="62">
        <v>1</v>
      </c>
      <c r="I973" s="62">
        <v>1</v>
      </c>
      <c r="J973" s="62">
        <v>1</v>
      </c>
      <c r="K973" s="11">
        <f t="shared" si="57"/>
        <v>1615537.4000000001</v>
      </c>
      <c r="L973" s="11">
        <f t="shared" si="55"/>
        <v>87752.61</v>
      </c>
      <c r="M973" s="11">
        <f t="shared" si="55"/>
        <v>96962</v>
      </c>
      <c r="N973" s="12">
        <f t="shared" si="56"/>
        <v>0</v>
      </c>
      <c r="O973" s="12" t="e">
        <f t="shared" si="58"/>
        <v>#DIV/0!</v>
      </c>
    </row>
    <row r="974" spans="1:15">
      <c r="A974" s="60">
        <v>46167</v>
      </c>
      <c r="H974" s="62">
        <v>1</v>
      </c>
      <c r="I974" s="62">
        <v>1</v>
      </c>
      <c r="J974" s="62">
        <v>1</v>
      </c>
      <c r="K974" s="11">
        <f t="shared" si="57"/>
        <v>1615537.4000000001</v>
      </c>
      <c r="L974" s="11">
        <f t="shared" si="55"/>
        <v>87752.61</v>
      </c>
      <c r="M974" s="11">
        <f t="shared" si="55"/>
        <v>96962</v>
      </c>
      <c r="N974" s="12">
        <f t="shared" si="56"/>
        <v>0</v>
      </c>
      <c r="O974" s="12" t="e">
        <f t="shared" si="58"/>
        <v>#DIV/0!</v>
      </c>
    </row>
    <row r="975" spans="1:15">
      <c r="A975" s="60">
        <v>46168</v>
      </c>
      <c r="H975" s="62">
        <v>1</v>
      </c>
      <c r="I975" s="62">
        <v>1</v>
      </c>
      <c r="J975" s="62">
        <v>1</v>
      </c>
      <c r="K975" s="11">
        <f t="shared" si="57"/>
        <v>1615537.4000000001</v>
      </c>
      <c r="L975" s="11">
        <f t="shared" si="55"/>
        <v>87752.61</v>
      </c>
      <c r="M975" s="11">
        <f t="shared" si="55"/>
        <v>96962</v>
      </c>
      <c r="N975" s="12">
        <f t="shared" si="56"/>
        <v>0</v>
      </c>
      <c r="O975" s="12" t="e">
        <f t="shared" si="58"/>
        <v>#DIV/0!</v>
      </c>
    </row>
    <row r="976" spans="1:15">
      <c r="A976" s="60">
        <v>46169</v>
      </c>
      <c r="H976" s="62">
        <v>1</v>
      </c>
      <c r="I976" s="62">
        <v>1</v>
      </c>
      <c r="J976" s="62">
        <v>1</v>
      </c>
      <c r="K976" s="11">
        <f t="shared" si="57"/>
        <v>1615537.4000000001</v>
      </c>
      <c r="L976" s="11">
        <f t="shared" si="55"/>
        <v>87752.61</v>
      </c>
      <c r="M976" s="11">
        <f t="shared" si="55"/>
        <v>96962</v>
      </c>
      <c r="N976" s="12">
        <f t="shared" si="56"/>
        <v>0</v>
      </c>
      <c r="O976" s="12" t="e">
        <f t="shared" si="58"/>
        <v>#DIV/0!</v>
      </c>
    </row>
    <row r="977" spans="1:15">
      <c r="A977" s="60">
        <v>46170</v>
      </c>
      <c r="H977" s="62">
        <v>1</v>
      </c>
      <c r="I977" s="62">
        <v>1</v>
      </c>
      <c r="J977" s="62">
        <v>1</v>
      </c>
      <c r="K977" s="11">
        <f t="shared" si="57"/>
        <v>1615537.4000000001</v>
      </c>
      <c r="L977" s="11">
        <f t="shared" si="55"/>
        <v>87752.61</v>
      </c>
      <c r="M977" s="11">
        <f t="shared" si="55"/>
        <v>96962</v>
      </c>
      <c r="N977" s="12">
        <f t="shared" si="56"/>
        <v>0</v>
      </c>
      <c r="O977" s="12" t="e">
        <f t="shared" si="58"/>
        <v>#DIV/0!</v>
      </c>
    </row>
    <row r="978" spans="1:15">
      <c r="A978" s="60">
        <v>46171</v>
      </c>
      <c r="H978" s="62">
        <v>1</v>
      </c>
      <c r="I978" s="62">
        <v>1</v>
      </c>
      <c r="J978" s="62">
        <v>1</v>
      </c>
      <c r="K978" s="11">
        <f t="shared" si="57"/>
        <v>1615537.4000000001</v>
      </c>
      <c r="L978" s="11">
        <f t="shared" si="55"/>
        <v>87752.61</v>
      </c>
      <c r="M978" s="11">
        <f t="shared" si="55"/>
        <v>96962</v>
      </c>
      <c r="N978" s="12">
        <f t="shared" si="56"/>
        <v>0</v>
      </c>
      <c r="O978" s="12" t="e">
        <f t="shared" si="58"/>
        <v>#DIV/0!</v>
      </c>
    </row>
    <row r="979" spans="1:15">
      <c r="A979" s="60">
        <v>46172</v>
      </c>
      <c r="H979" s="62">
        <v>1</v>
      </c>
      <c r="I979" s="62">
        <v>1</v>
      </c>
      <c r="J979" s="62">
        <v>1</v>
      </c>
      <c r="K979" s="11">
        <f t="shared" si="57"/>
        <v>1615537.4000000001</v>
      </c>
      <c r="L979" s="11">
        <f t="shared" si="55"/>
        <v>87752.61</v>
      </c>
      <c r="M979" s="11">
        <f t="shared" si="55"/>
        <v>96962</v>
      </c>
      <c r="N979" s="12">
        <f t="shared" si="56"/>
        <v>0</v>
      </c>
      <c r="O979" s="12" t="e">
        <f t="shared" si="58"/>
        <v>#DIV/0!</v>
      </c>
    </row>
    <row r="980" spans="1:15">
      <c r="A980" s="60">
        <v>46173</v>
      </c>
      <c r="H980" s="62">
        <v>1</v>
      </c>
      <c r="I980" s="62">
        <v>1</v>
      </c>
      <c r="J980" s="62">
        <v>1</v>
      </c>
      <c r="K980" s="11">
        <f t="shared" si="57"/>
        <v>1615537.4000000001</v>
      </c>
      <c r="L980" s="11">
        <f t="shared" si="55"/>
        <v>87752.61</v>
      </c>
      <c r="M980" s="11">
        <f t="shared" si="55"/>
        <v>96962</v>
      </c>
      <c r="N980" s="12">
        <f t="shared" si="56"/>
        <v>0</v>
      </c>
      <c r="O980" s="12" t="e">
        <f t="shared" si="58"/>
        <v>#DIV/0!</v>
      </c>
    </row>
    <row r="981" spans="1:15">
      <c r="A981" s="60">
        <v>46174</v>
      </c>
      <c r="H981" s="62">
        <v>1</v>
      </c>
      <c r="I981" s="62">
        <v>1</v>
      </c>
      <c r="J981" s="62">
        <v>1</v>
      </c>
      <c r="K981" s="11">
        <f t="shared" si="57"/>
        <v>1615537.4000000001</v>
      </c>
      <c r="L981" s="11">
        <f t="shared" si="55"/>
        <v>87752.61</v>
      </c>
      <c r="M981" s="11">
        <f t="shared" si="55"/>
        <v>96962</v>
      </c>
      <c r="N981" s="12">
        <f t="shared" si="56"/>
        <v>0</v>
      </c>
      <c r="O981" s="12" t="e">
        <f t="shared" si="58"/>
        <v>#DIV/0!</v>
      </c>
    </row>
    <row r="982" spans="1:15">
      <c r="A982" s="60">
        <v>46175</v>
      </c>
      <c r="H982" s="62">
        <v>1</v>
      </c>
      <c r="I982" s="62">
        <v>1</v>
      </c>
      <c r="J982" s="62">
        <v>1</v>
      </c>
      <c r="K982" s="11">
        <f t="shared" si="57"/>
        <v>1615537.4000000001</v>
      </c>
      <c r="L982" s="11">
        <f t="shared" si="55"/>
        <v>87752.61</v>
      </c>
      <c r="M982" s="11">
        <f t="shared" si="55"/>
        <v>96962</v>
      </c>
      <c r="N982" s="12">
        <f t="shared" si="56"/>
        <v>0</v>
      </c>
      <c r="O982" s="12" t="e">
        <f t="shared" si="58"/>
        <v>#DIV/0!</v>
      </c>
    </row>
    <row r="983" spans="1:15">
      <c r="A983" s="60">
        <v>46176</v>
      </c>
      <c r="H983" s="62">
        <v>1</v>
      </c>
      <c r="I983" s="62">
        <v>1</v>
      </c>
      <c r="J983" s="62">
        <v>1</v>
      </c>
      <c r="K983" s="11">
        <f t="shared" si="57"/>
        <v>1615537.4000000001</v>
      </c>
      <c r="L983" s="11">
        <f t="shared" si="55"/>
        <v>87752.61</v>
      </c>
      <c r="M983" s="11">
        <f t="shared" si="55"/>
        <v>96962</v>
      </c>
      <c r="N983" s="12">
        <f t="shared" si="56"/>
        <v>0</v>
      </c>
      <c r="O983" s="12" t="e">
        <f t="shared" si="58"/>
        <v>#DIV/0!</v>
      </c>
    </row>
    <row r="984" spans="1:15">
      <c r="A984" s="60">
        <v>46177</v>
      </c>
      <c r="H984" s="62">
        <v>1</v>
      </c>
      <c r="I984" s="62">
        <v>1</v>
      </c>
      <c r="J984" s="62">
        <v>1</v>
      </c>
      <c r="K984" s="11">
        <f t="shared" si="57"/>
        <v>1615537.4000000001</v>
      </c>
      <c r="L984" s="11">
        <f t="shared" si="55"/>
        <v>87752.61</v>
      </c>
      <c r="M984" s="11">
        <f t="shared" si="55"/>
        <v>96962</v>
      </c>
      <c r="N984" s="12">
        <f t="shared" si="56"/>
        <v>0</v>
      </c>
      <c r="O984" s="12" t="e">
        <f t="shared" si="58"/>
        <v>#DIV/0!</v>
      </c>
    </row>
    <row r="985" spans="1:15">
      <c r="A985" s="60">
        <v>46178</v>
      </c>
      <c r="H985" s="62">
        <v>1</v>
      </c>
      <c r="I985" s="62">
        <v>1</v>
      </c>
      <c r="J985" s="62">
        <v>1</v>
      </c>
      <c r="K985" s="11">
        <f t="shared" si="57"/>
        <v>1615537.4000000001</v>
      </c>
      <c r="L985" s="11">
        <f t="shared" si="55"/>
        <v>87752.61</v>
      </c>
      <c r="M985" s="11">
        <f t="shared" si="55"/>
        <v>96962</v>
      </c>
      <c r="N985" s="12">
        <f t="shared" si="56"/>
        <v>0</v>
      </c>
      <c r="O985" s="12" t="e">
        <f t="shared" si="58"/>
        <v>#DIV/0!</v>
      </c>
    </row>
    <row r="986" spans="1:15">
      <c r="A986" s="60">
        <v>46179</v>
      </c>
      <c r="H986" s="62">
        <v>1</v>
      </c>
      <c r="I986" s="62">
        <v>1</v>
      </c>
      <c r="J986" s="62">
        <v>1</v>
      </c>
      <c r="K986" s="11">
        <f t="shared" si="57"/>
        <v>1615537.4000000001</v>
      </c>
      <c r="L986" s="11">
        <f t="shared" si="55"/>
        <v>87752.61</v>
      </c>
      <c r="M986" s="11">
        <f t="shared" si="55"/>
        <v>96962</v>
      </c>
      <c r="N986" s="12">
        <f t="shared" si="56"/>
        <v>0</v>
      </c>
      <c r="O986" s="12" t="e">
        <f t="shared" si="58"/>
        <v>#DIV/0!</v>
      </c>
    </row>
    <row r="987" spans="1:15">
      <c r="A987" s="60">
        <v>46180</v>
      </c>
      <c r="H987" s="62">
        <v>1</v>
      </c>
      <c r="I987" s="62">
        <v>1</v>
      </c>
      <c r="J987" s="62">
        <v>1</v>
      </c>
      <c r="K987" s="11">
        <f t="shared" si="57"/>
        <v>1615537.4000000001</v>
      </c>
      <c r="L987" s="11">
        <f t="shared" si="55"/>
        <v>87752.61</v>
      </c>
      <c r="M987" s="11">
        <f t="shared" si="55"/>
        <v>96962</v>
      </c>
      <c r="N987" s="12">
        <f t="shared" si="56"/>
        <v>0</v>
      </c>
      <c r="O987" s="12" t="e">
        <f t="shared" si="58"/>
        <v>#DIV/0!</v>
      </c>
    </row>
    <row r="988" spans="1:15">
      <c r="A988" s="60">
        <v>46181</v>
      </c>
      <c r="H988" s="62">
        <v>1</v>
      </c>
      <c r="I988" s="62">
        <v>1</v>
      </c>
      <c r="J988" s="62">
        <v>1</v>
      </c>
      <c r="K988" s="11">
        <f t="shared" si="57"/>
        <v>1615537.4000000001</v>
      </c>
      <c r="L988" s="11">
        <f t="shared" si="55"/>
        <v>87752.61</v>
      </c>
      <c r="M988" s="11">
        <f t="shared" si="55"/>
        <v>96962</v>
      </c>
      <c r="N988" s="12">
        <f t="shared" si="56"/>
        <v>0</v>
      </c>
      <c r="O988" s="12" t="e">
        <f t="shared" si="58"/>
        <v>#DIV/0!</v>
      </c>
    </row>
    <row r="989" spans="1:15">
      <c r="A989" s="60">
        <v>46182</v>
      </c>
      <c r="H989" s="62">
        <v>1</v>
      </c>
      <c r="I989" s="62">
        <v>1</v>
      </c>
      <c r="J989" s="62">
        <v>1</v>
      </c>
      <c r="K989" s="11">
        <f t="shared" si="57"/>
        <v>1615537.4000000001</v>
      </c>
      <c r="L989" s="11">
        <f t="shared" si="55"/>
        <v>87752.61</v>
      </c>
      <c r="M989" s="11">
        <f t="shared" si="55"/>
        <v>96962</v>
      </c>
      <c r="N989" s="12">
        <f t="shared" si="56"/>
        <v>0</v>
      </c>
      <c r="O989" s="12" t="e">
        <f t="shared" si="58"/>
        <v>#DIV/0!</v>
      </c>
    </row>
    <row r="990" spans="1:15">
      <c r="A990" s="60">
        <v>46183</v>
      </c>
      <c r="H990" s="62">
        <v>1</v>
      </c>
      <c r="I990" s="62">
        <v>1</v>
      </c>
      <c r="J990" s="62">
        <v>1</v>
      </c>
      <c r="K990" s="11">
        <f t="shared" si="57"/>
        <v>1615537.4000000001</v>
      </c>
      <c r="L990" s="11">
        <f t="shared" si="55"/>
        <v>87752.61</v>
      </c>
      <c r="M990" s="11">
        <f t="shared" si="55"/>
        <v>96962</v>
      </c>
      <c r="N990" s="12">
        <f t="shared" si="56"/>
        <v>0</v>
      </c>
      <c r="O990" s="12" t="e">
        <f t="shared" si="58"/>
        <v>#DIV/0!</v>
      </c>
    </row>
    <row r="991" spans="1:15">
      <c r="A991" s="60">
        <v>46184</v>
      </c>
      <c r="H991" s="62">
        <v>1</v>
      </c>
      <c r="I991" s="62">
        <v>1</v>
      </c>
      <c r="J991" s="62">
        <v>1</v>
      </c>
      <c r="K991" s="11">
        <f t="shared" si="57"/>
        <v>1615537.4000000001</v>
      </c>
      <c r="L991" s="11">
        <f t="shared" si="55"/>
        <v>87752.61</v>
      </c>
      <c r="M991" s="11">
        <f t="shared" si="55"/>
        <v>96962</v>
      </c>
      <c r="N991" s="12">
        <f t="shared" si="56"/>
        <v>0</v>
      </c>
      <c r="O991" s="12" t="e">
        <f t="shared" si="58"/>
        <v>#DIV/0!</v>
      </c>
    </row>
    <row r="992" spans="1:15">
      <c r="A992" s="60">
        <v>46185</v>
      </c>
      <c r="H992" s="62">
        <v>1</v>
      </c>
      <c r="I992" s="62">
        <v>1</v>
      </c>
      <c r="J992" s="62">
        <v>1</v>
      </c>
      <c r="K992" s="11">
        <f t="shared" si="57"/>
        <v>1615537.4000000001</v>
      </c>
      <c r="L992" s="11">
        <f t="shared" si="55"/>
        <v>87752.61</v>
      </c>
      <c r="M992" s="11">
        <f t="shared" si="55"/>
        <v>96962</v>
      </c>
      <c r="N992" s="12">
        <f t="shared" si="56"/>
        <v>0</v>
      </c>
      <c r="O992" s="12" t="e">
        <f t="shared" si="58"/>
        <v>#DIV/0!</v>
      </c>
    </row>
    <row r="993" spans="1:15">
      <c r="A993" s="60">
        <v>46186</v>
      </c>
      <c r="H993" s="62">
        <v>1</v>
      </c>
      <c r="I993" s="62">
        <v>1</v>
      </c>
      <c r="J993" s="62">
        <v>1</v>
      </c>
      <c r="K993" s="11">
        <f t="shared" si="57"/>
        <v>1615537.4000000001</v>
      </c>
      <c r="L993" s="11">
        <f t="shared" si="55"/>
        <v>87752.61</v>
      </c>
      <c r="M993" s="11">
        <f t="shared" si="55"/>
        <v>96962</v>
      </c>
      <c r="N993" s="12">
        <f t="shared" si="56"/>
        <v>0</v>
      </c>
      <c r="O993" s="12" t="e">
        <f t="shared" si="58"/>
        <v>#DIV/0!</v>
      </c>
    </row>
    <row r="994" spans="1:15">
      <c r="A994" s="60">
        <v>46187</v>
      </c>
      <c r="H994" s="62">
        <v>1</v>
      </c>
      <c r="I994" s="62">
        <v>1</v>
      </c>
      <c r="J994" s="62">
        <v>1</v>
      </c>
      <c r="K994" s="11">
        <f t="shared" si="57"/>
        <v>1615537.4000000001</v>
      </c>
      <c r="L994" s="11">
        <f t="shared" si="55"/>
        <v>87752.61</v>
      </c>
      <c r="M994" s="11">
        <f t="shared" si="55"/>
        <v>96962</v>
      </c>
      <c r="N994" s="12">
        <f t="shared" si="56"/>
        <v>0</v>
      </c>
      <c r="O994" s="12" t="e">
        <f t="shared" si="58"/>
        <v>#DIV/0!</v>
      </c>
    </row>
    <row r="995" spans="1:15">
      <c r="A995" s="60">
        <v>46188</v>
      </c>
      <c r="H995" s="62">
        <v>1</v>
      </c>
      <c r="I995" s="62">
        <v>1</v>
      </c>
      <c r="J995" s="62">
        <v>1</v>
      </c>
      <c r="K995" s="11">
        <f t="shared" si="57"/>
        <v>1615537.4000000001</v>
      </c>
      <c r="L995" s="11">
        <f t="shared" si="55"/>
        <v>87752.61</v>
      </c>
      <c r="M995" s="11">
        <f t="shared" si="55"/>
        <v>96962</v>
      </c>
      <c r="N995" s="12">
        <f t="shared" si="56"/>
        <v>0</v>
      </c>
      <c r="O995" s="12" t="e">
        <f t="shared" si="58"/>
        <v>#DIV/0!</v>
      </c>
    </row>
    <row r="996" spans="1:15">
      <c r="A996" s="60">
        <v>46189</v>
      </c>
      <c r="H996" s="62">
        <v>1</v>
      </c>
      <c r="I996" s="62">
        <v>1</v>
      </c>
      <c r="J996" s="62">
        <v>1</v>
      </c>
      <c r="K996" s="11">
        <f t="shared" si="57"/>
        <v>1615537.4000000001</v>
      </c>
      <c r="L996" s="11">
        <f t="shared" si="55"/>
        <v>87752.61</v>
      </c>
      <c r="M996" s="11">
        <f t="shared" si="55"/>
        <v>96962</v>
      </c>
      <c r="N996" s="12">
        <f t="shared" si="56"/>
        <v>0</v>
      </c>
      <c r="O996" s="12" t="e">
        <f t="shared" si="58"/>
        <v>#DIV/0!</v>
      </c>
    </row>
    <row r="997" spans="1:15">
      <c r="A997" s="60">
        <v>46190</v>
      </c>
      <c r="H997" s="62">
        <v>1</v>
      </c>
      <c r="I997" s="62">
        <v>1</v>
      </c>
      <c r="J997" s="62">
        <v>1</v>
      </c>
      <c r="K997" s="11">
        <f t="shared" si="57"/>
        <v>1615537.4000000001</v>
      </c>
      <c r="L997" s="11">
        <f t="shared" si="55"/>
        <v>87752.61</v>
      </c>
      <c r="M997" s="11">
        <f t="shared" si="55"/>
        <v>96962</v>
      </c>
      <c r="N997" s="12">
        <f t="shared" si="56"/>
        <v>0</v>
      </c>
      <c r="O997" s="12" t="e">
        <f t="shared" si="58"/>
        <v>#DIV/0!</v>
      </c>
    </row>
    <row r="998" spans="1:15">
      <c r="A998" s="60">
        <v>46191</v>
      </c>
      <c r="H998" s="62">
        <v>1</v>
      </c>
      <c r="I998" s="62">
        <v>1</v>
      </c>
      <c r="J998" s="62">
        <v>1</v>
      </c>
      <c r="K998" s="11">
        <f t="shared" si="57"/>
        <v>1615537.4000000001</v>
      </c>
      <c r="L998" s="11">
        <f t="shared" si="55"/>
        <v>87752.61</v>
      </c>
      <c r="M998" s="11">
        <f t="shared" si="55"/>
        <v>96962</v>
      </c>
      <c r="N998" s="12">
        <f t="shared" si="56"/>
        <v>0</v>
      </c>
      <c r="O998" s="12" t="e">
        <f t="shared" si="58"/>
        <v>#DIV/0!</v>
      </c>
    </row>
    <row r="999" spans="1:15">
      <c r="A999" s="60">
        <v>46192</v>
      </c>
      <c r="H999" s="62">
        <v>1</v>
      </c>
      <c r="I999" s="62">
        <v>1</v>
      </c>
      <c r="J999" s="62">
        <v>1</v>
      </c>
      <c r="K999" s="11">
        <f t="shared" si="57"/>
        <v>1615537.4000000001</v>
      </c>
      <c r="L999" s="11">
        <f t="shared" si="55"/>
        <v>87752.61</v>
      </c>
      <c r="M999" s="11">
        <f t="shared" si="55"/>
        <v>96962</v>
      </c>
      <c r="N999" s="12">
        <f t="shared" si="56"/>
        <v>0</v>
      </c>
      <c r="O999" s="12" t="e">
        <f t="shared" si="58"/>
        <v>#DIV/0!</v>
      </c>
    </row>
    <row r="1000" spans="1:15">
      <c r="A1000" s="60">
        <v>46193</v>
      </c>
      <c r="H1000" s="62">
        <v>1</v>
      </c>
      <c r="I1000" s="62">
        <v>1</v>
      </c>
      <c r="J1000" s="62">
        <v>1</v>
      </c>
      <c r="K1000" s="11">
        <f t="shared" si="57"/>
        <v>1615537.4000000001</v>
      </c>
      <c r="L1000" s="11">
        <f t="shared" si="55"/>
        <v>87752.61</v>
      </c>
      <c r="M1000" s="11">
        <f t="shared" si="55"/>
        <v>96962</v>
      </c>
      <c r="N1000" s="12">
        <f t="shared" si="56"/>
        <v>0</v>
      </c>
      <c r="O1000" s="12" t="e">
        <f t="shared" si="58"/>
        <v>#DIV/0!</v>
      </c>
    </row>
    <row r="1001" spans="1:15">
      <c r="A1001" s="60">
        <v>46194</v>
      </c>
      <c r="H1001" s="62">
        <v>1</v>
      </c>
      <c r="I1001" s="62">
        <v>1</v>
      </c>
      <c r="J1001" s="62">
        <v>1</v>
      </c>
      <c r="K1001" s="11">
        <f t="shared" si="57"/>
        <v>1615537.4000000001</v>
      </c>
      <c r="L1001" s="11">
        <f t="shared" si="55"/>
        <v>87752.61</v>
      </c>
      <c r="M1001" s="11">
        <f t="shared" si="55"/>
        <v>96962</v>
      </c>
      <c r="N1001" s="12">
        <f t="shared" si="56"/>
        <v>0</v>
      </c>
      <c r="O1001" s="12" t="e">
        <f t="shared" si="58"/>
        <v>#DIV/0!</v>
      </c>
    </row>
    <row r="1002" spans="1:15">
      <c r="A1002" s="60">
        <v>46195</v>
      </c>
      <c r="H1002" s="62">
        <v>1</v>
      </c>
      <c r="I1002" s="62">
        <v>1</v>
      </c>
      <c r="J1002" s="62">
        <v>1</v>
      </c>
      <c r="K1002" s="11">
        <f t="shared" si="57"/>
        <v>1615537.4000000001</v>
      </c>
      <c r="L1002" s="11">
        <f t="shared" si="55"/>
        <v>87752.61</v>
      </c>
      <c r="M1002" s="11">
        <f t="shared" si="55"/>
        <v>96962</v>
      </c>
      <c r="N1002" s="12">
        <f t="shared" si="56"/>
        <v>0</v>
      </c>
      <c r="O1002" s="12" t="e">
        <f t="shared" si="58"/>
        <v>#DIV/0!</v>
      </c>
    </row>
    <row r="1003" spans="1:15">
      <c r="A1003" s="60">
        <v>46196</v>
      </c>
      <c r="H1003" s="62">
        <v>1</v>
      </c>
      <c r="I1003" s="62">
        <v>1</v>
      </c>
      <c r="J1003" s="62">
        <v>1</v>
      </c>
      <c r="K1003" s="11">
        <f t="shared" si="57"/>
        <v>1615537.4000000001</v>
      </c>
      <c r="L1003" s="11">
        <f t="shared" si="55"/>
        <v>87752.61</v>
      </c>
      <c r="M1003" s="11">
        <f t="shared" si="55"/>
        <v>96962</v>
      </c>
      <c r="N1003" s="12">
        <f t="shared" si="56"/>
        <v>0</v>
      </c>
      <c r="O1003" s="12" t="e">
        <f t="shared" si="58"/>
        <v>#DIV/0!</v>
      </c>
    </row>
    <row r="1004" spans="1:15">
      <c r="A1004" s="60">
        <v>46197</v>
      </c>
      <c r="H1004" s="62">
        <v>1</v>
      </c>
      <c r="I1004" s="62">
        <v>1</v>
      </c>
      <c r="J1004" s="62">
        <v>1</v>
      </c>
      <c r="K1004" s="11">
        <f t="shared" si="57"/>
        <v>1615537.4000000001</v>
      </c>
      <c r="L1004" s="11">
        <f t="shared" si="55"/>
        <v>87752.61</v>
      </c>
      <c r="M1004" s="11">
        <f t="shared" si="55"/>
        <v>96962</v>
      </c>
      <c r="N1004" s="12">
        <f t="shared" si="56"/>
        <v>0</v>
      </c>
      <c r="O1004" s="12" t="e">
        <f t="shared" si="58"/>
        <v>#DIV/0!</v>
      </c>
    </row>
    <row r="1005" spans="1:15">
      <c r="A1005" s="60">
        <v>46198</v>
      </c>
      <c r="H1005" s="62">
        <v>1</v>
      </c>
      <c r="I1005" s="62">
        <v>1</v>
      </c>
      <c r="J1005" s="62">
        <v>1</v>
      </c>
      <c r="K1005" s="11">
        <f t="shared" si="57"/>
        <v>1615537.4000000001</v>
      </c>
      <c r="L1005" s="11">
        <f t="shared" ref="L1005:M1041" si="59">L1004+F1005</f>
        <v>87752.61</v>
      </c>
      <c r="M1005" s="11">
        <f t="shared" si="59"/>
        <v>96962</v>
      </c>
      <c r="N1005" s="12">
        <f t="shared" si="56"/>
        <v>0</v>
      </c>
      <c r="O1005" s="12" t="e">
        <f t="shared" si="58"/>
        <v>#DIV/0!</v>
      </c>
    </row>
    <row r="1006" spans="1:15">
      <c r="A1006" s="60">
        <v>46199</v>
      </c>
      <c r="H1006" s="62">
        <v>1</v>
      </c>
      <c r="I1006" s="62">
        <v>1</v>
      </c>
      <c r="J1006" s="62">
        <v>1</v>
      </c>
      <c r="K1006" s="11">
        <f t="shared" si="57"/>
        <v>1615537.4000000001</v>
      </c>
      <c r="L1006" s="11">
        <f t="shared" si="59"/>
        <v>87752.61</v>
      </c>
      <c r="M1006" s="11">
        <f t="shared" si="59"/>
        <v>96962</v>
      </c>
      <c r="N1006" s="12">
        <f t="shared" si="56"/>
        <v>0</v>
      </c>
      <c r="O1006" s="12" t="e">
        <f t="shared" si="58"/>
        <v>#DIV/0!</v>
      </c>
    </row>
    <row r="1007" spans="1:15">
      <c r="A1007" s="60">
        <v>46200</v>
      </c>
      <c r="H1007" s="62">
        <v>1</v>
      </c>
      <c r="I1007" s="62">
        <v>1</v>
      </c>
      <c r="J1007" s="62">
        <v>1</v>
      </c>
      <c r="K1007" s="11">
        <f t="shared" si="57"/>
        <v>1615537.4000000001</v>
      </c>
      <c r="L1007" s="11">
        <f t="shared" si="59"/>
        <v>87752.61</v>
      </c>
      <c r="M1007" s="11">
        <f t="shared" si="59"/>
        <v>96962</v>
      </c>
      <c r="N1007" s="12">
        <f t="shared" si="56"/>
        <v>0</v>
      </c>
      <c r="O1007" s="12" t="e">
        <f t="shared" si="58"/>
        <v>#DIV/0!</v>
      </c>
    </row>
    <row r="1008" spans="1:15">
      <c r="A1008" s="60">
        <v>46201</v>
      </c>
      <c r="H1008" s="62">
        <v>1</v>
      </c>
      <c r="I1008" s="62">
        <v>1</v>
      </c>
      <c r="J1008" s="62">
        <v>1</v>
      </c>
      <c r="K1008" s="11">
        <f t="shared" si="57"/>
        <v>1615537.4000000001</v>
      </c>
      <c r="L1008" s="11">
        <f t="shared" si="59"/>
        <v>87752.61</v>
      </c>
      <c r="M1008" s="11">
        <f t="shared" si="59"/>
        <v>96962</v>
      </c>
      <c r="N1008" s="12">
        <f t="shared" si="56"/>
        <v>0</v>
      </c>
      <c r="O1008" s="12" t="e">
        <f t="shared" si="58"/>
        <v>#DIV/0!</v>
      </c>
    </row>
    <row r="1009" spans="1:15">
      <c r="A1009" s="60">
        <v>46202</v>
      </c>
      <c r="H1009" s="62">
        <v>1</v>
      </c>
      <c r="I1009" s="62">
        <v>1</v>
      </c>
      <c r="J1009" s="62">
        <v>1</v>
      </c>
      <c r="K1009" s="11">
        <f t="shared" si="57"/>
        <v>1615537.4000000001</v>
      </c>
      <c r="L1009" s="11">
        <f t="shared" si="59"/>
        <v>87752.61</v>
      </c>
      <c r="M1009" s="11">
        <f t="shared" si="59"/>
        <v>96962</v>
      </c>
      <c r="N1009" s="12">
        <f t="shared" ref="N1009:N1041" si="60">C1009/(1400*24)</f>
        <v>0</v>
      </c>
      <c r="O1009" s="12" t="e">
        <f t="shared" si="58"/>
        <v>#DIV/0!</v>
      </c>
    </row>
    <row r="1010" spans="1:15">
      <c r="A1010" s="60">
        <v>46203</v>
      </c>
      <c r="H1010" s="62">
        <v>1</v>
      </c>
      <c r="I1010" s="62">
        <v>1</v>
      </c>
      <c r="J1010" s="62">
        <v>1</v>
      </c>
      <c r="K1010" s="11">
        <f t="shared" si="57"/>
        <v>1615537.4000000001</v>
      </c>
      <c r="L1010" s="11">
        <f t="shared" si="59"/>
        <v>87752.61</v>
      </c>
      <c r="M1010" s="11">
        <f t="shared" si="59"/>
        <v>96962</v>
      </c>
      <c r="N1010" s="12">
        <f t="shared" si="60"/>
        <v>0</v>
      </c>
      <c r="O1010" s="12" t="e">
        <f t="shared" si="58"/>
        <v>#DIV/0!</v>
      </c>
    </row>
    <row r="1011" spans="1:15">
      <c r="A1011" s="60">
        <v>46204</v>
      </c>
      <c r="H1011" s="62">
        <v>1</v>
      </c>
      <c r="I1011" s="62">
        <v>1</v>
      </c>
      <c r="J1011" s="62">
        <v>1</v>
      </c>
      <c r="K1011" s="11">
        <f t="shared" ref="K1011:K1041" si="61">K1010+C1011</f>
        <v>1615537.4000000001</v>
      </c>
      <c r="L1011" s="11">
        <f t="shared" si="59"/>
        <v>87752.61</v>
      </c>
      <c r="M1011" s="11">
        <f t="shared" si="59"/>
        <v>96962</v>
      </c>
      <c r="N1011" s="12">
        <f t="shared" si="60"/>
        <v>0</v>
      </c>
      <c r="O1011" s="12" t="e">
        <f t="shared" si="58"/>
        <v>#DIV/0!</v>
      </c>
    </row>
    <row r="1012" spans="1:15">
      <c r="A1012" s="60">
        <v>46205</v>
      </c>
      <c r="H1012" s="62">
        <v>1</v>
      </c>
      <c r="I1012" s="62">
        <v>1</v>
      </c>
      <c r="J1012" s="62">
        <v>1</v>
      </c>
      <c r="K1012" s="11">
        <f t="shared" si="61"/>
        <v>1615537.4000000001</v>
      </c>
      <c r="L1012" s="11">
        <f t="shared" si="59"/>
        <v>87752.61</v>
      </c>
      <c r="M1012" s="11">
        <f t="shared" si="59"/>
        <v>96962</v>
      </c>
      <c r="N1012" s="12">
        <f t="shared" si="60"/>
        <v>0</v>
      </c>
      <c r="O1012" s="12" t="e">
        <f t="shared" si="58"/>
        <v>#DIV/0!</v>
      </c>
    </row>
    <row r="1013" spans="1:15">
      <c r="A1013" s="60">
        <v>46206</v>
      </c>
      <c r="H1013" s="62">
        <v>1</v>
      </c>
      <c r="I1013" s="62">
        <v>1</v>
      </c>
      <c r="J1013" s="62">
        <v>1</v>
      </c>
      <c r="K1013" s="11">
        <f t="shared" si="61"/>
        <v>1615537.4000000001</v>
      </c>
      <c r="L1013" s="11">
        <f t="shared" si="59"/>
        <v>87752.61</v>
      </c>
      <c r="M1013" s="11">
        <f t="shared" si="59"/>
        <v>96962</v>
      </c>
      <c r="N1013" s="12">
        <f t="shared" si="60"/>
        <v>0</v>
      </c>
      <c r="O1013" s="12" t="e">
        <f t="shared" si="58"/>
        <v>#DIV/0!</v>
      </c>
    </row>
    <row r="1014" spans="1:15">
      <c r="A1014" s="60">
        <v>46207</v>
      </c>
      <c r="H1014" s="62">
        <v>1</v>
      </c>
      <c r="I1014" s="62">
        <v>1</v>
      </c>
      <c r="J1014" s="62">
        <v>1</v>
      </c>
      <c r="K1014" s="11">
        <f t="shared" si="61"/>
        <v>1615537.4000000001</v>
      </c>
      <c r="L1014" s="11">
        <f t="shared" si="59"/>
        <v>87752.61</v>
      </c>
      <c r="M1014" s="11">
        <f t="shared" si="59"/>
        <v>96962</v>
      </c>
      <c r="N1014" s="12">
        <f t="shared" si="60"/>
        <v>0</v>
      </c>
      <c r="O1014" s="12" t="e">
        <f t="shared" si="58"/>
        <v>#DIV/0!</v>
      </c>
    </row>
    <row r="1015" spans="1:15">
      <c r="A1015" s="60">
        <v>46208</v>
      </c>
      <c r="H1015" s="62">
        <v>1</v>
      </c>
      <c r="I1015" s="62">
        <v>1</v>
      </c>
      <c r="J1015" s="62">
        <v>1</v>
      </c>
      <c r="K1015" s="11">
        <f t="shared" si="61"/>
        <v>1615537.4000000001</v>
      </c>
      <c r="L1015" s="11">
        <f t="shared" si="59"/>
        <v>87752.61</v>
      </c>
      <c r="M1015" s="11">
        <f t="shared" si="59"/>
        <v>96962</v>
      </c>
      <c r="N1015" s="12">
        <f t="shared" si="60"/>
        <v>0</v>
      </c>
      <c r="O1015" s="12" t="e">
        <f t="shared" si="58"/>
        <v>#DIV/0!</v>
      </c>
    </row>
    <row r="1016" spans="1:15">
      <c r="A1016" s="60">
        <v>46209</v>
      </c>
      <c r="H1016" s="62">
        <v>1</v>
      </c>
      <c r="I1016" s="62">
        <v>1</v>
      </c>
      <c r="J1016" s="62">
        <v>1</v>
      </c>
      <c r="K1016" s="11">
        <f t="shared" si="61"/>
        <v>1615537.4000000001</v>
      </c>
      <c r="L1016" s="11">
        <f t="shared" si="59"/>
        <v>87752.61</v>
      </c>
      <c r="M1016" s="11">
        <f t="shared" si="59"/>
        <v>96962</v>
      </c>
      <c r="N1016" s="12">
        <f t="shared" si="60"/>
        <v>0</v>
      </c>
      <c r="O1016" s="12" t="e">
        <f t="shared" si="58"/>
        <v>#DIV/0!</v>
      </c>
    </row>
    <row r="1017" spans="1:15">
      <c r="A1017" s="60">
        <v>46210</v>
      </c>
      <c r="H1017" s="62">
        <v>1</v>
      </c>
      <c r="I1017" s="62">
        <v>1</v>
      </c>
      <c r="J1017" s="62">
        <v>1</v>
      </c>
      <c r="K1017" s="11">
        <f t="shared" si="61"/>
        <v>1615537.4000000001</v>
      </c>
      <c r="L1017" s="11">
        <f t="shared" si="59"/>
        <v>87752.61</v>
      </c>
      <c r="M1017" s="11">
        <f t="shared" si="59"/>
        <v>96962</v>
      </c>
      <c r="N1017" s="12">
        <f t="shared" si="60"/>
        <v>0</v>
      </c>
      <c r="O1017" s="12" t="e">
        <f t="shared" si="58"/>
        <v>#DIV/0!</v>
      </c>
    </row>
    <row r="1018" spans="1:15">
      <c r="A1018" s="60">
        <v>46211</v>
      </c>
      <c r="H1018" s="62">
        <v>1</v>
      </c>
      <c r="I1018" s="62">
        <v>1</v>
      </c>
      <c r="J1018" s="62">
        <v>1</v>
      </c>
      <c r="K1018" s="11">
        <f t="shared" si="61"/>
        <v>1615537.4000000001</v>
      </c>
      <c r="L1018" s="11">
        <f t="shared" si="59"/>
        <v>87752.61</v>
      </c>
      <c r="M1018" s="11">
        <f t="shared" si="59"/>
        <v>96962</v>
      </c>
      <c r="N1018" s="12">
        <f t="shared" si="60"/>
        <v>0</v>
      </c>
      <c r="O1018" s="12" t="e">
        <f t="shared" si="58"/>
        <v>#DIV/0!</v>
      </c>
    </row>
    <row r="1019" spans="1:15">
      <c r="A1019" s="60">
        <v>46212</v>
      </c>
      <c r="H1019" s="62">
        <v>1</v>
      </c>
      <c r="I1019" s="62">
        <v>1</v>
      </c>
      <c r="J1019" s="62">
        <v>1</v>
      </c>
      <c r="K1019" s="11">
        <f t="shared" si="61"/>
        <v>1615537.4000000001</v>
      </c>
      <c r="L1019" s="11">
        <f t="shared" si="59"/>
        <v>87752.61</v>
      </c>
      <c r="M1019" s="11">
        <f t="shared" si="59"/>
        <v>96962</v>
      </c>
      <c r="N1019" s="12">
        <f t="shared" si="60"/>
        <v>0</v>
      </c>
      <c r="O1019" s="12" t="e">
        <f t="shared" si="58"/>
        <v>#DIV/0!</v>
      </c>
    </row>
    <row r="1020" spans="1:15">
      <c r="A1020" s="60">
        <v>46213</v>
      </c>
      <c r="H1020" s="62">
        <v>1</v>
      </c>
      <c r="I1020" s="62">
        <v>1</v>
      </c>
      <c r="J1020" s="62">
        <v>1</v>
      </c>
      <c r="K1020" s="11">
        <f t="shared" si="61"/>
        <v>1615537.4000000001</v>
      </c>
      <c r="L1020" s="11">
        <f t="shared" si="59"/>
        <v>87752.61</v>
      </c>
      <c r="M1020" s="11">
        <f t="shared" si="59"/>
        <v>96962</v>
      </c>
      <c r="N1020" s="12">
        <f t="shared" si="60"/>
        <v>0</v>
      </c>
      <c r="O1020" s="12" t="e">
        <f t="shared" si="58"/>
        <v>#DIV/0!</v>
      </c>
    </row>
    <row r="1021" spans="1:15">
      <c r="A1021" s="60">
        <v>46214</v>
      </c>
      <c r="H1021" s="62">
        <v>1</v>
      </c>
      <c r="I1021" s="62">
        <v>1</v>
      </c>
      <c r="J1021" s="62">
        <v>1</v>
      </c>
      <c r="K1021" s="11">
        <f t="shared" si="61"/>
        <v>1615537.4000000001</v>
      </c>
      <c r="L1021" s="11">
        <f t="shared" si="59"/>
        <v>87752.61</v>
      </c>
      <c r="M1021" s="11">
        <f t="shared" si="59"/>
        <v>96962</v>
      </c>
      <c r="N1021" s="12">
        <f t="shared" si="60"/>
        <v>0</v>
      </c>
      <c r="O1021" s="12" t="e">
        <f t="shared" si="58"/>
        <v>#DIV/0!</v>
      </c>
    </row>
    <row r="1022" spans="1:15">
      <c r="A1022" s="60">
        <v>46215</v>
      </c>
      <c r="H1022" s="62">
        <v>1</v>
      </c>
      <c r="I1022" s="62">
        <v>1</v>
      </c>
      <c r="J1022" s="62">
        <v>1</v>
      </c>
      <c r="K1022" s="11">
        <f t="shared" si="61"/>
        <v>1615537.4000000001</v>
      </c>
      <c r="L1022" s="11">
        <f t="shared" si="59"/>
        <v>87752.61</v>
      </c>
      <c r="M1022" s="11">
        <f t="shared" si="59"/>
        <v>96962</v>
      </c>
      <c r="N1022" s="12">
        <f t="shared" si="60"/>
        <v>0</v>
      </c>
      <c r="O1022" s="12" t="e">
        <f t="shared" si="58"/>
        <v>#DIV/0!</v>
      </c>
    </row>
    <row r="1023" spans="1:15">
      <c r="A1023" s="60">
        <v>46216</v>
      </c>
      <c r="H1023" s="62">
        <v>1</v>
      </c>
      <c r="I1023" s="62">
        <v>1</v>
      </c>
      <c r="J1023" s="62">
        <v>1</v>
      </c>
      <c r="K1023" s="11">
        <f t="shared" si="61"/>
        <v>1615537.4000000001</v>
      </c>
      <c r="L1023" s="11">
        <f t="shared" si="59"/>
        <v>87752.61</v>
      </c>
      <c r="M1023" s="11">
        <f t="shared" si="59"/>
        <v>96962</v>
      </c>
      <c r="N1023" s="12">
        <f t="shared" si="60"/>
        <v>0</v>
      </c>
      <c r="O1023" s="12" t="e">
        <f t="shared" si="58"/>
        <v>#DIV/0!</v>
      </c>
    </row>
    <row r="1024" spans="1:15">
      <c r="A1024" s="60">
        <v>46217</v>
      </c>
      <c r="H1024" s="62">
        <v>1</v>
      </c>
      <c r="I1024" s="62">
        <v>1</v>
      </c>
      <c r="J1024" s="62">
        <v>1</v>
      </c>
      <c r="K1024" s="11">
        <f t="shared" si="61"/>
        <v>1615537.4000000001</v>
      </c>
      <c r="L1024" s="11">
        <f t="shared" si="59"/>
        <v>87752.61</v>
      </c>
      <c r="M1024" s="11">
        <f t="shared" si="59"/>
        <v>96962</v>
      </c>
      <c r="N1024" s="12">
        <f t="shared" si="60"/>
        <v>0</v>
      </c>
      <c r="O1024" s="12" t="e">
        <f t="shared" si="58"/>
        <v>#DIV/0!</v>
      </c>
    </row>
    <row r="1025" spans="1:15">
      <c r="A1025" s="60">
        <v>46218</v>
      </c>
      <c r="H1025" s="62">
        <v>1</v>
      </c>
      <c r="I1025" s="62">
        <v>1</v>
      </c>
      <c r="J1025" s="62">
        <v>1</v>
      </c>
      <c r="K1025" s="11">
        <f t="shared" si="61"/>
        <v>1615537.4000000001</v>
      </c>
      <c r="L1025" s="11">
        <f t="shared" si="59"/>
        <v>87752.61</v>
      </c>
      <c r="M1025" s="11">
        <f t="shared" si="59"/>
        <v>96962</v>
      </c>
      <c r="N1025" s="12">
        <f t="shared" si="60"/>
        <v>0</v>
      </c>
      <c r="O1025" s="12" t="e">
        <f t="shared" si="58"/>
        <v>#DIV/0!</v>
      </c>
    </row>
    <row r="1026" spans="1:15">
      <c r="A1026" s="60">
        <v>46219</v>
      </c>
      <c r="H1026" s="62">
        <v>1</v>
      </c>
      <c r="I1026" s="62">
        <v>1</v>
      </c>
      <c r="J1026" s="62">
        <v>1</v>
      </c>
      <c r="K1026" s="11">
        <f t="shared" si="61"/>
        <v>1615537.4000000001</v>
      </c>
      <c r="L1026" s="11">
        <f t="shared" si="59"/>
        <v>87752.61</v>
      </c>
      <c r="M1026" s="11">
        <f t="shared" si="59"/>
        <v>96962</v>
      </c>
      <c r="N1026" s="12">
        <f t="shared" si="60"/>
        <v>0</v>
      </c>
      <c r="O1026" s="12" t="e">
        <f t="shared" si="58"/>
        <v>#DIV/0!</v>
      </c>
    </row>
    <row r="1027" spans="1:15">
      <c r="A1027" s="60">
        <v>46220</v>
      </c>
      <c r="H1027" s="62">
        <v>1</v>
      </c>
      <c r="I1027" s="62">
        <v>1</v>
      </c>
      <c r="J1027" s="62">
        <v>1</v>
      </c>
      <c r="K1027" s="11">
        <f t="shared" si="61"/>
        <v>1615537.4000000001</v>
      </c>
      <c r="L1027" s="11">
        <f t="shared" si="59"/>
        <v>87752.61</v>
      </c>
      <c r="M1027" s="11">
        <f t="shared" si="59"/>
        <v>96962</v>
      </c>
      <c r="N1027" s="12">
        <f t="shared" si="60"/>
        <v>0</v>
      </c>
      <c r="O1027" s="12" t="e">
        <f t="shared" ref="O1027:O1041" si="62">K1027/(B1027*1400*24)</f>
        <v>#DIV/0!</v>
      </c>
    </row>
    <row r="1028" spans="1:15">
      <c r="A1028" s="60">
        <v>46221</v>
      </c>
      <c r="H1028" s="62">
        <v>1</v>
      </c>
      <c r="I1028" s="62">
        <v>1</v>
      </c>
      <c r="J1028" s="62">
        <v>1</v>
      </c>
      <c r="K1028" s="11">
        <f t="shared" si="61"/>
        <v>1615537.4000000001</v>
      </c>
      <c r="L1028" s="11">
        <f t="shared" si="59"/>
        <v>87752.61</v>
      </c>
      <c r="M1028" s="11">
        <f t="shared" si="59"/>
        <v>96962</v>
      </c>
      <c r="N1028" s="12">
        <f t="shared" si="60"/>
        <v>0</v>
      </c>
      <c r="O1028" s="12" t="e">
        <f t="shared" si="62"/>
        <v>#DIV/0!</v>
      </c>
    </row>
    <row r="1029" spans="1:15">
      <c r="A1029" s="60">
        <v>46222</v>
      </c>
      <c r="H1029" s="62">
        <v>1</v>
      </c>
      <c r="I1029" s="62">
        <v>1</v>
      </c>
      <c r="J1029" s="62">
        <v>1</v>
      </c>
      <c r="K1029" s="11">
        <f t="shared" si="61"/>
        <v>1615537.4000000001</v>
      </c>
      <c r="L1029" s="11">
        <f t="shared" si="59"/>
        <v>87752.61</v>
      </c>
      <c r="M1029" s="11">
        <f t="shared" si="59"/>
        <v>96962</v>
      </c>
      <c r="N1029" s="12">
        <f t="shared" si="60"/>
        <v>0</v>
      </c>
      <c r="O1029" s="12" t="e">
        <f t="shared" si="62"/>
        <v>#DIV/0!</v>
      </c>
    </row>
    <row r="1030" spans="1:15">
      <c r="A1030" s="60">
        <v>46223</v>
      </c>
      <c r="H1030" s="62">
        <v>1</v>
      </c>
      <c r="I1030" s="62">
        <v>1</v>
      </c>
      <c r="J1030" s="62">
        <v>1</v>
      </c>
      <c r="K1030" s="11">
        <f t="shared" si="61"/>
        <v>1615537.4000000001</v>
      </c>
      <c r="L1030" s="11">
        <f t="shared" si="59"/>
        <v>87752.61</v>
      </c>
      <c r="M1030" s="11">
        <f t="shared" si="59"/>
        <v>96962</v>
      </c>
      <c r="N1030" s="12">
        <f t="shared" si="60"/>
        <v>0</v>
      </c>
      <c r="O1030" s="12" t="e">
        <f t="shared" si="62"/>
        <v>#DIV/0!</v>
      </c>
    </row>
    <row r="1031" spans="1:15">
      <c r="A1031" s="60">
        <v>46224</v>
      </c>
      <c r="H1031" s="62">
        <v>1</v>
      </c>
      <c r="I1031" s="62">
        <v>1</v>
      </c>
      <c r="J1031" s="62">
        <v>1</v>
      </c>
      <c r="K1031" s="11">
        <f t="shared" si="61"/>
        <v>1615537.4000000001</v>
      </c>
      <c r="L1031" s="11">
        <f t="shared" si="59"/>
        <v>87752.61</v>
      </c>
      <c r="M1031" s="11">
        <f t="shared" si="59"/>
        <v>96962</v>
      </c>
      <c r="N1031" s="12">
        <f t="shared" si="60"/>
        <v>0</v>
      </c>
      <c r="O1031" s="12" t="e">
        <f t="shared" si="62"/>
        <v>#DIV/0!</v>
      </c>
    </row>
    <row r="1032" spans="1:15">
      <c r="A1032" s="60">
        <v>46225</v>
      </c>
      <c r="H1032" s="62">
        <v>1</v>
      </c>
      <c r="I1032" s="62">
        <v>1</v>
      </c>
      <c r="J1032" s="62">
        <v>1</v>
      </c>
      <c r="K1032" s="11">
        <f t="shared" si="61"/>
        <v>1615537.4000000001</v>
      </c>
      <c r="L1032" s="11">
        <f t="shared" si="59"/>
        <v>87752.61</v>
      </c>
      <c r="M1032" s="11">
        <f t="shared" si="59"/>
        <v>96962</v>
      </c>
      <c r="N1032" s="12">
        <f t="shared" si="60"/>
        <v>0</v>
      </c>
      <c r="O1032" s="12" t="e">
        <f t="shared" si="62"/>
        <v>#DIV/0!</v>
      </c>
    </row>
    <row r="1033" spans="1:15">
      <c r="A1033" s="60">
        <v>46226</v>
      </c>
      <c r="H1033" s="62">
        <v>1</v>
      </c>
      <c r="I1033" s="62">
        <v>1</v>
      </c>
      <c r="J1033" s="62">
        <v>1</v>
      </c>
      <c r="K1033" s="11">
        <f t="shared" si="61"/>
        <v>1615537.4000000001</v>
      </c>
      <c r="L1033" s="11">
        <f t="shared" si="59"/>
        <v>87752.61</v>
      </c>
      <c r="M1033" s="11">
        <f t="shared" si="59"/>
        <v>96962</v>
      </c>
      <c r="N1033" s="12">
        <f t="shared" si="60"/>
        <v>0</v>
      </c>
      <c r="O1033" s="12" t="e">
        <f t="shared" si="62"/>
        <v>#DIV/0!</v>
      </c>
    </row>
    <row r="1034" spans="1:15">
      <c r="A1034" s="60">
        <v>46227</v>
      </c>
      <c r="H1034" s="62">
        <v>1</v>
      </c>
      <c r="I1034" s="62">
        <v>1</v>
      </c>
      <c r="J1034" s="62">
        <v>1</v>
      </c>
      <c r="K1034" s="11">
        <f t="shared" si="61"/>
        <v>1615537.4000000001</v>
      </c>
      <c r="L1034" s="11">
        <f t="shared" si="59"/>
        <v>87752.61</v>
      </c>
      <c r="M1034" s="11">
        <f t="shared" si="59"/>
        <v>96962</v>
      </c>
      <c r="N1034" s="12">
        <f t="shared" si="60"/>
        <v>0</v>
      </c>
      <c r="O1034" s="12" t="e">
        <f t="shared" si="62"/>
        <v>#DIV/0!</v>
      </c>
    </row>
    <row r="1035" spans="1:15">
      <c r="A1035" s="60">
        <v>46228</v>
      </c>
      <c r="H1035" s="62">
        <v>1</v>
      </c>
      <c r="I1035" s="62">
        <v>1</v>
      </c>
      <c r="J1035" s="62">
        <v>1</v>
      </c>
      <c r="K1035" s="11">
        <f t="shared" si="61"/>
        <v>1615537.4000000001</v>
      </c>
      <c r="L1035" s="11">
        <f t="shared" si="59"/>
        <v>87752.61</v>
      </c>
      <c r="M1035" s="11">
        <f t="shared" si="59"/>
        <v>96962</v>
      </c>
      <c r="N1035" s="12">
        <f t="shared" si="60"/>
        <v>0</v>
      </c>
      <c r="O1035" s="12" t="e">
        <f t="shared" si="62"/>
        <v>#DIV/0!</v>
      </c>
    </row>
    <row r="1036" spans="1:15">
      <c r="A1036" s="60">
        <v>46229</v>
      </c>
      <c r="H1036" s="62">
        <v>1</v>
      </c>
      <c r="I1036" s="62">
        <v>1</v>
      </c>
      <c r="J1036" s="62">
        <v>1</v>
      </c>
      <c r="K1036" s="11">
        <f t="shared" si="61"/>
        <v>1615537.4000000001</v>
      </c>
      <c r="L1036" s="11">
        <f t="shared" si="59"/>
        <v>87752.61</v>
      </c>
      <c r="M1036" s="11">
        <f t="shared" si="59"/>
        <v>96962</v>
      </c>
      <c r="N1036" s="12">
        <f t="shared" si="60"/>
        <v>0</v>
      </c>
      <c r="O1036" s="12" t="e">
        <f t="shared" si="62"/>
        <v>#DIV/0!</v>
      </c>
    </row>
    <row r="1037" spans="1:15">
      <c r="A1037" s="60">
        <v>46230</v>
      </c>
      <c r="H1037" s="62">
        <v>1</v>
      </c>
      <c r="I1037" s="62">
        <v>1</v>
      </c>
      <c r="J1037" s="62">
        <v>1</v>
      </c>
      <c r="K1037" s="11">
        <f t="shared" si="61"/>
        <v>1615537.4000000001</v>
      </c>
      <c r="L1037" s="11">
        <f t="shared" si="59"/>
        <v>87752.61</v>
      </c>
      <c r="M1037" s="11">
        <f t="shared" si="59"/>
        <v>96962</v>
      </c>
      <c r="N1037" s="12">
        <f t="shared" si="60"/>
        <v>0</v>
      </c>
      <c r="O1037" s="12" t="e">
        <f t="shared" si="62"/>
        <v>#DIV/0!</v>
      </c>
    </row>
    <row r="1038" spans="1:15">
      <c r="A1038" s="60">
        <v>46231</v>
      </c>
      <c r="H1038" s="62">
        <v>1</v>
      </c>
      <c r="I1038" s="62">
        <v>1</v>
      </c>
      <c r="J1038" s="62">
        <v>1</v>
      </c>
      <c r="K1038" s="11">
        <f t="shared" si="61"/>
        <v>1615537.4000000001</v>
      </c>
      <c r="L1038" s="11">
        <f t="shared" si="59"/>
        <v>87752.61</v>
      </c>
      <c r="M1038" s="11">
        <f t="shared" si="59"/>
        <v>96962</v>
      </c>
      <c r="N1038" s="12">
        <f t="shared" si="60"/>
        <v>0</v>
      </c>
      <c r="O1038" s="12" t="e">
        <f t="shared" si="62"/>
        <v>#DIV/0!</v>
      </c>
    </row>
    <row r="1039" spans="1:15">
      <c r="A1039" s="60">
        <v>46232</v>
      </c>
      <c r="H1039" s="62">
        <v>1</v>
      </c>
      <c r="I1039" s="62">
        <v>1</v>
      </c>
      <c r="J1039" s="62">
        <v>1</v>
      </c>
      <c r="K1039" s="11">
        <f t="shared" si="61"/>
        <v>1615537.4000000001</v>
      </c>
      <c r="L1039" s="11">
        <f t="shared" si="59"/>
        <v>87752.61</v>
      </c>
      <c r="M1039" s="11">
        <f t="shared" si="59"/>
        <v>96962</v>
      </c>
      <c r="N1039" s="12">
        <f t="shared" si="60"/>
        <v>0</v>
      </c>
      <c r="O1039" s="12" t="e">
        <f t="shared" si="62"/>
        <v>#DIV/0!</v>
      </c>
    </row>
    <row r="1040" spans="1:15">
      <c r="A1040" s="60">
        <v>46233</v>
      </c>
      <c r="H1040" s="62">
        <v>1</v>
      </c>
      <c r="I1040" s="62">
        <v>1</v>
      </c>
      <c r="J1040" s="62">
        <v>1</v>
      </c>
      <c r="K1040" s="11">
        <f t="shared" si="61"/>
        <v>1615537.4000000001</v>
      </c>
      <c r="L1040" s="11">
        <f t="shared" si="59"/>
        <v>87752.61</v>
      </c>
      <c r="M1040" s="11">
        <f t="shared" si="59"/>
        <v>96962</v>
      </c>
      <c r="N1040" s="12">
        <f t="shared" si="60"/>
        <v>0</v>
      </c>
      <c r="O1040" s="12" t="e">
        <f t="shared" si="62"/>
        <v>#DIV/0!</v>
      </c>
    </row>
    <row r="1041" spans="1:15">
      <c r="A1041" s="60">
        <v>46234</v>
      </c>
      <c r="H1041" s="62">
        <v>1</v>
      </c>
      <c r="I1041" s="62">
        <v>1</v>
      </c>
      <c r="J1041" s="62">
        <v>1</v>
      </c>
      <c r="K1041" s="11">
        <f t="shared" si="61"/>
        <v>1615537.4000000001</v>
      </c>
      <c r="L1041" s="11">
        <f t="shared" si="59"/>
        <v>87752.61</v>
      </c>
      <c r="M1041" s="11">
        <f t="shared" si="59"/>
        <v>96962</v>
      </c>
      <c r="N1041" s="12">
        <f t="shared" si="60"/>
        <v>0</v>
      </c>
      <c r="O1041" s="12" t="e">
        <f t="shared" si="62"/>
        <v>#DIV/0!</v>
      </c>
    </row>
  </sheetData>
  <autoFilter ref="A1:O1" xr:uid="{2FFAD146-6C3E-1644-A24B-891A702BF225}">
    <sortState xmlns:xlrd2="http://schemas.microsoft.com/office/spreadsheetml/2017/richdata2" ref="A2:O461">
      <sortCondition ref="A1:A461"/>
    </sortState>
  </autoFilter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B82D-CBD5-0D48-8868-1BC884E72A5D}">
  <dimension ref="A1:K20"/>
  <sheetViews>
    <sheetView topLeftCell="A3" zoomScale="115" workbookViewId="0">
      <selection activeCell="B4" sqref="B4:J4"/>
    </sheetView>
  </sheetViews>
  <sheetFormatPr baseColWidth="10" defaultRowHeight="15"/>
  <cols>
    <col min="1" max="1" width="10.83203125" style="15"/>
    <col min="2" max="2" width="12.83203125" style="15" bestFit="1" customWidth="1"/>
    <col min="3" max="3" width="11" style="15" bestFit="1" customWidth="1"/>
    <col min="4" max="4" width="18" style="15" bestFit="1" customWidth="1"/>
    <col min="5" max="5" width="13.5" style="15" bestFit="1" customWidth="1"/>
    <col min="6" max="6" width="11.83203125" style="15" bestFit="1" customWidth="1"/>
    <col min="7" max="7" width="11" style="15" bestFit="1" customWidth="1"/>
    <col min="8" max="8" width="10.33203125" style="15" bestFit="1" customWidth="1"/>
    <col min="9" max="9" width="7.83203125" style="15" bestFit="1" customWidth="1"/>
    <col min="10" max="10" width="12.83203125" style="15" bestFit="1" customWidth="1"/>
    <col min="11" max="16384" width="10.83203125" style="15"/>
  </cols>
  <sheetData>
    <row r="1" spans="1:11" ht="15" customHeight="1">
      <c r="B1" s="192" t="s">
        <v>13</v>
      </c>
      <c r="C1" s="165">
        <f ca="1">'SECI O&amp;M Dashboard'!E3</f>
        <v>46027</v>
      </c>
      <c r="D1" s="165"/>
      <c r="E1" s="165"/>
    </row>
    <row r="2" spans="1:11" ht="15" customHeight="1">
      <c r="B2" s="192"/>
      <c r="C2" s="165"/>
      <c r="D2" s="165"/>
      <c r="E2" s="165"/>
    </row>
    <row r="3" spans="1:11" ht="15" customHeight="1">
      <c r="B3" s="192"/>
      <c r="C3" s="165"/>
      <c r="D3" s="165"/>
      <c r="E3" s="165"/>
      <c r="K3"/>
    </row>
    <row r="4" spans="1:11" ht="29">
      <c r="B4" s="166" t="s">
        <v>9</v>
      </c>
      <c r="C4" s="167"/>
      <c r="D4" s="167"/>
      <c r="E4" s="167"/>
      <c r="F4" s="167"/>
      <c r="G4" s="167"/>
      <c r="H4" s="167"/>
      <c r="I4" s="167"/>
      <c r="J4" s="168"/>
    </row>
    <row r="5" spans="1:11" ht="45" customHeight="1">
      <c r="B5" s="169" t="s">
        <v>39</v>
      </c>
      <c r="C5" s="170"/>
      <c r="D5" s="171">
        <f ca="1">C1</f>
        <v>46027</v>
      </c>
      <c r="E5" s="171"/>
      <c r="F5" s="172" t="s">
        <v>34</v>
      </c>
      <c r="G5" s="173"/>
      <c r="H5" s="174" t="s">
        <v>35</v>
      </c>
      <c r="I5" s="174"/>
      <c r="J5" s="174"/>
    </row>
    <row r="6" spans="1:11" ht="14" customHeight="1">
      <c r="B6" s="175" t="s">
        <v>32</v>
      </c>
      <c r="C6" s="175"/>
      <c r="D6" s="175"/>
      <c r="E6" s="175"/>
      <c r="F6" s="175"/>
      <c r="G6" s="175"/>
      <c r="H6" s="175" t="s">
        <v>36</v>
      </c>
      <c r="I6" s="175"/>
      <c r="J6" s="175"/>
    </row>
    <row r="7" spans="1:11" ht="51">
      <c r="B7" s="26" t="s">
        <v>44</v>
      </c>
      <c r="C7" s="26" t="s">
        <v>43</v>
      </c>
      <c r="D7" s="26" t="s">
        <v>12</v>
      </c>
      <c r="E7" s="26" t="s">
        <v>45</v>
      </c>
      <c r="F7" s="26" t="s">
        <v>43</v>
      </c>
      <c r="G7" s="26" t="s">
        <v>12</v>
      </c>
      <c r="H7" s="176" t="s">
        <v>43</v>
      </c>
      <c r="I7" s="177"/>
      <c r="J7" s="26" t="s">
        <v>12</v>
      </c>
    </row>
    <row r="8" spans="1:11" s="44" customFormat="1" ht="19" customHeight="1">
      <c r="B8" s="23">
        <f ca="1">VLOOKUP(C1,'BADI SID DATA'!A:D,4,0)</f>
        <v>3.41</v>
      </c>
      <c r="C8" s="21">
        <f ca="1">VLOOKUP(C1,'BADI SID DATA'!A:C,3,FALSE)/10^6</f>
        <v>4.0800000000000003E-2</v>
      </c>
      <c r="D8" s="38">
        <f ca="1">VLOOKUP(C1,'BADI SID DATA'!A:I,9,0)</f>
        <v>0.17</v>
      </c>
      <c r="E8" s="23">
        <f ca="1">VLOOKUP(C1,'BADI SID DATA'!A:E,5,0)</f>
        <v>8950</v>
      </c>
      <c r="F8" s="21">
        <f ca="1">VLOOKUP(C1,'BADI SID DATA'!A:H,8,0)/10^6</f>
        <v>13.079696199999999</v>
      </c>
      <c r="G8" s="24">
        <f ca="1">VLOOKUP(C1,'BADI SID DATA'!A:J,10,0)</f>
        <v>0.19463833630952379</v>
      </c>
      <c r="H8" s="178"/>
      <c r="I8" s="179"/>
      <c r="J8" s="22"/>
    </row>
    <row r="11" spans="1:11" ht="26">
      <c r="B11" s="180" t="s">
        <v>15</v>
      </c>
      <c r="C11" s="180"/>
      <c r="D11" s="180"/>
      <c r="E11" s="180"/>
      <c r="F11" s="180"/>
      <c r="G11" s="180"/>
      <c r="H11" s="180"/>
      <c r="I11" s="180"/>
      <c r="J11" s="180"/>
    </row>
    <row r="12" spans="1:11" ht="56" customHeight="1">
      <c r="A12" s="159"/>
      <c r="B12" s="160" t="s">
        <v>13</v>
      </c>
      <c r="C12" s="17" t="s">
        <v>10</v>
      </c>
      <c r="D12" s="17" t="s">
        <v>11</v>
      </c>
      <c r="E12" s="17" t="s">
        <v>12</v>
      </c>
      <c r="F12" s="17" t="s">
        <v>41</v>
      </c>
      <c r="G12" s="17" t="s">
        <v>10</v>
      </c>
      <c r="H12" s="17" t="s">
        <v>11</v>
      </c>
      <c r="I12" s="17" t="s">
        <v>12</v>
      </c>
      <c r="J12" s="17" t="s">
        <v>41</v>
      </c>
    </row>
    <row r="13" spans="1:11" ht="16" customHeight="1">
      <c r="A13" s="159"/>
      <c r="B13" s="161"/>
      <c r="C13" s="162">
        <f ca="1">YEAR(C1)</f>
        <v>2026</v>
      </c>
      <c r="D13" s="162"/>
      <c r="E13" s="162"/>
      <c r="F13" s="162"/>
      <c r="G13" s="163">
        <f ca="1">C13-1</f>
        <v>2025</v>
      </c>
      <c r="H13" s="163"/>
      <c r="I13" s="163"/>
      <c r="J13" s="163"/>
    </row>
    <row r="14" spans="1:11" ht="16">
      <c r="A14" s="159"/>
      <c r="B14" s="18">
        <f ca="1">C1-1</f>
        <v>46026</v>
      </c>
      <c r="C14" s="19">
        <f ca="1">VLOOKUP(B14,'BADI SID DATA'!A:D,4,0)</f>
        <v>3.78</v>
      </c>
      <c r="D14" s="19">
        <f ca="1">VLOOKUP(B14,'BADI SID DATA'!A:C,3,0)</f>
        <v>46231.5</v>
      </c>
      <c r="E14" s="40">
        <f ca="1">VLOOKUP('BADI SID Dashboard'!B14,'BADI SID DATA'!A:I,9,0)</f>
        <v>0.19263125</v>
      </c>
      <c r="F14" s="19">
        <f ca="1">VLOOKUP(B14,'BADI SID DATA'!A:E,5,0)</f>
        <v>5954</v>
      </c>
      <c r="G14" s="19">
        <f ca="1">VLOOKUP(B14-365,'BADI SID DATA'!A:D,4,0)</f>
        <v>3.66</v>
      </c>
      <c r="H14" s="19">
        <f ca="1">VLOOKUP(B14-365,'BADI SID DATA'!A:C,3,0)</f>
        <v>43136</v>
      </c>
      <c r="I14" s="20">
        <f ca="1">VLOOKUP(B14-365,'BADI SID DATA'!A:I,9,0)</f>
        <v>0.17973333333333333</v>
      </c>
      <c r="J14" s="19">
        <f ca="1">VLOOKUP(B14-365,'BADI SID DATA'!A:E,5,0)</f>
        <v>7798</v>
      </c>
    </row>
    <row r="15" spans="1:11" ht="16">
      <c r="A15" s="159"/>
      <c r="B15" s="18">
        <f t="shared" ref="B15:B20" ca="1" si="0">B14-1</f>
        <v>46025</v>
      </c>
      <c r="C15" s="19">
        <f ca="1">VLOOKUP(B15,'BADI SID DATA'!A:D,4,0)</f>
        <v>3.72</v>
      </c>
      <c r="D15" s="19">
        <f ca="1">VLOOKUP(B15,'BADI SID DATA'!A:C,3,0)</f>
        <v>45979</v>
      </c>
      <c r="E15" s="40">
        <f ca="1">VLOOKUP('BADI SID Dashboard'!B15,'BADI SID DATA'!A:I,9,0)</f>
        <v>0.19157916666666666</v>
      </c>
      <c r="F15" s="19">
        <f ca="1">VLOOKUP(B15,'BADI SID DATA'!A:E,5,0)</f>
        <v>7071</v>
      </c>
      <c r="G15" s="19">
        <f ca="1">VLOOKUP(B15-365,'BADI SID DATA'!A:D,4,0)</f>
        <v>3.82</v>
      </c>
      <c r="H15" s="19">
        <f ca="1">VLOOKUP(B15-365,'BADI SID DATA'!A:C,3,0)</f>
        <v>46942</v>
      </c>
      <c r="I15" s="20">
        <f ca="1">VLOOKUP(B15-365,'BADI SID DATA'!A:I,9,0)</f>
        <v>0.19559166666666666</v>
      </c>
      <c r="J15" s="19">
        <f ca="1">VLOOKUP(B15-365,'BADI SID DATA'!A:E,5,0)</f>
        <v>7809</v>
      </c>
    </row>
    <row r="16" spans="1:11" ht="16">
      <c r="A16" s="159"/>
      <c r="B16" s="18">
        <f t="shared" ca="1" si="0"/>
        <v>46024</v>
      </c>
      <c r="C16" s="19">
        <f ca="1">VLOOKUP(B16,'BADI SID DATA'!A:D,4,0)</f>
        <v>3.89</v>
      </c>
      <c r="D16" s="19">
        <f ca="1">VLOOKUP(B16,'BADI SID DATA'!A:C,3,0)</f>
        <v>29151</v>
      </c>
      <c r="E16" s="40">
        <f ca="1">VLOOKUP('BADI SID Dashboard'!B16,'BADI SID DATA'!A:I,9,0)</f>
        <v>0.1214625</v>
      </c>
      <c r="F16" s="19">
        <f ca="1">VLOOKUP(B16,'BADI SID DATA'!A:E,5,0)</f>
        <v>5954</v>
      </c>
      <c r="G16" s="19">
        <f ca="1">VLOOKUP(B16-365,'BADI SID DATA'!A:D,4,0)</f>
        <v>3.23</v>
      </c>
      <c r="H16" s="19">
        <f ca="1">VLOOKUP(B16-365,'BADI SID DATA'!A:C,3,0)</f>
        <v>38380</v>
      </c>
      <c r="I16" s="20">
        <f ca="1">VLOOKUP(B16-365,'BADI SID DATA'!A:I,9,0)</f>
        <v>0.15991666666666668</v>
      </c>
      <c r="J16" s="19">
        <f ca="1">VLOOKUP(B16-365,'BADI SID DATA'!A:E,5,0)</f>
        <v>8459</v>
      </c>
    </row>
    <row r="17" spans="1:10" ht="16">
      <c r="A17" s="159"/>
      <c r="B17" s="18">
        <f t="shared" ca="1" si="0"/>
        <v>46023</v>
      </c>
      <c r="C17" s="19">
        <f ca="1">VLOOKUP(B17,'BADI SID DATA'!A:D,4,0)</f>
        <v>3.25</v>
      </c>
      <c r="D17" s="19">
        <f ca="1">VLOOKUP(B17,'BADI SID DATA'!A:C,3,0)</f>
        <v>30475.5</v>
      </c>
      <c r="E17" s="40">
        <f ca="1">VLOOKUP('BADI SID Dashboard'!B17,'BADI SID DATA'!A:I,9,0)</f>
        <v>0.12698124999999999</v>
      </c>
      <c r="F17" s="19">
        <f ca="1">VLOOKUP(B17,'BADI SID DATA'!A:E,5,0)</f>
        <v>6737</v>
      </c>
      <c r="G17" s="19">
        <f ca="1">VLOOKUP(B17-365,'BADI SID DATA'!A:D,4,0)</f>
        <v>3.82</v>
      </c>
      <c r="H17" s="19">
        <f ca="1">VLOOKUP(B17-365,'BADI SID DATA'!A:C,3,0)</f>
        <v>48847</v>
      </c>
      <c r="I17" s="20">
        <f ca="1">VLOOKUP(B17-365,'BADI SID DATA'!A:I,9,0)</f>
        <v>0.20352916666666668</v>
      </c>
      <c r="J17" s="19">
        <f ca="1">VLOOKUP(B17-365,'BADI SID DATA'!A:E,5,0)</f>
        <v>8142</v>
      </c>
    </row>
    <row r="18" spans="1:10" ht="16">
      <c r="A18" s="159"/>
      <c r="B18" s="18">
        <f t="shared" ca="1" si="0"/>
        <v>46022</v>
      </c>
      <c r="C18" s="19">
        <f ca="1">VLOOKUP(B18,'BADI SID DATA'!A:D,4,0)</f>
        <v>2.29</v>
      </c>
      <c r="D18" s="19">
        <f ca="1">VLOOKUP(B18,'BADI SID DATA'!A:C,3,0)</f>
        <v>23433</v>
      </c>
      <c r="E18" s="40">
        <f ca="1">VLOOKUP('BADI SID Dashboard'!B18,'BADI SID DATA'!A:I,9,0)</f>
        <v>9.7637500000000002E-2</v>
      </c>
      <c r="F18" s="19">
        <f ca="1">VLOOKUP(B18,'BADI SID DATA'!A:E,5,0)</f>
        <v>7374</v>
      </c>
      <c r="G18" s="19">
        <f ca="1">VLOOKUP(B18-365,'BADI SID DATA'!A:D,4,0)</f>
        <v>3.41</v>
      </c>
      <c r="H18" s="19">
        <f ca="1">VLOOKUP(B18-365,'BADI SID DATA'!A:C,3,0)</f>
        <v>32417</v>
      </c>
      <c r="I18" s="20">
        <f ca="1">VLOOKUP(B18-365,'BADI SID DATA'!A:I,9,0)</f>
        <v>0.13507083333333333</v>
      </c>
      <c r="J18" s="19">
        <f ca="1">VLOOKUP(B18-365,'BADI SID DATA'!A:E,5,0)</f>
        <v>6879</v>
      </c>
    </row>
    <row r="19" spans="1:10" ht="16">
      <c r="A19" s="159"/>
      <c r="B19" s="18">
        <f t="shared" ca="1" si="0"/>
        <v>46021</v>
      </c>
      <c r="C19" s="19">
        <f ca="1">VLOOKUP(B19,'BADI SID DATA'!A:D,4,0)</f>
        <v>3.79</v>
      </c>
      <c r="D19" s="19">
        <f ca="1">VLOOKUP(B19,'BADI SID DATA'!A:C,3,0)</f>
        <v>45538.5</v>
      </c>
      <c r="E19" s="40">
        <f ca="1">VLOOKUP('BADI SID Dashboard'!B19,'BADI SID DATA'!A:I,9,0)</f>
        <v>0.18974374999999999</v>
      </c>
      <c r="F19" s="19">
        <f ca="1">VLOOKUP(B19,'BADI SID DATA'!A:E,5,0)</f>
        <v>7436</v>
      </c>
      <c r="G19" s="19">
        <f ca="1">VLOOKUP(B19-365,'BADI SID DATA'!A:D,4,0)</f>
        <v>3.52</v>
      </c>
      <c r="H19" s="19">
        <f ca="1">VLOOKUP(B19-365,'BADI SID DATA'!A:C,3,0)</f>
        <v>42620</v>
      </c>
      <c r="I19" s="20">
        <f ca="1">VLOOKUP(B19-365,'BADI SID DATA'!A:I,9,0)</f>
        <v>0.17758333333333334</v>
      </c>
      <c r="J19" s="19">
        <f ca="1">VLOOKUP(B19-365,'BADI SID DATA'!A:E,5,0)</f>
        <v>8296</v>
      </c>
    </row>
    <row r="20" spans="1:10" ht="16">
      <c r="A20" s="159"/>
      <c r="B20" s="18">
        <f t="shared" ca="1" si="0"/>
        <v>46020</v>
      </c>
      <c r="C20" s="19">
        <f ca="1">VLOOKUP(B20,'BADI SID DATA'!A:D,4,0)</f>
        <v>3.79</v>
      </c>
      <c r="D20" s="19">
        <f ca="1">VLOOKUP(B20,'BADI SID DATA'!A:C,3,0)</f>
        <v>47043</v>
      </c>
      <c r="E20" s="40">
        <f ca="1">VLOOKUP('BADI SID Dashboard'!B20,'BADI SID DATA'!A:I,9,0)</f>
        <v>0.19601250000000001</v>
      </c>
      <c r="F20" s="19">
        <f ca="1">VLOOKUP(B20,'BADI SID DATA'!A:E,5,0)</f>
        <v>7464</v>
      </c>
      <c r="G20" s="19">
        <f ca="1">VLOOKUP(B20-365,'BADI SID DATA'!A:D,4,0)</f>
        <v>3.7</v>
      </c>
      <c r="H20" s="19">
        <f ca="1">VLOOKUP(B20-365,'BADI SID DATA'!A:C,3,0)</f>
        <v>46980</v>
      </c>
      <c r="I20" s="20">
        <f ca="1">VLOOKUP(B20-365,'BADI SID DATA'!A:I,9,0)</f>
        <v>0.19575000000000001</v>
      </c>
      <c r="J20" s="19">
        <f ca="1">VLOOKUP(B20-365,'BADI SID DATA'!A:E,5,0)</f>
        <v>7790</v>
      </c>
    </row>
  </sheetData>
  <mergeCells count="16">
    <mergeCell ref="H7:I7"/>
    <mergeCell ref="H8:I8"/>
    <mergeCell ref="B5:C5"/>
    <mergeCell ref="D5:E5"/>
    <mergeCell ref="C1:E3"/>
    <mergeCell ref="F5:G5"/>
    <mergeCell ref="B4:J4"/>
    <mergeCell ref="H5:J5"/>
    <mergeCell ref="B1:B3"/>
    <mergeCell ref="B6:G6"/>
    <mergeCell ref="H6:J6"/>
    <mergeCell ref="B11:J11"/>
    <mergeCell ref="A12:A20"/>
    <mergeCell ref="C13:F13"/>
    <mergeCell ref="G13:J13"/>
    <mergeCell ref="B12:B13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43"/>
  <sheetViews>
    <sheetView zoomScale="108" workbookViewId="0">
      <pane ySplit="1" topLeftCell="A3273" activePane="bottomLeft" state="frozen"/>
      <selection pane="bottomLeft" activeCell="E3292" sqref="E3292"/>
    </sheetView>
  </sheetViews>
  <sheetFormatPr baseColWidth="10" defaultColWidth="14.5" defaultRowHeight="15" customHeight="1"/>
  <cols>
    <col min="1" max="1" width="13.6640625" bestFit="1" customWidth="1"/>
    <col min="2" max="2" width="12.1640625" style="11" customWidth="1"/>
    <col min="3" max="3" width="21.1640625" bestFit="1" customWidth="1"/>
    <col min="4" max="4" width="17" style="5" bestFit="1" customWidth="1"/>
    <col min="5" max="5" width="24.6640625" style="5" bestFit="1" customWidth="1"/>
    <col min="6" max="6" width="23.5" bestFit="1" customWidth="1"/>
    <col min="7" max="7" width="19" bestFit="1" customWidth="1"/>
    <col min="8" max="8" width="23.1640625" bestFit="1" customWidth="1"/>
    <col min="9" max="9" width="15.33203125" bestFit="1" customWidth="1"/>
    <col min="10" max="10" width="18.5" bestFit="1" customWidth="1"/>
    <col min="11" max="16" width="8.6640625" customWidth="1"/>
  </cols>
  <sheetData>
    <row r="1" spans="1:10" ht="17">
      <c r="A1" s="1" t="s">
        <v>0</v>
      </c>
      <c r="B1" s="1" t="s">
        <v>6</v>
      </c>
      <c r="C1" s="2" t="s">
        <v>7</v>
      </c>
      <c r="D1" s="3" t="s">
        <v>1</v>
      </c>
      <c r="E1" s="3" t="s">
        <v>42</v>
      </c>
      <c r="F1" s="2" t="s">
        <v>2</v>
      </c>
      <c r="G1" s="2" t="s">
        <v>3</v>
      </c>
      <c r="H1" s="2" t="s">
        <v>8</v>
      </c>
      <c r="I1" s="2" t="s">
        <v>4</v>
      </c>
      <c r="J1" s="2" t="s">
        <v>5</v>
      </c>
    </row>
    <row r="2" spans="1:10">
      <c r="A2" s="13">
        <v>42736</v>
      </c>
      <c r="B2" s="11">
        <v>1</v>
      </c>
      <c r="C2">
        <v>33691</v>
      </c>
      <c r="D2" s="5">
        <v>2.73</v>
      </c>
      <c r="F2">
        <v>100</v>
      </c>
      <c r="G2">
        <v>100</v>
      </c>
      <c r="H2">
        <f>C2</f>
        <v>33691</v>
      </c>
      <c r="I2" s="12">
        <f>C2/(10*24*1000)</f>
        <v>0.14037916666666667</v>
      </c>
      <c r="J2" s="12">
        <f>H2/(24*B2*10*1000)</f>
        <v>0.14037916666666667</v>
      </c>
    </row>
    <row r="3" spans="1:10">
      <c r="A3" s="13">
        <v>42737</v>
      </c>
      <c r="B3" s="11">
        <v>2</v>
      </c>
      <c r="C3">
        <v>30994</v>
      </c>
      <c r="D3" s="5">
        <v>2.4900000000000002</v>
      </c>
      <c r="F3">
        <v>100</v>
      </c>
      <c r="G3">
        <v>100</v>
      </c>
      <c r="H3">
        <f>H2+C3</f>
        <v>64685</v>
      </c>
      <c r="I3" s="12">
        <f t="shared" ref="I3:I66" si="0">C3/(10*24*1000)</f>
        <v>0.12914166666666665</v>
      </c>
      <c r="J3" s="12">
        <f>H3/(24*B3*10*1000)</f>
        <v>0.13476041666666666</v>
      </c>
    </row>
    <row r="4" spans="1:10">
      <c r="A4" s="13">
        <v>42738</v>
      </c>
      <c r="B4" s="11">
        <v>3</v>
      </c>
      <c r="C4">
        <v>45405</v>
      </c>
      <c r="D4" s="5">
        <v>3.71</v>
      </c>
      <c r="F4">
        <v>100</v>
      </c>
      <c r="G4">
        <v>100</v>
      </c>
      <c r="H4">
        <f>H3+C4</f>
        <v>110090</v>
      </c>
      <c r="I4" s="12">
        <f t="shared" si="0"/>
        <v>0.18918750000000001</v>
      </c>
      <c r="J4" s="12">
        <f t="shared" ref="J4:J67" si="1">H4/(24*B4*10*1000)</f>
        <v>0.15290277777777778</v>
      </c>
    </row>
    <row r="5" spans="1:10">
      <c r="A5" s="13">
        <v>42739</v>
      </c>
      <c r="B5" s="11">
        <v>4</v>
      </c>
      <c r="C5">
        <v>41084</v>
      </c>
      <c r="D5" s="5">
        <v>3.19</v>
      </c>
      <c r="F5">
        <v>100</v>
      </c>
      <c r="G5">
        <v>100</v>
      </c>
      <c r="H5">
        <f t="shared" ref="H5:H68" si="2">H4+C5</f>
        <v>151174</v>
      </c>
      <c r="I5" s="12">
        <f t="shared" si="0"/>
        <v>0.17118333333333333</v>
      </c>
      <c r="J5" s="12">
        <f t="shared" si="1"/>
        <v>0.15747291666666666</v>
      </c>
    </row>
    <row r="6" spans="1:10">
      <c r="A6" s="13">
        <v>42740</v>
      </c>
      <c r="B6" s="11">
        <v>5</v>
      </c>
      <c r="C6">
        <v>38229</v>
      </c>
      <c r="D6" s="5">
        <v>2.96</v>
      </c>
      <c r="F6">
        <v>100</v>
      </c>
      <c r="G6">
        <v>100</v>
      </c>
      <c r="H6">
        <f t="shared" si="2"/>
        <v>189403</v>
      </c>
      <c r="I6" s="12">
        <f t="shared" si="0"/>
        <v>0.1592875</v>
      </c>
      <c r="J6" s="12">
        <f t="shared" si="1"/>
        <v>0.15783583333333334</v>
      </c>
    </row>
    <row r="7" spans="1:10">
      <c r="A7" s="13">
        <v>42741</v>
      </c>
      <c r="B7" s="11">
        <v>6</v>
      </c>
      <c r="C7">
        <v>24843</v>
      </c>
      <c r="D7" s="5">
        <v>2.2000000000000002</v>
      </c>
      <c r="F7">
        <v>99.305555555555557</v>
      </c>
      <c r="G7">
        <v>100</v>
      </c>
      <c r="H7">
        <f t="shared" si="2"/>
        <v>214246</v>
      </c>
      <c r="I7" s="12">
        <f t="shared" si="0"/>
        <v>0.10351249999999999</v>
      </c>
      <c r="J7" s="12">
        <f t="shared" si="1"/>
        <v>0.14878194444444445</v>
      </c>
    </row>
    <row r="8" spans="1:10">
      <c r="A8" s="13">
        <v>42742</v>
      </c>
      <c r="B8" s="11">
        <v>7</v>
      </c>
      <c r="C8">
        <v>41517</v>
      </c>
      <c r="D8" s="5">
        <v>3.23</v>
      </c>
      <c r="F8">
        <v>100</v>
      </c>
      <c r="G8">
        <v>100</v>
      </c>
      <c r="H8">
        <f t="shared" si="2"/>
        <v>255763</v>
      </c>
      <c r="I8" s="12">
        <f t="shared" si="0"/>
        <v>0.17298749999999999</v>
      </c>
      <c r="J8" s="12">
        <f t="shared" si="1"/>
        <v>0.15223988095238095</v>
      </c>
    </row>
    <row r="9" spans="1:10">
      <c r="A9" s="13">
        <v>42743</v>
      </c>
      <c r="B9" s="11">
        <v>8</v>
      </c>
      <c r="C9">
        <v>42701</v>
      </c>
      <c r="D9" s="5">
        <v>3.23</v>
      </c>
      <c r="F9">
        <v>100</v>
      </c>
      <c r="G9">
        <v>100</v>
      </c>
      <c r="H9">
        <f t="shared" si="2"/>
        <v>298464</v>
      </c>
      <c r="I9" s="12">
        <f t="shared" si="0"/>
        <v>0.17792083333333333</v>
      </c>
      <c r="J9" s="12">
        <f t="shared" si="1"/>
        <v>0.15545</v>
      </c>
    </row>
    <row r="10" spans="1:10">
      <c r="A10" s="13">
        <v>42744</v>
      </c>
      <c r="B10" s="11">
        <v>9</v>
      </c>
      <c r="C10">
        <v>25285</v>
      </c>
      <c r="D10" s="5">
        <v>2.02</v>
      </c>
      <c r="F10">
        <v>100</v>
      </c>
      <c r="G10">
        <v>100</v>
      </c>
      <c r="H10">
        <f t="shared" si="2"/>
        <v>323749</v>
      </c>
      <c r="I10" s="12">
        <f t="shared" si="0"/>
        <v>0.10535416666666667</v>
      </c>
      <c r="J10" s="12">
        <f t="shared" si="1"/>
        <v>0.14988379629629631</v>
      </c>
    </row>
    <row r="11" spans="1:10">
      <c r="A11" s="13">
        <v>42745</v>
      </c>
      <c r="B11" s="11">
        <v>10</v>
      </c>
      <c r="C11">
        <v>55874</v>
      </c>
      <c r="D11" s="5">
        <v>4.2</v>
      </c>
      <c r="F11">
        <v>99.510603588907003</v>
      </c>
      <c r="G11">
        <v>100</v>
      </c>
      <c r="H11">
        <f t="shared" si="2"/>
        <v>379623</v>
      </c>
      <c r="I11" s="12">
        <f t="shared" si="0"/>
        <v>0.23280833333333334</v>
      </c>
      <c r="J11" s="12">
        <f t="shared" si="1"/>
        <v>0.15817624999999999</v>
      </c>
    </row>
    <row r="12" spans="1:10">
      <c r="A12" s="13">
        <v>42746</v>
      </c>
      <c r="B12" s="11">
        <v>11</v>
      </c>
      <c r="C12">
        <v>55723</v>
      </c>
      <c r="D12" s="5">
        <v>4.32</v>
      </c>
      <c r="F12">
        <v>98.527004909983631</v>
      </c>
      <c r="G12">
        <v>100</v>
      </c>
      <c r="H12">
        <f t="shared" si="2"/>
        <v>435346</v>
      </c>
      <c r="I12" s="12">
        <f t="shared" si="0"/>
        <v>0.23217916666666666</v>
      </c>
      <c r="J12" s="12">
        <f t="shared" si="1"/>
        <v>0.16490378787878787</v>
      </c>
    </row>
    <row r="13" spans="1:10">
      <c r="A13" s="13">
        <v>42747</v>
      </c>
      <c r="B13" s="11">
        <v>12</v>
      </c>
      <c r="C13">
        <v>57550</v>
      </c>
      <c r="D13" s="5">
        <v>4.26</v>
      </c>
      <c r="F13">
        <v>100</v>
      </c>
      <c r="G13">
        <v>100</v>
      </c>
      <c r="H13">
        <f t="shared" si="2"/>
        <v>492896</v>
      </c>
      <c r="I13" s="12">
        <f t="shared" si="0"/>
        <v>0.23979166666666665</v>
      </c>
      <c r="J13" s="12">
        <f t="shared" si="1"/>
        <v>0.17114444444444443</v>
      </c>
    </row>
    <row r="14" spans="1:10">
      <c r="A14" s="13">
        <v>42748</v>
      </c>
      <c r="B14" s="11">
        <v>13</v>
      </c>
      <c r="C14">
        <v>54436</v>
      </c>
      <c r="D14" s="5">
        <v>4.2</v>
      </c>
      <c r="F14">
        <v>100</v>
      </c>
      <c r="G14">
        <v>100</v>
      </c>
      <c r="H14">
        <f t="shared" si="2"/>
        <v>547332</v>
      </c>
      <c r="I14" s="12">
        <f t="shared" si="0"/>
        <v>0.22681666666666667</v>
      </c>
      <c r="J14" s="12">
        <f t="shared" si="1"/>
        <v>0.17542692307692306</v>
      </c>
    </row>
    <row r="15" spans="1:10">
      <c r="A15" s="13">
        <v>42749</v>
      </c>
      <c r="B15" s="11">
        <v>14</v>
      </c>
      <c r="C15">
        <v>19678</v>
      </c>
      <c r="D15" s="5">
        <v>1.78</v>
      </c>
      <c r="F15">
        <v>100</v>
      </c>
      <c r="G15">
        <v>100</v>
      </c>
      <c r="H15">
        <f t="shared" si="2"/>
        <v>567010</v>
      </c>
      <c r="I15" s="12">
        <f t="shared" si="0"/>
        <v>8.1991666666666671E-2</v>
      </c>
      <c r="J15" s="12">
        <f t="shared" si="1"/>
        <v>0.16875297619047619</v>
      </c>
    </row>
    <row r="16" spans="1:10">
      <c r="A16" s="13">
        <v>42750</v>
      </c>
      <c r="B16" s="11">
        <v>15</v>
      </c>
      <c r="C16">
        <v>27782</v>
      </c>
      <c r="D16" s="5">
        <v>2.35</v>
      </c>
      <c r="F16">
        <v>100</v>
      </c>
      <c r="G16">
        <v>100</v>
      </c>
      <c r="H16">
        <f t="shared" si="2"/>
        <v>594792</v>
      </c>
      <c r="I16" s="12">
        <f t="shared" si="0"/>
        <v>0.11575833333333334</v>
      </c>
      <c r="J16" s="12">
        <f t="shared" si="1"/>
        <v>0.16522000000000001</v>
      </c>
    </row>
    <row r="17" spans="1:10">
      <c r="A17" s="13">
        <v>42751</v>
      </c>
      <c r="B17" s="11">
        <v>16</v>
      </c>
      <c r="C17">
        <v>50846</v>
      </c>
      <c r="D17" s="5">
        <v>3.79</v>
      </c>
      <c r="F17">
        <v>100</v>
      </c>
      <c r="G17">
        <v>100</v>
      </c>
      <c r="H17">
        <f t="shared" si="2"/>
        <v>645638</v>
      </c>
      <c r="I17" s="12">
        <f t="shared" si="0"/>
        <v>0.21185833333333334</v>
      </c>
      <c r="J17" s="12">
        <f t="shared" si="1"/>
        <v>0.16813489583333333</v>
      </c>
    </row>
    <row r="18" spans="1:10">
      <c r="A18" s="13">
        <v>42752</v>
      </c>
      <c r="B18" s="11">
        <v>17</v>
      </c>
      <c r="C18">
        <v>52490</v>
      </c>
      <c r="D18" s="5">
        <v>4.01</v>
      </c>
      <c r="F18">
        <v>100</v>
      </c>
      <c r="G18">
        <v>100</v>
      </c>
      <c r="H18">
        <f t="shared" si="2"/>
        <v>698128</v>
      </c>
      <c r="I18" s="12">
        <f t="shared" si="0"/>
        <v>0.21870833333333334</v>
      </c>
      <c r="J18" s="12">
        <f t="shared" si="1"/>
        <v>0.17110980392156863</v>
      </c>
    </row>
    <row r="19" spans="1:10">
      <c r="A19" s="13">
        <v>42753</v>
      </c>
      <c r="B19" s="11">
        <v>18</v>
      </c>
      <c r="C19">
        <v>52749</v>
      </c>
      <c r="D19" s="5">
        <v>4.1399999999999997</v>
      </c>
      <c r="F19">
        <v>100</v>
      </c>
      <c r="G19">
        <v>100</v>
      </c>
      <c r="H19">
        <f t="shared" si="2"/>
        <v>750877</v>
      </c>
      <c r="I19" s="12">
        <f t="shared" si="0"/>
        <v>0.2197875</v>
      </c>
      <c r="J19" s="12">
        <f t="shared" si="1"/>
        <v>0.17381412037037036</v>
      </c>
    </row>
    <row r="20" spans="1:10" ht="15.75" customHeight="1">
      <c r="A20" s="13">
        <v>42754</v>
      </c>
      <c r="B20" s="11">
        <v>19</v>
      </c>
      <c r="C20">
        <v>50773</v>
      </c>
      <c r="D20" s="5">
        <v>3.83</v>
      </c>
      <c r="F20">
        <v>100</v>
      </c>
      <c r="G20">
        <v>100</v>
      </c>
      <c r="H20">
        <f t="shared" si="2"/>
        <v>801650</v>
      </c>
      <c r="I20" s="12">
        <f t="shared" si="0"/>
        <v>0.21155416666666665</v>
      </c>
      <c r="J20" s="12">
        <f t="shared" si="1"/>
        <v>0.17580043859649122</v>
      </c>
    </row>
    <row r="21" spans="1:10" ht="15.75" customHeight="1">
      <c r="A21" s="13">
        <v>42755</v>
      </c>
      <c r="B21" s="11">
        <v>20</v>
      </c>
      <c r="C21">
        <v>52437</v>
      </c>
      <c r="D21" s="5">
        <v>3.96</v>
      </c>
      <c r="F21">
        <v>100</v>
      </c>
      <c r="G21">
        <v>100</v>
      </c>
      <c r="H21">
        <f t="shared" si="2"/>
        <v>854087</v>
      </c>
      <c r="I21" s="12">
        <f t="shared" si="0"/>
        <v>0.2184875</v>
      </c>
      <c r="J21" s="12">
        <f t="shared" si="1"/>
        <v>0.17793479166666668</v>
      </c>
    </row>
    <row r="22" spans="1:10" ht="15.75" customHeight="1">
      <c r="A22" s="13">
        <v>42756</v>
      </c>
      <c r="B22" s="11">
        <v>21</v>
      </c>
      <c r="C22">
        <v>14728</v>
      </c>
      <c r="D22" s="5">
        <v>1.4</v>
      </c>
      <c r="F22">
        <v>100</v>
      </c>
      <c r="G22">
        <v>100</v>
      </c>
      <c r="H22">
        <f t="shared" si="2"/>
        <v>868815</v>
      </c>
      <c r="I22" s="12">
        <f t="shared" si="0"/>
        <v>6.1366666666666667E-2</v>
      </c>
      <c r="J22" s="12">
        <f t="shared" si="1"/>
        <v>0.17238392857142856</v>
      </c>
    </row>
    <row r="23" spans="1:10" ht="15.75" customHeight="1">
      <c r="A23" s="13">
        <v>42757</v>
      </c>
      <c r="B23" s="11">
        <v>22</v>
      </c>
      <c r="C23">
        <v>49574</v>
      </c>
      <c r="D23" s="5">
        <v>3.91</v>
      </c>
      <c r="F23">
        <v>100</v>
      </c>
      <c r="G23">
        <v>100</v>
      </c>
      <c r="H23">
        <f t="shared" si="2"/>
        <v>918389</v>
      </c>
      <c r="I23" s="12">
        <f t="shared" si="0"/>
        <v>0.20655833333333334</v>
      </c>
      <c r="J23" s="12">
        <f t="shared" si="1"/>
        <v>0.1739373106060606</v>
      </c>
    </row>
    <row r="24" spans="1:10" ht="15.75" customHeight="1">
      <c r="A24" s="13">
        <v>42758</v>
      </c>
      <c r="B24" s="11">
        <v>23</v>
      </c>
      <c r="C24">
        <v>45577</v>
      </c>
      <c r="D24" s="5">
        <v>3.67</v>
      </c>
      <c r="F24">
        <v>100</v>
      </c>
      <c r="G24">
        <v>100</v>
      </c>
      <c r="H24">
        <f t="shared" si="2"/>
        <v>963966</v>
      </c>
      <c r="I24" s="12">
        <f t="shared" si="0"/>
        <v>0.18990416666666668</v>
      </c>
      <c r="J24" s="12">
        <f t="shared" si="1"/>
        <v>0.17463152173913044</v>
      </c>
    </row>
    <row r="25" spans="1:10" ht="15.75" customHeight="1">
      <c r="A25" s="13">
        <v>42759</v>
      </c>
      <c r="B25" s="11">
        <v>24</v>
      </c>
      <c r="C25">
        <v>36360</v>
      </c>
      <c r="D25" s="5">
        <v>3.14</v>
      </c>
      <c r="F25">
        <v>100</v>
      </c>
      <c r="G25">
        <v>100</v>
      </c>
      <c r="H25">
        <f t="shared" si="2"/>
        <v>1000326</v>
      </c>
      <c r="I25" s="12">
        <f t="shared" si="0"/>
        <v>0.1515</v>
      </c>
      <c r="J25" s="12">
        <f t="shared" si="1"/>
        <v>0.17366770833333334</v>
      </c>
    </row>
    <row r="26" spans="1:10" ht="15.75" customHeight="1">
      <c r="A26" s="13">
        <v>42760</v>
      </c>
      <c r="B26" s="11">
        <v>25</v>
      </c>
      <c r="C26">
        <v>12950</v>
      </c>
      <c r="D26" s="5">
        <v>1.2</v>
      </c>
      <c r="F26">
        <v>100</v>
      </c>
      <c r="G26">
        <v>100</v>
      </c>
      <c r="H26">
        <f t="shared" si="2"/>
        <v>1013276</v>
      </c>
      <c r="I26" s="12">
        <f t="shared" si="0"/>
        <v>5.395833333333333E-2</v>
      </c>
      <c r="J26" s="12">
        <f t="shared" si="1"/>
        <v>0.16887933333333333</v>
      </c>
    </row>
    <row r="27" spans="1:10" ht="15.75" customHeight="1">
      <c r="A27" s="13">
        <v>42761</v>
      </c>
      <c r="B27" s="11">
        <v>26</v>
      </c>
      <c r="C27">
        <v>46398</v>
      </c>
      <c r="D27" s="5">
        <v>3.72</v>
      </c>
      <c r="F27">
        <v>100</v>
      </c>
      <c r="G27">
        <v>100</v>
      </c>
      <c r="H27">
        <f t="shared" si="2"/>
        <v>1059674</v>
      </c>
      <c r="I27" s="12">
        <f t="shared" si="0"/>
        <v>0.193325</v>
      </c>
      <c r="J27" s="12">
        <f t="shared" si="1"/>
        <v>0.16981955128205128</v>
      </c>
    </row>
    <row r="28" spans="1:10" ht="15.75" customHeight="1">
      <c r="A28" s="13">
        <v>42762</v>
      </c>
      <c r="B28" s="11">
        <v>27</v>
      </c>
      <c r="C28">
        <v>60148</v>
      </c>
      <c r="D28" s="5">
        <v>4.49</v>
      </c>
      <c r="F28">
        <v>100</v>
      </c>
      <c r="G28">
        <v>100</v>
      </c>
      <c r="H28">
        <f t="shared" si="2"/>
        <v>1119822</v>
      </c>
      <c r="I28" s="12">
        <f t="shared" si="0"/>
        <v>0.25061666666666665</v>
      </c>
      <c r="J28" s="12">
        <f t="shared" si="1"/>
        <v>0.17281203703703704</v>
      </c>
    </row>
    <row r="29" spans="1:10" ht="15.75" customHeight="1">
      <c r="A29" s="13">
        <v>42763</v>
      </c>
      <c r="B29" s="11">
        <v>28</v>
      </c>
      <c r="C29">
        <v>54234</v>
      </c>
      <c r="D29" s="5">
        <v>4.2699999999999996</v>
      </c>
      <c r="F29">
        <v>100</v>
      </c>
      <c r="G29">
        <v>100</v>
      </c>
      <c r="H29">
        <f t="shared" si="2"/>
        <v>1174056</v>
      </c>
      <c r="I29" s="12">
        <f t="shared" si="0"/>
        <v>0.22597500000000001</v>
      </c>
      <c r="J29" s="12">
        <f t="shared" si="1"/>
        <v>0.17471071428571427</v>
      </c>
    </row>
    <row r="30" spans="1:10" ht="15.75" customHeight="1">
      <c r="A30" s="13">
        <v>42764</v>
      </c>
      <c r="B30" s="11">
        <v>29</v>
      </c>
      <c r="C30">
        <v>60610</v>
      </c>
      <c r="D30" s="5">
        <v>4.79</v>
      </c>
      <c r="F30">
        <v>100</v>
      </c>
      <c r="G30">
        <v>100</v>
      </c>
      <c r="H30">
        <f t="shared" si="2"/>
        <v>1234666</v>
      </c>
      <c r="I30" s="12">
        <f t="shared" si="0"/>
        <v>0.25254166666666666</v>
      </c>
      <c r="J30" s="12">
        <f t="shared" si="1"/>
        <v>0.17739454022988504</v>
      </c>
    </row>
    <row r="31" spans="1:10" ht="15.75" customHeight="1">
      <c r="A31" s="13">
        <v>42765</v>
      </c>
      <c r="B31" s="11">
        <v>30</v>
      </c>
      <c r="C31">
        <v>59128</v>
      </c>
      <c r="D31" s="5">
        <v>4.75</v>
      </c>
      <c r="F31">
        <v>100</v>
      </c>
      <c r="G31">
        <v>99.375</v>
      </c>
      <c r="H31">
        <f t="shared" si="2"/>
        <v>1293794</v>
      </c>
      <c r="I31" s="12">
        <f t="shared" si="0"/>
        <v>0.24636666666666668</v>
      </c>
      <c r="J31" s="12">
        <f t="shared" si="1"/>
        <v>0.17969361111111112</v>
      </c>
    </row>
    <row r="32" spans="1:10" ht="15.75" customHeight="1">
      <c r="A32" s="13">
        <v>42766</v>
      </c>
      <c r="B32" s="11">
        <v>31</v>
      </c>
      <c r="C32">
        <v>57117</v>
      </c>
      <c r="D32" s="5">
        <v>4.49</v>
      </c>
      <c r="F32">
        <v>100</v>
      </c>
      <c r="G32">
        <v>97.777777777777771</v>
      </c>
      <c r="H32">
        <f t="shared" si="2"/>
        <v>1350911</v>
      </c>
      <c r="I32" s="12">
        <f t="shared" si="0"/>
        <v>0.23798749999999999</v>
      </c>
      <c r="J32" s="12">
        <f t="shared" si="1"/>
        <v>0.18157405913978494</v>
      </c>
    </row>
    <row r="33" spans="1:10" ht="15.75" customHeight="1">
      <c r="A33" s="13">
        <v>42767</v>
      </c>
      <c r="B33" s="11">
        <v>32</v>
      </c>
      <c r="C33">
        <v>60562</v>
      </c>
      <c r="D33" s="5">
        <v>4.72</v>
      </c>
      <c r="F33">
        <v>100</v>
      </c>
      <c r="G33">
        <v>100</v>
      </c>
      <c r="H33">
        <f t="shared" si="2"/>
        <v>1411473</v>
      </c>
      <c r="I33" s="12">
        <f t="shared" si="0"/>
        <v>0.25234166666666669</v>
      </c>
      <c r="J33" s="12">
        <f t="shared" si="1"/>
        <v>0.18378554687500001</v>
      </c>
    </row>
    <row r="34" spans="1:10" ht="15.75" customHeight="1">
      <c r="A34" s="13">
        <v>42768</v>
      </c>
      <c r="B34" s="11">
        <v>33</v>
      </c>
      <c r="C34">
        <v>51560</v>
      </c>
      <c r="D34" s="5">
        <v>4.29</v>
      </c>
      <c r="F34">
        <v>100</v>
      </c>
      <c r="G34">
        <v>100</v>
      </c>
      <c r="H34">
        <f t="shared" si="2"/>
        <v>1463033</v>
      </c>
      <c r="I34" s="12">
        <f t="shared" si="0"/>
        <v>0.21483333333333332</v>
      </c>
      <c r="J34" s="12">
        <f t="shared" si="1"/>
        <v>0.1847263888888889</v>
      </c>
    </row>
    <row r="35" spans="1:10" ht="15.75" customHeight="1">
      <c r="A35" s="13">
        <v>42769</v>
      </c>
      <c r="B35" s="11">
        <v>34</v>
      </c>
      <c r="C35">
        <v>47832</v>
      </c>
      <c r="D35" s="5">
        <v>4.1399999999999997</v>
      </c>
      <c r="F35">
        <v>100</v>
      </c>
      <c r="G35">
        <v>100</v>
      </c>
      <c r="H35">
        <f t="shared" si="2"/>
        <v>1510865</v>
      </c>
      <c r="I35" s="12">
        <f t="shared" si="0"/>
        <v>0.1993</v>
      </c>
      <c r="J35" s="12">
        <f t="shared" si="1"/>
        <v>0.18515502450980392</v>
      </c>
    </row>
    <row r="36" spans="1:10" ht="15.75" customHeight="1">
      <c r="A36" s="13">
        <v>42770</v>
      </c>
      <c r="B36" s="11">
        <v>35</v>
      </c>
      <c r="C36">
        <v>38157</v>
      </c>
      <c r="D36" s="5">
        <v>3.28</v>
      </c>
      <c r="F36">
        <v>100</v>
      </c>
      <c r="G36">
        <v>100</v>
      </c>
      <c r="H36">
        <f t="shared" si="2"/>
        <v>1549022</v>
      </c>
      <c r="I36" s="12">
        <f t="shared" si="0"/>
        <v>0.1589875</v>
      </c>
      <c r="J36" s="12">
        <f t="shared" si="1"/>
        <v>0.18440738095238096</v>
      </c>
    </row>
    <row r="37" spans="1:10" ht="15.75" customHeight="1">
      <c r="A37" s="13">
        <v>42771</v>
      </c>
      <c r="B37" s="11">
        <v>36</v>
      </c>
      <c r="C37">
        <v>61236</v>
      </c>
      <c r="D37" s="5">
        <v>5.04</v>
      </c>
      <c r="F37">
        <v>100</v>
      </c>
      <c r="G37">
        <v>100</v>
      </c>
      <c r="H37">
        <f t="shared" si="2"/>
        <v>1610258</v>
      </c>
      <c r="I37" s="12">
        <f t="shared" si="0"/>
        <v>0.25514999999999999</v>
      </c>
      <c r="J37" s="12">
        <f t="shared" si="1"/>
        <v>0.1863724537037037</v>
      </c>
    </row>
    <row r="38" spans="1:10" ht="15.75" customHeight="1">
      <c r="A38" s="13">
        <v>42772</v>
      </c>
      <c r="B38" s="11">
        <v>37</v>
      </c>
      <c r="C38">
        <v>65309</v>
      </c>
      <c r="D38" s="5">
        <v>5.33</v>
      </c>
      <c r="F38">
        <v>99.765625</v>
      </c>
      <c r="G38">
        <v>100</v>
      </c>
      <c r="H38">
        <f t="shared" si="2"/>
        <v>1675567</v>
      </c>
      <c r="I38" s="12">
        <f t="shared" si="0"/>
        <v>0.27212083333333331</v>
      </c>
      <c r="J38" s="12">
        <f t="shared" si="1"/>
        <v>0.18868997747747748</v>
      </c>
    </row>
    <row r="39" spans="1:10" ht="15.75" customHeight="1">
      <c r="A39" s="13">
        <v>42773</v>
      </c>
      <c r="B39" s="11">
        <v>38</v>
      </c>
      <c r="C39">
        <v>60149</v>
      </c>
      <c r="D39" s="5">
        <v>5.05</v>
      </c>
      <c r="F39">
        <v>100</v>
      </c>
      <c r="G39">
        <v>100</v>
      </c>
      <c r="H39">
        <f t="shared" si="2"/>
        <v>1735716</v>
      </c>
      <c r="I39" s="12">
        <f t="shared" si="0"/>
        <v>0.25062083333333335</v>
      </c>
      <c r="J39" s="12">
        <f t="shared" si="1"/>
        <v>0.19031973684210526</v>
      </c>
    </row>
    <row r="40" spans="1:10" ht="15.75" customHeight="1">
      <c r="A40" s="13">
        <v>42774</v>
      </c>
      <c r="B40" s="11">
        <v>39</v>
      </c>
      <c r="C40">
        <v>59897</v>
      </c>
      <c r="D40" s="5">
        <v>5.07</v>
      </c>
      <c r="F40">
        <v>100</v>
      </c>
      <c r="G40">
        <v>100</v>
      </c>
      <c r="H40">
        <f t="shared" si="2"/>
        <v>1795613</v>
      </c>
      <c r="I40" s="12">
        <f t="shared" si="0"/>
        <v>0.24957083333333333</v>
      </c>
      <c r="J40" s="12">
        <f t="shared" si="1"/>
        <v>0.19183899572649574</v>
      </c>
    </row>
    <row r="41" spans="1:10" ht="15.75" customHeight="1">
      <c r="A41" s="13">
        <v>42775</v>
      </c>
      <c r="B41" s="11">
        <v>40</v>
      </c>
      <c r="C41">
        <v>63136</v>
      </c>
      <c r="D41" s="5">
        <v>5.26</v>
      </c>
      <c r="F41">
        <v>100</v>
      </c>
      <c r="G41">
        <v>100</v>
      </c>
      <c r="H41">
        <f t="shared" si="2"/>
        <v>1858749</v>
      </c>
      <c r="I41" s="12">
        <f t="shared" si="0"/>
        <v>0.26306666666666667</v>
      </c>
      <c r="J41" s="12">
        <f t="shared" si="1"/>
        <v>0.1936196875</v>
      </c>
    </row>
    <row r="42" spans="1:10" ht="15.75" customHeight="1">
      <c r="A42" s="13">
        <v>42776</v>
      </c>
      <c r="B42" s="11">
        <v>41</v>
      </c>
      <c r="C42">
        <v>57459</v>
      </c>
      <c r="D42" s="5">
        <v>4.6900000000000004</v>
      </c>
      <c r="F42">
        <v>100</v>
      </c>
      <c r="G42">
        <v>100</v>
      </c>
      <c r="H42">
        <f t="shared" si="2"/>
        <v>1916208</v>
      </c>
      <c r="I42" s="12">
        <f t="shared" si="0"/>
        <v>0.2394125</v>
      </c>
      <c r="J42" s="12">
        <f t="shared" si="1"/>
        <v>0.19473658536585367</v>
      </c>
    </row>
    <row r="43" spans="1:10" ht="15.75" customHeight="1">
      <c r="A43" s="13">
        <v>42777</v>
      </c>
      <c r="B43" s="11">
        <v>42</v>
      </c>
      <c r="C43">
        <v>63759</v>
      </c>
      <c r="D43" s="5">
        <v>5.23</v>
      </c>
      <c r="F43">
        <v>100</v>
      </c>
      <c r="G43">
        <v>100</v>
      </c>
      <c r="H43">
        <f t="shared" si="2"/>
        <v>1979967</v>
      </c>
      <c r="I43" s="12">
        <f t="shared" si="0"/>
        <v>0.26566250000000002</v>
      </c>
      <c r="J43" s="12">
        <f t="shared" si="1"/>
        <v>0.19642529761904762</v>
      </c>
    </row>
    <row r="44" spans="1:10" ht="15.75" customHeight="1">
      <c r="A44" s="13">
        <v>42778</v>
      </c>
      <c r="B44" s="11">
        <v>43</v>
      </c>
      <c r="C44">
        <v>62293</v>
      </c>
      <c r="D44" s="5">
        <v>5.25</v>
      </c>
      <c r="F44">
        <v>100</v>
      </c>
      <c r="G44">
        <v>100</v>
      </c>
      <c r="H44">
        <f t="shared" si="2"/>
        <v>2042260</v>
      </c>
      <c r="I44" s="12">
        <f t="shared" si="0"/>
        <v>0.25955416666666664</v>
      </c>
      <c r="J44" s="12">
        <f t="shared" si="1"/>
        <v>0.19789341085271317</v>
      </c>
    </row>
    <row r="45" spans="1:10" ht="15.75" customHeight="1">
      <c r="A45" s="13">
        <v>42779</v>
      </c>
      <c r="B45" s="11">
        <v>44</v>
      </c>
      <c r="C45">
        <v>59785</v>
      </c>
      <c r="D45" s="5">
        <v>4.9800000000000004</v>
      </c>
      <c r="F45">
        <v>100</v>
      </c>
      <c r="G45">
        <v>100</v>
      </c>
      <c r="H45">
        <f t="shared" si="2"/>
        <v>2102045</v>
      </c>
      <c r="I45" s="12">
        <f t="shared" si="0"/>
        <v>0.24910416666666665</v>
      </c>
      <c r="J45" s="12">
        <f t="shared" si="1"/>
        <v>0.19905729166666666</v>
      </c>
    </row>
    <row r="46" spans="1:10" ht="15.75" customHeight="1">
      <c r="A46" s="13">
        <v>42780</v>
      </c>
      <c r="B46" s="11">
        <v>45</v>
      </c>
      <c r="C46">
        <v>58610</v>
      </c>
      <c r="D46" s="5">
        <v>5.05</v>
      </c>
      <c r="F46">
        <v>100</v>
      </c>
      <c r="G46">
        <v>100</v>
      </c>
      <c r="H46">
        <f t="shared" si="2"/>
        <v>2160655</v>
      </c>
      <c r="I46" s="12">
        <f t="shared" si="0"/>
        <v>0.24420833333333333</v>
      </c>
      <c r="J46" s="12">
        <f t="shared" si="1"/>
        <v>0.20006064814814814</v>
      </c>
    </row>
    <row r="47" spans="1:10" ht="15.75" customHeight="1">
      <c r="A47" s="13">
        <v>42781</v>
      </c>
      <c r="B47" s="11">
        <v>46</v>
      </c>
      <c r="C47">
        <v>51668</v>
      </c>
      <c r="D47" s="5">
        <v>4.55</v>
      </c>
      <c r="F47">
        <v>100</v>
      </c>
      <c r="G47">
        <v>100</v>
      </c>
      <c r="H47">
        <f t="shared" si="2"/>
        <v>2212323</v>
      </c>
      <c r="I47" s="12">
        <f t="shared" si="0"/>
        <v>0.21528333333333333</v>
      </c>
      <c r="J47" s="12">
        <f t="shared" si="1"/>
        <v>0.20039157608695651</v>
      </c>
    </row>
    <row r="48" spans="1:10" ht="15.75" customHeight="1">
      <c r="A48" s="13">
        <v>42782</v>
      </c>
      <c r="B48" s="11">
        <v>47</v>
      </c>
      <c r="C48">
        <v>47990</v>
      </c>
      <c r="D48" s="5">
        <v>4.34</v>
      </c>
      <c r="F48">
        <v>100</v>
      </c>
      <c r="G48">
        <v>100</v>
      </c>
      <c r="H48">
        <f t="shared" si="2"/>
        <v>2260313</v>
      </c>
      <c r="I48" s="12">
        <f t="shared" si="0"/>
        <v>0.19995833333333332</v>
      </c>
      <c r="J48" s="12">
        <f t="shared" si="1"/>
        <v>0.20038235815602837</v>
      </c>
    </row>
    <row r="49" spans="1:10" ht="15.75" customHeight="1">
      <c r="A49" s="13">
        <v>42783</v>
      </c>
      <c r="B49" s="11">
        <v>48</v>
      </c>
      <c r="C49">
        <v>56475</v>
      </c>
      <c r="D49" s="5">
        <v>5.0599999999999996</v>
      </c>
      <c r="F49">
        <v>100</v>
      </c>
      <c r="G49">
        <v>100</v>
      </c>
      <c r="H49">
        <f t="shared" si="2"/>
        <v>2316788</v>
      </c>
      <c r="I49" s="12">
        <f t="shared" si="0"/>
        <v>0.23531250000000001</v>
      </c>
      <c r="J49" s="12">
        <f t="shared" si="1"/>
        <v>0.20111006944444446</v>
      </c>
    </row>
    <row r="50" spans="1:10" ht="15.75" customHeight="1">
      <c r="A50" s="13">
        <v>42784</v>
      </c>
      <c r="B50" s="11">
        <v>49</v>
      </c>
      <c r="C50">
        <v>52425</v>
      </c>
      <c r="D50" s="5">
        <v>4.7699999999999996</v>
      </c>
      <c r="F50">
        <v>100</v>
      </c>
      <c r="G50">
        <v>100</v>
      </c>
      <c r="H50">
        <f t="shared" si="2"/>
        <v>2369213</v>
      </c>
      <c r="I50" s="12">
        <f t="shared" si="0"/>
        <v>0.21843750000000001</v>
      </c>
      <c r="J50" s="12">
        <f t="shared" si="1"/>
        <v>0.20146369047619048</v>
      </c>
    </row>
    <row r="51" spans="1:10" ht="15.75" customHeight="1">
      <c r="A51" s="13">
        <v>42785</v>
      </c>
      <c r="B51" s="11">
        <v>50</v>
      </c>
      <c r="C51">
        <v>52346</v>
      </c>
      <c r="D51" s="5">
        <v>4.71</v>
      </c>
      <c r="F51">
        <v>100</v>
      </c>
      <c r="G51">
        <v>100</v>
      </c>
      <c r="H51">
        <f t="shared" si="2"/>
        <v>2421559</v>
      </c>
      <c r="I51" s="12">
        <f t="shared" si="0"/>
        <v>0.21810833333333332</v>
      </c>
      <c r="J51" s="12">
        <f t="shared" si="1"/>
        <v>0.20179658333333333</v>
      </c>
    </row>
    <row r="52" spans="1:10" ht="15.75" customHeight="1">
      <c r="A52" s="13">
        <v>42786</v>
      </c>
      <c r="B52" s="11">
        <v>51</v>
      </c>
      <c r="C52">
        <v>60937</v>
      </c>
      <c r="D52" s="5">
        <v>5.3</v>
      </c>
      <c r="F52">
        <v>100</v>
      </c>
      <c r="G52">
        <v>100</v>
      </c>
      <c r="H52">
        <f t="shared" si="2"/>
        <v>2482496</v>
      </c>
      <c r="I52" s="12">
        <f t="shared" si="0"/>
        <v>0.25390416666666665</v>
      </c>
      <c r="J52" s="12">
        <f t="shared" si="1"/>
        <v>0.20281830065359477</v>
      </c>
    </row>
    <row r="53" spans="1:10" ht="15.75" customHeight="1">
      <c r="A53" s="13">
        <v>42787</v>
      </c>
      <c r="B53" s="11">
        <v>52</v>
      </c>
      <c r="C53">
        <v>68413</v>
      </c>
      <c r="D53" s="5">
        <v>6.06</v>
      </c>
      <c r="F53">
        <v>100</v>
      </c>
      <c r="G53">
        <v>100</v>
      </c>
      <c r="H53">
        <f t="shared" si="2"/>
        <v>2550909</v>
      </c>
      <c r="I53" s="12">
        <f t="shared" si="0"/>
        <v>0.28505416666666666</v>
      </c>
      <c r="J53" s="12">
        <f t="shared" si="1"/>
        <v>0.20439975961538462</v>
      </c>
    </row>
    <row r="54" spans="1:10" ht="15.75" customHeight="1">
      <c r="A54" s="13">
        <v>42788</v>
      </c>
      <c r="B54" s="11">
        <v>53</v>
      </c>
      <c r="C54">
        <v>65317</v>
      </c>
      <c r="D54" s="5">
        <v>5.8</v>
      </c>
      <c r="F54">
        <v>100</v>
      </c>
      <c r="G54">
        <v>96.597222222222229</v>
      </c>
      <c r="H54">
        <f t="shared" si="2"/>
        <v>2616226</v>
      </c>
      <c r="I54" s="12">
        <f t="shared" si="0"/>
        <v>0.27215416666666664</v>
      </c>
      <c r="J54" s="12">
        <f t="shared" si="1"/>
        <v>0.20567814465408804</v>
      </c>
    </row>
    <row r="55" spans="1:10" ht="15.75" customHeight="1">
      <c r="A55" s="13">
        <v>42789</v>
      </c>
      <c r="B55" s="11">
        <v>54</v>
      </c>
      <c r="C55">
        <v>65050</v>
      </c>
      <c r="D55" s="5">
        <v>5.82</v>
      </c>
      <c r="F55">
        <v>100</v>
      </c>
      <c r="G55">
        <v>100</v>
      </c>
      <c r="H55">
        <f t="shared" si="2"/>
        <v>2681276</v>
      </c>
      <c r="I55" s="12">
        <f t="shared" si="0"/>
        <v>0.27104166666666668</v>
      </c>
      <c r="J55" s="12">
        <f t="shared" si="1"/>
        <v>0.20688858024691359</v>
      </c>
    </row>
    <row r="56" spans="1:10" ht="15.75" customHeight="1">
      <c r="A56" s="13">
        <v>42790</v>
      </c>
      <c r="B56" s="11">
        <v>55</v>
      </c>
      <c r="C56">
        <v>64445</v>
      </c>
      <c r="D56" s="5">
        <v>5.78</v>
      </c>
      <c r="F56">
        <v>100</v>
      </c>
      <c r="G56">
        <v>98.888888888888886</v>
      </c>
      <c r="H56">
        <f t="shared" si="2"/>
        <v>2745721</v>
      </c>
      <c r="I56" s="12">
        <f t="shared" si="0"/>
        <v>0.26852083333333332</v>
      </c>
      <c r="J56" s="12">
        <f t="shared" si="1"/>
        <v>0.20800916666666666</v>
      </c>
    </row>
    <row r="57" spans="1:10" ht="15.75" customHeight="1">
      <c r="A57" s="13">
        <v>42791</v>
      </c>
      <c r="B57" s="11">
        <v>56</v>
      </c>
      <c r="C57">
        <v>61406</v>
      </c>
      <c r="D57" s="5">
        <v>5.46</v>
      </c>
      <c r="F57">
        <v>100</v>
      </c>
      <c r="G57">
        <v>100</v>
      </c>
      <c r="H57">
        <f t="shared" si="2"/>
        <v>2807127</v>
      </c>
      <c r="I57" s="12">
        <f t="shared" si="0"/>
        <v>0.25585833333333335</v>
      </c>
      <c r="J57" s="12">
        <f t="shared" si="1"/>
        <v>0.20886361607142856</v>
      </c>
    </row>
    <row r="58" spans="1:10" ht="15.75" customHeight="1">
      <c r="A58" s="13">
        <v>42792</v>
      </c>
      <c r="B58" s="11">
        <v>57</v>
      </c>
      <c r="C58">
        <v>62188</v>
      </c>
      <c r="D58" s="5">
        <v>5.57</v>
      </c>
      <c r="F58">
        <v>100</v>
      </c>
      <c r="G58">
        <v>100</v>
      </c>
      <c r="H58">
        <f t="shared" si="2"/>
        <v>2869315</v>
      </c>
      <c r="I58" s="12">
        <f t="shared" si="0"/>
        <v>0.25911666666666666</v>
      </c>
      <c r="J58" s="12">
        <f t="shared" si="1"/>
        <v>0.20974524853801169</v>
      </c>
    </row>
    <row r="59" spans="1:10" ht="15.75" customHeight="1">
      <c r="A59" s="13">
        <v>42793</v>
      </c>
      <c r="B59" s="11">
        <v>58</v>
      </c>
      <c r="C59">
        <v>59676</v>
      </c>
      <c r="D59" s="5">
        <v>5.35</v>
      </c>
      <c r="F59">
        <v>100</v>
      </c>
      <c r="G59">
        <v>100</v>
      </c>
      <c r="H59">
        <f t="shared" si="2"/>
        <v>2928991</v>
      </c>
      <c r="I59" s="12">
        <f t="shared" si="0"/>
        <v>0.24865000000000001</v>
      </c>
      <c r="J59" s="12">
        <f t="shared" si="1"/>
        <v>0.21041602011494254</v>
      </c>
    </row>
    <row r="60" spans="1:10" ht="15.75" customHeight="1">
      <c r="A60" s="13">
        <v>42794</v>
      </c>
      <c r="B60" s="11">
        <v>59</v>
      </c>
      <c r="C60">
        <v>39665</v>
      </c>
      <c r="D60" s="5">
        <v>3.46</v>
      </c>
      <c r="F60">
        <v>100</v>
      </c>
      <c r="G60">
        <v>100</v>
      </c>
      <c r="H60">
        <f t="shared" si="2"/>
        <v>2968656</v>
      </c>
      <c r="I60" s="12">
        <f t="shared" si="0"/>
        <v>0.16527083333333334</v>
      </c>
      <c r="J60" s="12">
        <f t="shared" si="1"/>
        <v>0.20965084745762713</v>
      </c>
    </row>
    <row r="61" spans="1:10" ht="15.75" customHeight="1">
      <c r="A61" s="13">
        <v>42795</v>
      </c>
      <c r="B61" s="11">
        <v>60</v>
      </c>
      <c r="C61">
        <v>56392</v>
      </c>
      <c r="D61" s="5">
        <v>5.0999999999999996</v>
      </c>
      <c r="F61">
        <v>100</v>
      </c>
      <c r="G61">
        <v>100</v>
      </c>
      <c r="H61">
        <f t="shared" si="2"/>
        <v>3025048</v>
      </c>
      <c r="I61" s="12">
        <f t="shared" si="0"/>
        <v>0.23496666666666666</v>
      </c>
      <c r="J61" s="12">
        <f t="shared" si="1"/>
        <v>0.21007277777777777</v>
      </c>
    </row>
    <row r="62" spans="1:10" ht="15.75" customHeight="1">
      <c r="A62" s="13">
        <v>42796</v>
      </c>
      <c r="B62" s="11">
        <v>61</v>
      </c>
      <c r="C62">
        <v>63130</v>
      </c>
      <c r="D62" s="5">
        <v>5.68</v>
      </c>
      <c r="F62">
        <v>100</v>
      </c>
      <c r="G62">
        <v>100</v>
      </c>
      <c r="H62">
        <f t="shared" si="2"/>
        <v>3088178</v>
      </c>
      <c r="I62" s="12">
        <f t="shared" si="0"/>
        <v>0.26304166666666667</v>
      </c>
      <c r="J62" s="12">
        <f t="shared" si="1"/>
        <v>0.21094112021857925</v>
      </c>
    </row>
    <row r="63" spans="1:10" ht="15.75" customHeight="1">
      <c r="A63" s="13">
        <v>42797</v>
      </c>
      <c r="B63" s="11">
        <v>62</v>
      </c>
      <c r="C63">
        <v>53895</v>
      </c>
      <c r="D63" s="5">
        <v>5.0999999999999996</v>
      </c>
      <c r="F63">
        <v>100</v>
      </c>
      <c r="G63">
        <v>100</v>
      </c>
      <c r="H63">
        <f t="shared" si="2"/>
        <v>3142073</v>
      </c>
      <c r="I63" s="12">
        <f t="shared" si="0"/>
        <v>0.2245625</v>
      </c>
      <c r="J63" s="12">
        <f t="shared" si="1"/>
        <v>0.21116081989247312</v>
      </c>
    </row>
    <row r="64" spans="1:10" ht="15.75" customHeight="1">
      <c r="A64" s="13">
        <v>42798</v>
      </c>
      <c r="B64" s="11">
        <v>63</v>
      </c>
      <c r="C64">
        <v>63889</v>
      </c>
      <c r="D64" s="5">
        <v>5.91</v>
      </c>
      <c r="F64">
        <v>100</v>
      </c>
      <c r="G64">
        <v>93.055555555555557</v>
      </c>
      <c r="H64">
        <f t="shared" si="2"/>
        <v>3205962</v>
      </c>
      <c r="I64" s="12">
        <f t="shared" si="0"/>
        <v>0.26620416666666669</v>
      </c>
      <c r="J64" s="12">
        <f t="shared" si="1"/>
        <v>0.21203452380952381</v>
      </c>
    </row>
    <row r="65" spans="1:10" ht="15.75" customHeight="1">
      <c r="A65" s="13">
        <v>42799</v>
      </c>
      <c r="B65" s="11">
        <v>64</v>
      </c>
      <c r="C65">
        <v>65179</v>
      </c>
      <c r="D65" s="5">
        <v>6.01</v>
      </c>
      <c r="F65">
        <v>100</v>
      </c>
      <c r="G65">
        <v>100</v>
      </c>
      <c r="H65">
        <f t="shared" si="2"/>
        <v>3271141</v>
      </c>
      <c r="I65" s="12">
        <f t="shared" si="0"/>
        <v>0.27157916666666665</v>
      </c>
      <c r="J65" s="12">
        <f t="shared" si="1"/>
        <v>0.21296490885416666</v>
      </c>
    </row>
    <row r="66" spans="1:10" ht="15.75" customHeight="1">
      <c r="A66" s="13">
        <v>42800</v>
      </c>
      <c r="B66" s="11">
        <v>65</v>
      </c>
      <c r="C66">
        <v>55992</v>
      </c>
      <c r="D66" s="5">
        <v>5.46</v>
      </c>
      <c r="F66">
        <v>100</v>
      </c>
      <c r="G66">
        <v>100</v>
      </c>
      <c r="H66">
        <f t="shared" si="2"/>
        <v>3327133</v>
      </c>
      <c r="I66" s="12">
        <f t="shared" si="0"/>
        <v>0.23330000000000001</v>
      </c>
      <c r="J66" s="12">
        <f t="shared" si="1"/>
        <v>0.2132777564102564</v>
      </c>
    </row>
    <row r="67" spans="1:10" ht="15.75" customHeight="1">
      <c r="A67" s="13">
        <v>42801</v>
      </c>
      <c r="B67" s="11">
        <v>66</v>
      </c>
      <c r="C67">
        <v>39808</v>
      </c>
      <c r="D67" s="5">
        <v>3.81</v>
      </c>
      <c r="F67">
        <v>100</v>
      </c>
      <c r="G67">
        <v>100</v>
      </c>
      <c r="H67">
        <f t="shared" si="2"/>
        <v>3366941</v>
      </c>
      <c r="I67" s="12">
        <f t="shared" ref="I67:I130" si="3">C67/(10*24*1000)</f>
        <v>0.16586666666666666</v>
      </c>
      <c r="J67" s="12">
        <f t="shared" si="1"/>
        <v>0.21255940656565656</v>
      </c>
    </row>
    <row r="68" spans="1:10" ht="15.75" customHeight="1">
      <c r="A68" s="13">
        <v>42802</v>
      </c>
      <c r="B68" s="11">
        <v>67</v>
      </c>
      <c r="C68">
        <v>51233</v>
      </c>
      <c r="D68" s="5" t="s">
        <v>14</v>
      </c>
      <c r="F68">
        <v>100</v>
      </c>
      <c r="G68">
        <v>100</v>
      </c>
      <c r="H68">
        <f t="shared" si="2"/>
        <v>3418174</v>
      </c>
      <c r="I68" s="12">
        <f t="shared" si="3"/>
        <v>0.21347083333333333</v>
      </c>
      <c r="J68" s="12">
        <f t="shared" ref="J68:J131" si="4">H68/(24*B68*10*1000)</f>
        <v>0.21257300995024875</v>
      </c>
    </row>
    <row r="69" spans="1:10" ht="15.75" customHeight="1">
      <c r="A69" s="13">
        <v>42803</v>
      </c>
      <c r="B69" s="11">
        <v>68</v>
      </c>
      <c r="C69">
        <v>47296</v>
      </c>
      <c r="F69">
        <v>100</v>
      </c>
      <c r="G69">
        <v>100</v>
      </c>
      <c r="H69">
        <f t="shared" ref="H69:H91" si="5">H68+C69</f>
        <v>3465470</v>
      </c>
      <c r="I69" s="12">
        <f t="shared" si="3"/>
        <v>0.19706666666666667</v>
      </c>
      <c r="J69" s="12">
        <f t="shared" si="4"/>
        <v>0.21234497549019607</v>
      </c>
    </row>
    <row r="70" spans="1:10" ht="15.75" customHeight="1">
      <c r="A70" s="13">
        <v>42804</v>
      </c>
      <c r="B70" s="11">
        <v>69</v>
      </c>
      <c r="C70">
        <v>57961</v>
      </c>
      <c r="F70">
        <v>100</v>
      </c>
      <c r="G70">
        <v>100</v>
      </c>
      <c r="H70">
        <f t="shared" si="5"/>
        <v>3523431</v>
      </c>
      <c r="I70" s="12">
        <f t="shared" si="3"/>
        <v>0.24150416666666666</v>
      </c>
      <c r="J70" s="12">
        <f t="shared" si="4"/>
        <v>0.21276757246376812</v>
      </c>
    </row>
    <row r="71" spans="1:10" ht="15.75" customHeight="1">
      <c r="A71" s="13">
        <v>42805</v>
      </c>
      <c r="B71" s="11">
        <v>70</v>
      </c>
      <c r="C71">
        <v>66378</v>
      </c>
      <c r="F71">
        <v>100</v>
      </c>
      <c r="G71">
        <v>100</v>
      </c>
      <c r="H71">
        <f t="shared" si="5"/>
        <v>3589809</v>
      </c>
      <c r="I71" s="12">
        <f t="shared" si="3"/>
        <v>0.27657500000000002</v>
      </c>
      <c r="J71" s="12">
        <f t="shared" si="4"/>
        <v>0.21367910714285715</v>
      </c>
    </row>
    <row r="72" spans="1:10" ht="15.75" customHeight="1">
      <c r="A72" s="13">
        <v>42806</v>
      </c>
      <c r="B72" s="11">
        <v>71</v>
      </c>
      <c r="C72">
        <v>62905</v>
      </c>
      <c r="F72">
        <v>100</v>
      </c>
      <c r="G72">
        <v>100</v>
      </c>
      <c r="H72">
        <f t="shared" si="5"/>
        <v>3652714</v>
      </c>
      <c r="I72" s="12">
        <f t="shared" si="3"/>
        <v>0.26210416666666669</v>
      </c>
      <c r="J72" s="12">
        <f t="shared" si="4"/>
        <v>0.21436115023474178</v>
      </c>
    </row>
    <row r="73" spans="1:10" ht="15.75" customHeight="1">
      <c r="A73" s="13">
        <v>42807</v>
      </c>
      <c r="B73" s="11">
        <v>72</v>
      </c>
      <c r="C73">
        <v>66471</v>
      </c>
      <c r="F73">
        <v>100</v>
      </c>
      <c r="G73">
        <v>100</v>
      </c>
      <c r="H73">
        <f t="shared" si="5"/>
        <v>3719185</v>
      </c>
      <c r="I73" s="12">
        <f t="shared" si="3"/>
        <v>0.2769625</v>
      </c>
      <c r="J73" s="12">
        <f t="shared" si="4"/>
        <v>0.21523061342592592</v>
      </c>
    </row>
    <row r="74" spans="1:10" ht="15.75" customHeight="1">
      <c r="A74" s="13">
        <v>42808</v>
      </c>
      <c r="B74" s="11">
        <v>73</v>
      </c>
      <c r="C74">
        <v>43058</v>
      </c>
      <c r="F74">
        <v>100</v>
      </c>
      <c r="G74">
        <v>100</v>
      </c>
      <c r="H74">
        <f t="shared" si="5"/>
        <v>3762243</v>
      </c>
      <c r="I74" s="12">
        <f t="shared" si="3"/>
        <v>0.17940833333333334</v>
      </c>
      <c r="J74" s="12">
        <f t="shared" si="4"/>
        <v>0.21473989726027398</v>
      </c>
    </row>
    <row r="75" spans="1:10" ht="15.75" customHeight="1">
      <c r="A75" s="13">
        <v>42809</v>
      </c>
      <c r="B75" s="11">
        <v>74</v>
      </c>
      <c r="C75">
        <v>51354</v>
      </c>
      <c r="D75" s="5">
        <v>5.16</v>
      </c>
      <c r="F75">
        <v>100</v>
      </c>
      <c r="G75">
        <v>100</v>
      </c>
      <c r="H75">
        <f t="shared" si="5"/>
        <v>3813597</v>
      </c>
      <c r="I75" s="12">
        <f t="shared" si="3"/>
        <v>0.213975</v>
      </c>
      <c r="J75" s="12">
        <f t="shared" si="4"/>
        <v>0.21472956081081082</v>
      </c>
    </row>
    <row r="76" spans="1:10" ht="15.75" customHeight="1">
      <c r="A76" s="13">
        <v>42810</v>
      </c>
      <c r="B76" s="11">
        <v>75</v>
      </c>
      <c r="C76">
        <v>51157</v>
      </c>
      <c r="D76" s="5">
        <v>4.88</v>
      </c>
      <c r="F76">
        <v>100</v>
      </c>
      <c r="G76">
        <v>100</v>
      </c>
      <c r="H76">
        <f t="shared" si="5"/>
        <v>3864754</v>
      </c>
      <c r="I76" s="12">
        <f t="shared" si="3"/>
        <v>0.21315416666666667</v>
      </c>
      <c r="J76" s="12">
        <f t="shared" si="4"/>
        <v>0.21470855555555557</v>
      </c>
    </row>
    <row r="77" spans="1:10" ht="15.75" customHeight="1">
      <c r="A77" s="13">
        <v>42811</v>
      </c>
      <c r="B77" s="11">
        <v>76</v>
      </c>
      <c r="C77">
        <v>53050</v>
      </c>
      <c r="D77" s="5">
        <v>5.24</v>
      </c>
      <c r="F77">
        <v>100</v>
      </c>
      <c r="G77">
        <v>100</v>
      </c>
      <c r="H77">
        <f t="shared" si="5"/>
        <v>3917804</v>
      </c>
      <c r="I77" s="12">
        <f t="shared" si="3"/>
        <v>0.22104166666666666</v>
      </c>
      <c r="J77" s="12">
        <f t="shared" si="4"/>
        <v>0.21479188596491228</v>
      </c>
    </row>
    <row r="78" spans="1:10" ht="15.75" customHeight="1">
      <c r="A78" s="13">
        <v>42812</v>
      </c>
      <c r="B78" s="11">
        <v>77</v>
      </c>
      <c r="C78">
        <v>45759</v>
      </c>
      <c r="D78" s="5">
        <v>4.5999999999999996</v>
      </c>
      <c r="F78">
        <v>100</v>
      </c>
      <c r="G78">
        <v>89.027777777777771</v>
      </c>
      <c r="H78">
        <f t="shared" si="5"/>
        <v>3963563</v>
      </c>
      <c r="I78" s="12">
        <f t="shared" si="3"/>
        <v>0.19066250000000001</v>
      </c>
      <c r="J78" s="12">
        <f t="shared" si="4"/>
        <v>0.2144785173160173</v>
      </c>
    </row>
    <row r="79" spans="1:10" ht="15.75" customHeight="1">
      <c r="A79" s="13">
        <v>42813</v>
      </c>
      <c r="B79" s="11">
        <v>78</v>
      </c>
      <c r="C79">
        <v>61783</v>
      </c>
      <c r="D79" s="5">
        <v>5.89</v>
      </c>
      <c r="F79">
        <v>100</v>
      </c>
      <c r="G79">
        <v>100</v>
      </c>
      <c r="H79">
        <f t="shared" si="5"/>
        <v>4025346</v>
      </c>
      <c r="I79" s="12">
        <f t="shared" si="3"/>
        <v>0.25742916666666665</v>
      </c>
      <c r="J79" s="12">
        <f t="shared" si="4"/>
        <v>0.21502916666666666</v>
      </c>
    </row>
    <row r="80" spans="1:10" ht="15.75" customHeight="1">
      <c r="A80" s="13">
        <v>42814</v>
      </c>
      <c r="B80" s="11">
        <v>79</v>
      </c>
      <c r="C80">
        <v>63990</v>
      </c>
      <c r="D80" s="5">
        <v>6.22</v>
      </c>
      <c r="F80">
        <v>100</v>
      </c>
      <c r="G80">
        <v>100</v>
      </c>
      <c r="H80">
        <f t="shared" si="5"/>
        <v>4089336</v>
      </c>
      <c r="I80" s="12">
        <f t="shared" si="3"/>
        <v>0.266625</v>
      </c>
      <c r="J80" s="12">
        <f t="shared" si="4"/>
        <v>0.21568227848101265</v>
      </c>
    </row>
    <row r="81" spans="1:10" ht="15.75" customHeight="1">
      <c r="A81" s="13">
        <v>42815</v>
      </c>
      <c r="B81" s="11">
        <v>80</v>
      </c>
      <c r="C81">
        <v>63434</v>
      </c>
      <c r="D81" s="5">
        <v>6.23</v>
      </c>
      <c r="F81">
        <v>100</v>
      </c>
      <c r="G81">
        <v>100</v>
      </c>
      <c r="H81">
        <f t="shared" si="5"/>
        <v>4152770</v>
      </c>
      <c r="I81" s="12">
        <f t="shared" si="3"/>
        <v>0.26430833333333331</v>
      </c>
      <c r="J81" s="12">
        <f t="shared" si="4"/>
        <v>0.21629010416666666</v>
      </c>
    </row>
    <row r="82" spans="1:10" ht="15.75" customHeight="1">
      <c r="A82" s="13">
        <v>42816</v>
      </c>
      <c r="B82" s="11">
        <v>81</v>
      </c>
      <c r="C82">
        <v>59173</v>
      </c>
      <c r="F82">
        <v>100</v>
      </c>
      <c r="G82">
        <v>87.013888888888886</v>
      </c>
      <c r="H82">
        <f t="shared" si="5"/>
        <v>4211943</v>
      </c>
      <c r="I82" s="12">
        <f t="shared" si="3"/>
        <v>0.24655416666666666</v>
      </c>
      <c r="J82" s="12">
        <f t="shared" si="4"/>
        <v>0.21666373456790122</v>
      </c>
    </row>
    <row r="83" spans="1:10" ht="15.75" customHeight="1">
      <c r="A83" s="13">
        <v>42817</v>
      </c>
      <c r="B83" s="11">
        <v>82</v>
      </c>
      <c r="C83">
        <v>58693</v>
      </c>
      <c r="D83" s="5">
        <v>5.78</v>
      </c>
      <c r="F83">
        <v>100</v>
      </c>
      <c r="G83">
        <v>100</v>
      </c>
      <c r="H83">
        <f t="shared" si="5"/>
        <v>4270636</v>
      </c>
      <c r="I83" s="12">
        <f t="shared" si="3"/>
        <v>0.24455416666666666</v>
      </c>
      <c r="J83" s="12">
        <f t="shared" si="4"/>
        <v>0.21700386178861789</v>
      </c>
    </row>
    <row r="84" spans="1:10" ht="15.75" customHeight="1">
      <c r="A84" s="13">
        <v>42818</v>
      </c>
      <c r="B84" s="11">
        <v>83</v>
      </c>
      <c r="C84">
        <v>59028</v>
      </c>
      <c r="D84" s="5">
        <v>5.76</v>
      </c>
      <c r="F84">
        <v>100</v>
      </c>
      <c r="G84">
        <v>100</v>
      </c>
      <c r="H84">
        <f t="shared" si="5"/>
        <v>4329664</v>
      </c>
      <c r="I84" s="12">
        <f t="shared" si="3"/>
        <v>0.24595</v>
      </c>
      <c r="J84" s="12">
        <f t="shared" si="4"/>
        <v>0.21735261044176707</v>
      </c>
    </row>
    <row r="85" spans="1:10" ht="15.75" customHeight="1">
      <c r="A85" s="13">
        <v>42819</v>
      </c>
      <c r="B85" s="11">
        <v>84</v>
      </c>
      <c r="C85">
        <v>60565</v>
      </c>
      <c r="D85" s="5">
        <v>6.08</v>
      </c>
      <c r="F85">
        <v>100</v>
      </c>
      <c r="G85">
        <v>100</v>
      </c>
      <c r="H85">
        <f t="shared" si="5"/>
        <v>4390229</v>
      </c>
      <c r="I85" s="12">
        <f t="shared" si="3"/>
        <v>0.25235416666666666</v>
      </c>
      <c r="J85" s="12">
        <f t="shared" si="4"/>
        <v>0.21776929563492065</v>
      </c>
    </row>
    <row r="86" spans="1:10" ht="15.75" customHeight="1">
      <c r="A86" s="13">
        <v>42820</v>
      </c>
      <c r="B86" s="11">
        <v>85</v>
      </c>
      <c r="C86">
        <v>62286</v>
      </c>
      <c r="D86" s="5">
        <v>6.2</v>
      </c>
      <c r="F86">
        <v>100</v>
      </c>
      <c r="G86">
        <v>97.708333333333329</v>
      </c>
      <c r="H86">
        <f t="shared" si="5"/>
        <v>4452515</v>
      </c>
      <c r="I86" s="12">
        <f t="shared" si="3"/>
        <v>0.25952500000000001</v>
      </c>
      <c r="J86" s="12">
        <f t="shared" si="4"/>
        <v>0.21826053921568628</v>
      </c>
    </row>
    <row r="87" spans="1:10" ht="15.75" customHeight="1">
      <c r="A87" s="13">
        <v>42821</v>
      </c>
      <c r="B87" s="11">
        <v>86</v>
      </c>
      <c r="C87">
        <v>62286</v>
      </c>
      <c r="D87" s="5">
        <v>6.79</v>
      </c>
      <c r="F87">
        <v>100</v>
      </c>
      <c r="G87">
        <v>100</v>
      </c>
      <c r="H87">
        <f t="shared" si="5"/>
        <v>4514801</v>
      </c>
      <c r="I87" s="12">
        <f t="shared" si="3"/>
        <v>0.25952500000000001</v>
      </c>
      <c r="J87" s="12">
        <f t="shared" si="4"/>
        <v>0.21874035852713178</v>
      </c>
    </row>
    <row r="88" spans="1:10" ht="15.75" customHeight="1">
      <c r="A88" s="13">
        <v>42822</v>
      </c>
      <c r="B88" s="11">
        <v>87</v>
      </c>
      <c r="C88">
        <v>62216</v>
      </c>
      <c r="D88" s="5">
        <v>6.21</v>
      </c>
      <c r="F88">
        <v>100</v>
      </c>
      <c r="G88">
        <v>100</v>
      </c>
      <c r="H88">
        <f t="shared" si="5"/>
        <v>4577017</v>
      </c>
      <c r="I88" s="12">
        <f t="shared" si="3"/>
        <v>0.25923333333333332</v>
      </c>
      <c r="J88" s="12">
        <f t="shared" si="4"/>
        <v>0.2192057950191571</v>
      </c>
    </row>
    <row r="89" spans="1:10" ht="15.75" customHeight="1">
      <c r="A89" s="13">
        <v>42823</v>
      </c>
      <c r="B89" s="11">
        <v>88</v>
      </c>
      <c r="C89">
        <v>62813</v>
      </c>
      <c r="D89" s="5">
        <v>6.41</v>
      </c>
      <c r="F89">
        <v>100</v>
      </c>
      <c r="G89">
        <v>100</v>
      </c>
      <c r="H89">
        <f t="shared" si="5"/>
        <v>4639830</v>
      </c>
      <c r="I89" s="12">
        <f t="shared" si="3"/>
        <v>0.26172083333333335</v>
      </c>
      <c r="J89" s="12">
        <f t="shared" si="4"/>
        <v>0.21968892045454547</v>
      </c>
    </row>
    <row r="90" spans="1:10" ht="15.75" customHeight="1">
      <c r="A90" s="13">
        <v>42824</v>
      </c>
      <c r="B90" s="11">
        <v>89</v>
      </c>
      <c r="C90">
        <v>65423</v>
      </c>
      <c r="D90" s="5">
        <v>6.74</v>
      </c>
      <c r="F90">
        <v>99.810785241248823</v>
      </c>
      <c r="G90">
        <v>93.75</v>
      </c>
      <c r="H90">
        <f t="shared" si="5"/>
        <v>4705253</v>
      </c>
      <c r="I90" s="12">
        <f t="shared" si="3"/>
        <v>0.27259583333333332</v>
      </c>
      <c r="J90" s="12">
        <f t="shared" si="4"/>
        <v>0.22028338014981275</v>
      </c>
    </row>
    <row r="91" spans="1:10" ht="15.75" customHeight="1">
      <c r="A91" s="13">
        <v>42825</v>
      </c>
      <c r="B91" s="11">
        <v>90</v>
      </c>
      <c r="C91">
        <v>61596</v>
      </c>
      <c r="D91" s="5">
        <v>6.25</v>
      </c>
      <c r="F91">
        <v>100</v>
      </c>
      <c r="G91">
        <v>100</v>
      </c>
      <c r="H91">
        <f t="shared" si="5"/>
        <v>4766849</v>
      </c>
      <c r="I91" s="12">
        <f t="shared" si="3"/>
        <v>0.25664999999999999</v>
      </c>
      <c r="J91" s="12">
        <f t="shared" si="4"/>
        <v>0.22068745370370371</v>
      </c>
    </row>
    <row r="92" spans="1:10" ht="15.75" customHeight="1">
      <c r="A92" s="13">
        <v>42826</v>
      </c>
      <c r="B92" s="11">
        <v>1</v>
      </c>
      <c r="C92">
        <v>62389</v>
      </c>
      <c r="D92" s="5">
        <v>6.59</v>
      </c>
      <c r="F92">
        <v>100</v>
      </c>
      <c r="G92">
        <v>100</v>
      </c>
      <c r="H92">
        <f>C92</f>
        <v>62389</v>
      </c>
      <c r="I92" s="12">
        <f t="shared" si="3"/>
        <v>0.25995416666666665</v>
      </c>
      <c r="J92" s="12">
        <f t="shared" si="4"/>
        <v>0.25995416666666665</v>
      </c>
    </row>
    <row r="93" spans="1:10" ht="15.75" customHeight="1">
      <c r="A93" s="13">
        <v>42827</v>
      </c>
      <c r="B93" s="11">
        <v>2</v>
      </c>
      <c r="C93">
        <v>62225</v>
      </c>
      <c r="D93" s="5">
        <v>6.51</v>
      </c>
      <c r="F93">
        <v>100</v>
      </c>
      <c r="G93">
        <v>100</v>
      </c>
      <c r="H93">
        <f>H92+C93</f>
        <v>124614</v>
      </c>
      <c r="I93" s="12">
        <f t="shared" si="3"/>
        <v>0.25927083333333334</v>
      </c>
      <c r="J93" s="12">
        <f t="shared" si="4"/>
        <v>0.25961250000000002</v>
      </c>
    </row>
    <row r="94" spans="1:10" ht="15.75" customHeight="1">
      <c r="A94" s="13">
        <v>42828</v>
      </c>
      <c r="B94" s="11">
        <v>3</v>
      </c>
      <c r="C94">
        <v>62318</v>
      </c>
      <c r="D94" s="5">
        <v>6.54</v>
      </c>
      <c r="F94">
        <v>99.818878439568095</v>
      </c>
      <c r="G94">
        <v>100</v>
      </c>
      <c r="H94">
        <f>H93+C94</f>
        <v>186932</v>
      </c>
      <c r="I94" s="12">
        <f t="shared" si="3"/>
        <v>0.25965833333333332</v>
      </c>
      <c r="J94" s="12">
        <f t="shared" si="4"/>
        <v>0.25962777777777779</v>
      </c>
    </row>
    <row r="95" spans="1:10" ht="15.75" customHeight="1">
      <c r="A95" s="13">
        <v>42829</v>
      </c>
      <c r="B95" s="11">
        <v>4</v>
      </c>
      <c r="C95">
        <v>61564</v>
      </c>
      <c r="D95" s="5">
        <v>6.47</v>
      </c>
      <c r="F95">
        <v>99.572010400607468</v>
      </c>
      <c r="G95">
        <v>100</v>
      </c>
      <c r="H95">
        <f>H94+C95</f>
        <v>248496</v>
      </c>
      <c r="I95" s="12">
        <f t="shared" si="3"/>
        <v>0.25651666666666667</v>
      </c>
      <c r="J95" s="12">
        <f t="shared" si="4"/>
        <v>0.25885000000000002</v>
      </c>
    </row>
    <row r="96" spans="1:10" ht="15.75" customHeight="1">
      <c r="A96" s="13">
        <v>42830</v>
      </c>
      <c r="B96" s="11">
        <v>5</v>
      </c>
      <c r="C96">
        <v>51078</v>
      </c>
      <c r="D96" s="5">
        <v>5.26</v>
      </c>
      <c r="F96">
        <v>100</v>
      </c>
      <c r="G96">
        <v>100</v>
      </c>
      <c r="H96">
        <f t="shared" ref="H96:H159" si="6">H95+C96</f>
        <v>299574</v>
      </c>
      <c r="I96" s="12">
        <f t="shared" si="3"/>
        <v>0.21282499999999999</v>
      </c>
      <c r="J96" s="12">
        <f t="shared" si="4"/>
        <v>0.24964500000000001</v>
      </c>
    </row>
    <row r="97" spans="1:10" ht="15.75" customHeight="1">
      <c r="A97" s="13">
        <v>42831</v>
      </c>
      <c r="B97" s="11">
        <v>6</v>
      </c>
      <c r="C97">
        <v>65418</v>
      </c>
      <c r="D97" s="5">
        <v>6.49</v>
      </c>
      <c r="F97">
        <v>100</v>
      </c>
      <c r="G97">
        <v>100</v>
      </c>
      <c r="H97">
        <f t="shared" si="6"/>
        <v>364992</v>
      </c>
      <c r="I97" s="12">
        <f t="shared" si="3"/>
        <v>0.27257500000000001</v>
      </c>
      <c r="J97" s="12">
        <f t="shared" si="4"/>
        <v>0.25346666666666667</v>
      </c>
    </row>
    <row r="98" spans="1:10" ht="15.75" customHeight="1">
      <c r="A98" s="13">
        <v>42832</v>
      </c>
      <c r="B98" s="11">
        <v>7</v>
      </c>
      <c r="C98">
        <v>68104</v>
      </c>
      <c r="D98" s="5">
        <v>6.95</v>
      </c>
      <c r="F98">
        <v>100</v>
      </c>
      <c r="G98">
        <v>100</v>
      </c>
      <c r="H98">
        <f t="shared" si="6"/>
        <v>433096</v>
      </c>
      <c r="I98" s="12">
        <f t="shared" si="3"/>
        <v>0.28376666666666667</v>
      </c>
      <c r="J98" s="12">
        <f t="shared" si="4"/>
        <v>0.25779523809523808</v>
      </c>
    </row>
    <row r="99" spans="1:10" ht="15.75" customHeight="1">
      <c r="A99" s="13">
        <v>42833</v>
      </c>
      <c r="B99" s="11">
        <v>8</v>
      </c>
      <c r="C99">
        <v>68374</v>
      </c>
      <c r="D99" s="5">
        <v>7.2</v>
      </c>
      <c r="F99">
        <v>100</v>
      </c>
      <c r="G99">
        <v>100</v>
      </c>
      <c r="H99">
        <f t="shared" si="6"/>
        <v>501470</v>
      </c>
      <c r="I99" s="12">
        <f t="shared" si="3"/>
        <v>0.28489166666666665</v>
      </c>
      <c r="J99" s="12">
        <f t="shared" si="4"/>
        <v>0.26118229166666668</v>
      </c>
    </row>
    <row r="100" spans="1:10" ht="15.75" customHeight="1">
      <c r="A100" s="13">
        <v>42834</v>
      </c>
      <c r="B100" s="11">
        <v>9</v>
      </c>
      <c r="C100">
        <v>67724</v>
      </c>
      <c r="D100" s="5">
        <v>7.12</v>
      </c>
      <c r="F100">
        <v>100</v>
      </c>
      <c r="G100">
        <v>100</v>
      </c>
      <c r="H100">
        <f t="shared" si="6"/>
        <v>569194</v>
      </c>
      <c r="I100" s="12">
        <f t="shared" si="3"/>
        <v>0.28218333333333334</v>
      </c>
      <c r="J100" s="12">
        <f t="shared" si="4"/>
        <v>0.26351574074074074</v>
      </c>
    </row>
    <row r="101" spans="1:10" ht="15.75" customHeight="1">
      <c r="A101" s="13">
        <v>42835</v>
      </c>
      <c r="B101" s="11">
        <v>10</v>
      </c>
      <c r="C101">
        <v>66765</v>
      </c>
      <c r="D101" s="5">
        <v>7.11</v>
      </c>
      <c r="F101">
        <v>100</v>
      </c>
      <c r="G101">
        <v>100</v>
      </c>
      <c r="H101">
        <f t="shared" si="6"/>
        <v>635959</v>
      </c>
      <c r="I101" s="12">
        <f t="shared" si="3"/>
        <v>0.27818749999999998</v>
      </c>
      <c r="J101" s="12">
        <f t="shared" si="4"/>
        <v>0.26498291666666668</v>
      </c>
    </row>
    <row r="102" spans="1:10" ht="15.75" customHeight="1">
      <c r="A102" s="13">
        <v>42836</v>
      </c>
      <c r="B102" s="11">
        <v>11</v>
      </c>
      <c r="C102">
        <v>65613</v>
      </c>
      <c r="D102" s="5">
        <v>7.08</v>
      </c>
      <c r="F102">
        <v>100</v>
      </c>
      <c r="G102">
        <v>100</v>
      </c>
      <c r="H102">
        <f t="shared" si="6"/>
        <v>701572</v>
      </c>
      <c r="I102" s="12">
        <f t="shared" si="3"/>
        <v>0.27338750000000001</v>
      </c>
      <c r="J102" s="12">
        <f t="shared" si="4"/>
        <v>0.2657469696969697</v>
      </c>
    </row>
    <row r="103" spans="1:10" ht="15.75" customHeight="1">
      <c r="A103" s="13">
        <v>42837</v>
      </c>
      <c r="B103" s="11">
        <v>12</v>
      </c>
      <c r="C103">
        <v>65571</v>
      </c>
      <c r="D103" s="5">
        <v>7.08</v>
      </c>
      <c r="F103">
        <v>100</v>
      </c>
      <c r="G103">
        <v>100</v>
      </c>
      <c r="H103">
        <f t="shared" si="6"/>
        <v>767143</v>
      </c>
      <c r="I103" s="12">
        <f t="shared" si="3"/>
        <v>0.27321250000000002</v>
      </c>
      <c r="J103" s="12">
        <f t="shared" si="4"/>
        <v>0.26636909722222224</v>
      </c>
    </row>
    <row r="104" spans="1:10" ht="15.75" customHeight="1">
      <c r="A104" s="13">
        <v>42838</v>
      </c>
      <c r="B104" s="11">
        <v>13</v>
      </c>
      <c r="C104">
        <v>64848</v>
      </c>
      <c r="D104" s="5">
        <v>6.79</v>
      </c>
      <c r="F104">
        <v>100</v>
      </c>
      <c r="G104">
        <v>100</v>
      </c>
      <c r="H104">
        <f t="shared" si="6"/>
        <v>831991</v>
      </c>
      <c r="I104" s="12">
        <f t="shared" si="3"/>
        <v>0.2702</v>
      </c>
      <c r="J104" s="12">
        <f t="shared" si="4"/>
        <v>0.26666378205128205</v>
      </c>
    </row>
    <row r="105" spans="1:10" ht="15.75" customHeight="1">
      <c r="A105" s="13">
        <v>42839</v>
      </c>
      <c r="B105" s="11">
        <v>14</v>
      </c>
      <c r="C105">
        <v>61198</v>
      </c>
      <c r="D105" s="5">
        <v>6.72</v>
      </c>
      <c r="F105">
        <v>100</v>
      </c>
      <c r="G105">
        <v>100</v>
      </c>
      <c r="H105">
        <f t="shared" si="6"/>
        <v>893189</v>
      </c>
      <c r="I105" s="12">
        <f t="shared" si="3"/>
        <v>0.25499166666666667</v>
      </c>
      <c r="J105" s="12">
        <f t="shared" si="4"/>
        <v>0.2658300595238095</v>
      </c>
    </row>
    <row r="106" spans="1:10" ht="15.75" customHeight="1">
      <c r="A106" s="13">
        <v>42840</v>
      </c>
      <c r="B106" s="11">
        <v>15</v>
      </c>
      <c r="C106">
        <v>64135</v>
      </c>
      <c r="D106" s="5">
        <v>6.9</v>
      </c>
      <c r="F106">
        <v>100</v>
      </c>
      <c r="G106">
        <v>100</v>
      </c>
      <c r="H106">
        <f t="shared" si="6"/>
        <v>957324</v>
      </c>
      <c r="I106" s="12">
        <f t="shared" si="3"/>
        <v>0.26722916666666668</v>
      </c>
      <c r="J106" s="12">
        <f t="shared" si="4"/>
        <v>0.26592333333333334</v>
      </c>
    </row>
    <row r="107" spans="1:10" ht="15.75" customHeight="1">
      <c r="A107" s="13">
        <v>42841</v>
      </c>
      <c r="B107" s="11">
        <v>16</v>
      </c>
      <c r="C107">
        <v>60567</v>
      </c>
      <c r="D107" s="5">
        <v>6.6</v>
      </c>
      <c r="F107">
        <v>100</v>
      </c>
      <c r="G107">
        <v>100</v>
      </c>
      <c r="H107">
        <f t="shared" si="6"/>
        <v>1017891</v>
      </c>
      <c r="I107" s="12">
        <f t="shared" si="3"/>
        <v>0.25236249999999999</v>
      </c>
      <c r="J107" s="12">
        <f t="shared" si="4"/>
        <v>0.26507578124999998</v>
      </c>
    </row>
    <row r="108" spans="1:10" ht="15.75" customHeight="1">
      <c r="A108" s="13">
        <v>42842</v>
      </c>
      <c r="B108" s="11">
        <v>17</v>
      </c>
      <c r="C108">
        <v>62630</v>
      </c>
      <c r="D108" s="5">
        <v>6.93</v>
      </c>
      <c r="F108">
        <v>100</v>
      </c>
      <c r="G108">
        <v>100</v>
      </c>
      <c r="H108">
        <f t="shared" si="6"/>
        <v>1080521</v>
      </c>
      <c r="I108" s="12">
        <f t="shared" si="3"/>
        <v>0.26095833333333335</v>
      </c>
      <c r="J108" s="12">
        <f t="shared" si="4"/>
        <v>0.26483357843137256</v>
      </c>
    </row>
    <row r="109" spans="1:10" ht="15.75" customHeight="1">
      <c r="A109" s="13">
        <v>42843</v>
      </c>
      <c r="B109" s="11">
        <v>18</v>
      </c>
      <c r="C109">
        <v>63928</v>
      </c>
      <c r="D109" s="5">
        <v>7</v>
      </c>
      <c r="F109">
        <v>100</v>
      </c>
      <c r="G109">
        <v>100</v>
      </c>
      <c r="H109">
        <f t="shared" si="6"/>
        <v>1144449</v>
      </c>
      <c r="I109" s="12">
        <f t="shared" si="3"/>
        <v>0.26636666666666664</v>
      </c>
      <c r="J109" s="12">
        <f t="shared" si="4"/>
        <v>0.26491874999999998</v>
      </c>
    </row>
    <row r="110" spans="1:10" ht="15.75" customHeight="1">
      <c r="A110" s="13">
        <v>42844</v>
      </c>
      <c r="B110" s="11">
        <v>19</v>
      </c>
      <c r="C110">
        <v>62480</v>
      </c>
      <c r="D110" s="5">
        <v>6.89</v>
      </c>
      <c r="F110">
        <v>100</v>
      </c>
      <c r="G110">
        <v>100</v>
      </c>
      <c r="H110">
        <f t="shared" si="6"/>
        <v>1206929</v>
      </c>
      <c r="I110" s="12">
        <f t="shared" si="3"/>
        <v>0.26033333333333336</v>
      </c>
      <c r="J110" s="12">
        <f t="shared" si="4"/>
        <v>0.26467741228070174</v>
      </c>
    </row>
    <row r="111" spans="1:10" ht="15.75" customHeight="1">
      <c r="A111" s="13">
        <v>42845</v>
      </c>
      <c r="B111" s="11">
        <v>20</v>
      </c>
      <c r="C111">
        <v>61562</v>
      </c>
      <c r="D111" s="5">
        <v>6.81</v>
      </c>
      <c r="F111">
        <v>100</v>
      </c>
      <c r="G111">
        <v>100</v>
      </c>
      <c r="H111">
        <f t="shared" si="6"/>
        <v>1268491</v>
      </c>
      <c r="I111" s="12">
        <f t="shared" si="3"/>
        <v>0.25650833333333334</v>
      </c>
      <c r="J111" s="12">
        <f t="shared" si="4"/>
        <v>0.26426895833333336</v>
      </c>
    </row>
    <row r="112" spans="1:10" ht="15.75" customHeight="1">
      <c r="A112" s="13">
        <v>42846</v>
      </c>
      <c r="B112" s="11">
        <v>21</v>
      </c>
      <c r="C112">
        <v>57627</v>
      </c>
      <c r="D112" s="5">
        <v>6.42</v>
      </c>
      <c r="F112">
        <v>100</v>
      </c>
      <c r="G112">
        <v>100</v>
      </c>
      <c r="H112">
        <f t="shared" si="6"/>
        <v>1326118</v>
      </c>
      <c r="I112" s="12">
        <f t="shared" si="3"/>
        <v>0.24011250000000001</v>
      </c>
      <c r="J112" s="12">
        <f t="shared" si="4"/>
        <v>0.26311865079365082</v>
      </c>
    </row>
    <row r="113" spans="1:10" ht="15.75" customHeight="1">
      <c r="A113" s="13">
        <v>42847</v>
      </c>
      <c r="B113" s="11">
        <v>22</v>
      </c>
      <c r="C113">
        <v>58614</v>
      </c>
      <c r="D113" s="5">
        <v>6.47</v>
      </c>
      <c r="F113">
        <v>99.797173957136096</v>
      </c>
      <c r="G113">
        <v>97.430555555555557</v>
      </c>
      <c r="H113">
        <f t="shared" si="6"/>
        <v>1384732</v>
      </c>
      <c r="I113" s="12">
        <f t="shared" si="3"/>
        <v>0.244225</v>
      </c>
      <c r="J113" s="12">
        <f t="shared" si="4"/>
        <v>0.26225984848484851</v>
      </c>
    </row>
    <row r="114" spans="1:10" ht="15.75" customHeight="1">
      <c r="A114" s="13">
        <v>42848</v>
      </c>
      <c r="B114" s="11">
        <v>23</v>
      </c>
      <c r="C114">
        <v>61572</v>
      </c>
      <c r="D114" s="5">
        <v>6.65</v>
      </c>
      <c r="F114">
        <v>100</v>
      </c>
      <c r="G114">
        <v>100</v>
      </c>
      <c r="H114">
        <f t="shared" si="6"/>
        <v>1446304</v>
      </c>
      <c r="I114" s="12">
        <f t="shared" si="3"/>
        <v>0.25655</v>
      </c>
      <c r="J114" s="12">
        <f t="shared" si="4"/>
        <v>0.26201159420289855</v>
      </c>
    </row>
    <row r="115" spans="1:10" ht="15.75" customHeight="1">
      <c r="A115" s="13">
        <v>42849</v>
      </c>
      <c r="B115" s="11">
        <v>24</v>
      </c>
      <c r="C115">
        <v>56746</v>
      </c>
      <c r="D115" s="5">
        <v>6.36</v>
      </c>
      <c r="F115">
        <v>99.775632785659198</v>
      </c>
      <c r="G115">
        <v>100</v>
      </c>
      <c r="H115">
        <f t="shared" si="6"/>
        <v>1503050</v>
      </c>
      <c r="I115" s="12">
        <f t="shared" si="3"/>
        <v>0.23644166666666666</v>
      </c>
      <c r="J115" s="12">
        <f t="shared" si="4"/>
        <v>0.26094618055555557</v>
      </c>
    </row>
    <row r="116" spans="1:10" ht="15.75" customHeight="1">
      <c r="A116" s="13">
        <v>42850</v>
      </c>
      <c r="B116" s="11">
        <v>25</v>
      </c>
      <c r="C116">
        <v>63842</v>
      </c>
      <c r="D116" s="5">
        <v>6.88</v>
      </c>
      <c r="F116">
        <v>100</v>
      </c>
      <c r="G116">
        <v>100</v>
      </c>
      <c r="H116">
        <f t="shared" si="6"/>
        <v>1566892</v>
      </c>
      <c r="I116" s="12">
        <f t="shared" si="3"/>
        <v>0.26600833333333335</v>
      </c>
      <c r="J116" s="12">
        <f t="shared" si="4"/>
        <v>0.26114866666666664</v>
      </c>
    </row>
    <row r="117" spans="1:10" ht="15.75" customHeight="1">
      <c r="A117" s="13">
        <v>42851</v>
      </c>
      <c r="B117" s="11">
        <v>26</v>
      </c>
      <c r="C117">
        <v>64056</v>
      </c>
      <c r="D117" s="5">
        <v>6.9</v>
      </c>
      <c r="F117">
        <v>100</v>
      </c>
      <c r="G117">
        <v>100</v>
      </c>
      <c r="H117">
        <f t="shared" si="6"/>
        <v>1630948</v>
      </c>
      <c r="I117" s="12">
        <f t="shared" si="3"/>
        <v>0.26690000000000003</v>
      </c>
      <c r="J117" s="12">
        <f t="shared" si="4"/>
        <v>0.26136987179487181</v>
      </c>
    </row>
    <row r="118" spans="1:10" ht="15.75" customHeight="1">
      <c r="A118" s="13">
        <v>42852</v>
      </c>
      <c r="B118" s="11">
        <v>27</v>
      </c>
      <c r="C118">
        <v>63883</v>
      </c>
      <c r="D118" s="5">
        <v>7.02</v>
      </c>
      <c r="F118">
        <v>100</v>
      </c>
      <c r="G118">
        <v>100</v>
      </c>
      <c r="H118">
        <f t="shared" si="6"/>
        <v>1694831</v>
      </c>
      <c r="I118" s="12">
        <f t="shared" si="3"/>
        <v>0.26617916666666669</v>
      </c>
      <c r="J118" s="12">
        <f t="shared" si="4"/>
        <v>0.26154799382716049</v>
      </c>
    </row>
    <row r="119" spans="1:10" ht="15.75" customHeight="1">
      <c r="A119" s="13">
        <v>42853</v>
      </c>
      <c r="B119" s="11">
        <v>28</v>
      </c>
      <c r="C119">
        <v>31699</v>
      </c>
      <c r="D119" s="5">
        <v>3.71</v>
      </c>
      <c r="F119">
        <v>100</v>
      </c>
      <c r="G119">
        <v>100</v>
      </c>
      <c r="H119">
        <f t="shared" si="6"/>
        <v>1726530</v>
      </c>
      <c r="I119" s="12">
        <f t="shared" si="3"/>
        <v>0.13207916666666666</v>
      </c>
      <c r="J119" s="12">
        <f t="shared" si="4"/>
        <v>0.25692410714285713</v>
      </c>
    </row>
    <row r="120" spans="1:10" ht="15.75" customHeight="1">
      <c r="A120" s="13">
        <v>42854</v>
      </c>
      <c r="B120" s="11">
        <v>29</v>
      </c>
      <c r="C120">
        <v>59781</v>
      </c>
      <c r="D120" s="5">
        <v>6.53</v>
      </c>
      <c r="F120">
        <v>100</v>
      </c>
      <c r="G120">
        <v>100</v>
      </c>
      <c r="H120">
        <f t="shared" si="6"/>
        <v>1786311</v>
      </c>
      <c r="I120" s="12">
        <f t="shared" si="3"/>
        <v>0.24908749999999999</v>
      </c>
      <c r="J120" s="12">
        <f t="shared" si="4"/>
        <v>0.25665387931034483</v>
      </c>
    </row>
    <row r="121" spans="1:10" ht="15.75" customHeight="1">
      <c r="A121" s="13">
        <v>42855</v>
      </c>
      <c r="B121" s="11">
        <v>30</v>
      </c>
      <c r="C121">
        <v>59817</v>
      </c>
      <c r="D121" s="5">
        <v>6.64</v>
      </c>
      <c r="F121">
        <v>99.659418391406859</v>
      </c>
      <c r="G121">
        <v>100</v>
      </c>
      <c r="H121">
        <f t="shared" si="6"/>
        <v>1846128</v>
      </c>
      <c r="I121" s="12">
        <f t="shared" si="3"/>
        <v>0.2492375</v>
      </c>
      <c r="J121" s="12">
        <f t="shared" si="4"/>
        <v>0.25640666666666667</v>
      </c>
    </row>
    <row r="122" spans="1:10" ht="15.75" customHeight="1">
      <c r="A122" s="13">
        <v>42856</v>
      </c>
      <c r="B122" s="11">
        <v>31</v>
      </c>
      <c r="C122">
        <v>61814</v>
      </c>
      <c r="D122" s="5">
        <v>7.03</v>
      </c>
      <c r="F122">
        <v>100</v>
      </c>
      <c r="G122">
        <v>100</v>
      </c>
      <c r="H122">
        <f t="shared" si="6"/>
        <v>1907942</v>
      </c>
      <c r="I122" s="12">
        <f t="shared" si="3"/>
        <v>0.25755833333333333</v>
      </c>
      <c r="J122" s="12">
        <f t="shared" si="4"/>
        <v>0.25644381720430109</v>
      </c>
    </row>
    <row r="123" spans="1:10" ht="15.75" customHeight="1">
      <c r="A123" s="13">
        <v>42857</v>
      </c>
      <c r="B123" s="11">
        <v>32</v>
      </c>
      <c r="C123">
        <v>52751</v>
      </c>
      <c r="D123" s="5">
        <v>5.91</v>
      </c>
      <c r="F123">
        <v>100</v>
      </c>
      <c r="G123">
        <v>100</v>
      </c>
      <c r="H123">
        <f t="shared" si="6"/>
        <v>1960693</v>
      </c>
      <c r="I123" s="12">
        <f t="shared" si="3"/>
        <v>0.21979583333333333</v>
      </c>
      <c r="J123" s="12">
        <f t="shared" si="4"/>
        <v>0.25529856770833331</v>
      </c>
    </row>
    <row r="124" spans="1:10" ht="15.75" customHeight="1">
      <c r="A124" s="13">
        <v>42858</v>
      </c>
      <c r="B124" s="11">
        <v>33</v>
      </c>
      <c r="C124">
        <v>54276</v>
      </c>
      <c r="D124" s="5">
        <v>6.03</v>
      </c>
      <c r="F124">
        <v>100</v>
      </c>
      <c r="G124">
        <v>100</v>
      </c>
      <c r="H124">
        <f t="shared" si="6"/>
        <v>2014969</v>
      </c>
      <c r="I124" s="12">
        <f t="shared" si="3"/>
        <v>0.22614999999999999</v>
      </c>
      <c r="J124" s="12">
        <f t="shared" si="4"/>
        <v>0.25441527777777778</v>
      </c>
    </row>
    <row r="125" spans="1:10" ht="15.75" customHeight="1">
      <c r="A125" s="13">
        <v>42859</v>
      </c>
      <c r="B125" s="11">
        <v>34</v>
      </c>
      <c r="C125">
        <v>51416</v>
      </c>
      <c r="D125" s="5">
        <v>6.15</v>
      </c>
      <c r="F125">
        <v>100</v>
      </c>
      <c r="G125">
        <v>100</v>
      </c>
      <c r="H125">
        <f t="shared" si="6"/>
        <v>2066385</v>
      </c>
      <c r="I125" s="12">
        <f t="shared" si="3"/>
        <v>0.21423333333333333</v>
      </c>
      <c r="J125" s="12">
        <f t="shared" si="4"/>
        <v>0.25323345588235296</v>
      </c>
    </row>
    <row r="126" spans="1:10" ht="15.75" customHeight="1">
      <c r="A126" s="13">
        <v>42860</v>
      </c>
      <c r="B126" s="11">
        <v>35</v>
      </c>
      <c r="C126">
        <v>57917</v>
      </c>
      <c r="D126" s="5">
        <v>7.04</v>
      </c>
      <c r="F126">
        <v>100</v>
      </c>
      <c r="G126">
        <v>100</v>
      </c>
      <c r="H126">
        <f t="shared" si="6"/>
        <v>2124302</v>
      </c>
      <c r="I126" s="12">
        <f t="shared" si="3"/>
        <v>0.24132083333333335</v>
      </c>
      <c r="J126" s="12">
        <f t="shared" si="4"/>
        <v>0.25289309523809522</v>
      </c>
    </row>
    <row r="127" spans="1:10" ht="15.75" customHeight="1">
      <c r="A127" s="13">
        <v>42861</v>
      </c>
      <c r="B127" s="11">
        <v>36</v>
      </c>
      <c r="C127">
        <v>58089</v>
      </c>
      <c r="D127" s="5">
        <v>7.06</v>
      </c>
      <c r="F127">
        <v>100</v>
      </c>
      <c r="G127">
        <v>100</v>
      </c>
      <c r="H127">
        <f t="shared" si="6"/>
        <v>2182391</v>
      </c>
      <c r="I127" s="12">
        <f t="shared" si="3"/>
        <v>0.24203749999999999</v>
      </c>
      <c r="J127" s="12">
        <f t="shared" si="4"/>
        <v>0.25259155092592595</v>
      </c>
    </row>
    <row r="128" spans="1:10" ht="15.75" customHeight="1">
      <c r="A128" s="13">
        <v>42862</v>
      </c>
      <c r="B128" s="11">
        <v>37</v>
      </c>
      <c r="C128">
        <v>58267</v>
      </c>
      <c r="D128" s="5">
        <v>7.06</v>
      </c>
      <c r="F128">
        <v>100</v>
      </c>
      <c r="G128">
        <v>100</v>
      </c>
      <c r="H128">
        <f t="shared" si="6"/>
        <v>2240658</v>
      </c>
      <c r="I128" s="12">
        <f t="shared" si="3"/>
        <v>0.24277916666666666</v>
      </c>
      <c r="J128" s="12">
        <f t="shared" si="4"/>
        <v>0.25232635135135134</v>
      </c>
    </row>
    <row r="129" spans="1:10" ht="15.75" customHeight="1">
      <c r="A129" s="13">
        <v>42863</v>
      </c>
      <c r="B129" s="11">
        <v>38</v>
      </c>
      <c r="C129">
        <v>58378</v>
      </c>
      <c r="D129" s="5">
        <v>6.83</v>
      </c>
      <c r="F129">
        <v>100</v>
      </c>
      <c r="G129">
        <v>100</v>
      </c>
      <c r="H129">
        <f t="shared" si="6"/>
        <v>2299036</v>
      </c>
      <c r="I129" s="12">
        <f t="shared" si="3"/>
        <v>0.24324166666666666</v>
      </c>
      <c r="J129" s="12">
        <f t="shared" si="4"/>
        <v>0.2520872807017544</v>
      </c>
    </row>
    <row r="130" spans="1:10" ht="15.75" customHeight="1">
      <c r="A130" s="13">
        <v>42864</v>
      </c>
      <c r="B130" s="11">
        <v>39</v>
      </c>
      <c r="C130">
        <v>61332</v>
      </c>
      <c r="D130" s="5">
        <v>7.13</v>
      </c>
      <c r="F130">
        <v>100</v>
      </c>
      <c r="G130">
        <v>100</v>
      </c>
      <c r="H130">
        <f t="shared" si="6"/>
        <v>2360368</v>
      </c>
      <c r="I130" s="12">
        <f t="shared" si="3"/>
        <v>0.25555</v>
      </c>
      <c r="J130" s="12">
        <f t="shared" si="4"/>
        <v>0.25217606837606837</v>
      </c>
    </row>
    <row r="131" spans="1:10" ht="15.75" customHeight="1">
      <c r="A131" s="13">
        <v>42865</v>
      </c>
      <c r="B131" s="11">
        <v>40</v>
      </c>
      <c r="C131">
        <v>60989</v>
      </c>
      <c r="D131" s="5">
        <v>7.12</v>
      </c>
      <c r="F131">
        <v>100</v>
      </c>
      <c r="G131">
        <v>100</v>
      </c>
      <c r="H131">
        <f t="shared" si="6"/>
        <v>2421357</v>
      </c>
      <c r="I131" s="12">
        <f t="shared" ref="I131:I194" si="7">C131/(10*24*1000)</f>
        <v>0.25412083333333335</v>
      </c>
      <c r="J131" s="12">
        <f t="shared" si="4"/>
        <v>0.25222468749999999</v>
      </c>
    </row>
    <row r="132" spans="1:10" ht="15.75" customHeight="1">
      <c r="A132" s="13">
        <v>42866</v>
      </c>
      <c r="B132" s="11">
        <v>41</v>
      </c>
      <c r="C132">
        <v>41043</v>
      </c>
      <c r="D132" s="5">
        <v>4.6100000000000003</v>
      </c>
      <c r="F132">
        <v>100</v>
      </c>
      <c r="G132">
        <v>100</v>
      </c>
      <c r="H132">
        <f t="shared" si="6"/>
        <v>2462400</v>
      </c>
      <c r="I132" s="12">
        <f t="shared" si="7"/>
        <v>0.17101250000000001</v>
      </c>
      <c r="J132" s="12">
        <f t="shared" ref="J132:J195" si="8">H132/(24*B132*10*1000)</f>
        <v>0.25024390243902439</v>
      </c>
    </row>
    <row r="133" spans="1:10" ht="15.75" customHeight="1">
      <c r="A133" s="13">
        <v>42867</v>
      </c>
      <c r="B133" s="11">
        <v>42</v>
      </c>
      <c r="C133">
        <v>59058</v>
      </c>
      <c r="D133" s="5">
        <v>6.93</v>
      </c>
      <c r="F133">
        <v>100</v>
      </c>
      <c r="G133">
        <v>100</v>
      </c>
      <c r="H133">
        <f t="shared" si="6"/>
        <v>2521458</v>
      </c>
      <c r="I133" s="12">
        <f t="shared" si="7"/>
        <v>0.24607499999999999</v>
      </c>
      <c r="J133" s="12">
        <f t="shared" si="8"/>
        <v>0.25014464285714288</v>
      </c>
    </row>
    <row r="134" spans="1:10" ht="15.75" customHeight="1">
      <c r="A134" s="13">
        <v>42868</v>
      </c>
      <c r="B134" s="11">
        <v>43</v>
      </c>
      <c r="C134">
        <v>57098</v>
      </c>
      <c r="D134" s="5">
        <v>6.78</v>
      </c>
      <c r="F134">
        <v>100</v>
      </c>
      <c r="G134">
        <v>100</v>
      </c>
      <c r="H134">
        <f t="shared" si="6"/>
        <v>2578556</v>
      </c>
      <c r="I134" s="12">
        <f t="shared" si="7"/>
        <v>0.23790833333333333</v>
      </c>
      <c r="J134" s="12">
        <f t="shared" si="8"/>
        <v>0.24986007751937986</v>
      </c>
    </row>
    <row r="135" spans="1:10" ht="15.75" customHeight="1">
      <c r="A135" s="13">
        <v>42869</v>
      </c>
      <c r="B135" s="11">
        <v>44</v>
      </c>
      <c r="C135">
        <v>62348</v>
      </c>
      <c r="D135" s="5">
        <v>7.46</v>
      </c>
      <c r="F135">
        <v>100</v>
      </c>
      <c r="G135">
        <v>100</v>
      </c>
      <c r="H135">
        <f t="shared" si="6"/>
        <v>2640904</v>
      </c>
      <c r="I135" s="12">
        <f t="shared" si="7"/>
        <v>0.25978333333333331</v>
      </c>
      <c r="J135" s="12">
        <f t="shared" si="8"/>
        <v>0.25008560606060604</v>
      </c>
    </row>
    <row r="136" spans="1:10" ht="15.75" customHeight="1">
      <c r="A136" s="13">
        <v>42870</v>
      </c>
      <c r="B136" s="11">
        <v>45</v>
      </c>
      <c r="C136">
        <v>60782</v>
      </c>
      <c r="D136" s="5">
        <v>7.17</v>
      </c>
      <c r="F136">
        <v>100</v>
      </c>
      <c r="G136">
        <v>100</v>
      </c>
      <c r="H136">
        <f t="shared" si="6"/>
        <v>2701686</v>
      </c>
      <c r="I136" s="12">
        <f t="shared" si="7"/>
        <v>0.25325833333333331</v>
      </c>
      <c r="J136" s="12">
        <f t="shared" si="8"/>
        <v>0.25015611111111113</v>
      </c>
    </row>
    <row r="137" spans="1:10" ht="15.75" customHeight="1">
      <c r="A137" s="13">
        <v>42871</v>
      </c>
      <c r="B137" s="11">
        <v>46</v>
      </c>
      <c r="C137">
        <v>52750</v>
      </c>
      <c r="D137" s="5">
        <v>6.23</v>
      </c>
      <c r="F137">
        <v>99.785981808453712</v>
      </c>
      <c r="G137">
        <v>100</v>
      </c>
      <c r="H137">
        <f t="shared" si="6"/>
        <v>2754436</v>
      </c>
      <c r="I137" s="12">
        <f t="shared" si="7"/>
        <v>0.21979166666666666</v>
      </c>
      <c r="J137" s="12">
        <f t="shared" si="8"/>
        <v>0.24949601449275363</v>
      </c>
    </row>
    <row r="138" spans="1:10" ht="15.75" customHeight="1">
      <c r="A138" s="13">
        <v>42872</v>
      </c>
      <c r="B138" s="11">
        <v>47</v>
      </c>
      <c r="C138">
        <v>61837</v>
      </c>
      <c r="D138" s="5">
        <v>7.1</v>
      </c>
      <c r="F138">
        <v>100</v>
      </c>
      <c r="G138">
        <v>100</v>
      </c>
      <c r="H138">
        <f t="shared" si="6"/>
        <v>2816273</v>
      </c>
      <c r="I138" s="12">
        <f t="shared" si="7"/>
        <v>0.25765416666666668</v>
      </c>
      <c r="J138" s="12">
        <f t="shared" si="8"/>
        <v>0.24966959219858156</v>
      </c>
    </row>
    <row r="139" spans="1:10" ht="15.75" customHeight="1">
      <c r="A139" s="13">
        <v>42873</v>
      </c>
      <c r="B139" s="11">
        <v>48</v>
      </c>
      <c r="C139">
        <v>61292</v>
      </c>
      <c r="D139" s="5">
        <v>6.77</v>
      </c>
      <c r="F139">
        <v>100</v>
      </c>
      <c r="G139">
        <v>100</v>
      </c>
      <c r="H139">
        <f t="shared" si="6"/>
        <v>2877565</v>
      </c>
      <c r="I139" s="12">
        <f t="shared" si="7"/>
        <v>0.25538333333333335</v>
      </c>
      <c r="J139" s="12">
        <f t="shared" si="8"/>
        <v>0.24978862847222222</v>
      </c>
    </row>
    <row r="140" spans="1:10" ht="15.75" customHeight="1">
      <c r="A140" s="13">
        <v>42874</v>
      </c>
      <c r="B140" s="11">
        <v>49</v>
      </c>
      <c r="C140">
        <v>61163</v>
      </c>
      <c r="D140" s="5">
        <v>7.08</v>
      </c>
      <c r="F140">
        <v>100</v>
      </c>
      <c r="G140">
        <v>100</v>
      </c>
      <c r="H140">
        <f t="shared" si="6"/>
        <v>2938728</v>
      </c>
      <c r="I140" s="12">
        <f t="shared" si="7"/>
        <v>0.25484583333333333</v>
      </c>
      <c r="J140" s="12">
        <f t="shared" si="8"/>
        <v>0.24989183673469387</v>
      </c>
    </row>
    <row r="141" spans="1:10" ht="15.75" customHeight="1">
      <c r="A141" s="13">
        <v>42875</v>
      </c>
      <c r="B141" s="11">
        <v>50</v>
      </c>
      <c r="C141">
        <v>52521</v>
      </c>
      <c r="D141" s="5">
        <v>5.92</v>
      </c>
      <c r="F141">
        <v>99.844824241901762</v>
      </c>
      <c r="G141">
        <v>100</v>
      </c>
      <c r="H141">
        <f t="shared" si="6"/>
        <v>2991249</v>
      </c>
      <c r="I141" s="12">
        <f t="shared" si="7"/>
        <v>0.21883749999999999</v>
      </c>
      <c r="J141" s="12">
        <f t="shared" si="8"/>
        <v>0.24927075000000001</v>
      </c>
    </row>
    <row r="142" spans="1:10" ht="15.75" customHeight="1">
      <c r="A142" s="13">
        <v>42876</v>
      </c>
      <c r="B142" s="11">
        <v>51</v>
      </c>
      <c r="C142">
        <v>47205</v>
      </c>
      <c r="D142" s="5">
        <v>5.37</v>
      </c>
      <c r="F142">
        <v>100</v>
      </c>
      <c r="G142">
        <v>100</v>
      </c>
      <c r="H142">
        <f t="shared" si="6"/>
        <v>3038454</v>
      </c>
      <c r="I142" s="12">
        <f t="shared" si="7"/>
        <v>0.19668749999999999</v>
      </c>
      <c r="J142" s="12">
        <f t="shared" si="8"/>
        <v>0.24823970588235295</v>
      </c>
    </row>
    <row r="143" spans="1:10" ht="15.75" customHeight="1">
      <c r="A143" s="13">
        <v>42877</v>
      </c>
      <c r="B143" s="11">
        <v>52</v>
      </c>
      <c r="C143">
        <v>54630</v>
      </c>
      <c r="D143" s="5">
        <v>6.11</v>
      </c>
      <c r="F143">
        <v>100</v>
      </c>
      <c r="G143">
        <v>95.208333333333329</v>
      </c>
      <c r="H143">
        <f t="shared" si="6"/>
        <v>3093084</v>
      </c>
      <c r="I143" s="12">
        <f t="shared" si="7"/>
        <v>0.22762499999999999</v>
      </c>
      <c r="J143" s="12">
        <f t="shared" si="8"/>
        <v>0.24784326923076924</v>
      </c>
    </row>
    <row r="144" spans="1:10" ht="15.75" customHeight="1">
      <c r="A144" s="13">
        <v>42878</v>
      </c>
      <c r="B144" s="11">
        <v>53</v>
      </c>
      <c r="C144">
        <v>58683</v>
      </c>
      <c r="D144" s="5">
        <v>6.93</v>
      </c>
      <c r="F144">
        <v>100</v>
      </c>
      <c r="G144">
        <v>100</v>
      </c>
      <c r="H144">
        <f t="shared" si="6"/>
        <v>3151767</v>
      </c>
      <c r="I144" s="12">
        <f t="shared" si="7"/>
        <v>0.24451249999999999</v>
      </c>
      <c r="J144" s="12">
        <f t="shared" si="8"/>
        <v>0.24778042452830187</v>
      </c>
    </row>
    <row r="145" spans="1:10" ht="15.75" customHeight="1">
      <c r="A145" s="13">
        <v>42879</v>
      </c>
      <c r="B145" s="11">
        <v>54</v>
      </c>
      <c r="C145">
        <v>51248</v>
      </c>
      <c r="D145" s="5">
        <v>5.89</v>
      </c>
      <c r="F145">
        <v>100</v>
      </c>
      <c r="G145">
        <v>100</v>
      </c>
      <c r="H145">
        <f t="shared" si="6"/>
        <v>3203015</v>
      </c>
      <c r="I145" s="12">
        <f t="shared" si="7"/>
        <v>0.21353333333333332</v>
      </c>
      <c r="J145" s="12">
        <f t="shared" si="8"/>
        <v>0.24714621913580248</v>
      </c>
    </row>
    <row r="146" spans="1:10" ht="15.75" customHeight="1">
      <c r="A146" s="13">
        <v>42880</v>
      </c>
      <c r="B146" s="11">
        <v>55</v>
      </c>
      <c r="C146">
        <v>57370</v>
      </c>
      <c r="D146" s="5">
        <v>6.83</v>
      </c>
      <c r="F146">
        <v>100</v>
      </c>
      <c r="G146">
        <v>100</v>
      </c>
      <c r="H146">
        <f t="shared" si="6"/>
        <v>3260385</v>
      </c>
      <c r="I146" s="12">
        <f t="shared" si="7"/>
        <v>0.23904166666666668</v>
      </c>
      <c r="J146" s="12">
        <f t="shared" si="8"/>
        <v>0.24699886363636364</v>
      </c>
    </row>
    <row r="147" spans="1:10" ht="15.75" customHeight="1">
      <c r="A147" s="13">
        <v>42881</v>
      </c>
      <c r="B147" s="11">
        <v>56</v>
      </c>
      <c r="C147">
        <v>60550</v>
      </c>
      <c r="D147" s="5">
        <v>7.31</v>
      </c>
      <c r="F147">
        <v>100</v>
      </c>
      <c r="G147">
        <v>100</v>
      </c>
      <c r="H147">
        <f t="shared" si="6"/>
        <v>3320935</v>
      </c>
      <c r="I147" s="12">
        <f t="shared" si="7"/>
        <v>0.25229166666666669</v>
      </c>
      <c r="J147" s="12">
        <f t="shared" si="8"/>
        <v>0.24709337797619046</v>
      </c>
    </row>
    <row r="148" spans="1:10" ht="15.75" customHeight="1">
      <c r="A148" s="13">
        <v>42882</v>
      </c>
      <c r="B148" s="11">
        <v>57</v>
      </c>
      <c r="C148">
        <v>60270</v>
      </c>
      <c r="D148" s="5">
        <v>7.29</v>
      </c>
      <c r="F148">
        <v>100</v>
      </c>
      <c r="G148">
        <v>100</v>
      </c>
      <c r="H148">
        <f t="shared" si="6"/>
        <v>3381205</v>
      </c>
      <c r="I148" s="12">
        <f t="shared" si="7"/>
        <v>0.25112499999999999</v>
      </c>
      <c r="J148" s="12">
        <f t="shared" si="8"/>
        <v>0.2471641081871345</v>
      </c>
    </row>
    <row r="149" spans="1:10" ht="15.75" customHeight="1">
      <c r="A149" s="13">
        <v>42883</v>
      </c>
      <c r="B149" s="11">
        <v>58</v>
      </c>
      <c r="C149">
        <v>59155</v>
      </c>
      <c r="D149" s="5">
        <v>7.01</v>
      </c>
      <c r="F149">
        <v>100</v>
      </c>
      <c r="G149">
        <v>97.569444444444443</v>
      </c>
      <c r="H149">
        <f t="shared" si="6"/>
        <v>3440360</v>
      </c>
      <c r="I149" s="12">
        <f t="shared" si="7"/>
        <v>0.24647916666666667</v>
      </c>
      <c r="J149" s="12">
        <f t="shared" si="8"/>
        <v>0.24715229885057471</v>
      </c>
    </row>
    <row r="150" spans="1:10" ht="15.75" customHeight="1">
      <c r="A150" s="13">
        <v>42884</v>
      </c>
      <c r="B150" s="11">
        <v>59</v>
      </c>
      <c r="C150">
        <v>55103</v>
      </c>
      <c r="D150" s="5">
        <v>6.4</v>
      </c>
      <c r="F150">
        <v>100</v>
      </c>
      <c r="G150">
        <v>100</v>
      </c>
      <c r="H150">
        <f t="shared" si="6"/>
        <v>3495463</v>
      </c>
      <c r="I150" s="12">
        <f t="shared" si="7"/>
        <v>0.22959583333333333</v>
      </c>
      <c r="J150" s="12">
        <f t="shared" si="8"/>
        <v>0.24685473163841809</v>
      </c>
    </row>
    <row r="151" spans="1:10" ht="15.75" customHeight="1">
      <c r="A151" s="13">
        <v>42885</v>
      </c>
      <c r="B151" s="11">
        <v>60</v>
      </c>
      <c r="C151">
        <v>54680</v>
      </c>
      <c r="D151" s="5">
        <v>6.8</v>
      </c>
      <c r="F151">
        <v>100</v>
      </c>
      <c r="G151">
        <v>100</v>
      </c>
      <c r="H151">
        <f t="shared" si="6"/>
        <v>3550143</v>
      </c>
      <c r="I151" s="12">
        <f t="shared" si="7"/>
        <v>0.22783333333333333</v>
      </c>
      <c r="J151" s="12">
        <f t="shared" si="8"/>
        <v>0.24653770833333333</v>
      </c>
    </row>
    <row r="152" spans="1:10" ht="15.75" customHeight="1">
      <c r="A152" s="13">
        <v>42886</v>
      </c>
      <c r="B152" s="11">
        <v>61</v>
      </c>
      <c r="C152">
        <v>52685</v>
      </c>
      <c r="D152" s="5">
        <v>6.21</v>
      </c>
      <c r="F152">
        <v>100</v>
      </c>
      <c r="G152">
        <v>100</v>
      </c>
      <c r="H152">
        <f t="shared" si="6"/>
        <v>3602828</v>
      </c>
      <c r="I152" s="12">
        <f t="shared" si="7"/>
        <v>0.21952083333333333</v>
      </c>
      <c r="J152" s="12">
        <f t="shared" si="8"/>
        <v>0.24609480874316939</v>
      </c>
    </row>
    <row r="153" spans="1:10" ht="15.75" customHeight="1">
      <c r="A153" s="13">
        <v>42887</v>
      </c>
      <c r="B153" s="11">
        <v>62</v>
      </c>
      <c r="C153">
        <v>53948</v>
      </c>
      <c r="D153" s="5">
        <v>6.14</v>
      </c>
      <c r="F153">
        <v>100</v>
      </c>
      <c r="G153">
        <v>100</v>
      </c>
      <c r="H153">
        <f t="shared" si="6"/>
        <v>3656776</v>
      </c>
      <c r="I153" s="12">
        <f t="shared" si="7"/>
        <v>0.22478333333333333</v>
      </c>
      <c r="J153" s="12">
        <f t="shared" si="8"/>
        <v>0.2457510752688172</v>
      </c>
    </row>
    <row r="154" spans="1:10" ht="15.75" customHeight="1">
      <c r="A154" s="13">
        <v>42888</v>
      </c>
      <c r="B154" s="11">
        <v>63</v>
      </c>
      <c r="C154">
        <v>60787</v>
      </c>
      <c r="D154" s="5">
        <v>7.24</v>
      </c>
      <c r="F154">
        <v>100</v>
      </c>
      <c r="G154">
        <v>100</v>
      </c>
      <c r="H154">
        <f t="shared" si="6"/>
        <v>3717563</v>
      </c>
      <c r="I154" s="12">
        <f t="shared" si="7"/>
        <v>0.25327916666666667</v>
      </c>
      <c r="J154" s="12">
        <f t="shared" si="8"/>
        <v>0.24587056878306879</v>
      </c>
    </row>
    <row r="155" spans="1:10" ht="15.75" customHeight="1">
      <c r="A155" s="13">
        <v>42889</v>
      </c>
      <c r="B155" s="11">
        <v>64</v>
      </c>
      <c r="C155">
        <v>58794</v>
      </c>
      <c r="D155" s="5">
        <v>7.04</v>
      </c>
      <c r="F155">
        <v>100</v>
      </c>
      <c r="G155">
        <v>92.361111111111114</v>
      </c>
      <c r="H155">
        <f t="shared" si="6"/>
        <v>3776357</v>
      </c>
      <c r="I155" s="12">
        <f t="shared" si="7"/>
        <v>0.244975</v>
      </c>
      <c r="J155" s="12">
        <f t="shared" si="8"/>
        <v>0.24585657552083334</v>
      </c>
    </row>
    <row r="156" spans="1:10" ht="15.75" customHeight="1">
      <c r="A156" s="13">
        <v>42890</v>
      </c>
      <c r="B156" s="11">
        <v>65</v>
      </c>
      <c r="C156">
        <v>59196</v>
      </c>
      <c r="D156" s="5">
        <v>7.05</v>
      </c>
      <c r="F156">
        <v>100</v>
      </c>
      <c r="G156">
        <v>100</v>
      </c>
      <c r="H156">
        <f t="shared" si="6"/>
        <v>3835553</v>
      </c>
      <c r="I156" s="12">
        <f t="shared" si="7"/>
        <v>0.24665000000000001</v>
      </c>
      <c r="J156" s="12">
        <f t="shared" si="8"/>
        <v>0.24586878205128204</v>
      </c>
    </row>
    <row r="157" spans="1:10" ht="15.75" customHeight="1">
      <c r="A157" s="13">
        <v>42891</v>
      </c>
      <c r="B157" s="11">
        <v>66</v>
      </c>
      <c r="C157">
        <v>55562</v>
      </c>
      <c r="D157" s="5">
        <v>6.8</v>
      </c>
      <c r="F157">
        <v>99.493243243243242</v>
      </c>
      <c r="G157">
        <v>98.819444444444443</v>
      </c>
      <c r="H157">
        <f t="shared" si="6"/>
        <v>3891115</v>
      </c>
      <c r="I157" s="12">
        <f t="shared" si="7"/>
        <v>0.23150833333333334</v>
      </c>
      <c r="J157" s="12">
        <f t="shared" si="8"/>
        <v>0.24565119949494948</v>
      </c>
    </row>
    <row r="158" spans="1:10" ht="15.75" customHeight="1">
      <c r="A158" s="13">
        <v>42892</v>
      </c>
      <c r="B158" s="11">
        <v>67</v>
      </c>
      <c r="C158">
        <v>56538</v>
      </c>
      <c r="D158" s="5">
        <v>6.69</v>
      </c>
      <c r="F158">
        <v>100</v>
      </c>
      <c r="G158">
        <v>94.236111111111114</v>
      </c>
      <c r="H158">
        <f t="shared" si="6"/>
        <v>3947653</v>
      </c>
      <c r="I158" s="12">
        <f t="shared" si="7"/>
        <v>0.23557500000000001</v>
      </c>
      <c r="J158" s="12">
        <f t="shared" si="8"/>
        <v>0.24550080845771144</v>
      </c>
    </row>
    <row r="159" spans="1:10" ht="15.75" customHeight="1">
      <c r="A159" s="13">
        <v>42893</v>
      </c>
      <c r="B159" s="11">
        <v>68</v>
      </c>
      <c r="C159">
        <v>61641</v>
      </c>
      <c r="D159" s="5">
        <v>7.14</v>
      </c>
      <c r="F159">
        <v>100</v>
      </c>
      <c r="G159">
        <v>100</v>
      </c>
      <c r="H159">
        <f t="shared" si="6"/>
        <v>4009294</v>
      </c>
      <c r="I159" s="12">
        <f t="shared" si="7"/>
        <v>0.2568375</v>
      </c>
      <c r="J159" s="12">
        <f t="shared" si="8"/>
        <v>0.24566752450980392</v>
      </c>
    </row>
    <row r="160" spans="1:10" ht="15.75" customHeight="1">
      <c r="A160" s="13">
        <v>42894</v>
      </c>
      <c r="B160" s="11">
        <v>69</v>
      </c>
      <c r="C160">
        <v>46170</v>
      </c>
      <c r="D160" s="5">
        <v>5.16</v>
      </c>
      <c r="F160">
        <v>100</v>
      </c>
      <c r="G160">
        <v>100</v>
      </c>
      <c r="H160">
        <f t="shared" ref="H160:H223" si="9">H159+C160</f>
        <v>4055464</v>
      </c>
      <c r="I160" s="12">
        <f t="shared" si="7"/>
        <v>0.19237499999999999</v>
      </c>
      <c r="J160" s="12">
        <f t="shared" si="8"/>
        <v>0.24489516908212561</v>
      </c>
    </row>
    <row r="161" spans="1:10" ht="15.75" customHeight="1">
      <c r="A161" s="13">
        <v>42895</v>
      </c>
      <c r="B161" s="11">
        <v>70</v>
      </c>
      <c r="C161">
        <v>58726</v>
      </c>
      <c r="D161" s="5">
        <v>6.67</v>
      </c>
      <c r="F161">
        <v>100</v>
      </c>
      <c r="G161">
        <v>100</v>
      </c>
      <c r="H161">
        <f t="shared" si="9"/>
        <v>4114190</v>
      </c>
      <c r="I161" s="12">
        <f t="shared" si="7"/>
        <v>0.24469166666666667</v>
      </c>
      <c r="J161" s="12">
        <f t="shared" si="8"/>
        <v>0.2448922619047619</v>
      </c>
    </row>
    <row r="162" spans="1:10" ht="15.75" customHeight="1">
      <c r="A162" s="13">
        <v>42896</v>
      </c>
      <c r="B162" s="11">
        <v>71</v>
      </c>
      <c r="C162">
        <v>60943</v>
      </c>
      <c r="D162" s="5">
        <v>7.24</v>
      </c>
      <c r="F162">
        <v>100</v>
      </c>
      <c r="G162">
        <v>100</v>
      </c>
      <c r="H162">
        <f t="shared" si="9"/>
        <v>4175133</v>
      </c>
      <c r="I162" s="12">
        <f t="shared" si="7"/>
        <v>0.25392916666666665</v>
      </c>
      <c r="J162" s="12">
        <f t="shared" si="8"/>
        <v>0.24501954225352113</v>
      </c>
    </row>
    <row r="163" spans="1:10" ht="15.75" customHeight="1">
      <c r="A163" s="13">
        <v>42897</v>
      </c>
      <c r="B163" s="11">
        <v>72</v>
      </c>
      <c r="C163">
        <v>58645</v>
      </c>
      <c r="D163" s="5">
        <v>6.95</v>
      </c>
      <c r="F163">
        <v>100</v>
      </c>
      <c r="G163">
        <v>100</v>
      </c>
      <c r="H163">
        <f t="shared" si="9"/>
        <v>4233778</v>
      </c>
      <c r="I163" s="12">
        <f t="shared" si="7"/>
        <v>0.24435416666666668</v>
      </c>
      <c r="J163" s="12">
        <f t="shared" si="8"/>
        <v>0.24501030092592593</v>
      </c>
    </row>
    <row r="164" spans="1:10" ht="15.75" customHeight="1">
      <c r="A164" s="13">
        <v>42898</v>
      </c>
      <c r="B164" s="11">
        <v>73</v>
      </c>
      <c r="C164">
        <v>54189</v>
      </c>
      <c r="D164" s="5">
        <v>6.4</v>
      </c>
      <c r="F164">
        <v>100</v>
      </c>
      <c r="G164">
        <v>92.013888888888886</v>
      </c>
      <c r="H164">
        <f t="shared" si="9"/>
        <v>4287967</v>
      </c>
      <c r="I164" s="12">
        <f t="shared" si="7"/>
        <v>0.2257875</v>
      </c>
      <c r="J164" s="12">
        <f t="shared" si="8"/>
        <v>0.24474697488584474</v>
      </c>
    </row>
    <row r="165" spans="1:10" ht="15.75" customHeight="1">
      <c r="A165" s="13">
        <v>42899</v>
      </c>
      <c r="B165" s="11">
        <v>74</v>
      </c>
      <c r="C165">
        <v>57382</v>
      </c>
      <c r="D165" s="5">
        <v>6.83</v>
      </c>
      <c r="F165">
        <v>100</v>
      </c>
      <c r="G165">
        <v>100</v>
      </c>
      <c r="H165">
        <f t="shared" si="9"/>
        <v>4345349</v>
      </c>
      <c r="I165" s="12">
        <f t="shared" si="7"/>
        <v>0.23909166666666667</v>
      </c>
      <c r="J165" s="12">
        <f t="shared" si="8"/>
        <v>0.24467055180180181</v>
      </c>
    </row>
    <row r="166" spans="1:10" ht="15.75" customHeight="1">
      <c r="A166" s="13">
        <v>42900</v>
      </c>
      <c r="B166" s="11">
        <v>75</v>
      </c>
      <c r="C166">
        <v>51775</v>
      </c>
      <c r="D166" s="5">
        <v>6.01</v>
      </c>
      <c r="F166">
        <v>100</v>
      </c>
      <c r="G166">
        <v>85.833333333333329</v>
      </c>
      <c r="H166">
        <f t="shared" si="9"/>
        <v>4397124</v>
      </c>
      <c r="I166" s="12">
        <f t="shared" si="7"/>
        <v>0.21572916666666667</v>
      </c>
      <c r="J166" s="12">
        <f t="shared" si="8"/>
        <v>0.24428466666666668</v>
      </c>
    </row>
    <row r="167" spans="1:10" ht="15.75" customHeight="1">
      <c r="A167" s="13">
        <v>42901</v>
      </c>
      <c r="B167" s="11">
        <v>76</v>
      </c>
      <c r="C167">
        <v>57884</v>
      </c>
      <c r="D167" s="5">
        <v>7.01</v>
      </c>
      <c r="F167">
        <v>100</v>
      </c>
      <c r="G167">
        <v>100</v>
      </c>
      <c r="H167">
        <f t="shared" si="9"/>
        <v>4455008</v>
      </c>
      <c r="I167" s="12">
        <f t="shared" si="7"/>
        <v>0.24118333333333333</v>
      </c>
      <c r="J167" s="12">
        <f t="shared" si="8"/>
        <v>0.24424385964912282</v>
      </c>
    </row>
    <row r="168" spans="1:10" ht="15.75" customHeight="1">
      <c r="A168" s="13">
        <v>42902</v>
      </c>
      <c r="B168" s="11">
        <v>77</v>
      </c>
      <c r="C168">
        <v>53074</v>
      </c>
      <c r="D168" s="5">
        <v>6.15</v>
      </c>
      <c r="F168">
        <v>100</v>
      </c>
      <c r="G168">
        <v>100</v>
      </c>
      <c r="H168">
        <f t="shared" si="9"/>
        <v>4508082</v>
      </c>
      <c r="I168" s="12">
        <f t="shared" si="7"/>
        <v>0.22114166666666665</v>
      </c>
      <c r="J168" s="12">
        <f t="shared" si="8"/>
        <v>0.24394383116883117</v>
      </c>
    </row>
    <row r="169" spans="1:10" ht="15.75" customHeight="1">
      <c r="A169" s="13">
        <v>42903</v>
      </c>
      <c r="B169" s="11">
        <v>78</v>
      </c>
      <c r="C169">
        <v>56627</v>
      </c>
      <c r="D169" s="5">
        <v>6.54</v>
      </c>
      <c r="F169">
        <v>99.623218135767061</v>
      </c>
      <c r="G169">
        <v>100</v>
      </c>
      <c r="H169">
        <f t="shared" si="9"/>
        <v>4564709</v>
      </c>
      <c r="I169" s="12">
        <f t="shared" si="7"/>
        <v>0.23594583333333333</v>
      </c>
      <c r="J169" s="12">
        <f t="shared" si="8"/>
        <v>0.24384129273504274</v>
      </c>
    </row>
    <row r="170" spans="1:10" ht="15.75" customHeight="1">
      <c r="A170" s="13">
        <v>42904</v>
      </c>
      <c r="B170" s="11">
        <v>79</v>
      </c>
      <c r="C170">
        <v>59732</v>
      </c>
      <c r="D170" s="5">
        <v>7.12</v>
      </c>
      <c r="F170">
        <v>100</v>
      </c>
      <c r="G170">
        <v>100</v>
      </c>
      <c r="H170">
        <f t="shared" si="9"/>
        <v>4624441</v>
      </c>
      <c r="I170" s="12">
        <f t="shared" si="7"/>
        <v>0.24888333333333335</v>
      </c>
      <c r="J170" s="12">
        <f t="shared" si="8"/>
        <v>0.24390511603375528</v>
      </c>
    </row>
    <row r="171" spans="1:10" ht="15.75" customHeight="1">
      <c r="A171" s="13">
        <v>42905</v>
      </c>
      <c r="B171" s="11">
        <v>80</v>
      </c>
      <c r="C171">
        <v>57571</v>
      </c>
      <c r="D171" s="5">
        <v>6.64</v>
      </c>
      <c r="F171">
        <v>100</v>
      </c>
      <c r="G171">
        <v>100</v>
      </c>
      <c r="H171">
        <f t="shared" si="9"/>
        <v>4682012</v>
      </c>
      <c r="I171" s="12">
        <f t="shared" si="7"/>
        <v>0.23987916666666667</v>
      </c>
      <c r="J171" s="12">
        <f t="shared" si="8"/>
        <v>0.24385479166666665</v>
      </c>
    </row>
    <row r="172" spans="1:10" ht="15.75" customHeight="1">
      <c r="A172" s="13">
        <v>42906</v>
      </c>
      <c r="B172" s="11">
        <v>81</v>
      </c>
      <c r="C172">
        <v>41765</v>
      </c>
      <c r="D172" s="5">
        <v>4.72</v>
      </c>
      <c r="F172">
        <v>100</v>
      </c>
      <c r="G172">
        <v>100</v>
      </c>
      <c r="H172">
        <f t="shared" si="9"/>
        <v>4723777</v>
      </c>
      <c r="I172" s="12">
        <f t="shared" si="7"/>
        <v>0.17402083333333335</v>
      </c>
      <c r="J172" s="12">
        <f t="shared" si="8"/>
        <v>0.24299264403292181</v>
      </c>
    </row>
    <row r="173" spans="1:10" ht="15.75" customHeight="1">
      <c r="A173" s="13">
        <v>42907</v>
      </c>
      <c r="B173" s="11">
        <v>82</v>
      </c>
      <c r="C173">
        <v>43072</v>
      </c>
      <c r="D173" s="5">
        <v>4.82</v>
      </c>
      <c r="F173">
        <v>99.661529782814938</v>
      </c>
      <c r="G173">
        <v>91.666666666666657</v>
      </c>
      <c r="H173">
        <f t="shared" si="9"/>
        <v>4766849</v>
      </c>
      <c r="I173" s="12">
        <f t="shared" si="7"/>
        <v>0.17946666666666666</v>
      </c>
      <c r="J173" s="12">
        <f t="shared" si="8"/>
        <v>0.24221793699186991</v>
      </c>
    </row>
    <row r="174" spans="1:10" ht="15.75" customHeight="1">
      <c r="A174" s="13">
        <v>42908</v>
      </c>
      <c r="B174" s="11">
        <v>83</v>
      </c>
      <c r="C174">
        <v>59510</v>
      </c>
      <c r="D174" s="5">
        <v>6.69</v>
      </c>
      <c r="F174">
        <v>100</v>
      </c>
      <c r="G174">
        <v>100</v>
      </c>
      <c r="H174">
        <f t="shared" si="9"/>
        <v>4826359</v>
      </c>
      <c r="I174" s="12">
        <f t="shared" si="7"/>
        <v>0.24795833333333334</v>
      </c>
      <c r="J174" s="12">
        <f t="shared" si="8"/>
        <v>0.24228709839357429</v>
      </c>
    </row>
    <row r="175" spans="1:10" ht="15.75" customHeight="1">
      <c r="A175" s="13">
        <v>42909</v>
      </c>
      <c r="B175" s="11">
        <v>84</v>
      </c>
      <c r="C175">
        <v>56473</v>
      </c>
      <c r="D175" s="5">
        <v>6.53</v>
      </c>
      <c r="F175">
        <v>100</v>
      </c>
      <c r="G175">
        <v>100</v>
      </c>
      <c r="H175">
        <f t="shared" si="9"/>
        <v>4882832</v>
      </c>
      <c r="I175" s="12">
        <f t="shared" si="7"/>
        <v>0.23530416666666668</v>
      </c>
      <c r="J175" s="12">
        <f t="shared" si="8"/>
        <v>0.24220396825396825</v>
      </c>
    </row>
    <row r="176" spans="1:10" ht="15.75" customHeight="1">
      <c r="A176" s="13">
        <v>42910</v>
      </c>
      <c r="B176" s="11">
        <v>85</v>
      </c>
      <c r="C176">
        <v>50359</v>
      </c>
      <c r="D176" s="5">
        <v>5.85</v>
      </c>
      <c r="F176">
        <v>100</v>
      </c>
      <c r="G176">
        <v>87.5</v>
      </c>
      <c r="H176">
        <f t="shared" si="9"/>
        <v>4933191</v>
      </c>
      <c r="I176" s="12">
        <f t="shared" si="7"/>
        <v>0.20982916666666668</v>
      </c>
      <c r="J176" s="12">
        <f t="shared" si="8"/>
        <v>0.24182308823529411</v>
      </c>
    </row>
    <row r="177" spans="1:10" ht="15.75" customHeight="1">
      <c r="A177" s="13">
        <v>42911</v>
      </c>
      <c r="B177" s="11">
        <v>86</v>
      </c>
      <c r="C177">
        <v>57701</v>
      </c>
      <c r="D177" s="5">
        <v>6.78</v>
      </c>
      <c r="F177">
        <v>99.746776678132051</v>
      </c>
      <c r="G177">
        <v>100</v>
      </c>
      <c r="H177">
        <f t="shared" si="9"/>
        <v>4990892</v>
      </c>
      <c r="I177" s="12">
        <f t="shared" si="7"/>
        <v>0.24042083333333333</v>
      </c>
      <c r="J177" s="12">
        <f t="shared" si="8"/>
        <v>0.24180678294573643</v>
      </c>
    </row>
    <row r="178" spans="1:10" ht="15.75" customHeight="1">
      <c r="A178" s="13">
        <v>42912</v>
      </c>
      <c r="B178" s="11">
        <v>87</v>
      </c>
      <c r="C178">
        <v>58868</v>
      </c>
      <c r="D178" s="5">
        <v>6.81</v>
      </c>
      <c r="F178">
        <v>99.626098336137588</v>
      </c>
      <c r="G178">
        <v>100</v>
      </c>
      <c r="H178">
        <f t="shared" si="9"/>
        <v>5049760</v>
      </c>
      <c r="I178" s="12">
        <f t="shared" si="7"/>
        <v>0.24528333333333333</v>
      </c>
      <c r="J178" s="12">
        <f t="shared" si="8"/>
        <v>0.24184674329501915</v>
      </c>
    </row>
    <row r="179" spans="1:10" ht="15.75" customHeight="1">
      <c r="A179" s="13">
        <v>42913</v>
      </c>
      <c r="B179" s="11">
        <v>88</v>
      </c>
      <c r="C179">
        <v>49108</v>
      </c>
      <c r="D179" s="5">
        <v>5.57</v>
      </c>
      <c r="F179">
        <v>100</v>
      </c>
      <c r="G179">
        <v>100</v>
      </c>
      <c r="H179">
        <f t="shared" si="9"/>
        <v>5098868</v>
      </c>
      <c r="I179" s="12">
        <f t="shared" si="7"/>
        <v>0.20461666666666667</v>
      </c>
      <c r="J179" s="12">
        <f t="shared" si="8"/>
        <v>0.24142367424242425</v>
      </c>
    </row>
    <row r="180" spans="1:10" ht="15.75" customHeight="1">
      <c r="A180" s="13">
        <v>42914</v>
      </c>
      <c r="B180" s="11">
        <v>89</v>
      </c>
      <c r="C180">
        <v>41687</v>
      </c>
      <c r="D180" s="5">
        <v>3.92</v>
      </c>
      <c r="F180">
        <v>100</v>
      </c>
      <c r="G180">
        <v>97.569444444444443</v>
      </c>
      <c r="H180">
        <f t="shared" si="9"/>
        <v>5140555</v>
      </c>
      <c r="I180" s="12">
        <f t="shared" si="7"/>
        <v>0.17369583333333333</v>
      </c>
      <c r="J180" s="12">
        <f t="shared" si="8"/>
        <v>0.24066268726591761</v>
      </c>
    </row>
    <row r="181" spans="1:10" ht="15.75" customHeight="1">
      <c r="A181" s="13">
        <v>42915</v>
      </c>
      <c r="B181" s="11">
        <v>90</v>
      </c>
      <c r="C181">
        <v>60081</v>
      </c>
      <c r="D181" s="5">
        <v>6.1</v>
      </c>
      <c r="F181">
        <v>100</v>
      </c>
      <c r="G181">
        <v>100</v>
      </c>
      <c r="H181">
        <f t="shared" si="9"/>
        <v>5200636</v>
      </c>
      <c r="I181" s="12">
        <f t="shared" si="7"/>
        <v>0.25033749999999999</v>
      </c>
      <c r="J181" s="12">
        <f t="shared" si="8"/>
        <v>0.2407701851851852</v>
      </c>
    </row>
    <row r="182" spans="1:10" ht="15.75" customHeight="1">
      <c r="A182" s="13">
        <v>42916</v>
      </c>
      <c r="B182" s="11">
        <v>91</v>
      </c>
      <c r="C182">
        <v>34536</v>
      </c>
      <c r="D182" s="5">
        <v>3.92</v>
      </c>
      <c r="F182">
        <v>100</v>
      </c>
      <c r="G182">
        <v>100</v>
      </c>
      <c r="H182">
        <f t="shared" si="9"/>
        <v>5235172</v>
      </c>
      <c r="I182" s="12">
        <f t="shared" si="7"/>
        <v>0.1439</v>
      </c>
      <c r="J182" s="12">
        <f t="shared" si="8"/>
        <v>0.23970567765567766</v>
      </c>
    </row>
    <row r="183" spans="1:10" ht="15.75" customHeight="1">
      <c r="A183" s="13">
        <v>42917</v>
      </c>
      <c r="B183" s="11">
        <v>92</v>
      </c>
      <c r="C183">
        <v>58884</v>
      </c>
      <c r="D183" s="5">
        <v>6.82</v>
      </c>
      <c r="F183">
        <v>99.521872247619854</v>
      </c>
      <c r="G183">
        <v>100</v>
      </c>
      <c r="H183">
        <f t="shared" si="9"/>
        <v>5294056</v>
      </c>
      <c r="I183" s="12">
        <f t="shared" si="7"/>
        <v>0.24535000000000001</v>
      </c>
      <c r="J183" s="12">
        <f t="shared" si="8"/>
        <v>0.23976702898550725</v>
      </c>
    </row>
    <row r="184" spans="1:10" ht="15.75" customHeight="1">
      <c r="A184" s="13">
        <v>42918</v>
      </c>
      <c r="B184" s="11">
        <v>93</v>
      </c>
      <c r="C184">
        <v>58524</v>
      </c>
      <c r="D184" s="5">
        <v>6.88</v>
      </c>
      <c r="F184">
        <v>99.850743174609761</v>
      </c>
      <c r="G184">
        <v>100</v>
      </c>
      <c r="H184">
        <f t="shared" si="9"/>
        <v>5352580</v>
      </c>
      <c r="I184" s="12">
        <f t="shared" si="7"/>
        <v>0.24385000000000001</v>
      </c>
      <c r="J184" s="12">
        <f t="shared" si="8"/>
        <v>0.23981093189964159</v>
      </c>
    </row>
    <row r="185" spans="1:10" ht="15.75" customHeight="1">
      <c r="A185" s="13">
        <v>42919</v>
      </c>
      <c r="B185" s="11">
        <v>94</v>
      </c>
      <c r="C185">
        <v>54471</v>
      </c>
      <c r="D185" s="5">
        <v>6.16</v>
      </c>
      <c r="F185">
        <v>100</v>
      </c>
      <c r="G185">
        <v>100</v>
      </c>
      <c r="H185">
        <f t="shared" si="9"/>
        <v>5407051</v>
      </c>
      <c r="I185" s="12">
        <f t="shared" si="7"/>
        <v>0.22696250000000001</v>
      </c>
      <c r="J185" s="12">
        <f t="shared" si="8"/>
        <v>0.2396742464539007</v>
      </c>
    </row>
    <row r="186" spans="1:10" ht="15.75" customHeight="1">
      <c r="A186" s="13">
        <v>42920</v>
      </c>
      <c r="B186" s="11">
        <v>95</v>
      </c>
      <c r="C186">
        <v>58134</v>
      </c>
      <c r="D186" s="5">
        <v>6.65</v>
      </c>
      <c r="F186">
        <v>100</v>
      </c>
      <c r="G186">
        <v>100</v>
      </c>
      <c r="H186">
        <f t="shared" si="9"/>
        <v>5465185</v>
      </c>
      <c r="I186" s="12">
        <f t="shared" si="7"/>
        <v>0.242225</v>
      </c>
      <c r="J186" s="12">
        <f t="shared" si="8"/>
        <v>0.23970109649122806</v>
      </c>
    </row>
    <row r="187" spans="1:10" ht="15.75" customHeight="1">
      <c r="A187" s="13">
        <v>42921</v>
      </c>
      <c r="B187" s="11">
        <v>96</v>
      </c>
      <c r="C187">
        <v>57402</v>
      </c>
      <c r="D187" s="5">
        <v>6.6</v>
      </c>
      <c r="F187">
        <v>99.639399858335651</v>
      </c>
      <c r="G187">
        <v>100</v>
      </c>
      <c r="H187">
        <f t="shared" si="9"/>
        <v>5522587</v>
      </c>
      <c r="I187" s="12">
        <f t="shared" si="7"/>
        <v>0.239175</v>
      </c>
      <c r="J187" s="12">
        <f t="shared" si="8"/>
        <v>0.23969561631944444</v>
      </c>
    </row>
    <row r="188" spans="1:10" ht="15.75" customHeight="1">
      <c r="A188" s="13">
        <v>42922</v>
      </c>
      <c r="B188" s="11">
        <v>97</v>
      </c>
      <c r="C188">
        <v>59989</v>
      </c>
      <c r="D188" s="5">
        <v>6.68</v>
      </c>
      <c r="F188">
        <v>100</v>
      </c>
      <c r="G188">
        <v>100</v>
      </c>
      <c r="H188">
        <f t="shared" si="9"/>
        <v>5582576</v>
      </c>
      <c r="I188" s="12">
        <f t="shared" si="7"/>
        <v>0.24995416666666667</v>
      </c>
      <c r="J188" s="12">
        <f t="shared" si="8"/>
        <v>0.23980137457044673</v>
      </c>
    </row>
    <row r="189" spans="1:10" ht="15.75" customHeight="1">
      <c r="A189" s="13">
        <v>42923</v>
      </c>
      <c r="B189" s="11">
        <v>98</v>
      </c>
      <c r="C189">
        <v>60908</v>
      </c>
      <c r="D189" s="5">
        <v>7.09</v>
      </c>
      <c r="F189">
        <v>100</v>
      </c>
      <c r="G189">
        <v>100</v>
      </c>
      <c r="H189">
        <f t="shared" si="9"/>
        <v>5643484</v>
      </c>
      <c r="I189" s="12">
        <f t="shared" si="7"/>
        <v>0.25378333333333336</v>
      </c>
      <c r="J189" s="12">
        <f t="shared" si="8"/>
        <v>0.23994404761904761</v>
      </c>
    </row>
    <row r="190" spans="1:10" ht="15.75" customHeight="1">
      <c r="A190" s="13">
        <v>42924</v>
      </c>
      <c r="B190" s="11">
        <v>99</v>
      </c>
      <c r="C190">
        <v>60770</v>
      </c>
      <c r="D190" s="5">
        <v>7.15</v>
      </c>
      <c r="F190">
        <v>99.88704819277109</v>
      </c>
      <c r="G190">
        <v>100</v>
      </c>
      <c r="H190">
        <f t="shared" si="9"/>
        <v>5704254</v>
      </c>
      <c r="I190" s="12">
        <f t="shared" si="7"/>
        <v>0.25320833333333331</v>
      </c>
      <c r="J190" s="12">
        <f t="shared" si="8"/>
        <v>0.24007803030303029</v>
      </c>
    </row>
    <row r="191" spans="1:10" ht="15.75" customHeight="1">
      <c r="A191" s="13">
        <v>42925</v>
      </c>
      <c r="B191" s="11">
        <v>100</v>
      </c>
      <c r="C191">
        <v>61426</v>
      </c>
      <c r="D191" s="5">
        <v>7.08</v>
      </c>
      <c r="F191">
        <v>99.056761968642576</v>
      </c>
      <c r="G191">
        <v>100</v>
      </c>
      <c r="H191">
        <f t="shared" si="9"/>
        <v>5765680</v>
      </c>
      <c r="I191" s="12">
        <f t="shared" si="7"/>
        <v>0.25594166666666668</v>
      </c>
      <c r="J191" s="12">
        <f t="shared" si="8"/>
        <v>0.24023666666666665</v>
      </c>
    </row>
    <row r="192" spans="1:10" ht="15.75" customHeight="1">
      <c r="A192" s="13">
        <v>42926</v>
      </c>
      <c r="B192" s="11">
        <v>101</v>
      </c>
      <c r="C192">
        <v>60946</v>
      </c>
      <c r="D192" s="5">
        <v>7.16</v>
      </c>
      <c r="F192">
        <v>99.414460285132378</v>
      </c>
      <c r="G192">
        <v>100</v>
      </c>
      <c r="H192">
        <f t="shared" si="9"/>
        <v>5826626</v>
      </c>
      <c r="I192" s="12">
        <f t="shared" si="7"/>
        <v>0.25394166666666668</v>
      </c>
      <c r="J192" s="12">
        <f t="shared" si="8"/>
        <v>0.2403723597359736</v>
      </c>
    </row>
    <row r="193" spans="1:10" ht="15.75" customHeight="1">
      <c r="A193" s="13">
        <v>42927</v>
      </c>
      <c r="B193" s="11">
        <v>102</v>
      </c>
      <c r="C193">
        <v>48203</v>
      </c>
      <c r="D193" s="5">
        <v>5.31</v>
      </c>
      <c r="F193">
        <v>99.667880181388512</v>
      </c>
      <c r="G193">
        <v>100</v>
      </c>
      <c r="H193">
        <f t="shared" si="9"/>
        <v>5874829</v>
      </c>
      <c r="I193" s="12">
        <f t="shared" si="7"/>
        <v>0.20084583333333333</v>
      </c>
      <c r="J193" s="12">
        <f t="shared" si="8"/>
        <v>0.23998484477124182</v>
      </c>
    </row>
    <row r="194" spans="1:10" ht="15.75" customHeight="1">
      <c r="A194" s="13">
        <v>42928</v>
      </c>
      <c r="B194" s="11">
        <v>103</v>
      </c>
      <c r="C194">
        <v>46559</v>
      </c>
      <c r="D194" s="5">
        <v>5.23</v>
      </c>
      <c r="F194">
        <v>100</v>
      </c>
      <c r="G194">
        <v>100</v>
      </c>
      <c r="H194">
        <f t="shared" si="9"/>
        <v>5921388</v>
      </c>
      <c r="I194" s="12">
        <f t="shared" si="7"/>
        <v>0.19399583333333334</v>
      </c>
      <c r="J194" s="12">
        <f t="shared" si="8"/>
        <v>0.2395383495145631</v>
      </c>
    </row>
    <row r="195" spans="1:10" ht="15.75" customHeight="1">
      <c r="A195" s="13">
        <v>42929</v>
      </c>
      <c r="B195" s="11">
        <v>104</v>
      </c>
      <c r="C195">
        <v>29151</v>
      </c>
      <c r="D195" s="5">
        <v>3.14</v>
      </c>
      <c r="F195">
        <v>100</v>
      </c>
      <c r="G195">
        <v>100</v>
      </c>
      <c r="H195">
        <f t="shared" si="9"/>
        <v>5950539</v>
      </c>
      <c r="I195" s="12">
        <f t="shared" ref="I195:I258" si="10">C195/(10*24*1000)</f>
        <v>0.1214625</v>
      </c>
      <c r="J195" s="12">
        <f t="shared" si="8"/>
        <v>0.2384030048076923</v>
      </c>
    </row>
    <row r="196" spans="1:10" ht="15.75" customHeight="1">
      <c r="A196" s="13">
        <v>42930</v>
      </c>
      <c r="B196" s="11">
        <v>105</v>
      </c>
      <c r="C196">
        <v>53533</v>
      </c>
      <c r="D196" s="5">
        <v>6.04</v>
      </c>
      <c r="F196">
        <v>100</v>
      </c>
      <c r="G196">
        <v>100</v>
      </c>
      <c r="H196">
        <f t="shared" si="9"/>
        <v>6004072</v>
      </c>
      <c r="I196" s="12">
        <f t="shared" si="10"/>
        <v>0.22305416666666666</v>
      </c>
      <c r="J196" s="12">
        <f t="shared" ref="J196:J259" si="11">H196/(24*B196*10*1000)</f>
        <v>0.23825682539682538</v>
      </c>
    </row>
    <row r="197" spans="1:10" ht="15.75" customHeight="1">
      <c r="A197" s="13">
        <v>42931</v>
      </c>
      <c r="B197" s="11">
        <v>106</v>
      </c>
      <c r="C197">
        <v>50508</v>
      </c>
      <c r="D197" s="5">
        <v>5.8</v>
      </c>
      <c r="F197">
        <v>100</v>
      </c>
      <c r="G197">
        <v>100</v>
      </c>
      <c r="H197">
        <f t="shared" si="9"/>
        <v>6054580</v>
      </c>
      <c r="I197" s="12">
        <f t="shared" si="10"/>
        <v>0.21045</v>
      </c>
      <c r="J197" s="12">
        <f t="shared" si="11"/>
        <v>0.23799449685534591</v>
      </c>
    </row>
    <row r="198" spans="1:10" ht="15.75" customHeight="1">
      <c r="A198" s="13">
        <v>42932</v>
      </c>
      <c r="B198" s="11">
        <v>107</v>
      </c>
      <c r="C198">
        <v>46725</v>
      </c>
      <c r="D198" s="5">
        <v>5.37</v>
      </c>
      <c r="F198">
        <v>98.989810644159704</v>
      </c>
      <c r="G198">
        <v>100</v>
      </c>
      <c r="H198">
        <f t="shared" si="9"/>
        <v>6101305</v>
      </c>
      <c r="I198" s="12">
        <f t="shared" si="10"/>
        <v>0.19468750000000001</v>
      </c>
      <c r="J198" s="12">
        <f t="shared" si="11"/>
        <v>0.2375897585669782</v>
      </c>
    </row>
    <row r="199" spans="1:10" ht="15.75" customHeight="1">
      <c r="A199" s="13">
        <v>42933</v>
      </c>
      <c r="B199" s="11">
        <v>108</v>
      </c>
      <c r="C199">
        <v>27487</v>
      </c>
      <c r="D199" s="5">
        <v>3.2</v>
      </c>
      <c r="F199">
        <v>100</v>
      </c>
      <c r="G199">
        <v>100</v>
      </c>
      <c r="H199">
        <f t="shared" si="9"/>
        <v>6128792</v>
      </c>
      <c r="I199" s="12">
        <f t="shared" si="10"/>
        <v>0.11452916666666667</v>
      </c>
      <c r="J199" s="12">
        <f t="shared" si="11"/>
        <v>0.2364503086419753</v>
      </c>
    </row>
    <row r="200" spans="1:10" ht="15.75" customHeight="1">
      <c r="A200" s="13">
        <v>42934</v>
      </c>
      <c r="B200" s="11">
        <v>109</v>
      </c>
      <c r="C200">
        <v>49144</v>
      </c>
      <c r="D200" s="5">
        <v>5.27</v>
      </c>
      <c r="F200">
        <v>100</v>
      </c>
      <c r="G200">
        <v>100</v>
      </c>
      <c r="H200">
        <f t="shared" si="9"/>
        <v>6177936</v>
      </c>
      <c r="I200" s="12">
        <f t="shared" si="10"/>
        <v>0.20476666666666668</v>
      </c>
      <c r="J200" s="12">
        <f t="shared" si="11"/>
        <v>0.23615963302752294</v>
      </c>
    </row>
    <row r="201" spans="1:10" ht="15.75" customHeight="1">
      <c r="A201" s="13">
        <v>42935</v>
      </c>
      <c r="B201" s="11">
        <v>110</v>
      </c>
      <c r="C201">
        <v>34211</v>
      </c>
      <c r="D201" s="5">
        <v>3.87</v>
      </c>
      <c r="F201">
        <v>100</v>
      </c>
      <c r="G201">
        <v>100</v>
      </c>
      <c r="H201">
        <f t="shared" si="9"/>
        <v>6212147</v>
      </c>
      <c r="I201" s="12">
        <f t="shared" si="10"/>
        <v>0.14254583333333334</v>
      </c>
      <c r="J201" s="12">
        <f t="shared" si="11"/>
        <v>0.23530859848484847</v>
      </c>
    </row>
    <row r="202" spans="1:10" ht="15.75" customHeight="1">
      <c r="A202" s="13">
        <v>42936</v>
      </c>
      <c r="B202" s="11">
        <v>111</v>
      </c>
      <c r="C202">
        <v>58698</v>
      </c>
      <c r="D202" s="5">
        <v>6.52</v>
      </c>
      <c r="F202">
        <v>100</v>
      </c>
      <c r="G202">
        <v>100</v>
      </c>
      <c r="H202">
        <f t="shared" si="9"/>
        <v>6270845</v>
      </c>
      <c r="I202" s="12">
        <f t="shared" si="10"/>
        <v>0.24457499999999999</v>
      </c>
      <c r="J202" s="12">
        <f t="shared" si="11"/>
        <v>0.23539207957957958</v>
      </c>
    </row>
    <row r="203" spans="1:10" ht="15.75" customHeight="1">
      <c r="A203" s="13">
        <v>42937</v>
      </c>
      <c r="B203" s="11">
        <v>112</v>
      </c>
      <c r="C203">
        <v>61851</v>
      </c>
      <c r="D203" s="5">
        <v>6.93</v>
      </c>
      <c r="F203">
        <v>100</v>
      </c>
      <c r="G203">
        <v>100</v>
      </c>
      <c r="H203">
        <f t="shared" si="9"/>
        <v>6332696</v>
      </c>
      <c r="I203" s="12">
        <f t="shared" si="10"/>
        <v>0.25771250000000001</v>
      </c>
      <c r="J203" s="12">
        <f t="shared" si="11"/>
        <v>0.23559136904761904</v>
      </c>
    </row>
    <row r="204" spans="1:10" ht="15.75" customHeight="1">
      <c r="A204" s="13">
        <v>42938</v>
      </c>
      <c r="B204" s="11">
        <v>113</v>
      </c>
      <c r="C204">
        <v>57119</v>
      </c>
      <c r="D204" s="5">
        <v>6.3</v>
      </c>
      <c r="F204">
        <v>100</v>
      </c>
      <c r="G204">
        <v>100</v>
      </c>
      <c r="H204">
        <f t="shared" si="9"/>
        <v>6389815</v>
      </c>
      <c r="I204" s="12">
        <f t="shared" si="10"/>
        <v>0.23799583333333332</v>
      </c>
      <c r="J204" s="12">
        <f t="shared" si="11"/>
        <v>0.23561264749262537</v>
      </c>
    </row>
    <row r="205" spans="1:10" ht="15.75" customHeight="1">
      <c r="A205" s="13">
        <v>42939</v>
      </c>
      <c r="B205" s="11">
        <v>114</v>
      </c>
      <c r="C205">
        <v>50832</v>
      </c>
      <c r="D205" s="5">
        <v>6.53</v>
      </c>
      <c r="F205">
        <v>100</v>
      </c>
      <c r="G205">
        <v>100</v>
      </c>
      <c r="H205">
        <f t="shared" si="9"/>
        <v>6440647</v>
      </c>
      <c r="I205" s="12">
        <f t="shared" si="10"/>
        <v>0.21179999999999999</v>
      </c>
      <c r="J205" s="12">
        <f t="shared" si="11"/>
        <v>0.23540376461988305</v>
      </c>
    </row>
    <row r="206" spans="1:10" ht="15.75" customHeight="1">
      <c r="A206" s="13">
        <v>42940</v>
      </c>
      <c r="B206" s="11">
        <v>115</v>
      </c>
      <c r="C206">
        <v>47934</v>
      </c>
      <c r="D206" s="5">
        <v>5.21</v>
      </c>
      <c r="F206">
        <v>100</v>
      </c>
      <c r="G206">
        <v>100</v>
      </c>
      <c r="H206">
        <f t="shared" si="9"/>
        <v>6488581</v>
      </c>
      <c r="I206" s="12">
        <f t="shared" si="10"/>
        <v>0.19972500000000001</v>
      </c>
      <c r="J206" s="12">
        <f t="shared" si="11"/>
        <v>0.23509351449275362</v>
      </c>
    </row>
    <row r="207" spans="1:10" ht="15.75" customHeight="1">
      <c r="A207" s="13">
        <v>42941</v>
      </c>
      <c r="B207" s="11">
        <v>116</v>
      </c>
      <c r="C207">
        <v>55566</v>
      </c>
      <c r="D207" s="5">
        <v>6.52</v>
      </c>
      <c r="F207">
        <v>100</v>
      </c>
      <c r="G207">
        <v>100</v>
      </c>
      <c r="H207">
        <f t="shared" si="9"/>
        <v>6544147</v>
      </c>
      <c r="I207" s="12">
        <f t="shared" si="10"/>
        <v>0.23152500000000001</v>
      </c>
      <c r="J207" s="12">
        <f t="shared" si="11"/>
        <v>0.2350627514367816</v>
      </c>
    </row>
    <row r="208" spans="1:10" ht="15.75" customHeight="1">
      <c r="A208" s="13">
        <v>42942</v>
      </c>
      <c r="B208" s="11">
        <v>117</v>
      </c>
      <c r="C208">
        <v>51848</v>
      </c>
      <c r="D208" s="5">
        <v>5.85</v>
      </c>
      <c r="F208">
        <v>100</v>
      </c>
      <c r="G208">
        <v>100</v>
      </c>
      <c r="H208">
        <f t="shared" si="9"/>
        <v>6595995</v>
      </c>
      <c r="I208" s="12">
        <f t="shared" si="10"/>
        <v>0.21603333333333333</v>
      </c>
      <c r="J208" s="12">
        <f t="shared" si="11"/>
        <v>0.23490010683760684</v>
      </c>
    </row>
    <row r="209" spans="1:10" ht="15.75" customHeight="1">
      <c r="A209" s="13">
        <v>42943</v>
      </c>
      <c r="B209" s="11">
        <v>118</v>
      </c>
      <c r="C209">
        <v>50887</v>
      </c>
      <c r="D209" s="5">
        <v>5.73</v>
      </c>
      <c r="F209">
        <v>100</v>
      </c>
      <c r="G209">
        <v>100</v>
      </c>
      <c r="H209">
        <f t="shared" si="9"/>
        <v>6646882</v>
      </c>
      <c r="I209" s="12">
        <f t="shared" si="10"/>
        <v>0.21202916666666666</v>
      </c>
      <c r="J209" s="12">
        <f t="shared" si="11"/>
        <v>0.23470628531073445</v>
      </c>
    </row>
    <row r="210" spans="1:10" ht="15.75" customHeight="1">
      <c r="A210" s="13">
        <v>42944</v>
      </c>
      <c r="B210" s="11">
        <v>119</v>
      </c>
      <c r="C210">
        <v>27180</v>
      </c>
      <c r="D210" s="5">
        <v>3.05</v>
      </c>
      <c r="F210">
        <v>100</v>
      </c>
      <c r="G210">
        <v>91.319444444444443</v>
      </c>
      <c r="H210">
        <f t="shared" si="9"/>
        <v>6674062</v>
      </c>
      <c r="I210" s="12">
        <f t="shared" si="10"/>
        <v>0.11325</v>
      </c>
      <c r="J210" s="12">
        <f t="shared" si="11"/>
        <v>0.23368564425770308</v>
      </c>
    </row>
    <row r="211" spans="1:10" ht="15.75" customHeight="1">
      <c r="A211" s="13">
        <v>42945</v>
      </c>
      <c r="B211" s="11">
        <v>120</v>
      </c>
      <c r="C211">
        <v>29457</v>
      </c>
      <c r="D211" s="5">
        <v>3.53</v>
      </c>
      <c r="F211">
        <v>99.260071252397921</v>
      </c>
      <c r="G211">
        <v>100</v>
      </c>
      <c r="H211">
        <f t="shared" si="9"/>
        <v>6703519</v>
      </c>
      <c r="I211" s="12">
        <f t="shared" si="10"/>
        <v>0.1227375</v>
      </c>
      <c r="J211" s="12">
        <f t="shared" si="11"/>
        <v>0.23276107638888888</v>
      </c>
    </row>
    <row r="212" spans="1:10" ht="15.75" customHeight="1">
      <c r="A212" s="13">
        <v>42946</v>
      </c>
      <c r="B212" s="11">
        <v>121</v>
      </c>
      <c r="C212">
        <v>30620</v>
      </c>
      <c r="D212" s="5">
        <v>3.04</v>
      </c>
      <c r="F212">
        <v>100</v>
      </c>
      <c r="G212">
        <v>100</v>
      </c>
      <c r="H212">
        <f t="shared" si="9"/>
        <v>6734139</v>
      </c>
      <c r="I212" s="12">
        <f t="shared" si="10"/>
        <v>0.12758333333333333</v>
      </c>
      <c r="J212" s="12">
        <f t="shared" si="11"/>
        <v>0.23189183884297521</v>
      </c>
    </row>
    <row r="213" spans="1:10" ht="15.75" customHeight="1">
      <c r="A213" s="13">
        <v>42947</v>
      </c>
      <c r="B213" s="11">
        <v>122</v>
      </c>
      <c r="C213">
        <v>38303</v>
      </c>
      <c r="D213" s="5">
        <v>3.93</v>
      </c>
      <c r="F213">
        <v>100</v>
      </c>
      <c r="G213">
        <v>100</v>
      </c>
      <c r="H213">
        <f t="shared" si="9"/>
        <v>6772442</v>
      </c>
      <c r="I213" s="12">
        <f t="shared" si="10"/>
        <v>0.15959583333333333</v>
      </c>
      <c r="J213" s="12">
        <f t="shared" si="11"/>
        <v>0.23129924863387979</v>
      </c>
    </row>
    <row r="214" spans="1:10" ht="15.75" customHeight="1">
      <c r="A214" s="13">
        <v>42948</v>
      </c>
      <c r="B214" s="11">
        <v>123</v>
      </c>
      <c r="C214">
        <v>49042</v>
      </c>
      <c r="D214" s="5">
        <v>5.27</v>
      </c>
      <c r="F214">
        <v>100</v>
      </c>
      <c r="G214">
        <v>100</v>
      </c>
      <c r="H214">
        <f t="shared" si="9"/>
        <v>6821484</v>
      </c>
      <c r="I214" s="12">
        <f t="shared" si="10"/>
        <v>0.20434166666666667</v>
      </c>
      <c r="J214" s="12">
        <f t="shared" si="11"/>
        <v>0.23108008130081301</v>
      </c>
    </row>
    <row r="215" spans="1:10" ht="15.75" customHeight="1">
      <c r="A215" s="13">
        <v>42949</v>
      </c>
      <c r="B215" s="11">
        <v>124</v>
      </c>
      <c r="C215">
        <v>48666</v>
      </c>
      <c r="D215" s="5">
        <v>5.19</v>
      </c>
      <c r="F215">
        <v>100</v>
      </c>
      <c r="G215">
        <v>100</v>
      </c>
      <c r="H215">
        <f t="shared" si="9"/>
        <v>6870150</v>
      </c>
      <c r="I215" s="12">
        <f t="shared" si="10"/>
        <v>0.20277500000000001</v>
      </c>
      <c r="J215" s="12">
        <f t="shared" si="11"/>
        <v>0.23085181451612904</v>
      </c>
    </row>
    <row r="216" spans="1:10" ht="15.75" customHeight="1">
      <c r="A216" s="13">
        <v>42950</v>
      </c>
      <c r="B216" s="11">
        <v>125</v>
      </c>
      <c r="C216">
        <v>61149</v>
      </c>
      <c r="D216" s="5">
        <v>6.74</v>
      </c>
      <c r="F216">
        <v>100</v>
      </c>
      <c r="G216">
        <v>100</v>
      </c>
      <c r="H216">
        <f t="shared" si="9"/>
        <v>6931299</v>
      </c>
      <c r="I216" s="12">
        <f t="shared" si="10"/>
        <v>0.2547875</v>
      </c>
      <c r="J216" s="12">
        <f t="shared" si="11"/>
        <v>0.23104330000000001</v>
      </c>
    </row>
    <row r="217" spans="1:10" ht="15.75" customHeight="1">
      <c r="A217" s="13">
        <v>42951</v>
      </c>
      <c r="B217" s="11">
        <v>126</v>
      </c>
      <c r="C217">
        <v>54428</v>
      </c>
      <c r="D217" s="5">
        <v>5.81</v>
      </c>
      <c r="F217">
        <v>99.215874191370261</v>
      </c>
      <c r="G217">
        <v>94.097222222222214</v>
      </c>
      <c r="H217">
        <f t="shared" si="9"/>
        <v>6985727</v>
      </c>
      <c r="I217" s="12">
        <f t="shared" si="10"/>
        <v>0.22678333333333334</v>
      </c>
      <c r="J217" s="12">
        <f t="shared" si="11"/>
        <v>0.23100949074074073</v>
      </c>
    </row>
    <row r="218" spans="1:10" ht="15.75" customHeight="1">
      <c r="A218" s="13">
        <v>42952</v>
      </c>
      <c r="B218" s="11">
        <v>127</v>
      </c>
      <c r="C218">
        <v>55481</v>
      </c>
      <c r="D218" s="5">
        <v>6.17</v>
      </c>
      <c r="F218">
        <v>100</v>
      </c>
      <c r="G218">
        <v>100</v>
      </c>
      <c r="H218">
        <f t="shared" si="9"/>
        <v>7041208</v>
      </c>
      <c r="I218" s="12">
        <f t="shared" si="10"/>
        <v>0.23117083333333333</v>
      </c>
      <c r="J218" s="12">
        <f t="shared" si="11"/>
        <v>0.23101076115485564</v>
      </c>
    </row>
    <row r="219" spans="1:10" ht="15.75" customHeight="1">
      <c r="A219" s="13">
        <v>42953</v>
      </c>
      <c r="B219" s="11">
        <v>128</v>
      </c>
      <c r="C219">
        <v>54205</v>
      </c>
      <c r="D219" s="5">
        <v>5.9</v>
      </c>
      <c r="F219">
        <v>100</v>
      </c>
      <c r="G219">
        <v>100</v>
      </c>
      <c r="H219">
        <f t="shared" si="9"/>
        <v>7095413</v>
      </c>
      <c r="I219" s="12">
        <f t="shared" si="10"/>
        <v>0.22585416666666666</v>
      </c>
      <c r="J219" s="12">
        <f t="shared" si="11"/>
        <v>0.23097047526041667</v>
      </c>
    </row>
    <row r="220" spans="1:10" ht="15.75" customHeight="1">
      <c r="A220" s="13">
        <v>42954</v>
      </c>
      <c r="B220" s="11">
        <v>129</v>
      </c>
      <c r="C220">
        <v>42778</v>
      </c>
      <c r="D220" s="5">
        <v>4.7300000000000004</v>
      </c>
      <c r="F220">
        <v>100</v>
      </c>
      <c r="G220">
        <v>100</v>
      </c>
      <c r="H220">
        <f t="shared" si="9"/>
        <v>7138191</v>
      </c>
      <c r="I220" s="12">
        <f t="shared" si="10"/>
        <v>0.17824166666666666</v>
      </c>
      <c r="J220" s="12">
        <f t="shared" si="11"/>
        <v>0.23056172480620155</v>
      </c>
    </row>
    <row r="221" spans="1:10" ht="15.75" customHeight="1">
      <c r="A221" s="13">
        <v>42955</v>
      </c>
      <c r="B221" s="11">
        <v>130</v>
      </c>
      <c r="C221">
        <v>41497</v>
      </c>
      <c r="D221" s="5">
        <v>4.55</v>
      </c>
      <c r="F221">
        <v>100</v>
      </c>
      <c r="G221">
        <v>100</v>
      </c>
      <c r="H221">
        <f t="shared" si="9"/>
        <v>7179688</v>
      </c>
      <c r="I221" s="12">
        <f t="shared" si="10"/>
        <v>0.17290416666666666</v>
      </c>
      <c r="J221" s="12">
        <f t="shared" si="11"/>
        <v>0.23011820512820513</v>
      </c>
    </row>
    <row r="222" spans="1:10" ht="15.75" customHeight="1">
      <c r="A222" s="13">
        <v>42956</v>
      </c>
      <c r="B222" s="11">
        <v>131</v>
      </c>
      <c r="C222">
        <v>50187</v>
      </c>
      <c r="D222" s="5">
        <v>5.49</v>
      </c>
      <c r="F222">
        <v>100</v>
      </c>
      <c r="G222">
        <v>100</v>
      </c>
      <c r="H222">
        <f t="shared" si="9"/>
        <v>7229875</v>
      </c>
      <c r="I222" s="12">
        <f t="shared" si="10"/>
        <v>0.20911250000000001</v>
      </c>
      <c r="J222" s="12">
        <f t="shared" si="11"/>
        <v>0.2299578562340967</v>
      </c>
    </row>
    <row r="223" spans="1:10" ht="15.75" customHeight="1">
      <c r="A223" s="13">
        <v>42957</v>
      </c>
      <c r="B223" s="11">
        <v>132</v>
      </c>
      <c r="C223">
        <v>52261</v>
      </c>
      <c r="D223" s="5">
        <v>6.34</v>
      </c>
      <c r="F223">
        <v>94.880770072194267</v>
      </c>
      <c r="G223">
        <v>100</v>
      </c>
      <c r="H223">
        <f t="shared" si="9"/>
        <v>7282136</v>
      </c>
      <c r="I223" s="12">
        <f t="shared" si="10"/>
        <v>0.21775416666666667</v>
      </c>
      <c r="J223" s="12">
        <f t="shared" si="11"/>
        <v>0.22986540404040404</v>
      </c>
    </row>
    <row r="224" spans="1:10" ht="15.75" customHeight="1">
      <c r="A224" s="13">
        <v>42958</v>
      </c>
      <c r="B224" s="11">
        <v>133</v>
      </c>
      <c r="C224">
        <v>59709</v>
      </c>
      <c r="D224" s="5">
        <v>6.34</v>
      </c>
      <c r="F224">
        <v>99.843848272571506</v>
      </c>
      <c r="G224">
        <v>100</v>
      </c>
      <c r="H224">
        <f t="shared" ref="H224:H287" si="12">H223+C224</f>
        <v>7341845</v>
      </c>
      <c r="I224" s="12">
        <f t="shared" si="10"/>
        <v>0.24878749999999999</v>
      </c>
      <c r="J224" s="12">
        <f t="shared" si="11"/>
        <v>0.23000767543859649</v>
      </c>
    </row>
    <row r="225" spans="1:10" ht="15.75" customHeight="1">
      <c r="A225" s="13">
        <v>42959</v>
      </c>
      <c r="B225" s="11">
        <v>134</v>
      </c>
      <c r="C225">
        <v>43293</v>
      </c>
      <c r="D225" s="5">
        <v>4.78</v>
      </c>
      <c r="F225">
        <v>100</v>
      </c>
      <c r="G225">
        <v>100</v>
      </c>
      <c r="H225">
        <f t="shared" si="12"/>
        <v>7385138</v>
      </c>
      <c r="I225" s="12">
        <f t="shared" si="10"/>
        <v>0.18038750000000001</v>
      </c>
      <c r="J225" s="12">
        <f t="shared" si="11"/>
        <v>0.22963737562189054</v>
      </c>
    </row>
    <row r="226" spans="1:10" ht="15.75" customHeight="1">
      <c r="A226" s="13">
        <v>42960</v>
      </c>
      <c r="B226" s="11">
        <v>135</v>
      </c>
      <c r="C226">
        <v>47970</v>
      </c>
      <c r="D226" s="5">
        <v>5.37</v>
      </c>
      <c r="F226">
        <v>99.840901557838919</v>
      </c>
      <c r="G226">
        <v>100</v>
      </c>
      <c r="H226">
        <f t="shared" si="12"/>
        <v>7433108</v>
      </c>
      <c r="I226" s="12">
        <f t="shared" si="10"/>
        <v>0.199875</v>
      </c>
      <c r="J226" s="12">
        <f t="shared" si="11"/>
        <v>0.22941691358024691</v>
      </c>
    </row>
    <row r="227" spans="1:10" ht="15.75" customHeight="1">
      <c r="A227" s="13">
        <v>42961</v>
      </c>
      <c r="B227" s="11">
        <v>136</v>
      </c>
      <c r="C227">
        <v>47307</v>
      </c>
      <c r="D227" s="5">
        <v>5.07</v>
      </c>
      <c r="F227">
        <v>100</v>
      </c>
      <c r="G227">
        <v>100</v>
      </c>
      <c r="H227">
        <f t="shared" si="12"/>
        <v>7480415</v>
      </c>
      <c r="I227" s="12">
        <f t="shared" si="10"/>
        <v>0.1971125</v>
      </c>
      <c r="J227" s="12">
        <f t="shared" si="11"/>
        <v>0.22917938112745098</v>
      </c>
    </row>
    <row r="228" spans="1:10" ht="15.75" customHeight="1">
      <c r="A228" s="13">
        <v>42962</v>
      </c>
      <c r="B228" s="11">
        <v>137</v>
      </c>
      <c r="C228">
        <v>54148</v>
      </c>
      <c r="D228" s="5">
        <v>6.07</v>
      </c>
      <c r="F228">
        <v>100</v>
      </c>
      <c r="G228">
        <v>100</v>
      </c>
      <c r="H228">
        <f t="shared" si="12"/>
        <v>7534563</v>
      </c>
      <c r="I228" s="12">
        <f t="shared" si="10"/>
        <v>0.22561666666666666</v>
      </c>
      <c r="J228" s="12">
        <f t="shared" si="11"/>
        <v>0.22915337591240875</v>
      </c>
    </row>
    <row r="229" spans="1:10" ht="15.75" customHeight="1">
      <c r="A229" s="13">
        <v>42963</v>
      </c>
      <c r="B229" s="11">
        <v>138</v>
      </c>
      <c r="C229">
        <v>59121</v>
      </c>
      <c r="D229" s="5">
        <v>6.47</v>
      </c>
      <c r="F229">
        <v>100</v>
      </c>
      <c r="G229">
        <v>100</v>
      </c>
      <c r="H229">
        <f t="shared" si="12"/>
        <v>7593684</v>
      </c>
      <c r="I229" s="12">
        <f t="shared" si="10"/>
        <v>0.24633749999999999</v>
      </c>
      <c r="J229" s="12">
        <f t="shared" si="11"/>
        <v>0.22927789855072464</v>
      </c>
    </row>
    <row r="230" spans="1:10" ht="15.75" customHeight="1">
      <c r="A230" s="13">
        <v>42964</v>
      </c>
      <c r="B230" s="11">
        <v>139</v>
      </c>
      <c r="C230">
        <v>59964</v>
      </c>
      <c r="D230" s="5">
        <v>6.53</v>
      </c>
      <c r="F230">
        <v>100</v>
      </c>
      <c r="G230">
        <v>87.5</v>
      </c>
      <c r="H230">
        <f t="shared" si="12"/>
        <v>7653648</v>
      </c>
      <c r="I230" s="12">
        <f t="shared" si="10"/>
        <v>0.24984999999999999</v>
      </c>
      <c r="J230" s="12">
        <f t="shared" si="11"/>
        <v>0.22942589928057555</v>
      </c>
    </row>
    <row r="231" spans="1:10" ht="15.75" customHeight="1">
      <c r="A231" s="13">
        <v>42965</v>
      </c>
      <c r="B231" s="11">
        <v>140</v>
      </c>
      <c r="C231">
        <v>59577</v>
      </c>
      <c r="D231" s="5">
        <v>6.56</v>
      </c>
      <c r="F231">
        <v>100</v>
      </c>
      <c r="G231">
        <v>99.305555555555557</v>
      </c>
      <c r="H231">
        <f t="shared" si="12"/>
        <v>7713225</v>
      </c>
      <c r="I231" s="12">
        <f t="shared" si="10"/>
        <v>0.2482375</v>
      </c>
      <c r="J231" s="12">
        <f t="shared" si="11"/>
        <v>0.22956026785714287</v>
      </c>
    </row>
    <row r="232" spans="1:10" ht="15.75" customHeight="1">
      <c r="A232" s="13">
        <v>42966</v>
      </c>
      <c r="B232" s="11">
        <v>141</v>
      </c>
      <c r="C232">
        <v>57886</v>
      </c>
      <c r="D232" s="5">
        <v>6.44</v>
      </c>
      <c r="F232">
        <v>99.787446031218863</v>
      </c>
      <c r="G232">
        <v>100</v>
      </c>
      <c r="H232">
        <f t="shared" si="12"/>
        <v>7771111</v>
      </c>
      <c r="I232" s="12">
        <f t="shared" si="10"/>
        <v>0.24119166666666667</v>
      </c>
      <c r="J232" s="12">
        <f t="shared" si="11"/>
        <v>0.22964276004728132</v>
      </c>
    </row>
    <row r="233" spans="1:10" ht="15.75" customHeight="1">
      <c r="A233" s="13">
        <v>42967</v>
      </c>
      <c r="B233" s="11">
        <v>142</v>
      </c>
      <c r="C233">
        <v>57442</v>
      </c>
      <c r="D233" s="5">
        <v>6.22</v>
      </c>
      <c r="F233">
        <v>100</v>
      </c>
      <c r="G233">
        <v>99.305555555555557</v>
      </c>
      <c r="H233">
        <f t="shared" si="12"/>
        <v>7828553</v>
      </c>
      <c r="I233" s="12">
        <f t="shared" si="10"/>
        <v>0.23934166666666667</v>
      </c>
      <c r="J233" s="12">
        <f t="shared" si="11"/>
        <v>0.22971106220657278</v>
      </c>
    </row>
    <row r="234" spans="1:10" ht="15.75" customHeight="1">
      <c r="A234" s="13">
        <v>42968</v>
      </c>
      <c r="B234" s="11">
        <v>143</v>
      </c>
      <c r="C234">
        <v>43508</v>
      </c>
      <c r="D234" s="5">
        <v>4.6500000000000004</v>
      </c>
      <c r="F234">
        <v>100</v>
      </c>
      <c r="G234">
        <v>100</v>
      </c>
      <c r="H234">
        <f t="shared" si="12"/>
        <v>7872061</v>
      </c>
      <c r="I234" s="12">
        <f t="shared" si="10"/>
        <v>0.18128333333333332</v>
      </c>
      <c r="J234" s="12">
        <f t="shared" si="11"/>
        <v>0.22937240675990675</v>
      </c>
    </row>
    <row r="235" spans="1:10" ht="15.75" customHeight="1">
      <c r="A235" s="13">
        <v>42969</v>
      </c>
      <c r="B235" s="11">
        <v>144</v>
      </c>
      <c r="C235">
        <v>48423</v>
      </c>
      <c r="D235" s="5">
        <v>5.36</v>
      </c>
      <c r="F235">
        <v>99.714883102071852</v>
      </c>
      <c r="G235">
        <v>100</v>
      </c>
      <c r="H235">
        <f t="shared" si="12"/>
        <v>7920484</v>
      </c>
      <c r="I235" s="12">
        <f t="shared" si="10"/>
        <v>0.20176250000000001</v>
      </c>
      <c r="J235" s="12">
        <f t="shared" si="11"/>
        <v>0.2291806712962963</v>
      </c>
    </row>
    <row r="236" spans="1:10" ht="15.75" customHeight="1">
      <c r="A236" s="13">
        <v>42970</v>
      </c>
      <c r="B236" s="11">
        <v>145</v>
      </c>
      <c r="C236">
        <v>47840</v>
      </c>
      <c r="D236" s="5">
        <v>5.22</v>
      </c>
      <c r="F236">
        <v>100</v>
      </c>
      <c r="G236">
        <v>100</v>
      </c>
      <c r="H236">
        <f t="shared" si="12"/>
        <v>7968324</v>
      </c>
      <c r="I236" s="12">
        <f t="shared" si="10"/>
        <v>0.19933333333333333</v>
      </c>
      <c r="J236" s="12">
        <f t="shared" si="11"/>
        <v>0.22897482758620691</v>
      </c>
    </row>
    <row r="237" spans="1:10" ht="15.75" customHeight="1">
      <c r="A237" s="13">
        <v>42971</v>
      </c>
      <c r="B237" s="11">
        <v>146</v>
      </c>
      <c r="C237">
        <v>57145</v>
      </c>
      <c r="D237" s="5">
        <v>6.07</v>
      </c>
      <c r="F237">
        <v>100</v>
      </c>
      <c r="G237">
        <v>100</v>
      </c>
      <c r="H237">
        <f t="shared" si="12"/>
        <v>8025469</v>
      </c>
      <c r="I237" s="12">
        <f t="shared" si="10"/>
        <v>0.23810416666666667</v>
      </c>
      <c r="J237" s="12">
        <f t="shared" si="11"/>
        <v>0.22903735730593608</v>
      </c>
    </row>
    <row r="238" spans="1:10" ht="15.75" customHeight="1">
      <c r="A238" s="13">
        <v>42972</v>
      </c>
      <c r="B238" s="11">
        <v>147</v>
      </c>
      <c r="C238">
        <v>58599</v>
      </c>
      <c r="D238" s="5">
        <v>6.25</v>
      </c>
      <c r="F238">
        <v>100</v>
      </c>
      <c r="G238">
        <v>100</v>
      </c>
      <c r="H238">
        <f t="shared" si="12"/>
        <v>8084068</v>
      </c>
      <c r="I238" s="12">
        <f t="shared" si="10"/>
        <v>0.2441625</v>
      </c>
      <c r="J238" s="12">
        <f t="shared" si="11"/>
        <v>0.22914024943310657</v>
      </c>
    </row>
    <row r="239" spans="1:10" ht="15.75" customHeight="1">
      <c r="A239" s="13">
        <v>42973</v>
      </c>
      <c r="B239" s="11">
        <v>148</v>
      </c>
      <c r="C239">
        <v>48990</v>
      </c>
      <c r="D239" s="5">
        <v>5.45</v>
      </c>
      <c r="F239">
        <v>99.796227952996588</v>
      </c>
      <c r="G239">
        <v>100</v>
      </c>
      <c r="H239">
        <f t="shared" si="12"/>
        <v>8133058</v>
      </c>
      <c r="I239" s="12">
        <f t="shared" si="10"/>
        <v>0.204125</v>
      </c>
      <c r="J239" s="12">
        <f t="shared" si="11"/>
        <v>0.22897122747747747</v>
      </c>
    </row>
    <row r="240" spans="1:10" ht="15.75" customHeight="1">
      <c r="A240" s="13">
        <v>42974</v>
      </c>
      <c r="B240" s="11">
        <v>149</v>
      </c>
      <c r="C240">
        <v>62508</v>
      </c>
      <c r="D240" s="5">
        <v>6.39</v>
      </c>
      <c r="F240">
        <v>100</v>
      </c>
      <c r="G240">
        <v>100</v>
      </c>
      <c r="H240">
        <f t="shared" si="12"/>
        <v>8195566</v>
      </c>
      <c r="I240" s="12">
        <f t="shared" si="10"/>
        <v>0.26045000000000001</v>
      </c>
      <c r="J240" s="12">
        <f t="shared" si="11"/>
        <v>0.22918249440715885</v>
      </c>
    </row>
    <row r="241" spans="1:10" ht="15.75" customHeight="1">
      <c r="A241" s="13">
        <v>42975</v>
      </c>
      <c r="B241" s="11">
        <v>150</v>
      </c>
      <c r="C241">
        <v>58223</v>
      </c>
      <c r="D241" s="5">
        <v>6.21</v>
      </c>
      <c r="F241">
        <v>100</v>
      </c>
      <c r="G241">
        <v>100</v>
      </c>
      <c r="H241">
        <f t="shared" si="12"/>
        <v>8253789</v>
      </c>
      <c r="I241" s="12">
        <f t="shared" si="10"/>
        <v>0.24259583333333334</v>
      </c>
      <c r="J241" s="12">
        <f t="shared" si="11"/>
        <v>0.22927191666666666</v>
      </c>
    </row>
    <row r="242" spans="1:10" ht="15.75" customHeight="1">
      <c r="A242" s="13">
        <v>42976</v>
      </c>
      <c r="B242" s="11">
        <v>151</v>
      </c>
      <c r="C242">
        <v>42949</v>
      </c>
      <c r="D242" s="5">
        <v>4.53</v>
      </c>
      <c r="F242">
        <v>100</v>
      </c>
      <c r="G242">
        <v>96.875</v>
      </c>
      <c r="H242">
        <f t="shared" si="12"/>
        <v>8296738</v>
      </c>
      <c r="I242" s="12">
        <f t="shared" si="10"/>
        <v>0.17895416666666666</v>
      </c>
      <c r="J242" s="12">
        <f t="shared" si="11"/>
        <v>0.22893868653421634</v>
      </c>
    </row>
    <row r="243" spans="1:10" ht="15.75" customHeight="1">
      <c r="A243" s="13">
        <v>42977</v>
      </c>
      <c r="B243" s="11">
        <v>152</v>
      </c>
      <c r="C243">
        <v>40207</v>
      </c>
      <c r="D243" s="5">
        <v>4.29</v>
      </c>
      <c r="F243">
        <v>99.167610811810675</v>
      </c>
      <c r="G243">
        <v>100</v>
      </c>
      <c r="H243">
        <f t="shared" si="12"/>
        <v>8336945</v>
      </c>
      <c r="I243" s="12">
        <f t="shared" si="10"/>
        <v>0.16752916666666667</v>
      </c>
      <c r="J243" s="12">
        <f t="shared" si="11"/>
        <v>0.22853467653508772</v>
      </c>
    </row>
    <row r="244" spans="1:10" ht="15.75" customHeight="1">
      <c r="A244" s="13">
        <v>42978</v>
      </c>
      <c r="B244" s="11">
        <v>153</v>
      </c>
      <c r="C244">
        <v>30667</v>
      </c>
      <c r="D244" s="5">
        <v>3.25</v>
      </c>
      <c r="F244">
        <v>100</v>
      </c>
      <c r="G244">
        <v>100</v>
      </c>
      <c r="H244">
        <f t="shared" si="12"/>
        <v>8367612</v>
      </c>
      <c r="I244" s="12">
        <f t="shared" si="10"/>
        <v>0.12777916666666667</v>
      </c>
      <c r="J244" s="12">
        <f t="shared" si="11"/>
        <v>0.22787614379084967</v>
      </c>
    </row>
    <row r="245" spans="1:10" ht="15.75" customHeight="1">
      <c r="A245" s="13">
        <v>42979</v>
      </c>
      <c r="B245" s="11">
        <v>154</v>
      </c>
      <c r="C245">
        <v>26690</v>
      </c>
      <c r="D245" s="5">
        <v>2.68</v>
      </c>
      <c r="F245">
        <v>100</v>
      </c>
      <c r="G245">
        <v>100</v>
      </c>
      <c r="H245">
        <f t="shared" si="12"/>
        <v>8394302</v>
      </c>
      <c r="I245" s="12">
        <f t="shared" si="10"/>
        <v>0.11120833333333334</v>
      </c>
      <c r="J245" s="12">
        <f t="shared" si="11"/>
        <v>0.22711856060606062</v>
      </c>
    </row>
    <row r="246" spans="1:10" ht="15.75" customHeight="1">
      <c r="A246" s="13">
        <v>42980</v>
      </c>
      <c r="B246" s="11">
        <v>155</v>
      </c>
      <c r="C246">
        <v>25639</v>
      </c>
      <c r="D246" s="5">
        <v>2.64</v>
      </c>
      <c r="F246">
        <v>100</v>
      </c>
      <c r="G246">
        <v>100</v>
      </c>
      <c r="H246">
        <f t="shared" si="12"/>
        <v>8419941</v>
      </c>
      <c r="I246" s="12">
        <f t="shared" si="10"/>
        <v>0.10682916666666667</v>
      </c>
      <c r="J246" s="12">
        <f t="shared" si="11"/>
        <v>0.2263425</v>
      </c>
    </row>
    <row r="247" spans="1:10" ht="15.75" customHeight="1">
      <c r="A247" s="13">
        <v>42981</v>
      </c>
      <c r="B247" s="11">
        <v>156</v>
      </c>
      <c r="C247">
        <v>47448</v>
      </c>
      <c r="D247" s="5">
        <v>5.0599999999999996</v>
      </c>
      <c r="F247">
        <v>100</v>
      </c>
      <c r="G247">
        <v>100</v>
      </c>
      <c r="H247">
        <f t="shared" si="12"/>
        <v>8467389</v>
      </c>
      <c r="I247" s="12">
        <f t="shared" si="10"/>
        <v>0.19769999999999999</v>
      </c>
      <c r="J247" s="12">
        <f t="shared" si="11"/>
        <v>0.22615889423076924</v>
      </c>
    </row>
    <row r="248" spans="1:10" ht="15.75" customHeight="1">
      <c r="A248" s="13">
        <v>42982</v>
      </c>
      <c r="B248" s="11">
        <v>157</v>
      </c>
      <c r="C248">
        <v>47538</v>
      </c>
      <c r="D248" s="5">
        <v>5.1100000000000003</v>
      </c>
      <c r="F248">
        <v>99.341126947450292</v>
      </c>
      <c r="G248">
        <v>98.402777777777771</v>
      </c>
      <c r="H248">
        <f t="shared" si="12"/>
        <v>8514927</v>
      </c>
      <c r="I248" s="12">
        <f t="shared" si="10"/>
        <v>0.198075</v>
      </c>
      <c r="J248" s="12">
        <f t="shared" si="11"/>
        <v>0.22598001592356687</v>
      </c>
    </row>
    <row r="249" spans="1:10" ht="15.75" customHeight="1">
      <c r="A249" s="13">
        <v>42983</v>
      </c>
      <c r="B249" s="11">
        <v>158</v>
      </c>
      <c r="C249">
        <v>58317</v>
      </c>
      <c r="D249" s="5">
        <v>6.11</v>
      </c>
      <c r="F249">
        <v>100</v>
      </c>
      <c r="G249">
        <v>94.027777777777771</v>
      </c>
      <c r="H249">
        <f t="shared" si="12"/>
        <v>8573244</v>
      </c>
      <c r="I249" s="12">
        <f t="shared" si="10"/>
        <v>0.2429875</v>
      </c>
      <c r="J249" s="12">
        <f t="shared" si="11"/>
        <v>0.2260876582278481</v>
      </c>
    </row>
    <row r="250" spans="1:10" ht="15.75" customHeight="1">
      <c r="A250" s="13">
        <v>42984</v>
      </c>
      <c r="B250" s="11">
        <v>159</v>
      </c>
      <c r="C250">
        <v>60779</v>
      </c>
      <c r="D250" s="5">
        <v>6.32</v>
      </c>
      <c r="F250">
        <v>100</v>
      </c>
      <c r="G250">
        <v>100</v>
      </c>
      <c r="H250">
        <f t="shared" si="12"/>
        <v>8634023</v>
      </c>
      <c r="I250" s="12">
        <f t="shared" si="10"/>
        <v>0.25324583333333334</v>
      </c>
      <c r="J250" s="12">
        <f t="shared" si="11"/>
        <v>0.226258464360587</v>
      </c>
    </row>
    <row r="251" spans="1:10" ht="15.75" customHeight="1">
      <c r="A251" s="13">
        <v>42985</v>
      </c>
      <c r="B251" s="11">
        <v>160</v>
      </c>
      <c r="C251">
        <v>57056</v>
      </c>
      <c r="D251" s="5">
        <v>5.99</v>
      </c>
      <c r="F251">
        <v>100</v>
      </c>
      <c r="G251">
        <v>100</v>
      </c>
      <c r="H251">
        <f t="shared" si="12"/>
        <v>8691079</v>
      </c>
      <c r="I251" s="12">
        <f t="shared" si="10"/>
        <v>0.23773333333333332</v>
      </c>
      <c r="J251" s="12">
        <f t="shared" si="11"/>
        <v>0.22633018229166665</v>
      </c>
    </row>
    <row r="252" spans="1:10" ht="15.75" customHeight="1">
      <c r="A252" s="13">
        <v>42986</v>
      </c>
      <c r="B252" s="11">
        <v>161</v>
      </c>
      <c r="C252">
        <v>57946</v>
      </c>
      <c r="D252" s="5">
        <v>6.17</v>
      </c>
      <c r="F252">
        <v>100</v>
      </c>
      <c r="G252">
        <v>100</v>
      </c>
      <c r="H252">
        <f t="shared" si="12"/>
        <v>8749025</v>
      </c>
      <c r="I252" s="12">
        <f t="shared" si="10"/>
        <v>0.24144166666666667</v>
      </c>
      <c r="J252" s="12">
        <f t="shared" si="11"/>
        <v>0.22642404244306419</v>
      </c>
    </row>
    <row r="253" spans="1:10" ht="15.75" customHeight="1">
      <c r="A253" s="13">
        <v>42987</v>
      </c>
      <c r="B253" s="11">
        <v>162</v>
      </c>
      <c r="C253">
        <v>58498</v>
      </c>
      <c r="D253" s="5">
        <v>6.13</v>
      </c>
      <c r="F253">
        <v>100</v>
      </c>
      <c r="G253">
        <v>100</v>
      </c>
      <c r="H253">
        <f t="shared" si="12"/>
        <v>8807523</v>
      </c>
      <c r="I253" s="12">
        <f t="shared" si="10"/>
        <v>0.24374166666666666</v>
      </c>
      <c r="J253" s="12">
        <f t="shared" si="11"/>
        <v>0.22653094135802468</v>
      </c>
    </row>
    <row r="254" spans="1:10" ht="15.75" customHeight="1">
      <c r="A254" s="13">
        <v>42988</v>
      </c>
      <c r="B254" s="11">
        <v>163</v>
      </c>
      <c r="C254">
        <v>53668</v>
      </c>
      <c r="D254" s="5">
        <v>5.62</v>
      </c>
      <c r="F254">
        <v>100</v>
      </c>
      <c r="G254">
        <v>92.916666666666671</v>
      </c>
      <c r="H254">
        <f t="shared" si="12"/>
        <v>8861191</v>
      </c>
      <c r="I254" s="12">
        <f t="shared" si="10"/>
        <v>0.22361666666666666</v>
      </c>
      <c r="J254" s="12">
        <f t="shared" si="11"/>
        <v>0.22651306237218813</v>
      </c>
    </row>
    <row r="255" spans="1:10" ht="15.75" customHeight="1">
      <c r="A255" s="13">
        <v>42989</v>
      </c>
      <c r="B255" s="11">
        <v>164</v>
      </c>
      <c r="C255">
        <v>40413</v>
      </c>
      <c r="D255" s="5">
        <v>4.2699999999999996</v>
      </c>
      <c r="F255">
        <v>100</v>
      </c>
      <c r="G255">
        <v>100</v>
      </c>
      <c r="H255">
        <f t="shared" si="12"/>
        <v>8901604</v>
      </c>
      <c r="I255" s="12">
        <f t="shared" si="10"/>
        <v>0.1683875</v>
      </c>
      <c r="J255" s="12">
        <f t="shared" si="11"/>
        <v>0.2261586382113821</v>
      </c>
    </row>
    <row r="256" spans="1:10" ht="15.75" customHeight="1">
      <c r="A256" s="13">
        <v>42990</v>
      </c>
      <c r="B256" s="11">
        <v>165</v>
      </c>
      <c r="C256">
        <v>59700</v>
      </c>
      <c r="D256" s="5">
        <v>5.99</v>
      </c>
      <c r="F256">
        <v>100</v>
      </c>
      <c r="G256">
        <v>100</v>
      </c>
      <c r="H256">
        <f t="shared" si="12"/>
        <v>8961304</v>
      </c>
      <c r="I256" s="12">
        <f t="shared" si="10"/>
        <v>0.24875</v>
      </c>
      <c r="J256" s="12">
        <f t="shared" si="11"/>
        <v>0.22629555555555556</v>
      </c>
    </row>
    <row r="257" spans="1:10" ht="15.75" customHeight="1">
      <c r="A257" s="13">
        <v>42991</v>
      </c>
      <c r="B257" s="11">
        <v>166</v>
      </c>
      <c r="C257">
        <v>62020</v>
      </c>
      <c r="D257" s="5">
        <v>6.24</v>
      </c>
      <c r="F257">
        <v>100</v>
      </c>
      <c r="G257">
        <v>100</v>
      </c>
      <c r="H257">
        <f t="shared" si="12"/>
        <v>9023324</v>
      </c>
      <c r="I257" s="12">
        <f t="shared" si="10"/>
        <v>0.25841666666666668</v>
      </c>
      <c r="J257" s="12">
        <f t="shared" si="11"/>
        <v>0.22648905622489959</v>
      </c>
    </row>
    <row r="258" spans="1:10" ht="15.75" customHeight="1">
      <c r="A258" s="13">
        <v>42992</v>
      </c>
      <c r="B258" s="11">
        <v>167</v>
      </c>
      <c r="C258">
        <v>52488</v>
      </c>
      <c r="D258" s="5">
        <v>5</v>
      </c>
      <c r="F258">
        <v>100</v>
      </c>
      <c r="G258">
        <v>98.263888888888886</v>
      </c>
      <c r="H258">
        <f t="shared" si="12"/>
        <v>9075812</v>
      </c>
      <c r="I258" s="12">
        <f t="shared" si="10"/>
        <v>0.21870000000000001</v>
      </c>
      <c r="J258" s="12">
        <f t="shared" si="11"/>
        <v>0.22644241516966068</v>
      </c>
    </row>
    <row r="259" spans="1:10" ht="15.75" customHeight="1">
      <c r="A259" s="13">
        <v>42993</v>
      </c>
      <c r="B259" s="11">
        <v>168</v>
      </c>
      <c r="C259">
        <v>60745</v>
      </c>
      <c r="D259" s="5">
        <v>5.82</v>
      </c>
      <c r="F259">
        <v>100</v>
      </c>
      <c r="G259">
        <v>100</v>
      </c>
      <c r="H259">
        <f t="shared" si="12"/>
        <v>9136557</v>
      </c>
      <c r="I259" s="12">
        <f t="shared" ref="I259:I322" si="13">C259/(10*24*1000)</f>
        <v>0.25310416666666669</v>
      </c>
      <c r="J259" s="12">
        <f t="shared" si="11"/>
        <v>0.22660111607142858</v>
      </c>
    </row>
    <row r="260" spans="1:10" ht="15.75" customHeight="1">
      <c r="A260" s="13">
        <v>42994</v>
      </c>
      <c r="B260" s="11">
        <v>169</v>
      </c>
      <c r="C260">
        <v>38490</v>
      </c>
      <c r="D260" s="5">
        <v>3.64</v>
      </c>
      <c r="F260">
        <v>100</v>
      </c>
      <c r="G260">
        <v>100</v>
      </c>
      <c r="H260">
        <f t="shared" si="12"/>
        <v>9175047</v>
      </c>
      <c r="I260" s="12">
        <f t="shared" si="13"/>
        <v>0.16037499999999999</v>
      </c>
      <c r="J260" s="12">
        <f t="shared" ref="J260:J323" si="14">H260/(24*B260*10*1000)</f>
        <v>0.22620924556213018</v>
      </c>
    </row>
    <row r="261" spans="1:10" ht="15.75" customHeight="1">
      <c r="A261" s="13">
        <v>42995</v>
      </c>
      <c r="B261" s="11">
        <v>170</v>
      </c>
      <c r="C261">
        <v>58319</v>
      </c>
      <c r="D261" s="5">
        <v>5.67</v>
      </c>
      <c r="F261">
        <v>100</v>
      </c>
      <c r="G261">
        <v>98.541666666666671</v>
      </c>
      <c r="H261">
        <f t="shared" si="12"/>
        <v>9233366</v>
      </c>
      <c r="I261" s="12">
        <f t="shared" si="13"/>
        <v>0.24299583333333333</v>
      </c>
      <c r="J261" s="12">
        <f t="shared" si="14"/>
        <v>0.22630799019607842</v>
      </c>
    </row>
    <row r="262" spans="1:10" ht="15.75" customHeight="1">
      <c r="A262" s="13">
        <v>42996</v>
      </c>
      <c r="B262" s="11">
        <v>171</v>
      </c>
      <c r="C262">
        <v>60000</v>
      </c>
      <c r="D262" s="5">
        <v>6.09</v>
      </c>
      <c r="F262">
        <v>100</v>
      </c>
      <c r="G262">
        <v>100</v>
      </c>
      <c r="H262">
        <f t="shared" si="12"/>
        <v>9293366</v>
      </c>
      <c r="I262" s="12">
        <f t="shared" si="13"/>
        <v>0.25</v>
      </c>
      <c r="J262" s="12">
        <f t="shared" si="14"/>
        <v>0.22644653996101363</v>
      </c>
    </row>
    <row r="263" spans="1:10" ht="15.75" customHeight="1">
      <c r="A263" s="13">
        <v>42997</v>
      </c>
      <c r="B263" s="11">
        <v>172</v>
      </c>
      <c r="C263">
        <v>60148</v>
      </c>
      <c r="D263" s="5">
        <v>6.16</v>
      </c>
      <c r="F263">
        <v>100</v>
      </c>
      <c r="G263">
        <v>100</v>
      </c>
      <c r="H263">
        <f t="shared" si="12"/>
        <v>9353514</v>
      </c>
      <c r="I263" s="12">
        <f t="shared" si="13"/>
        <v>0.25061666666666665</v>
      </c>
      <c r="J263" s="12">
        <f t="shared" si="14"/>
        <v>0.22658706395348838</v>
      </c>
    </row>
    <row r="264" spans="1:10" ht="15.75" customHeight="1">
      <c r="A264" s="13">
        <v>42998</v>
      </c>
      <c r="B264" s="11">
        <v>173</v>
      </c>
      <c r="C264">
        <v>53923</v>
      </c>
      <c r="D264" s="5">
        <v>5.64</v>
      </c>
      <c r="F264">
        <v>99.254800802522212</v>
      </c>
      <c r="G264">
        <v>98.75</v>
      </c>
      <c r="H264">
        <f t="shared" si="12"/>
        <v>9407437</v>
      </c>
      <c r="I264" s="12">
        <f t="shared" si="13"/>
        <v>0.22467916666666668</v>
      </c>
      <c r="J264" s="12">
        <f t="shared" si="14"/>
        <v>0.22657603564547207</v>
      </c>
    </row>
    <row r="265" spans="1:10" ht="15.75" customHeight="1">
      <c r="A265" s="13">
        <v>42999</v>
      </c>
      <c r="B265" s="11">
        <v>174</v>
      </c>
      <c r="C265">
        <v>61321</v>
      </c>
      <c r="D265" s="5">
        <v>6.23</v>
      </c>
      <c r="F265">
        <v>100</v>
      </c>
      <c r="G265">
        <v>100</v>
      </c>
      <c r="H265">
        <f t="shared" si="12"/>
        <v>9468758</v>
      </c>
      <c r="I265" s="12">
        <f t="shared" si="13"/>
        <v>0.25550416666666664</v>
      </c>
      <c r="J265" s="12">
        <f t="shared" si="14"/>
        <v>0.22674228927203066</v>
      </c>
    </row>
    <row r="266" spans="1:10" ht="15.75" customHeight="1">
      <c r="A266" s="13">
        <v>43000</v>
      </c>
      <c r="B266" s="11">
        <v>175</v>
      </c>
      <c r="C266">
        <v>58961</v>
      </c>
      <c r="D266" s="5">
        <v>5.97</v>
      </c>
      <c r="F266">
        <v>99.783633041638623</v>
      </c>
      <c r="G266">
        <v>100</v>
      </c>
      <c r="H266">
        <f t="shared" si="12"/>
        <v>9527719</v>
      </c>
      <c r="I266" s="12">
        <f t="shared" si="13"/>
        <v>0.24567083333333334</v>
      </c>
      <c r="J266" s="12">
        <f t="shared" si="14"/>
        <v>0.22685045238095239</v>
      </c>
    </row>
    <row r="267" spans="1:10" ht="15.75" customHeight="1">
      <c r="A267" s="13">
        <v>43001</v>
      </c>
      <c r="B267" s="11">
        <v>176</v>
      </c>
      <c r="C267">
        <v>59214</v>
      </c>
      <c r="D267" s="5">
        <v>5.87</v>
      </c>
      <c r="F267">
        <v>100</v>
      </c>
      <c r="G267">
        <v>97.847222222222214</v>
      </c>
      <c r="H267">
        <f t="shared" si="12"/>
        <v>9586933</v>
      </c>
      <c r="I267" s="12">
        <f t="shared" si="13"/>
        <v>0.246725</v>
      </c>
      <c r="J267" s="12">
        <f t="shared" si="14"/>
        <v>0.22696337594696969</v>
      </c>
    </row>
    <row r="268" spans="1:10" ht="15.75" customHeight="1">
      <c r="A268" s="13">
        <v>43002</v>
      </c>
      <c r="B268" s="11">
        <v>177</v>
      </c>
      <c r="C268">
        <v>54560</v>
      </c>
      <c r="D268" s="5">
        <v>5.32</v>
      </c>
      <c r="F268">
        <v>100</v>
      </c>
      <c r="G268">
        <v>100</v>
      </c>
      <c r="H268">
        <f t="shared" si="12"/>
        <v>9641493</v>
      </c>
      <c r="I268" s="12">
        <f t="shared" si="13"/>
        <v>0.22733333333333333</v>
      </c>
      <c r="J268" s="12">
        <f t="shared" si="14"/>
        <v>0.22696546610169491</v>
      </c>
    </row>
    <row r="269" spans="1:10" ht="15.75" customHeight="1">
      <c r="A269" s="13">
        <v>43003</v>
      </c>
      <c r="B269" s="11">
        <v>178</v>
      </c>
      <c r="C269">
        <v>61970</v>
      </c>
      <c r="D269" s="5">
        <v>5.87</v>
      </c>
      <c r="F269">
        <v>100</v>
      </c>
      <c r="G269">
        <v>100</v>
      </c>
      <c r="H269">
        <f t="shared" si="12"/>
        <v>9703463</v>
      </c>
      <c r="I269" s="12">
        <f t="shared" si="13"/>
        <v>0.25820833333333332</v>
      </c>
      <c r="J269" s="12">
        <f t="shared" si="14"/>
        <v>0.22714098782771536</v>
      </c>
    </row>
    <row r="270" spans="1:10" ht="15.75" customHeight="1">
      <c r="A270" s="13">
        <v>43004</v>
      </c>
      <c r="B270" s="11">
        <v>179</v>
      </c>
      <c r="C270">
        <v>60959</v>
      </c>
      <c r="D270" s="5">
        <v>5.85</v>
      </c>
      <c r="F270">
        <v>100</v>
      </c>
      <c r="G270">
        <v>100</v>
      </c>
      <c r="H270">
        <f t="shared" si="12"/>
        <v>9764422</v>
      </c>
      <c r="I270" s="12">
        <f t="shared" si="13"/>
        <v>0.25399583333333331</v>
      </c>
      <c r="J270" s="12">
        <f t="shared" si="14"/>
        <v>0.22729101489757914</v>
      </c>
    </row>
    <row r="271" spans="1:10" ht="15.75" customHeight="1">
      <c r="A271" s="13">
        <v>43005</v>
      </c>
      <c r="B271" s="11">
        <v>180</v>
      </c>
      <c r="C271">
        <v>60880</v>
      </c>
      <c r="D271" s="5">
        <v>6.14</v>
      </c>
      <c r="F271">
        <v>98.800171404085134</v>
      </c>
      <c r="G271">
        <v>100</v>
      </c>
      <c r="H271">
        <f t="shared" si="12"/>
        <v>9825302</v>
      </c>
      <c r="I271" s="12">
        <f t="shared" si="13"/>
        <v>0.25366666666666665</v>
      </c>
      <c r="J271" s="12">
        <f t="shared" si="14"/>
        <v>0.22743754629629628</v>
      </c>
    </row>
    <row r="272" spans="1:10" ht="15.75" customHeight="1">
      <c r="A272" s="13">
        <v>43006</v>
      </c>
      <c r="B272" s="11">
        <v>181</v>
      </c>
      <c r="C272">
        <v>62041</v>
      </c>
      <c r="D272" s="5">
        <v>6.15</v>
      </c>
      <c r="F272">
        <v>100</v>
      </c>
      <c r="G272">
        <v>100</v>
      </c>
      <c r="H272">
        <f t="shared" si="12"/>
        <v>9887343</v>
      </c>
      <c r="I272" s="12">
        <f t="shared" si="13"/>
        <v>0.25850416666666665</v>
      </c>
      <c r="J272" s="12">
        <f t="shared" si="14"/>
        <v>0.22760918508287292</v>
      </c>
    </row>
    <row r="273" spans="1:10" ht="15.75" customHeight="1">
      <c r="A273" s="13">
        <v>43007</v>
      </c>
      <c r="B273" s="11">
        <v>182</v>
      </c>
      <c r="C273">
        <v>62061</v>
      </c>
      <c r="D273" s="5">
        <v>6.06</v>
      </c>
      <c r="F273">
        <v>100</v>
      </c>
      <c r="G273">
        <v>100</v>
      </c>
      <c r="H273">
        <f t="shared" si="12"/>
        <v>9949404</v>
      </c>
      <c r="I273" s="12">
        <f t="shared" si="13"/>
        <v>0.25858750000000003</v>
      </c>
      <c r="J273" s="12">
        <f t="shared" si="14"/>
        <v>0.22777939560439561</v>
      </c>
    </row>
    <row r="274" spans="1:10" ht="15.75" customHeight="1">
      <c r="A274" s="13">
        <v>43008</v>
      </c>
      <c r="B274" s="11">
        <v>183</v>
      </c>
      <c r="C274">
        <v>62354</v>
      </c>
      <c r="D274" s="5">
        <v>6.11</v>
      </c>
      <c r="F274">
        <v>100</v>
      </c>
      <c r="G274">
        <v>100</v>
      </c>
      <c r="H274">
        <f t="shared" si="12"/>
        <v>10011758</v>
      </c>
      <c r="I274" s="12">
        <f t="shared" si="13"/>
        <v>0.25980833333333331</v>
      </c>
      <c r="J274" s="12">
        <f t="shared" si="14"/>
        <v>0.22795441712204007</v>
      </c>
    </row>
    <row r="275" spans="1:10" ht="15.75" customHeight="1">
      <c r="A275" s="13">
        <v>43009</v>
      </c>
      <c r="B275" s="11">
        <v>184</v>
      </c>
      <c r="C275">
        <v>63141</v>
      </c>
      <c r="D275" s="5">
        <v>6.12</v>
      </c>
      <c r="F275">
        <v>100</v>
      </c>
      <c r="G275">
        <v>100</v>
      </c>
      <c r="H275">
        <f t="shared" si="12"/>
        <v>10074899</v>
      </c>
      <c r="I275" s="12">
        <f t="shared" si="13"/>
        <v>0.26308749999999997</v>
      </c>
      <c r="J275" s="12">
        <f t="shared" si="14"/>
        <v>0.22814535778985506</v>
      </c>
    </row>
    <row r="276" spans="1:10" ht="15.75" customHeight="1">
      <c r="A276" s="13">
        <v>43010</v>
      </c>
      <c r="B276" s="11">
        <v>185</v>
      </c>
      <c r="C276">
        <v>61884</v>
      </c>
      <c r="D276" s="5">
        <v>6.03</v>
      </c>
      <c r="F276">
        <v>100</v>
      </c>
      <c r="G276">
        <v>100</v>
      </c>
      <c r="H276">
        <f t="shared" si="12"/>
        <v>10136783</v>
      </c>
      <c r="I276" s="12">
        <f t="shared" si="13"/>
        <v>0.25785000000000002</v>
      </c>
      <c r="J276" s="12">
        <f t="shared" si="14"/>
        <v>0.22830592342342343</v>
      </c>
    </row>
    <row r="277" spans="1:10" ht="15.75" customHeight="1">
      <c r="A277" s="13">
        <v>43011</v>
      </c>
      <c r="B277" s="11">
        <v>186</v>
      </c>
      <c r="C277">
        <v>61094</v>
      </c>
      <c r="D277" s="5">
        <v>5.94</v>
      </c>
      <c r="F277">
        <v>100</v>
      </c>
      <c r="G277">
        <v>100</v>
      </c>
      <c r="H277">
        <f t="shared" si="12"/>
        <v>10197877</v>
      </c>
      <c r="I277" s="12">
        <f t="shared" si="13"/>
        <v>0.25455833333333333</v>
      </c>
      <c r="J277" s="12">
        <f t="shared" si="14"/>
        <v>0.22844706541218637</v>
      </c>
    </row>
    <row r="278" spans="1:10" ht="15.75" customHeight="1">
      <c r="A278" s="13">
        <v>43012</v>
      </c>
      <c r="B278" s="11">
        <v>187</v>
      </c>
      <c r="C278">
        <v>60793</v>
      </c>
      <c r="D278" s="5">
        <v>5.87</v>
      </c>
      <c r="F278">
        <v>100</v>
      </c>
      <c r="G278">
        <v>100</v>
      </c>
      <c r="H278">
        <f t="shared" si="12"/>
        <v>10258670</v>
      </c>
      <c r="I278" s="12">
        <f t="shared" si="13"/>
        <v>0.25330416666666666</v>
      </c>
      <c r="J278" s="12">
        <f t="shared" si="14"/>
        <v>0.22857999108734403</v>
      </c>
    </row>
    <row r="279" spans="1:10" ht="15.75" customHeight="1">
      <c r="A279" s="13">
        <v>43013</v>
      </c>
      <c r="B279" s="11">
        <v>188</v>
      </c>
      <c r="C279">
        <v>59296</v>
      </c>
      <c r="D279" s="5">
        <v>5.76</v>
      </c>
      <c r="F279">
        <v>100</v>
      </c>
      <c r="G279">
        <v>100</v>
      </c>
      <c r="H279">
        <f t="shared" si="12"/>
        <v>10317966</v>
      </c>
      <c r="I279" s="12">
        <f t="shared" si="13"/>
        <v>0.24706666666666666</v>
      </c>
      <c r="J279" s="12">
        <f t="shared" si="14"/>
        <v>0.22867832446808511</v>
      </c>
    </row>
    <row r="280" spans="1:10" ht="15.75" customHeight="1">
      <c r="A280" s="13">
        <v>43014</v>
      </c>
      <c r="B280" s="11">
        <v>189</v>
      </c>
      <c r="C280">
        <v>59793</v>
      </c>
      <c r="D280" s="5">
        <v>5.76</v>
      </c>
      <c r="F280">
        <v>100</v>
      </c>
      <c r="G280">
        <v>100</v>
      </c>
      <c r="H280">
        <f t="shared" si="12"/>
        <v>10377759</v>
      </c>
      <c r="I280" s="12">
        <f t="shared" si="13"/>
        <v>0.24913750000000001</v>
      </c>
      <c r="J280" s="12">
        <f t="shared" si="14"/>
        <v>0.22878657407407407</v>
      </c>
    </row>
    <row r="281" spans="1:10" ht="15.75" customHeight="1">
      <c r="A281" s="13">
        <v>43015</v>
      </c>
      <c r="B281" s="11">
        <v>190</v>
      </c>
      <c r="C281">
        <v>59303</v>
      </c>
      <c r="D281" s="5">
        <v>5.72</v>
      </c>
      <c r="F281">
        <v>100</v>
      </c>
      <c r="G281">
        <v>100</v>
      </c>
      <c r="H281">
        <f t="shared" si="12"/>
        <v>10437062</v>
      </c>
      <c r="I281" s="12">
        <f t="shared" si="13"/>
        <v>0.24709583333333332</v>
      </c>
      <c r="J281" s="12">
        <f t="shared" si="14"/>
        <v>0.22888293859649123</v>
      </c>
    </row>
    <row r="282" spans="1:10" ht="15.75" customHeight="1">
      <c r="A282" s="13">
        <v>43016</v>
      </c>
      <c r="B282" s="11">
        <v>191</v>
      </c>
      <c r="C282">
        <v>58793</v>
      </c>
      <c r="D282" s="5">
        <v>5.69</v>
      </c>
      <c r="F282">
        <v>100</v>
      </c>
      <c r="G282">
        <v>100</v>
      </c>
      <c r="H282">
        <f t="shared" si="12"/>
        <v>10495855</v>
      </c>
      <c r="I282" s="12">
        <f t="shared" si="13"/>
        <v>0.24497083333333333</v>
      </c>
      <c r="J282" s="12">
        <f t="shared" si="14"/>
        <v>0.22896716841186737</v>
      </c>
    </row>
    <row r="283" spans="1:10" ht="15.75" customHeight="1">
      <c r="A283" s="13">
        <v>43017</v>
      </c>
      <c r="B283" s="11">
        <v>192</v>
      </c>
      <c r="C283">
        <v>57143</v>
      </c>
      <c r="D283" s="5">
        <v>5.55</v>
      </c>
      <c r="F283">
        <v>100</v>
      </c>
      <c r="G283">
        <v>100</v>
      </c>
      <c r="H283">
        <f t="shared" si="12"/>
        <v>10552998</v>
      </c>
      <c r="I283" s="12">
        <f t="shared" si="13"/>
        <v>0.23809583333333334</v>
      </c>
      <c r="J283" s="12">
        <f t="shared" si="14"/>
        <v>0.22901471354166666</v>
      </c>
    </row>
    <row r="284" spans="1:10" ht="15.75" customHeight="1">
      <c r="A284" s="13">
        <v>43018</v>
      </c>
      <c r="B284" s="11">
        <v>193</v>
      </c>
      <c r="C284">
        <v>57414</v>
      </c>
      <c r="D284" s="5">
        <v>5.5</v>
      </c>
      <c r="F284">
        <v>100</v>
      </c>
      <c r="G284">
        <v>100</v>
      </c>
      <c r="H284">
        <f t="shared" si="12"/>
        <v>10610412</v>
      </c>
      <c r="I284" s="12">
        <f t="shared" si="13"/>
        <v>0.23922499999999999</v>
      </c>
      <c r="J284" s="12">
        <f t="shared" si="14"/>
        <v>0.22906761658031088</v>
      </c>
    </row>
    <row r="285" spans="1:10" ht="15.75" customHeight="1">
      <c r="A285" s="13">
        <v>43019</v>
      </c>
      <c r="B285" s="11">
        <v>194</v>
      </c>
      <c r="C285">
        <v>57367</v>
      </c>
      <c r="D285" s="5">
        <v>5.49</v>
      </c>
      <c r="F285">
        <v>100</v>
      </c>
      <c r="G285">
        <v>100</v>
      </c>
      <c r="H285">
        <f t="shared" si="12"/>
        <v>10667779</v>
      </c>
      <c r="I285" s="12">
        <f t="shared" si="13"/>
        <v>0.23902916666666665</v>
      </c>
      <c r="J285" s="12">
        <f t="shared" si="14"/>
        <v>0.22911896477663229</v>
      </c>
    </row>
    <row r="286" spans="1:10" ht="15.75" customHeight="1">
      <c r="A286" s="13">
        <v>43020</v>
      </c>
      <c r="B286" s="11">
        <v>195</v>
      </c>
      <c r="C286">
        <v>56225</v>
      </c>
      <c r="D286" s="5">
        <v>5.43</v>
      </c>
      <c r="F286">
        <v>100</v>
      </c>
      <c r="G286">
        <v>100</v>
      </c>
      <c r="H286">
        <f t="shared" si="12"/>
        <v>10724004</v>
      </c>
      <c r="I286" s="12">
        <f t="shared" si="13"/>
        <v>0.23427083333333334</v>
      </c>
      <c r="J286" s="12">
        <f t="shared" si="14"/>
        <v>0.22914538461538461</v>
      </c>
    </row>
    <row r="287" spans="1:10" ht="15.75" customHeight="1">
      <c r="A287" s="13">
        <v>43021</v>
      </c>
      <c r="B287" s="11">
        <v>196</v>
      </c>
      <c r="C287">
        <v>59310</v>
      </c>
      <c r="D287" s="5">
        <v>5.62</v>
      </c>
      <c r="F287">
        <v>100</v>
      </c>
      <c r="G287">
        <v>100</v>
      </c>
      <c r="H287">
        <f t="shared" si="12"/>
        <v>10783314</v>
      </c>
      <c r="I287" s="12">
        <f t="shared" si="13"/>
        <v>0.24712500000000001</v>
      </c>
      <c r="J287" s="12">
        <f t="shared" si="14"/>
        <v>0.22923711734693877</v>
      </c>
    </row>
    <row r="288" spans="1:10" ht="15.75" customHeight="1">
      <c r="A288" s="13">
        <v>43022</v>
      </c>
      <c r="B288" s="11">
        <v>197</v>
      </c>
      <c r="C288">
        <v>59583</v>
      </c>
      <c r="D288" s="5">
        <v>5.63</v>
      </c>
      <c r="F288">
        <v>100</v>
      </c>
      <c r="G288">
        <v>100</v>
      </c>
      <c r="H288">
        <f t="shared" ref="H288:H351" si="15">H287+C288</f>
        <v>10842897</v>
      </c>
      <c r="I288" s="12">
        <f t="shared" si="13"/>
        <v>0.2482625</v>
      </c>
      <c r="J288" s="12">
        <f t="shared" si="14"/>
        <v>0.22933369289340103</v>
      </c>
    </row>
    <row r="289" spans="1:10" ht="15.75" customHeight="1">
      <c r="A289" s="13">
        <v>43023</v>
      </c>
      <c r="B289" s="11">
        <v>198</v>
      </c>
      <c r="C289">
        <v>58773</v>
      </c>
      <c r="D289" s="5">
        <v>5.54</v>
      </c>
      <c r="F289">
        <v>100</v>
      </c>
      <c r="G289">
        <v>100</v>
      </c>
      <c r="H289">
        <f t="shared" si="15"/>
        <v>10901670</v>
      </c>
      <c r="I289" s="12">
        <f t="shared" si="13"/>
        <v>0.24488750000000001</v>
      </c>
      <c r="J289" s="12">
        <f t="shared" si="14"/>
        <v>0.22941224747474748</v>
      </c>
    </row>
    <row r="290" spans="1:10" ht="15.75" customHeight="1">
      <c r="A290" s="13">
        <v>43024</v>
      </c>
      <c r="B290" s="11">
        <v>199</v>
      </c>
      <c r="C290">
        <v>60405</v>
      </c>
      <c r="D290" s="5">
        <v>5.69</v>
      </c>
      <c r="F290">
        <v>100</v>
      </c>
      <c r="G290">
        <v>100</v>
      </c>
      <c r="H290">
        <f t="shared" si="15"/>
        <v>10962075</v>
      </c>
      <c r="I290" s="12">
        <f t="shared" si="13"/>
        <v>0.25168750000000001</v>
      </c>
      <c r="J290" s="12">
        <f t="shared" si="14"/>
        <v>0.22952418341708541</v>
      </c>
    </row>
    <row r="291" spans="1:10" ht="15.75" customHeight="1">
      <c r="A291" s="13">
        <v>43025</v>
      </c>
      <c r="B291" s="11">
        <v>200</v>
      </c>
      <c r="C291">
        <v>58606</v>
      </c>
      <c r="D291" s="5">
        <v>5.53</v>
      </c>
      <c r="F291">
        <v>100</v>
      </c>
      <c r="G291">
        <v>100</v>
      </c>
      <c r="H291">
        <f t="shared" si="15"/>
        <v>11020681</v>
      </c>
      <c r="I291" s="12">
        <f t="shared" si="13"/>
        <v>0.24419166666666667</v>
      </c>
      <c r="J291" s="12">
        <f t="shared" si="14"/>
        <v>0.22959752083333335</v>
      </c>
    </row>
    <row r="292" spans="1:10" ht="15.75" customHeight="1">
      <c r="A292" s="13">
        <v>43026</v>
      </c>
      <c r="B292" s="11">
        <v>201</v>
      </c>
      <c r="C292">
        <v>58629</v>
      </c>
      <c r="D292" s="5">
        <v>5.48</v>
      </c>
      <c r="F292">
        <v>100</v>
      </c>
      <c r="G292">
        <v>100</v>
      </c>
      <c r="H292">
        <f t="shared" si="15"/>
        <v>11079310</v>
      </c>
      <c r="I292" s="12">
        <f t="shared" si="13"/>
        <v>0.24428749999999999</v>
      </c>
      <c r="J292" s="12">
        <f t="shared" si="14"/>
        <v>0.22967060530679934</v>
      </c>
    </row>
    <row r="293" spans="1:10" ht="15.75" customHeight="1">
      <c r="A293" s="13">
        <v>43027</v>
      </c>
      <c r="B293" s="11">
        <v>202</v>
      </c>
      <c r="C293">
        <v>57947</v>
      </c>
      <c r="D293" s="5">
        <v>5.41</v>
      </c>
      <c r="F293">
        <v>100</v>
      </c>
      <c r="G293">
        <v>100</v>
      </c>
      <c r="H293">
        <f t="shared" si="15"/>
        <v>11137257</v>
      </c>
      <c r="I293" s="12">
        <f t="shared" si="13"/>
        <v>0.24144583333333333</v>
      </c>
      <c r="J293" s="12">
        <f t="shared" si="14"/>
        <v>0.22972889851485148</v>
      </c>
    </row>
    <row r="294" spans="1:10" ht="15.75" customHeight="1">
      <c r="A294" s="13">
        <v>43028</v>
      </c>
      <c r="B294" s="11">
        <v>203</v>
      </c>
      <c r="C294">
        <v>56711</v>
      </c>
      <c r="D294" s="5">
        <v>5.33</v>
      </c>
      <c r="F294">
        <v>100</v>
      </c>
      <c r="G294">
        <v>100</v>
      </c>
      <c r="H294">
        <f t="shared" si="15"/>
        <v>11193968</v>
      </c>
      <c r="I294" s="12">
        <f t="shared" si="13"/>
        <v>0.23629583333333334</v>
      </c>
      <c r="J294" s="12">
        <f t="shared" si="14"/>
        <v>0.22976124794745484</v>
      </c>
    </row>
    <row r="295" spans="1:10" ht="15.75" customHeight="1">
      <c r="A295" s="13">
        <v>43029</v>
      </c>
      <c r="B295" s="11">
        <v>204</v>
      </c>
      <c r="C295">
        <v>54713</v>
      </c>
      <c r="D295" s="5">
        <v>5.07</v>
      </c>
      <c r="F295">
        <v>100</v>
      </c>
      <c r="G295">
        <v>100</v>
      </c>
      <c r="H295">
        <f t="shared" si="15"/>
        <v>11248681</v>
      </c>
      <c r="I295" s="12">
        <f t="shared" si="13"/>
        <v>0.22797083333333334</v>
      </c>
      <c r="J295" s="12">
        <f t="shared" si="14"/>
        <v>0.22975247140522875</v>
      </c>
    </row>
    <row r="296" spans="1:10" ht="15.75" customHeight="1">
      <c r="A296" s="13">
        <v>43030</v>
      </c>
      <c r="B296" s="11">
        <v>205</v>
      </c>
      <c r="C296">
        <v>56415</v>
      </c>
      <c r="D296" s="5">
        <v>5.16</v>
      </c>
      <c r="F296">
        <v>100</v>
      </c>
      <c r="G296">
        <v>97.708333333333329</v>
      </c>
      <c r="H296">
        <f t="shared" si="15"/>
        <v>11305096</v>
      </c>
      <c r="I296" s="12">
        <f t="shared" si="13"/>
        <v>0.23506250000000001</v>
      </c>
      <c r="J296" s="12">
        <f t="shared" si="14"/>
        <v>0.22977837398373985</v>
      </c>
    </row>
    <row r="297" spans="1:10" ht="15.75" customHeight="1">
      <c r="A297" s="13">
        <v>43031</v>
      </c>
      <c r="B297" s="11">
        <v>206</v>
      </c>
      <c r="C297">
        <v>57359</v>
      </c>
      <c r="D297" s="5">
        <v>5.28</v>
      </c>
      <c r="F297">
        <v>100</v>
      </c>
      <c r="G297">
        <v>100</v>
      </c>
      <c r="H297">
        <f t="shared" si="15"/>
        <v>11362455</v>
      </c>
      <c r="I297" s="12">
        <f t="shared" si="13"/>
        <v>0.23899583333333332</v>
      </c>
      <c r="J297" s="12">
        <f t="shared" si="14"/>
        <v>0.22982311893203883</v>
      </c>
    </row>
    <row r="298" spans="1:10" ht="15.75" customHeight="1">
      <c r="A298" s="13">
        <v>43032</v>
      </c>
      <c r="B298" s="11">
        <v>207</v>
      </c>
      <c r="C298">
        <v>56527</v>
      </c>
      <c r="D298" s="5">
        <v>5.14</v>
      </c>
      <c r="F298">
        <v>100</v>
      </c>
      <c r="G298">
        <v>100</v>
      </c>
      <c r="H298">
        <f t="shared" si="15"/>
        <v>11418982</v>
      </c>
      <c r="I298" s="12">
        <f t="shared" si="13"/>
        <v>0.23552916666666668</v>
      </c>
      <c r="J298" s="12">
        <f t="shared" si="14"/>
        <v>0.2298506843800322</v>
      </c>
    </row>
    <row r="299" spans="1:10" ht="15.75" customHeight="1">
      <c r="A299" s="13">
        <v>43033</v>
      </c>
      <c r="B299" s="11">
        <v>208</v>
      </c>
      <c r="C299">
        <v>57209</v>
      </c>
      <c r="D299" s="5">
        <v>5.15</v>
      </c>
      <c r="F299">
        <v>100</v>
      </c>
      <c r="G299">
        <v>100</v>
      </c>
      <c r="H299">
        <f t="shared" si="15"/>
        <v>11476191</v>
      </c>
      <c r="I299" s="12">
        <f t="shared" si="13"/>
        <v>0.23837083333333334</v>
      </c>
      <c r="J299" s="12">
        <f t="shared" si="14"/>
        <v>0.22989164663461539</v>
      </c>
    </row>
    <row r="300" spans="1:10" ht="15.75" customHeight="1">
      <c r="A300" s="13">
        <v>43034</v>
      </c>
      <c r="B300" s="11">
        <v>209</v>
      </c>
      <c r="C300">
        <v>53488</v>
      </c>
      <c r="D300" s="5">
        <v>4.78</v>
      </c>
      <c r="F300">
        <v>100</v>
      </c>
      <c r="G300">
        <v>100</v>
      </c>
      <c r="H300">
        <f t="shared" si="15"/>
        <v>11529679</v>
      </c>
      <c r="I300" s="12">
        <f t="shared" si="13"/>
        <v>0.22286666666666666</v>
      </c>
      <c r="J300" s="12">
        <f t="shared" si="14"/>
        <v>0.22985803429027113</v>
      </c>
    </row>
    <row r="301" spans="1:10" ht="15.75" customHeight="1">
      <c r="A301" s="13">
        <v>43035</v>
      </c>
      <c r="B301" s="11">
        <v>210</v>
      </c>
      <c r="C301">
        <v>53261</v>
      </c>
      <c r="D301" s="5">
        <v>4.7</v>
      </c>
      <c r="F301">
        <v>100</v>
      </c>
      <c r="G301">
        <v>100</v>
      </c>
      <c r="H301">
        <f t="shared" si="15"/>
        <v>11582940</v>
      </c>
      <c r="I301" s="12">
        <f t="shared" si="13"/>
        <v>0.22192083333333334</v>
      </c>
      <c r="J301" s="12">
        <f t="shared" si="14"/>
        <v>0.22982023809523811</v>
      </c>
    </row>
    <row r="302" spans="1:10" ht="15.75" customHeight="1">
      <c r="A302" s="13">
        <v>43036</v>
      </c>
      <c r="B302" s="11">
        <v>211</v>
      </c>
      <c r="C302">
        <v>53775</v>
      </c>
      <c r="D302" s="5">
        <v>4.74</v>
      </c>
      <c r="F302">
        <v>100</v>
      </c>
      <c r="G302">
        <v>100</v>
      </c>
      <c r="H302">
        <f t="shared" si="15"/>
        <v>11636715</v>
      </c>
      <c r="I302" s="12">
        <f t="shared" si="13"/>
        <v>0.2240625</v>
      </c>
      <c r="J302" s="12">
        <f t="shared" si="14"/>
        <v>0.22979295023696683</v>
      </c>
    </row>
    <row r="303" spans="1:10" ht="15.75" customHeight="1">
      <c r="A303" s="13">
        <v>43037</v>
      </c>
      <c r="B303" s="11">
        <v>212</v>
      </c>
      <c r="C303">
        <v>52753</v>
      </c>
      <c r="D303" s="5">
        <v>4.6900000000000004</v>
      </c>
      <c r="F303">
        <v>100</v>
      </c>
      <c r="G303">
        <v>100</v>
      </c>
      <c r="H303">
        <f t="shared" si="15"/>
        <v>11689468</v>
      </c>
      <c r="I303" s="12">
        <f t="shared" si="13"/>
        <v>0.21980416666666666</v>
      </c>
      <c r="J303" s="12">
        <f t="shared" si="14"/>
        <v>0.22974583333333334</v>
      </c>
    </row>
    <row r="304" spans="1:10" ht="15.75" customHeight="1">
      <c r="A304" s="13">
        <v>43038</v>
      </c>
      <c r="B304" s="11">
        <v>213</v>
      </c>
      <c r="C304">
        <v>53651</v>
      </c>
      <c r="D304" s="5">
        <v>4.7300000000000004</v>
      </c>
      <c r="F304">
        <v>100</v>
      </c>
      <c r="G304">
        <v>100</v>
      </c>
      <c r="H304">
        <f t="shared" si="15"/>
        <v>11743119</v>
      </c>
      <c r="I304" s="12">
        <f t="shared" si="13"/>
        <v>0.22354583333333333</v>
      </c>
      <c r="J304" s="12">
        <f t="shared" si="14"/>
        <v>0.22971672535211268</v>
      </c>
    </row>
    <row r="305" spans="1:10" ht="15.75" customHeight="1">
      <c r="A305" s="13">
        <v>43039</v>
      </c>
      <c r="B305" s="11">
        <v>214</v>
      </c>
      <c r="C305">
        <v>52238</v>
      </c>
      <c r="D305" s="5">
        <v>4.62</v>
      </c>
      <c r="F305">
        <v>100</v>
      </c>
      <c r="G305">
        <v>100</v>
      </c>
      <c r="H305">
        <f t="shared" si="15"/>
        <v>11795357</v>
      </c>
      <c r="I305" s="12">
        <f t="shared" si="13"/>
        <v>0.21765833333333334</v>
      </c>
      <c r="J305" s="12">
        <f t="shared" si="14"/>
        <v>0.22966037772585671</v>
      </c>
    </row>
    <row r="306" spans="1:10" ht="15.75" customHeight="1">
      <c r="A306" s="13">
        <v>43040</v>
      </c>
      <c r="B306" s="11">
        <v>215</v>
      </c>
      <c r="C306">
        <v>52700</v>
      </c>
      <c r="D306" s="5">
        <v>4.6399999999999997</v>
      </c>
      <c r="F306">
        <v>100</v>
      </c>
      <c r="G306">
        <v>100</v>
      </c>
      <c r="H306">
        <f t="shared" si="15"/>
        <v>11848057</v>
      </c>
      <c r="I306" s="12">
        <f t="shared" si="13"/>
        <v>0.21958333333333332</v>
      </c>
      <c r="J306" s="12">
        <f t="shared" si="14"/>
        <v>0.22961350775193798</v>
      </c>
    </row>
    <row r="307" spans="1:10" ht="15.75" customHeight="1">
      <c r="A307" s="13">
        <v>43041</v>
      </c>
      <c r="B307" s="11">
        <v>216</v>
      </c>
      <c r="C307">
        <v>52763</v>
      </c>
      <c r="D307" s="5">
        <v>4.6500000000000004</v>
      </c>
      <c r="F307">
        <v>100</v>
      </c>
      <c r="G307">
        <v>100</v>
      </c>
      <c r="H307">
        <f t="shared" si="15"/>
        <v>11900820</v>
      </c>
      <c r="I307" s="12">
        <f t="shared" si="13"/>
        <v>0.21984583333333332</v>
      </c>
      <c r="J307" s="12">
        <f t="shared" si="14"/>
        <v>0.22956828703703705</v>
      </c>
    </row>
    <row r="308" spans="1:10" ht="15.75" customHeight="1">
      <c r="A308" s="13">
        <v>43042</v>
      </c>
      <c r="B308" s="11">
        <v>217</v>
      </c>
      <c r="C308">
        <v>51004</v>
      </c>
      <c r="D308" s="5">
        <v>4.5</v>
      </c>
      <c r="F308" t="e">
        <v>#DIV/0!</v>
      </c>
      <c r="G308">
        <v>100</v>
      </c>
      <c r="H308">
        <f t="shared" si="15"/>
        <v>11951824</v>
      </c>
      <c r="I308" s="12">
        <f t="shared" si="13"/>
        <v>0.21251666666666666</v>
      </c>
      <c r="J308" s="12">
        <f t="shared" si="14"/>
        <v>0.22948970814132105</v>
      </c>
    </row>
    <row r="309" spans="1:10" ht="15.75" customHeight="1">
      <c r="A309" s="13">
        <v>43043</v>
      </c>
      <c r="B309" s="11">
        <v>218</v>
      </c>
      <c r="C309">
        <v>50904</v>
      </c>
      <c r="D309" s="5">
        <v>4.37</v>
      </c>
      <c r="F309" t="e">
        <v>#DIV/0!</v>
      </c>
      <c r="G309">
        <v>100</v>
      </c>
      <c r="H309">
        <f t="shared" si="15"/>
        <v>12002728</v>
      </c>
      <c r="I309" s="12">
        <f t="shared" si="13"/>
        <v>0.21210000000000001</v>
      </c>
      <c r="J309" s="12">
        <f t="shared" si="14"/>
        <v>0.22940993883792049</v>
      </c>
    </row>
    <row r="310" spans="1:10" ht="15.75" customHeight="1">
      <c r="A310" s="13">
        <v>43044</v>
      </c>
      <c r="B310" s="11">
        <v>219</v>
      </c>
      <c r="C310">
        <v>45398</v>
      </c>
      <c r="D310" s="5">
        <v>3.9</v>
      </c>
      <c r="F310" t="e">
        <v>#DIV/0!</v>
      </c>
      <c r="G310">
        <v>100</v>
      </c>
      <c r="H310">
        <f t="shared" si="15"/>
        <v>12048126</v>
      </c>
      <c r="I310" s="12">
        <f t="shared" si="13"/>
        <v>0.18915833333333334</v>
      </c>
      <c r="J310" s="12">
        <f t="shared" si="14"/>
        <v>0.22922614155251142</v>
      </c>
    </row>
    <row r="311" spans="1:10" ht="15.75" customHeight="1">
      <c r="A311" s="13">
        <v>43045</v>
      </c>
      <c r="B311" s="11">
        <v>220</v>
      </c>
      <c r="C311">
        <v>48328</v>
      </c>
      <c r="D311" s="5">
        <v>3.98</v>
      </c>
      <c r="F311">
        <v>100</v>
      </c>
      <c r="G311">
        <v>100</v>
      </c>
      <c r="H311">
        <f t="shared" si="15"/>
        <v>12096454</v>
      </c>
      <c r="I311" s="12">
        <f t="shared" si="13"/>
        <v>0.20136666666666667</v>
      </c>
      <c r="J311" s="12">
        <f t="shared" si="14"/>
        <v>0.22909950757575759</v>
      </c>
    </row>
    <row r="312" spans="1:10" ht="15.75" customHeight="1">
      <c r="A312" s="13">
        <v>43046</v>
      </c>
      <c r="B312" s="11">
        <v>221</v>
      </c>
      <c r="C312">
        <v>48512</v>
      </c>
      <c r="D312" s="5">
        <v>4.01</v>
      </c>
      <c r="F312">
        <v>100</v>
      </c>
      <c r="G312">
        <v>100</v>
      </c>
      <c r="H312">
        <f t="shared" si="15"/>
        <v>12144966</v>
      </c>
      <c r="I312" s="12">
        <f t="shared" si="13"/>
        <v>0.20213333333333333</v>
      </c>
      <c r="J312" s="12">
        <f t="shared" si="14"/>
        <v>0.22897748868778281</v>
      </c>
    </row>
    <row r="313" spans="1:10" ht="15.75" customHeight="1">
      <c r="A313" s="13">
        <v>43047</v>
      </c>
      <c r="B313" s="11">
        <v>222</v>
      </c>
      <c r="C313">
        <v>48330</v>
      </c>
      <c r="D313" s="5">
        <v>4.05</v>
      </c>
      <c r="F313">
        <v>99.685138539042811</v>
      </c>
      <c r="G313">
        <v>100</v>
      </c>
      <c r="H313">
        <f t="shared" si="15"/>
        <v>12193296</v>
      </c>
      <c r="I313" s="12">
        <f t="shared" si="13"/>
        <v>0.201375</v>
      </c>
      <c r="J313" s="12">
        <f t="shared" si="14"/>
        <v>0.22885315315315316</v>
      </c>
    </row>
    <row r="314" spans="1:10" ht="15.75" customHeight="1">
      <c r="A314" s="13">
        <v>43048</v>
      </c>
      <c r="B314" s="11">
        <v>223</v>
      </c>
      <c r="C314">
        <v>46694</v>
      </c>
      <c r="D314" s="5">
        <v>3.7</v>
      </c>
      <c r="F314">
        <v>100</v>
      </c>
      <c r="G314">
        <v>100</v>
      </c>
      <c r="H314">
        <f t="shared" si="15"/>
        <v>12239990</v>
      </c>
      <c r="I314" s="12">
        <f t="shared" si="13"/>
        <v>0.19455833333333333</v>
      </c>
      <c r="J314" s="12">
        <f t="shared" si="14"/>
        <v>0.22869936472346786</v>
      </c>
    </row>
    <row r="315" spans="1:10" ht="15.75" customHeight="1">
      <c r="A315" s="13">
        <v>43049</v>
      </c>
      <c r="B315" s="11">
        <v>224</v>
      </c>
      <c r="C315">
        <v>46755</v>
      </c>
      <c r="D315" s="5">
        <v>3.78</v>
      </c>
      <c r="F315">
        <v>100</v>
      </c>
      <c r="G315">
        <v>100</v>
      </c>
      <c r="H315">
        <f t="shared" si="15"/>
        <v>12286745</v>
      </c>
      <c r="I315" s="12">
        <f t="shared" si="13"/>
        <v>0.1948125</v>
      </c>
      <c r="J315" s="12">
        <f t="shared" si="14"/>
        <v>0.22854808407738095</v>
      </c>
    </row>
    <row r="316" spans="1:10" ht="15.75" customHeight="1">
      <c r="A316" s="13">
        <v>43050</v>
      </c>
      <c r="B316" s="11">
        <v>225</v>
      </c>
      <c r="C316">
        <v>44158</v>
      </c>
      <c r="D316" s="5">
        <v>3.55</v>
      </c>
      <c r="F316">
        <v>100</v>
      </c>
      <c r="G316">
        <v>100</v>
      </c>
      <c r="H316">
        <f t="shared" si="15"/>
        <v>12330903</v>
      </c>
      <c r="I316" s="12">
        <f t="shared" si="13"/>
        <v>0.18399166666666666</v>
      </c>
      <c r="J316" s="12">
        <f t="shared" si="14"/>
        <v>0.22835005555555554</v>
      </c>
    </row>
    <row r="317" spans="1:10" ht="15.75" customHeight="1">
      <c r="A317" s="13">
        <v>43051</v>
      </c>
      <c r="B317" s="11">
        <v>226</v>
      </c>
      <c r="C317">
        <v>44990</v>
      </c>
      <c r="D317" s="5">
        <v>3.67</v>
      </c>
      <c r="F317">
        <v>100</v>
      </c>
      <c r="G317">
        <v>100</v>
      </c>
      <c r="H317">
        <f t="shared" si="15"/>
        <v>12375893</v>
      </c>
      <c r="I317" s="12">
        <f t="shared" si="13"/>
        <v>0.18745833333333334</v>
      </c>
      <c r="J317" s="12">
        <f t="shared" si="14"/>
        <v>0.22816911873156343</v>
      </c>
    </row>
    <row r="318" spans="1:10" ht="15.75" customHeight="1">
      <c r="A318" s="13">
        <v>43052</v>
      </c>
      <c r="B318" s="11">
        <v>227</v>
      </c>
      <c r="C318">
        <v>42086</v>
      </c>
      <c r="D318" s="5">
        <v>3.45</v>
      </c>
      <c r="F318">
        <v>100</v>
      </c>
      <c r="G318">
        <v>100</v>
      </c>
      <c r="H318">
        <f t="shared" si="15"/>
        <v>12417979</v>
      </c>
      <c r="I318" s="12">
        <f t="shared" si="13"/>
        <v>0.17535833333333334</v>
      </c>
      <c r="J318" s="12">
        <f t="shared" si="14"/>
        <v>0.22793647209985315</v>
      </c>
    </row>
    <row r="319" spans="1:10" ht="15.75" customHeight="1">
      <c r="A319" s="13">
        <v>43053</v>
      </c>
      <c r="B319" s="11">
        <v>228</v>
      </c>
      <c r="C319">
        <v>32341</v>
      </c>
      <c r="D319" s="5">
        <v>2.83</v>
      </c>
      <c r="F319">
        <v>100</v>
      </c>
      <c r="G319">
        <v>100</v>
      </c>
      <c r="H319">
        <f t="shared" si="15"/>
        <v>12450320</v>
      </c>
      <c r="I319" s="12">
        <f t="shared" si="13"/>
        <v>0.13475416666666667</v>
      </c>
      <c r="J319" s="12">
        <f t="shared" si="14"/>
        <v>0.22752777777777777</v>
      </c>
    </row>
    <row r="320" spans="1:10" ht="15.75" customHeight="1">
      <c r="A320" s="13">
        <v>43054</v>
      </c>
      <c r="B320" s="11">
        <v>229</v>
      </c>
      <c r="C320">
        <v>31957</v>
      </c>
      <c r="D320" s="5">
        <v>2.77</v>
      </c>
      <c r="F320">
        <v>100</v>
      </c>
      <c r="G320">
        <v>100</v>
      </c>
      <c r="H320">
        <f t="shared" si="15"/>
        <v>12482277</v>
      </c>
      <c r="I320" s="12">
        <f t="shared" si="13"/>
        <v>0.13315416666666666</v>
      </c>
      <c r="J320" s="12">
        <f t="shared" si="14"/>
        <v>0.22711566593886462</v>
      </c>
    </row>
    <row r="321" spans="1:10" ht="15.75" customHeight="1">
      <c r="A321" s="13">
        <v>43055</v>
      </c>
      <c r="B321" s="11">
        <v>230</v>
      </c>
      <c r="C321">
        <v>33434</v>
      </c>
      <c r="D321" s="5">
        <v>2.77</v>
      </c>
      <c r="F321">
        <v>100</v>
      </c>
      <c r="G321">
        <v>100</v>
      </c>
      <c r="H321">
        <f t="shared" si="15"/>
        <v>12515711</v>
      </c>
      <c r="I321" s="12">
        <f t="shared" si="13"/>
        <v>0.13930833333333334</v>
      </c>
      <c r="J321" s="12">
        <f t="shared" si="14"/>
        <v>0.22673389492753623</v>
      </c>
    </row>
    <row r="322" spans="1:10" ht="15.75" customHeight="1">
      <c r="A322" s="13">
        <v>43056</v>
      </c>
      <c r="B322" s="11">
        <v>231</v>
      </c>
      <c r="C322">
        <v>44346</v>
      </c>
      <c r="D322" s="5">
        <v>3.4</v>
      </c>
      <c r="F322">
        <v>100</v>
      </c>
      <c r="G322">
        <v>100</v>
      </c>
      <c r="H322">
        <f t="shared" si="15"/>
        <v>12560057</v>
      </c>
      <c r="I322" s="12">
        <f t="shared" si="13"/>
        <v>0.18477499999999999</v>
      </c>
      <c r="J322" s="12">
        <f t="shared" si="14"/>
        <v>0.22655225468975468</v>
      </c>
    </row>
    <row r="323" spans="1:10" ht="15.75" customHeight="1">
      <c r="A323" s="13">
        <v>43057</v>
      </c>
      <c r="B323" s="11">
        <v>232</v>
      </c>
      <c r="C323">
        <v>50494</v>
      </c>
      <c r="D323" s="5">
        <v>3.99</v>
      </c>
      <c r="F323">
        <v>100</v>
      </c>
      <c r="G323">
        <v>98.541666666666671</v>
      </c>
      <c r="H323">
        <f t="shared" si="15"/>
        <v>12610551</v>
      </c>
      <c r="I323" s="12">
        <f t="shared" ref="I323:I386" si="16">C323/(10*24*1000)</f>
        <v>0.21039166666666667</v>
      </c>
      <c r="J323" s="12">
        <f t="shared" si="14"/>
        <v>0.22648259698275863</v>
      </c>
    </row>
    <row r="324" spans="1:10" ht="15.75" customHeight="1">
      <c r="A324" s="13">
        <v>43058</v>
      </c>
      <c r="B324" s="11">
        <v>233</v>
      </c>
      <c r="C324">
        <v>54416</v>
      </c>
      <c r="D324" s="5">
        <v>4.34</v>
      </c>
      <c r="F324">
        <v>100</v>
      </c>
      <c r="G324">
        <v>100</v>
      </c>
      <c r="H324">
        <f t="shared" si="15"/>
        <v>12664967</v>
      </c>
      <c r="I324" s="12">
        <f t="shared" si="16"/>
        <v>0.22673333333333334</v>
      </c>
      <c r="J324" s="12">
        <f t="shared" ref="J324:J387" si="17">H324/(24*B324*10*1000)</f>
        <v>0.2264836731044349</v>
      </c>
    </row>
    <row r="325" spans="1:10" ht="15.75" customHeight="1">
      <c r="A325" s="13">
        <v>43059</v>
      </c>
      <c r="B325" s="11">
        <v>234</v>
      </c>
      <c r="C325">
        <v>53304</v>
      </c>
      <c r="D325" s="5">
        <v>4.3499999999999996</v>
      </c>
      <c r="F325">
        <v>100</v>
      </c>
      <c r="G325">
        <v>100</v>
      </c>
      <c r="H325">
        <f t="shared" si="15"/>
        <v>12718271</v>
      </c>
      <c r="I325" s="12">
        <f t="shared" si="16"/>
        <v>0.22209999999999999</v>
      </c>
      <c r="J325" s="12">
        <f t="shared" si="17"/>
        <v>0.22646493945868945</v>
      </c>
    </row>
    <row r="326" spans="1:10" ht="15.75" customHeight="1">
      <c r="A326" s="13">
        <v>43060</v>
      </c>
      <c r="B326" s="11">
        <v>235</v>
      </c>
      <c r="C326">
        <v>55380</v>
      </c>
      <c r="D326" s="5">
        <v>4.51</v>
      </c>
      <c r="F326">
        <v>100</v>
      </c>
      <c r="G326">
        <v>100</v>
      </c>
      <c r="H326">
        <f t="shared" si="15"/>
        <v>12773651</v>
      </c>
      <c r="I326" s="12">
        <f t="shared" si="16"/>
        <v>0.23075000000000001</v>
      </c>
      <c r="J326" s="12">
        <f t="shared" si="17"/>
        <v>0.22648317375886526</v>
      </c>
    </row>
    <row r="327" spans="1:10" ht="15.75" customHeight="1">
      <c r="A327" s="13">
        <v>43061</v>
      </c>
      <c r="B327" s="11">
        <v>236</v>
      </c>
      <c r="C327">
        <v>52938</v>
      </c>
      <c r="D327" s="5">
        <v>4.38</v>
      </c>
      <c r="F327">
        <v>100</v>
      </c>
      <c r="G327">
        <v>98.194444444444443</v>
      </c>
      <c r="H327">
        <f t="shared" si="15"/>
        <v>12826589</v>
      </c>
      <c r="I327" s="12">
        <f t="shared" si="16"/>
        <v>0.22057499999999999</v>
      </c>
      <c r="J327" s="12">
        <f t="shared" si="17"/>
        <v>0.22645813912429377</v>
      </c>
    </row>
    <row r="328" spans="1:10" ht="15.75" customHeight="1">
      <c r="A328" s="13">
        <v>43062</v>
      </c>
      <c r="B328" s="11">
        <v>237</v>
      </c>
      <c r="C328">
        <v>55254</v>
      </c>
      <c r="D328" s="5">
        <v>4.3899999999999997</v>
      </c>
      <c r="F328">
        <v>100</v>
      </c>
      <c r="G328">
        <v>97.916666666666657</v>
      </c>
      <c r="H328">
        <f t="shared" si="15"/>
        <v>12881843</v>
      </c>
      <c r="I328" s="12">
        <f t="shared" si="16"/>
        <v>0.23022500000000001</v>
      </c>
      <c r="J328" s="12">
        <f t="shared" si="17"/>
        <v>0.22647403305203939</v>
      </c>
    </row>
    <row r="329" spans="1:10" ht="15.75" customHeight="1">
      <c r="A329" s="13">
        <v>43063</v>
      </c>
      <c r="B329" s="11">
        <v>238</v>
      </c>
      <c r="C329">
        <v>55184</v>
      </c>
      <c r="D329" s="5">
        <v>4.4000000000000004</v>
      </c>
      <c r="F329">
        <v>100</v>
      </c>
      <c r="G329">
        <v>100</v>
      </c>
      <c r="H329">
        <f t="shared" si="15"/>
        <v>12937027</v>
      </c>
      <c r="I329" s="12">
        <f t="shared" si="16"/>
        <v>0.22993333333333332</v>
      </c>
      <c r="J329" s="12">
        <f t="shared" si="17"/>
        <v>0.22648856792717087</v>
      </c>
    </row>
    <row r="330" spans="1:10" ht="15.75" customHeight="1">
      <c r="A330" s="13">
        <v>43064</v>
      </c>
      <c r="B330" s="11">
        <v>239</v>
      </c>
      <c r="C330">
        <v>54631</v>
      </c>
      <c r="D330" s="5">
        <v>4.34</v>
      </c>
      <c r="F330">
        <v>100</v>
      </c>
      <c r="G330">
        <v>100</v>
      </c>
      <c r="H330">
        <f t="shared" si="15"/>
        <v>12991658</v>
      </c>
      <c r="I330" s="12">
        <f t="shared" si="16"/>
        <v>0.22762916666666666</v>
      </c>
      <c r="J330" s="12">
        <f t="shared" si="17"/>
        <v>0.22649334030683402</v>
      </c>
    </row>
    <row r="331" spans="1:10" ht="15.75" customHeight="1">
      <c r="A331" s="13">
        <v>43065</v>
      </c>
      <c r="B331" s="11">
        <v>240</v>
      </c>
      <c r="C331">
        <v>53811</v>
      </c>
      <c r="D331" s="5">
        <v>4.29</v>
      </c>
      <c r="F331">
        <v>100</v>
      </c>
      <c r="G331">
        <v>100</v>
      </c>
      <c r="H331">
        <f t="shared" si="15"/>
        <v>13045469</v>
      </c>
      <c r="I331" s="12">
        <f t="shared" si="16"/>
        <v>0.22421250000000001</v>
      </c>
      <c r="J331" s="12">
        <f t="shared" si="17"/>
        <v>0.22648383680555556</v>
      </c>
    </row>
    <row r="332" spans="1:10" ht="15.75" customHeight="1">
      <c r="A332" s="13">
        <v>43066</v>
      </c>
      <c r="B332" s="11">
        <v>241</v>
      </c>
      <c r="C332">
        <v>54368</v>
      </c>
      <c r="D332" s="5">
        <v>4.38</v>
      </c>
      <c r="F332">
        <v>100</v>
      </c>
      <c r="G332">
        <v>100</v>
      </c>
      <c r="H332">
        <f t="shared" si="15"/>
        <v>13099837</v>
      </c>
      <c r="I332" s="12">
        <f t="shared" si="16"/>
        <v>0.22653333333333334</v>
      </c>
      <c r="J332" s="12">
        <f t="shared" si="17"/>
        <v>0.22648404218533888</v>
      </c>
    </row>
    <row r="333" spans="1:10" ht="15.75" customHeight="1">
      <c r="A333" s="13">
        <v>43067</v>
      </c>
      <c r="B333" s="11">
        <v>242</v>
      </c>
      <c r="C333">
        <v>53938</v>
      </c>
      <c r="D333" s="5">
        <v>4.78</v>
      </c>
      <c r="F333">
        <v>100</v>
      </c>
      <c r="G333">
        <v>100</v>
      </c>
      <c r="H333">
        <f t="shared" si="15"/>
        <v>13153775</v>
      </c>
      <c r="I333" s="12">
        <f t="shared" si="16"/>
        <v>0.22474166666666667</v>
      </c>
      <c r="J333" s="12">
        <f t="shared" si="17"/>
        <v>0.22647684228650139</v>
      </c>
    </row>
    <row r="334" spans="1:10" ht="15.75" customHeight="1">
      <c r="A334" s="13">
        <v>43068</v>
      </c>
      <c r="B334" s="11">
        <v>243</v>
      </c>
      <c r="C334">
        <v>51518</v>
      </c>
      <c r="D334" s="5">
        <v>4.07</v>
      </c>
      <c r="F334">
        <v>100</v>
      </c>
      <c r="G334">
        <v>100</v>
      </c>
      <c r="H334">
        <f t="shared" si="15"/>
        <v>13205293</v>
      </c>
      <c r="I334" s="12">
        <f t="shared" si="16"/>
        <v>0.21465833333333334</v>
      </c>
      <c r="J334" s="12">
        <f t="shared" si="17"/>
        <v>0.22642820644718792</v>
      </c>
    </row>
    <row r="335" spans="1:10" ht="15.75" customHeight="1">
      <c r="A335" s="13">
        <v>43069</v>
      </c>
      <c r="B335" s="11">
        <v>244</v>
      </c>
      <c r="C335">
        <v>49692</v>
      </c>
      <c r="D335" s="5">
        <v>3.95</v>
      </c>
      <c r="F335">
        <v>100</v>
      </c>
      <c r="G335">
        <v>100</v>
      </c>
      <c r="H335">
        <f t="shared" si="15"/>
        <v>13254985</v>
      </c>
      <c r="I335" s="12">
        <f t="shared" si="16"/>
        <v>0.20705000000000001</v>
      </c>
      <c r="J335" s="12">
        <f t="shared" si="17"/>
        <v>0.22634878756830601</v>
      </c>
    </row>
    <row r="336" spans="1:10" ht="15.75" customHeight="1">
      <c r="A336" s="13">
        <v>43070</v>
      </c>
      <c r="B336" s="11">
        <v>245</v>
      </c>
      <c r="C336">
        <v>49852</v>
      </c>
      <c r="D336" s="5">
        <v>3.86</v>
      </c>
      <c r="F336">
        <v>100</v>
      </c>
      <c r="G336">
        <v>100</v>
      </c>
      <c r="H336">
        <f t="shared" si="15"/>
        <v>13304837</v>
      </c>
      <c r="I336" s="12">
        <f t="shared" si="16"/>
        <v>0.20771666666666666</v>
      </c>
      <c r="J336" s="12">
        <f t="shared" si="17"/>
        <v>0.2262727380952381</v>
      </c>
    </row>
    <row r="337" spans="1:10" ht="15.75" customHeight="1">
      <c r="A337" s="13">
        <v>43071</v>
      </c>
      <c r="B337" s="11">
        <v>246</v>
      </c>
      <c r="C337">
        <v>44057</v>
      </c>
      <c r="D337" s="5">
        <v>3.57</v>
      </c>
      <c r="F337">
        <v>100</v>
      </c>
      <c r="G337">
        <v>100</v>
      </c>
      <c r="H337">
        <f t="shared" si="15"/>
        <v>13348894</v>
      </c>
      <c r="I337" s="12">
        <f t="shared" si="16"/>
        <v>0.18357083333333332</v>
      </c>
      <c r="J337" s="12">
        <f t="shared" si="17"/>
        <v>0.22609915311653117</v>
      </c>
    </row>
    <row r="338" spans="1:10" ht="15.75" customHeight="1">
      <c r="A338" s="13">
        <v>43072</v>
      </c>
      <c r="B338" s="11">
        <v>247</v>
      </c>
      <c r="C338">
        <v>31801</v>
      </c>
      <c r="D338" s="5">
        <v>2.6</v>
      </c>
      <c r="F338">
        <v>100</v>
      </c>
      <c r="G338">
        <v>98.75</v>
      </c>
      <c r="H338">
        <f t="shared" si="15"/>
        <v>13380695</v>
      </c>
      <c r="I338" s="12">
        <f t="shared" si="16"/>
        <v>0.13250416666666667</v>
      </c>
      <c r="J338" s="12">
        <f t="shared" si="17"/>
        <v>0.22572022604588393</v>
      </c>
    </row>
    <row r="339" spans="1:10" ht="15.75" customHeight="1">
      <c r="A339" s="13">
        <v>43073</v>
      </c>
      <c r="B339" s="11">
        <v>248</v>
      </c>
      <c r="C339">
        <v>31162</v>
      </c>
      <c r="D339" s="5">
        <v>2.67</v>
      </c>
      <c r="F339">
        <v>100</v>
      </c>
      <c r="G339">
        <v>95.902777777777786</v>
      </c>
      <c r="H339">
        <f t="shared" si="15"/>
        <v>13411857</v>
      </c>
      <c r="I339" s="12">
        <f t="shared" si="16"/>
        <v>0.12984166666666666</v>
      </c>
      <c r="J339" s="12">
        <f t="shared" si="17"/>
        <v>0.22533361895161291</v>
      </c>
    </row>
    <row r="340" spans="1:10" ht="15.75" customHeight="1">
      <c r="A340" s="13">
        <v>43074</v>
      </c>
      <c r="B340" s="11">
        <v>249</v>
      </c>
      <c r="C340">
        <v>27791</v>
      </c>
      <c r="D340" s="5">
        <v>2.42</v>
      </c>
      <c r="F340">
        <v>100</v>
      </c>
      <c r="G340">
        <v>100</v>
      </c>
      <c r="H340">
        <f t="shared" si="15"/>
        <v>13439648</v>
      </c>
      <c r="I340" s="12">
        <f t="shared" si="16"/>
        <v>0.11579583333333333</v>
      </c>
      <c r="J340" s="12">
        <f t="shared" si="17"/>
        <v>0.22489370816599732</v>
      </c>
    </row>
    <row r="341" spans="1:10" ht="15.75" customHeight="1">
      <c r="A341" s="13">
        <v>43075</v>
      </c>
      <c r="B341" s="11">
        <v>250</v>
      </c>
      <c r="C341">
        <v>45997</v>
      </c>
      <c r="D341" s="5">
        <v>3.49</v>
      </c>
      <c r="F341">
        <v>100</v>
      </c>
      <c r="G341">
        <v>100</v>
      </c>
      <c r="H341">
        <f t="shared" si="15"/>
        <v>13485645</v>
      </c>
      <c r="I341" s="12">
        <f t="shared" si="16"/>
        <v>0.19165416666666665</v>
      </c>
      <c r="J341" s="12">
        <f t="shared" si="17"/>
        <v>0.22476075000000001</v>
      </c>
    </row>
    <row r="342" spans="1:10" ht="15.75" customHeight="1">
      <c r="A342" s="13">
        <v>43076</v>
      </c>
      <c r="B342" s="11">
        <v>251</v>
      </c>
      <c r="C342">
        <v>44237</v>
      </c>
      <c r="D342" s="5">
        <v>3.35</v>
      </c>
      <c r="F342">
        <v>100</v>
      </c>
      <c r="G342">
        <v>95.347222222222229</v>
      </c>
      <c r="H342">
        <f t="shared" si="15"/>
        <v>13529882</v>
      </c>
      <c r="I342" s="12">
        <f t="shared" si="16"/>
        <v>0.18432083333333332</v>
      </c>
      <c r="J342" s="12">
        <f t="shared" si="17"/>
        <v>0.22459963479415671</v>
      </c>
    </row>
    <row r="343" spans="1:10" ht="15.75" customHeight="1">
      <c r="A343" s="13">
        <v>43077</v>
      </c>
      <c r="B343" s="11">
        <v>252</v>
      </c>
      <c r="C343">
        <v>54117</v>
      </c>
      <c r="D343" s="5">
        <v>4.24</v>
      </c>
      <c r="F343">
        <v>100</v>
      </c>
      <c r="G343">
        <v>100</v>
      </c>
      <c r="H343">
        <f t="shared" si="15"/>
        <v>13583999</v>
      </c>
      <c r="I343" s="12">
        <f t="shared" si="16"/>
        <v>0.22548750000000001</v>
      </c>
      <c r="J343" s="12">
        <f t="shared" si="17"/>
        <v>0.22460315806878306</v>
      </c>
    </row>
    <row r="344" spans="1:10" ht="15.75" customHeight="1">
      <c r="A344" s="13">
        <v>43078</v>
      </c>
      <c r="B344" s="11">
        <v>253</v>
      </c>
      <c r="C344">
        <v>50576</v>
      </c>
      <c r="D344" s="5">
        <v>3.99</v>
      </c>
      <c r="F344">
        <v>100</v>
      </c>
      <c r="G344">
        <v>97.5</v>
      </c>
      <c r="H344">
        <f t="shared" si="15"/>
        <v>13634575</v>
      </c>
      <c r="I344" s="12">
        <f t="shared" si="16"/>
        <v>0.21073333333333333</v>
      </c>
      <c r="J344" s="12">
        <f t="shared" si="17"/>
        <v>0.22454833662714097</v>
      </c>
    </row>
    <row r="345" spans="1:10" ht="15.75" customHeight="1">
      <c r="A345" s="13">
        <v>43079</v>
      </c>
      <c r="B345" s="11">
        <v>254</v>
      </c>
      <c r="C345">
        <v>6302</v>
      </c>
      <c r="D345" s="5">
        <v>0.59</v>
      </c>
      <c r="F345">
        <v>100</v>
      </c>
      <c r="G345">
        <v>100</v>
      </c>
      <c r="H345">
        <f t="shared" si="15"/>
        <v>13640877</v>
      </c>
      <c r="I345" s="12">
        <f t="shared" si="16"/>
        <v>2.6258333333333335E-2</v>
      </c>
      <c r="J345" s="12">
        <f t="shared" si="17"/>
        <v>0.22376766732283465</v>
      </c>
    </row>
    <row r="346" spans="1:10" ht="15.75" customHeight="1">
      <c r="A346" s="13">
        <v>43080</v>
      </c>
      <c r="B346" s="11">
        <v>255</v>
      </c>
      <c r="C346">
        <v>38505</v>
      </c>
      <c r="D346" s="5">
        <v>3.07</v>
      </c>
      <c r="F346">
        <v>100</v>
      </c>
      <c r="G346">
        <v>100</v>
      </c>
      <c r="H346">
        <f t="shared" si="15"/>
        <v>13679382</v>
      </c>
      <c r="I346" s="12">
        <f t="shared" si="16"/>
        <v>0.16043750000000001</v>
      </c>
      <c r="J346" s="12">
        <f t="shared" si="17"/>
        <v>0.22351931372549019</v>
      </c>
    </row>
    <row r="347" spans="1:10" ht="15.75" customHeight="1">
      <c r="A347" s="13">
        <v>43081</v>
      </c>
      <c r="B347" s="11">
        <v>256</v>
      </c>
      <c r="C347">
        <v>41835</v>
      </c>
      <c r="D347" s="5">
        <v>2.96</v>
      </c>
      <c r="F347">
        <v>100</v>
      </c>
      <c r="G347">
        <v>100</v>
      </c>
      <c r="H347">
        <f t="shared" si="15"/>
        <v>13721217</v>
      </c>
      <c r="I347" s="12">
        <f t="shared" si="16"/>
        <v>0.17431250000000001</v>
      </c>
      <c r="J347" s="12">
        <f t="shared" si="17"/>
        <v>0.223327099609375</v>
      </c>
    </row>
    <row r="348" spans="1:10" ht="15.75" customHeight="1">
      <c r="A348" s="13">
        <v>43082</v>
      </c>
      <c r="B348" s="11">
        <v>257</v>
      </c>
      <c r="C348">
        <v>46992</v>
      </c>
      <c r="D348" s="5">
        <v>3.66</v>
      </c>
      <c r="F348">
        <v>100</v>
      </c>
      <c r="G348">
        <v>100</v>
      </c>
      <c r="H348">
        <f t="shared" si="15"/>
        <v>13768209</v>
      </c>
      <c r="I348" s="12">
        <f t="shared" si="16"/>
        <v>0.1958</v>
      </c>
      <c r="J348" s="12">
        <f t="shared" si="17"/>
        <v>0.22321999027237355</v>
      </c>
    </row>
    <row r="349" spans="1:10" ht="15.75" customHeight="1">
      <c r="A349" s="13">
        <v>43083</v>
      </c>
      <c r="B349" s="11">
        <v>258</v>
      </c>
      <c r="C349">
        <v>39969</v>
      </c>
      <c r="D349" s="5">
        <v>3.12</v>
      </c>
      <c r="F349">
        <v>100</v>
      </c>
      <c r="G349">
        <v>100</v>
      </c>
      <c r="H349">
        <f t="shared" si="15"/>
        <v>13808178</v>
      </c>
      <c r="I349" s="12">
        <f t="shared" si="16"/>
        <v>0.1665375</v>
      </c>
      <c r="J349" s="12">
        <f t="shared" si="17"/>
        <v>0.22300029069767441</v>
      </c>
    </row>
    <row r="350" spans="1:10" ht="15.75" customHeight="1">
      <c r="A350" s="13">
        <v>43084</v>
      </c>
      <c r="B350" s="11">
        <v>259</v>
      </c>
      <c r="C350">
        <v>40839</v>
      </c>
      <c r="D350" s="5">
        <v>3.14</v>
      </c>
      <c r="F350">
        <v>100</v>
      </c>
      <c r="G350">
        <v>100</v>
      </c>
      <c r="H350">
        <f t="shared" si="15"/>
        <v>13849017</v>
      </c>
      <c r="I350" s="12">
        <f t="shared" si="16"/>
        <v>0.17016249999999999</v>
      </c>
      <c r="J350" s="12">
        <f t="shared" si="17"/>
        <v>0.22279628378378377</v>
      </c>
    </row>
    <row r="351" spans="1:10" ht="15.75" customHeight="1">
      <c r="A351" s="13">
        <v>43085</v>
      </c>
      <c r="B351" s="11">
        <v>260</v>
      </c>
      <c r="C351">
        <v>54276</v>
      </c>
      <c r="D351" s="5">
        <v>3.98</v>
      </c>
      <c r="F351">
        <v>100</v>
      </c>
      <c r="G351">
        <v>100</v>
      </c>
      <c r="H351">
        <f t="shared" si="15"/>
        <v>13903293</v>
      </c>
      <c r="I351" s="12">
        <f t="shared" si="16"/>
        <v>0.22614999999999999</v>
      </c>
      <c r="J351" s="12">
        <f t="shared" si="17"/>
        <v>0.22280918269230771</v>
      </c>
    </row>
    <row r="352" spans="1:10" ht="15.75" customHeight="1">
      <c r="A352" s="13">
        <v>43086</v>
      </c>
      <c r="B352" s="11">
        <v>261</v>
      </c>
      <c r="C352">
        <v>57470</v>
      </c>
      <c r="D352" s="5">
        <v>4.22</v>
      </c>
      <c r="F352">
        <v>100</v>
      </c>
      <c r="G352">
        <v>100</v>
      </c>
      <c r="H352">
        <f t="shared" ref="H352:H415" si="18">H351+C352</f>
        <v>13960763</v>
      </c>
      <c r="I352" s="12">
        <f t="shared" si="16"/>
        <v>0.23945833333333333</v>
      </c>
      <c r="J352" s="12">
        <f t="shared" si="17"/>
        <v>0.22287297254150704</v>
      </c>
    </row>
    <row r="353" spans="1:10" ht="15.75" customHeight="1">
      <c r="A353" s="13">
        <v>43087</v>
      </c>
      <c r="B353" s="11">
        <v>262</v>
      </c>
      <c r="C353">
        <v>47335</v>
      </c>
      <c r="D353" s="5">
        <v>3.72</v>
      </c>
      <c r="F353">
        <v>100</v>
      </c>
      <c r="G353">
        <v>100</v>
      </c>
      <c r="H353">
        <f t="shared" si="18"/>
        <v>14008098</v>
      </c>
      <c r="I353" s="12">
        <f t="shared" si="16"/>
        <v>0.19722916666666668</v>
      </c>
      <c r="J353" s="12">
        <f t="shared" si="17"/>
        <v>0.22277509541984733</v>
      </c>
    </row>
    <row r="354" spans="1:10" ht="15.75" customHeight="1">
      <c r="A354" s="13">
        <v>43088</v>
      </c>
      <c r="B354" s="11">
        <v>263</v>
      </c>
      <c r="C354">
        <v>47899</v>
      </c>
      <c r="D354" s="5">
        <v>3.71</v>
      </c>
      <c r="F354">
        <v>100</v>
      </c>
      <c r="G354">
        <v>98.75</v>
      </c>
      <c r="H354">
        <f t="shared" si="18"/>
        <v>14055997</v>
      </c>
      <c r="I354" s="12">
        <f t="shared" si="16"/>
        <v>0.19957916666666667</v>
      </c>
      <c r="J354" s="12">
        <f t="shared" si="17"/>
        <v>0.2226868979721166</v>
      </c>
    </row>
    <row r="355" spans="1:10" ht="15.75" customHeight="1">
      <c r="A355" s="13">
        <v>43089</v>
      </c>
      <c r="B355" s="11">
        <v>264</v>
      </c>
      <c r="C355">
        <v>27719</v>
      </c>
      <c r="D355" s="5">
        <v>2.5499999999999998</v>
      </c>
      <c r="F355">
        <v>99.223095259115397</v>
      </c>
      <c r="G355">
        <v>100</v>
      </c>
      <c r="H355">
        <f t="shared" si="18"/>
        <v>14083716</v>
      </c>
      <c r="I355" s="12">
        <f t="shared" si="16"/>
        <v>0.11549583333333334</v>
      </c>
      <c r="J355" s="12">
        <f t="shared" si="17"/>
        <v>0.2222808712121212</v>
      </c>
    </row>
    <row r="356" spans="1:10" ht="15.75" customHeight="1">
      <c r="A356" s="13">
        <v>43090</v>
      </c>
      <c r="B356" s="11">
        <v>265</v>
      </c>
      <c r="C356">
        <v>47832</v>
      </c>
      <c r="D356" s="5">
        <v>3.85</v>
      </c>
      <c r="F356">
        <v>100</v>
      </c>
      <c r="G356">
        <v>100</v>
      </c>
      <c r="H356">
        <f t="shared" si="18"/>
        <v>14131548</v>
      </c>
      <c r="I356" s="12">
        <f t="shared" si="16"/>
        <v>0.1993</v>
      </c>
      <c r="J356" s="12">
        <f t="shared" si="17"/>
        <v>0.22219415094339623</v>
      </c>
    </row>
    <row r="357" spans="1:10" ht="15.75" customHeight="1">
      <c r="A357" s="13">
        <v>43091</v>
      </c>
      <c r="B357" s="11">
        <v>266</v>
      </c>
      <c r="C357">
        <v>53969</v>
      </c>
      <c r="D357" s="5">
        <v>4.0999999999999996</v>
      </c>
      <c r="F357">
        <v>100</v>
      </c>
      <c r="G357">
        <v>100</v>
      </c>
      <c r="H357">
        <f t="shared" si="18"/>
        <v>14185517</v>
      </c>
      <c r="I357" s="12">
        <f t="shared" si="16"/>
        <v>0.22487083333333333</v>
      </c>
      <c r="J357" s="12">
        <f t="shared" si="17"/>
        <v>0.22220421365914786</v>
      </c>
    </row>
    <row r="358" spans="1:10" ht="15.75" customHeight="1">
      <c r="A358" s="13">
        <v>43092</v>
      </c>
      <c r="B358" s="11">
        <v>267</v>
      </c>
      <c r="C358">
        <v>54297</v>
      </c>
      <c r="D358" s="5">
        <v>4.16</v>
      </c>
      <c r="F358">
        <v>100</v>
      </c>
      <c r="G358">
        <v>100</v>
      </c>
      <c r="H358">
        <f t="shared" si="18"/>
        <v>14239814</v>
      </c>
      <c r="I358" s="12">
        <f t="shared" si="16"/>
        <v>0.22623750000000001</v>
      </c>
      <c r="J358" s="12">
        <f t="shared" si="17"/>
        <v>0.22221931960049937</v>
      </c>
    </row>
    <row r="359" spans="1:10" ht="15.75" customHeight="1">
      <c r="A359" s="13">
        <v>43093</v>
      </c>
      <c r="B359" s="11">
        <v>268</v>
      </c>
      <c r="C359">
        <v>52214</v>
      </c>
      <c r="D359" s="5">
        <v>4.03</v>
      </c>
      <c r="F359">
        <v>100</v>
      </c>
      <c r="G359">
        <v>100</v>
      </c>
      <c r="H359">
        <f t="shared" si="18"/>
        <v>14292028</v>
      </c>
      <c r="I359" s="12">
        <f t="shared" si="16"/>
        <v>0.21755833333333333</v>
      </c>
      <c r="J359" s="12">
        <f t="shared" si="17"/>
        <v>0.22220192786069651</v>
      </c>
    </row>
    <row r="360" spans="1:10" ht="15.75" customHeight="1">
      <c r="A360" s="13">
        <v>43094</v>
      </c>
      <c r="B360" s="11">
        <v>269</v>
      </c>
      <c r="C360">
        <v>53449</v>
      </c>
      <c r="D360" s="5">
        <v>4.0999999999999996</v>
      </c>
      <c r="F360">
        <v>100</v>
      </c>
      <c r="G360">
        <v>100</v>
      </c>
      <c r="H360">
        <f t="shared" si="18"/>
        <v>14345477</v>
      </c>
      <c r="I360" s="12">
        <f t="shared" si="16"/>
        <v>0.22270416666666668</v>
      </c>
      <c r="J360" s="12">
        <f t="shared" si="17"/>
        <v>0.22220379491945477</v>
      </c>
    </row>
    <row r="361" spans="1:10" ht="15.75" customHeight="1">
      <c r="A361" s="13">
        <v>43095</v>
      </c>
      <c r="B361" s="11">
        <v>270</v>
      </c>
      <c r="C361">
        <v>39477</v>
      </c>
      <c r="D361" s="5">
        <v>3.3</v>
      </c>
      <c r="F361">
        <v>99.631192199156217</v>
      </c>
      <c r="G361">
        <v>100</v>
      </c>
      <c r="H361">
        <f t="shared" si="18"/>
        <v>14384954</v>
      </c>
      <c r="I361" s="12">
        <f t="shared" si="16"/>
        <v>0.16448750000000001</v>
      </c>
      <c r="J361" s="12">
        <f t="shared" si="17"/>
        <v>0.22199003086419752</v>
      </c>
    </row>
    <row r="362" spans="1:10" ht="15.75" customHeight="1">
      <c r="A362" s="13">
        <v>43096</v>
      </c>
      <c r="B362" s="11">
        <v>271</v>
      </c>
      <c r="C362">
        <v>50214</v>
      </c>
      <c r="D362" s="5">
        <v>4.01</v>
      </c>
      <c r="F362">
        <v>100</v>
      </c>
      <c r="G362">
        <v>100</v>
      </c>
      <c r="H362">
        <f t="shared" si="18"/>
        <v>14435168</v>
      </c>
      <c r="I362" s="12">
        <f t="shared" si="16"/>
        <v>0.20922499999999999</v>
      </c>
      <c r="J362" s="12">
        <f t="shared" si="17"/>
        <v>0.22194292742927429</v>
      </c>
    </row>
    <row r="363" spans="1:10" ht="15.75" customHeight="1">
      <c r="A363" s="13">
        <v>43097</v>
      </c>
      <c r="B363" s="11">
        <v>272</v>
      </c>
      <c r="C363">
        <v>50173</v>
      </c>
      <c r="D363" s="5">
        <v>3.95</v>
      </c>
      <c r="F363">
        <v>99.734769995855771</v>
      </c>
      <c r="G363">
        <v>100</v>
      </c>
      <c r="H363">
        <f t="shared" si="18"/>
        <v>14485341</v>
      </c>
      <c r="I363" s="12">
        <f t="shared" si="16"/>
        <v>0.20905416666666668</v>
      </c>
      <c r="J363" s="12">
        <f t="shared" si="17"/>
        <v>0.22189554227941177</v>
      </c>
    </row>
    <row r="364" spans="1:10" ht="15.75" customHeight="1">
      <c r="A364" s="13">
        <v>43098</v>
      </c>
      <c r="B364" s="11">
        <v>273</v>
      </c>
      <c r="C364">
        <v>44631</v>
      </c>
      <c r="D364" s="5">
        <v>3.53</v>
      </c>
      <c r="F364">
        <v>100</v>
      </c>
      <c r="G364">
        <v>100</v>
      </c>
      <c r="H364">
        <f t="shared" si="18"/>
        <v>14529972</v>
      </c>
      <c r="I364" s="12">
        <f t="shared" si="16"/>
        <v>0.1859625</v>
      </c>
      <c r="J364" s="12">
        <f t="shared" si="17"/>
        <v>0.2217639194139194</v>
      </c>
    </row>
    <row r="365" spans="1:10" ht="15.75" customHeight="1">
      <c r="A365" s="13">
        <v>43099</v>
      </c>
      <c r="B365" s="11">
        <v>274</v>
      </c>
      <c r="C365">
        <v>48942</v>
      </c>
      <c r="D365" s="5">
        <v>3.89</v>
      </c>
      <c r="F365">
        <v>99.585955614441872</v>
      </c>
      <c r="G365">
        <v>100</v>
      </c>
      <c r="H365">
        <f t="shared" si="18"/>
        <v>14578914</v>
      </c>
      <c r="I365" s="12">
        <f t="shared" si="16"/>
        <v>0.203925</v>
      </c>
      <c r="J365" s="12">
        <f t="shared" si="17"/>
        <v>0.22169881386861315</v>
      </c>
    </row>
    <row r="366" spans="1:10" ht="15.75" customHeight="1">
      <c r="A366" s="13">
        <v>43100</v>
      </c>
      <c r="B366" s="11">
        <v>275</v>
      </c>
      <c r="C366">
        <v>50268</v>
      </c>
      <c r="D366" s="5">
        <v>3.94</v>
      </c>
      <c r="F366">
        <v>99.804264657908007</v>
      </c>
      <c r="G366">
        <v>97.083333333333329</v>
      </c>
      <c r="H366">
        <f t="shared" si="18"/>
        <v>14629182</v>
      </c>
      <c r="I366" s="12">
        <f t="shared" si="16"/>
        <v>0.20945</v>
      </c>
      <c r="J366" s="12">
        <f t="shared" si="17"/>
        <v>0.22165427272727273</v>
      </c>
    </row>
    <row r="367" spans="1:10" ht="15.75" customHeight="1">
      <c r="A367" s="13">
        <v>43101</v>
      </c>
      <c r="B367" s="11">
        <v>276</v>
      </c>
      <c r="C367">
        <v>52788</v>
      </c>
      <c r="D367">
        <v>4.1399999999999997</v>
      </c>
      <c r="E367"/>
      <c r="F367">
        <v>100</v>
      </c>
      <c r="G367">
        <v>100</v>
      </c>
      <c r="H367">
        <f t="shared" si="18"/>
        <v>14681970</v>
      </c>
      <c r="I367" s="12">
        <f t="shared" si="16"/>
        <v>0.21995000000000001</v>
      </c>
      <c r="J367" s="12">
        <f t="shared" si="17"/>
        <v>0.22164809782608696</v>
      </c>
    </row>
    <row r="368" spans="1:10" ht="15.75" customHeight="1">
      <c r="A368" s="13">
        <v>43102</v>
      </c>
      <c r="B368" s="11">
        <v>277</v>
      </c>
      <c r="C368">
        <v>53948</v>
      </c>
      <c r="D368">
        <v>4.2699999999999996</v>
      </c>
      <c r="E368"/>
      <c r="F368">
        <v>100</v>
      </c>
      <c r="G368">
        <v>100</v>
      </c>
      <c r="H368">
        <f t="shared" si="18"/>
        <v>14735918</v>
      </c>
      <c r="I368" s="12">
        <f t="shared" si="16"/>
        <v>0.22478333333333333</v>
      </c>
      <c r="J368" s="12">
        <f t="shared" si="17"/>
        <v>0.22165941636582431</v>
      </c>
    </row>
    <row r="369" spans="1:10" ht="15.75" customHeight="1">
      <c r="A369" s="13">
        <v>43103</v>
      </c>
      <c r="B369" s="11">
        <v>278</v>
      </c>
      <c r="C369">
        <v>52566</v>
      </c>
      <c r="D369" s="5">
        <v>4.1500000000000004</v>
      </c>
      <c r="F369">
        <v>100</v>
      </c>
      <c r="G369">
        <v>100</v>
      </c>
      <c r="H369">
        <f t="shared" si="18"/>
        <v>14788484</v>
      </c>
      <c r="I369" s="12">
        <f t="shared" si="16"/>
        <v>0.219025</v>
      </c>
      <c r="J369" s="12">
        <f t="shared" si="17"/>
        <v>0.22164994004796162</v>
      </c>
    </row>
    <row r="370" spans="1:10" ht="15.75" customHeight="1">
      <c r="A370" s="13">
        <v>43104</v>
      </c>
      <c r="B370" s="11">
        <v>279</v>
      </c>
      <c r="C370">
        <v>51326</v>
      </c>
      <c r="D370" s="5">
        <v>4.0599999999999996</v>
      </c>
      <c r="F370">
        <v>100</v>
      </c>
      <c r="G370">
        <v>100</v>
      </c>
      <c r="H370">
        <f t="shared" si="18"/>
        <v>14839810</v>
      </c>
      <c r="I370" s="12">
        <f t="shared" si="16"/>
        <v>0.21385833333333334</v>
      </c>
      <c r="J370" s="12">
        <f t="shared" si="17"/>
        <v>0.22162201314217445</v>
      </c>
    </row>
    <row r="371" spans="1:10" ht="15.75" customHeight="1">
      <c r="A371" s="13">
        <v>43105</v>
      </c>
      <c r="B371" s="11">
        <v>280</v>
      </c>
      <c r="C371">
        <v>48368</v>
      </c>
      <c r="D371" s="5">
        <v>3.77</v>
      </c>
      <c r="F371">
        <v>100</v>
      </c>
      <c r="G371">
        <v>100</v>
      </c>
      <c r="H371">
        <f t="shared" si="18"/>
        <v>14888178</v>
      </c>
      <c r="I371" s="12">
        <f t="shared" si="16"/>
        <v>0.20153333333333334</v>
      </c>
      <c r="J371" s="12">
        <f t="shared" si="17"/>
        <v>0.22155026785714285</v>
      </c>
    </row>
    <row r="372" spans="1:10" ht="15.75" customHeight="1">
      <c r="A372" s="13">
        <v>43106</v>
      </c>
      <c r="B372" s="11">
        <v>281</v>
      </c>
      <c r="C372">
        <v>41666</v>
      </c>
      <c r="D372" s="5">
        <v>3.3</v>
      </c>
      <c r="F372">
        <v>100</v>
      </c>
      <c r="G372">
        <v>100</v>
      </c>
      <c r="H372">
        <f t="shared" si="18"/>
        <v>14929844</v>
      </c>
      <c r="I372" s="12">
        <f t="shared" si="16"/>
        <v>0.17360833333333334</v>
      </c>
      <c r="J372" s="12">
        <f t="shared" si="17"/>
        <v>0.22137965599051007</v>
      </c>
    </row>
    <row r="373" spans="1:10" ht="15.75" customHeight="1">
      <c r="A373" s="13">
        <v>43107</v>
      </c>
      <c r="B373" s="11">
        <v>282</v>
      </c>
      <c r="C373">
        <v>50097</v>
      </c>
      <c r="D373" s="5">
        <v>3.79</v>
      </c>
      <c r="F373">
        <v>100</v>
      </c>
      <c r="G373">
        <v>100</v>
      </c>
      <c r="H373">
        <f t="shared" si="18"/>
        <v>14979941</v>
      </c>
      <c r="I373" s="12">
        <f t="shared" si="16"/>
        <v>0.20873749999999999</v>
      </c>
      <c r="J373" s="12">
        <f t="shared" si="17"/>
        <v>0.22133482565011819</v>
      </c>
    </row>
    <row r="374" spans="1:10" ht="15.75" customHeight="1">
      <c r="A374" s="13">
        <v>43108</v>
      </c>
      <c r="B374" s="11">
        <v>283</v>
      </c>
      <c r="C374">
        <v>51077</v>
      </c>
      <c r="D374" s="5">
        <v>3.97</v>
      </c>
      <c r="F374">
        <v>100</v>
      </c>
      <c r="G374">
        <v>100</v>
      </c>
      <c r="H374">
        <f t="shared" si="18"/>
        <v>15031018</v>
      </c>
      <c r="I374" s="12">
        <f t="shared" si="16"/>
        <v>0.21282083333333332</v>
      </c>
      <c r="J374" s="12">
        <f t="shared" si="17"/>
        <v>0.22130474087161367</v>
      </c>
    </row>
    <row r="375" spans="1:10" ht="15.75" customHeight="1">
      <c r="A375" s="13">
        <v>43109</v>
      </c>
      <c r="B375" s="11">
        <v>284</v>
      </c>
      <c r="C375">
        <v>50284</v>
      </c>
      <c r="D375" s="5">
        <v>3.94</v>
      </c>
      <c r="F375">
        <v>99.566269079989993</v>
      </c>
      <c r="G375">
        <v>100</v>
      </c>
      <c r="H375">
        <f t="shared" si="18"/>
        <v>15081302</v>
      </c>
      <c r="I375" s="12">
        <f t="shared" si="16"/>
        <v>0.20951666666666666</v>
      </c>
      <c r="J375" s="12">
        <f t="shared" si="17"/>
        <v>0.22126323356807512</v>
      </c>
    </row>
    <row r="376" spans="1:10" ht="15.75" customHeight="1">
      <c r="A376" s="13">
        <v>43110</v>
      </c>
      <c r="B376" s="11">
        <v>285</v>
      </c>
      <c r="C376">
        <v>48100</v>
      </c>
      <c r="D376" s="5">
        <v>3.74</v>
      </c>
      <c r="F376">
        <v>100</v>
      </c>
      <c r="G376">
        <v>100</v>
      </c>
      <c r="H376">
        <f t="shared" si="18"/>
        <v>15129402</v>
      </c>
      <c r="I376" s="12">
        <f t="shared" si="16"/>
        <v>0.20041666666666666</v>
      </c>
      <c r="J376" s="12">
        <f t="shared" si="17"/>
        <v>0.22119008771929824</v>
      </c>
    </row>
    <row r="377" spans="1:10" ht="15.75" customHeight="1">
      <c r="A377" s="13">
        <v>43111</v>
      </c>
      <c r="B377" s="11">
        <v>286</v>
      </c>
      <c r="C377">
        <v>48775</v>
      </c>
      <c r="D377" s="5">
        <v>3.85</v>
      </c>
      <c r="F377">
        <v>99.602319801159894</v>
      </c>
      <c r="G377">
        <v>100</v>
      </c>
      <c r="H377">
        <f t="shared" si="18"/>
        <v>15178177</v>
      </c>
      <c r="I377" s="12">
        <f t="shared" si="16"/>
        <v>0.20322916666666666</v>
      </c>
      <c r="J377" s="12">
        <f t="shared" si="17"/>
        <v>0.22112728729603728</v>
      </c>
    </row>
    <row r="378" spans="1:10" ht="15.75" customHeight="1">
      <c r="A378" s="13">
        <v>43112</v>
      </c>
      <c r="B378" s="11">
        <v>287</v>
      </c>
      <c r="C378">
        <v>37107</v>
      </c>
      <c r="D378" s="5">
        <v>3.21</v>
      </c>
      <c r="F378">
        <v>97.372914027647738</v>
      </c>
      <c r="G378">
        <v>100</v>
      </c>
      <c r="H378">
        <f t="shared" si="18"/>
        <v>15215284</v>
      </c>
      <c r="I378" s="12">
        <f t="shared" si="16"/>
        <v>0.15461250000000001</v>
      </c>
      <c r="J378" s="12">
        <f t="shared" si="17"/>
        <v>0.22089552845528454</v>
      </c>
    </row>
    <row r="379" spans="1:10" ht="15.75" customHeight="1">
      <c r="A379" s="13">
        <v>43113</v>
      </c>
      <c r="B379" s="11">
        <v>288</v>
      </c>
      <c r="C379">
        <v>51853</v>
      </c>
      <c r="D379" s="5">
        <v>4.09</v>
      </c>
      <c r="F379">
        <v>100</v>
      </c>
      <c r="G379">
        <v>100</v>
      </c>
      <c r="H379">
        <f t="shared" si="18"/>
        <v>15267137</v>
      </c>
      <c r="I379" s="12">
        <f t="shared" si="16"/>
        <v>0.21605416666666666</v>
      </c>
      <c r="J379" s="12">
        <f t="shared" si="17"/>
        <v>0.22087871817129628</v>
      </c>
    </row>
    <row r="380" spans="1:10" ht="15.75" customHeight="1">
      <c r="A380" s="13">
        <v>43114</v>
      </c>
      <c r="B380" s="11">
        <v>289</v>
      </c>
      <c r="C380">
        <v>53817</v>
      </c>
      <c r="D380" s="5">
        <v>4.32</v>
      </c>
      <c r="F380">
        <v>100</v>
      </c>
      <c r="G380">
        <v>100</v>
      </c>
      <c r="H380">
        <f t="shared" si="18"/>
        <v>15320954</v>
      </c>
      <c r="I380" s="12">
        <f t="shared" si="16"/>
        <v>0.22423750000000001</v>
      </c>
      <c r="J380" s="12">
        <f t="shared" si="17"/>
        <v>0.22089034025374857</v>
      </c>
    </row>
    <row r="381" spans="1:10" ht="15.75" customHeight="1">
      <c r="A381" s="13">
        <v>43115</v>
      </c>
      <c r="B381" s="11">
        <v>290</v>
      </c>
      <c r="C381">
        <v>56522</v>
      </c>
      <c r="D381" s="5">
        <v>4.55</v>
      </c>
      <c r="F381">
        <v>100</v>
      </c>
      <c r="G381">
        <v>100</v>
      </c>
      <c r="H381">
        <f t="shared" si="18"/>
        <v>15377476</v>
      </c>
      <c r="I381" s="12">
        <f t="shared" si="16"/>
        <v>0.23550833333333332</v>
      </c>
      <c r="J381" s="12">
        <f t="shared" si="17"/>
        <v>0.22094074712643677</v>
      </c>
    </row>
    <row r="382" spans="1:10" ht="15.75" customHeight="1">
      <c r="A382" s="13">
        <v>43116</v>
      </c>
      <c r="B382" s="11">
        <v>291</v>
      </c>
      <c r="C382">
        <v>55296</v>
      </c>
      <c r="D382" s="5">
        <v>4.4000000000000004</v>
      </c>
      <c r="F382">
        <v>100</v>
      </c>
      <c r="G382">
        <v>100</v>
      </c>
      <c r="H382">
        <f t="shared" si="18"/>
        <v>15432772</v>
      </c>
      <c r="I382" s="12">
        <f t="shared" si="16"/>
        <v>0.23039999999999999</v>
      </c>
      <c r="J382" s="12">
        <f t="shared" si="17"/>
        <v>0.22097325315005728</v>
      </c>
    </row>
    <row r="383" spans="1:10" ht="15.75" customHeight="1">
      <c r="A383" s="13">
        <v>43117</v>
      </c>
      <c r="B383" s="11">
        <v>292</v>
      </c>
      <c r="C383">
        <v>52726</v>
      </c>
      <c r="D383" s="5">
        <v>4.25</v>
      </c>
      <c r="F383">
        <v>100</v>
      </c>
      <c r="G383">
        <v>100</v>
      </c>
      <c r="H383">
        <f t="shared" si="18"/>
        <v>15485498</v>
      </c>
      <c r="I383" s="12">
        <f t="shared" si="16"/>
        <v>0.21969166666666667</v>
      </c>
      <c r="J383" s="12">
        <f t="shared" si="17"/>
        <v>0.22096886415525113</v>
      </c>
    </row>
    <row r="384" spans="1:10" ht="15.75" customHeight="1">
      <c r="A384" s="13">
        <v>43118</v>
      </c>
      <c r="B384" s="11">
        <v>293</v>
      </c>
      <c r="C384">
        <v>45816</v>
      </c>
      <c r="D384" s="5">
        <v>3.78</v>
      </c>
      <c r="F384">
        <v>100</v>
      </c>
      <c r="G384">
        <v>100</v>
      </c>
      <c r="H384">
        <f t="shared" si="18"/>
        <v>15531314</v>
      </c>
      <c r="I384" s="12">
        <f t="shared" si="16"/>
        <v>0.19089999999999999</v>
      </c>
      <c r="J384" s="12">
        <f t="shared" si="17"/>
        <v>0.22086624004550626</v>
      </c>
    </row>
    <row r="385" spans="1:10" ht="15.75" customHeight="1">
      <c r="A385" s="13">
        <v>43119</v>
      </c>
      <c r="B385" s="11">
        <v>294</v>
      </c>
      <c r="C385">
        <v>46411</v>
      </c>
      <c r="D385" s="5">
        <v>3.84</v>
      </c>
      <c r="F385">
        <v>100</v>
      </c>
      <c r="G385">
        <v>100</v>
      </c>
      <c r="H385">
        <f t="shared" si="18"/>
        <v>15577725</v>
      </c>
      <c r="I385" s="12">
        <f t="shared" si="16"/>
        <v>0.19337916666666666</v>
      </c>
      <c r="J385" s="12">
        <f t="shared" si="17"/>
        <v>0.22077274659863946</v>
      </c>
    </row>
    <row r="386" spans="1:10" ht="15.75" customHeight="1">
      <c r="A386" s="13">
        <v>43120</v>
      </c>
      <c r="B386" s="11">
        <v>295</v>
      </c>
      <c r="C386">
        <v>55547</v>
      </c>
      <c r="D386" s="5">
        <v>4.49</v>
      </c>
      <c r="F386">
        <v>100</v>
      </c>
      <c r="G386">
        <v>100</v>
      </c>
      <c r="H386">
        <f t="shared" si="18"/>
        <v>15633272</v>
      </c>
      <c r="I386" s="12">
        <f t="shared" si="16"/>
        <v>0.23144583333333332</v>
      </c>
      <c r="J386" s="12">
        <f t="shared" si="17"/>
        <v>0.22080892655367232</v>
      </c>
    </row>
    <row r="387" spans="1:10" ht="15.75" customHeight="1">
      <c r="A387" s="13">
        <v>43121</v>
      </c>
      <c r="B387" s="11">
        <v>296</v>
      </c>
      <c r="C387">
        <v>55852</v>
      </c>
      <c r="D387" s="5">
        <v>4.57</v>
      </c>
      <c r="F387">
        <v>100</v>
      </c>
      <c r="G387">
        <v>100</v>
      </c>
      <c r="H387">
        <f t="shared" si="18"/>
        <v>15689124</v>
      </c>
      <c r="I387" s="12">
        <f t="shared" ref="I387:I450" si="19">C387/(10*24*1000)</f>
        <v>0.23271666666666666</v>
      </c>
      <c r="J387" s="12">
        <f t="shared" si="17"/>
        <v>0.2208491554054054</v>
      </c>
    </row>
    <row r="388" spans="1:10" ht="15.75" customHeight="1">
      <c r="A388" s="13">
        <v>43122</v>
      </c>
      <c r="B388" s="11">
        <v>297</v>
      </c>
      <c r="C388">
        <v>55671</v>
      </c>
      <c r="D388" s="5">
        <v>4.5599999999999996</v>
      </c>
      <c r="F388">
        <v>100</v>
      </c>
      <c r="G388">
        <v>100</v>
      </c>
      <c r="H388">
        <f t="shared" si="18"/>
        <v>15744795</v>
      </c>
      <c r="I388" s="12">
        <f t="shared" si="19"/>
        <v>0.23196249999999999</v>
      </c>
      <c r="J388" s="12">
        <f t="shared" ref="J388:J451" si="20">H388/(24*B388*10*1000)</f>
        <v>0.22088657407407408</v>
      </c>
    </row>
    <row r="389" spans="1:10" ht="15.75" customHeight="1">
      <c r="A389" s="13">
        <v>43123</v>
      </c>
      <c r="B389" s="11">
        <v>298</v>
      </c>
      <c r="C389">
        <v>42705</v>
      </c>
      <c r="D389" s="5">
        <v>3.57</v>
      </c>
      <c r="F389">
        <v>100</v>
      </c>
      <c r="G389">
        <v>97.847222222222214</v>
      </c>
      <c r="H389">
        <f t="shared" si="18"/>
        <v>15787500</v>
      </c>
      <c r="I389" s="12">
        <f t="shared" si="19"/>
        <v>0.1779375</v>
      </c>
      <c r="J389" s="12">
        <f t="shared" si="20"/>
        <v>0.22074244966442952</v>
      </c>
    </row>
    <row r="390" spans="1:10" ht="15.75" customHeight="1">
      <c r="A390" s="13">
        <v>43124</v>
      </c>
      <c r="B390" s="11">
        <v>299</v>
      </c>
      <c r="C390">
        <v>49640</v>
      </c>
      <c r="D390" s="5">
        <v>4.08</v>
      </c>
      <c r="F390">
        <v>100</v>
      </c>
      <c r="G390">
        <v>100</v>
      </c>
      <c r="H390">
        <f t="shared" si="18"/>
        <v>15837140</v>
      </c>
      <c r="I390" s="12">
        <f t="shared" si="19"/>
        <v>0.20683333333333334</v>
      </c>
      <c r="J390" s="12">
        <f t="shared" si="20"/>
        <v>0.22069593088071349</v>
      </c>
    </row>
    <row r="391" spans="1:10" ht="15.75" customHeight="1">
      <c r="A391" s="13">
        <v>43125</v>
      </c>
      <c r="B391" s="11">
        <v>300</v>
      </c>
      <c r="C391">
        <v>53043</v>
      </c>
      <c r="D391" s="5">
        <v>4.3499999999999996</v>
      </c>
      <c r="F391">
        <v>100</v>
      </c>
      <c r="G391">
        <v>100</v>
      </c>
      <c r="H391">
        <f t="shared" si="18"/>
        <v>15890183</v>
      </c>
      <c r="I391" s="12">
        <f t="shared" si="19"/>
        <v>0.2210125</v>
      </c>
      <c r="J391" s="12">
        <f t="shared" si="20"/>
        <v>0.2206969861111111</v>
      </c>
    </row>
    <row r="392" spans="1:10" ht="15.75" customHeight="1">
      <c r="A392" s="13">
        <v>43126</v>
      </c>
      <c r="B392" s="11">
        <v>301</v>
      </c>
      <c r="C392">
        <v>55392</v>
      </c>
      <c r="D392" s="5">
        <v>4.59</v>
      </c>
      <c r="F392">
        <v>99.774430033029887</v>
      </c>
      <c r="G392">
        <v>100</v>
      </c>
      <c r="H392">
        <f t="shared" si="18"/>
        <v>15945575</v>
      </c>
      <c r="I392" s="12">
        <f t="shared" si="19"/>
        <v>0.23080000000000001</v>
      </c>
      <c r="J392" s="12">
        <f t="shared" si="20"/>
        <v>0.22073055094130675</v>
      </c>
    </row>
    <row r="393" spans="1:10" ht="15.75" customHeight="1">
      <c r="A393" s="13">
        <v>43127</v>
      </c>
      <c r="B393" s="11">
        <v>302</v>
      </c>
      <c r="C393">
        <v>55362</v>
      </c>
      <c r="D393" s="5">
        <v>4.6100000000000003</v>
      </c>
      <c r="F393">
        <v>100</v>
      </c>
      <c r="G393">
        <v>100</v>
      </c>
      <c r="H393">
        <f t="shared" si="18"/>
        <v>16000937</v>
      </c>
      <c r="I393" s="12">
        <f t="shared" si="19"/>
        <v>0.23067499999999999</v>
      </c>
      <c r="J393" s="12">
        <f t="shared" si="20"/>
        <v>0.22076347958057396</v>
      </c>
    </row>
    <row r="394" spans="1:10" ht="15.75" customHeight="1">
      <c r="A394" s="13">
        <v>43128</v>
      </c>
      <c r="B394" s="11">
        <v>303</v>
      </c>
      <c r="C394">
        <v>55845</v>
      </c>
      <c r="D394" s="5">
        <v>4.68</v>
      </c>
      <c r="F394">
        <v>100</v>
      </c>
      <c r="G394">
        <v>100</v>
      </c>
      <c r="H394">
        <f t="shared" si="18"/>
        <v>16056782</v>
      </c>
      <c r="I394" s="12">
        <f t="shared" si="19"/>
        <v>0.23268749999999999</v>
      </c>
      <c r="J394" s="12">
        <f t="shared" si="20"/>
        <v>0.22080283278327834</v>
      </c>
    </row>
    <row r="395" spans="1:10" ht="15.75" customHeight="1">
      <c r="A395" s="13">
        <v>43129</v>
      </c>
      <c r="B395" s="11">
        <v>304</v>
      </c>
      <c r="C395">
        <v>53925</v>
      </c>
      <c r="D395" s="5">
        <v>4.5199999999999996</v>
      </c>
      <c r="F395">
        <v>100</v>
      </c>
      <c r="G395">
        <v>100</v>
      </c>
      <c r="H395">
        <f t="shared" si="18"/>
        <v>16110707</v>
      </c>
      <c r="I395" s="12">
        <f t="shared" si="19"/>
        <v>0.22468750000000001</v>
      </c>
      <c r="J395" s="12">
        <f t="shared" si="20"/>
        <v>0.22081561129385965</v>
      </c>
    </row>
    <row r="396" spans="1:10" ht="15.75" customHeight="1">
      <c r="A396" s="13">
        <v>43130</v>
      </c>
      <c r="B396" s="11">
        <v>305</v>
      </c>
      <c r="C396">
        <v>53038</v>
      </c>
      <c r="D396" s="5">
        <v>4.4000000000000004</v>
      </c>
      <c r="F396">
        <v>100</v>
      </c>
      <c r="G396">
        <v>100</v>
      </c>
      <c r="H396">
        <f t="shared" si="18"/>
        <v>16163745</v>
      </c>
      <c r="I396" s="12">
        <f t="shared" si="19"/>
        <v>0.22099166666666667</v>
      </c>
      <c r="J396" s="12">
        <f t="shared" si="20"/>
        <v>0.22081618852459017</v>
      </c>
    </row>
    <row r="397" spans="1:10" ht="15.75" customHeight="1">
      <c r="A397" s="13">
        <v>43131</v>
      </c>
      <c r="B397" s="11">
        <v>306</v>
      </c>
      <c r="C397">
        <v>52845</v>
      </c>
      <c r="D397" s="5">
        <v>4.47</v>
      </c>
      <c r="F397">
        <v>100</v>
      </c>
      <c r="G397">
        <v>100</v>
      </c>
      <c r="H397">
        <f t="shared" si="18"/>
        <v>16216590</v>
      </c>
      <c r="I397" s="12">
        <f t="shared" si="19"/>
        <v>0.22018750000000001</v>
      </c>
      <c r="J397" s="12">
        <f t="shared" si="20"/>
        <v>0.22081413398692812</v>
      </c>
    </row>
    <row r="398" spans="1:10" ht="15.75" customHeight="1">
      <c r="A398" s="13">
        <v>43132</v>
      </c>
      <c r="B398" s="11">
        <v>307</v>
      </c>
      <c r="C398">
        <v>54146</v>
      </c>
      <c r="D398" s="5">
        <v>4.59</v>
      </c>
      <c r="F398">
        <v>100</v>
      </c>
      <c r="G398">
        <v>100</v>
      </c>
      <c r="H398">
        <f t="shared" si="18"/>
        <v>16270736</v>
      </c>
      <c r="I398" s="12">
        <f t="shared" si="19"/>
        <v>0.22560833333333333</v>
      </c>
      <c r="J398" s="12">
        <f t="shared" si="20"/>
        <v>0.22082975027144408</v>
      </c>
    </row>
    <row r="399" spans="1:10" ht="15.75" customHeight="1">
      <c r="A399" s="13">
        <v>43133</v>
      </c>
      <c r="B399" s="11">
        <v>308</v>
      </c>
      <c r="C399">
        <v>52619</v>
      </c>
      <c r="D399" s="5">
        <v>4.46</v>
      </c>
      <c r="F399">
        <v>100</v>
      </c>
      <c r="G399">
        <v>100</v>
      </c>
      <c r="H399">
        <f t="shared" si="18"/>
        <v>16323355</v>
      </c>
      <c r="I399" s="12">
        <f t="shared" si="19"/>
        <v>0.21924583333333333</v>
      </c>
      <c r="J399" s="12">
        <f t="shared" si="20"/>
        <v>0.22082460768398268</v>
      </c>
    </row>
    <row r="400" spans="1:10" ht="15.75" customHeight="1">
      <c r="A400" s="13">
        <v>43134</v>
      </c>
      <c r="B400" s="11">
        <v>309</v>
      </c>
      <c r="C400">
        <v>56997</v>
      </c>
      <c r="D400" s="5">
        <v>4.82</v>
      </c>
      <c r="F400">
        <v>100</v>
      </c>
      <c r="G400">
        <v>100</v>
      </c>
      <c r="H400">
        <f t="shared" si="18"/>
        <v>16380352</v>
      </c>
      <c r="I400" s="12">
        <f t="shared" si="19"/>
        <v>0.23748749999999999</v>
      </c>
      <c r="J400" s="12">
        <f t="shared" si="20"/>
        <v>0.22087853290183387</v>
      </c>
    </row>
    <row r="401" spans="1:10" ht="15.75" customHeight="1">
      <c r="A401" s="13">
        <v>43135</v>
      </c>
      <c r="B401" s="11">
        <v>310</v>
      </c>
      <c r="C401">
        <v>59536</v>
      </c>
      <c r="D401" s="5">
        <v>4.97</v>
      </c>
      <c r="F401">
        <v>100</v>
      </c>
      <c r="G401">
        <v>100</v>
      </c>
      <c r="H401">
        <f t="shared" si="18"/>
        <v>16439888</v>
      </c>
      <c r="I401" s="12">
        <f t="shared" si="19"/>
        <v>0.24806666666666666</v>
      </c>
      <c r="J401" s="12">
        <f t="shared" si="20"/>
        <v>0.22096623655913977</v>
      </c>
    </row>
    <row r="402" spans="1:10" ht="15.75" customHeight="1">
      <c r="A402" s="13">
        <v>43136</v>
      </c>
      <c r="B402" s="11">
        <v>311</v>
      </c>
      <c r="C402">
        <v>29583</v>
      </c>
      <c r="D402" s="5">
        <v>2.66</v>
      </c>
      <c r="F402">
        <v>100</v>
      </c>
      <c r="G402">
        <v>100</v>
      </c>
      <c r="H402">
        <f t="shared" si="18"/>
        <v>16469471</v>
      </c>
      <c r="I402" s="12">
        <f t="shared" si="19"/>
        <v>0.1232625</v>
      </c>
      <c r="J402" s="12">
        <f t="shared" si="20"/>
        <v>0.22065207663451233</v>
      </c>
    </row>
    <row r="403" spans="1:10" ht="15.75" customHeight="1">
      <c r="A403" s="13">
        <v>43137</v>
      </c>
      <c r="B403" s="11">
        <v>312</v>
      </c>
      <c r="C403">
        <v>57016</v>
      </c>
      <c r="D403" s="5">
        <v>4.76</v>
      </c>
      <c r="F403">
        <v>100</v>
      </c>
      <c r="G403">
        <v>99.166666666666671</v>
      </c>
      <c r="H403">
        <f t="shared" si="18"/>
        <v>16526487</v>
      </c>
      <c r="I403" s="12">
        <f t="shared" si="19"/>
        <v>0.23756666666666668</v>
      </c>
      <c r="J403" s="12">
        <f t="shared" si="20"/>
        <v>0.22070629006410256</v>
      </c>
    </row>
    <row r="404" spans="1:10" ht="15.75" customHeight="1">
      <c r="A404" s="13">
        <v>43138</v>
      </c>
      <c r="B404" s="11">
        <v>313</v>
      </c>
      <c r="C404">
        <v>60113</v>
      </c>
      <c r="D404" s="5">
        <v>5.18</v>
      </c>
      <c r="F404">
        <v>100</v>
      </c>
      <c r="G404">
        <v>100</v>
      </c>
      <c r="H404">
        <f t="shared" si="18"/>
        <v>16586600</v>
      </c>
      <c r="I404" s="12">
        <f t="shared" si="19"/>
        <v>0.25047083333333331</v>
      </c>
      <c r="J404" s="12">
        <f t="shared" si="20"/>
        <v>0.22080138445154421</v>
      </c>
    </row>
    <row r="405" spans="1:10" ht="15.75" customHeight="1">
      <c r="A405" s="13">
        <v>43139</v>
      </c>
      <c r="B405" s="11">
        <v>314</v>
      </c>
      <c r="C405">
        <v>57235</v>
      </c>
      <c r="D405" s="5">
        <v>4.99</v>
      </c>
      <c r="F405">
        <v>100</v>
      </c>
      <c r="G405">
        <v>99.305555555555557</v>
      </c>
      <c r="H405">
        <f t="shared" si="18"/>
        <v>16643835</v>
      </c>
      <c r="I405" s="12">
        <f t="shared" si="19"/>
        <v>0.23847916666666666</v>
      </c>
      <c r="J405" s="12">
        <f t="shared" si="20"/>
        <v>0.22085768312101911</v>
      </c>
    </row>
    <row r="406" spans="1:10" ht="15.75" customHeight="1">
      <c r="A406" s="13">
        <v>43140</v>
      </c>
      <c r="B406" s="11">
        <v>315</v>
      </c>
      <c r="C406">
        <v>58326</v>
      </c>
      <c r="D406" s="5">
        <v>4.97</v>
      </c>
      <c r="F406">
        <v>100</v>
      </c>
      <c r="G406">
        <v>100</v>
      </c>
      <c r="H406">
        <f t="shared" si="18"/>
        <v>16702161</v>
      </c>
      <c r="I406" s="12">
        <f t="shared" si="19"/>
        <v>0.24302499999999999</v>
      </c>
      <c r="J406" s="12">
        <f t="shared" si="20"/>
        <v>0.22092805555555556</v>
      </c>
    </row>
    <row r="407" spans="1:10" ht="15.75" customHeight="1">
      <c r="A407" s="13">
        <v>43141</v>
      </c>
      <c r="B407" s="11">
        <v>316</v>
      </c>
      <c r="C407">
        <v>56581</v>
      </c>
      <c r="D407" s="5">
        <v>4.95</v>
      </c>
      <c r="F407">
        <v>100</v>
      </c>
      <c r="G407">
        <v>100</v>
      </c>
      <c r="H407">
        <f t="shared" si="18"/>
        <v>16758742</v>
      </c>
      <c r="I407" s="12">
        <f t="shared" si="19"/>
        <v>0.23575416666666665</v>
      </c>
      <c r="J407" s="12">
        <f t="shared" si="20"/>
        <v>0.22097497362869198</v>
      </c>
    </row>
    <row r="408" spans="1:10" ht="15.75" customHeight="1">
      <c r="A408" s="13">
        <v>43142</v>
      </c>
      <c r="B408" s="11">
        <v>317</v>
      </c>
      <c r="C408">
        <v>31589</v>
      </c>
      <c r="D408" s="5">
        <v>2.98</v>
      </c>
      <c r="F408">
        <v>100</v>
      </c>
      <c r="G408">
        <v>100</v>
      </c>
      <c r="H408">
        <f t="shared" si="18"/>
        <v>16790331</v>
      </c>
      <c r="I408" s="12">
        <f t="shared" si="19"/>
        <v>0.13162083333333333</v>
      </c>
      <c r="J408" s="12">
        <f t="shared" si="20"/>
        <v>0.22069309936908518</v>
      </c>
    </row>
    <row r="409" spans="1:10" ht="15.75" customHeight="1">
      <c r="A409" s="13">
        <v>43143</v>
      </c>
      <c r="B409" s="11">
        <v>318</v>
      </c>
      <c r="C409">
        <v>55673</v>
      </c>
      <c r="D409" s="5">
        <v>4.58</v>
      </c>
      <c r="F409">
        <v>100</v>
      </c>
      <c r="G409">
        <v>100</v>
      </c>
      <c r="H409">
        <f t="shared" si="18"/>
        <v>16846004</v>
      </c>
      <c r="I409" s="12">
        <f t="shared" si="19"/>
        <v>0.23197083333333332</v>
      </c>
      <c r="J409" s="12">
        <f t="shared" si="20"/>
        <v>0.22072856394129978</v>
      </c>
    </row>
    <row r="410" spans="1:10" ht="15.75" customHeight="1">
      <c r="A410" s="13">
        <v>43144</v>
      </c>
      <c r="B410" s="11">
        <v>319</v>
      </c>
      <c r="C410">
        <v>55455</v>
      </c>
      <c r="D410" s="5">
        <v>4.71</v>
      </c>
      <c r="F410">
        <v>100</v>
      </c>
      <c r="G410">
        <v>100</v>
      </c>
      <c r="H410">
        <f t="shared" si="18"/>
        <v>16901459</v>
      </c>
      <c r="I410" s="12">
        <f t="shared" si="19"/>
        <v>0.2310625</v>
      </c>
      <c r="J410" s="12">
        <f t="shared" si="20"/>
        <v>0.22076095872518287</v>
      </c>
    </row>
    <row r="411" spans="1:10" ht="15.75" customHeight="1">
      <c r="A411" s="13">
        <v>43145</v>
      </c>
      <c r="B411" s="11">
        <v>320</v>
      </c>
      <c r="C411">
        <v>53783</v>
      </c>
      <c r="D411" s="5">
        <v>4.6900000000000004</v>
      </c>
      <c r="F411">
        <v>99.719057281098799</v>
      </c>
      <c r="G411">
        <v>100</v>
      </c>
      <c r="H411">
        <f t="shared" si="18"/>
        <v>16955242</v>
      </c>
      <c r="I411" s="12">
        <f t="shared" si="19"/>
        <v>0.22409583333333333</v>
      </c>
      <c r="J411" s="12">
        <f t="shared" si="20"/>
        <v>0.22077138020833334</v>
      </c>
    </row>
    <row r="412" spans="1:10" ht="15.75" customHeight="1">
      <c r="A412" s="13">
        <v>43146</v>
      </c>
      <c r="B412" s="11">
        <v>321</v>
      </c>
      <c r="C412">
        <v>55459</v>
      </c>
      <c r="D412" s="5">
        <v>4.88</v>
      </c>
      <c r="F412">
        <v>100</v>
      </c>
      <c r="G412">
        <v>100</v>
      </c>
      <c r="H412">
        <f t="shared" si="18"/>
        <v>17010701</v>
      </c>
      <c r="I412" s="12">
        <f t="shared" si="19"/>
        <v>0.23107916666666667</v>
      </c>
      <c r="J412" s="12">
        <f t="shared" si="20"/>
        <v>0.2208034916926272</v>
      </c>
    </row>
    <row r="413" spans="1:10" ht="15.75" customHeight="1">
      <c r="A413" s="13">
        <v>43147</v>
      </c>
      <c r="B413" s="11">
        <v>322</v>
      </c>
      <c r="C413">
        <v>55075</v>
      </c>
      <c r="D413" s="5">
        <v>4.8899999999999997</v>
      </c>
      <c r="F413">
        <v>100</v>
      </c>
      <c r="G413">
        <v>100</v>
      </c>
      <c r="H413">
        <f t="shared" si="18"/>
        <v>17065776</v>
      </c>
      <c r="I413" s="12">
        <f t="shared" si="19"/>
        <v>0.22947916666666668</v>
      </c>
      <c r="J413" s="12">
        <f t="shared" si="20"/>
        <v>0.22083043478260869</v>
      </c>
    </row>
    <row r="414" spans="1:10" ht="15.75" customHeight="1">
      <c r="A414" s="13">
        <v>43148</v>
      </c>
      <c r="B414" s="11">
        <v>323</v>
      </c>
      <c r="C414">
        <v>53826</v>
      </c>
      <c r="D414" s="5">
        <v>4.79</v>
      </c>
      <c r="F414">
        <v>100</v>
      </c>
      <c r="G414">
        <v>100</v>
      </c>
      <c r="H414">
        <f t="shared" si="18"/>
        <v>17119602</v>
      </c>
      <c r="I414" s="12">
        <f t="shared" si="19"/>
        <v>0.224275</v>
      </c>
      <c r="J414" s="12">
        <f t="shared" si="20"/>
        <v>0.22084109907120744</v>
      </c>
    </row>
    <row r="415" spans="1:10" ht="15.75" customHeight="1">
      <c r="A415" s="13">
        <v>43149</v>
      </c>
      <c r="B415" s="11">
        <v>324</v>
      </c>
      <c r="C415">
        <v>48940</v>
      </c>
      <c r="D415" s="5">
        <v>4.54</v>
      </c>
      <c r="F415">
        <v>100</v>
      </c>
      <c r="G415">
        <v>100</v>
      </c>
      <c r="H415">
        <f t="shared" si="18"/>
        <v>17168542</v>
      </c>
      <c r="I415" s="12">
        <f t="shared" si="19"/>
        <v>0.20391666666666666</v>
      </c>
      <c r="J415" s="12">
        <f t="shared" si="20"/>
        <v>0.22078886316872429</v>
      </c>
    </row>
    <row r="416" spans="1:10" ht="15.75" customHeight="1">
      <c r="A416" s="13">
        <v>43150</v>
      </c>
      <c r="B416" s="11">
        <v>325</v>
      </c>
      <c r="C416">
        <v>54702</v>
      </c>
      <c r="D416" s="5">
        <v>5.05</v>
      </c>
      <c r="F416">
        <v>100</v>
      </c>
      <c r="G416">
        <v>100</v>
      </c>
      <c r="H416">
        <f t="shared" ref="H416:H456" si="21">H415+C416</f>
        <v>17223244</v>
      </c>
      <c r="I416" s="12">
        <f t="shared" si="19"/>
        <v>0.22792499999999999</v>
      </c>
      <c r="J416" s="12">
        <f t="shared" si="20"/>
        <v>0.2208108205128205</v>
      </c>
    </row>
    <row r="417" spans="1:10" ht="15.75" customHeight="1">
      <c r="A417" s="13">
        <v>43151</v>
      </c>
      <c r="B417" s="11">
        <v>326</v>
      </c>
      <c r="C417">
        <v>55751</v>
      </c>
      <c r="D417" s="5">
        <v>5.15</v>
      </c>
      <c r="F417">
        <v>100</v>
      </c>
      <c r="G417">
        <v>100</v>
      </c>
      <c r="H417">
        <f t="shared" si="21"/>
        <v>17278995</v>
      </c>
      <c r="I417" s="12">
        <f t="shared" si="19"/>
        <v>0.23229583333333334</v>
      </c>
      <c r="J417" s="12">
        <f t="shared" si="20"/>
        <v>0.22084605061349694</v>
      </c>
    </row>
    <row r="418" spans="1:10" ht="15.75" customHeight="1">
      <c r="A418" s="13">
        <v>43152</v>
      </c>
      <c r="B418" s="11">
        <v>327</v>
      </c>
      <c r="C418">
        <v>50366</v>
      </c>
      <c r="D418" s="5">
        <v>4.72</v>
      </c>
      <c r="F418">
        <v>100</v>
      </c>
      <c r="G418">
        <v>100</v>
      </c>
      <c r="H418">
        <f t="shared" si="21"/>
        <v>17329361</v>
      </c>
      <c r="I418" s="12">
        <f t="shared" si="19"/>
        <v>0.20985833333333334</v>
      </c>
      <c r="J418" s="12">
        <f t="shared" si="20"/>
        <v>0.22081244903160041</v>
      </c>
    </row>
    <row r="419" spans="1:10" ht="15.75" customHeight="1">
      <c r="A419" s="13">
        <v>43153</v>
      </c>
      <c r="B419" s="11">
        <v>328</v>
      </c>
      <c r="C419">
        <v>55856</v>
      </c>
      <c r="D419" s="5">
        <v>5.18</v>
      </c>
      <c r="F419">
        <v>100</v>
      </c>
      <c r="G419">
        <v>100</v>
      </c>
      <c r="H419">
        <f t="shared" si="21"/>
        <v>17385217</v>
      </c>
      <c r="I419" s="12">
        <f t="shared" si="19"/>
        <v>0.23273333333333332</v>
      </c>
      <c r="J419" s="12">
        <f t="shared" si="20"/>
        <v>0.22084879319105691</v>
      </c>
    </row>
    <row r="420" spans="1:10" ht="15.75" customHeight="1">
      <c r="A420" s="13">
        <v>43154</v>
      </c>
      <c r="B420" s="11">
        <v>329</v>
      </c>
      <c r="C420">
        <v>43428</v>
      </c>
      <c r="D420" s="5">
        <v>4.12</v>
      </c>
      <c r="F420">
        <v>100</v>
      </c>
      <c r="G420">
        <v>99.305555555555557</v>
      </c>
      <c r="H420">
        <f t="shared" si="21"/>
        <v>17428645</v>
      </c>
      <c r="I420" s="12">
        <f t="shared" si="19"/>
        <v>0.18095</v>
      </c>
      <c r="J420" s="12">
        <f t="shared" si="20"/>
        <v>0.22072752026342451</v>
      </c>
    </row>
    <row r="421" spans="1:10" ht="15.75" customHeight="1">
      <c r="A421" s="13">
        <v>43155</v>
      </c>
      <c r="B421" s="11">
        <v>330</v>
      </c>
      <c r="C421">
        <v>52359</v>
      </c>
      <c r="D421" s="5">
        <v>4.8499999999999996</v>
      </c>
      <c r="F421">
        <v>100</v>
      </c>
      <c r="G421">
        <v>100</v>
      </c>
      <c r="H421">
        <f t="shared" si="21"/>
        <v>17481004</v>
      </c>
      <c r="I421" s="12">
        <f t="shared" si="19"/>
        <v>0.21816250000000001</v>
      </c>
      <c r="J421" s="12">
        <f t="shared" si="20"/>
        <v>0.22071974747474749</v>
      </c>
    </row>
    <row r="422" spans="1:10" ht="15.75" customHeight="1">
      <c r="A422" s="13">
        <v>43156</v>
      </c>
      <c r="B422" s="11">
        <v>331</v>
      </c>
      <c r="C422">
        <v>58692</v>
      </c>
      <c r="D422" s="5">
        <v>5.22</v>
      </c>
      <c r="F422">
        <v>100</v>
      </c>
      <c r="G422">
        <v>98.611111111111114</v>
      </c>
      <c r="H422">
        <f t="shared" si="21"/>
        <v>17539696</v>
      </c>
      <c r="I422" s="12">
        <f t="shared" si="19"/>
        <v>0.24454999999999999</v>
      </c>
      <c r="J422" s="12">
        <f t="shared" si="20"/>
        <v>0.22079174219536757</v>
      </c>
    </row>
    <row r="423" spans="1:10" ht="15.75" customHeight="1">
      <c r="A423" s="13">
        <v>43157</v>
      </c>
      <c r="B423" s="11">
        <v>332</v>
      </c>
      <c r="C423">
        <v>56904</v>
      </c>
      <c r="D423" s="5">
        <v>5.3</v>
      </c>
      <c r="F423">
        <v>100</v>
      </c>
      <c r="G423">
        <v>100</v>
      </c>
      <c r="H423">
        <f t="shared" si="21"/>
        <v>17596600</v>
      </c>
      <c r="I423" s="12">
        <f t="shared" si="19"/>
        <v>0.23710000000000001</v>
      </c>
      <c r="J423" s="12">
        <f t="shared" si="20"/>
        <v>0.22084086345381526</v>
      </c>
    </row>
    <row r="424" spans="1:10" ht="15.75" customHeight="1">
      <c r="A424" s="13">
        <v>43158</v>
      </c>
      <c r="B424" s="11">
        <v>333</v>
      </c>
      <c r="C424">
        <v>58242</v>
      </c>
      <c r="D424" s="5">
        <v>5.46</v>
      </c>
      <c r="F424">
        <v>99.521614550890746</v>
      </c>
      <c r="G424">
        <v>100</v>
      </c>
      <c r="H424">
        <f t="shared" si="21"/>
        <v>17654842</v>
      </c>
      <c r="I424" s="12">
        <f t="shared" si="19"/>
        <v>0.242675</v>
      </c>
      <c r="J424" s="12">
        <f t="shared" si="20"/>
        <v>0.22090643143143143</v>
      </c>
    </row>
    <row r="425" spans="1:10" ht="15.75" customHeight="1">
      <c r="A425" s="13">
        <v>43159</v>
      </c>
      <c r="B425" s="11">
        <v>334</v>
      </c>
      <c r="C425">
        <v>40286</v>
      </c>
      <c r="D425" s="5">
        <v>3.98</v>
      </c>
      <c r="F425">
        <v>100</v>
      </c>
      <c r="G425">
        <v>100</v>
      </c>
      <c r="H425">
        <f t="shared" si="21"/>
        <v>17695128</v>
      </c>
      <c r="I425" s="12">
        <f t="shared" si="19"/>
        <v>0.16785833333333333</v>
      </c>
      <c r="J425" s="12">
        <f t="shared" si="20"/>
        <v>0.22074760479041916</v>
      </c>
    </row>
    <row r="426" spans="1:10" ht="15.75" customHeight="1">
      <c r="A426" s="13">
        <v>43160</v>
      </c>
      <c r="B426" s="11">
        <v>335</v>
      </c>
      <c r="C426">
        <v>46377</v>
      </c>
      <c r="D426" s="5">
        <v>4.49</v>
      </c>
      <c r="F426">
        <v>98.823673569415519</v>
      </c>
      <c r="G426">
        <v>98.472222222222229</v>
      </c>
      <c r="H426">
        <f t="shared" si="21"/>
        <v>17741505</v>
      </c>
      <c r="I426" s="12">
        <f t="shared" si="19"/>
        <v>0.19323750000000001</v>
      </c>
      <c r="J426" s="12">
        <f t="shared" si="20"/>
        <v>0.22066548507462685</v>
      </c>
    </row>
    <row r="427" spans="1:10" ht="15.75" customHeight="1">
      <c r="A427" s="13">
        <v>43161</v>
      </c>
      <c r="B427" s="11">
        <v>336</v>
      </c>
      <c r="C427">
        <v>54597</v>
      </c>
      <c r="D427" s="5">
        <v>5.26</v>
      </c>
      <c r="F427">
        <v>100</v>
      </c>
      <c r="G427">
        <v>100</v>
      </c>
      <c r="H427">
        <f t="shared" si="21"/>
        <v>17796102</v>
      </c>
      <c r="I427" s="12">
        <f t="shared" si="19"/>
        <v>0.22748750000000001</v>
      </c>
      <c r="J427" s="12">
        <f t="shared" si="20"/>
        <v>0.2206857886904762</v>
      </c>
    </row>
    <row r="428" spans="1:10" ht="15.75" customHeight="1">
      <c r="A428" s="13">
        <v>43162</v>
      </c>
      <c r="B428" s="11">
        <v>337</v>
      </c>
      <c r="C428">
        <v>46363</v>
      </c>
      <c r="D428" s="5">
        <v>4.45</v>
      </c>
      <c r="F428">
        <v>100</v>
      </c>
      <c r="G428">
        <v>98.819444444444443</v>
      </c>
      <c r="H428">
        <f t="shared" si="21"/>
        <v>17842465</v>
      </c>
      <c r="I428" s="12">
        <f t="shared" si="19"/>
        <v>0.19317916666666668</v>
      </c>
      <c r="J428" s="12">
        <f t="shared" si="20"/>
        <v>0.22060416666666666</v>
      </c>
    </row>
    <row r="429" spans="1:10" ht="15.75" customHeight="1">
      <c r="A429" s="13">
        <v>43163</v>
      </c>
      <c r="B429" s="11">
        <v>338</v>
      </c>
      <c r="C429">
        <v>57055</v>
      </c>
      <c r="D429" s="5">
        <v>5.27</v>
      </c>
      <c r="F429">
        <v>100</v>
      </c>
      <c r="G429">
        <v>100</v>
      </c>
      <c r="H429">
        <f t="shared" si="21"/>
        <v>17899520</v>
      </c>
      <c r="I429" s="12">
        <f t="shared" si="19"/>
        <v>0.23772916666666666</v>
      </c>
      <c r="J429" s="12">
        <f t="shared" si="20"/>
        <v>0.22065483234714003</v>
      </c>
    </row>
    <row r="430" spans="1:10" ht="15.75" customHeight="1">
      <c r="A430" s="13">
        <v>43164</v>
      </c>
      <c r="B430" s="11">
        <v>339</v>
      </c>
      <c r="C430">
        <v>64970</v>
      </c>
      <c r="D430" s="5">
        <v>6.04</v>
      </c>
      <c r="F430">
        <v>100</v>
      </c>
      <c r="G430">
        <v>100</v>
      </c>
      <c r="H430">
        <f t="shared" si="21"/>
        <v>17964490</v>
      </c>
      <c r="I430" s="12">
        <f t="shared" si="19"/>
        <v>0.27070833333333333</v>
      </c>
      <c r="J430" s="12">
        <f t="shared" si="20"/>
        <v>0.22080248279252704</v>
      </c>
    </row>
    <row r="431" spans="1:10" ht="15.75" customHeight="1">
      <c r="A431" s="13">
        <v>43165</v>
      </c>
      <c r="B431" s="11">
        <v>340</v>
      </c>
      <c r="C431">
        <v>61489</v>
      </c>
      <c r="D431" s="5">
        <v>5.83</v>
      </c>
      <c r="F431">
        <v>100</v>
      </c>
      <c r="G431">
        <v>96.944444444444443</v>
      </c>
      <c r="H431">
        <f t="shared" si="21"/>
        <v>18025979</v>
      </c>
      <c r="I431" s="12">
        <f t="shared" si="19"/>
        <v>0.25620416666666668</v>
      </c>
      <c r="J431" s="12">
        <f t="shared" si="20"/>
        <v>0.22090660539215687</v>
      </c>
    </row>
    <row r="432" spans="1:10" ht="15.75" customHeight="1">
      <c r="A432" s="13">
        <v>43166</v>
      </c>
      <c r="B432" s="11">
        <v>341</v>
      </c>
      <c r="C432">
        <v>64028</v>
      </c>
      <c r="D432" s="5">
        <v>6.15</v>
      </c>
      <c r="F432">
        <v>100</v>
      </c>
      <c r="G432">
        <v>100</v>
      </c>
      <c r="H432">
        <f t="shared" si="21"/>
        <v>18090007</v>
      </c>
      <c r="I432" s="12">
        <f t="shared" si="19"/>
        <v>0.26678333333333332</v>
      </c>
      <c r="J432" s="12">
        <f t="shared" si="20"/>
        <v>0.2210411412512219</v>
      </c>
    </row>
    <row r="433" spans="1:10" ht="15.75" customHeight="1">
      <c r="A433" s="13">
        <v>43167</v>
      </c>
      <c r="B433" s="11">
        <v>342</v>
      </c>
      <c r="C433">
        <v>62550</v>
      </c>
      <c r="D433" s="5">
        <v>5.99</v>
      </c>
      <c r="F433">
        <v>100</v>
      </c>
      <c r="G433">
        <v>100</v>
      </c>
      <c r="H433">
        <f t="shared" si="21"/>
        <v>18152557</v>
      </c>
      <c r="I433" s="12">
        <f t="shared" si="19"/>
        <v>0.260625</v>
      </c>
      <c r="J433" s="12">
        <f t="shared" si="20"/>
        <v>0.2211568835282651</v>
      </c>
    </row>
    <row r="434" spans="1:10" ht="15.75" customHeight="1">
      <c r="A434" s="13">
        <v>43168</v>
      </c>
      <c r="B434" s="11">
        <v>343</v>
      </c>
      <c r="C434">
        <v>58328</v>
      </c>
      <c r="D434" s="5">
        <v>5.69</v>
      </c>
      <c r="F434">
        <v>100</v>
      </c>
      <c r="G434">
        <v>100</v>
      </c>
      <c r="H434">
        <f t="shared" si="21"/>
        <v>18210885</v>
      </c>
      <c r="I434" s="12">
        <f t="shared" si="19"/>
        <v>0.24303333333333332</v>
      </c>
      <c r="J434" s="12">
        <f t="shared" si="20"/>
        <v>0.22122066326530612</v>
      </c>
    </row>
    <row r="435" spans="1:10" ht="15.75" customHeight="1">
      <c r="A435" s="13">
        <v>43169</v>
      </c>
      <c r="B435" s="11">
        <v>344</v>
      </c>
      <c r="C435">
        <v>59555</v>
      </c>
      <c r="D435" s="5">
        <v>5.84</v>
      </c>
      <c r="F435">
        <v>100</v>
      </c>
      <c r="G435">
        <v>100</v>
      </c>
      <c r="H435">
        <f t="shared" si="21"/>
        <v>18270440</v>
      </c>
      <c r="I435" s="12">
        <f t="shared" si="19"/>
        <v>0.24814583333333334</v>
      </c>
      <c r="J435" s="12">
        <f t="shared" si="20"/>
        <v>0.22129893410852713</v>
      </c>
    </row>
    <row r="436" spans="1:10" ht="15.75" customHeight="1">
      <c r="A436" s="13">
        <v>43170</v>
      </c>
      <c r="B436" s="11">
        <v>345</v>
      </c>
      <c r="C436">
        <v>61012</v>
      </c>
      <c r="D436" s="5">
        <v>6.04</v>
      </c>
      <c r="F436">
        <v>100</v>
      </c>
      <c r="G436">
        <v>100</v>
      </c>
      <c r="H436">
        <f t="shared" si="21"/>
        <v>18331452</v>
      </c>
      <c r="I436" s="12">
        <f t="shared" si="19"/>
        <v>0.25421666666666665</v>
      </c>
      <c r="J436" s="12">
        <f t="shared" si="20"/>
        <v>0.22139434782608697</v>
      </c>
    </row>
    <row r="437" spans="1:10" ht="15.75" customHeight="1">
      <c r="A437" s="13">
        <v>43171</v>
      </c>
      <c r="B437" s="11">
        <v>346</v>
      </c>
      <c r="C437">
        <v>60695</v>
      </c>
      <c r="D437" s="5">
        <v>6.04</v>
      </c>
      <c r="F437">
        <v>100</v>
      </c>
      <c r="G437">
        <v>100</v>
      </c>
      <c r="H437">
        <f t="shared" si="21"/>
        <v>18392147</v>
      </c>
      <c r="I437" s="12">
        <f t="shared" si="19"/>
        <v>0.25289583333333332</v>
      </c>
      <c r="J437" s="12">
        <f t="shared" si="20"/>
        <v>0.22148539258188824</v>
      </c>
    </row>
    <row r="438" spans="1:10" ht="15.75" customHeight="1">
      <c r="A438" s="13">
        <v>43172</v>
      </c>
      <c r="B438" s="11">
        <v>347</v>
      </c>
      <c r="C438">
        <v>61477</v>
      </c>
      <c r="D438" s="5">
        <v>6.08</v>
      </c>
      <c r="F438">
        <v>100</v>
      </c>
      <c r="G438">
        <v>98.888888888888886</v>
      </c>
      <c r="H438">
        <f t="shared" si="21"/>
        <v>18453624</v>
      </c>
      <c r="I438" s="12">
        <f t="shared" si="19"/>
        <v>0.25615416666666668</v>
      </c>
      <c r="J438" s="12">
        <f t="shared" si="20"/>
        <v>0.22158530259365994</v>
      </c>
    </row>
    <row r="439" spans="1:10" ht="15.75" customHeight="1">
      <c r="A439" s="13">
        <v>43173</v>
      </c>
      <c r="B439" s="11">
        <v>348</v>
      </c>
      <c r="C439">
        <v>63246</v>
      </c>
      <c r="D439" s="5">
        <v>6.31</v>
      </c>
      <c r="F439">
        <v>100</v>
      </c>
      <c r="G439">
        <v>100</v>
      </c>
      <c r="H439">
        <f t="shared" si="21"/>
        <v>18516870</v>
      </c>
      <c r="I439" s="12">
        <f t="shared" si="19"/>
        <v>0.26352500000000001</v>
      </c>
      <c r="J439" s="12">
        <f t="shared" si="20"/>
        <v>0.22170581896551725</v>
      </c>
    </row>
    <row r="440" spans="1:10" ht="15.75" customHeight="1">
      <c r="A440" s="13">
        <v>43174</v>
      </c>
      <c r="B440" s="11">
        <v>349</v>
      </c>
      <c r="C440">
        <v>56730</v>
      </c>
      <c r="D440" s="5">
        <v>5.72</v>
      </c>
      <c r="F440">
        <v>100</v>
      </c>
      <c r="G440">
        <v>100</v>
      </c>
      <c r="H440">
        <f t="shared" si="21"/>
        <v>18573600</v>
      </c>
      <c r="I440" s="12">
        <f t="shared" si="19"/>
        <v>0.236375</v>
      </c>
      <c r="J440" s="12">
        <f t="shared" si="20"/>
        <v>0.22174785100286534</v>
      </c>
    </row>
    <row r="441" spans="1:10" ht="15.75" customHeight="1">
      <c r="A441" s="13">
        <v>43175</v>
      </c>
      <c r="B441" s="11">
        <v>350</v>
      </c>
      <c r="C441">
        <v>61364</v>
      </c>
      <c r="D441" s="5">
        <v>6.14</v>
      </c>
      <c r="F441">
        <v>100</v>
      </c>
      <c r="G441">
        <v>98.125</v>
      </c>
      <c r="H441">
        <f t="shared" si="21"/>
        <v>18634964</v>
      </c>
      <c r="I441" s="12">
        <f t="shared" si="19"/>
        <v>0.25568333333333332</v>
      </c>
      <c r="J441" s="12">
        <f t="shared" si="20"/>
        <v>0.22184480952380953</v>
      </c>
    </row>
    <row r="442" spans="1:10" ht="15.75" customHeight="1">
      <c r="A442" s="13">
        <v>43176</v>
      </c>
      <c r="B442" s="11">
        <v>351</v>
      </c>
      <c r="C442">
        <v>62515</v>
      </c>
      <c r="D442" s="5">
        <v>6.29</v>
      </c>
      <c r="F442">
        <v>100</v>
      </c>
      <c r="G442">
        <v>98.333333333333329</v>
      </c>
      <c r="H442">
        <f t="shared" si="21"/>
        <v>18697479</v>
      </c>
      <c r="I442" s="12">
        <f t="shared" si="19"/>
        <v>0.26047916666666665</v>
      </c>
      <c r="J442" s="12">
        <f t="shared" si="20"/>
        <v>0.22195487891737892</v>
      </c>
    </row>
    <row r="443" spans="1:10" ht="15.75" customHeight="1">
      <c r="A443" s="13">
        <v>43177</v>
      </c>
      <c r="B443" s="11">
        <v>352</v>
      </c>
      <c r="C443">
        <v>60154</v>
      </c>
      <c r="D443" s="5">
        <v>6.14</v>
      </c>
      <c r="F443">
        <v>100</v>
      </c>
      <c r="G443">
        <v>100</v>
      </c>
      <c r="H443">
        <f t="shared" si="21"/>
        <v>18757633</v>
      </c>
      <c r="I443" s="12">
        <f t="shared" si="19"/>
        <v>0.25064166666666665</v>
      </c>
      <c r="J443" s="12">
        <f t="shared" si="20"/>
        <v>0.22203637547348484</v>
      </c>
    </row>
    <row r="444" spans="1:10" ht="15.75" customHeight="1">
      <c r="A444" s="13">
        <v>43178</v>
      </c>
      <c r="B444" s="11">
        <v>353</v>
      </c>
      <c r="C444">
        <v>48401</v>
      </c>
      <c r="D444" s="5">
        <v>4.96</v>
      </c>
      <c r="F444">
        <v>100</v>
      </c>
      <c r="G444">
        <v>100</v>
      </c>
      <c r="H444">
        <f t="shared" si="21"/>
        <v>18806034</v>
      </c>
      <c r="I444" s="12">
        <f t="shared" si="19"/>
        <v>0.20167083333333333</v>
      </c>
      <c r="J444" s="12">
        <f t="shared" si="20"/>
        <v>0.22197868271954674</v>
      </c>
    </row>
    <row r="445" spans="1:10" ht="15.75" customHeight="1">
      <c r="A445" s="13">
        <v>43179</v>
      </c>
      <c r="B445" s="11">
        <v>354</v>
      </c>
      <c r="C445">
        <v>59398</v>
      </c>
      <c r="D445" s="5">
        <v>6.03</v>
      </c>
      <c r="F445">
        <v>100</v>
      </c>
      <c r="G445">
        <v>100</v>
      </c>
      <c r="H445">
        <f t="shared" si="21"/>
        <v>18865432</v>
      </c>
      <c r="I445" s="12">
        <f t="shared" si="19"/>
        <v>0.24749166666666667</v>
      </c>
      <c r="J445" s="12">
        <f t="shared" si="20"/>
        <v>0.22205075329566856</v>
      </c>
    </row>
    <row r="446" spans="1:10" ht="15.75" customHeight="1">
      <c r="A446" s="13">
        <v>43180</v>
      </c>
      <c r="B446" s="11">
        <v>355</v>
      </c>
      <c r="C446">
        <v>57115</v>
      </c>
      <c r="D446" s="5">
        <v>5.74</v>
      </c>
      <c r="F446">
        <v>100</v>
      </c>
      <c r="G446">
        <v>100</v>
      </c>
      <c r="H446">
        <f t="shared" si="21"/>
        <v>18922547</v>
      </c>
      <c r="I446" s="12">
        <f t="shared" si="19"/>
        <v>0.23797916666666666</v>
      </c>
      <c r="J446" s="12">
        <f t="shared" si="20"/>
        <v>0.22209562206572769</v>
      </c>
    </row>
    <row r="447" spans="1:10" ht="15.75" customHeight="1">
      <c r="A447" s="13">
        <v>43181</v>
      </c>
      <c r="B447" s="11">
        <v>356</v>
      </c>
      <c r="C447">
        <v>65683</v>
      </c>
      <c r="D447" s="5">
        <v>6.5</v>
      </c>
      <c r="F447">
        <v>100</v>
      </c>
      <c r="G447">
        <v>100</v>
      </c>
      <c r="H447">
        <f t="shared" si="21"/>
        <v>18988230</v>
      </c>
      <c r="I447" s="12">
        <f t="shared" si="19"/>
        <v>0.27367916666666664</v>
      </c>
      <c r="J447" s="12">
        <f t="shared" si="20"/>
        <v>0.22224051966292135</v>
      </c>
    </row>
    <row r="448" spans="1:10" ht="15.75" customHeight="1">
      <c r="A448" s="13">
        <v>43182</v>
      </c>
      <c r="B448" s="11">
        <v>357</v>
      </c>
      <c r="C448">
        <v>63389</v>
      </c>
      <c r="D448" s="5">
        <v>6.49</v>
      </c>
      <c r="F448">
        <v>100</v>
      </c>
      <c r="G448">
        <v>97.847222222222214</v>
      </c>
      <c r="H448">
        <f t="shared" si="21"/>
        <v>19051619</v>
      </c>
      <c r="I448" s="12">
        <f t="shared" si="19"/>
        <v>0.26412083333333336</v>
      </c>
      <c r="J448" s="12">
        <f t="shared" si="20"/>
        <v>0.2223578314659197</v>
      </c>
    </row>
    <row r="449" spans="1:10" ht="15.75" customHeight="1">
      <c r="A449" s="13">
        <v>43183</v>
      </c>
      <c r="B449" s="11">
        <v>358</v>
      </c>
      <c r="C449">
        <v>60633</v>
      </c>
      <c r="D449" s="5">
        <v>6.29</v>
      </c>
      <c r="F449">
        <v>100</v>
      </c>
      <c r="G449">
        <v>100</v>
      </c>
      <c r="H449">
        <f t="shared" si="21"/>
        <v>19112252</v>
      </c>
      <c r="I449" s="12">
        <f t="shared" si="19"/>
        <v>0.25263750000000001</v>
      </c>
      <c r="J449" s="12">
        <f t="shared" si="20"/>
        <v>0.22244241154562383</v>
      </c>
    </row>
    <row r="450" spans="1:10" ht="15.75" customHeight="1">
      <c r="A450" s="13">
        <v>43184</v>
      </c>
      <c r="B450" s="11">
        <v>359</v>
      </c>
      <c r="C450">
        <v>63018</v>
      </c>
      <c r="D450" s="5">
        <v>6.63</v>
      </c>
      <c r="F450">
        <v>99.831247363240053</v>
      </c>
      <c r="G450">
        <v>100</v>
      </c>
      <c r="H450">
        <f t="shared" si="21"/>
        <v>19175270</v>
      </c>
      <c r="I450" s="12">
        <f t="shared" si="19"/>
        <v>0.262575</v>
      </c>
      <c r="J450" s="12">
        <f t="shared" si="20"/>
        <v>0.22255420148560817</v>
      </c>
    </row>
    <row r="451" spans="1:10" ht="15.75" customHeight="1">
      <c r="A451" s="13">
        <v>43185</v>
      </c>
      <c r="B451" s="11">
        <v>360</v>
      </c>
      <c r="C451">
        <v>62098</v>
      </c>
      <c r="D451" s="5">
        <v>6.72</v>
      </c>
      <c r="F451">
        <v>100</v>
      </c>
      <c r="G451">
        <v>100</v>
      </c>
      <c r="H451">
        <f t="shared" si="21"/>
        <v>19237368</v>
      </c>
      <c r="I451" s="12">
        <f t="shared" ref="I451:I514" si="22">C451/(10*24*1000)</f>
        <v>0.25874166666666665</v>
      </c>
      <c r="J451" s="12">
        <f t="shared" si="20"/>
        <v>0.22265472222222221</v>
      </c>
    </row>
    <row r="452" spans="1:10" ht="15.75" customHeight="1">
      <c r="A452" s="13">
        <v>43186</v>
      </c>
      <c r="B452" s="11">
        <v>361</v>
      </c>
      <c r="C452">
        <v>63989</v>
      </c>
      <c r="D452" s="5">
        <v>6.83</v>
      </c>
      <c r="F452">
        <v>100</v>
      </c>
      <c r="G452">
        <v>100</v>
      </c>
      <c r="H452">
        <f t="shared" si="21"/>
        <v>19301357</v>
      </c>
      <c r="I452" s="12">
        <f t="shared" si="22"/>
        <v>0.26662083333333331</v>
      </c>
      <c r="J452" s="12">
        <f t="shared" ref="J452:J515" si="23">H452/(24*B452*10*1000)</f>
        <v>0.22277651200369344</v>
      </c>
    </row>
    <row r="453" spans="1:10" ht="15.75" customHeight="1">
      <c r="A453" s="13">
        <v>43187</v>
      </c>
      <c r="B453" s="11">
        <v>362</v>
      </c>
      <c r="C453">
        <v>62476</v>
      </c>
      <c r="D453" s="5">
        <v>6.63</v>
      </c>
      <c r="F453">
        <v>100</v>
      </c>
      <c r="G453">
        <v>100</v>
      </c>
      <c r="H453">
        <f t="shared" si="21"/>
        <v>19363833</v>
      </c>
      <c r="I453" s="12">
        <f t="shared" si="22"/>
        <v>0.26031666666666664</v>
      </c>
      <c r="J453" s="12">
        <f t="shared" si="23"/>
        <v>0.22288021408839778</v>
      </c>
    </row>
    <row r="454" spans="1:10" ht="15.75" customHeight="1">
      <c r="A454" s="13">
        <v>43188</v>
      </c>
      <c r="B454" s="11">
        <v>363</v>
      </c>
      <c r="C454">
        <v>62962</v>
      </c>
      <c r="D454" s="5">
        <v>6.72</v>
      </c>
      <c r="F454">
        <v>100</v>
      </c>
      <c r="G454">
        <v>100</v>
      </c>
      <c r="H454">
        <f t="shared" si="21"/>
        <v>19426795</v>
      </c>
      <c r="I454" s="12">
        <f t="shared" si="22"/>
        <v>0.26234166666666664</v>
      </c>
      <c r="J454" s="12">
        <f t="shared" si="23"/>
        <v>0.2229889233241506</v>
      </c>
    </row>
    <row r="455" spans="1:10" ht="15.75" customHeight="1">
      <c r="A455" s="13">
        <v>43189</v>
      </c>
      <c r="B455" s="11">
        <v>364</v>
      </c>
      <c r="C455">
        <v>64399</v>
      </c>
      <c r="D455" s="5">
        <v>6.95</v>
      </c>
      <c r="F455">
        <v>100</v>
      </c>
      <c r="G455">
        <v>100</v>
      </c>
      <c r="H455">
        <f t="shared" si="21"/>
        <v>19491194</v>
      </c>
      <c r="I455" s="12">
        <f t="shared" si="22"/>
        <v>0.26832916666666667</v>
      </c>
      <c r="J455" s="12">
        <f t="shared" si="23"/>
        <v>0.22311348443223444</v>
      </c>
    </row>
    <row r="456" spans="1:10" ht="15.75" customHeight="1">
      <c r="A456" s="13">
        <v>43190</v>
      </c>
      <c r="B456" s="11">
        <v>365</v>
      </c>
      <c r="C456">
        <v>62713</v>
      </c>
      <c r="D456" s="5">
        <v>6.82</v>
      </c>
      <c r="F456">
        <v>100</v>
      </c>
      <c r="G456">
        <v>100</v>
      </c>
      <c r="H456">
        <f t="shared" si="21"/>
        <v>19553907</v>
      </c>
      <c r="I456" s="12">
        <f t="shared" si="22"/>
        <v>0.26130416666666667</v>
      </c>
      <c r="J456" s="12">
        <f t="shared" si="23"/>
        <v>0.22321811643835615</v>
      </c>
    </row>
    <row r="457" spans="1:10" ht="15.75" customHeight="1">
      <c r="A457" s="13">
        <v>43191</v>
      </c>
      <c r="B457" s="11">
        <v>1</v>
      </c>
      <c r="C457">
        <v>60726</v>
      </c>
      <c r="D457" s="5">
        <v>6.21</v>
      </c>
      <c r="F457">
        <v>100</v>
      </c>
      <c r="G457">
        <v>100</v>
      </c>
      <c r="H457">
        <f>C457</f>
        <v>60726</v>
      </c>
      <c r="I457" s="12">
        <f t="shared" si="22"/>
        <v>0.253025</v>
      </c>
      <c r="J457" s="12">
        <f t="shared" si="23"/>
        <v>0.253025</v>
      </c>
    </row>
    <row r="458" spans="1:10" ht="15.75" customHeight="1">
      <c r="A458" s="13">
        <v>43192</v>
      </c>
      <c r="B458" s="11">
        <v>2</v>
      </c>
      <c r="C458">
        <v>60587</v>
      </c>
      <c r="D458" s="5">
        <v>6.63</v>
      </c>
      <c r="F458">
        <v>100</v>
      </c>
      <c r="G458">
        <v>100</v>
      </c>
      <c r="H458">
        <f>H457+C458</f>
        <v>121313</v>
      </c>
      <c r="I458" s="12">
        <f t="shared" si="22"/>
        <v>0.25244583333333331</v>
      </c>
      <c r="J458" s="12">
        <f t="shared" si="23"/>
        <v>0.25273541666666666</v>
      </c>
    </row>
    <row r="459" spans="1:10" ht="15.75" customHeight="1">
      <c r="A459" s="13">
        <v>43193</v>
      </c>
      <c r="B459" s="11">
        <v>3</v>
      </c>
      <c r="C459">
        <v>59078</v>
      </c>
      <c r="D459" s="5">
        <v>6.37</v>
      </c>
      <c r="F459">
        <v>100</v>
      </c>
      <c r="G459">
        <v>100</v>
      </c>
      <c r="H459">
        <f>H458+C459</f>
        <v>180391</v>
      </c>
      <c r="I459" s="12">
        <f t="shared" si="22"/>
        <v>0.24615833333333334</v>
      </c>
      <c r="J459" s="12">
        <f t="shared" si="23"/>
        <v>0.25054305555555556</v>
      </c>
    </row>
    <row r="460" spans="1:10" ht="15.75" customHeight="1">
      <c r="A460" s="13">
        <v>43194</v>
      </c>
      <c r="B460" s="11">
        <v>4</v>
      </c>
      <c r="C460">
        <v>58810</v>
      </c>
      <c r="D460" s="5">
        <v>6.36</v>
      </c>
      <c r="F460">
        <v>100</v>
      </c>
      <c r="G460">
        <v>100</v>
      </c>
      <c r="H460">
        <f t="shared" ref="H460:H523" si="24">H459+C460</f>
        <v>239201</v>
      </c>
      <c r="I460" s="12">
        <f t="shared" si="22"/>
        <v>0.24504166666666666</v>
      </c>
      <c r="J460" s="12">
        <f t="shared" si="23"/>
        <v>0.24916770833333332</v>
      </c>
    </row>
    <row r="461" spans="1:10" ht="15.75" customHeight="1">
      <c r="A461" s="13">
        <v>43195</v>
      </c>
      <c r="B461" s="11">
        <v>5</v>
      </c>
      <c r="C461">
        <v>51499</v>
      </c>
      <c r="D461" s="5">
        <v>5.62</v>
      </c>
      <c r="F461">
        <v>100</v>
      </c>
      <c r="G461">
        <v>99.513888888888886</v>
      </c>
      <c r="H461">
        <f t="shared" si="24"/>
        <v>290700</v>
      </c>
      <c r="I461" s="12">
        <f t="shared" si="22"/>
        <v>0.21457916666666665</v>
      </c>
      <c r="J461" s="12">
        <f t="shared" si="23"/>
        <v>0.24224999999999999</v>
      </c>
    </row>
    <row r="462" spans="1:10" ht="15.75" customHeight="1">
      <c r="A462" s="13">
        <v>43196</v>
      </c>
      <c r="B462" s="11">
        <v>6</v>
      </c>
      <c r="C462">
        <v>49061</v>
      </c>
      <c r="D462" s="5">
        <v>5.39</v>
      </c>
      <c r="F462">
        <v>100</v>
      </c>
      <c r="G462">
        <v>100</v>
      </c>
      <c r="H462">
        <f t="shared" si="24"/>
        <v>339761</v>
      </c>
      <c r="I462" s="12">
        <f t="shared" si="22"/>
        <v>0.20442083333333333</v>
      </c>
      <c r="J462" s="12">
        <f t="shared" si="23"/>
        <v>0.23594513888888888</v>
      </c>
    </row>
    <row r="463" spans="1:10" ht="15.75" customHeight="1">
      <c r="A463" s="13">
        <v>43197</v>
      </c>
      <c r="B463" s="11">
        <v>7</v>
      </c>
      <c r="C463">
        <v>56309</v>
      </c>
      <c r="D463" s="5">
        <v>6.24</v>
      </c>
      <c r="F463">
        <v>100</v>
      </c>
      <c r="G463">
        <v>100</v>
      </c>
      <c r="H463">
        <f t="shared" si="24"/>
        <v>396070</v>
      </c>
      <c r="I463" s="12">
        <f t="shared" si="22"/>
        <v>0.23462083333333333</v>
      </c>
      <c r="J463" s="12">
        <f t="shared" si="23"/>
        <v>0.23575595238095237</v>
      </c>
    </row>
    <row r="464" spans="1:10" ht="15.75" customHeight="1">
      <c r="A464" s="13">
        <v>43198</v>
      </c>
      <c r="B464" s="11">
        <v>8</v>
      </c>
      <c r="C464">
        <v>56988</v>
      </c>
      <c r="D464" s="5">
        <v>6.41</v>
      </c>
      <c r="F464">
        <v>100</v>
      </c>
      <c r="G464">
        <v>100</v>
      </c>
      <c r="H464">
        <f t="shared" si="24"/>
        <v>453058</v>
      </c>
      <c r="I464" s="12">
        <f t="shared" si="22"/>
        <v>0.23744999999999999</v>
      </c>
      <c r="J464" s="12">
        <f t="shared" si="23"/>
        <v>0.23596770833333333</v>
      </c>
    </row>
    <row r="465" spans="1:10" ht="15.75" customHeight="1">
      <c r="A465" s="13">
        <v>43199</v>
      </c>
      <c r="B465" s="11">
        <v>9</v>
      </c>
      <c r="C465">
        <v>37766</v>
      </c>
      <c r="D465" s="5">
        <v>4.4400000000000004</v>
      </c>
      <c r="F465">
        <v>100</v>
      </c>
      <c r="G465">
        <v>89.791666666666671</v>
      </c>
      <c r="H465">
        <f t="shared" si="24"/>
        <v>490824</v>
      </c>
      <c r="I465" s="12">
        <f t="shared" si="22"/>
        <v>0.15735833333333332</v>
      </c>
      <c r="J465" s="12">
        <f t="shared" si="23"/>
        <v>0.22723333333333334</v>
      </c>
    </row>
    <row r="466" spans="1:10" ht="15.75" customHeight="1">
      <c r="A466" s="13">
        <v>43200</v>
      </c>
      <c r="B466" s="11">
        <v>10</v>
      </c>
      <c r="C466">
        <v>38119</v>
      </c>
      <c r="D466" s="5">
        <v>4.62</v>
      </c>
      <c r="F466">
        <v>100</v>
      </c>
      <c r="G466">
        <v>100</v>
      </c>
      <c r="H466">
        <f t="shared" si="24"/>
        <v>528943</v>
      </c>
      <c r="I466" s="12">
        <f t="shared" si="22"/>
        <v>0.15882916666666666</v>
      </c>
      <c r="J466" s="12">
        <f t="shared" si="23"/>
        <v>0.22039291666666666</v>
      </c>
    </row>
    <row r="467" spans="1:10" ht="15.75" customHeight="1">
      <c r="A467" s="13">
        <v>43201</v>
      </c>
      <c r="B467" s="11">
        <v>11</v>
      </c>
      <c r="C467">
        <v>53595</v>
      </c>
      <c r="D467" s="5">
        <v>6.26</v>
      </c>
      <c r="F467">
        <v>100</v>
      </c>
      <c r="G467">
        <v>100</v>
      </c>
      <c r="H467">
        <f t="shared" si="24"/>
        <v>582538</v>
      </c>
      <c r="I467" s="12">
        <f t="shared" si="22"/>
        <v>0.2233125</v>
      </c>
      <c r="J467" s="12">
        <f t="shared" si="23"/>
        <v>0.22065833333333335</v>
      </c>
    </row>
    <row r="468" spans="1:10" ht="15.75" customHeight="1">
      <c r="A468" s="13">
        <v>43202</v>
      </c>
      <c r="B468" s="11">
        <v>12</v>
      </c>
      <c r="C468">
        <v>58041</v>
      </c>
      <c r="D468" s="5">
        <v>6.65</v>
      </c>
      <c r="F468">
        <v>100</v>
      </c>
      <c r="G468">
        <v>100</v>
      </c>
      <c r="H468">
        <f t="shared" si="24"/>
        <v>640579</v>
      </c>
      <c r="I468" s="12">
        <f t="shared" si="22"/>
        <v>0.24183750000000001</v>
      </c>
      <c r="J468" s="12">
        <f t="shared" si="23"/>
        <v>0.22242326388888889</v>
      </c>
    </row>
    <row r="469" spans="1:10" ht="15.75" customHeight="1">
      <c r="A469" s="13">
        <v>43203</v>
      </c>
      <c r="B469" s="11">
        <v>13</v>
      </c>
      <c r="C469">
        <v>55571</v>
      </c>
      <c r="D469" s="5">
        <v>6.52</v>
      </c>
      <c r="F469">
        <v>100</v>
      </c>
      <c r="G469">
        <v>100</v>
      </c>
      <c r="H469">
        <f t="shared" si="24"/>
        <v>696150</v>
      </c>
      <c r="I469" s="12">
        <f t="shared" si="22"/>
        <v>0.23154583333333334</v>
      </c>
      <c r="J469" s="12">
        <f t="shared" si="23"/>
        <v>0.22312499999999999</v>
      </c>
    </row>
    <row r="470" spans="1:10" ht="15.75" customHeight="1">
      <c r="A470" s="13">
        <v>43204</v>
      </c>
      <c r="B470" s="11">
        <v>14</v>
      </c>
      <c r="C470">
        <v>54527</v>
      </c>
      <c r="D470" s="5">
        <v>6.31</v>
      </c>
      <c r="F470">
        <v>100</v>
      </c>
      <c r="G470">
        <v>100</v>
      </c>
      <c r="H470">
        <f t="shared" si="24"/>
        <v>750677</v>
      </c>
      <c r="I470" s="12">
        <f t="shared" si="22"/>
        <v>0.22719583333333335</v>
      </c>
      <c r="J470" s="12">
        <f t="shared" si="23"/>
        <v>0.22341577380952382</v>
      </c>
    </row>
    <row r="471" spans="1:10" ht="15.75" customHeight="1">
      <c r="A471" s="13">
        <v>43205</v>
      </c>
      <c r="B471" s="11">
        <v>15</v>
      </c>
      <c r="C471">
        <v>56602</v>
      </c>
      <c r="D471" s="5">
        <v>6.76</v>
      </c>
      <c r="F471">
        <v>100</v>
      </c>
      <c r="G471">
        <v>100</v>
      </c>
      <c r="H471">
        <f t="shared" si="24"/>
        <v>807279</v>
      </c>
      <c r="I471" s="12">
        <f t="shared" si="22"/>
        <v>0.23584166666666667</v>
      </c>
      <c r="J471" s="12">
        <f t="shared" si="23"/>
        <v>0.22424416666666666</v>
      </c>
    </row>
    <row r="472" spans="1:10" ht="15.75" customHeight="1">
      <c r="A472" s="13">
        <v>43206</v>
      </c>
      <c r="B472" s="11">
        <v>16</v>
      </c>
      <c r="C472">
        <v>49150</v>
      </c>
      <c r="D472" s="5">
        <v>5.93</v>
      </c>
      <c r="F472">
        <v>100</v>
      </c>
      <c r="G472">
        <v>98.263888888888886</v>
      </c>
      <c r="H472">
        <f t="shared" si="24"/>
        <v>856429</v>
      </c>
      <c r="I472" s="12">
        <f t="shared" si="22"/>
        <v>0.20479166666666668</v>
      </c>
      <c r="J472" s="12">
        <f t="shared" si="23"/>
        <v>0.22302838541666667</v>
      </c>
    </row>
    <row r="473" spans="1:10" ht="15.75" customHeight="1">
      <c r="A473" s="13">
        <v>43207</v>
      </c>
      <c r="B473" s="11">
        <v>17</v>
      </c>
      <c r="C473">
        <v>55635</v>
      </c>
      <c r="D473" s="5">
        <v>6.7</v>
      </c>
      <c r="F473">
        <v>100</v>
      </c>
      <c r="G473">
        <v>97.291666666666671</v>
      </c>
      <c r="H473">
        <f t="shared" si="24"/>
        <v>912064</v>
      </c>
      <c r="I473" s="12">
        <f t="shared" si="22"/>
        <v>0.2318125</v>
      </c>
      <c r="J473" s="12">
        <f t="shared" si="23"/>
        <v>0.22354509803921568</v>
      </c>
    </row>
    <row r="474" spans="1:10" ht="15.75" customHeight="1">
      <c r="A474" s="13">
        <v>43208</v>
      </c>
      <c r="B474" s="11">
        <v>18</v>
      </c>
      <c r="C474">
        <v>54152</v>
      </c>
      <c r="D474" s="5">
        <v>6.67</v>
      </c>
      <c r="F474">
        <v>100</v>
      </c>
      <c r="G474">
        <v>100</v>
      </c>
      <c r="H474">
        <f t="shared" si="24"/>
        <v>966216</v>
      </c>
      <c r="I474" s="12">
        <f t="shared" si="22"/>
        <v>0.22563333333333332</v>
      </c>
      <c r="J474" s="12">
        <f t="shared" si="23"/>
        <v>0.22366111111111112</v>
      </c>
    </row>
    <row r="475" spans="1:10" ht="15.75" customHeight="1">
      <c r="A475" s="13">
        <v>43209</v>
      </c>
      <c r="B475" s="11">
        <v>19</v>
      </c>
      <c r="C475">
        <v>57782</v>
      </c>
      <c r="D475" s="5">
        <v>6.76</v>
      </c>
      <c r="F475">
        <v>100</v>
      </c>
      <c r="G475">
        <v>100</v>
      </c>
      <c r="H475">
        <f t="shared" si="24"/>
        <v>1023998</v>
      </c>
      <c r="I475" s="12">
        <f t="shared" si="22"/>
        <v>0.24075833333333332</v>
      </c>
      <c r="J475" s="12">
        <f t="shared" si="23"/>
        <v>0.2245609649122807</v>
      </c>
    </row>
    <row r="476" spans="1:10" ht="15.75" customHeight="1">
      <c r="A476" s="13">
        <v>43210</v>
      </c>
      <c r="B476" s="11">
        <v>20</v>
      </c>
      <c r="C476">
        <v>49475</v>
      </c>
      <c r="D476" s="5">
        <v>5.61</v>
      </c>
      <c r="F476">
        <v>100</v>
      </c>
      <c r="G476">
        <v>100</v>
      </c>
      <c r="H476">
        <f t="shared" si="24"/>
        <v>1073473</v>
      </c>
      <c r="I476" s="12">
        <f t="shared" si="22"/>
        <v>0.20614583333333333</v>
      </c>
      <c r="J476" s="12">
        <f t="shared" si="23"/>
        <v>0.22364020833333334</v>
      </c>
    </row>
    <row r="477" spans="1:10" ht="15.75" customHeight="1">
      <c r="A477" s="13">
        <v>43211</v>
      </c>
      <c r="B477" s="11">
        <v>21</v>
      </c>
      <c r="C477">
        <v>64010</v>
      </c>
      <c r="D477" s="5">
        <v>7.63</v>
      </c>
      <c r="F477">
        <v>100</v>
      </c>
      <c r="G477">
        <v>100</v>
      </c>
      <c r="H477">
        <f t="shared" si="24"/>
        <v>1137483</v>
      </c>
      <c r="I477" s="12">
        <f t="shared" si="22"/>
        <v>0.26670833333333333</v>
      </c>
      <c r="J477" s="12">
        <f t="shared" si="23"/>
        <v>0.22569107142857142</v>
      </c>
    </row>
    <row r="478" spans="1:10" ht="15.75" customHeight="1">
      <c r="A478" s="13">
        <v>43212</v>
      </c>
      <c r="B478" s="11">
        <v>22</v>
      </c>
      <c r="C478">
        <v>63209</v>
      </c>
      <c r="D478" s="5">
        <v>7.32</v>
      </c>
      <c r="F478">
        <v>100</v>
      </c>
      <c r="G478">
        <v>100</v>
      </c>
      <c r="H478">
        <f t="shared" si="24"/>
        <v>1200692</v>
      </c>
      <c r="I478" s="12">
        <f t="shared" si="22"/>
        <v>0.26337083333333333</v>
      </c>
      <c r="J478" s="12">
        <f t="shared" si="23"/>
        <v>0.22740378787878787</v>
      </c>
    </row>
    <row r="479" spans="1:10" ht="15.75" customHeight="1">
      <c r="A479" s="13">
        <v>43213</v>
      </c>
      <c r="B479" s="11">
        <v>23</v>
      </c>
      <c r="C479">
        <v>63220</v>
      </c>
      <c r="D479" s="5">
        <v>7.47</v>
      </c>
      <c r="F479">
        <v>100</v>
      </c>
      <c r="G479">
        <v>100</v>
      </c>
      <c r="H479">
        <f t="shared" si="24"/>
        <v>1263912</v>
      </c>
      <c r="I479" s="12">
        <f t="shared" si="22"/>
        <v>0.26341666666666669</v>
      </c>
      <c r="J479" s="12">
        <f t="shared" si="23"/>
        <v>0.22896956521739131</v>
      </c>
    </row>
    <row r="480" spans="1:10" ht="15.75" customHeight="1">
      <c r="A480" s="13">
        <v>43214</v>
      </c>
      <c r="B480" s="11">
        <v>24</v>
      </c>
      <c r="C480">
        <v>62177</v>
      </c>
      <c r="D480" s="5">
        <v>7.33</v>
      </c>
      <c r="F480">
        <v>100</v>
      </c>
      <c r="G480">
        <v>100</v>
      </c>
      <c r="H480">
        <f t="shared" si="24"/>
        <v>1326089</v>
      </c>
      <c r="I480" s="12">
        <f t="shared" si="22"/>
        <v>0.25907083333333331</v>
      </c>
      <c r="J480" s="12">
        <f t="shared" si="23"/>
        <v>0.23022378472222221</v>
      </c>
    </row>
    <row r="481" spans="1:10" ht="15.75" customHeight="1">
      <c r="A481" s="13">
        <v>43215</v>
      </c>
      <c r="B481" s="11">
        <v>25</v>
      </c>
      <c r="C481">
        <v>60371</v>
      </c>
      <c r="D481" s="5">
        <v>7.17</v>
      </c>
      <c r="F481">
        <v>99.867180236419188</v>
      </c>
      <c r="G481">
        <v>100</v>
      </c>
      <c r="H481">
        <f t="shared" si="24"/>
        <v>1386460</v>
      </c>
      <c r="I481" s="12">
        <f t="shared" si="22"/>
        <v>0.25154583333333336</v>
      </c>
      <c r="J481" s="12">
        <f t="shared" si="23"/>
        <v>0.23107666666666668</v>
      </c>
    </row>
    <row r="482" spans="1:10" ht="15.75" customHeight="1">
      <c r="A482" s="13">
        <v>43216</v>
      </c>
      <c r="B482" s="11">
        <v>26</v>
      </c>
      <c r="C482">
        <v>57957</v>
      </c>
      <c r="D482" s="5">
        <v>6.83</v>
      </c>
      <c r="F482">
        <v>100</v>
      </c>
      <c r="G482">
        <v>100</v>
      </c>
      <c r="H482">
        <f t="shared" si="24"/>
        <v>1444417</v>
      </c>
      <c r="I482" s="12">
        <f t="shared" si="22"/>
        <v>0.24148749999999999</v>
      </c>
      <c r="J482" s="12">
        <f t="shared" si="23"/>
        <v>0.23147708333333333</v>
      </c>
    </row>
    <row r="483" spans="1:10" ht="15.75" customHeight="1">
      <c r="A483" s="13">
        <v>43217</v>
      </c>
      <c r="B483" s="11">
        <v>27</v>
      </c>
      <c r="C483">
        <v>57519</v>
      </c>
      <c r="D483" s="5">
        <v>6.75</v>
      </c>
      <c r="F483">
        <v>100</v>
      </c>
      <c r="G483">
        <v>100</v>
      </c>
      <c r="H483">
        <f t="shared" si="24"/>
        <v>1501936</v>
      </c>
      <c r="I483" s="12">
        <f t="shared" si="22"/>
        <v>0.2396625</v>
      </c>
      <c r="J483" s="12">
        <f t="shared" si="23"/>
        <v>0.23178024691358023</v>
      </c>
    </row>
    <row r="484" spans="1:10" ht="15.75" customHeight="1">
      <c r="A484" s="13">
        <v>43218</v>
      </c>
      <c r="B484" s="11">
        <v>28</v>
      </c>
      <c r="C484">
        <v>57208</v>
      </c>
      <c r="D484" s="5">
        <v>6.84</v>
      </c>
      <c r="F484">
        <v>100</v>
      </c>
      <c r="G484">
        <v>100</v>
      </c>
      <c r="H484">
        <f t="shared" si="24"/>
        <v>1559144</v>
      </c>
      <c r="I484" s="12">
        <f t="shared" si="22"/>
        <v>0.23836666666666667</v>
      </c>
      <c r="J484" s="12">
        <f t="shared" si="23"/>
        <v>0.23201547619047619</v>
      </c>
    </row>
    <row r="485" spans="1:10" ht="15.75" customHeight="1">
      <c r="A485" s="13">
        <v>43219</v>
      </c>
      <c r="B485" s="11">
        <v>29</v>
      </c>
      <c r="C485">
        <v>58011</v>
      </c>
      <c r="D485" s="5">
        <v>6.92</v>
      </c>
      <c r="F485">
        <v>100</v>
      </c>
      <c r="G485">
        <v>100</v>
      </c>
      <c r="H485">
        <f t="shared" si="24"/>
        <v>1617155</v>
      </c>
      <c r="I485" s="12">
        <f t="shared" si="22"/>
        <v>0.2417125</v>
      </c>
      <c r="J485" s="12">
        <f t="shared" si="23"/>
        <v>0.23234985632183908</v>
      </c>
    </row>
    <row r="486" spans="1:10" ht="15.75" customHeight="1">
      <c r="A486" s="13">
        <v>43220</v>
      </c>
      <c r="B486" s="11">
        <v>30</v>
      </c>
      <c r="C486">
        <v>59407</v>
      </c>
      <c r="D486" s="5">
        <v>7.05</v>
      </c>
      <c r="F486">
        <v>100</v>
      </c>
      <c r="G486">
        <v>100</v>
      </c>
      <c r="H486">
        <f t="shared" si="24"/>
        <v>1676562</v>
      </c>
      <c r="I486" s="12">
        <f t="shared" si="22"/>
        <v>0.24752916666666666</v>
      </c>
      <c r="J486" s="12">
        <f t="shared" si="23"/>
        <v>0.23285583333333335</v>
      </c>
    </row>
    <row r="487" spans="1:10" ht="15.75" customHeight="1">
      <c r="A487" s="13">
        <v>43221</v>
      </c>
      <c r="B487" s="11">
        <v>31</v>
      </c>
      <c r="C487">
        <v>58606</v>
      </c>
      <c r="D487" s="5">
        <v>7.05</v>
      </c>
      <c r="F487">
        <v>100</v>
      </c>
      <c r="G487">
        <v>100</v>
      </c>
      <c r="H487">
        <f t="shared" si="24"/>
        <v>1735168</v>
      </c>
      <c r="I487" s="12">
        <f t="shared" si="22"/>
        <v>0.24419166666666667</v>
      </c>
      <c r="J487" s="12">
        <f t="shared" si="23"/>
        <v>0.23322150537634409</v>
      </c>
    </row>
    <row r="488" spans="1:10" ht="15.75" customHeight="1">
      <c r="A488" s="13">
        <v>43222</v>
      </c>
      <c r="B488" s="11">
        <v>32</v>
      </c>
      <c r="C488">
        <v>58382</v>
      </c>
      <c r="D488" s="5">
        <v>6.95</v>
      </c>
      <c r="F488">
        <v>100</v>
      </c>
      <c r="G488">
        <v>100</v>
      </c>
      <c r="H488">
        <f t="shared" si="24"/>
        <v>1793550</v>
      </c>
      <c r="I488" s="12">
        <f t="shared" si="22"/>
        <v>0.24325833333333333</v>
      </c>
      <c r="J488" s="12">
        <f t="shared" si="23"/>
        <v>0.23353515624999999</v>
      </c>
    </row>
    <row r="489" spans="1:10" ht="15.75" customHeight="1">
      <c r="A489" s="13">
        <v>43223</v>
      </c>
      <c r="B489" s="11">
        <v>33</v>
      </c>
      <c r="C489">
        <v>48395</v>
      </c>
      <c r="D489" s="5">
        <v>5.66</v>
      </c>
      <c r="F489">
        <v>99.531542785758901</v>
      </c>
      <c r="G489">
        <v>100</v>
      </c>
      <c r="H489">
        <f t="shared" si="24"/>
        <v>1841945</v>
      </c>
      <c r="I489" s="12">
        <f t="shared" si="22"/>
        <v>0.20164583333333333</v>
      </c>
      <c r="J489" s="12">
        <f t="shared" si="23"/>
        <v>0.23256881313131314</v>
      </c>
    </row>
    <row r="490" spans="1:10" ht="15.75" customHeight="1">
      <c r="A490" s="13">
        <v>43224</v>
      </c>
      <c r="B490" s="11">
        <v>34</v>
      </c>
      <c r="C490">
        <v>55623</v>
      </c>
      <c r="D490" s="5">
        <v>6.41</v>
      </c>
      <c r="F490">
        <v>100</v>
      </c>
      <c r="G490">
        <v>100</v>
      </c>
      <c r="H490">
        <f t="shared" si="24"/>
        <v>1897568</v>
      </c>
      <c r="I490" s="12">
        <f t="shared" si="22"/>
        <v>0.23176250000000001</v>
      </c>
      <c r="J490" s="12">
        <f t="shared" si="23"/>
        <v>0.23254509803921569</v>
      </c>
    </row>
    <row r="491" spans="1:10" ht="15.75" customHeight="1">
      <c r="A491" s="13">
        <v>43225</v>
      </c>
      <c r="B491" s="11">
        <v>35</v>
      </c>
      <c r="C491">
        <v>50183</v>
      </c>
      <c r="D491" s="5">
        <v>5.98</v>
      </c>
      <c r="F491">
        <v>100</v>
      </c>
      <c r="G491">
        <v>100</v>
      </c>
      <c r="H491">
        <f t="shared" si="24"/>
        <v>1947751</v>
      </c>
      <c r="I491" s="12">
        <f t="shared" si="22"/>
        <v>0.20909583333333334</v>
      </c>
      <c r="J491" s="12">
        <f t="shared" si="23"/>
        <v>0.23187511904761904</v>
      </c>
    </row>
    <row r="492" spans="1:10" ht="15.75" customHeight="1">
      <c r="A492" s="13">
        <v>43226</v>
      </c>
      <c r="B492" s="11">
        <v>36</v>
      </c>
      <c r="C492">
        <v>61704</v>
      </c>
      <c r="D492" s="5">
        <v>7.35</v>
      </c>
      <c r="F492">
        <v>100</v>
      </c>
      <c r="G492">
        <v>100</v>
      </c>
      <c r="H492">
        <f t="shared" si="24"/>
        <v>2009455</v>
      </c>
      <c r="I492" s="12">
        <f t="shared" si="22"/>
        <v>0.2571</v>
      </c>
      <c r="J492" s="12">
        <f t="shared" si="23"/>
        <v>0.23257581018518519</v>
      </c>
    </row>
    <row r="493" spans="1:10" ht="15.75" customHeight="1">
      <c r="A493" s="13">
        <v>43227</v>
      </c>
      <c r="B493" s="11">
        <v>37</v>
      </c>
      <c r="C493">
        <v>58184</v>
      </c>
      <c r="D493" s="5">
        <v>6.77</v>
      </c>
      <c r="F493">
        <v>100</v>
      </c>
      <c r="G493">
        <v>100</v>
      </c>
      <c r="H493">
        <f t="shared" si="24"/>
        <v>2067639</v>
      </c>
      <c r="I493" s="12">
        <f t="shared" si="22"/>
        <v>0.24243333333333333</v>
      </c>
      <c r="J493" s="12">
        <f t="shared" si="23"/>
        <v>0.23284222972972973</v>
      </c>
    </row>
    <row r="494" spans="1:10" ht="15.75" customHeight="1">
      <c r="A494" s="13">
        <v>43228</v>
      </c>
      <c r="B494" s="11">
        <v>38</v>
      </c>
      <c r="C494">
        <v>60071</v>
      </c>
      <c r="D494" s="5">
        <v>6.7</v>
      </c>
      <c r="F494">
        <v>100</v>
      </c>
      <c r="G494">
        <v>100</v>
      </c>
      <c r="H494">
        <f t="shared" si="24"/>
        <v>2127710</v>
      </c>
      <c r="I494" s="12">
        <f t="shared" si="22"/>
        <v>0.25029583333333333</v>
      </c>
      <c r="J494" s="12">
        <f t="shared" si="23"/>
        <v>0.23330153508771931</v>
      </c>
    </row>
    <row r="495" spans="1:10" ht="15.75" customHeight="1">
      <c r="A495" s="13">
        <v>43229</v>
      </c>
      <c r="B495" s="11">
        <v>39</v>
      </c>
      <c r="C495">
        <v>58230</v>
      </c>
      <c r="D495" s="5">
        <v>6.89</v>
      </c>
      <c r="F495">
        <v>100</v>
      </c>
      <c r="G495">
        <v>100</v>
      </c>
      <c r="H495">
        <f t="shared" si="24"/>
        <v>2185940</v>
      </c>
      <c r="I495" s="12">
        <f t="shared" si="22"/>
        <v>0.24262500000000001</v>
      </c>
      <c r="J495" s="12">
        <f t="shared" si="23"/>
        <v>0.23354059829059828</v>
      </c>
    </row>
    <row r="496" spans="1:10" ht="15.75" customHeight="1">
      <c r="A496" s="13">
        <v>43230</v>
      </c>
      <c r="B496" s="11">
        <v>40</v>
      </c>
      <c r="C496">
        <v>60285</v>
      </c>
      <c r="D496" s="5">
        <v>6.21</v>
      </c>
      <c r="F496">
        <v>100</v>
      </c>
      <c r="G496">
        <v>100</v>
      </c>
      <c r="H496">
        <f t="shared" si="24"/>
        <v>2246225</v>
      </c>
      <c r="I496" s="12">
        <f t="shared" si="22"/>
        <v>0.25118750000000001</v>
      </c>
      <c r="J496" s="12">
        <f t="shared" si="23"/>
        <v>0.23398177083333332</v>
      </c>
    </row>
    <row r="497" spans="1:10" ht="15.75" customHeight="1">
      <c r="A497" s="13">
        <v>43231</v>
      </c>
      <c r="B497" s="11">
        <v>41</v>
      </c>
      <c r="C497">
        <v>60415</v>
      </c>
      <c r="D497" s="5">
        <v>7.31</v>
      </c>
      <c r="F497">
        <v>100</v>
      </c>
      <c r="G497">
        <v>100</v>
      </c>
      <c r="H497">
        <f t="shared" si="24"/>
        <v>2306640</v>
      </c>
      <c r="I497" s="12">
        <f t="shared" si="22"/>
        <v>0.25172916666666667</v>
      </c>
      <c r="J497" s="12">
        <f t="shared" si="23"/>
        <v>0.23441463414634145</v>
      </c>
    </row>
    <row r="498" spans="1:10" ht="15.75" customHeight="1">
      <c r="A498" s="13">
        <v>43232</v>
      </c>
      <c r="B498" s="11">
        <v>42</v>
      </c>
      <c r="C498">
        <v>62570</v>
      </c>
      <c r="D498" s="5">
        <v>7.48</v>
      </c>
      <c r="F498">
        <v>100</v>
      </c>
      <c r="G498">
        <v>100</v>
      </c>
      <c r="H498">
        <f t="shared" si="24"/>
        <v>2369210</v>
      </c>
      <c r="I498" s="12">
        <f t="shared" si="22"/>
        <v>0.26070833333333332</v>
      </c>
      <c r="J498" s="12">
        <f t="shared" si="23"/>
        <v>0.2350406746031746</v>
      </c>
    </row>
    <row r="499" spans="1:10" ht="15.75" customHeight="1">
      <c r="A499" s="13">
        <v>43233</v>
      </c>
      <c r="B499" s="11">
        <v>43</v>
      </c>
      <c r="C499">
        <v>48930</v>
      </c>
      <c r="D499" s="5">
        <v>5.62</v>
      </c>
      <c r="F499">
        <v>98.877064699353653</v>
      </c>
      <c r="G499">
        <v>100</v>
      </c>
      <c r="H499">
        <f t="shared" si="24"/>
        <v>2418140</v>
      </c>
      <c r="I499" s="12">
        <f t="shared" si="22"/>
        <v>0.203875</v>
      </c>
      <c r="J499" s="12">
        <f t="shared" si="23"/>
        <v>0.23431589147286822</v>
      </c>
    </row>
    <row r="500" spans="1:10" ht="15.75" customHeight="1">
      <c r="A500" s="13">
        <v>43234</v>
      </c>
      <c r="B500" s="11">
        <v>44</v>
      </c>
      <c r="C500">
        <v>48833</v>
      </c>
      <c r="D500" s="5">
        <v>5.91</v>
      </c>
      <c r="F500">
        <v>100</v>
      </c>
      <c r="G500">
        <v>100</v>
      </c>
      <c r="H500">
        <f t="shared" si="24"/>
        <v>2466973</v>
      </c>
      <c r="I500" s="12">
        <f t="shared" si="22"/>
        <v>0.20347083333333332</v>
      </c>
      <c r="J500" s="12">
        <f t="shared" si="23"/>
        <v>0.23361486742424242</v>
      </c>
    </row>
    <row r="501" spans="1:10" ht="15.75" customHeight="1">
      <c r="A501" s="13">
        <v>43235</v>
      </c>
      <c r="B501" s="11">
        <v>45</v>
      </c>
      <c r="C501">
        <v>52139</v>
      </c>
      <c r="D501" s="5">
        <v>6.28</v>
      </c>
      <c r="F501">
        <v>100</v>
      </c>
      <c r="G501">
        <v>100</v>
      </c>
      <c r="H501">
        <f t="shared" si="24"/>
        <v>2519112</v>
      </c>
      <c r="I501" s="12">
        <f t="shared" si="22"/>
        <v>0.21724583333333333</v>
      </c>
      <c r="J501" s="12">
        <f t="shared" si="23"/>
        <v>0.2332511111111111</v>
      </c>
    </row>
    <row r="502" spans="1:10" ht="15.75" customHeight="1">
      <c r="A502" s="13">
        <v>43236</v>
      </c>
      <c r="B502" s="11">
        <v>46</v>
      </c>
      <c r="C502">
        <v>46201</v>
      </c>
      <c r="D502" s="5">
        <v>5.33</v>
      </c>
      <c r="F502">
        <v>100</v>
      </c>
      <c r="G502">
        <v>100</v>
      </c>
      <c r="H502">
        <f t="shared" si="24"/>
        <v>2565313</v>
      </c>
      <c r="I502" s="12">
        <f t="shared" si="22"/>
        <v>0.19250416666666667</v>
      </c>
      <c r="J502" s="12">
        <f t="shared" si="23"/>
        <v>0.23236530797101448</v>
      </c>
    </row>
    <row r="503" spans="1:10" ht="15.75" customHeight="1">
      <c r="A503" s="13">
        <v>43237</v>
      </c>
      <c r="B503" s="11">
        <v>47</v>
      </c>
      <c r="C503">
        <v>51564</v>
      </c>
      <c r="D503" s="5">
        <v>6.34</v>
      </c>
      <c r="F503">
        <v>100</v>
      </c>
      <c r="G503">
        <v>100</v>
      </c>
      <c r="H503">
        <f t="shared" si="24"/>
        <v>2616877</v>
      </c>
      <c r="I503" s="12">
        <f t="shared" si="22"/>
        <v>0.21485000000000001</v>
      </c>
      <c r="J503" s="12">
        <f t="shared" si="23"/>
        <v>0.23199264184397164</v>
      </c>
    </row>
    <row r="504" spans="1:10" ht="15.75" customHeight="1">
      <c r="A504" s="13">
        <v>43238</v>
      </c>
      <c r="B504" s="11">
        <v>48</v>
      </c>
      <c r="C504">
        <v>56967</v>
      </c>
      <c r="D504" s="5">
        <v>6.84</v>
      </c>
      <c r="F504">
        <v>100</v>
      </c>
      <c r="G504">
        <v>100</v>
      </c>
      <c r="H504">
        <f t="shared" si="24"/>
        <v>2673844</v>
      </c>
      <c r="I504" s="12">
        <f t="shared" si="22"/>
        <v>0.2373625</v>
      </c>
      <c r="J504" s="12">
        <f t="shared" si="23"/>
        <v>0.23210451388888889</v>
      </c>
    </row>
    <row r="505" spans="1:10" ht="15.75" customHeight="1">
      <c r="A505" s="13">
        <v>43239</v>
      </c>
      <c r="B505" s="11">
        <v>49</v>
      </c>
      <c r="C505">
        <v>49657</v>
      </c>
      <c r="D505" s="5">
        <v>6.24</v>
      </c>
      <c r="F505">
        <v>100</v>
      </c>
      <c r="G505">
        <v>100</v>
      </c>
      <c r="H505">
        <f t="shared" si="24"/>
        <v>2723501</v>
      </c>
      <c r="I505" s="12">
        <f t="shared" si="22"/>
        <v>0.20690416666666667</v>
      </c>
      <c r="J505" s="12">
        <f t="shared" si="23"/>
        <v>0.23159022108843538</v>
      </c>
    </row>
    <row r="506" spans="1:10" ht="15.75" customHeight="1">
      <c r="A506" s="13">
        <v>43240</v>
      </c>
      <c r="B506" s="11">
        <v>50</v>
      </c>
      <c r="C506">
        <v>56538</v>
      </c>
      <c r="D506" s="5">
        <v>6.72</v>
      </c>
      <c r="F506">
        <v>100</v>
      </c>
      <c r="G506">
        <v>99.652777777777786</v>
      </c>
      <c r="H506">
        <f t="shared" si="24"/>
        <v>2780039</v>
      </c>
      <c r="I506" s="12">
        <f t="shared" si="22"/>
        <v>0.23557500000000001</v>
      </c>
      <c r="J506" s="12">
        <f t="shared" si="23"/>
        <v>0.23166991666666667</v>
      </c>
    </row>
    <row r="507" spans="1:10" ht="15.75" customHeight="1">
      <c r="A507" s="13">
        <v>43241</v>
      </c>
      <c r="B507" s="11">
        <v>51</v>
      </c>
      <c r="C507">
        <v>48050</v>
      </c>
      <c r="D507" s="5">
        <v>5.9</v>
      </c>
      <c r="F507">
        <v>100</v>
      </c>
      <c r="G507">
        <v>92.916666666666671</v>
      </c>
      <c r="H507">
        <f t="shared" si="24"/>
        <v>2828089</v>
      </c>
      <c r="I507" s="12">
        <f t="shared" si="22"/>
        <v>0.20020833333333332</v>
      </c>
      <c r="J507" s="12">
        <f t="shared" si="23"/>
        <v>0.231053022875817</v>
      </c>
    </row>
    <row r="508" spans="1:10" ht="15.75" customHeight="1">
      <c r="A508" s="13">
        <v>43242</v>
      </c>
      <c r="B508" s="11">
        <v>52</v>
      </c>
      <c r="C508">
        <v>56304</v>
      </c>
      <c r="D508" s="5">
        <v>6.94</v>
      </c>
      <c r="F508">
        <v>100</v>
      </c>
      <c r="G508">
        <v>100</v>
      </c>
      <c r="H508">
        <f t="shared" si="24"/>
        <v>2884393</v>
      </c>
      <c r="I508" s="12">
        <f t="shared" si="22"/>
        <v>0.2346</v>
      </c>
      <c r="J508" s="12">
        <f t="shared" si="23"/>
        <v>0.23112123397435896</v>
      </c>
    </row>
    <row r="509" spans="1:10" ht="15.75" customHeight="1">
      <c r="A509" s="13">
        <v>43243</v>
      </c>
      <c r="B509" s="11">
        <v>53</v>
      </c>
      <c r="C509">
        <v>57315</v>
      </c>
      <c r="D509" s="5">
        <v>7</v>
      </c>
      <c r="F509">
        <v>100</v>
      </c>
      <c r="G509">
        <v>100</v>
      </c>
      <c r="H509">
        <f t="shared" si="24"/>
        <v>2941708</v>
      </c>
      <c r="I509" s="12">
        <f t="shared" si="22"/>
        <v>0.23881250000000001</v>
      </c>
      <c r="J509" s="12">
        <f t="shared" si="23"/>
        <v>0.23126635220125785</v>
      </c>
    </row>
    <row r="510" spans="1:10" ht="15.75" customHeight="1">
      <c r="A510" s="13">
        <v>43244</v>
      </c>
      <c r="B510" s="11">
        <v>54</v>
      </c>
      <c r="C510">
        <v>58867</v>
      </c>
      <c r="D510" s="5">
        <v>7.55</v>
      </c>
      <c r="F510">
        <v>100</v>
      </c>
      <c r="G510">
        <v>100</v>
      </c>
      <c r="H510">
        <f t="shared" si="24"/>
        <v>3000575</v>
      </c>
      <c r="I510" s="12">
        <f t="shared" si="22"/>
        <v>0.24527916666666666</v>
      </c>
      <c r="J510" s="12">
        <f t="shared" si="23"/>
        <v>0.23152584876543209</v>
      </c>
    </row>
    <row r="511" spans="1:10" ht="15.75" customHeight="1">
      <c r="A511" s="13">
        <v>43245</v>
      </c>
      <c r="B511" s="11">
        <v>55</v>
      </c>
      <c r="C511">
        <v>60636</v>
      </c>
      <c r="D511" s="5">
        <v>7.77</v>
      </c>
      <c r="F511">
        <v>100</v>
      </c>
      <c r="G511">
        <v>100</v>
      </c>
      <c r="H511">
        <f t="shared" si="24"/>
        <v>3061211</v>
      </c>
      <c r="I511" s="12">
        <f t="shared" si="22"/>
        <v>0.25264999999999999</v>
      </c>
      <c r="J511" s="12">
        <f t="shared" si="23"/>
        <v>0.23190992424242424</v>
      </c>
    </row>
    <row r="512" spans="1:10" ht="15.75" customHeight="1">
      <c r="A512" s="13">
        <v>43246</v>
      </c>
      <c r="B512" s="11">
        <v>56</v>
      </c>
      <c r="C512">
        <v>55350</v>
      </c>
      <c r="D512" s="5">
        <v>7.67</v>
      </c>
      <c r="F512">
        <v>94.172242607381833</v>
      </c>
      <c r="G512">
        <v>100</v>
      </c>
      <c r="H512">
        <f t="shared" si="24"/>
        <v>3116561</v>
      </c>
      <c r="I512" s="12">
        <f t="shared" si="22"/>
        <v>0.230625</v>
      </c>
      <c r="J512" s="12">
        <f t="shared" si="23"/>
        <v>0.23188697916666667</v>
      </c>
    </row>
    <row r="513" spans="1:10" ht="15.75" customHeight="1">
      <c r="A513" s="13">
        <v>43247</v>
      </c>
      <c r="B513" s="11">
        <v>57</v>
      </c>
      <c r="C513">
        <v>58819</v>
      </c>
      <c r="D513" s="5">
        <v>7.61</v>
      </c>
      <c r="F513">
        <v>97.55391732325046</v>
      </c>
      <c r="G513">
        <v>100</v>
      </c>
      <c r="H513">
        <f t="shared" si="24"/>
        <v>3175380</v>
      </c>
      <c r="I513" s="12">
        <f t="shared" si="22"/>
        <v>0.24507916666666665</v>
      </c>
      <c r="J513" s="12">
        <f t="shared" si="23"/>
        <v>0.23211842105263158</v>
      </c>
    </row>
    <row r="514" spans="1:10" ht="15.75" customHeight="1">
      <c r="A514" s="13">
        <v>43248</v>
      </c>
      <c r="B514" s="11">
        <v>58</v>
      </c>
      <c r="C514">
        <v>56729</v>
      </c>
      <c r="D514" s="5">
        <v>7.25</v>
      </c>
      <c r="F514">
        <v>100</v>
      </c>
      <c r="G514">
        <v>100</v>
      </c>
      <c r="H514">
        <f t="shared" si="24"/>
        <v>3232109</v>
      </c>
      <c r="I514" s="12">
        <f t="shared" si="22"/>
        <v>0.23637083333333334</v>
      </c>
      <c r="J514" s="12">
        <f t="shared" si="23"/>
        <v>0.23219173850574712</v>
      </c>
    </row>
    <row r="515" spans="1:10" ht="15.75" customHeight="1">
      <c r="A515" s="13">
        <v>43249</v>
      </c>
      <c r="B515" s="11">
        <v>59</v>
      </c>
      <c r="C515">
        <v>57814</v>
      </c>
      <c r="D515" s="5">
        <v>7.4</v>
      </c>
      <c r="F515">
        <v>100</v>
      </c>
      <c r="G515">
        <v>100</v>
      </c>
      <c r="H515">
        <f t="shared" si="24"/>
        <v>3289923</v>
      </c>
      <c r="I515" s="12">
        <f t="shared" ref="I515:I578" si="25">C515/(10*24*1000)</f>
        <v>0.24089166666666667</v>
      </c>
      <c r="J515" s="12">
        <f t="shared" si="23"/>
        <v>0.23233919491525423</v>
      </c>
    </row>
    <row r="516" spans="1:10" ht="15.75" customHeight="1">
      <c r="A516" s="13">
        <v>43250</v>
      </c>
      <c r="B516" s="11">
        <v>60</v>
      </c>
      <c r="C516">
        <v>56695</v>
      </c>
      <c r="D516" s="5">
        <v>7.09</v>
      </c>
      <c r="F516">
        <v>100</v>
      </c>
      <c r="G516">
        <v>100</v>
      </c>
      <c r="H516">
        <f t="shared" si="24"/>
        <v>3346618</v>
      </c>
      <c r="I516" s="12">
        <f t="shared" si="25"/>
        <v>0.23622916666666666</v>
      </c>
      <c r="J516" s="12">
        <f t="shared" ref="J516:J579" si="26">H516/(24*B516*10*1000)</f>
        <v>0.23240402777777777</v>
      </c>
    </row>
    <row r="517" spans="1:10" ht="15.75" customHeight="1">
      <c r="A517" s="13">
        <v>43251</v>
      </c>
      <c r="B517" s="11">
        <v>61</v>
      </c>
      <c r="C517">
        <v>56988</v>
      </c>
      <c r="D517" s="5">
        <v>7.23</v>
      </c>
      <c r="F517">
        <v>100</v>
      </c>
      <c r="G517">
        <v>100</v>
      </c>
      <c r="H517">
        <f t="shared" si="24"/>
        <v>3403606</v>
      </c>
      <c r="I517" s="12">
        <f t="shared" si="25"/>
        <v>0.23744999999999999</v>
      </c>
      <c r="J517" s="12">
        <f t="shared" si="26"/>
        <v>0.23248674863387978</v>
      </c>
    </row>
    <row r="518" spans="1:10" ht="15.75" customHeight="1">
      <c r="A518" s="13">
        <v>43252</v>
      </c>
      <c r="B518" s="11">
        <v>62</v>
      </c>
      <c r="C518">
        <v>54932</v>
      </c>
      <c r="D518" s="5">
        <v>6.89</v>
      </c>
      <c r="F518">
        <v>100</v>
      </c>
      <c r="G518">
        <v>100</v>
      </c>
      <c r="H518">
        <f t="shared" si="24"/>
        <v>3458538</v>
      </c>
      <c r="I518" s="12">
        <f t="shared" si="25"/>
        <v>0.22888333333333333</v>
      </c>
      <c r="J518" s="12">
        <f t="shared" si="26"/>
        <v>0.23242862903225806</v>
      </c>
    </row>
    <row r="519" spans="1:10" ht="15.75" customHeight="1">
      <c r="A519" s="13">
        <v>43253</v>
      </c>
      <c r="B519" s="11">
        <v>63</v>
      </c>
      <c r="C519">
        <v>55126</v>
      </c>
      <c r="D519" s="5">
        <v>6.94</v>
      </c>
      <c r="F519">
        <v>100</v>
      </c>
      <c r="G519">
        <v>100</v>
      </c>
      <c r="H519">
        <f t="shared" si="24"/>
        <v>3513664</v>
      </c>
      <c r="I519" s="12">
        <f t="shared" si="25"/>
        <v>0.22969166666666666</v>
      </c>
      <c r="J519" s="12">
        <f t="shared" si="26"/>
        <v>0.23238518518518519</v>
      </c>
    </row>
    <row r="520" spans="1:10" ht="15.75" customHeight="1">
      <c r="A520" s="13">
        <v>43254</v>
      </c>
      <c r="B520" s="11">
        <v>64</v>
      </c>
      <c r="C520">
        <v>54391</v>
      </c>
      <c r="D520" s="5">
        <v>6.91</v>
      </c>
      <c r="F520">
        <v>100</v>
      </c>
      <c r="G520">
        <v>100</v>
      </c>
      <c r="H520">
        <f t="shared" si="24"/>
        <v>3568055</v>
      </c>
      <c r="I520" s="12">
        <f t="shared" si="25"/>
        <v>0.22662916666666666</v>
      </c>
      <c r="J520" s="12">
        <f t="shared" si="26"/>
        <v>0.23229524739583332</v>
      </c>
    </row>
    <row r="521" spans="1:10" ht="15.75" customHeight="1">
      <c r="A521" s="13">
        <v>43255</v>
      </c>
      <c r="B521" s="11">
        <v>65</v>
      </c>
      <c r="C521">
        <v>57999</v>
      </c>
      <c r="D521" s="5">
        <v>6.99</v>
      </c>
      <c r="F521">
        <v>100</v>
      </c>
      <c r="G521">
        <v>100</v>
      </c>
      <c r="H521">
        <f t="shared" si="24"/>
        <v>3626054</v>
      </c>
      <c r="I521" s="12">
        <f t="shared" si="25"/>
        <v>0.2416625</v>
      </c>
      <c r="J521" s="12">
        <f t="shared" si="26"/>
        <v>0.23243935897435897</v>
      </c>
    </row>
    <row r="522" spans="1:10" ht="15.75" customHeight="1">
      <c r="A522" s="13">
        <v>43256</v>
      </c>
      <c r="B522" s="11">
        <v>66</v>
      </c>
      <c r="C522">
        <v>57004</v>
      </c>
      <c r="D522" s="5">
        <v>7.07</v>
      </c>
      <c r="F522">
        <v>100</v>
      </c>
      <c r="G522">
        <v>94.583333333333329</v>
      </c>
      <c r="H522">
        <f t="shared" si="24"/>
        <v>3683058</v>
      </c>
      <c r="I522" s="12">
        <f t="shared" si="25"/>
        <v>0.23751666666666665</v>
      </c>
      <c r="J522" s="12">
        <f t="shared" si="26"/>
        <v>0.23251628787878789</v>
      </c>
    </row>
    <row r="523" spans="1:10" ht="15.75" customHeight="1">
      <c r="A523" s="13">
        <v>43257</v>
      </c>
      <c r="B523" s="11">
        <v>67</v>
      </c>
      <c r="C523">
        <v>31065</v>
      </c>
      <c r="D523" s="5">
        <v>4.96</v>
      </c>
      <c r="F523">
        <v>100</v>
      </c>
      <c r="G523">
        <v>100</v>
      </c>
      <c r="H523">
        <f t="shared" si="24"/>
        <v>3714123</v>
      </c>
      <c r="I523" s="12">
        <f t="shared" si="25"/>
        <v>0.12943750000000001</v>
      </c>
      <c r="J523" s="12">
        <f t="shared" si="26"/>
        <v>0.23097779850746269</v>
      </c>
    </row>
    <row r="524" spans="1:10" ht="15.75" customHeight="1">
      <c r="A524" s="13">
        <v>43258</v>
      </c>
      <c r="B524" s="11">
        <v>68</v>
      </c>
      <c r="C524">
        <v>44131</v>
      </c>
      <c r="D524" s="5">
        <v>6.96</v>
      </c>
      <c r="F524">
        <v>100</v>
      </c>
      <c r="G524">
        <v>100</v>
      </c>
      <c r="H524">
        <f t="shared" ref="H524:H587" si="27">H523+C524</f>
        <v>3758254</v>
      </c>
      <c r="I524" s="12">
        <f t="shared" si="25"/>
        <v>0.18387916666666668</v>
      </c>
      <c r="J524" s="12">
        <f t="shared" si="26"/>
        <v>0.23028517156862746</v>
      </c>
    </row>
    <row r="525" spans="1:10" ht="15.75" customHeight="1">
      <c r="A525" s="13">
        <v>43259</v>
      </c>
      <c r="B525" s="11">
        <v>69</v>
      </c>
      <c r="C525">
        <v>45990</v>
      </c>
      <c r="D525" s="5">
        <v>6.68</v>
      </c>
      <c r="F525">
        <v>100</v>
      </c>
      <c r="G525">
        <v>100</v>
      </c>
      <c r="H525">
        <f t="shared" si="27"/>
        <v>3804244</v>
      </c>
      <c r="I525" s="12">
        <f t="shared" si="25"/>
        <v>0.19162499999999999</v>
      </c>
      <c r="J525" s="12">
        <f t="shared" si="26"/>
        <v>0.22972487922705315</v>
      </c>
    </row>
    <row r="526" spans="1:10" ht="15.75" customHeight="1">
      <c r="A526" s="13">
        <v>43260</v>
      </c>
      <c r="B526" s="11">
        <v>70</v>
      </c>
      <c r="C526">
        <v>49878</v>
      </c>
      <c r="D526" s="5">
        <v>6.86</v>
      </c>
      <c r="F526">
        <v>100</v>
      </c>
      <c r="G526">
        <v>100</v>
      </c>
      <c r="H526">
        <f t="shared" si="27"/>
        <v>3854122</v>
      </c>
      <c r="I526" s="12">
        <f t="shared" si="25"/>
        <v>0.20782500000000001</v>
      </c>
      <c r="J526" s="12">
        <f t="shared" si="26"/>
        <v>0.2294120238095238</v>
      </c>
    </row>
    <row r="527" spans="1:10" ht="15.75" customHeight="1">
      <c r="A527" s="13">
        <v>43261</v>
      </c>
      <c r="B527" s="11">
        <v>71</v>
      </c>
      <c r="C527">
        <v>46513</v>
      </c>
      <c r="D527" s="5">
        <v>5.91</v>
      </c>
      <c r="F527">
        <v>100</v>
      </c>
      <c r="G527">
        <v>100</v>
      </c>
      <c r="H527">
        <f t="shared" si="27"/>
        <v>3900635</v>
      </c>
      <c r="I527" s="12">
        <f t="shared" si="25"/>
        <v>0.19380416666666667</v>
      </c>
      <c r="J527" s="12">
        <f t="shared" si="26"/>
        <v>0.22891050469483568</v>
      </c>
    </row>
    <row r="528" spans="1:10" ht="15.75" customHeight="1">
      <c r="A528" s="13">
        <v>43262</v>
      </c>
      <c r="B528" s="11">
        <v>72</v>
      </c>
      <c r="C528">
        <v>55079</v>
      </c>
      <c r="D528" s="5">
        <v>6.83</v>
      </c>
      <c r="F528">
        <v>100</v>
      </c>
      <c r="G528">
        <v>100</v>
      </c>
      <c r="H528">
        <f t="shared" si="27"/>
        <v>3955714</v>
      </c>
      <c r="I528" s="12">
        <f t="shared" si="25"/>
        <v>0.22949583333333334</v>
      </c>
      <c r="J528" s="12">
        <f t="shared" si="26"/>
        <v>0.22891863425925926</v>
      </c>
    </row>
    <row r="529" spans="1:10" ht="15.75" customHeight="1">
      <c r="A529" s="13">
        <v>43263</v>
      </c>
      <c r="B529" s="11">
        <v>73</v>
      </c>
      <c r="C529">
        <v>42612</v>
      </c>
      <c r="D529" s="5">
        <v>5.17</v>
      </c>
      <c r="F529">
        <v>100</v>
      </c>
      <c r="G529">
        <v>100</v>
      </c>
      <c r="H529">
        <f t="shared" si="27"/>
        <v>3998326</v>
      </c>
      <c r="I529" s="12">
        <f t="shared" si="25"/>
        <v>0.17755000000000001</v>
      </c>
      <c r="J529" s="12">
        <f t="shared" si="26"/>
        <v>0.22821495433789954</v>
      </c>
    </row>
    <row r="530" spans="1:10" ht="15.75" customHeight="1">
      <c r="A530" s="13">
        <v>43264</v>
      </c>
      <c r="B530" s="11">
        <v>74</v>
      </c>
      <c r="C530">
        <v>36662</v>
      </c>
      <c r="D530" s="5">
        <v>4.1900000000000004</v>
      </c>
      <c r="F530">
        <v>100</v>
      </c>
      <c r="G530">
        <v>96.319444444444443</v>
      </c>
      <c r="H530">
        <f t="shared" si="27"/>
        <v>4034988</v>
      </c>
      <c r="I530" s="12">
        <f t="shared" si="25"/>
        <v>0.15275833333333333</v>
      </c>
      <c r="J530" s="12">
        <f t="shared" si="26"/>
        <v>0.22719527027027028</v>
      </c>
    </row>
    <row r="531" spans="1:10" ht="15.75" customHeight="1">
      <c r="A531" s="13">
        <v>43265</v>
      </c>
      <c r="B531" s="11">
        <v>75</v>
      </c>
      <c r="C531">
        <v>24909</v>
      </c>
      <c r="D531" s="5">
        <v>2.93</v>
      </c>
      <c r="F531">
        <v>100</v>
      </c>
      <c r="G531">
        <v>100</v>
      </c>
      <c r="H531">
        <f t="shared" si="27"/>
        <v>4059897</v>
      </c>
      <c r="I531" s="12">
        <f t="shared" si="25"/>
        <v>0.1037875</v>
      </c>
      <c r="J531" s="12">
        <f t="shared" si="26"/>
        <v>0.22554983333333334</v>
      </c>
    </row>
    <row r="532" spans="1:10" ht="15.75" customHeight="1">
      <c r="A532" s="13">
        <v>43266</v>
      </c>
      <c r="B532" s="11">
        <v>76</v>
      </c>
      <c r="C532">
        <v>29879</v>
      </c>
      <c r="D532" s="5">
        <v>3.37</v>
      </c>
      <c r="F532">
        <v>100</v>
      </c>
      <c r="G532">
        <v>100</v>
      </c>
      <c r="H532">
        <f t="shared" si="27"/>
        <v>4089776</v>
      </c>
      <c r="I532" s="12">
        <f t="shared" si="25"/>
        <v>0.12449583333333333</v>
      </c>
      <c r="J532" s="12">
        <f t="shared" si="26"/>
        <v>0.22422017543859649</v>
      </c>
    </row>
    <row r="533" spans="1:10" ht="15.75" customHeight="1">
      <c r="A533" s="13">
        <v>43267</v>
      </c>
      <c r="B533" s="11">
        <v>77</v>
      </c>
      <c r="C533">
        <v>44401</v>
      </c>
      <c r="D533" s="5">
        <v>4.7</v>
      </c>
      <c r="F533">
        <v>100</v>
      </c>
      <c r="G533">
        <v>100</v>
      </c>
      <c r="H533">
        <f t="shared" si="27"/>
        <v>4134177</v>
      </c>
      <c r="I533" s="12">
        <f t="shared" si="25"/>
        <v>0.18500416666666666</v>
      </c>
      <c r="J533" s="12">
        <f t="shared" si="26"/>
        <v>0.22371087662337663</v>
      </c>
    </row>
    <row r="534" spans="1:10" ht="15.75" customHeight="1">
      <c r="A534" s="13">
        <v>43268</v>
      </c>
      <c r="B534" s="11">
        <v>78</v>
      </c>
      <c r="C534">
        <v>53313</v>
      </c>
      <c r="D534" s="5">
        <v>5.9</v>
      </c>
      <c r="F534">
        <v>100</v>
      </c>
      <c r="G534">
        <v>97.777777777777771</v>
      </c>
      <c r="H534">
        <f t="shared" si="27"/>
        <v>4187490</v>
      </c>
      <c r="I534" s="12">
        <f t="shared" si="25"/>
        <v>0.22213749999999999</v>
      </c>
      <c r="J534" s="12">
        <f t="shared" si="26"/>
        <v>0.22369070512820513</v>
      </c>
    </row>
    <row r="535" spans="1:10" ht="15.75" customHeight="1">
      <c r="A535" s="13">
        <v>43269</v>
      </c>
      <c r="B535" s="11">
        <v>79</v>
      </c>
      <c r="C535">
        <v>46236</v>
      </c>
      <c r="D535" s="5">
        <v>5.16</v>
      </c>
      <c r="F535">
        <v>100</v>
      </c>
      <c r="G535">
        <v>100</v>
      </c>
      <c r="H535">
        <f t="shared" si="27"/>
        <v>4233726</v>
      </c>
      <c r="I535" s="12">
        <f t="shared" si="25"/>
        <v>0.19264999999999999</v>
      </c>
      <c r="J535" s="12">
        <f t="shared" si="26"/>
        <v>0.22329778481012658</v>
      </c>
    </row>
    <row r="536" spans="1:10" ht="15.75" customHeight="1">
      <c r="A536" s="13">
        <v>43270</v>
      </c>
      <c r="B536" s="11">
        <v>80</v>
      </c>
      <c r="C536">
        <v>51726</v>
      </c>
      <c r="D536" s="5">
        <v>6.43</v>
      </c>
      <c r="F536">
        <v>98.871536949768597</v>
      </c>
      <c r="G536">
        <v>100</v>
      </c>
      <c r="H536">
        <f t="shared" si="27"/>
        <v>4285452</v>
      </c>
      <c r="I536" s="12">
        <f t="shared" si="25"/>
        <v>0.21552499999999999</v>
      </c>
      <c r="J536" s="12">
        <f t="shared" si="26"/>
        <v>0.22320062500000001</v>
      </c>
    </row>
    <row r="537" spans="1:10" ht="15.75" customHeight="1">
      <c r="A537" s="13">
        <v>43271</v>
      </c>
      <c r="B537" s="11">
        <v>81</v>
      </c>
      <c r="C537">
        <v>58111</v>
      </c>
      <c r="D537" s="5">
        <v>7.11</v>
      </c>
      <c r="F537">
        <v>100</v>
      </c>
      <c r="G537">
        <v>100</v>
      </c>
      <c r="H537">
        <f t="shared" si="27"/>
        <v>4343563</v>
      </c>
      <c r="I537" s="12">
        <f t="shared" si="25"/>
        <v>0.24212916666666667</v>
      </c>
      <c r="J537" s="12">
        <f t="shared" si="26"/>
        <v>0.22343431069958847</v>
      </c>
    </row>
    <row r="538" spans="1:10" ht="15.75" customHeight="1">
      <c r="A538" s="13">
        <v>43272</v>
      </c>
      <c r="B538" s="11">
        <v>82</v>
      </c>
      <c r="C538">
        <v>52960</v>
      </c>
      <c r="D538" s="5">
        <v>6.78</v>
      </c>
      <c r="F538">
        <v>100</v>
      </c>
      <c r="G538">
        <v>100</v>
      </c>
      <c r="H538">
        <f t="shared" si="27"/>
        <v>4396523</v>
      </c>
      <c r="I538" s="12">
        <f t="shared" si="25"/>
        <v>0.22066666666666668</v>
      </c>
      <c r="J538" s="12">
        <f t="shared" si="26"/>
        <v>0.22340055894308944</v>
      </c>
    </row>
    <row r="539" spans="1:10" ht="15.75" customHeight="1">
      <c r="A539" s="13">
        <v>43273</v>
      </c>
      <c r="B539" s="11">
        <v>83</v>
      </c>
      <c r="C539">
        <v>55819</v>
      </c>
      <c r="D539" s="5">
        <v>7.11</v>
      </c>
      <c r="F539">
        <v>100</v>
      </c>
      <c r="G539">
        <v>100</v>
      </c>
      <c r="H539">
        <f t="shared" si="27"/>
        <v>4452342</v>
      </c>
      <c r="I539" s="12">
        <f t="shared" si="25"/>
        <v>0.23257916666666667</v>
      </c>
      <c r="J539" s="12">
        <f t="shared" si="26"/>
        <v>0.22351114457831325</v>
      </c>
    </row>
    <row r="540" spans="1:10" ht="15.75" customHeight="1">
      <c r="A540" s="13">
        <v>43274</v>
      </c>
      <c r="B540" s="11">
        <v>84</v>
      </c>
      <c r="C540">
        <v>52000</v>
      </c>
      <c r="D540" s="5">
        <v>6.56</v>
      </c>
      <c r="F540">
        <v>100</v>
      </c>
      <c r="G540">
        <v>100</v>
      </c>
      <c r="H540">
        <f t="shared" si="27"/>
        <v>4504342</v>
      </c>
      <c r="I540" s="12">
        <f t="shared" si="25"/>
        <v>0.21666666666666667</v>
      </c>
      <c r="J540" s="12">
        <f t="shared" si="26"/>
        <v>0.22342966269841269</v>
      </c>
    </row>
    <row r="541" spans="1:10" ht="15.75" customHeight="1">
      <c r="A541" s="13">
        <v>43275</v>
      </c>
      <c r="B541" s="11">
        <v>85</v>
      </c>
      <c r="C541">
        <v>53149</v>
      </c>
      <c r="D541" s="5">
        <v>6.65</v>
      </c>
      <c r="F541">
        <v>100</v>
      </c>
      <c r="G541">
        <v>100</v>
      </c>
      <c r="H541">
        <f t="shared" si="27"/>
        <v>4557491</v>
      </c>
      <c r="I541" s="12">
        <f t="shared" si="25"/>
        <v>0.22145416666666667</v>
      </c>
      <c r="J541" s="12">
        <f t="shared" si="26"/>
        <v>0.22340642156862744</v>
      </c>
    </row>
    <row r="542" spans="1:10" ht="15.75" customHeight="1">
      <c r="A542" s="13">
        <v>43276</v>
      </c>
      <c r="B542" s="11">
        <v>86</v>
      </c>
      <c r="C542">
        <v>59261</v>
      </c>
      <c r="D542" s="5">
        <v>7.1</v>
      </c>
      <c r="F542">
        <v>100</v>
      </c>
      <c r="G542">
        <v>100</v>
      </c>
      <c r="H542">
        <f t="shared" si="27"/>
        <v>4616752</v>
      </c>
      <c r="I542" s="12">
        <f t="shared" si="25"/>
        <v>0.24692083333333334</v>
      </c>
      <c r="J542" s="12">
        <f t="shared" si="26"/>
        <v>0.2236798449612403</v>
      </c>
    </row>
    <row r="543" spans="1:10" ht="15.75" customHeight="1">
      <c r="A543" s="13">
        <v>43277</v>
      </c>
      <c r="B543" s="11">
        <v>87</v>
      </c>
      <c r="C543">
        <v>59565</v>
      </c>
      <c r="D543" s="5">
        <v>7.28</v>
      </c>
      <c r="F543">
        <v>100</v>
      </c>
      <c r="G543">
        <v>98.333333333333329</v>
      </c>
      <c r="H543">
        <f t="shared" si="27"/>
        <v>4676317</v>
      </c>
      <c r="I543" s="12">
        <f t="shared" si="25"/>
        <v>0.24818750000000001</v>
      </c>
      <c r="J543" s="12">
        <f t="shared" si="26"/>
        <v>0.22396154214559386</v>
      </c>
    </row>
    <row r="544" spans="1:10" ht="15.75" customHeight="1">
      <c r="A544" s="13">
        <v>43278</v>
      </c>
      <c r="B544" s="11">
        <v>88</v>
      </c>
      <c r="C544">
        <v>40859</v>
      </c>
      <c r="D544" s="5">
        <v>4.72</v>
      </c>
      <c r="F544">
        <v>98.954088858867365</v>
      </c>
      <c r="G544">
        <v>100</v>
      </c>
      <c r="H544">
        <f t="shared" si="27"/>
        <v>4717176</v>
      </c>
      <c r="I544" s="12">
        <f t="shared" si="25"/>
        <v>0.17024583333333335</v>
      </c>
      <c r="J544" s="12">
        <f t="shared" si="26"/>
        <v>0.22335113636363638</v>
      </c>
    </row>
    <row r="545" spans="1:10" ht="15.75" customHeight="1">
      <c r="A545" s="13">
        <v>43279</v>
      </c>
      <c r="B545" s="11">
        <v>89</v>
      </c>
      <c r="C545">
        <v>36499</v>
      </c>
      <c r="D545" s="5">
        <v>4.0199999999999996</v>
      </c>
      <c r="F545">
        <v>100</v>
      </c>
      <c r="G545">
        <v>97.430555555555557</v>
      </c>
      <c r="H545">
        <f t="shared" si="27"/>
        <v>4753675</v>
      </c>
      <c r="I545" s="12">
        <f t="shared" si="25"/>
        <v>0.15207916666666665</v>
      </c>
      <c r="J545" s="12">
        <f t="shared" si="26"/>
        <v>0.22255032771535579</v>
      </c>
    </row>
    <row r="546" spans="1:10" ht="15.75" customHeight="1">
      <c r="A546" s="13">
        <v>43280</v>
      </c>
      <c r="B546" s="11">
        <v>90</v>
      </c>
      <c r="C546">
        <v>48052</v>
      </c>
      <c r="D546" s="5">
        <v>5.26</v>
      </c>
      <c r="F546">
        <v>100</v>
      </c>
      <c r="G546">
        <v>100</v>
      </c>
      <c r="H546">
        <f t="shared" si="27"/>
        <v>4801727</v>
      </c>
      <c r="I546" s="12">
        <f t="shared" si="25"/>
        <v>0.20021666666666665</v>
      </c>
      <c r="J546" s="12">
        <f t="shared" si="26"/>
        <v>0.22230217592592594</v>
      </c>
    </row>
    <row r="547" spans="1:10" ht="15.75" customHeight="1">
      <c r="A547" s="13">
        <v>43281</v>
      </c>
      <c r="B547" s="11">
        <v>91</v>
      </c>
      <c r="C547">
        <v>42105</v>
      </c>
      <c r="D547" s="5">
        <v>4.6399999999999997</v>
      </c>
      <c r="F547">
        <v>100</v>
      </c>
      <c r="G547">
        <v>100</v>
      </c>
      <c r="H547">
        <f t="shared" si="27"/>
        <v>4843832</v>
      </c>
      <c r="I547" s="12">
        <f t="shared" si="25"/>
        <v>0.1754375</v>
      </c>
      <c r="J547" s="12">
        <f t="shared" si="26"/>
        <v>0.22178717948717949</v>
      </c>
    </row>
    <row r="548" spans="1:10" ht="15.75" customHeight="1">
      <c r="A548" s="13">
        <v>43282</v>
      </c>
      <c r="B548" s="11">
        <v>92</v>
      </c>
      <c r="C548">
        <v>51361</v>
      </c>
      <c r="D548" s="5">
        <v>6.07</v>
      </c>
      <c r="F548">
        <v>100</v>
      </c>
      <c r="G548">
        <v>100</v>
      </c>
      <c r="H548">
        <f t="shared" si="27"/>
        <v>4895193</v>
      </c>
      <c r="I548" s="12">
        <f t="shared" si="25"/>
        <v>0.21400416666666666</v>
      </c>
      <c r="J548" s="12">
        <f t="shared" si="26"/>
        <v>0.22170258152173913</v>
      </c>
    </row>
    <row r="549" spans="1:10" ht="15.75" customHeight="1">
      <c r="A549" s="13">
        <v>43283</v>
      </c>
      <c r="B549" s="11">
        <v>93</v>
      </c>
      <c r="C549">
        <v>60226</v>
      </c>
      <c r="D549" s="5">
        <v>7.27</v>
      </c>
      <c r="F549">
        <v>100</v>
      </c>
      <c r="G549">
        <v>100</v>
      </c>
      <c r="H549">
        <f t="shared" si="27"/>
        <v>4955419</v>
      </c>
      <c r="I549" s="12">
        <f t="shared" si="25"/>
        <v>0.25094166666666667</v>
      </c>
      <c r="J549" s="12">
        <f t="shared" si="26"/>
        <v>0.22201698028673836</v>
      </c>
    </row>
    <row r="550" spans="1:10" ht="15.75" customHeight="1">
      <c r="A550" s="13">
        <v>43284</v>
      </c>
      <c r="B550" s="11">
        <v>94</v>
      </c>
      <c r="C550">
        <v>58876</v>
      </c>
      <c r="D550" s="5">
        <v>7.12</v>
      </c>
      <c r="F550">
        <v>100</v>
      </c>
      <c r="G550">
        <v>100</v>
      </c>
      <c r="H550">
        <f t="shared" si="27"/>
        <v>5014295</v>
      </c>
      <c r="I550" s="12">
        <f t="shared" si="25"/>
        <v>0.24531666666666666</v>
      </c>
      <c r="J550" s="12">
        <f t="shared" si="26"/>
        <v>0.22226484929078014</v>
      </c>
    </row>
    <row r="551" spans="1:10" ht="15.75" customHeight="1">
      <c r="A551" s="13">
        <v>43285</v>
      </c>
      <c r="B551" s="11">
        <v>95</v>
      </c>
      <c r="C551">
        <v>48244</v>
      </c>
      <c r="D551" s="5">
        <v>5.53</v>
      </c>
      <c r="F551">
        <v>100</v>
      </c>
      <c r="G551">
        <v>100</v>
      </c>
      <c r="H551">
        <f t="shared" si="27"/>
        <v>5062539</v>
      </c>
      <c r="I551" s="12">
        <f t="shared" si="25"/>
        <v>0.20101666666666668</v>
      </c>
      <c r="J551" s="12">
        <f t="shared" si="26"/>
        <v>0.22204118421052632</v>
      </c>
    </row>
    <row r="552" spans="1:10" ht="15.75" customHeight="1">
      <c r="A552" s="13">
        <v>43286</v>
      </c>
      <c r="B552" s="11">
        <v>96</v>
      </c>
      <c r="C552">
        <v>51625</v>
      </c>
      <c r="D552" s="5">
        <v>6.2</v>
      </c>
      <c r="F552">
        <v>100</v>
      </c>
      <c r="G552">
        <v>100</v>
      </c>
      <c r="H552">
        <f t="shared" si="27"/>
        <v>5114164</v>
      </c>
      <c r="I552" s="12">
        <f t="shared" si="25"/>
        <v>0.21510416666666668</v>
      </c>
      <c r="J552" s="12">
        <f t="shared" si="26"/>
        <v>0.22196892361111112</v>
      </c>
    </row>
    <row r="553" spans="1:10" ht="15.75" customHeight="1">
      <c r="A553" s="13">
        <v>43287</v>
      </c>
      <c r="B553" s="11">
        <v>97</v>
      </c>
      <c r="C553">
        <v>51524</v>
      </c>
      <c r="D553" s="5">
        <v>6.3</v>
      </c>
      <c r="F553">
        <v>100</v>
      </c>
      <c r="G553">
        <v>100</v>
      </c>
      <c r="H553">
        <f t="shared" si="27"/>
        <v>5165688</v>
      </c>
      <c r="I553" s="12">
        <f t="shared" si="25"/>
        <v>0.21468333333333334</v>
      </c>
      <c r="J553" s="12">
        <f t="shared" si="26"/>
        <v>0.22189381443298969</v>
      </c>
    </row>
    <row r="554" spans="1:10" ht="15.75" customHeight="1">
      <c r="A554" s="13">
        <v>43288</v>
      </c>
      <c r="B554" s="11">
        <v>98</v>
      </c>
      <c r="C554">
        <v>56360</v>
      </c>
      <c r="D554" s="5">
        <v>6.94</v>
      </c>
      <c r="F554">
        <v>100</v>
      </c>
      <c r="G554">
        <v>100</v>
      </c>
      <c r="H554">
        <f t="shared" si="27"/>
        <v>5222048</v>
      </c>
      <c r="I554" s="12">
        <f t="shared" si="25"/>
        <v>0.23483333333333334</v>
      </c>
      <c r="J554" s="12">
        <f t="shared" si="26"/>
        <v>0.22202585034013606</v>
      </c>
    </row>
    <row r="555" spans="1:10" ht="15.75" customHeight="1">
      <c r="A555" s="13">
        <v>43289</v>
      </c>
      <c r="B555" s="11">
        <v>99</v>
      </c>
      <c r="C555">
        <v>57964</v>
      </c>
      <c r="D555" s="5">
        <v>7.18</v>
      </c>
      <c r="F555">
        <v>100</v>
      </c>
      <c r="G555">
        <v>100</v>
      </c>
      <c r="H555">
        <f t="shared" si="27"/>
        <v>5280012</v>
      </c>
      <c r="I555" s="12">
        <f t="shared" si="25"/>
        <v>0.24151666666666666</v>
      </c>
      <c r="J555" s="12">
        <f t="shared" si="26"/>
        <v>0.22222272727272727</v>
      </c>
    </row>
    <row r="556" spans="1:10" ht="15.75" customHeight="1">
      <c r="A556" s="13">
        <v>43290</v>
      </c>
      <c r="B556" s="11">
        <v>100</v>
      </c>
      <c r="C556">
        <v>58051</v>
      </c>
      <c r="D556" s="5">
        <v>7.21</v>
      </c>
      <c r="F556">
        <v>100</v>
      </c>
      <c r="G556">
        <v>100</v>
      </c>
      <c r="H556">
        <f t="shared" si="27"/>
        <v>5338063</v>
      </c>
      <c r="I556" s="12">
        <f t="shared" si="25"/>
        <v>0.24187916666666667</v>
      </c>
      <c r="J556" s="12">
        <f t="shared" si="26"/>
        <v>0.22241929166666666</v>
      </c>
    </row>
    <row r="557" spans="1:10" ht="15.75" customHeight="1">
      <c r="A557" s="13">
        <v>43291</v>
      </c>
      <c r="B557" s="11">
        <v>101</v>
      </c>
      <c r="C557">
        <v>57791</v>
      </c>
      <c r="D557" s="5">
        <v>7.15</v>
      </c>
      <c r="F557">
        <v>100</v>
      </c>
      <c r="G557">
        <v>100</v>
      </c>
      <c r="H557">
        <f t="shared" si="27"/>
        <v>5395854</v>
      </c>
      <c r="I557" s="12">
        <f t="shared" si="25"/>
        <v>0.24079583333333332</v>
      </c>
      <c r="J557" s="12">
        <f t="shared" si="26"/>
        <v>0.22260123762376238</v>
      </c>
    </row>
    <row r="558" spans="1:10" ht="15.75" customHeight="1">
      <c r="A558" s="13">
        <v>43292</v>
      </c>
      <c r="B558" s="11">
        <v>102</v>
      </c>
      <c r="C558">
        <v>58514</v>
      </c>
      <c r="D558" s="5">
        <v>7.18</v>
      </c>
      <c r="F558">
        <v>100</v>
      </c>
      <c r="G558">
        <v>100</v>
      </c>
      <c r="H558">
        <f t="shared" si="27"/>
        <v>5454368</v>
      </c>
      <c r="I558" s="12">
        <f t="shared" si="25"/>
        <v>0.24380833333333332</v>
      </c>
      <c r="J558" s="12">
        <f t="shared" si="26"/>
        <v>0.22280915032679738</v>
      </c>
    </row>
    <row r="559" spans="1:10" ht="15.75" customHeight="1">
      <c r="A559" s="13">
        <v>43293</v>
      </c>
      <c r="B559" s="11">
        <v>103</v>
      </c>
      <c r="C559">
        <v>58867</v>
      </c>
      <c r="D559" s="5">
        <v>7.22</v>
      </c>
      <c r="F559">
        <v>100</v>
      </c>
      <c r="G559">
        <v>100</v>
      </c>
      <c r="H559">
        <f t="shared" si="27"/>
        <v>5513235</v>
      </c>
      <c r="I559" s="12">
        <f t="shared" si="25"/>
        <v>0.24527916666666666</v>
      </c>
      <c r="J559" s="12">
        <f t="shared" si="26"/>
        <v>0.22302730582524272</v>
      </c>
    </row>
    <row r="560" spans="1:10" ht="15.75" customHeight="1">
      <c r="A560" s="13">
        <v>43294</v>
      </c>
      <c r="B560" s="11">
        <v>104</v>
      </c>
      <c r="C560">
        <v>56321</v>
      </c>
      <c r="D560" s="5">
        <v>6.59</v>
      </c>
      <c r="F560">
        <v>100</v>
      </c>
      <c r="G560">
        <v>100</v>
      </c>
      <c r="H560">
        <f t="shared" si="27"/>
        <v>5569556</v>
      </c>
      <c r="I560" s="12">
        <f t="shared" si="25"/>
        <v>0.23467083333333333</v>
      </c>
      <c r="J560" s="12">
        <f t="shared" si="26"/>
        <v>0.22313926282051283</v>
      </c>
    </row>
    <row r="561" spans="1:10" ht="15.75" customHeight="1">
      <c r="A561" s="13">
        <v>43295</v>
      </c>
      <c r="B561" s="11">
        <v>105</v>
      </c>
      <c r="C561">
        <v>56488</v>
      </c>
      <c r="D561" s="5">
        <v>6.79</v>
      </c>
      <c r="F561">
        <v>100</v>
      </c>
      <c r="G561">
        <v>100</v>
      </c>
      <c r="H561">
        <f t="shared" si="27"/>
        <v>5626044</v>
      </c>
      <c r="I561" s="12">
        <f t="shared" si="25"/>
        <v>0.23536666666666667</v>
      </c>
      <c r="J561" s="12">
        <f t="shared" si="26"/>
        <v>0.22325571428571428</v>
      </c>
    </row>
    <row r="562" spans="1:10" ht="15.75" customHeight="1">
      <c r="A562" s="13">
        <v>43296</v>
      </c>
      <c r="B562" s="11">
        <v>106</v>
      </c>
      <c r="C562">
        <v>44825</v>
      </c>
      <c r="D562" s="5">
        <v>5.01</v>
      </c>
      <c r="F562">
        <v>100</v>
      </c>
      <c r="G562">
        <v>100</v>
      </c>
      <c r="H562">
        <f t="shared" si="27"/>
        <v>5670869</v>
      </c>
      <c r="I562" s="12">
        <f t="shared" si="25"/>
        <v>0.18677083333333333</v>
      </c>
      <c r="J562" s="12">
        <f t="shared" si="26"/>
        <v>0.22291151729559749</v>
      </c>
    </row>
    <row r="563" spans="1:10" ht="15.75" customHeight="1">
      <c r="A563" s="13">
        <v>43297</v>
      </c>
      <c r="B563" s="11">
        <v>107</v>
      </c>
      <c r="C563">
        <v>49118</v>
      </c>
      <c r="D563" s="5">
        <v>5.49</v>
      </c>
      <c r="F563">
        <v>100</v>
      </c>
      <c r="G563">
        <v>100</v>
      </c>
      <c r="H563">
        <f t="shared" si="27"/>
        <v>5719987</v>
      </c>
      <c r="I563" s="12">
        <f t="shared" si="25"/>
        <v>0.20465833333333333</v>
      </c>
      <c r="J563" s="12">
        <f t="shared" si="26"/>
        <v>0.22274092679127727</v>
      </c>
    </row>
    <row r="564" spans="1:10" ht="15.75" customHeight="1">
      <c r="A564" s="13">
        <v>43298</v>
      </c>
      <c r="B564" s="11">
        <v>108</v>
      </c>
      <c r="C564">
        <v>48143</v>
      </c>
      <c r="D564" s="5">
        <v>5.58</v>
      </c>
      <c r="F564">
        <v>100</v>
      </c>
      <c r="G564">
        <v>100</v>
      </c>
      <c r="H564">
        <f t="shared" si="27"/>
        <v>5768130</v>
      </c>
      <c r="I564" s="12">
        <f t="shared" si="25"/>
        <v>0.20059583333333333</v>
      </c>
      <c r="J564" s="12">
        <f t="shared" si="26"/>
        <v>0.22253587962962962</v>
      </c>
    </row>
    <row r="565" spans="1:10" ht="15.75" customHeight="1">
      <c r="A565" s="13">
        <v>43299</v>
      </c>
      <c r="B565" s="11">
        <v>109</v>
      </c>
      <c r="C565">
        <v>45516</v>
      </c>
      <c r="D565" s="5">
        <v>5.53</v>
      </c>
      <c r="F565">
        <v>100</v>
      </c>
      <c r="G565">
        <v>100</v>
      </c>
      <c r="H565">
        <f t="shared" si="27"/>
        <v>5813646</v>
      </c>
      <c r="I565" s="12">
        <f t="shared" si="25"/>
        <v>0.18965000000000001</v>
      </c>
      <c r="J565" s="12">
        <f t="shared" si="26"/>
        <v>0.2222341743119266</v>
      </c>
    </row>
    <row r="566" spans="1:10" ht="15.75" customHeight="1">
      <c r="A566" s="13">
        <v>43300</v>
      </c>
      <c r="B566" s="11">
        <v>110</v>
      </c>
      <c r="C566">
        <v>55741</v>
      </c>
      <c r="D566" s="5">
        <v>6.54</v>
      </c>
      <c r="F566">
        <v>100</v>
      </c>
      <c r="G566">
        <v>100</v>
      </c>
      <c r="H566">
        <f t="shared" si="27"/>
        <v>5869387</v>
      </c>
      <c r="I566" s="12">
        <f t="shared" si="25"/>
        <v>0.23225416666666668</v>
      </c>
      <c r="J566" s="12">
        <f t="shared" si="26"/>
        <v>0.22232526515151516</v>
      </c>
    </row>
    <row r="567" spans="1:10" ht="15.75" customHeight="1">
      <c r="A567" s="13">
        <v>43301</v>
      </c>
      <c r="B567" s="11">
        <v>111</v>
      </c>
      <c r="C567">
        <v>33203</v>
      </c>
      <c r="D567" s="5">
        <v>3.57</v>
      </c>
      <c r="F567">
        <v>100</v>
      </c>
      <c r="G567">
        <v>100</v>
      </c>
      <c r="H567">
        <f t="shared" si="27"/>
        <v>5902590</v>
      </c>
      <c r="I567" s="12">
        <f t="shared" si="25"/>
        <v>0.13834583333333333</v>
      </c>
      <c r="J567" s="12">
        <f t="shared" si="26"/>
        <v>0.2215686936936937</v>
      </c>
    </row>
    <row r="568" spans="1:10" ht="15.75" customHeight="1">
      <c r="A568" s="13">
        <v>43302</v>
      </c>
      <c r="B568" s="11">
        <v>112</v>
      </c>
      <c r="C568">
        <v>51088</v>
      </c>
      <c r="D568" s="5">
        <v>5.87</v>
      </c>
      <c r="F568">
        <v>100</v>
      </c>
      <c r="G568">
        <v>100</v>
      </c>
      <c r="H568">
        <f t="shared" si="27"/>
        <v>5953678</v>
      </c>
      <c r="I568" s="12">
        <f t="shared" si="25"/>
        <v>0.21286666666666668</v>
      </c>
      <c r="J568" s="12">
        <f t="shared" si="26"/>
        <v>0.22149099702380953</v>
      </c>
    </row>
    <row r="569" spans="1:10" ht="15.75" customHeight="1">
      <c r="A569" s="13">
        <v>43303</v>
      </c>
      <c r="B569" s="11">
        <v>113</v>
      </c>
      <c r="C569">
        <v>30320</v>
      </c>
      <c r="D569" s="5">
        <v>3.2</v>
      </c>
      <c r="F569">
        <v>100</v>
      </c>
      <c r="G569">
        <v>100</v>
      </c>
      <c r="H569">
        <f t="shared" si="27"/>
        <v>5983998</v>
      </c>
      <c r="I569" s="12">
        <f t="shared" si="25"/>
        <v>0.12633333333333333</v>
      </c>
      <c r="J569" s="12">
        <f t="shared" si="26"/>
        <v>0.22064889380530975</v>
      </c>
    </row>
    <row r="570" spans="1:10" ht="15.75" customHeight="1">
      <c r="A570" s="13">
        <v>43304</v>
      </c>
      <c r="B570" s="11">
        <v>114</v>
      </c>
      <c r="C570">
        <v>38626</v>
      </c>
      <c r="D570" s="5">
        <v>4.33</v>
      </c>
      <c r="F570">
        <v>100</v>
      </c>
      <c r="G570">
        <v>100</v>
      </c>
      <c r="H570">
        <f t="shared" si="27"/>
        <v>6022624</v>
      </c>
      <c r="I570" s="12">
        <f t="shared" si="25"/>
        <v>0.16094166666666668</v>
      </c>
      <c r="J570" s="12">
        <f t="shared" si="26"/>
        <v>0.22012514619883042</v>
      </c>
    </row>
    <row r="571" spans="1:10" ht="15.75" customHeight="1">
      <c r="A571" s="13">
        <v>43305</v>
      </c>
      <c r="B571" s="11">
        <v>115</v>
      </c>
      <c r="C571">
        <v>32365</v>
      </c>
      <c r="D571" s="5">
        <v>3.56</v>
      </c>
      <c r="F571">
        <v>100</v>
      </c>
      <c r="G571">
        <v>100</v>
      </c>
      <c r="H571">
        <f t="shared" si="27"/>
        <v>6054989</v>
      </c>
      <c r="I571" s="12">
        <f t="shared" si="25"/>
        <v>0.13485416666666666</v>
      </c>
      <c r="J571" s="12">
        <f t="shared" si="26"/>
        <v>0.21938365942028987</v>
      </c>
    </row>
    <row r="572" spans="1:10" ht="15.75" customHeight="1">
      <c r="A572" s="13">
        <v>43306</v>
      </c>
      <c r="B572" s="11">
        <v>116</v>
      </c>
      <c r="C572">
        <v>56047</v>
      </c>
      <c r="D572" s="5">
        <v>6.52</v>
      </c>
      <c r="F572">
        <v>100</v>
      </c>
      <c r="G572">
        <v>100</v>
      </c>
      <c r="H572">
        <f t="shared" si="27"/>
        <v>6111036</v>
      </c>
      <c r="I572" s="12">
        <f t="shared" si="25"/>
        <v>0.23352916666666668</v>
      </c>
      <c r="J572" s="12">
        <f t="shared" si="26"/>
        <v>0.21950560344827585</v>
      </c>
    </row>
    <row r="573" spans="1:10" ht="15.75" customHeight="1">
      <c r="A573" s="13">
        <v>43307</v>
      </c>
      <c r="B573" s="11">
        <v>117</v>
      </c>
      <c r="C573">
        <v>43041</v>
      </c>
      <c r="D573" s="5">
        <v>4.78</v>
      </c>
      <c r="F573">
        <v>100</v>
      </c>
      <c r="G573">
        <v>100</v>
      </c>
      <c r="H573">
        <f t="shared" si="27"/>
        <v>6154077</v>
      </c>
      <c r="I573" s="12">
        <f t="shared" si="25"/>
        <v>0.17933750000000001</v>
      </c>
      <c r="J573" s="12">
        <f t="shared" si="26"/>
        <v>0.21916228632478632</v>
      </c>
    </row>
    <row r="574" spans="1:10" ht="15.75" customHeight="1">
      <c r="A574" s="13">
        <v>43308</v>
      </c>
      <c r="B574" s="11">
        <v>118</v>
      </c>
      <c r="C574">
        <v>42427</v>
      </c>
      <c r="D574" s="5">
        <v>4.92</v>
      </c>
      <c r="F574">
        <v>100</v>
      </c>
      <c r="G574">
        <v>100</v>
      </c>
      <c r="H574">
        <f t="shared" si="27"/>
        <v>6196504</v>
      </c>
      <c r="I574" s="12">
        <f t="shared" si="25"/>
        <v>0.17677916666666665</v>
      </c>
      <c r="J574" s="12">
        <f t="shared" si="26"/>
        <v>0.21880310734463276</v>
      </c>
    </row>
    <row r="575" spans="1:10" ht="15.75" customHeight="1">
      <c r="A575" s="13">
        <v>43309</v>
      </c>
      <c r="B575" s="11">
        <v>119</v>
      </c>
      <c r="C575">
        <v>52876</v>
      </c>
      <c r="D575" s="5">
        <v>6.16</v>
      </c>
      <c r="F575">
        <v>100</v>
      </c>
      <c r="G575">
        <v>100</v>
      </c>
      <c r="H575">
        <f t="shared" si="27"/>
        <v>6249380</v>
      </c>
      <c r="I575" s="12">
        <f t="shared" si="25"/>
        <v>0.22031666666666666</v>
      </c>
      <c r="J575" s="12">
        <f t="shared" si="26"/>
        <v>0.2188158263305322</v>
      </c>
    </row>
    <row r="576" spans="1:10" ht="15.75" customHeight="1">
      <c r="A576" s="13">
        <v>43310</v>
      </c>
      <c r="B576" s="11">
        <v>120</v>
      </c>
      <c r="C576">
        <v>53410</v>
      </c>
      <c r="D576" s="5">
        <v>6.16</v>
      </c>
      <c r="F576">
        <v>100</v>
      </c>
      <c r="G576">
        <v>100</v>
      </c>
      <c r="H576">
        <f t="shared" si="27"/>
        <v>6302790</v>
      </c>
      <c r="I576" s="12">
        <f t="shared" si="25"/>
        <v>0.22254166666666667</v>
      </c>
      <c r="J576" s="12">
        <f t="shared" si="26"/>
        <v>0.218846875</v>
      </c>
    </row>
    <row r="577" spans="1:10" ht="15.75" customHeight="1">
      <c r="A577" s="13">
        <v>43311</v>
      </c>
      <c r="B577" s="11">
        <v>121</v>
      </c>
      <c r="C577">
        <v>54471</v>
      </c>
      <c r="D577" s="5">
        <v>6.38</v>
      </c>
      <c r="F577">
        <v>100</v>
      </c>
      <c r="G577">
        <v>100</v>
      </c>
      <c r="H577">
        <f t="shared" si="27"/>
        <v>6357261</v>
      </c>
      <c r="I577" s="12">
        <f t="shared" si="25"/>
        <v>0.22696250000000001</v>
      </c>
      <c r="J577" s="12">
        <f t="shared" si="26"/>
        <v>0.21891394628099173</v>
      </c>
    </row>
    <row r="578" spans="1:10" ht="15.75" customHeight="1">
      <c r="A578" s="13">
        <v>43312</v>
      </c>
      <c r="B578" s="11">
        <v>122</v>
      </c>
      <c r="C578">
        <v>58685</v>
      </c>
      <c r="D578" s="5">
        <v>6.87</v>
      </c>
      <c r="F578">
        <v>100</v>
      </c>
      <c r="G578">
        <v>100</v>
      </c>
      <c r="H578">
        <f t="shared" si="27"/>
        <v>6415946</v>
      </c>
      <c r="I578" s="12">
        <f t="shared" si="25"/>
        <v>0.24452083333333333</v>
      </c>
      <c r="J578" s="12">
        <f t="shared" si="26"/>
        <v>0.21912383879781422</v>
      </c>
    </row>
    <row r="579" spans="1:10" ht="15.75" customHeight="1">
      <c r="A579" s="13">
        <v>43313</v>
      </c>
      <c r="B579" s="11">
        <v>123</v>
      </c>
      <c r="C579">
        <v>60006</v>
      </c>
      <c r="D579" s="5">
        <v>7.01</v>
      </c>
      <c r="F579">
        <v>100</v>
      </c>
      <c r="G579">
        <v>100</v>
      </c>
      <c r="H579">
        <f t="shared" si="27"/>
        <v>6475952</v>
      </c>
      <c r="I579" s="12">
        <f t="shared" ref="I579:I642" si="28">C579/(10*24*1000)</f>
        <v>0.250025</v>
      </c>
      <c r="J579" s="12">
        <f t="shared" si="26"/>
        <v>0.2193750677506775</v>
      </c>
    </row>
    <row r="580" spans="1:10" ht="15.75" customHeight="1">
      <c r="A580" s="13">
        <v>43314</v>
      </c>
      <c r="B580" s="11">
        <v>124</v>
      </c>
      <c r="C580">
        <v>59978</v>
      </c>
      <c r="D580" s="5">
        <v>7.06</v>
      </c>
      <c r="F580">
        <v>100</v>
      </c>
      <c r="G580">
        <v>100</v>
      </c>
      <c r="H580">
        <f t="shared" si="27"/>
        <v>6535930</v>
      </c>
      <c r="I580" s="12">
        <f t="shared" si="28"/>
        <v>0.24990833333333334</v>
      </c>
      <c r="J580" s="12">
        <f t="shared" ref="J580:J643" si="29">H580/(24*B580*10*1000)</f>
        <v>0.21962130376344086</v>
      </c>
    </row>
    <row r="581" spans="1:10" ht="15.75" customHeight="1">
      <c r="A581" s="13">
        <v>43315</v>
      </c>
      <c r="B581" s="11">
        <v>125</v>
      </c>
      <c r="C581">
        <v>58160</v>
      </c>
      <c r="D581" s="5">
        <v>6.81</v>
      </c>
      <c r="F581">
        <v>100</v>
      </c>
      <c r="G581">
        <v>100</v>
      </c>
      <c r="H581">
        <f t="shared" si="27"/>
        <v>6594090</v>
      </c>
      <c r="I581" s="12">
        <f t="shared" si="28"/>
        <v>0.24233333333333335</v>
      </c>
      <c r="J581" s="12">
        <f t="shared" si="29"/>
        <v>0.219803</v>
      </c>
    </row>
    <row r="582" spans="1:10" ht="15.75" customHeight="1">
      <c r="A582" s="13">
        <v>43316</v>
      </c>
      <c r="B582" s="11">
        <v>126</v>
      </c>
      <c r="C582">
        <v>55603</v>
      </c>
      <c r="D582" s="5">
        <v>6.47</v>
      </c>
      <c r="F582">
        <v>98.84251139950895</v>
      </c>
      <c r="G582">
        <v>100</v>
      </c>
      <c r="H582">
        <f t="shared" si="27"/>
        <v>6649693</v>
      </c>
      <c r="I582" s="12">
        <f t="shared" si="28"/>
        <v>0.23167916666666666</v>
      </c>
      <c r="J582" s="12">
        <f t="shared" si="29"/>
        <v>0.21989725529100529</v>
      </c>
    </row>
    <row r="583" spans="1:10" ht="15.75" customHeight="1">
      <c r="A583" s="13">
        <v>43317</v>
      </c>
      <c r="B583" s="11">
        <v>127</v>
      </c>
      <c r="C583">
        <v>55323</v>
      </c>
      <c r="D583" s="5">
        <v>6.49</v>
      </c>
      <c r="F583">
        <v>100</v>
      </c>
      <c r="G583">
        <v>100</v>
      </c>
      <c r="H583">
        <f t="shared" si="27"/>
        <v>6705016</v>
      </c>
      <c r="I583" s="12">
        <f t="shared" si="28"/>
        <v>0.23051250000000001</v>
      </c>
      <c r="J583" s="12">
        <f t="shared" si="29"/>
        <v>0.21998083989501313</v>
      </c>
    </row>
    <row r="584" spans="1:10" ht="15.75" customHeight="1">
      <c r="A584" s="13">
        <v>43318</v>
      </c>
      <c r="B584" s="11">
        <v>128</v>
      </c>
      <c r="C584">
        <v>59606</v>
      </c>
      <c r="D584" s="5">
        <v>6.83</v>
      </c>
      <c r="F584">
        <v>100</v>
      </c>
      <c r="G584">
        <v>100</v>
      </c>
      <c r="H584">
        <f t="shared" si="27"/>
        <v>6764622</v>
      </c>
      <c r="I584" s="12">
        <f t="shared" si="28"/>
        <v>0.24835833333333332</v>
      </c>
      <c r="J584" s="12">
        <f t="shared" si="29"/>
        <v>0.22020253906250001</v>
      </c>
    </row>
    <row r="585" spans="1:10" ht="15.75" customHeight="1">
      <c r="A585" s="13">
        <v>43319</v>
      </c>
      <c r="B585" s="11">
        <v>129</v>
      </c>
      <c r="C585">
        <v>39674</v>
      </c>
      <c r="D585" s="5">
        <v>4.43</v>
      </c>
      <c r="F585">
        <v>100</v>
      </c>
      <c r="G585">
        <v>100</v>
      </c>
      <c r="H585">
        <f t="shared" si="27"/>
        <v>6804296</v>
      </c>
      <c r="I585" s="12">
        <f t="shared" si="28"/>
        <v>0.16530833333333333</v>
      </c>
      <c r="J585" s="12">
        <f t="shared" si="29"/>
        <v>0.21977700258397934</v>
      </c>
    </row>
    <row r="586" spans="1:10" ht="15.75" customHeight="1">
      <c r="A586" s="13">
        <v>43320</v>
      </c>
      <c r="B586" s="11">
        <v>130</v>
      </c>
      <c r="C586">
        <v>35432</v>
      </c>
      <c r="D586" s="5">
        <v>3.9</v>
      </c>
      <c r="F586">
        <v>100</v>
      </c>
      <c r="G586">
        <v>100</v>
      </c>
      <c r="H586">
        <f t="shared" si="27"/>
        <v>6839728</v>
      </c>
      <c r="I586" s="12">
        <f t="shared" si="28"/>
        <v>0.14763333333333334</v>
      </c>
      <c r="J586" s="12">
        <f t="shared" si="29"/>
        <v>0.21922205128205127</v>
      </c>
    </row>
    <row r="587" spans="1:10" ht="15.75" customHeight="1">
      <c r="A587" s="13">
        <v>43321</v>
      </c>
      <c r="B587" s="11">
        <v>131</v>
      </c>
      <c r="C587">
        <v>40336</v>
      </c>
      <c r="D587" s="5">
        <v>4.34</v>
      </c>
      <c r="F587">
        <v>99.797866367209437</v>
      </c>
      <c r="G587">
        <v>98.888888888888886</v>
      </c>
      <c r="H587">
        <f t="shared" si="27"/>
        <v>6880064</v>
      </c>
      <c r="I587" s="12">
        <f t="shared" si="28"/>
        <v>0.16806666666666667</v>
      </c>
      <c r="J587" s="12">
        <f t="shared" si="29"/>
        <v>0.21883155216284988</v>
      </c>
    </row>
    <row r="588" spans="1:10" ht="15.75" customHeight="1">
      <c r="A588" s="13">
        <v>43322</v>
      </c>
      <c r="B588" s="11">
        <v>132</v>
      </c>
      <c r="C588">
        <v>48834</v>
      </c>
      <c r="D588" s="5">
        <v>5.68</v>
      </c>
      <c r="F588">
        <v>100</v>
      </c>
      <c r="G588">
        <v>100</v>
      </c>
      <c r="H588">
        <f t="shared" ref="H588:H651" si="30">H587+C588</f>
        <v>6928898</v>
      </c>
      <c r="I588" s="12">
        <f t="shared" si="28"/>
        <v>0.20347499999999999</v>
      </c>
      <c r="J588" s="12">
        <f t="shared" si="29"/>
        <v>0.21871521464646465</v>
      </c>
    </row>
    <row r="589" spans="1:10" ht="15.75" customHeight="1">
      <c r="A589" s="13">
        <v>43323</v>
      </c>
      <c r="B589" s="11">
        <v>133</v>
      </c>
      <c r="C589">
        <v>61579</v>
      </c>
      <c r="D589" s="5">
        <v>6.89</v>
      </c>
      <c r="F589">
        <v>100</v>
      </c>
      <c r="G589">
        <v>100</v>
      </c>
      <c r="H589">
        <f t="shared" si="30"/>
        <v>6990477</v>
      </c>
      <c r="I589" s="12">
        <f t="shared" si="28"/>
        <v>0.25657916666666669</v>
      </c>
      <c r="J589" s="12">
        <f t="shared" si="29"/>
        <v>0.2189999060150376</v>
      </c>
    </row>
    <row r="590" spans="1:10" ht="15.75" customHeight="1">
      <c r="A590" s="13">
        <v>43324</v>
      </c>
      <c r="B590" s="11">
        <v>134</v>
      </c>
      <c r="C590">
        <v>55257</v>
      </c>
      <c r="D590" s="5">
        <v>6.17</v>
      </c>
      <c r="F590">
        <v>99.36901605941766</v>
      </c>
      <c r="G590">
        <v>100</v>
      </c>
      <c r="H590">
        <f t="shared" si="30"/>
        <v>7045734</v>
      </c>
      <c r="I590" s="12">
        <f t="shared" si="28"/>
        <v>0.23023750000000001</v>
      </c>
      <c r="J590" s="12">
        <f t="shared" si="29"/>
        <v>0.21908376865671642</v>
      </c>
    </row>
    <row r="591" spans="1:10" ht="15.75" customHeight="1">
      <c r="A591" s="13">
        <v>43325</v>
      </c>
      <c r="B591" s="11">
        <v>135</v>
      </c>
      <c r="C591">
        <v>47435</v>
      </c>
      <c r="D591" s="5">
        <v>5.27</v>
      </c>
      <c r="F591">
        <v>100</v>
      </c>
      <c r="G591">
        <v>100</v>
      </c>
      <c r="H591">
        <f t="shared" si="30"/>
        <v>7093169</v>
      </c>
      <c r="I591" s="12">
        <f t="shared" si="28"/>
        <v>0.19764583333333333</v>
      </c>
      <c r="J591" s="12">
        <f t="shared" si="29"/>
        <v>0.21892496913580248</v>
      </c>
    </row>
    <row r="592" spans="1:10" ht="15.75" customHeight="1">
      <c r="A592" s="13">
        <v>43326</v>
      </c>
      <c r="B592" s="11">
        <v>136</v>
      </c>
      <c r="C592">
        <v>48257</v>
      </c>
      <c r="D592" s="5">
        <v>5.57</v>
      </c>
      <c r="F592">
        <v>100</v>
      </c>
      <c r="G592">
        <v>100</v>
      </c>
      <c r="H592">
        <f t="shared" si="30"/>
        <v>7141426</v>
      </c>
      <c r="I592" s="12">
        <f t="shared" si="28"/>
        <v>0.20107083333333334</v>
      </c>
      <c r="J592" s="12">
        <f t="shared" si="29"/>
        <v>0.21879368872549021</v>
      </c>
    </row>
    <row r="593" spans="1:10" ht="15.75" customHeight="1">
      <c r="A593" s="13">
        <v>43327</v>
      </c>
      <c r="B593" s="11">
        <v>137</v>
      </c>
      <c r="C593">
        <v>44950</v>
      </c>
      <c r="D593" s="5">
        <v>5.1100000000000003</v>
      </c>
      <c r="F593">
        <v>100</v>
      </c>
      <c r="G593">
        <v>100</v>
      </c>
      <c r="H593">
        <f t="shared" si="30"/>
        <v>7186376</v>
      </c>
      <c r="I593" s="12">
        <f t="shared" si="28"/>
        <v>0.18729166666666666</v>
      </c>
      <c r="J593" s="12">
        <f t="shared" si="29"/>
        <v>0.21856374695863748</v>
      </c>
    </row>
    <row r="594" spans="1:10" ht="15.75" customHeight="1">
      <c r="A594" s="13">
        <v>43328</v>
      </c>
      <c r="B594" s="11">
        <v>138</v>
      </c>
      <c r="C594">
        <v>42819</v>
      </c>
      <c r="D594" s="5">
        <v>4.7300000000000004</v>
      </c>
      <c r="F594">
        <v>100</v>
      </c>
      <c r="G594">
        <v>100</v>
      </c>
      <c r="H594">
        <f t="shared" si="30"/>
        <v>7229195</v>
      </c>
      <c r="I594" s="12">
        <f t="shared" si="28"/>
        <v>0.1784125</v>
      </c>
      <c r="J594" s="12">
        <f t="shared" si="29"/>
        <v>0.21827279589371981</v>
      </c>
    </row>
    <row r="595" spans="1:10" ht="15.75" customHeight="1">
      <c r="A595" s="13">
        <v>43329</v>
      </c>
      <c r="B595" s="11">
        <v>139</v>
      </c>
      <c r="C595">
        <v>49234</v>
      </c>
      <c r="D595" s="5">
        <v>5.55</v>
      </c>
      <c r="F595">
        <v>100</v>
      </c>
      <c r="G595">
        <v>100</v>
      </c>
      <c r="H595">
        <f t="shared" si="30"/>
        <v>7278429</v>
      </c>
      <c r="I595" s="12">
        <f t="shared" si="28"/>
        <v>0.20514166666666667</v>
      </c>
      <c r="J595" s="12">
        <f t="shared" si="29"/>
        <v>0.2181783273381295</v>
      </c>
    </row>
    <row r="596" spans="1:10" ht="15.75" customHeight="1">
      <c r="A596" s="13">
        <v>43330</v>
      </c>
      <c r="B596" s="11">
        <v>140</v>
      </c>
      <c r="C596">
        <v>50376</v>
      </c>
      <c r="D596" s="5">
        <v>6.22</v>
      </c>
      <c r="F596">
        <v>100</v>
      </c>
      <c r="G596">
        <v>100</v>
      </c>
      <c r="H596">
        <f t="shared" si="30"/>
        <v>7328805</v>
      </c>
      <c r="I596" s="12">
        <f t="shared" si="28"/>
        <v>0.2099</v>
      </c>
      <c r="J596" s="12">
        <f t="shared" si="29"/>
        <v>0.21811919642857142</v>
      </c>
    </row>
    <row r="597" spans="1:10" ht="15.75" customHeight="1">
      <c r="A597" s="13">
        <v>43331</v>
      </c>
      <c r="B597" s="11">
        <v>141</v>
      </c>
      <c r="C597">
        <v>49105</v>
      </c>
      <c r="D597" s="5">
        <v>5.82</v>
      </c>
      <c r="F597">
        <v>100</v>
      </c>
      <c r="G597">
        <v>100</v>
      </c>
      <c r="H597">
        <f t="shared" si="30"/>
        <v>7377910</v>
      </c>
      <c r="I597" s="12">
        <f t="shared" si="28"/>
        <v>0.20460416666666667</v>
      </c>
      <c r="J597" s="12">
        <f t="shared" si="29"/>
        <v>0.21802334515366431</v>
      </c>
    </row>
    <row r="598" spans="1:10" ht="15.75" customHeight="1">
      <c r="A598" s="13">
        <v>43332</v>
      </c>
      <c r="B598" s="11">
        <v>142</v>
      </c>
      <c r="C598">
        <v>50177</v>
      </c>
      <c r="D598" s="5">
        <v>6.02</v>
      </c>
      <c r="F598">
        <v>100</v>
      </c>
      <c r="G598">
        <v>100</v>
      </c>
      <c r="H598">
        <f t="shared" si="30"/>
        <v>7428087</v>
      </c>
      <c r="I598" s="12">
        <f t="shared" si="28"/>
        <v>0.20907083333333334</v>
      </c>
      <c r="J598" s="12">
        <f t="shared" si="29"/>
        <v>0.21796029929577465</v>
      </c>
    </row>
    <row r="599" spans="1:10" ht="15.75" customHeight="1">
      <c r="A599" s="13">
        <v>43333</v>
      </c>
      <c r="B599" s="11">
        <v>143</v>
      </c>
      <c r="C599">
        <v>43141</v>
      </c>
      <c r="D599" s="5">
        <v>4.9800000000000004</v>
      </c>
      <c r="F599">
        <v>100</v>
      </c>
      <c r="G599">
        <v>100</v>
      </c>
      <c r="H599">
        <f t="shared" si="30"/>
        <v>7471228</v>
      </c>
      <c r="I599" s="12">
        <f t="shared" si="28"/>
        <v>0.17975416666666666</v>
      </c>
      <c r="J599" s="12">
        <f t="shared" si="29"/>
        <v>0.21769312354312353</v>
      </c>
    </row>
    <row r="600" spans="1:10" ht="15.75" customHeight="1">
      <c r="A600" s="13">
        <v>43334</v>
      </c>
      <c r="B600" s="11">
        <v>144</v>
      </c>
      <c r="C600">
        <v>48345</v>
      </c>
      <c r="D600" s="5">
        <v>5.15</v>
      </c>
      <c r="F600">
        <v>100</v>
      </c>
      <c r="G600">
        <v>100</v>
      </c>
      <c r="H600">
        <f t="shared" si="30"/>
        <v>7519573</v>
      </c>
      <c r="I600" s="12">
        <f t="shared" si="28"/>
        <v>0.20143749999999999</v>
      </c>
      <c r="J600" s="12">
        <f t="shared" si="29"/>
        <v>0.21758023726851852</v>
      </c>
    </row>
    <row r="601" spans="1:10" ht="15.75" customHeight="1">
      <c r="A601" s="13">
        <v>43335</v>
      </c>
      <c r="B601" s="11">
        <v>145</v>
      </c>
      <c r="C601">
        <v>55447</v>
      </c>
      <c r="D601" s="5">
        <v>6.28</v>
      </c>
      <c r="F601">
        <v>97.676569928791167</v>
      </c>
      <c r="G601">
        <v>100</v>
      </c>
      <c r="H601">
        <f t="shared" si="30"/>
        <v>7575020</v>
      </c>
      <c r="I601" s="12">
        <f t="shared" si="28"/>
        <v>0.23102916666666667</v>
      </c>
      <c r="J601" s="12">
        <f t="shared" si="29"/>
        <v>0.21767298850574712</v>
      </c>
    </row>
    <row r="602" spans="1:10" ht="15.75" customHeight="1">
      <c r="A602" s="13">
        <v>43336</v>
      </c>
      <c r="B602" s="11">
        <v>146</v>
      </c>
      <c r="C602">
        <v>62276</v>
      </c>
      <c r="D602" s="5">
        <v>7.02</v>
      </c>
      <c r="F602">
        <v>99.417362594678579</v>
      </c>
      <c r="G602">
        <v>100</v>
      </c>
      <c r="H602">
        <f t="shared" si="30"/>
        <v>7637296</v>
      </c>
      <c r="I602" s="12">
        <f t="shared" si="28"/>
        <v>0.25948333333333334</v>
      </c>
      <c r="J602" s="12">
        <f t="shared" si="29"/>
        <v>0.2179593607305936</v>
      </c>
    </row>
    <row r="603" spans="1:10" ht="15.75" customHeight="1">
      <c r="A603" s="13">
        <v>43337</v>
      </c>
      <c r="B603" s="11">
        <v>147</v>
      </c>
      <c r="C603">
        <v>59205</v>
      </c>
      <c r="D603" s="5">
        <v>6.6</v>
      </c>
      <c r="F603">
        <v>100</v>
      </c>
      <c r="G603">
        <v>100</v>
      </c>
      <c r="H603">
        <f t="shared" si="30"/>
        <v>7696501</v>
      </c>
      <c r="I603" s="12">
        <f t="shared" si="28"/>
        <v>0.2466875</v>
      </c>
      <c r="J603" s="12">
        <f t="shared" si="29"/>
        <v>0.2181547902494331</v>
      </c>
    </row>
    <row r="604" spans="1:10" ht="15.75" customHeight="1">
      <c r="A604" s="13">
        <v>43338</v>
      </c>
      <c r="B604" s="11">
        <v>148</v>
      </c>
      <c r="C604">
        <v>58561</v>
      </c>
      <c r="D604" s="5">
        <v>6.63</v>
      </c>
      <c r="F604">
        <v>100</v>
      </c>
      <c r="G604">
        <v>100</v>
      </c>
      <c r="H604">
        <f t="shared" si="30"/>
        <v>7755062</v>
      </c>
      <c r="I604" s="12">
        <f t="shared" si="28"/>
        <v>0.24400416666666666</v>
      </c>
      <c r="J604" s="12">
        <f t="shared" si="29"/>
        <v>0.21832944819819819</v>
      </c>
    </row>
    <row r="605" spans="1:10" ht="15.75" customHeight="1">
      <c r="A605" s="13">
        <v>43339</v>
      </c>
      <c r="B605" s="11">
        <v>149</v>
      </c>
      <c r="C605">
        <v>49464</v>
      </c>
      <c r="D605" s="5">
        <v>5.93</v>
      </c>
      <c r="F605">
        <v>100</v>
      </c>
      <c r="G605">
        <v>100</v>
      </c>
      <c r="H605">
        <f t="shared" si="30"/>
        <v>7804526</v>
      </c>
      <c r="I605" s="12">
        <f t="shared" si="28"/>
        <v>0.20610000000000001</v>
      </c>
      <c r="J605" s="12">
        <f t="shared" si="29"/>
        <v>0.21824737136465325</v>
      </c>
    </row>
    <row r="606" spans="1:10" ht="15.75" customHeight="1">
      <c r="A606" s="13">
        <v>43340</v>
      </c>
      <c r="B606" s="11">
        <v>150</v>
      </c>
      <c r="C606">
        <v>51817</v>
      </c>
      <c r="D606" s="5">
        <v>5.89</v>
      </c>
      <c r="F606">
        <v>100</v>
      </c>
      <c r="G606">
        <v>100</v>
      </c>
      <c r="H606">
        <f t="shared" si="30"/>
        <v>7856343</v>
      </c>
      <c r="I606" s="12">
        <f t="shared" si="28"/>
        <v>0.21590416666666667</v>
      </c>
      <c r="J606" s="12">
        <f t="shared" si="29"/>
        <v>0.21823175</v>
      </c>
    </row>
    <row r="607" spans="1:10" ht="15.75" customHeight="1">
      <c r="A607" s="13">
        <v>43341</v>
      </c>
      <c r="B607" s="11">
        <v>151</v>
      </c>
      <c r="C607">
        <v>39470</v>
      </c>
      <c r="D607" s="5">
        <v>4.4400000000000004</v>
      </c>
      <c r="F607">
        <v>100</v>
      </c>
      <c r="G607">
        <v>100</v>
      </c>
      <c r="H607">
        <f t="shared" si="30"/>
        <v>7895813</v>
      </c>
      <c r="I607" s="12">
        <f t="shared" si="28"/>
        <v>0.16445833333333335</v>
      </c>
      <c r="J607" s="12">
        <f t="shared" si="29"/>
        <v>0.21787563465783663</v>
      </c>
    </row>
    <row r="608" spans="1:10" ht="15.75" customHeight="1">
      <c r="A608" s="13">
        <v>43342</v>
      </c>
      <c r="B608" s="11">
        <v>152</v>
      </c>
      <c r="C608">
        <v>60069</v>
      </c>
      <c r="D608" s="5">
        <v>6.65</v>
      </c>
      <c r="F608">
        <v>100</v>
      </c>
      <c r="G608">
        <v>100</v>
      </c>
      <c r="H608">
        <f t="shared" si="30"/>
        <v>7955882</v>
      </c>
      <c r="I608" s="12">
        <f t="shared" si="28"/>
        <v>0.2502875</v>
      </c>
      <c r="J608" s="12">
        <f t="shared" si="29"/>
        <v>0.21808887061403509</v>
      </c>
    </row>
    <row r="609" spans="1:10" ht="15.75" customHeight="1">
      <c r="A609" s="13">
        <v>43343</v>
      </c>
      <c r="B609" s="11">
        <v>153</v>
      </c>
      <c r="C609">
        <v>57038</v>
      </c>
      <c r="D609" s="5">
        <v>6.23</v>
      </c>
      <c r="F609">
        <v>100</v>
      </c>
      <c r="G609">
        <v>100</v>
      </c>
      <c r="H609">
        <f t="shared" si="30"/>
        <v>8012920</v>
      </c>
      <c r="I609" s="12">
        <f t="shared" si="28"/>
        <v>0.23765833333333333</v>
      </c>
      <c r="J609" s="12">
        <f t="shared" si="29"/>
        <v>0.21821677559912855</v>
      </c>
    </row>
    <row r="610" spans="1:10" ht="15.75" customHeight="1">
      <c r="A610" s="13">
        <v>43344</v>
      </c>
      <c r="B610" s="11">
        <v>154</v>
      </c>
      <c r="C610">
        <v>59311</v>
      </c>
      <c r="D610" s="5">
        <v>6.57</v>
      </c>
      <c r="F610">
        <v>100</v>
      </c>
      <c r="G610">
        <v>100</v>
      </c>
      <c r="H610">
        <f t="shared" si="30"/>
        <v>8072231</v>
      </c>
      <c r="I610" s="12">
        <f t="shared" si="28"/>
        <v>0.24712916666666668</v>
      </c>
      <c r="J610" s="12">
        <f t="shared" si="29"/>
        <v>0.21840451839826841</v>
      </c>
    </row>
    <row r="611" spans="1:10" ht="15.75" customHeight="1">
      <c r="A611" s="13">
        <v>43345</v>
      </c>
      <c r="B611" s="11">
        <v>155</v>
      </c>
      <c r="C611">
        <v>58556</v>
      </c>
      <c r="D611" s="5">
        <v>6.61</v>
      </c>
      <c r="F611">
        <v>100</v>
      </c>
      <c r="G611">
        <v>100</v>
      </c>
      <c r="H611">
        <f t="shared" si="30"/>
        <v>8130787</v>
      </c>
      <c r="I611" s="12">
        <f t="shared" si="28"/>
        <v>0.24398333333333333</v>
      </c>
      <c r="J611" s="12">
        <f t="shared" si="29"/>
        <v>0.21856954301075268</v>
      </c>
    </row>
    <row r="612" spans="1:10" ht="15.75" customHeight="1">
      <c r="A612" s="13">
        <v>43346</v>
      </c>
      <c r="B612" s="11">
        <v>156</v>
      </c>
      <c r="C612">
        <v>55750</v>
      </c>
      <c r="D612" s="5">
        <v>6.47</v>
      </c>
      <c r="F612">
        <v>100</v>
      </c>
      <c r="G612">
        <v>96.25</v>
      </c>
      <c r="H612">
        <f t="shared" si="30"/>
        <v>8186537</v>
      </c>
      <c r="I612" s="12">
        <f t="shared" si="28"/>
        <v>0.23229166666666667</v>
      </c>
      <c r="J612" s="12">
        <f t="shared" si="29"/>
        <v>0.21865750534188033</v>
      </c>
    </row>
    <row r="613" spans="1:10" ht="15.75" customHeight="1">
      <c r="A613" s="13">
        <v>43347</v>
      </c>
      <c r="B613" s="11">
        <v>157</v>
      </c>
      <c r="C613">
        <v>54719</v>
      </c>
      <c r="D613" s="5">
        <v>6.09</v>
      </c>
      <c r="F613">
        <v>100</v>
      </c>
      <c r="G613">
        <v>96.666666666666671</v>
      </c>
      <c r="H613">
        <f t="shared" si="30"/>
        <v>8241256</v>
      </c>
      <c r="I613" s="12">
        <f t="shared" si="28"/>
        <v>0.22799583333333334</v>
      </c>
      <c r="J613" s="12">
        <f t="shared" si="29"/>
        <v>0.21871698513800425</v>
      </c>
    </row>
    <row r="614" spans="1:10" ht="15.75" customHeight="1">
      <c r="A614" s="13">
        <v>43348</v>
      </c>
      <c r="B614" s="11">
        <v>158</v>
      </c>
      <c r="C614">
        <v>57588</v>
      </c>
      <c r="D614" s="5">
        <v>5.98</v>
      </c>
      <c r="F614">
        <v>100</v>
      </c>
      <c r="G614">
        <v>100</v>
      </c>
      <c r="H614">
        <f t="shared" si="30"/>
        <v>8298844</v>
      </c>
      <c r="I614" s="12">
        <f t="shared" si="28"/>
        <v>0.23995</v>
      </c>
      <c r="J614" s="12">
        <f t="shared" si="29"/>
        <v>0.21885137130801688</v>
      </c>
    </row>
    <row r="615" spans="1:10" ht="15.75" customHeight="1">
      <c r="A615" s="13">
        <v>43349</v>
      </c>
      <c r="B615" s="11">
        <v>159</v>
      </c>
      <c r="C615">
        <v>59164</v>
      </c>
      <c r="D615" s="5">
        <v>7.02</v>
      </c>
      <c r="F615">
        <v>100</v>
      </c>
      <c r="G615">
        <v>100</v>
      </c>
      <c r="H615">
        <f t="shared" si="30"/>
        <v>8358008</v>
      </c>
      <c r="I615" s="12">
        <f t="shared" si="28"/>
        <v>0.24651666666666666</v>
      </c>
      <c r="J615" s="12">
        <f t="shared" si="29"/>
        <v>0.21902536687631027</v>
      </c>
    </row>
    <row r="616" spans="1:10" ht="15.75" customHeight="1">
      <c r="A616" s="13">
        <v>43350</v>
      </c>
      <c r="B616" s="11">
        <v>160</v>
      </c>
      <c r="C616">
        <v>30327</v>
      </c>
      <c r="D616" s="5">
        <v>3.42</v>
      </c>
      <c r="F616">
        <v>100</v>
      </c>
      <c r="G616">
        <v>97.152777777777771</v>
      </c>
      <c r="H616">
        <f t="shared" si="30"/>
        <v>8388335</v>
      </c>
      <c r="I616" s="12">
        <f t="shared" si="28"/>
        <v>0.12636249999999999</v>
      </c>
      <c r="J616" s="12">
        <f t="shared" si="29"/>
        <v>0.21844622395833332</v>
      </c>
    </row>
    <row r="617" spans="1:10" ht="15.75" customHeight="1">
      <c r="A617" s="13">
        <v>43351</v>
      </c>
      <c r="B617" s="11">
        <v>161</v>
      </c>
      <c r="C617">
        <v>43110</v>
      </c>
      <c r="D617" s="5">
        <v>4.8600000000000003</v>
      </c>
      <c r="F617">
        <v>100</v>
      </c>
      <c r="G617">
        <v>97.152777777777771</v>
      </c>
      <c r="H617">
        <f t="shared" si="30"/>
        <v>8431445</v>
      </c>
      <c r="I617" s="12">
        <f t="shared" si="28"/>
        <v>0.17962500000000001</v>
      </c>
      <c r="J617" s="12">
        <f t="shared" si="29"/>
        <v>0.21820509834368529</v>
      </c>
    </row>
    <row r="618" spans="1:10" ht="15.75" customHeight="1">
      <c r="A618" s="13">
        <v>43352</v>
      </c>
      <c r="B618" s="11">
        <v>162</v>
      </c>
      <c r="C618">
        <v>45279</v>
      </c>
      <c r="D618" s="5">
        <v>5.19</v>
      </c>
      <c r="F618">
        <v>100</v>
      </c>
      <c r="G618">
        <v>100</v>
      </c>
      <c r="H618">
        <f t="shared" si="30"/>
        <v>8476724</v>
      </c>
      <c r="I618" s="12">
        <f t="shared" si="28"/>
        <v>0.18866250000000001</v>
      </c>
      <c r="J618" s="12">
        <f t="shared" si="29"/>
        <v>0.21802273662551441</v>
      </c>
    </row>
    <row r="619" spans="1:10" ht="15.75" customHeight="1">
      <c r="A619" s="13">
        <v>43353</v>
      </c>
      <c r="B619" s="11">
        <v>163</v>
      </c>
      <c r="C619">
        <v>51286</v>
      </c>
      <c r="D619" s="5">
        <v>5.85</v>
      </c>
      <c r="F619">
        <v>100</v>
      </c>
      <c r="G619">
        <v>100</v>
      </c>
      <c r="H619">
        <f t="shared" si="30"/>
        <v>8528010</v>
      </c>
      <c r="I619" s="12">
        <f t="shared" si="28"/>
        <v>0.21369166666666667</v>
      </c>
      <c r="J619" s="12">
        <f t="shared" si="29"/>
        <v>0.21799616564417179</v>
      </c>
    </row>
    <row r="620" spans="1:10" ht="15.75" customHeight="1">
      <c r="A620" s="13">
        <v>43354</v>
      </c>
      <c r="B620" s="11">
        <v>164</v>
      </c>
      <c r="C620">
        <v>59187</v>
      </c>
      <c r="D620" s="5">
        <v>6.45</v>
      </c>
      <c r="F620">
        <v>100</v>
      </c>
      <c r="G620">
        <v>100</v>
      </c>
      <c r="H620">
        <f t="shared" si="30"/>
        <v>8587197</v>
      </c>
      <c r="I620" s="12">
        <f t="shared" si="28"/>
        <v>0.24661250000000001</v>
      </c>
      <c r="J620" s="12">
        <f t="shared" si="29"/>
        <v>0.21817065548780487</v>
      </c>
    </row>
    <row r="621" spans="1:10" ht="15.75" customHeight="1">
      <c r="A621" s="13">
        <v>43355</v>
      </c>
      <c r="B621" s="11">
        <v>165</v>
      </c>
      <c r="C621">
        <v>61276</v>
      </c>
      <c r="D621" s="5">
        <v>6.58</v>
      </c>
      <c r="F621">
        <v>100</v>
      </c>
      <c r="G621">
        <v>100</v>
      </c>
      <c r="H621">
        <f t="shared" si="30"/>
        <v>8648473</v>
      </c>
      <c r="I621" s="12">
        <f t="shared" si="28"/>
        <v>0.25531666666666669</v>
      </c>
      <c r="J621" s="12">
        <f t="shared" si="29"/>
        <v>0.21839578282828284</v>
      </c>
    </row>
    <row r="622" spans="1:10" ht="15.75" customHeight="1">
      <c r="A622" s="13">
        <v>43356</v>
      </c>
      <c r="B622" s="11">
        <v>166</v>
      </c>
      <c r="C622">
        <v>61896</v>
      </c>
      <c r="D622" s="5">
        <v>6.65</v>
      </c>
      <c r="F622">
        <v>100</v>
      </c>
      <c r="G622">
        <v>100</v>
      </c>
      <c r="H622">
        <f t="shared" si="30"/>
        <v>8710369</v>
      </c>
      <c r="I622" s="12">
        <f t="shared" si="28"/>
        <v>0.25790000000000002</v>
      </c>
      <c r="J622" s="12">
        <f t="shared" si="29"/>
        <v>0.21863376004016064</v>
      </c>
    </row>
    <row r="623" spans="1:10" ht="15.75" customHeight="1">
      <c r="A623" s="13">
        <v>43357</v>
      </c>
      <c r="B623" s="11">
        <v>167</v>
      </c>
      <c r="C623">
        <v>62199</v>
      </c>
      <c r="D623" s="5">
        <v>6.67</v>
      </c>
      <c r="F623">
        <v>100</v>
      </c>
      <c r="G623">
        <v>100</v>
      </c>
      <c r="H623">
        <f t="shared" si="30"/>
        <v>8772568</v>
      </c>
      <c r="I623" s="12">
        <f t="shared" si="28"/>
        <v>0.25916250000000002</v>
      </c>
      <c r="J623" s="12">
        <f t="shared" si="29"/>
        <v>0.21887644710578844</v>
      </c>
    </row>
    <row r="624" spans="1:10" ht="15.75" customHeight="1">
      <c r="A624" s="13">
        <v>43358</v>
      </c>
      <c r="B624" s="11">
        <v>168</v>
      </c>
      <c r="C624">
        <v>58673</v>
      </c>
      <c r="D624" s="5">
        <v>6.39</v>
      </c>
      <c r="F624">
        <v>100</v>
      </c>
      <c r="G624">
        <v>100</v>
      </c>
      <c r="H624">
        <f t="shared" si="30"/>
        <v>8831241</v>
      </c>
      <c r="I624" s="12">
        <f t="shared" si="28"/>
        <v>0.24447083333333333</v>
      </c>
      <c r="J624" s="12">
        <f t="shared" si="29"/>
        <v>0.21902879464285716</v>
      </c>
    </row>
    <row r="625" spans="1:10" ht="15.75" customHeight="1">
      <c r="A625" s="13">
        <v>43359</v>
      </c>
      <c r="B625" s="11">
        <v>169</v>
      </c>
      <c r="C625">
        <v>58739</v>
      </c>
      <c r="D625" s="5">
        <v>6.43</v>
      </c>
      <c r="F625">
        <v>100</v>
      </c>
      <c r="G625">
        <v>100</v>
      </c>
      <c r="H625">
        <f t="shared" si="30"/>
        <v>8889980</v>
      </c>
      <c r="I625" s="12">
        <f t="shared" si="28"/>
        <v>0.24474583333333333</v>
      </c>
      <c r="J625" s="12">
        <f t="shared" si="29"/>
        <v>0.219180966469428</v>
      </c>
    </row>
    <row r="626" spans="1:10" ht="15.75" customHeight="1">
      <c r="A626" s="13">
        <v>43360</v>
      </c>
      <c r="B626" s="11">
        <v>170</v>
      </c>
      <c r="C626">
        <v>58144</v>
      </c>
      <c r="D626" s="5">
        <v>6.32</v>
      </c>
      <c r="F626">
        <v>100</v>
      </c>
      <c r="G626">
        <v>100</v>
      </c>
      <c r="H626">
        <f t="shared" si="30"/>
        <v>8948124</v>
      </c>
      <c r="I626" s="12">
        <f t="shared" si="28"/>
        <v>0.24226666666666666</v>
      </c>
      <c r="J626" s="12">
        <f t="shared" si="29"/>
        <v>0.21931676470588235</v>
      </c>
    </row>
    <row r="627" spans="1:10" ht="15.75" customHeight="1">
      <c r="A627" s="13">
        <v>43361</v>
      </c>
      <c r="B627" s="11">
        <v>171</v>
      </c>
      <c r="C627">
        <v>60014</v>
      </c>
      <c r="D627" s="5">
        <v>6.47</v>
      </c>
      <c r="F627">
        <v>100</v>
      </c>
      <c r="G627">
        <v>100</v>
      </c>
      <c r="H627">
        <f t="shared" si="30"/>
        <v>9008138</v>
      </c>
      <c r="I627" s="12">
        <f t="shared" si="28"/>
        <v>0.25005833333333333</v>
      </c>
      <c r="J627" s="12">
        <f t="shared" si="29"/>
        <v>0.21949653996101365</v>
      </c>
    </row>
    <row r="628" spans="1:10" ht="15.75" customHeight="1">
      <c r="A628" s="13">
        <v>43362</v>
      </c>
      <c r="B628" s="11">
        <v>172</v>
      </c>
      <c r="C628">
        <v>61500</v>
      </c>
      <c r="D628" s="5">
        <v>6.56</v>
      </c>
      <c r="F628">
        <v>100</v>
      </c>
      <c r="G628">
        <v>100</v>
      </c>
      <c r="H628">
        <f t="shared" si="30"/>
        <v>9069638</v>
      </c>
      <c r="I628" s="12">
        <f t="shared" si="28"/>
        <v>0.25624999999999998</v>
      </c>
      <c r="J628" s="12">
        <f t="shared" si="29"/>
        <v>0.21971022286821706</v>
      </c>
    </row>
    <row r="629" spans="1:10" ht="15.75" customHeight="1">
      <c r="A629" s="13">
        <v>43363</v>
      </c>
      <c r="B629" s="11">
        <v>173</v>
      </c>
      <c r="C629">
        <v>59897</v>
      </c>
      <c r="D629" s="5">
        <v>6.44</v>
      </c>
      <c r="F629">
        <v>100</v>
      </c>
      <c r="G629">
        <v>100</v>
      </c>
      <c r="H629">
        <f t="shared" si="30"/>
        <v>9129535</v>
      </c>
      <c r="I629" s="12">
        <f t="shared" si="28"/>
        <v>0.24957083333333333</v>
      </c>
      <c r="J629" s="12">
        <f t="shared" si="29"/>
        <v>0.21988282755298652</v>
      </c>
    </row>
    <row r="630" spans="1:10" ht="15.75" customHeight="1">
      <c r="A630" s="13">
        <v>43364</v>
      </c>
      <c r="B630" s="11">
        <v>174</v>
      </c>
      <c r="C630">
        <v>60702</v>
      </c>
      <c r="D630" s="5">
        <v>6.37</v>
      </c>
      <c r="F630">
        <v>100</v>
      </c>
      <c r="G630">
        <v>100</v>
      </c>
      <c r="H630">
        <f t="shared" si="30"/>
        <v>9190237</v>
      </c>
      <c r="I630" s="12">
        <f t="shared" si="28"/>
        <v>0.25292500000000001</v>
      </c>
      <c r="J630" s="12">
        <f t="shared" si="29"/>
        <v>0.22007272509578543</v>
      </c>
    </row>
    <row r="631" spans="1:10" ht="15.75" customHeight="1">
      <c r="A631" s="13">
        <v>43365</v>
      </c>
      <c r="B631" s="11">
        <v>175</v>
      </c>
      <c r="C631">
        <v>51066</v>
      </c>
      <c r="D631" s="5">
        <v>5.23</v>
      </c>
      <c r="F631">
        <v>100</v>
      </c>
      <c r="G631">
        <v>100</v>
      </c>
      <c r="H631">
        <f t="shared" si="30"/>
        <v>9241303</v>
      </c>
      <c r="I631" s="12">
        <f t="shared" si="28"/>
        <v>0.21277499999999999</v>
      </c>
      <c r="J631" s="12">
        <f t="shared" si="29"/>
        <v>0.2200310238095238</v>
      </c>
    </row>
    <row r="632" spans="1:10" ht="15.75" customHeight="1">
      <c r="A632" s="13">
        <v>43366</v>
      </c>
      <c r="B632" s="11">
        <v>176</v>
      </c>
      <c r="C632">
        <v>57125</v>
      </c>
      <c r="D632" s="5">
        <v>5.68</v>
      </c>
      <c r="F632">
        <v>100</v>
      </c>
      <c r="G632">
        <v>100</v>
      </c>
      <c r="H632">
        <f t="shared" si="30"/>
        <v>9298428</v>
      </c>
      <c r="I632" s="12">
        <f t="shared" si="28"/>
        <v>0.23802083333333332</v>
      </c>
      <c r="J632" s="12">
        <f t="shared" si="29"/>
        <v>0.22013323863636364</v>
      </c>
    </row>
    <row r="633" spans="1:10" ht="15.75" customHeight="1">
      <c r="A633" s="13">
        <v>43367</v>
      </c>
      <c r="B633" s="11">
        <v>177</v>
      </c>
      <c r="C633">
        <v>56425</v>
      </c>
      <c r="D633" s="5">
        <v>5.78</v>
      </c>
      <c r="F633">
        <v>100</v>
      </c>
      <c r="G633">
        <v>100</v>
      </c>
      <c r="H633">
        <f t="shared" si="30"/>
        <v>9354853</v>
      </c>
      <c r="I633" s="12">
        <f t="shared" si="28"/>
        <v>0.23510416666666667</v>
      </c>
      <c r="J633" s="12">
        <f t="shared" si="29"/>
        <v>0.22021782015065913</v>
      </c>
    </row>
    <row r="634" spans="1:10" ht="15.75" customHeight="1">
      <c r="A634" s="13">
        <v>43368</v>
      </c>
      <c r="B634" s="11">
        <v>178</v>
      </c>
      <c r="C634">
        <v>49229</v>
      </c>
      <c r="D634" s="5">
        <v>5.21</v>
      </c>
      <c r="F634">
        <v>100</v>
      </c>
      <c r="G634">
        <v>100</v>
      </c>
      <c r="H634">
        <f t="shared" si="30"/>
        <v>9404082</v>
      </c>
      <c r="I634" s="12">
        <f t="shared" si="28"/>
        <v>0.20512083333333334</v>
      </c>
      <c r="J634" s="12">
        <f t="shared" si="29"/>
        <v>0.22013300561797752</v>
      </c>
    </row>
    <row r="635" spans="1:10" ht="15.75" customHeight="1">
      <c r="A635" s="13">
        <v>43369</v>
      </c>
      <c r="B635" s="11">
        <v>179</v>
      </c>
      <c r="C635">
        <v>59531</v>
      </c>
      <c r="D635" s="5">
        <v>6.17</v>
      </c>
      <c r="F635">
        <v>100</v>
      </c>
      <c r="G635">
        <v>100</v>
      </c>
      <c r="H635">
        <f t="shared" si="30"/>
        <v>9463613</v>
      </c>
      <c r="I635" s="12">
        <f t="shared" si="28"/>
        <v>0.24804583333333333</v>
      </c>
      <c r="J635" s="12">
        <f t="shared" si="29"/>
        <v>0.22028894320297951</v>
      </c>
    </row>
    <row r="636" spans="1:10" ht="15.75" customHeight="1">
      <c r="A636" s="13">
        <v>43370</v>
      </c>
      <c r="B636" s="11">
        <v>180</v>
      </c>
      <c r="C636">
        <v>46287</v>
      </c>
      <c r="D636" s="5">
        <v>4.97</v>
      </c>
      <c r="F636">
        <v>100</v>
      </c>
      <c r="G636">
        <v>100</v>
      </c>
      <c r="H636">
        <f t="shared" si="30"/>
        <v>9509900</v>
      </c>
      <c r="I636" s="12">
        <f t="shared" si="28"/>
        <v>0.19286249999999999</v>
      </c>
      <c r="J636" s="12">
        <f t="shared" si="29"/>
        <v>0.22013657407407408</v>
      </c>
    </row>
    <row r="637" spans="1:10" ht="15.75" customHeight="1">
      <c r="A637" s="13">
        <v>43371</v>
      </c>
      <c r="B637" s="11">
        <v>181</v>
      </c>
      <c r="C637">
        <v>46518</v>
      </c>
      <c r="D637" s="5">
        <v>5.08</v>
      </c>
      <c r="F637">
        <v>100</v>
      </c>
      <c r="G637">
        <v>100</v>
      </c>
      <c r="H637">
        <f t="shared" si="30"/>
        <v>9556418</v>
      </c>
      <c r="I637" s="12">
        <f t="shared" si="28"/>
        <v>0.193825</v>
      </c>
      <c r="J637" s="12">
        <f t="shared" si="29"/>
        <v>0.21999120626151014</v>
      </c>
    </row>
    <row r="638" spans="1:10" ht="15.75" customHeight="1">
      <c r="A638" s="13">
        <v>43372</v>
      </c>
      <c r="B638" s="11">
        <v>182</v>
      </c>
      <c r="C638">
        <v>45581</v>
      </c>
      <c r="D638" s="5">
        <v>4.87</v>
      </c>
      <c r="F638">
        <v>100</v>
      </c>
      <c r="G638">
        <v>100</v>
      </c>
      <c r="H638">
        <f t="shared" si="30"/>
        <v>9601999</v>
      </c>
      <c r="I638" s="12">
        <f t="shared" si="28"/>
        <v>0.18992083333333334</v>
      </c>
      <c r="J638" s="12">
        <f t="shared" si="29"/>
        <v>0.21982598443223444</v>
      </c>
    </row>
    <row r="639" spans="1:10" ht="15.75" customHeight="1">
      <c r="A639" s="13">
        <v>43373</v>
      </c>
      <c r="B639" s="11">
        <v>183</v>
      </c>
      <c r="C639">
        <v>56978</v>
      </c>
      <c r="D639" s="5">
        <v>5.86</v>
      </c>
      <c r="F639">
        <v>100</v>
      </c>
      <c r="G639">
        <v>100</v>
      </c>
      <c r="H639">
        <f t="shared" si="30"/>
        <v>9658977</v>
      </c>
      <c r="I639" s="12">
        <f t="shared" si="28"/>
        <v>0.23740833333333333</v>
      </c>
      <c r="J639" s="12">
        <f t="shared" si="29"/>
        <v>0.21992206284153004</v>
      </c>
    </row>
    <row r="640" spans="1:10" ht="15.75" customHeight="1">
      <c r="A640" s="13">
        <v>43374</v>
      </c>
      <c r="B640" s="11">
        <v>184</v>
      </c>
      <c r="C640">
        <v>55143</v>
      </c>
      <c r="D640" s="5">
        <v>5.82</v>
      </c>
      <c r="F640">
        <v>100</v>
      </c>
      <c r="G640">
        <v>100</v>
      </c>
      <c r="H640">
        <f t="shared" si="30"/>
        <v>9714120</v>
      </c>
      <c r="I640" s="12">
        <f t="shared" si="28"/>
        <v>0.22976250000000001</v>
      </c>
      <c r="J640" s="12">
        <f t="shared" si="29"/>
        <v>0.21997554347826087</v>
      </c>
    </row>
    <row r="641" spans="1:10" ht="15.75" customHeight="1">
      <c r="A641" s="13">
        <v>43375</v>
      </c>
      <c r="B641" s="11">
        <v>185</v>
      </c>
      <c r="C641">
        <v>54691</v>
      </c>
      <c r="D641" s="5">
        <v>5.63</v>
      </c>
      <c r="F641">
        <v>100</v>
      </c>
      <c r="G641">
        <v>100</v>
      </c>
      <c r="H641">
        <f t="shared" si="30"/>
        <v>9768811</v>
      </c>
      <c r="I641" s="12">
        <f t="shared" si="28"/>
        <v>0.22787916666666666</v>
      </c>
      <c r="J641" s="12">
        <f t="shared" si="29"/>
        <v>0.22001826576576577</v>
      </c>
    </row>
    <row r="642" spans="1:10" ht="15.75" customHeight="1">
      <c r="A642" s="13">
        <v>43376</v>
      </c>
      <c r="B642" s="11">
        <v>186</v>
      </c>
      <c r="C642">
        <v>55047</v>
      </c>
      <c r="D642" s="5">
        <v>6.2</v>
      </c>
      <c r="F642">
        <v>100</v>
      </c>
      <c r="G642">
        <v>100</v>
      </c>
      <c r="H642">
        <f t="shared" si="30"/>
        <v>9823858</v>
      </c>
      <c r="I642" s="12">
        <f t="shared" si="28"/>
        <v>0.2293625</v>
      </c>
      <c r="J642" s="12">
        <f t="shared" si="29"/>
        <v>0.22006850358422939</v>
      </c>
    </row>
    <row r="643" spans="1:10" ht="15.75" customHeight="1">
      <c r="A643" s="13">
        <v>43377</v>
      </c>
      <c r="B643" s="11">
        <v>187</v>
      </c>
      <c r="C643">
        <v>51993</v>
      </c>
      <c r="D643" s="5">
        <v>5.32</v>
      </c>
      <c r="F643">
        <v>100</v>
      </c>
      <c r="G643">
        <v>100</v>
      </c>
      <c r="H643">
        <f t="shared" si="30"/>
        <v>9875851</v>
      </c>
      <c r="I643" s="12">
        <f t="shared" ref="I643:I706" si="31">C643/(10*24*1000)</f>
        <v>0.21663750000000001</v>
      </c>
      <c r="J643" s="12">
        <f t="shared" si="29"/>
        <v>0.22005015597147951</v>
      </c>
    </row>
    <row r="644" spans="1:10" ht="15.75" customHeight="1">
      <c r="A644" s="13">
        <v>43378</v>
      </c>
      <c r="B644" s="11">
        <v>188</v>
      </c>
      <c r="C644">
        <v>58962</v>
      </c>
      <c r="D644" s="5">
        <v>5.91</v>
      </c>
      <c r="F644">
        <v>100</v>
      </c>
      <c r="G644">
        <v>100</v>
      </c>
      <c r="H644">
        <f t="shared" si="30"/>
        <v>9934813</v>
      </c>
      <c r="I644" s="12">
        <f t="shared" si="31"/>
        <v>0.245675</v>
      </c>
      <c r="J644" s="12">
        <f t="shared" ref="J644:J707" si="32">H644/(24*B644*10*1000)</f>
        <v>0.22018645833333333</v>
      </c>
    </row>
    <row r="645" spans="1:10" ht="15.75" customHeight="1">
      <c r="A645" s="13">
        <v>43379</v>
      </c>
      <c r="B645" s="11">
        <v>189</v>
      </c>
      <c r="C645">
        <v>57686</v>
      </c>
      <c r="D645" s="5">
        <v>5.71</v>
      </c>
      <c r="F645">
        <v>100</v>
      </c>
      <c r="G645">
        <v>100</v>
      </c>
      <c r="H645">
        <f t="shared" si="30"/>
        <v>9992499</v>
      </c>
      <c r="I645" s="12">
        <f t="shared" si="31"/>
        <v>0.24035833333333334</v>
      </c>
      <c r="J645" s="12">
        <f t="shared" si="32"/>
        <v>0.22029318783068783</v>
      </c>
    </row>
    <row r="646" spans="1:10" ht="15.75" customHeight="1">
      <c r="A646" s="13">
        <v>43380</v>
      </c>
      <c r="B646" s="11">
        <v>190</v>
      </c>
      <c r="C646">
        <v>57973</v>
      </c>
      <c r="D646" s="5">
        <v>5.81</v>
      </c>
      <c r="F646">
        <v>100</v>
      </c>
      <c r="G646">
        <v>100</v>
      </c>
      <c r="H646">
        <f t="shared" si="30"/>
        <v>10050472</v>
      </c>
      <c r="I646" s="12">
        <f t="shared" si="31"/>
        <v>0.24155416666666665</v>
      </c>
      <c r="J646" s="12">
        <f t="shared" si="32"/>
        <v>0.22040508771929826</v>
      </c>
    </row>
    <row r="647" spans="1:10" ht="15.75" customHeight="1">
      <c r="A647" s="13">
        <v>43381</v>
      </c>
      <c r="B647" s="11">
        <v>191</v>
      </c>
      <c r="C647">
        <v>56350</v>
      </c>
      <c r="D647" s="5">
        <v>5.66</v>
      </c>
      <c r="F647">
        <v>100</v>
      </c>
      <c r="G647">
        <v>100</v>
      </c>
      <c r="H647">
        <f t="shared" si="30"/>
        <v>10106822</v>
      </c>
      <c r="I647" s="12">
        <f t="shared" si="31"/>
        <v>0.23479166666666668</v>
      </c>
      <c r="J647" s="12">
        <f t="shared" si="32"/>
        <v>0.22048041012216404</v>
      </c>
    </row>
    <row r="648" spans="1:10" ht="15.75" customHeight="1">
      <c r="A648" s="13">
        <v>43382</v>
      </c>
      <c r="B648" s="11">
        <v>192</v>
      </c>
      <c r="C648">
        <v>52529</v>
      </c>
      <c r="D648" s="5">
        <v>5.28</v>
      </c>
      <c r="F648">
        <v>100</v>
      </c>
      <c r="G648">
        <v>100</v>
      </c>
      <c r="H648">
        <f t="shared" si="30"/>
        <v>10159351</v>
      </c>
      <c r="I648" s="12">
        <f t="shared" si="31"/>
        <v>0.21887083333333332</v>
      </c>
      <c r="J648" s="12">
        <f t="shared" si="32"/>
        <v>0.22047202690972223</v>
      </c>
    </row>
    <row r="649" spans="1:10" ht="15.75" customHeight="1">
      <c r="A649" s="13">
        <v>43383</v>
      </c>
      <c r="B649" s="11">
        <v>193</v>
      </c>
      <c r="C649">
        <v>56239</v>
      </c>
      <c r="D649" s="5">
        <v>5.48</v>
      </c>
      <c r="F649">
        <v>100</v>
      </c>
      <c r="G649">
        <v>100</v>
      </c>
      <c r="H649">
        <f t="shared" si="30"/>
        <v>10215590</v>
      </c>
      <c r="I649" s="12">
        <f t="shared" si="31"/>
        <v>0.23432916666666667</v>
      </c>
      <c r="J649" s="12">
        <f t="shared" si="32"/>
        <v>0.22054382556131261</v>
      </c>
    </row>
    <row r="650" spans="1:10" ht="15.75" customHeight="1">
      <c r="A650" s="13">
        <v>43384</v>
      </c>
      <c r="B650" s="11">
        <v>194</v>
      </c>
      <c r="C650">
        <v>54952</v>
      </c>
      <c r="D650" s="5">
        <v>5.37</v>
      </c>
      <c r="F650">
        <v>100</v>
      </c>
      <c r="G650">
        <v>100</v>
      </c>
      <c r="H650">
        <f t="shared" si="30"/>
        <v>10270542</v>
      </c>
      <c r="I650" s="12">
        <f t="shared" si="31"/>
        <v>0.22896666666666668</v>
      </c>
      <c r="J650" s="12">
        <f t="shared" si="32"/>
        <v>0.22058724226804124</v>
      </c>
    </row>
    <row r="651" spans="1:10" ht="15.75" customHeight="1">
      <c r="A651" s="13">
        <v>43385</v>
      </c>
      <c r="B651" s="11">
        <v>195</v>
      </c>
      <c r="C651">
        <v>54525</v>
      </c>
      <c r="D651" s="5">
        <v>5.32</v>
      </c>
      <c r="F651">
        <v>100</v>
      </c>
      <c r="G651">
        <v>100</v>
      </c>
      <c r="H651">
        <f t="shared" si="30"/>
        <v>10325067</v>
      </c>
      <c r="I651" s="12">
        <f t="shared" si="31"/>
        <v>0.22718749999999999</v>
      </c>
      <c r="J651" s="12">
        <f t="shared" si="32"/>
        <v>0.22062108974358974</v>
      </c>
    </row>
    <row r="652" spans="1:10" ht="15.75" customHeight="1">
      <c r="A652" s="13">
        <v>43386</v>
      </c>
      <c r="B652" s="11">
        <v>196</v>
      </c>
      <c r="C652">
        <v>54098</v>
      </c>
      <c r="D652" s="5">
        <v>5.26</v>
      </c>
      <c r="F652">
        <v>100</v>
      </c>
      <c r="G652">
        <v>100</v>
      </c>
      <c r="H652">
        <f t="shared" ref="H652:H715" si="33">H651+C652</f>
        <v>10379165</v>
      </c>
      <c r="I652" s="12">
        <f t="shared" si="31"/>
        <v>0.22540833333333332</v>
      </c>
      <c r="J652" s="12">
        <f t="shared" si="32"/>
        <v>0.22064551445578232</v>
      </c>
    </row>
    <row r="653" spans="1:10" ht="15.75" customHeight="1">
      <c r="A653" s="13">
        <v>43387</v>
      </c>
      <c r="B653" s="11">
        <v>197</v>
      </c>
      <c r="C653">
        <v>55705</v>
      </c>
      <c r="D653" s="5">
        <v>5.41</v>
      </c>
      <c r="F653">
        <v>100</v>
      </c>
      <c r="G653">
        <v>100</v>
      </c>
      <c r="H653">
        <f t="shared" si="33"/>
        <v>10434870</v>
      </c>
      <c r="I653" s="12">
        <f t="shared" si="31"/>
        <v>0.23210416666666667</v>
      </c>
      <c r="J653" s="12">
        <f t="shared" si="32"/>
        <v>0.22070368020304568</v>
      </c>
    </row>
    <row r="654" spans="1:10" ht="15.75" customHeight="1">
      <c r="A654" s="13">
        <v>43388</v>
      </c>
      <c r="B654" s="11">
        <v>198</v>
      </c>
      <c r="C654">
        <v>54813</v>
      </c>
      <c r="D654" s="5">
        <v>5.39</v>
      </c>
      <c r="F654">
        <v>100</v>
      </c>
      <c r="G654">
        <v>100</v>
      </c>
      <c r="H654">
        <f t="shared" si="33"/>
        <v>10489683</v>
      </c>
      <c r="I654" s="12">
        <f t="shared" si="31"/>
        <v>0.22838749999999999</v>
      </c>
      <c r="J654" s="12">
        <f t="shared" si="32"/>
        <v>0.22074248737373736</v>
      </c>
    </row>
    <row r="655" spans="1:10" ht="15.75" customHeight="1">
      <c r="A655" s="13">
        <v>43389</v>
      </c>
      <c r="B655" s="11">
        <v>199</v>
      </c>
      <c r="C655">
        <v>42427</v>
      </c>
      <c r="D655" s="5">
        <v>4.37</v>
      </c>
      <c r="F655">
        <v>100</v>
      </c>
      <c r="G655">
        <v>100</v>
      </c>
      <c r="H655">
        <f t="shared" si="33"/>
        <v>10532110</v>
      </c>
      <c r="I655" s="12">
        <f t="shared" si="31"/>
        <v>0.17677916666666665</v>
      </c>
      <c r="J655" s="12">
        <f t="shared" si="32"/>
        <v>0.22052156616415411</v>
      </c>
    </row>
    <row r="656" spans="1:10" ht="15.75" customHeight="1">
      <c r="A656" s="13">
        <v>43390</v>
      </c>
      <c r="B656" s="11">
        <v>200</v>
      </c>
      <c r="C656">
        <v>55284</v>
      </c>
      <c r="D656" s="5">
        <v>5.3</v>
      </c>
      <c r="F656">
        <v>100</v>
      </c>
      <c r="G656">
        <v>100</v>
      </c>
      <c r="H656">
        <f t="shared" si="33"/>
        <v>10587394</v>
      </c>
      <c r="I656" s="12">
        <f t="shared" si="31"/>
        <v>0.23035</v>
      </c>
      <c r="J656" s="12">
        <f t="shared" si="32"/>
        <v>0.22057070833333334</v>
      </c>
    </row>
    <row r="657" spans="1:10" ht="15.75" customHeight="1">
      <c r="A657" s="13">
        <v>43391</v>
      </c>
      <c r="B657" s="11">
        <v>201</v>
      </c>
      <c r="C657">
        <v>52850</v>
      </c>
      <c r="D657" s="5">
        <v>5</v>
      </c>
      <c r="F657">
        <v>100</v>
      </c>
      <c r="G657">
        <v>100</v>
      </c>
      <c r="H657">
        <f t="shared" si="33"/>
        <v>10640244</v>
      </c>
      <c r="I657" s="12">
        <f t="shared" si="31"/>
        <v>0.22020833333333334</v>
      </c>
      <c r="J657" s="12">
        <f t="shared" si="32"/>
        <v>0.22056890547263683</v>
      </c>
    </row>
    <row r="658" spans="1:10" ht="15.75" customHeight="1">
      <c r="A658" s="13">
        <v>43392</v>
      </c>
      <c r="B658" s="11">
        <v>202</v>
      </c>
      <c r="C658">
        <v>54178</v>
      </c>
      <c r="D658" s="5">
        <v>5.12</v>
      </c>
      <c r="F658">
        <v>100</v>
      </c>
      <c r="G658">
        <v>100</v>
      </c>
      <c r="H658">
        <f t="shared" si="33"/>
        <v>10694422</v>
      </c>
      <c r="I658" s="12">
        <f t="shared" si="31"/>
        <v>0.22574166666666667</v>
      </c>
      <c r="J658" s="12">
        <f t="shared" si="32"/>
        <v>0.22059451320132012</v>
      </c>
    </row>
    <row r="659" spans="1:10" ht="15.75" customHeight="1">
      <c r="A659" s="13">
        <v>43393</v>
      </c>
      <c r="B659" s="11">
        <v>203</v>
      </c>
      <c r="C659">
        <v>48180</v>
      </c>
      <c r="D659" s="5">
        <v>4.6399999999999997</v>
      </c>
      <c r="F659">
        <v>100</v>
      </c>
      <c r="G659">
        <v>100</v>
      </c>
      <c r="H659">
        <f t="shared" si="33"/>
        <v>10742602</v>
      </c>
      <c r="I659" s="12">
        <f t="shared" si="31"/>
        <v>0.20075000000000001</v>
      </c>
      <c r="J659" s="12">
        <f t="shared" si="32"/>
        <v>0.22049675697865354</v>
      </c>
    </row>
    <row r="660" spans="1:10" ht="15.75" customHeight="1">
      <c r="A660" s="13">
        <v>43394</v>
      </c>
      <c r="B660" s="11">
        <v>204</v>
      </c>
      <c r="C660">
        <v>48757</v>
      </c>
      <c r="D660" s="5">
        <v>4.59</v>
      </c>
      <c r="F660">
        <v>100</v>
      </c>
      <c r="G660">
        <v>100</v>
      </c>
      <c r="H660">
        <f t="shared" si="33"/>
        <v>10791359</v>
      </c>
      <c r="I660" s="12">
        <f t="shared" si="31"/>
        <v>0.20315416666666666</v>
      </c>
      <c r="J660" s="12">
        <f t="shared" si="32"/>
        <v>0.22041174428104576</v>
      </c>
    </row>
    <row r="661" spans="1:10" ht="15.75" customHeight="1">
      <c r="A661" s="13">
        <v>43395</v>
      </c>
      <c r="B661" s="11">
        <v>205</v>
      </c>
      <c r="C661">
        <v>52957</v>
      </c>
      <c r="D661" s="5">
        <v>4.96</v>
      </c>
      <c r="F661">
        <v>100</v>
      </c>
      <c r="G661">
        <v>100</v>
      </c>
      <c r="H661">
        <f t="shared" si="33"/>
        <v>10844316</v>
      </c>
      <c r="I661" s="12">
        <f t="shared" si="31"/>
        <v>0.22065416666666668</v>
      </c>
      <c r="J661" s="12">
        <f t="shared" si="32"/>
        <v>0.2204129268292683</v>
      </c>
    </row>
    <row r="662" spans="1:10" ht="15.75" customHeight="1">
      <c r="A662" s="13">
        <v>43396</v>
      </c>
      <c r="B662" s="11">
        <v>206</v>
      </c>
      <c r="C662">
        <v>56120</v>
      </c>
      <c r="D662" s="5">
        <v>5.18</v>
      </c>
      <c r="F662">
        <v>100</v>
      </c>
      <c r="G662">
        <v>100</v>
      </c>
      <c r="H662">
        <f t="shared" si="33"/>
        <v>10900436</v>
      </c>
      <c r="I662" s="12">
        <f t="shared" si="31"/>
        <v>0.23383333333333334</v>
      </c>
      <c r="J662" s="12">
        <f t="shared" si="32"/>
        <v>0.22047807443365697</v>
      </c>
    </row>
    <row r="663" spans="1:10" ht="15.75" customHeight="1">
      <c r="A663" s="13">
        <v>43397</v>
      </c>
      <c r="B663" s="11">
        <v>207</v>
      </c>
      <c r="C663">
        <v>55062</v>
      </c>
      <c r="D663" s="5">
        <v>5.14</v>
      </c>
      <c r="F663">
        <v>100</v>
      </c>
      <c r="G663">
        <v>100</v>
      </c>
      <c r="H663">
        <f t="shared" si="33"/>
        <v>10955498</v>
      </c>
      <c r="I663" s="12">
        <f t="shared" si="31"/>
        <v>0.22942499999999999</v>
      </c>
      <c r="J663" s="12">
        <f t="shared" si="32"/>
        <v>0.2205212962962963</v>
      </c>
    </row>
    <row r="664" spans="1:10" ht="15.75" customHeight="1">
      <c r="A664" s="13">
        <v>43398</v>
      </c>
      <c r="B664" s="11">
        <v>208</v>
      </c>
      <c r="C664">
        <v>43290</v>
      </c>
      <c r="D664" s="5">
        <v>4.09</v>
      </c>
      <c r="F664">
        <v>100</v>
      </c>
      <c r="G664">
        <v>100</v>
      </c>
      <c r="H664">
        <f t="shared" si="33"/>
        <v>10998788</v>
      </c>
      <c r="I664" s="12">
        <f t="shared" si="31"/>
        <v>0.18037500000000001</v>
      </c>
      <c r="J664" s="12">
        <f t="shared" si="32"/>
        <v>0.22032828525641027</v>
      </c>
    </row>
    <row r="665" spans="1:10" ht="15.75" customHeight="1">
      <c r="A665" s="13">
        <v>43399</v>
      </c>
      <c r="B665" s="11">
        <v>209</v>
      </c>
      <c r="C665">
        <v>52097</v>
      </c>
      <c r="D665" s="5">
        <v>4.79</v>
      </c>
      <c r="F665">
        <v>100</v>
      </c>
      <c r="G665">
        <v>100</v>
      </c>
      <c r="H665">
        <f t="shared" si="33"/>
        <v>11050885</v>
      </c>
      <c r="I665" s="12">
        <f t="shared" si="31"/>
        <v>0.21707083333333332</v>
      </c>
      <c r="J665" s="12">
        <f t="shared" si="32"/>
        <v>0.22031269936204148</v>
      </c>
    </row>
    <row r="666" spans="1:10" ht="15.75" customHeight="1">
      <c r="A666" s="13">
        <v>43400</v>
      </c>
      <c r="B666" s="11">
        <v>210</v>
      </c>
      <c r="C666">
        <v>54123</v>
      </c>
      <c r="D666" s="5">
        <v>4.92</v>
      </c>
      <c r="F666">
        <v>100</v>
      </c>
      <c r="G666">
        <v>100</v>
      </c>
      <c r="H666">
        <f t="shared" si="33"/>
        <v>11105008</v>
      </c>
      <c r="I666" s="12">
        <f t="shared" si="31"/>
        <v>0.2255125</v>
      </c>
      <c r="J666" s="12">
        <f t="shared" si="32"/>
        <v>0.22033746031746032</v>
      </c>
    </row>
    <row r="667" spans="1:10" ht="15.75" customHeight="1">
      <c r="A667" s="13">
        <v>43401</v>
      </c>
      <c r="B667" s="11">
        <v>211</v>
      </c>
      <c r="C667">
        <v>53000</v>
      </c>
      <c r="D667" s="5">
        <v>4.84</v>
      </c>
      <c r="F667">
        <v>100</v>
      </c>
      <c r="G667">
        <v>100</v>
      </c>
      <c r="H667">
        <f t="shared" si="33"/>
        <v>11158008</v>
      </c>
      <c r="I667" s="12">
        <f t="shared" si="31"/>
        <v>0.22083333333333333</v>
      </c>
      <c r="J667" s="12">
        <f t="shared" si="32"/>
        <v>0.22033981042654027</v>
      </c>
    </row>
    <row r="668" spans="1:10" ht="15.75" customHeight="1">
      <c r="A668" s="13">
        <v>43402</v>
      </c>
      <c r="B668" s="11">
        <v>212</v>
      </c>
      <c r="C668">
        <v>50786</v>
      </c>
      <c r="D668" s="5">
        <v>4.62</v>
      </c>
      <c r="F668">
        <v>100</v>
      </c>
      <c r="G668">
        <v>100</v>
      </c>
      <c r="H668">
        <f t="shared" si="33"/>
        <v>11208794</v>
      </c>
      <c r="I668" s="12">
        <f t="shared" si="31"/>
        <v>0.21160833333333334</v>
      </c>
      <c r="J668" s="12">
        <f t="shared" si="32"/>
        <v>0.22029862421383647</v>
      </c>
    </row>
    <row r="669" spans="1:10" ht="15.75" customHeight="1">
      <c r="A669" s="13">
        <v>43403</v>
      </c>
      <c r="B669" s="11">
        <v>213</v>
      </c>
      <c r="C669">
        <v>51033</v>
      </c>
      <c r="D669" s="5">
        <v>4.5999999999999996</v>
      </c>
      <c r="F669">
        <v>100</v>
      </c>
      <c r="G669">
        <v>100</v>
      </c>
      <c r="H669">
        <f t="shared" si="33"/>
        <v>11259827</v>
      </c>
      <c r="I669" s="12">
        <f t="shared" si="31"/>
        <v>0.21263750000000001</v>
      </c>
      <c r="J669" s="12">
        <f t="shared" si="32"/>
        <v>0.2202626564945227</v>
      </c>
    </row>
    <row r="670" spans="1:10" ht="15.75" customHeight="1">
      <c r="A670" s="13">
        <v>43404</v>
      </c>
      <c r="B670" s="11">
        <v>214</v>
      </c>
      <c r="C670">
        <v>50187</v>
      </c>
      <c r="D670" s="5">
        <v>4.5199999999999996</v>
      </c>
      <c r="F670">
        <v>100</v>
      </c>
      <c r="G670">
        <v>100</v>
      </c>
      <c r="H670">
        <f t="shared" si="33"/>
        <v>11310014</v>
      </c>
      <c r="I670" s="12">
        <f t="shared" si="31"/>
        <v>0.20911250000000001</v>
      </c>
      <c r="J670" s="12">
        <f t="shared" si="32"/>
        <v>0.22021055295950157</v>
      </c>
    </row>
    <row r="671" spans="1:10" ht="15.75" customHeight="1">
      <c r="A671" s="13">
        <v>43405</v>
      </c>
      <c r="B671" s="11">
        <v>215</v>
      </c>
      <c r="C671">
        <v>48515</v>
      </c>
      <c r="D671" s="5">
        <v>4.3499999999999996</v>
      </c>
      <c r="F671">
        <v>100</v>
      </c>
      <c r="G671">
        <v>100</v>
      </c>
      <c r="H671">
        <f t="shared" si="33"/>
        <v>11358529</v>
      </c>
      <c r="I671" s="12">
        <f t="shared" si="31"/>
        <v>0.20214583333333333</v>
      </c>
      <c r="J671" s="12">
        <f t="shared" si="32"/>
        <v>0.22012653100775192</v>
      </c>
    </row>
    <row r="672" spans="1:10" ht="15.75" customHeight="1">
      <c r="A672" s="13">
        <v>43406</v>
      </c>
      <c r="B672" s="11">
        <v>216</v>
      </c>
      <c r="C672">
        <v>46970</v>
      </c>
      <c r="D672" s="5">
        <v>4.24</v>
      </c>
      <c r="F672">
        <v>100</v>
      </c>
      <c r="G672">
        <v>100</v>
      </c>
      <c r="H672">
        <f t="shared" si="33"/>
        <v>11405499</v>
      </c>
      <c r="I672" s="12">
        <f t="shared" si="31"/>
        <v>0.19570833333333335</v>
      </c>
      <c r="J672" s="12">
        <f t="shared" si="32"/>
        <v>0.22001348379629629</v>
      </c>
    </row>
    <row r="673" spans="1:10" ht="15.75" customHeight="1">
      <c r="A673" s="13">
        <v>43407</v>
      </c>
      <c r="B673" s="11">
        <v>217</v>
      </c>
      <c r="C673">
        <v>41423</v>
      </c>
      <c r="D673" s="5">
        <v>3.8</v>
      </c>
      <c r="F673">
        <v>100</v>
      </c>
      <c r="G673">
        <v>100</v>
      </c>
      <c r="H673">
        <f t="shared" si="33"/>
        <v>11446922</v>
      </c>
      <c r="I673" s="12">
        <f t="shared" si="31"/>
        <v>0.17259583333333334</v>
      </c>
      <c r="J673" s="12">
        <f t="shared" si="32"/>
        <v>0.2197949692780338</v>
      </c>
    </row>
    <row r="674" spans="1:10" ht="15.75" customHeight="1">
      <c r="A674" s="13">
        <v>43408</v>
      </c>
      <c r="B674" s="11">
        <v>218</v>
      </c>
      <c r="C674">
        <v>57593</v>
      </c>
      <c r="D674" s="5">
        <v>4.91</v>
      </c>
      <c r="F674">
        <v>100</v>
      </c>
      <c r="G674">
        <v>100</v>
      </c>
      <c r="H674">
        <f t="shared" si="33"/>
        <v>11504515</v>
      </c>
      <c r="I674" s="12">
        <f t="shared" si="31"/>
        <v>0.23997083333333333</v>
      </c>
      <c r="J674" s="12">
        <f t="shared" si="32"/>
        <v>0.21988751911314985</v>
      </c>
    </row>
    <row r="675" spans="1:10" ht="15.75" customHeight="1">
      <c r="A675" s="13">
        <v>43409</v>
      </c>
      <c r="B675" s="11">
        <v>219</v>
      </c>
      <c r="C675">
        <v>57430</v>
      </c>
      <c r="D675" s="5">
        <v>4.9400000000000004</v>
      </c>
      <c r="F675">
        <v>100</v>
      </c>
      <c r="G675">
        <v>100</v>
      </c>
      <c r="H675">
        <f t="shared" si="33"/>
        <v>11561945</v>
      </c>
      <c r="I675" s="12">
        <f t="shared" si="31"/>
        <v>0.23929166666666668</v>
      </c>
      <c r="J675" s="12">
        <f t="shared" si="32"/>
        <v>0.21997612252663623</v>
      </c>
    </row>
    <row r="676" spans="1:10" ht="15.75" customHeight="1">
      <c r="A676" s="13">
        <v>43410</v>
      </c>
      <c r="B676" s="11">
        <v>220</v>
      </c>
      <c r="C676">
        <v>55275</v>
      </c>
      <c r="D676" s="5">
        <v>4.72</v>
      </c>
      <c r="F676">
        <v>100</v>
      </c>
      <c r="G676">
        <v>100</v>
      </c>
      <c r="H676">
        <f t="shared" si="33"/>
        <v>11617220</v>
      </c>
      <c r="I676" s="12">
        <f t="shared" si="31"/>
        <v>0.2303125</v>
      </c>
      <c r="J676" s="12">
        <f t="shared" si="32"/>
        <v>0.22002310606060607</v>
      </c>
    </row>
    <row r="677" spans="1:10" ht="15.75" customHeight="1">
      <c r="A677" s="13">
        <v>43411</v>
      </c>
      <c r="B677" s="11">
        <v>221</v>
      </c>
      <c r="C677">
        <v>54420</v>
      </c>
      <c r="D677" s="5">
        <v>4.7300000000000004</v>
      </c>
      <c r="F677">
        <v>100</v>
      </c>
      <c r="G677">
        <v>100</v>
      </c>
      <c r="H677">
        <f t="shared" si="33"/>
        <v>11671640</v>
      </c>
      <c r="I677" s="12">
        <f t="shared" si="31"/>
        <v>0.22675000000000001</v>
      </c>
      <c r="J677" s="12">
        <f t="shared" si="32"/>
        <v>0.22005354449472098</v>
      </c>
    </row>
    <row r="678" spans="1:10" ht="15.75" customHeight="1">
      <c r="A678" s="13">
        <v>43412</v>
      </c>
      <c r="B678" s="11">
        <v>222</v>
      </c>
      <c r="C678">
        <v>54533</v>
      </c>
      <c r="D678" s="5">
        <v>4.7300000000000004</v>
      </c>
      <c r="F678">
        <v>100</v>
      </c>
      <c r="G678">
        <v>100</v>
      </c>
      <c r="H678">
        <f t="shared" si="33"/>
        <v>11726173</v>
      </c>
      <c r="I678" s="12">
        <f t="shared" si="31"/>
        <v>0.22722083333333334</v>
      </c>
      <c r="J678" s="12">
        <f t="shared" si="32"/>
        <v>0.22008582957957959</v>
      </c>
    </row>
    <row r="679" spans="1:10" ht="15.75" customHeight="1">
      <c r="A679" s="13">
        <v>43413</v>
      </c>
      <c r="B679" s="11">
        <v>223</v>
      </c>
      <c r="C679">
        <v>52445</v>
      </c>
      <c r="D679" s="5">
        <v>4.57</v>
      </c>
      <c r="F679">
        <v>100</v>
      </c>
      <c r="G679">
        <v>100</v>
      </c>
      <c r="H679">
        <f t="shared" si="33"/>
        <v>11778618</v>
      </c>
      <c r="I679" s="12">
        <f t="shared" si="31"/>
        <v>0.21852083333333333</v>
      </c>
      <c r="J679" s="12">
        <f t="shared" si="32"/>
        <v>0.22007881165919282</v>
      </c>
    </row>
    <row r="680" spans="1:10" ht="15.75" customHeight="1">
      <c r="A680" s="13">
        <v>43414</v>
      </c>
      <c r="B680" s="11">
        <v>224</v>
      </c>
      <c r="C680">
        <v>52320</v>
      </c>
      <c r="D680" s="5">
        <v>4.51</v>
      </c>
      <c r="F680">
        <v>100</v>
      </c>
      <c r="G680">
        <v>100</v>
      </c>
      <c r="H680">
        <f t="shared" si="33"/>
        <v>11830938</v>
      </c>
      <c r="I680" s="12">
        <f t="shared" si="31"/>
        <v>0.218</v>
      </c>
      <c r="J680" s="12">
        <f t="shared" si="32"/>
        <v>0.22006953125000001</v>
      </c>
    </row>
    <row r="681" spans="1:10" ht="15.75" customHeight="1">
      <c r="A681" s="13">
        <v>43415</v>
      </c>
      <c r="B681" s="11">
        <v>225</v>
      </c>
      <c r="C681">
        <v>50272</v>
      </c>
      <c r="D681" s="5">
        <v>4.32</v>
      </c>
      <c r="F681">
        <v>100</v>
      </c>
      <c r="G681">
        <v>100</v>
      </c>
      <c r="H681">
        <f t="shared" si="33"/>
        <v>11881210</v>
      </c>
      <c r="I681" s="12">
        <f t="shared" si="31"/>
        <v>0.20946666666666666</v>
      </c>
      <c r="J681" s="12">
        <f t="shared" si="32"/>
        <v>0.22002240740740742</v>
      </c>
    </row>
    <row r="682" spans="1:10" ht="15.75" customHeight="1">
      <c r="A682" s="13">
        <v>43416</v>
      </c>
      <c r="B682" s="11">
        <v>226</v>
      </c>
      <c r="C682">
        <v>49082</v>
      </c>
      <c r="D682" s="5">
        <v>4.24</v>
      </c>
      <c r="F682">
        <v>100</v>
      </c>
      <c r="G682">
        <v>100</v>
      </c>
      <c r="H682">
        <f t="shared" si="33"/>
        <v>11930292</v>
      </c>
      <c r="I682" s="12">
        <f t="shared" si="31"/>
        <v>0.20450833333333332</v>
      </c>
      <c r="J682" s="12">
        <f t="shared" si="32"/>
        <v>0.21995376106194689</v>
      </c>
    </row>
    <row r="683" spans="1:10" ht="15.75" customHeight="1">
      <c r="A683" s="13">
        <v>43417</v>
      </c>
      <c r="B683" s="11">
        <v>227</v>
      </c>
      <c r="C683">
        <v>40422</v>
      </c>
      <c r="D683" s="5">
        <v>3.59</v>
      </c>
      <c r="F683">
        <v>100</v>
      </c>
      <c r="G683">
        <v>100</v>
      </c>
      <c r="H683">
        <f t="shared" si="33"/>
        <v>11970714</v>
      </c>
      <c r="I683" s="12">
        <f t="shared" si="31"/>
        <v>0.16842499999999999</v>
      </c>
      <c r="J683" s="12">
        <f t="shared" si="32"/>
        <v>0.21972676211453745</v>
      </c>
    </row>
    <row r="684" spans="1:10" ht="15.75" customHeight="1">
      <c r="A684" s="13">
        <v>43418</v>
      </c>
      <c r="B684" s="11">
        <v>228</v>
      </c>
      <c r="C684">
        <v>40582</v>
      </c>
      <c r="D684" s="5">
        <v>3.62</v>
      </c>
      <c r="F684">
        <v>100</v>
      </c>
      <c r="G684">
        <v>100</v>
      </c>
      <c r="H684">
        <f t="shared" si="33"/>
        <v>12011296</v>
      </c>
      <c r="I684" s="12">
        <f t="shared" si="31"/>
        <v>0.16909166666666667</v>
      </c>
      <c r="J684" s="12">
        <f t="shared" si="32"/>
        <v>0.21950467836257309</v>
      </c>
    </row>
    <row r="685" spans="1:10" ht="15.75" customHeight="1">
      <c r="A685" s="13">
        <v>43419</v>
      </c>
      <c r="B685" s="11">
        <v>229</v>
      </c>
      <c r="C685">
        <v>48765</v>
      </c>
      <c r="D685" s="5">
        <v>4.13</v>
      </c>
      <c r="F685">
        <v>100</v>
      </c>
      <c r="G685">
        <v>100</v>
      </c>
      <c r="H685">
        <f t="shared" si="33"/>
        <v>12060061</v>
      </c>
      <c r="I685" s="12">
        <f t="shared" si="31"/>
        <v>0.20318749999999999</v>
      </c>
      <c r="J685" s="12">
        <f t="shared" si="32"/>
        <v>0.21943342430858806</v>
      </c>
    </row>
    <row r="686" spans="1:10" ht="15.75" customHeight="1">
      <c r="A686" s="13">
        <v>43420</v>
      </c>
      <c r="B686" s="11">
        <v>230</v>
      </c>
      <c r="C686">
        <v>46663</v>
      </c>
      <c r="D686" s="5">
        <v>3.97</v>
      </c>
      <c r="F686">
        <v>100</v>
      </c>
      <c r="G686">
        <v>100</v>
      </c>
      <c r="H686">
        <f t="shared" si="33"/>
        <v>12106724</v>
      </c>
      <c r="I686" s="12">
        <f t="shared" si="31"/>
        <v>0.19442916666666665</v>
      </c>
      <c r="J686" s="12">
        <f t="shared" si="32"/>
        <v>0.21932471014492755</v>
      </c>
    </row>
    <row r="687" spans="1:10" ht="15.75" customHeight="1">
      <c r="A687" s="13">
        <v>43421</v>
      </c>
      <c r="B687" s="11">
        <v>231</v>
      </c>
      <c r="C687">
        <v>50974</v>
      </c>
      <c r="D687" s="5">
        <v>4.28</v>
      </c>
      <c r="F687">
        <v>100</v>
      </c>
      <c r="G687">
        <v>100</v>
      </c>
      <c r="H687">
        <f t="shared" si="33"/>
        <v>12157698</v>
      </c>
      <c r="I687" s="12">
        <f t="shared" si="31"/>
        <v>0.21239166666666667</v>
      </c>
      <c r="J687" s="12">
        <f t="shared" si="32"/>
        <v>0.21929469696969697</v>
      </c>
    </row>
    <row r="688" spans="1:10" ht="15.75" customHeight="1">
      <c r="A688" s="13">
        <v>43422</v>
      </c>
      <c r="B688" s="11">
        <v>232</v>
      </c>
      <c r="C688">
        <v>49726</v>
      </c>
      <c r="D688" s="5">
        <v>4.16</v>
      </c>
      <c r="F688">
        <v>100</v>
      </c>
      <c r="G688">
        <v>100</v>
      </c>
      <c r="H688">
        <f t="shared" si="33"/>
        <v>12207424</v>
      </c>
      <c r="I688" s="12">
        <f t="shared" si="31"/>
        <v>0.20719166666666666</v>
      </c>
      <c r="J688" s="12">
        <f t="shared" si="32"/>
        <v>0.21924252873563219</v>
      </c>
    </row>
    <row r="689" spans="1:10" ht="15.75" customHeight="1">
      <c r="A689" s="13">
        <v>43423</v>
      </c>
      <c r="B689" s="11">
        <v>233</v>
      </c>
      <c r="C689">
        <v>48289</v>
      </c>
      <c r="D689" s="5">
        <v>4.07</v>
      </c>
      <c r="F689">
        <v>100</v>
      </c>
      <c r="G689">
        <v>100</v>
      </c>
      <c r="H689">
        <f t="shared" si="33"/>
        <v>12255713</v>
      </c>
      <c r="I689" s="12">
        <f t="shared" si="31"/>
        <v>0.20120416666666666</v>
      </c>
      <c r="J689" s="12">
        <f t="shared" si="32"/>
        <v>0.21916511087267526</v>
      </c>
    </row>
    <row r="690" spans="1:10" ht="15.75" customHeight="1">
      <c r="A690" s="13">
        <v>43424</v>
      </c>
      <c r="B690" s="11">
        <v>234</v>
      </c>
      <c r="C690">
        <v>42077</v>
      </c>
      <c r="D690" s="5">
        <v>3.63</v>
      </c>
      <c r="F690">
        <v>100</v>
      </c>
      <c r="G690">
        <v>100</v>
      </c>
      <c r="H690">
        <f t="shared" si="33"/>
        <v>12297790</v>
      </c>
      <c r="I690" s="12">
        <f t="shared" si="31"/>
        <v>0.17532083333333334</v>
      </c>
      <c r="J690" s="12">
        <f t="shared" si="32"/>
        <v>0.21897774216524216</v>
      </c>
    </row>
    <row r="691" spans="1:10" ht="15.75" customHeight="1">
      <c r="A691" s="13">
        <v>43425</v>
      </c>
      <c r="B691" s="11">
        <v>235</v>
      </c>
      <c r="C691">
        <v>47853</v>
      </c>
      <c r="D691" s="5">
        <v>4.0199999999999996</v>
      </c>
      <c r="F691">
        <v>100</v>
      </c>
      <c r="G691">
        <v>100</v>
      </c>
      <c r="H691">
        <f t="shared" si="33"/>
        <v>12345643</v>
      </c>
      <c r="I691" s="12">
        <f t="shared" si="31"/>
        <v>0.1993875</v>
      </c>
      <c r="J691" s="12">
        <f t="shared" si="32"/>
        <v>0.2188943794326241</v>
      </c>
    </row>
    <row r="692" spans="1:10" ht="15.75" customHeight="1">
      <c r="A692" s="13">
        <v>43426</v>
      </c>
      <c r="B692" s="11">
        <v>236</v>
      </c>
      <c r="C692">
        <v>46481</v>
      </c>
      <c r="D692" s="5">
        <v>3.93</v>
      </c>
      <c r="F692">
        <v>100</v>
      </c>
      <c r="G692">
        <v>100</v>
      </c>
      <c r="H692">
        <f t="shared" si="33"/>
        <v>12392124</v>
      </c>
      <c r="I692" s="12">
        <f t="shared" si="31"/>
        <v>0.19367083333333332</v>
      </c>
      <c r="J692" s="12">
        <f t="shared" si="32"/>
        <v>0.2187875</v>
      </c>
    </row>
    <row r="693" spans="1:10" ht="15.75" customHeight="1">
      <c r="A693" s="13">
        <v>43427</v>
      </c>
      <c r="B693" s="11">
        <v>237</v>
      </c>
      <c r="C693">
        <v>45820</v>
      </c>
      <c r="D693" s="5">
        <v>3.86</v>
      </c>
      <c r="F693">
        <v>100</v>
      </c>
      <c r="G693">
        <v>100</v>
      </c>
      <c r="H693">
        <f t="shared" si="33"/>
        <v>12437944</v>
      </c>
      <c r="I693" s="12">
        <f t="shared" si="31"/>
        <v>0.19091666666666668</v>
      </c>
      <c r="J693" s="12">
        <f t="shared" si="32"/>
        <v>0.21866990154711674</v>
      </c>
    </row>
    <row r="694" spans="1:10" ht="15.75" customHeight="1">
      <c r="A694" s="13">
        <v>43428</v>
      </c>
      <c r="B694" s="11">
        <v>238</v>
      </c>
      <c r="C694">
        <v>48231</v>
      </c>
      <c r="D694" s="5">
        <v>4.03</v>
      </c>
      <c r="F694">
        <v>100</v>
      </c>
      <c r="G694">
        <v>100</v>
      </c>
      <c r="H694">
        <f t="shared" si="33"/>
        <v>12486175</v>
      </c>
      <c r="I694" s="12">
        <f t="shared" si="31"/>
        <v>0.20096249999999999</v>
      </c>
      <c r="J694" s="12">
        <f t="shared" si="32"/>
        <v>0.21859550070028011</v>
      </c>
    </row>
    <row r="695" spans="1:10" ht="15.75" customHeight="1">
      <c r="A695" s="13">
        <v>43429</v>
      </c>
      <c r="B695" s="11">
        <v>239</v>
      </c>
      <c r="C695">
        <v>50825</v>
      </c>
      <c r="D695" s="5">
        <v>4.24</v>
      </c>
      <c r="F695">
        <v>100</v>
      </c>
      <c r="G695">
        <v>100</v>
      </c>
      <c r="H695">
        <f t="shared" si="33"/>
        <v>12537000</v>
      </c>
      <c r="I695" s="12">
        <f t="shared" si="31"/>
        <v>0.21177083333333332</v>
      </c>
      <c r="J695" s="12">
        <f t="shared" si="32"/>
        <v>0.21856694560669457</v>
      </c>
    </row>
    <row r="696" spans="1:10" ht="15.75" customHeight="1">
      <c r="A696" s="13">
        <v>43430</v>
      </c>
      <c r="B696" s="11">
        <v>240</v>
      </c>
      <c r="C696">
        <v>41741</v>
      </c>
      <c r="D696" s="5">
        <v>3.72</v>
      </c>
      <c r="F696">
        <v>100</v>
      </c>
      <c r="G696">
        <v>100</v>
      </c>
      <c r="H696">
        <f t="shared" si="33"/>
        <v>12578741</v>
      </c>
      <c r="I696" s="12">
        <f t="shared" si="31"/>
        <v>0.17392083333333333</v>
      </c>
      <c r="J696" s="12">
        <f t="shared" si="32"/>
        <v>0.21838092013888888</v>
      </c>
    </row>
    <row r="697" spans="1:10" ht="15.75" customHeight="1">
      <c r="A697" s="13">
        <v>43431</v>
      </c>
      <c r="B697" s="11">
        <v>241</v>
      </c>
      <c r="C697">
        <v>29505</v>
      </c>
      <c r="D697" s="5">
        <v>2.86</v>
      </c>
      <c r="F697">
        <v>98.999249437077808</v>
      </c>
      <c r="G697">
        <v>100</v>
      </c>
      <c r="H697">
        <f t="shared" si="33"/>
        <v>12608246</v>
      </c>
      <c r="I697" s="12">
        <f t="shared" si="31"/>
        <v>0.12293750000000001</v>
      </c>
      <c r="J697" s="12">
        <f t="shared" si="32"/>
        <v>0.21798488934993085</v>
      </c>
    </row>
    <row r="698" spans="1:10" ht="15.75" customHeight="1">
      <c r="A698" s="13">
        <v>43432</v>
      </c>
      <c r="B698" s="11">
        <v>242</v>
      </c>
      <c r="C698">
        <v>43889</v>
      </c>
      <c r="D698" s="5">
        <v>3.7</v>
      </c>
      <c r="F698">
        <v>100</v>
      </c>
      <c r="G698">
        <v>100</v>
      </c>
      <c r="H698">
        <f t="shared" si="33"/>
        <v>12652135</v>
      </c>
      <c r="I698" s="12">
        <f t="shared" si="31"/>
        <v>0.18287083333333334</v>
      </c>
      <c r="J698" s="12">
        <f t="shared" si="32"/>
        <v>0.21783978994490358</v>
      </c>
    </row>
    <row r="699" spans="1:10" ht="15.75" customHeight="1">
      <c r="A699" s="13">
        <v>43433</v>
      </c>
      <c r="B699" s="11">
        <v>243</v>
      </c>
      <c r="C699">
        <v>44719</v>
      </c>
      <c r="D699" s="5">
        <v>3.74</v>
      </c>
      <c r="F699">
        <v>100</v>
      </c>
      <c r="G699">
        <v>100</v>
      </c>
      <c r="H699">
        <f t="shared" si="33"/>
        <v>12696854</v>
      </c>
      <c r="I699" s="12">
        <f t="shared" si="31"/>
        <v>0.18632916666666666</v>
      </c>
      <c r="J699" s="12">
        <f t="shared" si="32"/>
        <v>0.21771011659807957</v>
      </c>
    </row>
    <row r="700" spans="1:10" ht="15.75" customHeight="1">
      <c r="A700" s="13">
        <v>43434</v>
      </c>
      <c r="B700" s="11">
        <v>244</v>
      </c>
      <c r="C700">
        <v>44981</v>
      </c>
      <c r="D700" s="5">
        <v>3.72</v>
      </c>
      <c r="F700">
        <v>100</v>
      </c>
      <c r="G700">
        <v>100</v>
      </c>
      <c r="H700">
        <f t="shared" si="33"/>
        <v>12741835</v>
      </c>
      <c r="I700" s="12">
        <f t="shared" si="31"/>
        <v>0.18742083333333334</v>
      </c>
      <c r="J700" s="12">
        <f t="shared" si="32"/>
        <v>0.21758598019125683</v>
      </c>
    </row>
    <row r="701" spans="1:10" ht="15.75" customHeight="1">
      <c r="A701" s="13">
        <v>43435</v>
      </c>
      <c r="B701" s="11">
        <v>245</v>
      </c>
      <c r="C701">
        <v>47741</v>
      </c>
      <c r="D701" s="5">
        <v>3.9</v>
      </c>
      <c r="F701">
        <v>100</v>
      </c>
      <c r="G701">
        <v>100</v>
      </c>
      <c r="H701">
        <f t="shared" si="33"/>
        <v>12789576</v>
      </c>
      <c r="I701" s="12">
        <f t="shared" si="31"/>
        <v>0.19892083333333332</v>
      </c>
      <c r="J701" s="12">
        <f t="shared" si="32"/>
        <v>0.21750979591836736</v>
      </c>
    </row>
    <row r="702" spans="1:10" ht="15.75" customHeight="1">
      <c r="A702" s="13">
        <v>43436</v>
      </c>
      <c r="B702" s="11">
        <v>246</v>
      </c>
      <c r="C702">
        <v>48837</v>
      </c>
      <c r="D702" s="5">
        <v>3.95</v>
      </c>
      <c r="F702">
        <v>100</v>
      </c>
      <c r="G702">
        <v>100</v>
      </c>
      <c r="H702">
        <f t="shared" si="33"/>
        <v>12838413</v>
      </c>
      <c r="I702" s="12">
        <f t="shared" si="31"/>
        <v>0.20348749999999999</v>
      </c>
      <c r="J702" s="12">
        <f t="shared" si="32"/>
        <v>0.21745279471544715</v>
      </c>
    </row>
    <row r="703" spans="1:10" ht="15.75" customHeight="1">
      <c r="A703" s="13">
        <v>43437</v>
      </c>
      <c r="B703" s="11">
        <v>247</v>
      </c>
      <c r="C703">
        <v>47190</v>
      </c>
      <c r="D703" s="5">
        <v>3.82</v>
      </c>
      <c r="F703">
        <v>100</v>
      </c>
      <c r="G703">
        <v>100</v>
      </c>
      <c r="H703">
        <f t="shared" si="33"/>
        <v>12885603</v>
      </c>
      <c r="I703" s="12">
        <f t="shared" si="31"/>
        <v>0.19662499999999999</v>
      </c>
      <c r="J703" s="12">
        <f t="shared" si="32"/>
        <v>0.21736847165991902</v>
      </c>
    </row>
    <row r="704" spans="1:10" ht="15.75" customHeight="1">
      <c r="A704" s="13">
        <v>43438</v>
      </c>
      <c r="B704" s="11">
        <v>248</v>
      </c>
      <c r="C704">
        <v>46194</v>
      </c>
      <c r="D704" s="5">
        <v>3.73</v>
      </c>
      <c r="F704">
        <v>100</v>
      </c>
      <c r="G704">
        <v>100</v>
      </c>
      <c r="H704">
        <f t="shared" si="33"/>
        <v>12931797</v>
      </c>
      <c r="I704" s="12">
        <f t="shared" si="31"/>
        <v>0.19247500000000001</v>
      </c>
      <c r="J704" s="12">
        <f t="shared" si="32"/>
        <v>0.21726809475806452</v>
      </c>
    </row>
    <row r="705" spans="1:10" ht="15.75" customHeight="1">
      <c r="A705" s="13">
        <v>43439</v>
      </c>
      <c r="B705" s="11">
        <v>249</v>
      </c>
      <c r="C705">
        <v>48205</v>
      </c>
      <c r="D705" s="5">
        <v>3.84</v>
      </c>
      <c r="F705">
        <v>100</v>
      </c>
      <c r="G705">
        <v>100</v>
      </c>
      <c r="H705">
        <f t="shared" si="33"/>
        <v>12980002</v>
      </c>
      <c r="I705" s="12">
        <f t="shared" si="31"/>
        <v>0.20085416666666667</v>
      </c>
      <c r="J705" s="12">
        <f t="shared" si="32"/>
        <v>0.21720217536813921</v>
      </c>
    </row>
    <row r="706" spans="1:10" ht="15.75" customHeight="1">
      <c r="A706" s="13">
        <v>43440</v>
      </c>
      <c r="B706" s="11">
        <v>250</v>
      </c>
      <c r="C706">
        <v>48656</v>
      </c>
      <c r="D706" s="5">
        <v>3.84</v>
      </c>
      <c r="F706">
        <v>100</v>
      </c>
      <c r="G706">
        <v>100</v>
      </c>
      <c r="H706">
        <f t="shared" si="33"/>
        <v>13028658</v>
      </c>
      <c r="I706" s="12">
        <f t="shared" si="31"/>
        <v>0.20273333333333332</v>
      </c>
      <c r="J706" s="12">
        <f t="shared" si="32"/>
        <v>0.21714430000000001</v>
      </c>
    </row>
    <row r="707" spans="1:10" ht="15.75" customHeight="1">
      <c r="A707" s="13">
        <v>43441</v>
      </c>
      <c r="B707" s="11">
        <v>251</v>
      </c>
      <c r="C707">
        <v>48185</v>
      </c>
      <c r="D707" s="5">
        <v>3.78</v>
      </c>
      <c r="F707">
        <v>100</v>
      </c>
      <c r="G707">
        <v>100</v>
      </c>
      <c r="H707">
        <f t="shared" si="33"/>
        <v>13076843</v>
      </c>
      <c r="I707" s="12">
        <f t="shared" ref="I707:I770" si="34">C707/(10*24*1000)</f>
        <v>0.20077083333333334</v>
      </c>
      <c r="J707" s="12">
        <f t="shared" si="32"/>
        <v>0.21707906706507304</v>
      </c>
    </row>
    <row r="708" spans="1:10" ht="15.75" customHeight="1">
      <c r="A708" s="13">
        <v>43442</v>
      </c>
      <c r="B708" s="11">
        <v>252</v>
      </c>
      <c r="C708">
        <v>47321</v>
      </c>
      <c r="D708" s="5">
        <v>3.73</v>
      </c>
      <c r="F708">
        <v>100</v>
      </c>
      <c r="G708">
        <v>100</v>
      </c>
      <c r="H708">
        <f t="shared" si="33"/>
        <v>13124164</v>
      </c>
      <c r="I708" s="12">
        <f t="shared" si="34"/>
        <v>0.19717083333333332</v>
      </c>
      <c r="J708" s="12">
        <f t="shared" ref="J708:J771" si="35">H708/(24*B708*10*1000)</f>
        <v>0.21700006613756614</v>
      </c>
    </row>
    <row r="709" spans="1:10" ht="15.75" customHeight="1">
      <c r="A709" s="13">
        <v>43443</v>
      </c>
      <c r="B709" s="11">
        <v>253</v>
      </c>
      <c r="C709">
        <v>45839</v>
      </c>
      <c r="D709" s="5">
        <v>3.59</v>
      </c>
      <c r="F709">
        <v>100</v>
      </c>
      <c r="G709">
        <v>100</v>
      </c>
      <c r="H709">
        <f t="shared" si="33"/>
        <v>13170003</v>
      </c>
      <c r="I709" s="12">
        <f t="shared" si="34"/>
        <v>0.19099583333333334</v>
      </c>
      <c r="J709" s="12">
        <f t="shared" si="35"/>
        <v>0.21689728260869565</v>
      </c>
    </row>
    <row r="710" spans="1:10" ht="15.75" customHeight="1">
      <c r="A710" s="13">
        <v>43444</v>
      </c>
      <c r="B710" s="11">
        <v>254</v>
      </c>
      <c r="C710">
        <v>20579</v>
      </c>
      <c r="D710" s="5">
        <v>1.92</v>
      </c>
      <c r="F710">
        <v>100</v>
      </c>
      <c r="G710">
        <v>100</v>
      </c>
      <c r="H710">
        <f t="shared" si="33"/>
        <v>13190582</v>
      </c>
      <c r="I710" s="12">
        <f t="shared" si="34"/>
        <v>8.5745833333333327E-2</v>
      </c>
      <c r="J710" s="12">
        <f t="shared" si="35"/>
        <v>0.21638093832020996</v>
      </c>
    </row>
    <row r="711" spans="1:10" ht="15.75" customHeight="1">
      <c r="A711" s="13">
        <v>43445</v>
      </c>
      <c r="B711" s="11">
        <v>255</v>
      </c>
      <c r="C711">
        <v>41962</v>
      </c>
      <c r="D711" s="5">
        <v>3.36</v>
      </c>
      <c r="F711">
        <v>100</v>
      </c>
      <c r="G711">
        <v>100</v>
      </c>
      <c r="H711">
        <f t="shared" si="33"/>
        <v>13232544</v>
      </c>
      <c r="I711" s="12">
        <f t="shared" si="34"/>
        <v>0.17484166666666667</v>
      </c>
      <c r="J711" s="12">
        <f t="shared" si="35"/>
        <v>0.21621803921568628</v>
      </c>
    </row>
    <row r="712" spans="1:10" ht="15.75" customHeight="1">
      <c r="A712" s="13">
        <v>43446</v>
      </c>
      <c r="B712" s="11">
        <v>256</v>
      </c>
      <c r="C712">
        <v>38449</v>
      </c>
      <c r="D712" s="5">
        <v>3.18</v>
      </c>
      <c r="F712">
        <v>100</v>
      </c>
      <c r="G712">
        <v>100</v>
      </c>
      <c r="H712">
        <f t="shared" si="33"/>
        <v>13270993</v>
      </c>
      <c r="I712" s="12">
        <f t="shared" si="34"/>
        <v>0.16020416666666668</v>
      </c>
      <c r="J712" s="12">
        <f t="shared" si="35"/>
        <v>0.21599923502604168</v>
      </c>
    </row>
    <row r="713" spans="1:10" ht="15.75" customHeight="1">
      <c r="A713" s="13">
        <v>43447</v>
      </c>
      <c r="B713" s="11">
        <v>257</v>
      </c>
      <c r="C713">
        <v>50478</v>
      </c>
      <c r="D713" s="5">
        <v>3.9</v>
      </c>
      <c r="F713">
        <v>100</v>
      </c>
      <c r="G713">
        <v>100</v>
      </c>
      <c r="H713">
        <f t="shared" si="33"/>
        <v>13321471</v>
      </c>
      <c r="I713" s="12">
        <f t="shared" si="34"/>
        <v>0.21032500000000001</v>
      </c>
      <c r="J713" s="12">
        <f t="shared" si="35"/>
        <v>0.21597715629053177</v>
      </c>
    </row>
    <row r="714" spans="1:10" ht="15.75" customHeight="1">
      <c r="A714" s="13">
        <v>43448</v>
      </c>
      <c r="B714" s="11">
        <v>258</v>
      </c>
      <c r="C714">
        <v>51250</v>
      </c>
      <c r="D714" s="5">
        <v>3.96</v>
      </c>
      <c r="F714">
        <v>100</v>
      </c>
      <c r="G714">
        <v>100</v>
      </c>
      <c r="H714">
        <f t="shared" si="33"/>
        <v>13372721</v>
      </c>
      <c r="I714" s="12">
        <f t="shared" si="34"/>
        <v>0.21354166666666666</v>
      </c>
      <c r="J714" s="12">
        <f t="shared" si="35"/>
        <v>0.21596771640826873</v>
      </c>
    </row>
    <row r="715" spans="1:10" ht="15.75" customHeight="1">
      <c r="A715" s="13">
        <v>43449</v>
      </c>
      <c r="B715" s="11">
        <v>259</v>
      </c>
      <c r="C715">
        <v>52274</v>
      </c>
      <c r="D715" s="5">
        <v>4</v>
      </c>
      <c r="F715">
        <v>100</v>
      </c>
      <c r="G715">
        <v>100</v>
      </c>
      <c r="H715">
        <f t="shared" si="33"/>
        <v>13424995</v>
      </c>
      <c r="I715" s="12">
        <f t="shared" si="34"/>
        <v>0.21780833333333333</v>
      </c>
      <c r="J715" s="12">
        <f t="shared" si="35"/>
        <v>0.21597482303732304</v>
      </c>
    </row>
    <row r="716" spans="1:10" ht="15.75" customHeight="1">
      <c r="A716" s="13">
        <v>43450</v>
      </c>
      <c r="B716" s="11">
        <v>260</v>
      </c>
      <c r="C716">
        <v>54436</v>
      </c>
      <c r="D716" s="5">
        <v>4.1500000000000004</v>
      </c>
      <c r="F716">
        <v>99.502363772082603</v>
      </c>
      <c r="G716">
        <v>100</v>
      </c>
      <c r="H716">
        <f t="shared" ref="H716:H779" si="36">H715+C716</f>
        <v>13479431</v>
      </c>
      <c r="I716" s="12">
        <f t="shared" si="34"/>
        <v>0.22681666666666667</v>
      </c>
      <c r="J716" s="12">
        <f t="shared" si="35"/>
        <v>0.21601652243589745</v>
      </c>
    </row>
    <row r="717" spans="1:10" ht="15.75" customHeight="1">
      <c r="A717" s="13">
        <v>43451</v>
      </c>
      <c r="B717" s="11">
        <v>261</v>
      </c>
      <c r="C717">
        <v>52628</v>
      </c>
      <c r="D717" s="5">
        <v>4.08</v>
      </c>
      <c r="F717">
        <v>99.503598907917606</v>
      </c>
      <c r="G717">
        <v>100</v>
      </c>
      <c r="H717">
        <f t="shared" si="36"/>
        <v>13532059</v>
      </c>
      <c r="I717" s="12">
        <f t="shared" si="34"/>
        <v>0.21928333333333333</v>
      </c>
      <c r="J717" s="12">
        <f t="shared" si="35"/>
        <v>0.21602903895274586</v>
      </c>
    </row>
    <row r="718" spans="1:10" ht="15.75" customHeight="1">
      <c r="A718" s="13">
        <v>43452</v>
      </c>
      <c r="B718" s="11">
        <v>262</v>
      </c>
      <c r="C718">
        <v>54830</v>
      </c>
      <c r="D718" s="5">
        <v>4.26</v>
      </c>
      <c r="F718">
        <v>100</v>
      </c>
      <c r="G718">
        <v>98.541666666666671</v>
      </c>
      <c r="H718">
        <f t="shared" si="36"/>
        <v>13586889</v>
      </c>
      <c r="I718" s="12">
        <f t="shared" si="34"/>
        <v>0.22845833333333335</v>
      </c>
      <c r="J718" s="12">
        <f t="shared" si="35"/>
        <v>0.21607647900763358</v>
      </c>
    </row>
    <row r="719" spans="1:10" ht="15.75" customHeight="1">
      <c r="A719" s="13">
        <v>43453</v>
      </c>
      <c r="B719" s="11">
        <v>263</v>
      </c>
      <c r="C719">
        <v>55852</v>
      </c>
      <c r="D719" s="5">
        <v>4.34</v>
      </c>
      <c r="F719">
        <v>100</v>
      </c>
      <c r="G719">
        <v>100</v>
      </c>
      <c r="H719">
        <f t="shared" si="36"/>
        <v>13642741</v>
      </c>
      <c r="I719" s="12">
        <f t="shared" si="34"/>
        <v>0.23271666666666666</v>
      </c>
      <c r="J719" s="12">
        <f t="shared" si="35"/>
        <v>0.21613974968314323</v>
      </c>
    </row>
    <row r="720" spans="1:10" ht="15.75" customHeight="1">
      <c r="A720" s="13">
        <v>43454</v>
      </c>
      <c r="B720" s="11">
        <v>264</v>
      </c>
      <c r="C720">
        <v>54347</v>
      </c>
      <c r="D720" s="5">
        <v>4.08</v>
      </c>
      <c r="F720">
        <v>100</v>
      </c>
      <c r="G720">
        <v>100</v>
      </c>
      <c r="H720">
        <f t="shared" si="36"/>
        <v>13697088</v>
      </c>
      <c r="I720" s="12">
        <f t="shared" si="34"/>
        <v>0.22644583333333335</v>
      </c>
      <c r="J720" s="12">
        <f t="shared" si="35"/>
        <v>0.21617878787878789</v>
      </c>
    </row>
    <row r="721" spans="1:10" ht="15.75" customHeight="1">
      <c r="A721" s="13">
        <v>43455</v>
      </c>
      <c r="B721" s="11">
        <v>265</v>
      </c>
      <c r="C721">
        <v>54119</v>
      </c>
      <c r="D721" s="5">
        <v>4.21</v>
      </c>
      <c r="F721">
        <v>100</v>
      </c>
      <c r="G721">
        <v>100</v>
      </c>
      <c r="H721">
        <f t="shared" si="36"/>
        <v>13751207</v>
      </c>
      <c r="I721" s="12">
        <f t="shared" si="34"/>
        <v>0.22549583333333334</v>
      </c>
      <c r="J721" s="12">
        <f t="shared" si="35"/>
        <v>0.2162139465408805</v>
      </c>
    </row>
    <row r="722" spans="1:10" ht="15.75" customHeight="1">
      <c r="A722" s="13">
        <v>43456</v>
      </c>
      <c r="B722" s="11">
        <v>266</v>
      </c>
      <c r="C722">
        <v>54609</v>
      </c>
      <c r="D722" s="5">
        <v>4.24</v>
      </c>
      <c r="F722">
        <v>100</v>
      </c>
      <c r="G722">
        <v>100</v>
      </c>
      <c r="H722">
        <f t="shared" si="36"/>
        <v>13805816</v>
      </c>
      <c r="I722" s="12">
        <f t="shared" si="34"/>
        <v>0.2275375</v>
      </c>
      <c r="J722" s="12">
        <f t="shared" si="35"/>
        <v>0.21625651629072681</v>
      </c>
    </row>
    <row r="723" spans="1:10" ht="15.75" customHeight="1">
      <c r="A723" s="13">
        <v>43457</v>
      </c>
      <c r="B723" s="11">
        <v>267</v>
      </c>
      <c r="C723">
        <v>53701</v>
      </c>
      <c r="D723" s="5">
        <v>4.17</v>
      </c>
      <c r="F723">
        <v>100</v>
      </c>
      <c r="G723">
        <v>100</v>
      </c>
      <c r="H723">
        <f t="shared" si="36"/>
        <v>13859517</v>
      </c>
      <c r="I723" s="12">
        <f t="shared" si="34"/>
        <v>0.22375416666666667</v>
      </c>
      <c r="J723" s="12">
        <f t="shared" si="35"/>
        <v>0.21628459737827715</v>
      </c>
    </row>
    <row r="724" spans="1:10" ht="15.75" customHeight="1">
      <c r="A724" s="13">
        <v>43458</v>
      </c>
      <c r="B724" s="11">
        <v>268</v>
      </c>
      <c r="C724">
        <v>34288</v>
      </c>
      <c r="D724" s="5">
        <v>2.95</v>
      </c>
      <c r="F724">
        <v>100</v>
      </c>
      <c r="G724">
        <v>100</v>
      </c>
      <c r="H724">
        <f t="shared" si="36"/>
        <v>13893805</v>
      </c>
      <c r="I724" s="12">
        <f t="shared" si="34"/>
        <v>0.14286666666666667</v>
      </c>
      <c r="J724" s="12">
        <f t="shared" si="35"/>
        <v>0.21601064987562188</v>
      </c>
    </row>
    <row r="725" spans="1:10" ht="15.75" customHeight="1">
      <c r="A725" s="13">
        <v>43459</v>
      </c>
      <c r="B725" s="11">
        <v>269</v>
      </c>
      <c r="C725">
        <v>50981</v>
      </c>
      <c r="D725" s="5">
        <v>3.97</v>
      </c>
      <c r="F725">
        <v>100</v>
      </c>
      <c r="G725">
        <v>100</v>
      </c>
      <c r="H725">
        <f t="shared" si="36"/>
        <v>13944786</v>
      </c>
      <c r="I725" s="12">
        <f t="shared" si="34"/>
        <v>0.21242083333333334</v>
      </c>
      <c r="J725" s="12">
        <f t="shared" si="35"/>
        <v>0.21599730483271376</v>
      </c>
    </row>
    <row r="726" spans="1:10" ht="15.75" customHeight="1">
      <c r="A726" s="13">
        <v>43460</v>
      </c>
      <c r="B726" s="11">
        <v>270</v>
      </c>
      <c r="C726">
        <v>50358</v>
      </c>
      <c r="D726" s="5">
        <v>3.9</v>
      </c>
      <c r="F726">
        <v>100</v>
      </c>
      <c r="G726">
        <v>100</v>
      </c>
      <c r="H726">
        <f t="shared" si="36"/>
        <v>13995144</v>
      </c>
      <c r="I726" s="12">
        <f t="shared" si="34"/>
        <v>0.20982500000000001</v>
      </c>
      <c r="J726" s="12">
        <f t="shared" si="35"/>
        <v>0.21597444444444444</v>
      </c>
    </row>
    <row r="727" spans="1:10" ht="15.75" customHeight="1">
      <c r="A727" s="13">
        <v>43461</v>
      </c>
      <c r="B727" s="11">
        <v>271</v>
      </c>
      <c r="C727">
        <v>50495</v>
      </c>
      <c r="D727" s="5">
        <v>3.99</v>
      </c>
      <c r="F727">
        <v>100</v>
      </c>
      <c r="G727">
        <v>100</v>
      </c>
      <c r="H727">
        <f t="shared" si="36"/>
        <v>14045639</v>
      </c>
      <c r="I727" s="12">
        <f t="shared" si="34"/>
        <v>0.21039583333333334</v>
      </c>
      <c r="J727" s="12">
        <f t="shared" si="35"/>
        <v>0.21595385916359164</v>
      </c>
    </row>
    <row r="728" spans="1:10" ht="15.75" customHeight="1">
      <c r="A728" s="13">
        <v>43462</v>
      </c>
      <c r="B728" s="11">
        <v>272</v>
      </c>
      <c r="C728">
        <v>53781</v>
      </c>
      <c r="D728" s="5">
        <v>4.21</v>
      </c>
      <c r="F728">
        <v>100</v>
      </c>
      <c r="G728">
        <v>100</v>
      </c>
      <c r="H728">
        <f t="shared" si="36"/>
        <v>14099420</v>
      </c>
      <c r="I728" s="12">
        <f t="shared" si="34"/>
        <v>0.2240875</v>
      </c>
      <c r="J728" s="12">
        <f t="shared" si="35"/>
        <v>0.21598376225490196</v>
      </c>
    </row>
    <row r="729" spans="1:10" ht="15.75" customHeight="1">
      <c r="A729" s="13">
        <v>43463</v>
      </c>
      <c r="B729" s="11">
        <v>273</v>
      </c>
      <c r="C729">
        <v>52859</v>
      </c>
      <c r="D729" s="5">
        <v>4.12</v>
      </c>
      <c r="F729">
        <v>100</v>
      </c>
      <c r="G729">
        <v>100</v>
      </c>
      <c r="H729">
        <f t="shared" si="36"/>
        <v>14152279</v>
      </c>
      <c r="I729" s="12">
        <f t="shared" si="34"/>
        <v>0.22024583333333334</v>
      </c>
      <c r="J729" s="12">
        <f t="shared" si="35"/>
        <v>0.21599937423687424</v>
      </c>
    </row>
    <row r="730" spans="1:10" ht="15.75" customHeight="1">
      <c r="A730" s="13">
        <v>43464</v>
      </c>
      <c r="B730" s="11">
        <v>274</v>
      </c>
      <c r="C730">
        <v>52456</v>
      </c>
      <c r="D730" s="5">
        <v>4.12</v>
      </c>
      <c r="F730">
        <v>100</v>
      </c>
      <c r="G730">
        <v>100</v>
      </c>
      <c r="H730">
        <f t="shared" si="36"/>
        <v>14204735</v>
      </c>
      <c r="I730" s="12">
        <f t="shared" si="34"/>
        <v>0.21856666666666666</v>
      </c>
      <c r="J730" s="12">
        <f t="shared" si="35"/>
        <v>0.21600874391727493</v>
      </c>
    </row>
    <row r="731" spans="1:10" ht="15.75" customHeight="1">
      <c r="A731" s="13">
        <v>43465</v>
      </c>
      <c r="B731" s="11">
        <v>275</v>
      </c>
      <c r="C731">
        <v>0</v>
      </c>
      <c r="F731" t="e">
        <v>#DIV/0!</v>
      </c>
      <c r="G731">
        <v>100</v>
      </c>
      <c r="H731">
        <f t="shared" si="36"/>
        <v>14204735</v>
      </c>
      <c r="I731" s="12">
        <f t="shared" si="34"/>
        <v>0</v>
      </c>
      <c r="J731" s="12">
        <f t="shared" si="35"/>
        <v>0.21522325757575758</v>
      </c>
    </row>
    <row r="732" spans="1:10" ht="15.75" customHeight="1">
      <c r="A732" s="13">
        <v>43466</v>
      </c>
      <c r="B732" s="11">
        <v>276</v>
      </c>
      <c r="C732">
        <v>46756</v>
      </c>
      <c r="D732">
        <v>3.71</v>
      </c>
      <c r="E732"/>
      <c r="F732">
        <v>100</v>
      </c>
      <c r="G732">
        <v>100</v>
      </c>
      <c r="H732">
        <f t="shared" si="36"/>
        <v>14251491</v>
      </c>
      <c r="I732" s="12">
        <f t="shared" si="34"/>
        <v>0.19481666666666667</v>
      </c>
      <c r="J732" s="12">
        <f t="shared" si="35"/>
        <v>0.2151493206521739</v>
      </c>
    </row>
    <row r="733" spans="1:10" ht="15.75" customHeight="1">
      <c r="A733" s="13">
        <v>43467</v>
      </c>
      <c r="B733" s="11">
        <v>277</v>
      </c>
      <c r="C733">
        <v>47056</v>
      </c>
      <c r="D733">
        <v>3.75</v>
      </c>
      <c r="E733"/>
      <c r="F733">
        <v>100</v>
      </c>
      <c r="G733">
        <v>100</v>
      </c>
      <c r="H733">
        <f t="shared" si="36"/>
        <v>14298547</v>
      </c>
      <c r="I733" s="12">
        <f t="shared" si="34"/>
        <v>0.19606666666666667</v>
      </c>
      <c r="J733" s="12">
        <f t="shared" si="35"/>
        <v>0.21508043020457279</v>
      </c>
    </row>
    <row r="734" spans="1:10" ht="15.75" customHeight="1">
      <c r="A734" s="13">
        <v>43468</v>
      </c>
      <c r="B734" s="11">
        <v>278</v>
      </c>
      <c r="C734">
        <v>47133</v>
      </c>
      <c r="D734">
        <v>3.37</v>
      </c>
      <c r="E734"/>
      <c r="F734">
        <v>100</v>
      </c>
      <c r="G734">
        <v>100</v>
      </c>
      <c r="H734">
        <f t="shared" si="36"/>
        <v>14345680</v>
      </c>
      <c r="I734" s="12">
        <f t="shared" si="34"/>
        <v>0.19638749999999999</v>
      </c>
      <c r="J734" s="12">
        <f t="shared" si="35"/>
        <v>0.21501318944844125</v>
      </c>
    </row>
    <row r="735" spans="1:10" ht="15.75" customHeight="1">
      <c r="A735" s="13">
        <v>43469</v>
      </c>
      <c r="B735" s="11">
        <v>279</v>
      </c>
      <c r="C735">
        <v>24449</v>
      </c>
      <c r="D735">
        <v>2.2200000000000002</v>
      </c>
      <c r="E735"/>
      <c r="F735">
        <v>100</v>
      </c>
      <c r="G735">
        <v>100</v>
      </c>
      <c r="H735">
        <f t="shared" si="36"/>
        <v>14370129</v>
      </c>
      <c r="I735" s="12">
        <f t="shared" si="34"/>
        <v>0.10187083333333333</v>
      </c>
      <c r="J735" s="12">
        <f t="shared" si="35"/>
        <v>0.21460766129032258</v>
      </c>
    </row>
    <row r="736" spans="1:10" ht="15.75" customHeight="1">
      <c r="A736" s="13">
        <v>43470</v>
      </c>
      <c r="B736" s="11">
        <v>280</v>
      </c>
      <c r="C736">
        <v>39881</v>
      </c>
      <c r="D736">
        <v>3.32</v>
      </c>
      <c r="E736"/>
      <c r="F736">
        <v>100</v>
      </c>
      <c r="G736">
        <v>100</v>
      </c>
      <c r="H736">
        <f t="shared" si="36"/>
        <v>14410010</v>
      </c>
      <c r="I736" s="12">
        <f t="shared" si="34"/>
        <v>0.16617083333333332</v>
      </c>
      <c r="J736" s="12">
        <f t="shared" si="35"/>
        <v>0.21443467261904761</v>
      </c>
    </row>
    <row r="737" spans="1:10" ht="15.75" customHeight="1">
      <c r="A737" s="13">
        <v>43471</v>
      </c>
      <c r="B737" s="11">
        <v>281</v>
      </c>
      <c r="C737">
        <v>37448</v>
      </c>
      <c r="D737">
        <v>3.07</v>
      </c>
      <c r="E737"/>
      <c r="F737">
        <v>100</v>
      </c>
      <c r="G737">
        <v>100</v>
      </c>
      <c r="H737">
        <f t="shared" si="36"/>
        <v>14447458</v>
      </c>
      <c r="I737" s="12">
        <f t="shared" si="34"/>
        <v>0.15603333333333333</v>
      </c>
      <c r="J737" s="12">
        <f t="shared" si="35"/>
        <v>0.21422683867141162</v>
      </c>
    </row>
    <row r="738" spans="1:10" ht="15.75" customHeight="1">
      <c r="A738" s="13">
        <v>43472</v>
      </c>
      <c r="B738" s="11">
        <v>282</v>
      </c>
      <c r="C738">
        <v>50380</v>
      </c>
      <c r="D738">
        <v>3.95</v>
      </c>
      <c r="E738"/>
      <c r="F738">
        <v>100</v>
      </c>
      <c r="G738">
        <v>100</v>
      </c>
      <c r="H738">
        <f t="shared" si="36"/>
        <v>14497838</v>
      </c>
      <c r="I738" s="12">
        <f t="shared" si="34"/>
        <v>0.20991666666666667</v>
      </c>
      <c r="J738" s="12">
        <f t="shared" si="35"/>
        <v>0.21421155437352246</v>
      </c>
    </row>
    <row r="739" spans="1:10" ht="15.75" customHeight="1">
      <c r="A739" s="13">
        <v>43473</v>
      </c>
      <c r="B739" s="11">
        <v>283</v>
      </c>
      <c r="C739">
        <v>48621</v>
      </c>
      <c r="D739">
        <v>3.84</v>
      </c>
      <c r="E739"/>
      <c r="F739">
        <v>100</v>
      </c>
      <c r="G739">
        <v>100</v>
      </c>
      <c r="H739">
        <f t="shared" si="36"/>
        <v>14546459</v>
      </c>
      <c r="I739" s="12">
        <f t="shared" si="34"/>
        <v>0.2025875</v>
      </c>
      <c r="J739" s="12">
        <f t="shared" si="35"/>
        <v>0.21417047997644287</v>
      </c>
    </row>
    <row r="740" spans="1:10" ht="15.75" customHeight="1">
      <c r="A740" s="13">
        <v>43474</v>
      </c>
      <c r="B740" s="11">
        <v>284</v>
      </c>
      <c r="C740">
        <v>46923</v>
      </c>
      <c r="D740">
        <v>3.74</v>
      </c>
      <c r="E740"/>
      <c r="F740">
        <v>100</v>
      </c>
      <c r="G740">
        <v>100</v>
      </c>
      <c r="H740">
        <f t="shared" si="36"/>
        <v>14593382</v>
      </c>
      <c r="I740" s="12">
        <f t="shared" si="34"/>
        <v>0.19551250000000001</v>
      </c>
      <c r="J740" s="12">
        <f t="shared" si="35"/>
        <v>0.21410478286384976</v>
      </c>
    </row>
    <row r="741" spans="1:10" ht="15.75" customHeight="1">
      <c r="A741" s="13">
        <v>43475</v>
      </c>
      <c r="B741" s="11">
        <v>285</v>
      </c>
      <c r="C741">
        <v>48455</v>
      </c>
      <c r="D741">
        <v>3.89</v>
      </c>
      <c r="E741"/>
      <c r="F741">
        <v>100</v>
      </c>
      <c r="G741">
        <v>100</v>
      </c>
      <c r="H741">
        <f t="shared" si="36"/>
        <v>14641837</v>
      </c>
      <c r="I741" s="12">
        <f t="shared" si="34"/>
        <v>0.20189583333333333</v>
      </c>
      <c r="J741" s="12">
        <f t="shared" si="35"/>
        <v>0.21406194444444446</v>
      </c>
    </row>
    <row r="742" spans="1:10" ht="15.75" customHeight="1">
      <c r="A742" s="13">
        <v>43476</v>
      </c>
      <c r="B742" s="11">
        <v>286</v>
      </c>
      <c r="C742">
        <v>29437</v>
      </c>
      <c r="D742">
        <v>2.67</v>
      </c>
      <c r="E742"/>
      <c r="F742">
        <v>100</v>
      </c>
      <c r="G742">
        <v>100</v>
      </c>
      <c r="H742">
        <f t="shared" si="36"/>
        <v>14671274</v>
      </c>
      <c r="I742" s="12">
        <f t="shared" si="34"/>
        <v>0.12265416666666666</v>
      </c>
      <c r="J742" s="12">
        <f t="shared" si="35"/>
        <v>0.21374233682983684</v>
      </c>
    </row>
    <row r="743" spans="1:10" ht="15.75" customHeight="1">
      <c r="A743" s="13">
        <v>43477</v>
      </c>
      <c r="B743" s="11">
        <v>287</v>
      </c>
      <c r="C743">
        <v>19700</v>
      </c>
      <c r="D743">
        <v>1.93</v>
      </c>
      <c r="E743"/>
      <c r="F743">
        <v>100</v>
      </c>
      <c r="G743">
        <v>100</v>
      </c>
      <c r="H743">
        <f t="shared" si="36"/>
        <v>14690974</v>
      </c>
      <c r="I743" s="12">
        <f t="shared" si="34"/>
        <v>8.2083333333333328E-2</v>
      </c>
      <c r="J743" s="12">
        <f t="shared" si="35"/>
        <v>0.21328359465737515</v>
      </c>
    </row>
    <row r="744" spans="1:10" ht="15.75" customHeight="1">
      <c r="A744" s="13">
        <v>43478</v>
      </c>
      <c r="B744" s="11">
        <v>288</v>
      </c>
      <c r="C744">
        <v>41383</v>
      </c>
      <c r="D744">
        <v>3.48</v>
      </c>
      <c r="E744"/>
      <c r="F744">
        <v>100</v>
      </c>
      <c r="G744">
        <v>100</v>
      </c>
      <c r="H744">
        <f t="shared" si="36"/>
        <v>14732357</v>
      </c>
      <c r="I744" s="12">
        <f t="shared" si="34"/>
        <v>0.17242916666666666</v>
      </c>
      <c r="J744" s="12">
        <f t="shared" si="35"/>
        <v>0.21314173900462963</v>
      </c>
    </row>
    <row r="745" spans="1:10" ht="15.75" customHeight="1">
      <c r="A745" s="13">
        <v>43479</v>
      </c>
      <c r="B745" s="11">
        <v>289</v>
      </c>
      <c r="C745">
        <v>57677</v>
      </c>
      <c r="D745">
        <v>4.4400000000000004</v>
      </c>
      <c r="E745"/>
      <c r="F745">
        <v>100</v>
      </c>
      <c r="G745">
        <v>100</v>
      </c>
      <c r="H745">
        <f t="shared" si="36"/>
        <v>14790034</v>
      </c>
      <c r="I745" s="12">
        <f t="shared" si="34"/>
        <v>0.24032083333333334</v>
      </c>
      <c r="J745" s="12">
        <f t="shared" si="35"/>
        <v>0.2132357843137255</v>
      </c>
    </row>
    <row r="746" spans="1:10" ht="15.75" customHeight="1">
      <c r="A746" s="13">
        <v>43480</v>
      </c>
      <c r="B746" s="11">
        <v>290</v>
      </c>
      <c r="C746">
        <v>55157</v>
      </c>
      <c r="D746">
        <v>4.4000000000000004</v>
      </c>
      <c r="E746"/>
      <c r="F746">
        <v>100</v>
      </c>
      <c r="G746">
        <v>100</v>
      </c>
      <c r="H746">
        <f t="shared" si="36"/>
        <v>14845191</v>
      </c>
      <c r="I746" s="12">
        <f t="shared" si="34"/>
        <v>0.22982083333333334</v>
      </c>
      <c r="J746" s="12">
        <f t="shared" si="35"/>
        <v>0.21329297413793102</v>
      </c>
    </row>
    <row r="747" spans="1:10" ht="15.75" customHeight="1">
      <c r="A747" s="13">
        <v>43481</v>
      </c>
      <c r="B747" s="11">
        <v>291</v>
      </c>
      <c r="C747">
        <v>48995</v>
      </c>
      <c r="D747">
        <v>4.0599999999999996</v>
      </c>
      <c r="E747"/>
      <c r="F747">
        <v>100</v>
      </c>
      <c r="G747">
        <v>100</v>
      </c>
      <c r="H747">
        <f t="shared" si="36"/>
        <v>14894186</v>
      </c>
      <c r="I747" s="12">
        <f t="shared" si="34"/>
        <v>0.20414583333333333</v>
      </c>
      <c r="J747" s="12">
        <f t="shared" si="35"/>
        <v>0.21326154066437572</v>
      </c>
    </row>
    <row r="748" spans="1:10" ht="15.75" customHeight="1">
      <c r="A748" s="13">
        <v>43482</v>
      </c>
      <c r="B748" s="11">
        <v>292</v>
      </c>
      <c r="C748">
        <v>49907</v>
      </c>
      <c r="D748">
        <v>4.0599999999999996</v>
      </c>
      <c r="E748"/>
      <c r="F748">
        <v>100</v>
      </c>
      <c r="G748">
        <v>100</v>
      </c>
      <c r="H748">
        <f t="shared" si="36"/>
        <v>14944093</v>
      </c>
      <c r="I748" s="12">
        <f t="shared" si="34"/>
        <v>0.20794583333333333</v>
      </c>
      <c r="J748" s="12">
        <f t="shared" si="35"/>
        <v>0.21324333618721461</v>
      </c>
    </row>
    <row r="749" spans="1:10" ht="15.75" customHeight="1">
      <c r="A749" s="13">
        <v>43483</v>
      </c>
      <c r="B749" s="11">
        <v>293</v>
      </c>
      <c r="C749">
        <v>49931</v>
      </c>
      <c r="D749">
        <v>4.05</v>
      </c>
      <c r="E749"/>
      <c r="F749">
        <v>100</v>
      </c>
      <c r="G749">
        <v>100</v>
      </c>
      <c r="H749">
        <f t="shared" si="36"/>
        <v>14994024</v>
      </c>
      <c r="I749" s="12">
        <f t="shared" si="34"/>
        <v>0.20804583333333335</v>
      </c>
      <c r="J749" s="12">
        <f t="shared" si="35"/>
        <v>0.21322559726962456</v>
      </c>
    </row>
    <row r="750" spans="1:10" ht="15.75" customHeight="1">
      <c r="A750" s="13">
        <v>43484</v>
      </c>
      <c r="B750" s="11">
        <v>294</v>
      </c>
      <c r="C750">
        <v>42524</v>
      </c>
      <c r="D750">
        <v>3.66</v>
      </c>
      <c r="E750"/>
      <c r="F750">
        <v>100</v>
      </c>
      <c r="G750">
        <v>100</v>
      </c>
      <c r="H750">
        <f t="shared" si="36"/>
        <v>15036548</v>
      </c>
      <c r="I750" s="12">
        <f t="shared" si="34"/>
        <v>0.17718333333333333</v>
      </c>
      <c r="J750" s="12">
        <f t="shared" si="35"/>
        <v>0.21310300453514738</v>
      </c>
    </row>
    <row r="751" spans="1:10" ht="15.75" customHeight="1">
      <c r="A751" s="13">
        <v>43485</v>
      </c>
      <c r="B751" s="11">
        <v>295</v>
      </c>
      <c r="C751">
        <v>44997</v>
      </c>
      <c r="D751">
        <v>3.89</v>
      </c>
      <c r="E751"/>
      <c r="F751">
        <v>100</v>
      </c>
      <c r="G751">
        <v>100</v>
      </c>
      <c r="H751">
        <f t="shared" si="36"/>
        <v>15081545</v>
      </c>
      <c r="I751" s="12">
        <f t="shared" si="34"/>
        <v>0.1874875</v>
      </c>
      <c r="J751" s="12">
        <f t="shared" si="35"/>
        <v>0.21301617231638417</v>
      </c>
    </row>
    <row r="752" spans="1:10" ht="15.75" customHeight="1">
      <c r="A752" s="13">
        <v>43486</v>
      </c>
      <c r="B752" s="11">
        <v>296</v>
      </c>
      <c r="C752">
        <v>18391</v>
      </c>
      <c r="D752">
        <v>1.81</v>
      </c>
      <c r="E752"/>
      <c r="F752">
        <v>100</v>
      </c>
      <c r="G752">
        <v>100</v>
      </c>
      <c r="H752">
        <f t="shared" si="36"/>
        <v>15099936</v>
      </c>
      <c r="I752" s="12">
        <f t="shared" si="34"/>
        <v>7.6629166666666665E-2</v>
      </c>
      <c r="J752" s="12">
        <f t="shared" si="35"/>
        <v>0.21255540540540541</v>
      </c>
    </row>
    <row r="753" spans="1:10" ht="15.75" customHeight="1">
      <c r="A753" s="13">
        <v>43487</v>
      </c>
      <c r="B753" s="11">
        <v>297</v>
      </c>
      <c r="C753">
        <v>35778</v>
      </c>
      <c r="D753">
        <v>3.14</v>
      </c>
      <c r="E753"/>
      <c r="F753">
        <v>100</v>
      </c>
      <c r="G753">
        <v>100</v>
      </c>
      <c r="H753">
        <f t="shared" si="36"/>
        <v>15135714</v>
      </c>
      <c r="I753" s="12">
        <f t="shared" si="34"/>
        <v>0.14907500000000001</v>
      </c>
      <c r="J753" s="12">
        <f t="shared" si="35"/>
        <v>0.21234166666666668</v>
      </c>
    </row>
    <row r="754" spans="1:10" ht="15.75" customHeight="1">
      <c r="A754" s="13">
        <v>43488</v>
      </c>
      <c r="B754" s="11">
        <v>298</v>
      </c>
      <c r="C754">
        <v>47150</v>
      </c>
      <c r="D754">
        <v>4</v>
      </c>
      <c r="E754"/>
      <c r="F754">
        <v>98.064516129032256</v>
      </c>
      <c r="G754">
        <v>99.166666666666671</v>
      </c>
      <c r="H754">
        <f t="shared" si="36"/>
        <v>15182864</v>
      </c>
      <c r="I754" s="12">
        <f t="shared" si="34"/>
        <v>0.19645833333333335</v>
      </c>
      <c r="J754" s="12">
        <f t="shared" si="35"/>
        <v>0.2122883668903803</v>
      </c>
    </row>
    <row r="755" spans="1:10" ht="15.75" customHeight="1">
      <c r="A755" s="13">
        <v>43489</v>
      </c>
      <c r="B755" s="11">
        <v>299</v>
      </c>
      <c r="C755">
        <v>50840</v>
      </c>
      <c r="D755">
        <v>4.09</v>
      </c>
      <c r="E755"/>
      <c r="F755">
        <v>100</v>
      </c>
      <c r="G755">
        <v>100</v>
      </c>
      <c r="H755">
        <f t="shared" si="36"/>
        <v>15233704</v>
      </c>
      <c r="I755" s="12">
        <f t="shared" si="34"/>
        <v>0.21183333333333335</v>
      </c>
      <c r="J755" s="12">
        <f t="shared" si="35"/>
        <v>0.21228684503901896</v>
      </c>
    </row>
    <row r="756" spans="1:10" ht="15.75" customHeight="1">
      <c r="A756" s="13">
        <v>43490</v>
      </c>
      <c r="B756" s="11">
        <v>300</v>
      </c>
      <c r="C756">
        <v>39692</v>
      </c>
      <c r="D756">
        <v>3.28</v>
      </c>
      <c r="E756"/>
      <c r="F756">
        <v>100</v>
      </c>
      <c r="G756">
        <v>100</v>
      </c>
      <c r="H756">
        <f t="shared" si="36"/>
        <v>15273396</v>
      </c>
      <c r="I756" s="12">
        <f t="shared" si="34"/>
        <v>0.16538333333333333</v>
      </c>
      <c r="J756" s="12">
        <f t="shared" si="35"/>
        <v>0.2121305</v>
      </c>
    </row>
    <row r="757" spans="1:10" ht="15.75" customHeight="1">
      <c r="A757" s="13">
        <v>43491</v>
      </c>
      <c r="B757" s="11">
        <v>301</v>
      </c>
      <c r="C757">
        <v>59424</v>
      </c>
      <c r="D757">
        <v>4.72</v>
      </c>
      <c r="E757"/>
      <c r="F757">
        <v>100</v>
      </c>
      <c r="G757">
        <v>100</v>
      </c>
      <c r="H757">
        <f t="shared" si="36"/>
        <v>15332820</v>
      </c>
      <c r="I757" s="12">
        <f t="shared" si="34"/>
        <v>0.24759999999999999</v>
      </c>
      <c r="J757" s="12">
        <f t="shared" si="35"/>
        <v>0.2122483388704319</v>
      </c>
    </row>
    <row r="758" spans="1:10" ht="15.75" customHeight="1">
      <c r="A758" s="13">
        <v>43492</v>
      </c>
      <c r="B758" s="11">
        <v>302</v>
      </c>
      <c r="C758">
        <v>55757</v>
      </c>
      <c r="D758">
        <v>4.49</v>
      </c>
      <c r="E758"/>
      <c r="F758">
        <v>100</v>
      </c>
      <c r="G758">
        <v>100</v>
      </c>
      <c r="H758">
        <f t="shared" si="36"/>
        <v>15388577</v>
      </c>
      <c r="I758" s="12">
        <f t="shared" si="34"/>
        <v>0.23232083333333334</v>
      </c>
      <c r="J758" s="12">
        <f t="shared" si="35"/>
        <v>0.2123148040838852</v>
      </c>
    </row>
    <row r="759" spans="1:10" ht="15.75" customHeight="1">
      <c r="A759" s="13">
        <v>43493</v>
      </c>
      <c r="B759" s="11">
        <v>303</v>
      </c>
      <c r="C759">
        <v>55738</v>
      </c>
      <c r="D759">
        <v>4.5599999999999996</v>
      </c>
      <c r="E759"/>
      <c r="F759">
        <v>100</v>
      </c>
      <c r="G759">
        <v>100</v>
      </c>
      <c r="H759">
        <f t="shared" si="36"/>
        <v>15444315</v>
      </c>
      <c r="I759" s="12">
        <f t="shared" si="34"/>
        <v>0.23224166666666668</v>
      </c>
      <c r="J759" s="12">
        <f t="shared" si="35"/>
        <v>0.21238056930693069</v>
      </c>
    </row>
    <row r="760" spans="1:10" ht="15.75" customHeight="1">
      <c r="A760" s="13">
        <v>43494</v>
      </c>
      <c r="B760" s="11">
        <v>304</v>
      </c>
      <c r="C760">
        <v>57279</v>
      </c>
      <c r="D760">
        <v>4.67</v>
      </c>
      <c r="E760"/>
      <c r="F760">
        <v>100</v>
      </c>
      <c r="G760">
        <v>100</v>
      </c>
      <c r="H760">
        <f t="shared" si="36"/>
        <v>15501594</v>
      </c>
      <c r="I760" s="12">
        <f t="shared" si="34"/>
        <v>0.2386625</v>
      </c>
      <c r="J760" s="12">
        <f t="shared" si="35"/>
        <v>0.21246702302631579</v>
      </c>
    </row>
    <row r="761" spans="1:10" ht="15.75" customHeight="1">
      <c r="A761" s="13">
        <v>43495</v>
      </c>
      <c r="B761" s="11">
        <v>305</v>
      </c>
      <c r="C761">
        <v>41426</v>
      </c>
      <c r="D761">
        <v>3.71</v>
      </c>
      <c r="E761"/>
      <c r="F761">
        <v>100</v>
      </c>
      <c r="G761">
        <v>100</v>
      </c>
      <c r="H761">
        <f t="shared" si="36"/>
        <v>15543020</v>
      </c>
      <c r="I761" s="12">
        <f t="shared" si="34"/>
        <v>0.17260833333333334</v>
      </c>
      <c r="J761" s="12">
        <f t="shared" si="35"/>
        <v>0.21233633879781422</v>
      </c>
    </row>
    <row r="762" spans="1:10" ht="15.75" customHeight="1">
      <c r="A762" s="13">
        <v>43496</v>
      </c>
      <c r="B762" s="11">
        <v>306</v>
      </c>
      <c r="C762">
        <v>32231</v>
      </c>
      <c r="D762">
        <v>2.73</v>
      </c>
      <c r="E762"/>
      <c r="F762">
        <v>100</v>
      </c>
      <c r="G762">
        <v>100</v>
      </c>
      <c r="H762">
        <f t="shared" si="36"/>
        <v>15575251</v>
      </c>
      <c r="I762" s="12">
        <f t="shared" si="34"/>
        <v>0.13429583333333334</v>
      </c>
      <c r="J762" s="12">
        <f t="shared" si="35"/>
        <v>0.21208130446623094</v>
      </c>
    </row>
    <row r="763" spans="1:10" ht="15.75" customHeight="1">
      <c r="A763" s="13">
        <v>43497</v>
      </c>
      <c r="B763" s="11">
        <v>307</v>
      </c>
      <c r="C763">
        <v>51194</v>
      </c>
      <c r="D763">
        <v>4.21</v>
      </c>
      <c r="E763"/>
      <c r="F763">
        <v>100</v>
      </c>
      <c r="G763">
        <v>100</v>
      </c>
      <c r="H763">
        <f t="shared" si="36"/>
        <v>15626445</v>
      </c>
      <c r="I763" s="12">
        <f t="shared" si="34"/>
        <v>0.21330833333333332</v>
      </c>
      <c r="J763" s="12">
        <f t="shared" si="35"/>
        <v>0.2120853013029316</v>
      </c>
    </row>
    <row r="764" spans="1:10" ht="15.75" customHeight="1">
      <c r="A764" s="13">
        <v>43498</v>
      </c>
      <c r="B764" s="11">
        <v>308</v>
      </c>
      <c r="C764">
        <v>59098</v>
      </c>
      <c r="D764">
        <v>4.82</v>
      </c>
      <c r="E764"/>
      <c r="F764">
        <v>100</v>
      </c>
      <c r="G764">
        <v>100</v>
      </c>
      <c r="H764">
        <f t="shared" si="36"/>
        <v>15685543</v>
      </c>
      <c r="I764" s="12">
        <f t="shared" si="34"/>
        <v>0.24624166666666666</v>
      </c>
      <c r="J764" s="12">
        <f t="shared" si="35"/>
        <v>0.21219619859307359</v>
      </c>
    </row>
    <row r="765" spans="1:10" ht="15.75" customHeight="1">
      <c r="A765" s="13">
        <v>43499</v>
      </c>
      <c r="B765" s="11">
        <v>309</v>
      </c>
      <c r="C765">
        <v>57699</v>
      </c>
      <c r="D765">
        <v>4.74</v>
      </c>
      <c r="E765"/>
      <c r="F765">
        <v>100</v>
      </c>
      <c r="G765">
        <v>100</v>
      </c>
      <c r="H765">
        <f t="shared" si="36"/>
        <v>15743242</v>
      </c>
      <c r="I765" s="12">
        <f t="shared" si="34"/>
        <v>0.2404125</v>
      </c>
      <c r="J765" s="12">
        <f t="shared" si="35"/>
        <v>0.21228751348435815</v>
      </c>
    </row>
    <row r="766" spans="1:10" ht="15.75" customHeight="1">
      <c r="A766" s="13">
        <v>43500</v>
      </c>
      <c r="B766" s="11">
        <v>310</v>
      </c>
      <c r="C766">
        <v>56181</v>
      </c>
      <c r="D766">
        <v>4.7300000000000004</v>
      </c>
      <c r="E766"/>
      <c r="F766">
        <v>100</v>
      </c>
      <c r="G766">
        <v>100</v>
      </c>
      <c r="H766">
        <f t="shared" si="36"/>
        <v>15799423</v>
      </c>
      <c r="I766" s="12">
        <f t="shared" si="34"/>
        <v>0.2340875</v>
      </c>
      <c r="J766" s="12">
        <f t="shared" si="35"/>
        <v>0.21235783602150538</v>
      </c>
    </row>
    <row r="767" spans="1:10" ht="15.75" customHeight="1">
      <c r="A767" s="13">
        <v>43501</v>
      </c>
      <c r="B767" s="11">
        <v>311</v>
      </c>
      <c r="C767">
        <v>54086</v>
      </c>
      <c r="D767">
        <v>4.58</v>
      </c>
      <c r="E767"/>
      <c r="F767">
        <v>100</v>
      </c>
      <c r="G767">
        <v>100</v>
      </c>
      <c r="H767">
        <f t="shared" si="36"/>
        <v>15853509</v>
      </c>
      <c r="I767" s="12">
        <f t="shared" si="34"/>
        <v>0.22535833333333333</v>
      </c>
      <c r="J767" s="12">
        <f t="shared" si="35"/>
        <v>0.21239963826366559</v>
      </c>
    </row>
    <row r="768" spans="1:10" ht="15.75" customHeight="1">
      <c r="A768" s="13">
        <v>43502</v>
      </c>
      <c r="B768" s="11">
        <v>312</v>
      </c>
      <c r="C768">
        <v>50526</v>
      </c>
      <c r="D768">
        <v>4.3899999999999997</v>
      </c>
      <c r="E768"/>
      <c r="F768">
        <v>100</v>
      </c>
      <c r="G768">
        <v>100</v>
      </c>
      <c r="H768">
        <f t="shared" si="36"/>
        <v>15904035</v>
      </c>
      <c r="I768" s="12">
        <f t="shared" si="34"/>
        <v>0.21052499999999999</v>
      </c>
      <c r="J768" s="12">
        <f t="shared" si="35"/>
        <v>0.2123936298076923</v>
      </c>
    </row>
    <row r="769" spans="1:10" ht="15.75" customHeight="1">
      <c r="A769" s="13">
        <v>43503</v>
      </c>
      <c r="B769" s="11">
        <v>313</v>
      </c>
      <c r="C769">
        <v>43979</v>
      </c>
      <c r="D769">
        <v>3.87</v>
      </c>
      <c r="E769"/>
      <c r="F769">
        <v>100</v>
      </c>
      <c r="G769">
        <v>100</v>
      </c>
      <c r="H769">
        <f t="shared" si="36"/>
        <v>15948014</v>
      </c>
      <c r="I769" s="12">
        <f t="shared" si="34"/>
        <v>0.18324583333333333</v>
      </c>
      <c r="J769" s="12">
        <f t="shared" si="35"/>
        <v>0.21230050585729499</v>
      </c>
    </row>
    <row r="770" spans="1:10" ht="15.75" customHeight="1">
      <c r="A770" s="13">
        <v>43504</v>
      </c>
      <c r="B770" s="11">
        <v>314</v>
      </c>
      <c r="C770">
        <v>57555</v>
      </c>
      <c r="D770">
        <v>4.9800000000000004</v>
      </c>
      <c r="E770"/>
      <c r="F770">
        <v>100</v>
      </c>
      <c r="G770">
        <v>100</v>
      </c>
      <c r="H770">
        <f t="shared" si="36"/>
        <v>16005569</v>
      </c>
      <c r="I770" s="12">
        <f t="shared" si="34"/>
        <v>0.23981250000000001</v>
      </c>
      <c r="J770" s="12">
        <f t="shared" si="35"/>
        <v>0.21238812367303608</v>
      </c>
    </row>
    <row r="771" spans="1:10" ht="15.75" customHeight="1">
      <c r="A771" s="13">
        <v>43505</v>
      </c>
      <c r="B771" s="11">
        <v>315</v>
      </c>
      <c r="C771">
        <v>61942</v>
      </c>
      <c r="D771">
        <v>5.21</v>
      </c>
      <c r="E771"/>
      <c r="F771">
        <v>100</v>
      </c>
      <c r="G771">
        <v>100</v>
      </c>
      <c r="H771">
        <f t="shared" si="36"/>
        <v>16067511</v>
      </c>
      <c r="I771" s="12">
        <f t="shared" ref="I771:I834" si="37">C771/(10*24*1000)</f>
        <v>0.25809166666666666</v>
      </c>
      <c r="J771" s="12">
        <f t="shared" si="35"/>
        <v>0.21253321428571428</v>
      </c>
    </row>
    <row r="772" spans="1:10" ht="15.75" customHeight="1">
      <c r="A772" s="13">
        <v>43506</v>
      </c>
      <c r="B772" s="11">
        <v>316</v>
      </c>
      <c r="C772">
        <v>48028</v>
      </c>
      <c r="D772">
        <v>4.4800000000000004</v>
      </c>
      <c r="E772"/>
      <c r="F772">
        <v>100</v>
      </c>
      <c r="G772">
        <v>100</v>
      </c>
      <c r="H772">
        <f t="shared" si="36"/>
        <v>16115539</v>
      </c>
      <c r="I772" s="12">
        <f t="shared" si="37"/>
        <v>0.20011666666666666</v>
      </c>
      <c r="J772" s="12">
        <f t="shared" ref="J772:J835" si="38">H772/(24*B772*10*1000)</f>
        <v>0.2124939214135021</v>
      </c>
    </row>
    <row r="773" spans="1:10" ht="15.75" customHeight="1">
      <c r="A773" s="13">
        <v>43507</v>
      </c>
      <c r="B773" s="11">
        <v>317</v>
      </c>
      <c r="C773">
        <v>41838</v>
      </c>
      <c r="D773">
        <v>3.95</v>
      </c>
      <c r="E773"/>
      <c r="F773">
        <v>98.667850799289525</v>
      </c>
      <c r="G773">
        <v>100</v>
      </c>
      <c r="H773">
        <f t="shared" si="36"/>
        <v>16157377</v>
      </c>
      <c r="I773" s="12">
        <f t="shared" si="37"/>
        <v>0.17432500000000001</v>
      </c>
      <c r="J773" s="12">
        <f t="shared" si="38"/>
        <v>0.21237351472134594</v>
      </c>
    </row>
    <row r="774" spans="1:10" ht="15.75" customHeight="1">
      <c r="A774" s="13">
        <v>43508</v>
      </c>
      <c r="B774" s="11">
        <v>318</v>
      </c>
      <c r="C774">
        <v>56015</v>
      </c>
      <c r="D774">
        <v>4.88</v>
      </c>
      <c r="E774"/>
      <c r="F774">
        <v>100</v>
      </c>
      <c r="G774">
        <v>100</v>
      </c>
      <c r="H774">
        <f t="shared" si="36"/>
        <v>16213392</v>
      </c>
      <c r="I774" s="12">
        <f t="shared" si="37"/>
        <v>0.23339583333333333</v>
      </c>
      <c r="J774" s="12">
        <f t="shared" si="38"/>
        <v>0.21243962264150942</v>
      </c>
    </row>
    <row r="775" spans="1:10" ht="15.75" customHeight="1">
      <c r="A775" s="13">
        <v>43509</v>
      </c>
      <c r="B775" s="11">
        <v>319</v>
      </c>
      <c r="C775">
        <v>44311</v>
      </c>
      <c r="D775">
        <v>4.0999999999999996</v>
      </c>
      <c r="E775"/>
      <c r="F775">
        <v>100</v>
      </c>
      <c r="G775">
        <v>100</v>
      </c>
      <c r="H775">
        <f t="shared" si="36"/>
        <v>16257703</v>
      </c>
      <c r="I775" s="12">
        <f t="shared" si="37"/>
        <v>0.18462916666666668</v>
      </c>
      <c r="J775" s="12">
        <f t="shared" si="38"/>
        <v>0.21235244252873564</v>
      </c>
    </row>
    <row r="776" spans="1:10" ht="15.75" customHeight="1">
      <c r="A776" s="13">
        <v>43510</v>
      </c>
      <c r="B776" s="11">
        <v>320</v>
      </c>
      <c r="C776">
        <v>48909</v>
      </c>
      <c r="D776">
        <v>4.3600000000000003</v>
      </c>
      <c r="E776"/>
      <c r="F776">
        <v>100</v>
      </c>
      <c r="G776">
        <v>100</v>
      </c>
      <c r="H776">
        <f t="shared" si="36"/>
        <v>16306612</v>
      </c>
      <c r="I776" s="12">
        <f t="shared" si="37"/>
        <v>0.20378750000000001</v>
      </c>
      <c r="J776" s="12">
        <f t="shared" si="38"/>
        <v>0.21232567708333333</v>
      </c>
    </row>
    <row r="777" spans="1:10" ht="15.75" customHeight="1">
      <c r="A777" s="13">
        <v>43511</v>
      </c>
      <c r="B777" s="11">
        <v>321</v>
      </c>
      <c r="C777">
        <v>60466</v>
      </c>
      <c r="D777">
        <v>5.21</v>
      </c>
      <c r="E777"/>
      <c r="F777">
        <v>100</v>
      </c>
      <c r="G777">
        <v>100</v>
      </c>
      <c r="H777">
        <f t="shared" si="36"/>
        <v>16367078</v>
      </c>
      <c r="I777" s="12">
        <f t="shared" si="37"/>
        <v>0.25194166666666667</v>
      </c>
      <c r="J777" s="12">
        <f t="shared" si="38"/>
        <v>0.21244909138110071</v>
      </c>
    </row>
    <row r="778" spans="1:10" ht="15.75" customHeight="1">
      <c r="A778" s="13">
        <v>43512</v>
      </c>
      <c r="B778" s="11">
        <v>322</v>
      </c>
      <c r="C778">
        <v>60250</v>
      </c>
      <c r="D778">
        <v>5.29</v>
      </c>
      <c r="E778"/>
      <c r="F778">
        <v>100</v>
      </c>
      <c r="G778">
        <v>100</v>
      </c>
      <c r="H778">
        <f t="shared" si="36"/>
        <v>16427328</v>
      </c>
      <c r="I778" s="12">
        <f t="shared" si="37"/>
        <v>0.25104166666666666</v>
      </c>
      <c r="J778" s="12">
        <f t="shared" si="38"/>
        <v>0.21256894409937888</v>
      </c>
    </row>
    <row r="779" spans="1:10" ht="15.75" customHeight="1">
      <c r="A779" s="13">
        <v>43513</v>
      </c>
      <c r="B779" s="11">
        <v>323</v>
      </c>
      <c r="C779">
        <v>42858</v>
      </c>
      <c r="D779">
        <v>4.0999999999999996</v>
      </c>
      <c r="E779"/>
      <c r="F779">
        <v>100</v>
      </c>
      <c r="G779">
        <v>100</v>
      </c>
      <c r="H779">
        <f t="shared" si="36"/>
        <v>16470186</v>
      </c>
      <c r="I779" s="12">
        <f t="shared" si="37"/>
        <v>0.17857500000000001</v>
      </c>
      <c r="J779" s="12">
        <f t="shared" si="38"/>
        <v>0.21246369969040246</v>
      </c>
    </row>
    <row r="780" spans="1:10" ht="15.75" customHeight="1">
      <c r="A780" s="13">
        <v>43514</v>
      </c>
      <c r="B780" s="11">
        <v>324</v>
      </c>
      <c r="C780">
        <v>44922</v>
      </c>
      <c r="D780">
        <v>4.16</v>
      </c>
      <c r="E780"/>
      <c r="F780">
        <v>100</v>
      </c>
      <c r="G780">
        <v>100</v>
      </c>
      <c r="H780">
        <f t="shared" ref="H780:H821" si="39">H779+C780</f>
        <v>16515108</v>
      </c>
      <c r="I780" s="12">
        <f t="shared" si="37"/>
        <v>0.18717500000000001</v>
      </c>
      <c r="J780" s="12">
        <f t="shared" si="38"/>
        <v>0.21238564814814814</v>
      </c>
    </row>
    <row r="781" spans="1:10" ht="15.75" customHeight="1">
      <c r="A781" s="13">
        <v>43515</v>
      </c>
      <c r="B781" s="11">
        <v>325</v>
      </c>
      <c r="C781">
        <v>48526</v>
      </c>
      <c r="D781">
        <v>4.55</v>
      </c>
      <c r="E781"/>
      <c r="F781">
        <v>100</v>
      </c>
      <c r="G781">
        <v>100</v>
      </c>
      <c r="H781">
        <f t="shared" si="39"/>
        <v>16563634</v>
      </c>
      <c r="I781" s="12">
        <f t="shared" si="37"/>
        <v>0.20219166666666666</v>
      </c>
      <c r="J781" s="12">
        <f t="shared" si="38"/>
        <v>0.21235428205128204</v>
      </c>
    </row>
    <row r="782" spans="1:10" ht="15.75" customHeight="1">
      <c r="A782" s="13">
        <v>43516</v>
      </c>
      <c r="B782" s="11">
        <v>326</v>
      </c>
      <c r="C782">
        <v>29290</v>
      </c>
      <c r="D782">
        <v>2.77</v>
      </c>
      <c r="E782"/>
      <c r="F782">
        <v>100</v>
      </c>
      <c r="G782">
        <v>100</v>
      </c>
      <c r="H782">
        <f t="shared" si="39"/>
        <v>16592924</v>
      </c>
      <c r="I782" s="12">
        <f t="shared" si="37"/>
        <v>0.12204166666666667</v>
      </c>
      <c r="J782" s="12">
        <f t="shared" si="38"/>
        <v>0.21207724948875256</v>
      </c>
    </row>
    <row r="783" spans="1:10" ht="15.75" customHeight="1">
      <c r="A783" s="13">
        <v>43517</v>
      </c>
      <c r="B783" s="11">
        <v>327</v>
      </c>
      <c r="C783">
        <v>25949</v>
      </c>
      <c r="D783">
        <v>2.96</v>
      </c>
      <c r="E783"/>
      <c r="F783">
        <v>93.14407597379514</v>
      </c>
      <c r="G783">
        <v>100</v>
      </c>
      <c r="H783">
        <f t="shared" si="39"/>
        <v>16618873</v>
      </c>
      <c r="I783" s="12">
        <f t="shared" si="37"/>
        <v>0.10812083333333333</v>
      </c>
      <c r="J783" s="12">
        <f t="shared" si="38"/>
        <v>0.21175933995922527</v>
      </c>
    </row>
    <row r="784" spans="1:10" ht="15.75" customHeight="1">
      <c r="A784" s="13">
        <v>43518</v>
      </c>
      <c r="B784" s="11">
        <v>328</v>
      </c>
      <c r="C784">
        <v>54293</v>
      </c>
      <c r="D784">
        <v>6.26</v>
      </c>
      <c r="E784"/>
      <c r="F784">
        <v>80.020845025254545</v>
      </c>
      <c r="G784">
        <v>100</v>
      </c>
      <c r="H784">
        <f t="shared" si="39"/>
        <v>16673166</v>
      </c>
      <c r="I784" s="12">
        <f t="shared" si="37"/>
        <v>0.22622083333333334</v>
      </c>
      <c r="J784" s="12">
        <f t="shared" si="38"/>
        <v>0.21180342987804879</v>
      </c>
    </row>
    <row r="785" spans="1:10" ht="15.75" customHeight="1">
      <c r="A785" s="13">
        <v>43519</v>
      </c>
      <c r="B785" s="11">
        <v>329</v>
      </c>
      <c r="C785">
        <v>48138</v>
      </c>
      <c r="D785">
        <v>5.45</v>
      </c>
      <c r="E785"/>
      <c r="F785">
        <v>80.01415285078852</v>
      </c>
      <c r="G785">
        <v>100</v>
      </c>
      <c r="H785">
        <f t="shared" si="39"/>
        <v>16721304</v>
      </c>
      <c r="I785" s="12">
        <f t="shared" si="37"/>
        <v>0.200575</v>
      </c>
      <c r="J785" s="12">
        <f t="shared" si="38"/>
        <v>0.21176930091185411</v>
      </c>
    </row>
    <row r="786" spans="1:10" ht="15.75" customHeight="1">
      <c r="A786" s="13">
        <v>43520</v>
      </c>
      <c r="B786" s="11">
        <v>330</v>
      </c>
      <c r="C786">
        <v>51486</v>
      </c>
      <c r="D786">
        <v>5.8</v>
      </c>
      <c r="E786"/>
      <c r="F786">
        <v>80.01011122345804</v>
      </c>
      <c r="G786">
        <v>100</v>
      </c>
      <c r="H786">
        <f t="shared" si="39"/>
        <v>16772790</v>
      </c>
      <c r="I786" s="12">
        <f t="shared" si="37"/>
        <v>0.21452499999999999</v>
      </c>
      <c r="J786" s="12">
        <f t="shared" si="38"/>
        <v>0.21177765151515152</v>
      </c>
    </row>
    <row r="787" spans="1:10" ht="15.75" customHeight="1">
      <c r="A787" s="13">
        <v>43521</v>
      </c>
      <c r="B787" s="11">
        <v>331</v>
      </c>
      <c r="C787">
        <v>51829</v>
      </c>
      <c r="D787">
        <v>5.81</v>
      </c>
      <c r="E787"/>
      <c r="F787">
        <v>80.023602078991644</v>
      </c>
      <c r="G787">
        <v>100</v>
      </c>
      <c r="H787">
        <f t="shared" si="39"/>
        <v>16824619</v>
      </c>
      <c r="I787" s="12">
        <f t="shared" si="37"/>
        <v>0.21595416666666667</v>
      </c>
      <c r="J787" s="12">
        <f t="shared" si="38"/>
        <v>0.21179026938569989</v>
      </c>
    </row>
    <row r="788" spans="1:10" ht="15.75" customHeight="1">
      <c r="A788" s="13">
        <v>43522</v>
      </c>
      <c r="B788" s="11">
        <v>332</v>
      </c>
      <c r="C788">
        <v>31322</v>
      </c>
      <c r="D788">
        <v>3.8</v>
      </c>
      <c r="E788"/>
      <c r="F788">
        <v>80.015278838808243</v>
      </c>
      <c r="G788">
        <v>100</v>
      </c>
      <c r="H788">
        <f t="shared" si="39"/>
        <v>16855941</v>
      </c>
      <c r="I788" s="12">
        <f t="shared" si="37"/>
        <v>0.13050833333333334</v>
      </c>
      <c r="J788" s="12">
        <f t="shared" si="38"/>
        <v>0.21154544427710845</v>
      </c>
    </row>
    <row r="789" spans="1:10" ht="15.75" customHeight="1">
      <c r="A789" s="13">
        <v>43523</v>
      </c>
      <c r="B789" s="11">
        <v>333</v>
      </c>
      <c r="C789">
        <v>50515</v>
      </c>
      <c r="D789">
        <v>5.83</v>
      </c>
      <c r="E789"/>
      <c r="F789">
        <v>80.028943560057883</v>
      </c>
      <c r="G789">
        <v>100</v>
      </c>
      <c r="H789">
        <f t="shared" si="39"/>
        <v>16906456</v>
      </c>
      <c r="I789" s="12">
        <f t="shared" si="37"/>
        <v>0.21047916666666666</v>
      </c>
      <c r="J789" s="12">
        <f t="shared" si="38"/>
        <v>0.21154224224224225</v>
      </c>
    </row>
    <row r="790" spans="1:10" ht="15.75" customHeight="1">
      <c r="A790" s="13">
        <v>43524</v>
      </c>
      <c r="B790" s="11">
        <v>334</v>
      </c>
      <c r="C790">
        <v>51384</v>
      </c>
      <c r="D790">
        <v>5.82</v>
      </c>
      <c r="E790"/>
      <c r="F790">
        <v>85.003347467083245</v>
      </c>
      <c r="G790">
        <v>100</v>
      </c>
      <c r="H790">
        <f t="shared" si="39"/>
        <v>16957840</v>
      </c>
      <c r="I790" s="12">
        <f t="shared" si="37"/>
        <v>0.21410000000000001</v>
      </c>
      <c r="J790" s="12">
        <f t="shared" si="38"/>
        <v>0.21154990019960079</v>
      </c>
    </row>
    <row r="791" spans="1:10" ht="15.75" customHeight="1">
      <c r="A791" s="13">
        <v>43525</v>
      </c>
      <c r="B791" s="11">
        <v>335</v>
      </c>
      <c r="C791">
        <v>37890</v>
      </c>
      <c r="D791">
        <v>4.5599999999999996</v>
      </c>
      <c r="E791"/>
      <c r="F791">
        <v>85.009215646119188</v>
      </c>
      <c r="G791">
        <v>100</v>
      </c>
      <c r="H791">
        <f t="shared" si="39"/>
        <v>16995730</v>
      </c>
      <c r="I791" s="12">
        <f t="shared" si="37"/>
        <v>0.15787499999999999</v>
      </c>
      <c r="J791" s="12">
        <f t="shared" si="38"/>
        <v>0.21138967661691543</v>
      </c>
    </row>
    <row r="792" spans="1:10" ht="15.75" customHeight="1">
      <c r="A792" s="13">
        <v>43526</v>
      </c>
      <c r="B792" s="11">
        <v>336</v>
      </c>
      <c r="C792">
        <v>12495</v>
      </c>
      <c r="D792">
        <v>1.54</v>
      </c>
      <c r="E792"/>
      <c r="F792">
        <v>85.017098321978636</v>
      </c>
      <c r="G792">
        <v>100</v>
      </c>
      <c r="H792">
        <f t="shared" si="39"/>
        <v>17008225</v>
      </c>
      <c r="I792" s="12">
        <f t="shared" si="37"/>
        <v>5.2062499999999998E-2</v>
      </c>
      <c r="J792" s="12">
        <f t="shared" si="38"/>
        <v>0.21091548859126985</v>
      </c>
    </row>
    <row r="793" spans="1:10" ht="15.75" customHeight="1">
      <c r="A793" s="13">
        <v>43527</v>
      </c>
      <c r="B793" s="11">
        <v>337</v>
      </c>
      <c r="C793">
        <v>51113</v>
      </c>
      <c r="D793">
        <v>5.43</v>
      </c>
      <c r="E793"/>
      <c r="F793">
        <v>87.511487543776852</v>
      </c>
      <c r="G793">
        <v>100</v>
      </c>
      <c r="H793">
        <f t="shared" si="39"/>
        <v>17059338</v>
      </c>
      <c r="I793" s="12">
        <f t="shared" si="37"/>
        <v>0.21297083333333333</v>
      </c>
      <c r="J793" s="12">
        <f t="shared" si="38"/>
        <v>0.21092158753709198</v>
      </c>
    </row>
    <row r="794" spans="1:10" ht="15.75" customHeight="1">
      <c r="A794" s="13">
        <v>43528</v>
      </c>
      <c r="B794" s="11">
        <v>338</v>
      </c>
      <c r="C794">
        <v>42147</v>
      </c>
      <c r="D794">
        <v>4.62</v>
      </c>
      <c r="E794"/>
      <c r="F794">
        <v>88.203726458860999</v>
      </c>
      <c r="G794">
        <v>100</v>
      </c>
      <c r="H794">
        <f t="shared" si="39"/>
        <v>17101485</v>
      </c>
      <c r="I794" s="12">
        <f t="shared" si="37"/>
        <v>0.1756125</v>
      </c>
      <c r="J794" s="12">
        <f t="shared" si="38"/>
        <v>0.2108171227810651</v>
      </c>
    </row>
    <row r="795" spans="1:10" ht="15.75" customHeight="1">
      <c r="A795" s="13">
        <v>43529</v>
      </c>
      <c r="B795" s="11">
        <v>339</v>
      </c>
      <c r="C795">
        <v>56789</v>
      </c>
      <c r="D795">
        <v>5.91</v>
      </c>
      <c r="E795"/>
      <c r="F795">
        <v>89.993944898577055</v>
      </c>
      <c r="G795">
        <v>100</v>
      </c>
      <c r="H795">
        <f t="shared" si="39"/>
        <v>17158274</v>
      </c>
      <c r="I795" s="12">
        <f t="shared" si="37"/>
        <v>0.23662083333333334</v>
      </c>
      <c r="J795" s="12">
        <f t="shared" si="38"/>
        <v>0.21089323992133727</v>
      </c>
    </row>
    <row r="796" spans="1:10" ht="15.75" customHeight="1">
      <c r="A796" s="13">
        <v>43530</v>
      </c>
      <c r="B796" s="11">
        <v>340</v>
      </c>
      <c r="C796">
        <v>54536</v>
      </c>
      <c r="D796">
        <v>5.84</v>
      </c>
      <c r="E796"/>
      <c r="F796">
        <v>90.006150818058799</v>
      </c>
      <c r="G796">
        <v>100</v>
      </c>
      <c r="H796">
        <f t="shared" si="39"/>
        <v>17212810</v>
      </c>
      <c r="I796" s="12">
        <f t="shared" si="37"/>
        <v>0.22723333333333334</v>
      </c>
      <c r="J796" s="12">
        <f t="shared" si="38"/>
        <v>0.21094129901960784</v>
      </c>
    </row>
    <row r="797" spans="1:10" ht="15.75" customHeight="1">
      <c r="A797" s="13">
        <v>43531</v>
      </c>
      <c r="B797" s="11">
        <v>341</v>
      </c>
      <c r="C797">
        <v>52285</v>
      </c>
      <c r="D797">
        <v>5.77</v>
      </c>
      <c r="E797"/>
      <c r="F797">
        <v>90.009087113490679</v>
      </c>
      <c r="G797">
        <v>100</v>
      </c>
      <c r="H797">
        <f t="shared" si="39"/>
        <v>17265095</v>
      </c>
      <c r="I797" s="12">
        <f t="shared" si="37"/>
        <v>0.21785416666666665</v>
      </c>
      <c r="J797" s="12">
        <f t="shared" si="38"/>
        <v>0.21096157135874877</v>
      </c>
    </row>
    <row r="798" spans="1:10" ht="15.75" customHeight="1">
      <c r="A798" s="13">
        <v>43532</v>
      </c>
      <c r="B798" s="11">
        <v>342</v>
      </c>
      <c r="C798">
        <v>51648</v>
      </c>
      <c r="D798">
        <v>5.64</v>
      </c>
      <c r="E798"/>
      <c r="F798">
        <v>89.999752346516757</v>
      </c>
      <c r="G798">
        <v>100</v>
      </c>
      <c r="H798">
        <f t="shared" si="39"/>
        <v>17316743</v>
      </c>
      <c r="I798" s="12">
        <f t="shared" si="37"/>
        <v>0.2152</v>
      </c>
      <c r="J798" s="12">
        <f t="shared" si="38"/>
        <v>0.21097396442495125</v>
      </c>
    </row>
    <row r="799" spans="1:10" ht="15.75" customHeight="1">
      <c r="A799" s="13">
        <v>43533</v>
      </c>
      <c r="B799" s="11">
        <v>343</v>
      </c>
      <c r="C799">
        <v>56918</v>
      </c>
      <c r="D799">
        <v>6.28</v>
      </c>
      <c r="E799"/>
      <c r="F799">
        <v>90.057752759704655</v>
      </c>
      <c r="G799">
        <v>100</v>
      </c>
      <c r="H799">
        <f t="shared" si="39"/>
        <v>17373661</v>
      </c>
      <c r="I799" s="12">
        <f t="shared" si="37"/>
        <v>0.23715833333333333</v>
      </c>
      <c r="J799" s="12">
        <f t="shared" si="38"/>
        <v>0.21105030369290573</v>
      </c>
    </row>
    <row r="800" spans="1:10" ht="15.75" customHeight="1">
      <c r="A800" s="13">
        <v>43534</v>
      </c>
      <c r="B800" s="11">
        <v>344</v>
      </c>
      <c r="C800">
        <v>55457</v>
      </c>
      <c r="D800">
        <v>6.3</v>
      </c>
      <c r="E800"/>
      <c r="F800">
        <v>90.00444905828266</v>
      </c>
      <c r="G800">
        <v>100</v>
      </c>
      <c r="H800">
        <f t="shared" si="39"/>
        <v>17429118</v>
      </c>
      <c r="I800" s="12">
        <f t="shared" si="37"/>
        <v>0.23107083333333334</v>
      </c>
      <c r="J800" s="12">
        <f t="shared" si="38"/>
        <v>0.21110850290697675</v>
      </c>
    </row>
    <row r="801" spans="1:10" ht="15.75" customHeight="1">
      <c r="A801" s="13">
        <v>43535</v>
      </c>
      <c r="B801" s="11">
        <v>345</v>
      </c>
      <c r="C801">
        <v>51427</v>
      </c>
      <c r="D801">
        <v>5.97</v>
      </c>
      <c r="E801"/>
      <c r="F801">
        <v>89.996552233660054</v>
      </c>
      <c r="G801">
        <v>100</v>
      </c>
      <c r="H801">
        <f t="shared" si="39"/>
        <v>17480545</v>
      </c>
      <c r="I801" s="12">
        <f t="shared" si="37"/>
        <v>0.21427916666666666</v>
      </c>
      <c r="J801" s="12">
        <f t="shared" si="38"/>
        <v>0.21111769323671498</v>
      </c>
    </row>
    <row r="802" spans="1:10" ht="15.75" customHeight="1">
      <c r="A802" s="13">
        <v>43536</v>
      </c>
      <c r="B802" s="11">
        <v>346</v>
      </c>
      <c r="C802">
        <v>39728</v>
      </c>
      <c r="D802">
        <v>4.7</v>
      </c>
      <c r="E802"/>
      <c r="F802">
        <v>89.994329604618798</v>
      </c>
      <c r="G802">
        <v>100</v>
      </c>
      <c r="H802">
        <f t="shared" si="39"/>
        <v>17520273</v>
      </c>
      <c r="I802" s="12">
        <f t="shared" si="37"/>
        <v>0.16553333333333334</v>
      </c>
      <c r="J802" s="12">
        <f t="shared" si="38"/>
        <v>0.2109859465317919</v>
      </c>
    </row>
    <row r="803" spans="1:10" ht="15.75" customHeight="1">
      <c r="A803" s="13">
        <v>43537</v>
      </c>
      <c r="B803" s="11">
        <v>347</v>
      </c>
      <c r="C803">
        <v>41127</v>
      </c>
      <c r="D803">
        <v>5</v>
      </c>
      <c r="E803"/>
      <c r="F803">
        <v>89.998539932836906</v>
      </c>
      <c r="G803">
        <v>100</v>
      </c>
      <c r="H803">
        <f t="shared" si="39"/>
        <v>17561400</v>
      </c>
      <c r="I803" s="12">
        <f t="shared" si="37"/>
        <v>0.1713625</v>
      </c>
      <c r="J803" s="12">
        <f t="shared" si="38"/>
        <v>0.21087175792507204</v>
      </c>
    </row>
    <row r="804" spans="1:10" ht="15.75" customHeight="1">
      <c r="A804" s="13">
        <v>43538</v>
      </c>
      <c r="B804" s="11">
        <v>348</v>
      </c>
      <c r="C804">
        <v>48855</v>
      </c>
      <c r="D804">
        <v>5.72</v>
      </c>
      <c r="E804"/>
      <c r="F804">
        <v>89.996391194514615</v>
      </c>
      <c r="G804">
        <v>100</v>
      </c>
      <c r="H804">
        <f t="shared" si="39"/>
        <v>17610255</v>
      </c>
      <c r="I804" s="12">
        <f t="shared" si="37"/>
        <v>0.20356250000000001</v>
      </c>
      <c r="J804" s="12">
        <f t="shared" si="38"/>
        <v>0.21085075431034483</v>
      </c>
    </row>
    <row r="805" spans="1:10" ht="15.75" customHeight="1">
      <c r="A805" s="13">
        <v>43539</v>
      </c>
      <c r="B805" s="11">
        <v>349</v>
      </c>
      <c r="C805">
        <v>56501</v>
      </c>
      <c r="D805">
        <v>6.42</v>
      </c>
      <c r="E805"/>
      <c r="F805">
        <v>89.996432393863728</v>
      </c>
      <c r="G805">
        <v>100</v>
      </c>
      <c r="H805">
        <f t="shared" si="39"/>
        <v>17666756</v>
      </c>
      <c r="I805" s="12">
        <f t="shared" si="37"/>
        <v>0.23542083333333333</v>
      </c>
      <c r="J805" s="12">
        <f t="shared" si="38"/>
        <v>0.21092115568290354</v>
      </c>
    </row>
    <row r="806" spans="1:10" ht="15.75" customHeight="1">
      <c r="A806" s="13">
        <v>43540</v>
      </c>
      <c r="B806" s="11">
        <v>350</v>
      </c>
      <c r="C806">
        <v>41001</v>
      </c>
      <c r="D806">
        <v>5.13</v>
      </c>
      <c r="E806"/>
      <c r="F806">
        <v>89.994512966099677</v>
      </c>
      <c r="G806">
        <v>100</v>
      </c>
      <c r="H806">
        <f t="shared" si="39"/>
        <v>17707757</v>
      </c>
      <c r="I806" s="12">
        <f t="shared" si="37"/>
        <v>0.1708375</v>
      </c>
      <c r="J806" s="12">
        <f t="shared" si="38"/>
        <v>0.21080663095238095</v>
      </c>
    </row>
    <row r="807" spans="1:10" ht="15.75" customHeight="1">
      <c r="A807" s="13">
        <v>43541</v>
      </c>
      <c r="B807" s="11">
        <v>351</v>
      </c>
      <c r="C807">
        <v>55642</v>
      </c>
      <c r="D807">
        <v>6.42</v>
      </c>
      <c r="E807"/>
      <c r="F807">
        <v>89.999279486994737</v>
      </c>
      <c r="G807">
        <v>100</v>
      </c>
      <c r="H807">
        <f t="shared" si="39"/>
        <v>17763399</v>
      </c>
      <c r="I807" s="12">
        <f t="shared" si="37"/>
        <v>0.23184166666666667</v>
      </c>
      <c r="J807" s="12">
        <f t="shared" si="38"/>
        <v>0.21086655982905983</v>
      </c>
    </row>
    <row r="808" spans="1:10" ht="15.75" customHeight="1">
      <c r="A808" s="13">
        <v>43542</v>
      </c>
      <c r="B808" s="11">
        <v>352</v>
      </c>
      <c r="C808">
        <v>39037</v>
      </c>
      <c r="D808">
        <v>4.8600000000000003</v>
      </c>
      <c r="E808"/>
      <c r="F808">
        <v>89.994457430657633</v>
      </c>
      <c r="G808">
        <v>100</v>
      </c>
      <c r="H808">
        <f t="shared" si="39"/>
        <v>17802436</v>
      </c>
      <c r="I808" s="12">
        <f t="shared" si="37"/>
        <v>0.16265416666666666</v>
      </c>
      <c r="J808" s="12">
        <f t="shared" si="38"/>
        <v>0.2107295928030303</v>
      </c>
    </row>
    <row r="809" spans="1:10" ht="15.75" customHeight="1">
      <c r="A809" s="13">
        <v>43543</v>
      </c>
      <c r="B809" s="11">
        <v>353</v>
      </c>
      <c r="C809">
        <v>53014</v>
      </c>
      <c r="D809">
        <v>6.42</v>
      </c>
      <c r="E809"/>
      <c r="F809">
        <v>89.994449405121031</v>
      </c>
      <c r="G809">
        <v>100</v>
      </c>
      <c r="H809">
        <f t="shared" si="39"/>
        <v>17855450</v>
      </c>
      <c r="I809" s="12">
        <f t="shared" si="37"/>
        <v>0.22089166666666665</v>
      </c>
      <c r="J809" s="12">
        <f t="shared" si="38"/>
        <v>0.2107583805476865</v>
      </c>
    </row>
    <row r="810" spans="1:10" ht="15.75" customHeight="1">
      <c r="A810" s="13">
        <v>43544</v>
      </c>
      <c r="B810" s="11">
        <v>354</v>
      </c>
      <c r="C810">
        <v>50321</v>
      </c>
      <c r="D810">
        <v>5.96</v>
      </c>
      <c r="E810"/>
      <c r="F810">
        <v>90.005678591709255</v>
      </c>
      <c r="G810">
        <v>100</v>
      </c>
      <c r="H810">
        <f t="shared" si="39"/>
        <v>17905771</v>
      </c>
      <c r="I810" s="12">
        <f t="shared" si="37"/>
        <v>0.20967083333333333</v>
      </c>
      <c r="J810" s="12">
        <f t="shared" si="38"/>
        <v>0.21075530838041431</v>
      </c>
    </row>
    <row r="811" spans="1:10" ht="15.75" customHeight="1">
      <c r="A811" s="13">
        <v>43545</v>
      </c>
      <c r="B811" s="11">
        <v>355</v>
      </c>
      <c r="C811">
        <v>56710</v>
      </c>
      <c r="D811">
        <v>6.66</v>
      </c>
      <c r="E811"/>
      <c r="F811">
        <v>89.995011757998995</v>
      </c>
      <c r="G811">
        <v>100</v>
      </c>
      <c r="H811">
        <f t="shared" si="39"/>
        <v>17962481</v>
      </c>
      <c r="I811" s="12">
        <f t="shared" si="37"/>
        <v>0.23629166666666668</v>
      </c>
      <c r="J811" s="12">
        <f t="shared" si="38"/>
        <v>0.21082724178403756</v>
      </c>
    </row>
    <row r="812" spans="1:10" ht="15.75" customHeight="1">
      <c r="A812" s="13">
        <v>43546</v>
      </c>
      <c r="B812" s="11">
        <v>356</v>
      </c>
      <c r="C812">
        <v>55114</v>
      </c>
      <c r="D812">
        <v>6.49</v>
      </c>
      <c r="E812"/>
      <c r="F812">
        <v>89.993666877770735</v>
      </c>
      <c r="G812">
        <v>100</v>
      </c>
      <c r="H812">
        <f t="shared" si="39"/>
        <v>18017595</v>
      </c>
      <c r="I812" s="12">
        <f t="shared" si="37"/>
        <v>0.22964166666666666</v>
      </c>
      <c r="J812" s="12">
        <f t="shared" si="38"/>
        <v>0.21088009129213484</v>
      </c>
    </row>
    <row r="813" spans="1:10" ht="15.75" customHeight="1">
      <c r="A813" s="13">
        <v>43547</v>
      </c>
      <c r="B813" s="11">
        <v>357</v>
      </c>
      <c r="C813">
        <v>52009</v>
      </c>
      <c r="D813">
        <v>6.28</v>
      </c>
      <c r="E813"/>
      <c r="F813">
        <v>89.999056959637869</v>
      </c>
      <c r="G813">
        <v>100</v>
      </c>
      <c r="H813">
        <f t="shared" si="39"/>
        <v>18069604</v>
      </c>
      <c r="I813" s="12">
        <f t="shared" si="37"/>
        <v>0.21670416666666667</v>
      </c>
      <c r="J813" s="12">
        <f t="shared" si="38"/>
        <v>0.21089640522875816</v>
      </c>
    </row>
    <row r="814" spans="1:10" ht="15.75" customHeight="1">
      <c r="A814" s="13">
        <v>43548</v>
      </c>
      <c r="B814" s="11">
        <v>358</v>
      </c>
      <c r="C814">
        <v>50105</v>
      </c>
      <c r="D814">
        <v>5.91</v>
      </c>
      <c r="E814"/>
      <c r="F814">
        <v>89.99834487976733</v>
      </c>
      <c r="G814">
        <v>100</v>
      </c>
      <c r="H814">
        <f t="shared" si="39"/>
        <v>18119709</v>
      </c>
      <c r="I814" s="12">
        <f t="shared" si="37"/>
        <v>0.20877083333333332</v>
      </c>
      <c r="J814" s="12">
        <f t="shared" si="38"/>
        <v>0.21089046787709498</v>
      </c>
    </row>
    <row r="815" spans="1:10" ht="15.75" customHeight="1">
      <c r="A815" s="13">
        <v>43549</v>
      </c>
      <c r="B815" s="11">
        <v>359</v>
      </c>
      <c r="C815">
        <v>46092</v>
      </c>
      <c r="D815">
        <v>6.09</v>
      </c>
      <c r="E815"/>
      <c r="F815">
        <v>79.992885094272509</v>
      </c>
      <c r="G815">
        <v>100</v>
      </c>
      <c r="H815">
        <f t="shared" si="39"/>
        <v>18165801</v>
      </c>
      <c r="I815" s="12">
        <f t="shared" si="37"/>
        <v>0.19205</v>
      </c>
      <c r="J815" s="12">
        <f t="shared" si="38"/>
        <v>0.21083798746518106</v>
      </c>
    </row>
    <row r="816" spans="1:10" ht="15.75" customHeight="1">
      <c r="A816" s="13">
        <v>43550</v>
      </c>
      <c r="B816" s="11">
        <v>360</v>
      </c>
      <c r="C816">
        <v>52136</v>
      </c>
      <c r="D816">
        <v>6.98</v>
      </c>
      <c r="E816"/>
      <c r="F816">
        <v>79.993807607116494</v>
      </c>
      <c r="G816">
        <v>100</v>
      </c>
      <c r="H816">
        <f t="shared" si="39"/>
        <v>18217937</v>
      </c>
      <c r="I816" s="12">
        <f t="shared" si="37"/>
        <v>0.21723333333333333</v>
      </c>
      <c r="J816" s="12">
        <f t="shared" si="38"/>
        <v>0.21085575231481482</v>
      </c>
    </row>
    <row r="817" spans="1:10" ht="15.75" customHeight="1">
      <c r="A817" s="13">
        <v>43551</v>
      </c>
      <c r="B817" s="11">
        <v>361</v>
      </c>
      <c r="C817">
        <v>61236</v>
      </c>
      <c r="D817">
        <v>6.7</v>
      </c>
      <c r="E817"/>
      <c r="F817">
        <v>100</v>
      </c>
      <c r="G817">
        <v>100</v>
      </c>
      <c r="H817">
        <f t="shared" si="39"/>
        <v>18279173</v>
      </c>
      <c r="I817" s="12">
        <f t="shared" si="37"/>
        <v>0.25514999999999999</v>
      </c>
      <c r="J817" s="12">
        <f t="shared" si="38"/>
        <v>0.21097845106186519</v>
      </c>
    </row>
    <row r="818" spans="1:10" ht="15.75" customHeight="1">
      <c r="A818" s="13">
        <v>43552</v>
      </c>
      <c r="B818" s="11">
        <v>362</v>
      </c>
      <c r="C818">
        <v>59208</v>
      </c>
      <c r="D818">
        <v>6.6</v>
      </c>
      <c r="E818"/>
      <c r="F818">
        <v>98.304725577452842</v>
      </c>
      <c r="G818">
        <v>100</v>
      </c>
      <c r="H818">
        <f t="shared" si="39"/>
        <v>18338381</v>
      </c>
      <c r="I818" s="12">
        <f t="shared" si="37"/>
        <v>0.2467</v>
      </c>
      <c r="J818" s="12">
        <f t="shared" si="38"/>
        <v>0.21107712937384898</v>
      </c>
    </row>
    <row r="819" spans="1:10" ht="15.75" customHeight="1">
      <c r="A819" s="13">
        <v>43553</v>
      </c>
      <c r="B819" s="11">
        <v>363</v>
      </c>
      <c r="C819">
        <v>55809</v>
      </c>
      <c r="D819">
        <v>6.83</v>
      </c>
      <c r="E819"/>
      <c r="F819">
        <v>100</v>
      </c>
      <c r="G819">
        <v>100</v>
      </c>
      <c r="H819">
        <f t="shared" si="39"/>
        <v>18394190</v>
      </c>
      <c r="I819" s="12">
        <f t="shared" si="37"/>
        <v>0.23253750000000001</v>
      </c>
      <c r="J819" s="12">
        <f t="shared" si="38"/>
        <v>0.21113624885215795</v>
      </c>
    </row>
    <row r="820" spans="1:10" ht="15.75" customHeight="1">
      <c r="A820" s="13">
        <v>43554</v>
      </c>
      <c r="B820" s="11">
        <v>364</v>
      </c>
      <c r="C820">
        <v>63984</v>
      </c>
      <c r="D820">
        <v>6.91</v>
      </c>
      <c r="E820"/>
      <c r="F820">
        <v>100</v>
      </c>
      <c r="G820">
        <v>100</v>
      </c>
      <c r="H820">
        <f t="shared" si="39"/>
        <v>18458174</v>
      </c>
      <c r="I820" s="12">
        <f t="shared" si="37"/>
        <v>0.2666</v>
      </c>
      <c r="J820" s="12">
        <f t="shared" si="38"/>
        <v>0.21128862179487179</v>
      </c>
    </row>
    <row r="821" spans="1:10" ht="15.75" customHeight="1">
      <c r="A821" s="13">
        <v>43555</v>
      </c>
      <c r="B821" s="11">
        <v>365</v>
      </c>
      <c r="C821">
        <v>60138</v>
      </c>
      <c r="D821">
        <v>6.51</v>
      </c>
      <c r="E821"/>
      <c r="F821">
        <v>100</v>
      </c>
      <c r="G821">
        <v>100</v>
      </c>
      <c r="H821">
        <f t="shared" si="39"/>
        <v>18518312</v>
      </c>
      <c r="I821" s="12">
        <f t="shared" si="37"/>
        <v>0.25057499999999999</v>
      </c>
      <c r="J821" s="12">
        <f t="shared" si="38"/>
        <v>0.21139625570776255</v>
      </c>
    </row>
    <row r="822" spans="1:10" ht="15.75" customHeight="1">
      <c r="A822" s="7">
        <v>43556</v>
      </c>
      <c r="B822" s="10">
        <v>1</v>
      </c>
      <c r="C822">
        <v>65374</v>
      </c>
      <c r="D822" s="5">
        <v>7.21</v>
      </c>
      <c r="F822" s="8">
        <v>100</v>
      </c>
      <c r="G822" s="8">
        <v>100</v>
      </c>
      <c r="H822" s="2">
        <f>C822</f>
        <v>65374</v>
      </c>
      <c r="I822" s="12">
        <f t="shared" si="37"/>
        <v>0.27239166666666664</v>
      </c>
      <c r="J822" s="12">
        <f t="shared" si="38"/>
        <v>0.27239166666666664</v>
      </c>
    </row>
    <row r="823" spans="1:10" ht="15.75" customHeight="1">
      <c r="A823" s="7">
        <v>43557</v>
      </c>
      <c r="B823" s="10">
        <v>2</v>
      </c>
      <c r="C823">
        <v>62289</v>
      </c>
      <c r="D823" s="5">
        <v>7.05</v>
      </c>
      <c r="F823" s="8">
        <v>100</v>
      </c>
      <c r="G823" s="8">
        <v>100</v>
      </c>
      <c r="H823" s="2">
        <f t="shared" ref="H823:H886" si="40">H822+C823</f>
        <v>127663</v>
      </c>
      <c r="I823" s="12">
        <f t="shared" si="37"/>
        <v>0.25953749999999998</v>
      </c>
      <c r="J823" s="12">
        <f t="shared" si="38"/>
        <v>0.26596458333333334</v>
      </c>
    </row>
    <row r="824" spans="1:10" ht="15.75" customHeight="1">
      <c r="A824" s="7">
        <v>43558</v>
      </c>
      <c r="B824" s="10">
        <v>3</v>
      </c>
      <c r="C824">
        <v>63162</v>
      </c>
      <c r="D824" s="5">
        <v>7.17</v>
      </c>
      <c r="F824" s="8">
        <v>99.164500556999627</v>
      </c>
      <c r="G824" s="8">
        <v>100</v>
      </c>
      <c r="H824" s="2">
        <f t="shared" si="40"/>
        <v>190825</v>
      </c>
      <c r="I824" s="12">
        <f t="shared" si="37"/>
        <v>0.26317499999999999</v>
      </c>
      <c r="J824" s="12">
        <f t="shared" si="38"/>
        <v>0.26503472222222224</v>
      </c>
    </row>
    <row r="825" spans="1:10" ht="15.75" customHeight="1">
      <c r="A825" s="7">
        <v>43559</v>
      </c>
      <c r="B825" s="10">
        <v>4</v>
      </c>
      <c r="C825">
        <v>61329</v>
      </c>
      <c r="D825" s="5">
        <v>7.02</v>
      </c>
      <c r="F825" s="8">
        <v>100</v>
      </c>
      <c r="G825" s="8">
        <v>100</v>
      </c>
      <c r="H825" s="2">
        <f t="shared" si="40"/>
        <v>252154</v>
      </c>
      <c r="I825" s="12">
        <f t="shared" si="37"/>
        <v>0.25553749999999997</v>
      </c>
      <c r="J825" s="12">
        <f t="shared" si="38"/>
        <v>0.26266041666666667</v>
      </c>
    </row>
    <row r="826" spans="1:10" ht="15.75" customHeight="1">
      <c r="A826" s="7">
        <v>43560</v>
      </c>
      <c r="B826" s="10">
        <v>5</v>
      </c>
      <c r="C826">
        <v>57323</v>
      </c>
      <c r="D826" s="5">
        <v>6.62</v>
      </c>
      <c r="F826" s="8">
        <v>100</v>
      </c>
      <c r="G826" s="8">
        <v>100</v>
      </c>
      <c r="H826" s="2">
        <f t="shared" si="40"/>
        <v>309477</v>
      </c>
      <c r="I826" s="12">
        <f t="shared" si="37"/>
        <v>0.23884583333333334</v>
      </c>
      <c r="J826" s="12">
        <f t="shared" si="38"/>
        <v>0.2578975</v>
      </c>
    </row>
    <row r="827" spans="1:10" ht="15.75" customHeight="1">
      <c r="A827" s="7">
        <v>43561</v>
      </c>
      <c r="B827" s="10">
        <v>6</v>
      </c>
      <c r="C827">
        <v>62183</v>
      </c>
      <c r="D827" s="5">
        <v>6.98</v>
      </c>
      <c r="F827" s="8">
        <v>100</v>
      </c>
      <c r="G827" s="8">
        <v>100</v>
      </c>
      <c r="H827" s="2">
        <f t="shared" si="40"/>
        <v>371660</v>
      </c>
      <c r="I827" s="12">
        <f t="shared" si="37"/>
        <v>0.25909583333333336</v>
      </c>
      <c r="J827" s="12">
        <f t="shared" si="38"/>
        <v>0.2580972222222222</v>
      </c>
    </row>
    <row r="828" spans="1:10" ht="15.75" customHeight="1">
      <c r="A828" s="7">
        <v>43562</v>
      </c>
      <c r="B828" s="10">
        <v>7</v>
      </c>
      <c r="C828">
        <v>51596</v>
      </c>
      <c r="D828" s="5">
        <v>6.1</v>
      </c>
      <c r="F828" s="8">
        <v>100</v>
      </c>
      <c r="G828" s="8">
        <v>100</v>
      </c>
      <c r="H828" s="2">
        <f t="shared" si="40"/>
        <v>423256</v>
      </c>
      <c r="I828" s="12">
        <f t="shared" si="37"/>
        <v>0.21498333333333333</v>
      </c>
      <c r="J828" s="12">
        <f t="shared" si="38"/>
        <v>0.25193809523809524</v>
      </c>
    </row>
    <row r="829" spans="1:10" ht="15.75" customHeight="1">
      <c r="A829" s="7">
        <v>43563</v>
      </c>
      <c r="B829" s="10">
        <v>8</v>
      </c>
      <c r="C829">
        <v>61586</v>
      </c>
      <c r="D829" s="5">
        <v>6.97</v>
      </c>
      <c r="F829" s="8">
        <v>100</v>
      </c>
      <c r="G829" s="8">
        <v>100</v>
      </c>
      <c r="H829" s="2">
        <f t="shared" si="40"/>
        <v>484842</v>
      </c>
      <c r="I829" s="12">
        <f t="shared" si="37"/>
        <v>0.25660833333333333</v>
      </c>
      <c r="J829" s="12">
        <f t="shared" si="38"/>
        <v>0.25252187500000001</v>
      </c>
    </row>
    <row r="830" spans="1:10" ht="15.75" customHeight="1">
      <c r="A830" s="7">
        <v>43564</v>
      </c>
      <c r="B830" s="10">
        <v>9</v>
      </c>
      <c r="C830">
        <v>58196</v>
      </c>
      <c r="D830" s="5">
        <v>6.77</v>
      </c>
      <c r="F830" s="8">
        <v>100</v>
      </c>
      <c r="G830" s="8">
        <v>100</v>
      </c>
      <c r="H830" s="2">
        <f t="shared" si="40"/>
        <v>543038</v>
      </c>
      <c r="I830" s="12">
        <f t="shared" si="37"/>
        <v>0.24248333333333333</v>
      </c>
      <c r="J830" s="12">
        <f t="shared" si="38"/>
        <v>0.25140648148148148</v>
      </c>
    </row>
    <row r="831" spans="1:10" ht="15.75" customHeight="1">
      <c r="A831" s="7">
        <v>43565</v>
      </c>
      <c r="B831" s="10">
        <v>10</v>
      </c>
      <c r="C831">
        <v>56385</v>
      </c>
      <c r="D831" s="5">
        <v>6.44</v>
      </c>
      <c r="F831" s="8">
        <v>100</v>
      </c>
      <c r="G831" s="8">
        <v>100</v>
      </c>
      <c r="H831" s="2">
        <f t="shared" si="40"/>
        <v>599423</v>
      </c>
      <c r="I831" s="12">
        <f t="shared" si="37"/>
        <v>0.23493749999999999</v>
      </c>
      <c r="J831" s="12">
        <f t="shared" si="38"/>
        <v>0.24975958333333334</v>
      </c>
    </row>
    <row r="832" spans="1:10" ht="15.75" customHeight="1">
      <c r="A832" s="7">
        <v>43566</v>
      </c>
      <c r="B832" s="10">
        <v>11</v>
      </c>
      <c r="C832">
        <v>54877</v>
      </c>
      <c r="D832" s="5">
        <v>6.25</v>
      </c>
      <c r="F832" s="8">
        <v>100</v>
      </c>
      <c r="G832" s="8">
        <v>100</v>
      </c>
      <c r="H832" s="2">
        <f t="shared" si="40"/>
        <v>654300</v>
      </c>
      <c r="I832" s="12">
        <f t="shared" si="37"/>
        <v>0.22865416666666666</v>
      </c>
      <c r="J832" s="12">
        <f t="shared" si="38"/>
        <v>0.24784090909090908</v>
      </c>
    </row>
    <row r="833" spans="1:10" ht="15.75" customHeight="1">
      <c r="A833" s="7">
        <v>43567</v>
      </c>
      <c r="B833" s="10">
        <v>12</v>
      </c>
      <c r="C833">
        <v>56745</v>
      </c>
      <c r="D833" s="5">
        <v>6.29</v>
      </c>
      <c r="F833" s="8">
        <v>100</v>
      </c>
      <c r="G833" s="8">
        <v>100</v>
      </c>
      <c r="H833" s="2">
        <f t="shared" si="40"/>
        <v>711045</v>
      </c>
      <c r="I833" s="12">
        <f t="shared" si="37"/>
        <v>0.23643749999999999</v>
      </c>
      <c r="J833" s="12">
        <f t="shared" si="38"/>
        <v>0.246890625</v>
      </c>
    </row>
    <row r="834" spans="1:10" ht="15.75" customHeight="1">
      <c r="A834" s="7">
        <v>43568</v>
      </c>
      <c r="B834" s="10">
        <v>13</v>
      </c>
      <c r="C834">
        <v>48168</v>
      </c>
      <c r="D834" s="5">
        <v>5.2</v>
      </c>
      <c r="F834" s="8">
        <v>100</v>
      </c>
      <c r="G834" s="8">
        <v>100</v>
      </c>
      <c r="H834" s="2">
        <f t="shared" si="40"/>
        <v>759213</v>
      </c>
      <c r="I834" s="12">
        <f t="shared" si="37"/>
        <v>0.20069999999999999</v>
      </c>
      <c r="J834" s="12">
        <f t="shared" si="38"/>
        <v>0.24333750000000001</v>
      </c>
    </row>
    <row r="835" spans="1:10" ht="15.75" customHeight="1">
      <c r="A835" s="7">
        <v>43569</v>
      </c>
      <c r="B835" s="10">
        <v>14</v>
      </c>
      <c r="C835">
        <v>50653</v>
      </c>
      <c r="D835" s="5">
        <v>5.52</v>
      </c>
      <c r="F835" s="8">
        <v>100</v>
      </c>
      <c r="G835" s="8">
        <v>100</v>
      </c>
      <c r="H835" s="2">
        <f t="shared" si="40"/>
        <v>809866</v>
      </c>
      <c r="I835" s="12">
        <f t="shared" ref="I835:I898" si="41">C835/(10*24*1000)</f>
        <v>0.21105416666666665</v>
      </c>
      <c r="J835" s="12">
        <f t="shared" si="38"/>
        <v>0.24103154761904763</v>
      </c>
    </row>
    <row r="836" spans="1:10" ht="15.75" customHeight="1">
      <c r="A836" s="7">
        <v>43570</v>
      </c>
      <c r="B836" s="10">
        <v>15</v>
      </c>
      <c r="C836">
        <v>48311</v>
      </c>
      <c r="D836" s="5">
        <v>5.44</v>
      </c>
      <c r="F836" s="8">
        <v>100</v>
      </c>
      <c r="G836" s="8">
        <v>100</v>
      </c>
      <c r="H836" s="2">
        <f t="shared" si="40"/>
        <v>858177</v>
      </c>
      <c r="I836" s="12">
        <f t="shared" si="41"/>
        <v>0.20129583333333334</v>
      </c>
      <c r="J836" s="12">
        <f t="shared" ref="J836:J899" si="42">H836/(24*B836*10*1000)</f>
        <v>0.2383825</v>
      </c>
    </row>
    <row r="837" spans="1:10" ht="15.75" customHeight="1">
      <c r="A837" s="7">
        <v>43571</v>
      </c>
      <c r="B837" s="10">
        <v>16</v>
      </c>
      <c r="C837">
        <v>48233</v>
      </c>
      <c r="D837" s="5">
        <v>5.29</v>
      </c>
      <c r="F837" s="8">
        <v>100</v>
      </c>
      <c r="G837" s="8">
        <v>100</v>
      </c>
      <c r="H837" s="2">
        <f t="shared" si="40"/>
        <v>906410</v>
      </c>
      <c r="I837" s="12">
        <f t="shared" si="41"/>
        <v>0.20097083333333332</v>
      </c>
      <c r="J837" s="12">
        <f t="shared" si="42"/>
        <v>0.23604427083333332</v>
      </c>
    </row>
    <row r="838" spans="1:10" ht="15.75" customHeight="1">
      <c r="A838" s="7">
        <v>43572</v>
      </c>
      <c r="B838" s="10">
        <v>17</v>
      </c>
      <c r="C838">
        <v>42774</v>
      </c>
      <c r="D838" s="5">
        <v>4.8600000000000003</v>
      </c>
      <c r="F838" s="8">
        <v>100</v>
      </c>
      <c r="G838" s="8">
        <v>100</v>
      </c>
      <c r="H838" s="2">
        <f t="shared" si="40"/>
        <v>949184</v>
      </c>
      <c r="I838" s="12">
        <f t="shared" si="41"/>
        <v>0.17822499999999999</v>
      </c>
      <c r="J838" s="12">
        <f t="shared" si="42"/>
        <v>0.23264313725490196</v>
      </c>
    </row>
    <row r="839" spans="1:10" ht="15.75" customHeight="1">
      <c r="A839" s="7">
        <v>43573</v>
      </c>
      <c r="B839" s="10">
        <v>18</v>
      </c>
      <c r="C839">
        <v>66605</v>
      </c>
      <c r="D839" s="5">
        <v>7.33</v>
      </c>
      <c r="F839" s="8">
        <v>100</v>
      </c>
      <c r="G839" s="8">
        <v>100</v>
      </c>
      <c r="H839" s="2">
        <f t="shared" si="40"/>
        <v>1015789</v>
      </c>
      <c r="I839" s="12">
        <f t="shared" si="41"/>
        <v>0.27752083333333333</v>
      </c>
      <c r="J839" s="12">
        <f t="shared" si="42"/>
        <v>0.23513634259259258</v>
      </c>
    </row>
    <row r="840" spans="1:10" ht="15.75" customHeight="1">
      <c r="A840" s="7">
        <v>43574</v>
      </c>
      <c r="B840" s="10">
        <v>19</v>
      </c>
      <c r="C840">
        <v>66008</v>
      </c>
      <c r="D840" s="5">
        <v>7.38</v>
      </c>
      <c r="F840" s="8">
        <v>100</v>
      </c>
      <c r="G840" s="8">
        <v>100</v>
      </c>
      <c r="H840" s="2">
        <f t="shared" si="40"/>
        <v>1081797</v>
      </c>
      <c r="I840" s="12">
        <f t="shared" si="41"/>
        <v>0.27503333333333335</v>
      </c>
      <c r="J840" s="12">
        <f t="shared" si="42"/>
        <v>0.23723618421052631</v>
      </c>
    </row>
    <row r="841" spans="1:10" ht="15.75" customHeight="1">
      <c r="A841" s="7">
        <v>43575</v>
      </c>
      <c r="B841" s="10">
        <v>20</v>
      </c>
      <c r="C841">
        <v>63826</v>
      </c>
      <c r="D841" s="5">
        <v>7.38</v>
      </c>
      <c r="F841" s="8">
        <v>100</v>
      </c>
      <c r="G841" s="8">
        <v>100</v>
      </c>
      <c r="H841" s="2">
        <f t="shared" si="40"/>
        <v>1145623</v>
      </c>
      <c r="I841" s="12">
        <f t="shared" si="41"/>
        <v>0.26594166666666669</v>
      </c>
      <c r="J841" s="12">
        <f t="shared" si="42"/>
        <v>0.23867145833333334</v>
      </c>
    </row>
    <row r="842" spans="1:10" ht="15.75" customHeight="1">
      <c r="A842" s="7">
        <v>43576</v>
      </c>
      <c r="B842" s="10">
        <v>21</v>
      </c>
      <c r="C842">
        <v>63293</v>
      </c>
      <c r="D842" s="5">
        <v>7.21</v>
      </c>
      <c r="F842" s="8">
        <v>100</v>
      </c>
      <c r="G842" s="8">
        <v>100</v>
      </c>
      <c r="H842" s="2">
        <f t="shared" si="40"/>
        <v>1208916</v>
      </c>
      <c r="I842" s="12">
        <f t="shared" si="41"/>
        <v>0.26372083333333335</v>
      </c>
      <c r="J842" s="12">
        <f t="shared" si="42"/>
        <v>0.23986428571428572</v>
      </c>
    </row>
    <row r="843" spans="1:10" ht="15.75" customHeight="1">
      <c r="A843" s="7">
        <v>43577</v>
      </c>
      <c r="B843" s="10">
        <v>22</v>
      </c>
      <c r="C843">
        <v>60668</v>
      </c>
      <c r="D843" s="5">
        <v>7.13</v>
      </c>
      <c r="F843" s="8">
        <v>100</v>
      </c>
      <c r="G843" s="8">
        <v>100</v>
      </c>
      <c r="H843" s="2">
        <f t="shared" si="40"/>
        <v>1269584</v>
      </c>
      <c r="I843" s="12">
        <f t="shared" si="41"/>
        <v>0.25278333333333336</v>
      </c>
      <c r="J843" s="12">
        <f t="shared" si="42"/>
        <v>0.24045151515151514</v>
      </c>
    </row>
    <row r="844" spans="1:10" ht="15.75" customHeight="1">
      <c r="A844" s="7">
        <v>43578</v>
      </c>
      <c r="B844" s="10">
        <v>23</v>
      </c>
      <c r="C844">
        <v>61631</v>
      </c>
      <c r="D844" s="5">
        <v>7.33</v>
      </c>
      <c r="F844" s="8">
        <v>100</v>
      </c>
      <c r="G844" s="8">
        <v>100</v>
      </c>
      <c r="H844" s="2">
        <f t="shared" si="40"/>
        <v>1331215</v>
      </c>
      <c r="I844" s="12">
        <f t="shared" si="41"/>
        <v>0.25679583333333333</v>
      </c>
      <c r="J844" s="12">
        <f t="shared" si="42"/>
        <v>0.24116213768115943</v>
      </c>
    </row>
    <row r="845" spans="1:10" ht="15.75" customHeight="1">
      <c r="A845" s="7">
        <v>43579</v>
      </c>
      <c r="B845" s="10">
        <v>24</v>
      </c>
      <c r="C845">
        <v>59362</v>
      </c>
      <c r="D845" s="5">
        <v>6.92</v>
      </c>
      <c r="F845" s="8">
        <v>100</v>
      </c>
      <c r="G845" s="8">
        <v>100</v>
      </c>
      <c r="H845" s="2">
        <f t="shared" si="40"/>
        <v>1390577</v>
      </c>
      <c r="I845" s="12">
        <f t="shared" si="41"/>
        <v>0.24734166666666665</v>
      </c>
      <c r="J845" s="12">
        <f t="shared" si="42"/>
        <v>0.24141961805555556</v>
      </c>
    </row>
    <row r="846" spans="1:10" ht="15.75" customHeight="1">
      <c r="A846" s="7">
        <v>43580</v>
      </c>
      <c r="B846" s="10">
        <v>25</v>
      </c>
      <c r="C846">
        <v>57508</v>
      </c>
      <c r="D846" s="5">
        <v>6.67</v>
      </c>
      <c r="F846" s="8">
        <v>100</v>
      </c>
      <c r="G846" s="8">
        <v>100</v>
      </c>
      <c r="H846" s="2">
        <f t="shared" si="40"/>
        <v>1448085</v>
      </c>
      <c r="I846" s="12">
        <f t="shared" si="41"/>
        <v>0.23961666666666667</v>
      </c>
      <c r="J846" s="12">
        <f t="shared" si="42"/>
        <v>0.24134749999999999</v>
      </c>
    </row>
    <row r="847" spans="1:10" ht="15.75" customHeight="1">
      <c r="A847" s="7">
        <v>43581</v>
      </c>
      <c r="B847" s="10">
        <v>26</v>
      </c>
      <c r="C847">
        <v>56142</v>
      </c>
      <c r="D847" s="5">
        <v>6.84</v>
      </c>
      <c r="F847" s="8">
        <v>100</v>
      </c>
      <c r="G847" s="8">
        <v>100</v>
      </c>
      <c r="H847" s="2">
        <f t="shared" si="40"/>
        <v>1504227</v>
      </c>
      <c r="I847" s="12">
        <f t="shared" si="41"/>
        <v>0.23392499999999999</v>
      </c>
      <c r="J847" s="12">
        <f t="shared" si="42"/>
        <v>0.24106201923076923</v>
      </c>
    </row>
    <row r="848" spans="1:10" ht="15.75" customHeight="1">
      <c r="A848" s="7">
        <v>43582</v>
      </c>
      <c r="B848" s="10">
        <v>27</v>
      </c>
      <c r="C848">
        <v>59962</v>
      </c>
      <c r="D848" s="5">
        <v>7.22</v>
      </c>
      <c r="F848" s="8">
        <v>100</v>
      </c>
      <c r="G848" s="8">
        <v>100</v>
      </c>
      <c r="H848" s="2">
        <f t="shared" si="40"/>
        <v>1564189</v>
      </c>
      <c r="I848" s="12">
        <f t="shared" si="41"/>
        <v>0.24984166666666666</v>
      </c>
      <c r="J848" s="12">
        <f t="shared" si="42"/>
        <v>0.24138719135802469</v>
      </c>
    </row>
    <row r="849" spans="1:10" ht="15.75" customHeight="1">
      <c r="A849" s="7">
        <v>43583</v>
      </c>
      <c r="B849" s="10">
        <v>28</v>
      </c>
      <c r="C849">
        <v>58561</v>
      </c>
      <c r="D849" s="5">
        <v>7.08</v>
      </c>
      <c r="F849" s="8">
        <v>100</v>
      </c>
      <c r="G849" s="8">
        <v>100</v>
      </c>
      <c r="H849" s="2">
        <f t="shared" si="40"/>
        <v>1622750</v>
      </c>
      <c r="I849" s="12">
        <f t="shared" si="41"/>
        <v>0.24400416666666666</v>
      </c>
      <c r="J849" s="12">
        <f t="shared" si="42"/>
        <v>0.24148065476190475</v>
      </c>
    </row>
    <row r="850" spans="1:10" ht="15.75" customHeight="1">
      <c r="A850" s="7">
        <v>43584</v>
      </c>
      <c r="B850" s="10">
        <v>29</v>
      </c>
      <c r="C850">
        <v>62091</v>
      </c>
      <c r="D850" s="5">
        <v>7.08</v>
      </c>
      <c r="F850" s="8">
        <v>100</v>
      </c>
      <c r="G850" s="8">
        <v>100</v>
      </c>
      <c r="H850" s="2">
        <f t="shared" si="40"/>
        <v>1684841</v>
      </c>
      <c r="I850" s="12">
        <f t="shared" si="41"/>
        <v>0.25871250000000001</v>
      </c>
      <c r="J850" s="12">
        <f t="shared" si="42"/>
        <v>0.24207485632183909</v>
      </c>
    </row>
    <row r="851" spans="1:10" ht="15.75" customHeight="1">
      <c r="A851" s="7">
        <v>43585</v>
      </c>
      <c r="B851" s="10">
        <v>30</v>
      </c>
      <c r="C851">
        <v>62229</v>
      </c>
      <c r="D851" s="5">
        <v>7.47</v>
      </c>
      <c r="F851" s="8">
        <v>100</v>
      </c>
      <c r="G851" s="8">
        <v>100</v>
      </c>
      <c r="H851" s="2">
        <f t="shared" si="40"/>
        <v>1747070</v>
      </c>
      <c r="I851" s="12">
        <f t="shared" si="41"/>
        <v>0.2592875</v>
      </c>
      <c r="J851" s="12">
        <f t="shared" si="42"/>
        <v>0.24264861111111111</v>
      </c>
    </row>
    <row r="852" spans="1:10" ht="15.75" customHeight="1">
      <c r="A852" s="7">
        <v>43586</v>
      </c>
      <c r="B852" s="10">
        <v>31</v>
      </c>
      <c r="C852">
        <v>56450</v>
      </c>
      <c r="D852" s="5">
        <v>6.69</v>
      </c>
      <c r="F852" s="8">
        <v>100</v>
      </c>
      <c r="G852" s="8">
        <v>100</v>
      </c>
      <c r="H852" s="2">
        <f t="shared" si="40"/>
        <v>1803520</v>
      </c>
      <c r="I852" s="12">
        <f t="shared" si="41"/>
        <v>0.23520833333333332</v>
      </c>
      <c r="J852" s="12">
        <f t="shared" si="42"/>
        <v>0.24240860215053764</v>
      </c>
    </row>
    <row r="853" spans="1:10" ht="15.75" customHeight="1">
      <c r="A853" s="7">
        <v>43587</v>
      </c>
      <c r="B853" s="10">
        <v>32</v>
      </c>
      <c r="C853">
        <v>58471</v>
      </c>
      <c r="D853" s="5">
        <v>6.92</v>
      </c>
      <c r="F853" s="8">
        <v>100</v>
      </c>
      <c r="G853" s="8">
        <v>100</v>
      </c>
      <c r="H853" s="2">
        <f t="shared" si="40"/>
        <v>1861991</v>
      </c>
      <c r="I853" s="12">
        <f t="shared" si="41"/>
        <v>0.24362916666666667</v>
      </c>
      <c r="J853" s="12">
        <f t="shared" si="42"/>
        <v>0.24244674479166667</v>
      </c>
    </row>
    <row r="854" spans="1:10" ht="15.75" customHeight="1">
      <c r="A854" s="7">
        <v>43588</v>
      </c>
      <c r="B854" s="10">
        <v>33</v>
      </c>
      <c r="C854">
        <v>60315</v>
      </c>
      <c r="D854" s="5">
        <v>7.3</v>
      </c>
      <c r="F854" s="8">
        <v>100</v>
      </c>
      <c r="G854" s="8">
        <v>100</v>
      </c>
      <c r="H854" s="2">
        <f t="shared" si="40"/>
        <v>1922306</v>
      </c>
      <c r="I854" s="12">
        <f t="shared" si="41"/>
        <v>0.25131249999999999</v>
      </c>
      <c r="J854" s="12">
        <f t="shared" si="42"/>
        <v>0.24271540404040404</v>
      </c>
    </row>
    <row r="855" spans="1:10" ht="15.75" customHeight="1">
      <c r="A855" s="7">
        <v>43589</v>
      </c>
      <c r="B855" s="10">
        <v>34</v>
      </c>
      <c r="C855">
        <v>59201</v>
      </c>
      <c r="D855" s="5">
        <v>7.25</v>
      </c>
      <c r="F855" s="8">
        <v>100</v>
      </c>
      <c r="G855" s="8">
        <v>100</v>
      </c>
      <c r="H855" s="2">
        <f t="shared" si="40"/>
        <v>1981507</v>
      </c>
      <c r="I855" s="12">
        <f t="shared" si="41"/>
        <v>0.24667083333333334</v>
      </c>
      <c r="J855" s="12">
        <f t="shared" si="42"/>
        <v>0.24283174019607842</v>
      </c>
    </row>
    <row r="856" spans="1:10" ht="15.75" customHeight="1">
      <c r="A856" s="7">
        <v>43590</v>
      </c>
      <c r="B856" s="10">
        <v>35</v>
      </c>
      <c r="C856">
        <v>62380</v>
      </c>
      <c r="D856" s="5">
        <v>7.6</v>
      </c>
      <c r="F856" s="8">
        <v>100</v>
      </c>
      <c r="G856" s="8">
        <v>100</v>
      </c>
      <c r="H856" s="2">
        <f t="shared" si="40"/>
        <v>2043887</v>
      </c>
      <c r="I856" s="12">
        <f t="shared" si="41"/>
        <v>0.25991666666666668</v>
      </c>
      <c r="J856" s="12">
        <f t="shared" si="42"/>
        <v>0.24331988095238094</v>
      </c>
    </row>
    <row r="857" spans="1:10" ht="15.75" customHeight="1">
      <c r="A857" s="7">
        <v>43591</v>
      </c>
      <c r="B857" s="10">
        <v>36</v>
      </c>
      <c r="C857">
        <v>61344</v>
      </c>
      <c r="D857" s="5">
        <v>7.54</v>
      </c>
      <c r="F857" s="8">
        <v>100</v>
      </c>
      <c r="G857" s="8">
        <v>100</v>
      </c>
      <c r="H857" s="2">
        <f t="shared" si="40"/>
        <v>2105231</v>
      </c>
      <c r="I857" s="12">
        <f t="shared" si="41"/>
        <v>0.25559999999999999</v>
      </c>
      <c r="J857" s="12">
        <f t="shared" si="42"/>
        <v>0.24366099537037036</v>
      </c>
    </row>
    <row r="858" spans="1:10" ht="15.75" customHeight="1">
      <c r="A858" s="7">
        <v>43592</v>
      </c>
      <c r="B858" s="10">
        <v>37</v>
      </c>
      <c r="C858">
        <v>60321</v>
      </c>
      <c r="D858" s="5">
        <v>7.4</v>
      </c>
      <c r="F858" s="8">
        <v>100</v>
      </c>
      <c r="G858" s="8">
        <v>100</v>
      </c>
      <c r="H858" s="2">
        <f t="shared" si="40"/>
        <v>2165552</v>
      </c>
      <c r="I858" s="12">
        <f t="shared" si="41"/>
        <v>0.25133749999999999</v>
      </c>
      <c r="J858" s="12">
        <f t="shared" si="42"/>
        <v>0.24386846846846846</v>
      </c>
    </row>
    <row r="859" spans="1:10" ht="15.75" customHeight="1">
      <c r="A859" s="7">
        <v>43593</v>
      </c>
      <c r="B859" s="10">
        <v>38</v>
      </c>
      <c r="C859">
        <v>55872</v>
      </c>
      <c r="D859" s="5">
        <v>6.63</v>
      </c>
      <c r="F859" s="8">
        <v>100</v>
      </c>
      <c r="G859" s="8">
        <v>100</v>
      </c>
      <c r="H859" s="2">
        <f t="shared" si="40"/>
        <v>2221424</v>
      </c>
      <c r="I859" s="12">
        <f t="shared" si="41"/>
        <v>0.23280000000000001</v>
      </c>
      <c r="J859" s="12">
        <f t="shared" si="42"/>
        <v>0.24357719298245614</v>
      </c>
    </row>
    <row r="860" spans="1:10" ht="15.75" customHeight="1">
      <c r="A860" s="7">
        <v>43594</v>
      </c>
      <c r="B860" s="10">
        <v>39</v>
      </c>
      <c r="C860">
        <v>59580</v>
      </c>
      <c r="D860" s="5">
        <v>7.08</v>
      </c>
      <c r="F860" s="8">
        <v>100</v>
      </c>
      <c r="G860" s="8">
        <v>100</v>
      </c>
      <c r="H860" s="2">
        <f t="shared" si="40"/>
        <v>2281004</v>
      </c>
      <c r="I860" s="12">
        <f t="shared" si="41"/>
        <v>0.24825</v>
      </c>
      <c r="J860" s="12">
        <f t="shared" si="42"/>
        <v>0.24369700854700854</v>
      </c>
    </row>
    <row r="861" spans="1:10" ht="15.75" customHeight="1">
      <c r="A861" s="7">
        <v>43595</v>
      </c>
      <c r="B861" s="10">
        <v>40</v>
      </c>
      <c r="C861">
        <v>61232</v>
      </c>
      <c r="D861" s="5">
        <v>7.28</v>
      </c>
      <c r="F861" s="8">
        <v>100</v>
      </c>
      <c r="G861" s="8">
        <v>100</v>
      </c>
      <c r="H861" s="2">
        <f t="shared" si="40"/>
        <v>2342236</v>
      </c>
      <c r="I861" s="12">
        <f t="shared" si="41"/>
        <v>0.25513333333333332</v>
      </c>
      <c r="J861" s="12">
        <f t="shared" si="42"/>
        <v>0.24398291666666666</v>
      </c>
    </row>
    <row r="862" spans="1:10" ht="15.75" customHeight="1">
      <c r="A862" s="7">
        <v>43596</v>
      </c>
      <c r="B862" s="10">
        <v>41</v>
      </c>
      <c r="C862">
        <v>58522</v>
      </c>
      <c r="D862" s="5">
        <v>6.97</v>
      </c>
      <c r="F862" s="8">
        <v>100</v>
      </c>
      <c r="G862" s="8">
        <v>100</v>
      </c>
      <c r="H862" s="2">
        <f t="shared" si="40"/>
        <v>2400758</v>
      </c>
      <c r="I862" s="12">
        <f t="shared" si="41"/>
        <v>0.24384166666666668</v>
      </c>
      <c r="J862" s="12">
        <f t="shared" si="42"/>
        <v>0.24397947154471544</v>
      </c>
    </row>
    <row r="863" spans="1:10" ht="15.75" customHeight="1">
      <c r="A863" s="7">
        <v>43597</v>
      </c>
      <c r="B863" s="10">
        <v>42</v>
      </c>
      <c r="C863">
        <v>60951</v>
      </c>
      <c r="D863" s="5">
        <v>7.02</v>
      </c>
      <c r="F863" s="8">
        <v>100</v>
      </c>
      <c r="G863" s="8">
        <v>100</v>
      </c>
      <c r="H863" s="2">
        <f t="shared" si="40"/>
        <v>2461709</v>
      </c>
      <c r="I863" s="12">
        <f t="shared" si="41"/>
        <v>0.25396249999999998</v>
      </c>
      <c r="J863" s="12">
        <f t="shared" si="42"/>
        <v>0.2442171626984127</v>
      </c>
    </row>
    <row r="864" spans="1:10" ht="15.75" customHeight="1">
      <c r="A864" s="7">
        <v>43598</v>
      </c>
      <c r="B864" s="10">
        <v>43</v>
      </c>
      <c r="C864">
        <v>56786</v>
      </c>
      <c r="D864" s="5">
        <v>6.89</v>
      </c>
      <c r="F864" s="8">
        <v>100</v>
      </c>
      <c r="G864" s="8">
        <v>100</v>
      </c>
      <c r="H864" s="2">
        <f t="shared" si="40"/>
        <v>2518495</v>
      </c>
      <c r="I864" s="12">
        <f t="shared" si="41"/>
        <v>0.23660833333333334</v>
      </c>
      <c r="J864" s="12">
        <f t="shared" si="42"/>
        <v>0.24404021317829458</v>
      </c>
    </row>
    <row r="865" spans="1:10" ht="15.75" customHeight="1">
      <c r="A865" s="7">
        <v>43599</v>
      </c>
      <c r="B865" s="10">
        <v>44</v>
      </c>
      <c r="C865">
        <v>58026</v>
      </c>
      <c r="D865" s="5">
        <v>6.94</v>
      </c>
      <c r="F865" s="8">
        <v>100</v>
      </c>
      <c r="G865" s="8">
        <v>100</v>
      </c>
      <c r="H865" s="2">
        <f t="shared" si="40"/>
        <v>2576521</v>
      </c>
      <c r="I865" s="12">
        <f t="shared" si="41"/>
        <v>0.24177499999999999</v>
      </c>
      <c r="J865" s="12">
        <f t="shared" si="42"/>
        <v>0.24398873106060606</v>
      </c>
    </row>
    <row r="866" spans="1:10" ht="15.75" customHeight="1">
      <c r="A866" s="7">
        <v>43600</v>
      </c>
      <c r="B866" s="10">
        <v>45</v>
      </c>
      <c r="C866">
        <v>57786</v>
      </c>
      <c r="D866" s="5">
        <v>6.94</v>
      </c>
      <c r="F866" s="8">
        <v>100</v>
      </c>
      <c r="G866" s="8">
        <v>100</v>
      </c>
      <c r="H866" s="2">
        <f t="shared" si="40"/>
        <v>2634307</v>
      </c>
      <c r="I866" s="12">
        <f t="shared" si="41"/>
        <v>0.24077499999999999</v>
      </c>
      <c r="J866" s="12">
        <f t="shared" si="42"/>
        <v>0.24391731481481482</v>
      </c>
    </row>
    <row r="867" spans="1:10" ht="15.75" customHeight="1">
      <c r="A867" s="7">
        <v>43601</v>
      </c>
      <c r="B867" s="10">
        <v>46</v>
      </c>
      <c r="C867">
        <v>61098</v>
      </c>
      <c r="D867" s="5">
        <v>7.43</v>
      </c>
      <c r="F867" s="8">
        <v>100</v>
      </c>
      <c r="G867" s="8">
        <v>100</v>
      </c>
      <c r="H867" s="2">
        <f t="shared" si="40"/>
        <v>2695405</v>
      </c>
      <c r="I867" s="12">
        <f t="shared" si="41"/>
        <v>0.254575</v>
      </c>
      <c r="J867" s="12">
        <f t="shared" si="42"/>
        <v>0.24414900362318839</v>
      </c>
    </row>
    <row r="868" spans="1:10" ht="15.75" customHeight="1">
      <c r="A868" s="7">
        <v>43602</v>
      </c>
      <c r="B868" s="10">
        <v>47</v>
      </c>
      <c r="C868">
        <v>49608</v>
      </c>
      <c r="D868" s="5">
        <v>6.26</v>
      </c>
      <c r="F868" s="8">
        <v>100</v>
      </c>
      <c r="G868" s="8">
        <v>100</v>
      </c>
      <c r="H868" s="2">
        <f t="shared" si="40"/>
        <v>2745013</v>
      </c>
      <c r="I868" s="12">
        <f t="shared" si="41"/>
        <v>0.20669999999999999</v>
      </c>
      <c r="J868" s="12">
        <f t="shared" si="42"/>
        <v>0.24335221631205672</v>
      </c>
    </row>
    <row r="869" spans="1:10" ht="15.75" customHeight="1">
      <c r="A869" s="7">
        <v>43603</v>
      </c>
      <c r="B869" s="10">
        <v>48</v>
      </c>
      <c r="C869">
        <v>62178</v>
      </c>
      <c r="D869" s="5">
        <v>7.67</v>
      </c>
      <c r="F869" s="8">
        <v>100</v>
      </c>
      <c r="G869" s="8">
        <v>100</v>
      </c>
      <c r="H869" s="2">
        <f t="shared" si="40"/>
        <v>2807191</v>
      </c>
      <c r="I869" s="12">
        <f t="shared" si="41"/>
        <v>0.259075</v>
      </c>
      <c r="J869" s="12">
        <f t="shared" si="42"/>
        <v>0.24367977430555557</v>
      </c>
    </row>
    <row r="870" spans="1:10" ht="15.75" customHeight="1">
      <c r="A870" s="7">
        <v>43604</v>
      </c>
      <c r="B870" s="10">
        <v>49</v>
      </c>
      <c r="C870">
        <v>58392</v>
      </c>
      <c r="D870" s="5">
        <v>7.29</v>
      </c>
      <c r="F870" s="8">
        <v>100</v>
      </c>
      <c r="G870" s="8">
        <v>100</v>
      </c>
      <c r="H870" s="2">
        <f t="shared" si="40"/>
        <v>2865583</v>
      </c>
      <c r="I870" s="12">
        <f t="shared" si="41"/>
        <v>0.24329999999999999</v>
      </c>
      <c r="J870" s="12">
        <f t="shared" si="42"/>
        <v>0.2436720238095238</v>
      </c>
    </row>
    <row r="871" spans="1:10" ht="15.75" customHeight="1">
      <c r="A871" s="7">
        <v>43605</v>
      </c>
      <c r="B871" s="10">
        <v>50</v>
      </c>
      <c r="C871">
        <v>56266</v>
      </c>
      <c r="D871" s="5">
        <v>6.97</v>
      </c>
      <c r="F871" s="8">
        <v>100</v>
      </c>
      <c r="G871" s="8">
        <v>100</v>
      </c>
      <c r="H871" s="2">
        <f t="shared" si="40"/>
        <v>2921849</v>
      </c>
      <c r="I871" s="12">
        <f t="shared" si="41"/>
        <v>0.23444166666666666</v>
      </c>
      <c r="J871" s="12">
        <f t="shared" si="42"/>
        <v>0.24348741666666668</v>
      </c>
    </row>
    <row r="872" spans="1:10" ht="15.75" customHeight="1">
      <c r="A872" s="7">
        <v>43606</v>
      </c>
      <c r="B872" s="10">
        <v>51</v>
      </c>
      <c r="C872">
        <v>53923</v>
      </c>
      <c r="D872" s="5">
        <v>6.97</v>
      </c>
      <c r="F872" s="8">
        <v>100</v>
      </c>
      <c r="G872" s="8">
        <v>100</v>
      </c>
      <c r="H872" s="2">
        <f t="shared" si="40"/>
        <v>2975772</v>
      </c>
      <c r="I872" s="12">
        <f t="shared" si="41"/>
        <v>0.22467916666666668</v>
      </c>
      <c r="J872" s="12">
        <f t="shared" si="42"/>
        <v>0.2431186274509804</v>
      </c>
    </row>
    <row r="873" spans="1:10" ht="15.75" customHeight="1">
      <c r="A873" s="7">
        <v>43607</v>
      </c>
      <c r="B873" s="10">
        <v>52</v>
      </c>
      <c r="C873">
        <v>59196</v>
      </c>
      <c r="D873" s="5">
        <v>7.49</v>
      </c>
      <c r="F873" s="8">
        <v>100</v>
      </c>
      <c r="G873" s="8">
        <v>100</v>
      </c>
      <c r="H873" s="2">
        <f t="shared" si="40"/>
        <v>3034968</v>
      </c>
      <c r="I873" s="12">
        <f t="shared" si="41"/>
        <v>0.24665000000000001</v>
      </c>
      <c r="J873" s="12">
        <f t="shared" si="42"/>
        <v>0.24318653846153845</v>
      </c>
    </row>
    <row r="874" spans="1:10" ht="15.75" customHeight="1">
      <c r="A874" s="7">
        <v>43608</v>
      </c>
      <c r="B874" s="10">
        <v>53</v>
      </c>
      <c r="C874">
        <v>57459</v>
      </c>
      <c r="D874" s="5">
        <v>7.22</v>
      </c>
      <c r="F874" s="8">
        <v>100</v>
      </c>
      <c r="G874" s="8">
        <v>100</v>
      </c>
      <c r="H874" s="2">
        <f t="shared" si="40"/>
        <v>3092427</v>
      </c>
      <c r="I874" s="12">
        <f t="shared" si="41"/>
        <v>0.2394125</v>
      </c>
      <c r="J874" s="12">
        <f t="shared" si="42"/>
        <v>0.24311533018867926</v>
      </c>
    </row>
    <row r="875" spans="1:10" ht="15.75" customHeight="1">
      <c r="A875" s="7">
        <v>43609</v>
      </c>
      <c r="B875" s="10">
        <v>54</v>
      </c>
      <c r="C875">
        <v>57900</v>
      </c>
      <c r="D875" s="5">
        <v>7.3</v>
      </c>
      <c r="F875" s="8">
        <v>100</v>
      </c>
      <c r="G875" s="8">
        <v>100</v>
      </c>
      <c r="H875" s="2">
        <f t="shared" si="40"/>
        <v>3150327</v>
      </c>
      <c r="I875" s="12">
        <f t="shared" si="41"/>
        <v>0.24124999999999999</v>
      </c>
      <c r="J875" s="12">
        <f t="shared" si="42"/>
        <v>0.24308078703703703</v>
      </c>
    </row>
    <row r="876" spans="1:10" ht="15.75" customHeight="1">
      <c r="A876" s="7">
        <v>43610</v>
      </c>
      <c r="B876" s="10">
        <v>55</v>
      </c>
      <c r="C876">
        <v>61773</v>
      </c>
      <c r="D876" s="5">
        <v>7.78</v>
      </c>
      <c r="F876" s="8">
        <v>100</v>
      </c>
      <c r="G876" s="8">
        <v>100</v>
      </c>
      <c r="H876" s="2">
        <f t="shared" si="40"/>
        <v>3212100</v>
      </c>
      <c r="I876" s="12">
        <f t="shared" si="41"/>
        <v>0.25738749999999999</v>
      </c>
      <c r="J876" s="12">
        <f t="shared" si="42"/>
        <v>0.24334090909090908</v>
      </c>
    </row>
    <row r="877" spans="1:10" ht="15.75" customHeight="1">
      <c r="A877" s="7">
        <v>43611</v>
      </c>
      <c r="B877" s="10">
        <v>56</v>
      </c>
      <c r="C877">
        <v>60178</v>
      </c>
      <c r="D877" s="5">
        <v>7.82</v>
      </c>
      <c r="F877" s="8">
        <v>100</v>
      </c>
      <c r="G877" s="8">
        <v>100</v>
      </c>
      <c r="H877" s="2">
        <f t="shared" si="40"/>
        <v>3272278</v>
      </c>
      <c r="I877" s="12">
        <f t="shared" si="41"/>
        <v>0.25074166666666664</v>
      </c>
      <c r="J877" s="12">
        <f t="shared" si="42"/>
        <v>0.24347306547619046</v>
      </c>
    </row>
    <row r="878" spans="1:10" ht="15.75" customHeight="1">
      <c r="A878" s="7">
        <v>43612</v>
      </c>
      <c r="B878" s="10">
        <v>57</v>
      </c>
      <c r="C878">
        <v>59317</v>
      </c>
      <c r="D878" s="5">
        <v>7.71</v>
      </c>
      <c r="F878" s="8">
        <v>100</v>
      </c>
      <c r="G878" s="8">
        <v>100</v>
      </c>
      <c r="H878" s="2">
        <f t="shared" si="40"/>
        <v>3331595</v>
      </c>
      <c r="I878" s="12">
        <f t="shared" si="41"/>
        <v>0.24715416666666667</v>
      </c>
      <c r="J878" s="12">
        <f t="shared" si="42"/>
        <v>0.24353764619883042</v>
      </c>
    </row>
    <row r="879" spans="1:10" ht="15.75" customHeight="1">
      <c r="A879" s="7">
        <v>43613</v>
      </c>
      <c r="B879" s="10">
        <v>58</v>
      </c>
      <c r="C879">
        <v>54199</v>
      </c>
      <c r="D879" s="5">
        <v>7.2</v>
      </c>
      <c r="F879" s="8">
        <v>100</v>
      </c>
      <c r="G879" s="8">
        <v>100</v>
      </c>
      <c r="H879" s="2">
        <f t="shared" si="40"/>
        <v>3385794</v>
      </c>
      <c r="I879" s="12">
        <f t="shared" si="41"/>
        <v>0.22582916666666666</v>
      </c>
      <c r="J879" s="12">
        <f t="shared" si="42"/>
        <v>0.24323232758620689</v>
      </c>
    </row>
    <row r="880" spans="1:10" ht="15.75" customHeight="1">
      <c r="A880" s="7">
        <v>43614</v>
      </c>
      <c r="B880" s="10">
        <v>59</v>
      </c>
      <c r="C880">
        <v>58252</v>
      </c>
      <c r="D880" s="5">
        <v>7.7</v>
      </c>
      <c r="F880" s="8">
        <v>100</v>
      </c>
      <c r="G880" s="8">
        <v>100</v>
      </c>
      <c r="H880" s="2">
        <f t="shared" si="40"/>
        <v>3444046</v>
      </c>
      <c r="I880" s="12">
        <f t="shared" si="41"/>
        <v>0.24271666666666666</v>
      </c>
      <c r="J880" s="12">
        <f t="shared" si="42"/>
        <v>0.24322358757062146</v>
      </c>
    </row>
    <row r="881" spans="1:10" ht="15.75" customHeight="1">
      <c r="A881" s="7">
        <v>43615</v>
      </c>
      <c r="B881" s="10">
        <v>60</v>
      </c>
      <c r="C881">
        <v>45158</v>
      </c>
      <c r="D881" s="5">
        <v>5.91</v>
      </c>
      <c r="F881" s="8">
        <v>100</v>
      </c>
      <c r="G881" s="8">
        <v>100</v>
      </c>
      <c r="H881" s="2">
        <f t="shared" si="40"/>
        <v>3489204</v>
      </c>
      <c r="I881" s="12">
        <f t="shared" si="41"/>
        <v>0.18815833333333334</v>
      </c>
      <c r="J881" s="12">
        <f t="shared" si="42"/>
        <v>0.24230583333333333</v>
      </c>
    </row>
    <row r="882" spans="1:10" ht="15.75" customHeight="1">
      <c r="A882" s="7">
        <v>43616</v>
      </c>
      <c r="B882" s="10">
        <v>61</v>
      </c>
      <c r="C882">
        <v>55390</v>
      </c>
      <c r="D882" s="5">
        <v>7.1</v>
      </c>
      <c r="F882" s="8">
        <v>100</v>
      </c>
      <c r="G882" s="8">
        <v>100</v>
      </c>
      <c r="H882" s="2">
        <f t="shared" si="40"/>
        <v>3544594</v>
      </c>
      <c r="I882" s="12">
        <f t="shared" si="41"/>
        <v>0.23079166666666667</v>
      </c>
      <c r="J882" s="12">
        <f t="shared" si="42"/>
        <v>0.24211707650273223</v>
      </c>
    </row>
    <row r="883" spans="1:10" ht="15.75" customHeight="1">
      <c r="A883" s="7">
        <v>43617</v>
      </c>
      <c r="B883" s="10">
        <v>62</v>
      </c>
      <c r="C883">
        <v>58487</v>
      </c>
      <c r="D883" s="5">
        <v>7.69</v>
      </c>
      <c r="F883" s="8">
        <v>100</v>
      </c>
      <c r="G883" s="8">
        <v>100</v>
      </c>
      <c r="H883" s="2">
        <f t="shared" si="40"/>
        <v>3603081</v>
      </c>
      <c r="I883" s="12">
        <f t="shared" si="41"/>
        <v>0.24369583333333333</v>
      </c>
      <c r="J883" s="12">
        <f t="shared" si="42"/>
        <v>0.24214254032258065</v>
      </c>
    </row>
    <row r="884" spans="1:10" ht="15.75" customHeight="1">
      <c r="A884" s="7">
        <v>43618</v>
      </c>
      <c r="B884" s="10">
        <v>63</v>
      </c>
      <c r="C884">
        <v>59312</v>
      </c>
      <c r="D884" s="5">
        <v>7.56</v>
      </c>
      <c r="F884" s="8">
        <v>100</v>
      </c>
      <c r="G884" s="8">
        <v>100</v>
      </c>
      <c r="H884" s="2">
        <f t="shared" si="40"/>
        <v>3662393</v>
      </c>
      <c r="I884" s="12">
        <f t="shared" si="41"/>
        <v>0.24713333333333334</v>
      </c>
      <c r="J884" s="12">
        <f t="shared" si="42"/>
        <v>0.24222175925925926</v>
      </c>
    </row>
    <row r="885" spans="1:10" ht="15.75" customHeight="1">
      <c r="A885" s="7">
        <v>43619</v>
      </c>
      <c r="B885" s="10">
        <v>64</v>
      </c>
      <c r="C885">
        <v>55756</v>
      </c>
      <c r="D885" s="5">
        <v>7.41</v>
      </c>
      <c r="F885" s="8">
        <v>100</v>
      </c>
      <c r="G885" s="8">
        <v>100</v>
      </c>
      <c r="H885" s="2">
        <f t="shared" si="40"/>
        <v>3718149</v>
      </c>
      <c r="I885" s="12">
        <f t="shared" si="41"/>
        <v>0.23231666666666667</v>
      </c>
      <c r="J885" s="12">
        <f t="shared" si="42"/>
        <v>0.2420669921875</v>
      </c>
    </row>
    <row r="886" spans="1:10" ht="15.75" customHeight="1">
      <c r="A886" s="7">
        <v>43620</v>
      </c>
      <c r="B886" s="10">
        <v>65</v>
      </c>
      <c r="C886">
        <v>56706</v>
      </c>
      <c r="D886" s="5">
        <v>7.12</v>
      </c>
      <c r="F886" s="8">
        <v>100</v>
      </c>
      <c r="G886" s="8">
        <v>100</v>
      </c>
      <c r="H886" s="2">
        <f t="shared" si="40"/>
        <v>3774855</v>
      </c>
      <c r="I886" s="12">
        <f t="shared" si="41"/>
        <v>0.23627500000000001</v>
      </c>
      <c r="J886" s="12">
        <f t="shared" si="42"/>
        <v>0.24197788461538461</v>
      </c>
    </row>
    <row r="887" spans="1:10" ht="15.75" customHeight="1">
      <c r="A887" s="7">
        <v>43621</v>
      </c>
      <c r="B887" s="10">
        <v>66</v>
      </c>
      <c r="C887">
        <v>58683</v>
      </c>
      <c r="D887" s="5">
        <v>7.36</v>
      </c>
      <c r="F887" s="8">
        <v>100</v>
      </c>
      <c r="G887" s="8">
        <v>100</v>
      </c>
      <c r="H887" s="2">
        <f t="shared" ref="H887:H950" si="43">H886+C887</f>
        <v>3833538</v>
      </c>
      <c r="I887" s="12">
        <f t="shared" si="41"/>
        <v>0.24451249999999999</v>
      </c>
      <c r="J887" s="12">
        <f t="shared" si="42"/>
        <v>0.24201628787878787</v>
      </c>
    </row>
    <row r="888" spans="1:10" ht="15.75" customHeight="1">
      <c r="A888" s="7">
        <v>43622</v>
      </c>
      <c r="B888" s="10">
        <v>67</v>
      </c>
      <c r="C888">
        <v>49058</v>
      </c>
      <c r="D888" s="5">
        <v>6.51</v>
      </c>
      <c r="F888" s="8">
        <v>100</v>
      </c>
      <c r="G888" s="8">
        <v>100</v>
      </c>
      <c r="H888" s="2">
        <f t="shared" si="43"/>
        <v>3882596</v>
      </c>
      <c r="I888" s="12">
        <f t="shared" si="41"/>
        <v>0.20440833333333333</v>
      </c>
      <c r="J888" s="12">
        <f t="shared" si="42"/>
        <v>0.24145497512437811</v>
      </c>
    </row>
    <row r="889" spans="1:10" ht="15.75" customHeight="1">
      <c r="A889" s="7">
        <v>43623</v>
      </c>
      <c r="B889" s="10">
        <v>68</v>
      </c>
      <c r="C889">
        <v>55397</v>
      </c>
      <c r="D889" s="5">
        <v>7.07</v>
      </c>
      <c r="F889" s="8">
        <v>100</v>
      </c>
      <c r="G889" s="8">
        <v>100</v>
      </c>
      <c r="H889" s="2">
        <f t="shared" si="43"/>
        <v>3937993</v>
      </c>
      <c r="I889" s="12">
        <f t="shared" si="41"/>
        <v>0.23082083333333334</v>
      </c>
      <c r="J889" s="12">
        <f t="shared" si="42"/>
        <v>0.24129859068627452</v>
      </c>
    </row>
    <row r="890" spans="1:10" ht="15.75" customHeight="1">
      <c r="A890" s="7">
        <v>43624</v>
      </c>
      <c r="B890" s="10">
        <v>69</v>
      </c>
      <c r="C890">
        <v>55710</v>
      </c>
      <c r="D890" s="5">
        <v>7.57</v>
      </c>
      <c r="F890" s="8">
        <v>98.482581297814491</v>
      </c>
      <c r="G890" s="8">
        <v>100</v>
      </c>
      <c r="H890" s="2">
        <f t="shared" si="43"/>
        <v>3993703</v>
      </c>
      <c r="I890" s="12">
        <f t="shared" si="41"/>
        <v>0.232125</v>
      </c>
      <c r="J890" s="12">
        <f t="shared" si="42"/>
        <v>0.24116564009661837</v>
      </c>
    </row>
    <row r="891" spans="1:10" ht="15.75" customHeight="1">
      <c r="A891" s="7">
        <v>43625</v>
      </c>
      <c r="B891" s="10">
        <v>70</v>
      </c>
      <c r="C891">
        <v>59593</v>
      </c>
      <c r="D891" s="5">
        <v>7.88</v>
      </c>
      <c r="F891" s="8">
        <v>100</v>
      </c>
      <c r="G891" s="8">
        <v>100</v>
      </c>
      <c r="H891" s="2">
        <f t="shared" si="43"/>
        <v>4053296</v>
      </c>
      <c r="I891" s="12">
        <f t="shared" si="41"/>
        <v>0.24830416666666666</v>
      </c>
      <c r="J891" s="12">
        <f t="shared" si="42"/>
        <v>0.24126761904761904</v>
      </c>
    </row>
    <row r="892" spans="1:10" ht="15.75" customHeight="1">
      <c r="A892" s="7">
        <v>43626</v>
      </c>
      <c r="B892" s="10">
        <v>71</v>
      </c>
      <c r="C892">
        <v>59502</v>
      </c>
      <c r="D892" s="5">
        <v>7.94</v>
      </c>
      <c r="F892" s="8">
        <v>100</v>
      </c>
      <c r="G892" s="8">
        <v>100</v>
      </c>
      <c r="H892" s="2">
        <f t="shared" si="43"/>
        <v>4112798</v>
      </c>
      <c r="I892" s="12">
        <f t="shared" si="41"/>
        <v>0.24792500000000001</v>
      </c>
      <c r="J892" s="12">
        <f t="shared" si="42"/>
        <v>0.24136138497652582</v>
      </c>
    </row>
    <row r="893" spans="1:10" ht="15.75" customHeight="1">
      <c r="A893" s="7">
        <v>43627</v>
      </c>
      <c r="B893" s="10">
        <v>72</v>
      </c>
      <c r="C893">
        <v>58910</v>
      </c>
      <c r="D893" s="5">
        <v>7.67</v>
      </c>
      <c r="F893" s="8">
        <v>100</v>
      </c>
      <c r="G893" s="8">
        <v>100</v>
      </c>
      <c r="H893" s="2">
        <f t="shared" si="43"/>
        <v>4171708</v>
      </c>
      <c r="I893" s="12">
        <f t="shared" si="41"/>
        <v>0.24545833333333333</v>
      </c>
      <c r="J893" s="12">
        <f t="shared" si="42"/>
        <v>0.24141828703703705</v>
      </c>
    </row>
    <row r="894" spans="1:10" ht="15.75" customHeight="1">
      <c r="A894" s="7">
        <v>43628</v>
      </c>
      <c r="B894" s="10">
        <v>73</v>
      </c>
      <c r="C894">
        <v>58268</v>
      </c>
      <c r="D894" s="5">
        <v>7.54</v>
      </c>
      <c r="F894" s="8">
        <v>100</v>
      </c>
      <c r="G894" s="8">
        <v>100</v>
      </c>
      <c r="H894" s="2">
        <f t="shared" si="43"/>
        <v>4229976</v>
      </c>
      <c r="I894" s="12">
        <f t="shared" si="41"/>
        <v>0.24278333333333332</v>
      </c>
      <c r="J894" s="12">
        <f t="shared" si="42"/>
        <v>0.24143698630136987</v>
      </c>
    </row>
    <row r="895" spans="1:10" ht="15.75" customHeight="1">
      <c r="A895" s="7">
        <v>43629</v>
      </c>
      <c r="B895" s="10">
        <v>74</v>
      </c>
      <c r="C895">
        <v>44934</v>
      </c>
      <c r="D895" s="5">
        <v>5.76</v>
      </c>
      <c r="F895" s="8">
        <v>100</v>
      </c>
      <c r="G895" s="8">
        <v>100</v>
      </c>
      <c r="H895" s="2">
        <f t="shared" si="43"/>
        <v>4274910</v>
      </c>
      <c r="I895" s="12">
        <f t="shared" si="41"/>
        <v>0.187225</v>
      </c>
      <c r="J895" s="12">
        <f t="shared" si="42"/>
        <v>0.24070439189189188</v>
      </c>
    </row>
    <row r="896" spans="1:10" ht="15.75" customHeight="1">
      <c r="A896" s="7">
        <v>43630</v>
      </c>
      <c r="B896" s="10">
        <v>75</v>
      </c>
      <c r="C896">
        <v>56694</v>
      </c>
      <c r="D896" s="5">
        <v>6.86</v>
      </c>
      <c r="F896" s="8">
        <v>100</v>
      </c>
      <c r="G896" s="8">
        <v>100</v>
      </c>
      <c r="H896" s="2">
        <f t="shared" si="43"/>
        <v>4331604</v>
      </c>
      <c r="I896" s="12">
        <f t="shared" si="41"/>
        <v>0.23622499999999999</v>
      </c>
      <c r="J896" s="12">
        <f t="shared" si="42"/>
        <v>0.24064466666666667</v>
      </c>
    </row>
    <row r="897" spans="1:10" ht="15.75" customHeight="1">
      <c r="A897" s="7">
        <v>43631</v>
      </c>
      <c r="B897" s="10">
        <v>76</v>
      </c>
      <c r="C897">
        <v>55955</v>
      </c>
      <c r="D897" s="5">
        <v>7.09</v>
      </c>
      <c r="F897" s="8">
        <v>100</v>
      </c>
      <c r="G897" s="8">
        <v>100</v>
      </c>
      <c r="H897" s="2">
        <f t="shared" si="43"/>
        <v>4387559</v>
      </c>
      <c r="I897" s="12">
        <f t="shared" si="41"/>
        <v>0.23314583333333333</v>
      </c>
      <c r="J897" s="12">
        <f t="shared" si="42"/>
        <v>0.24054599780701755</v>
      </c>
    </row>
    <row r="898" spans="1:10" ht="15.75" customHeight="1">
      <c r="A898" s="7">
        <v>43632</v>
      </c>
      <c r="B898" s="10">
        <v>77</v>
      </c>
      <c r="C898">
        <v>58312</v>
      </c>
      <c r="D898" s="5">
        <v>7.08</v>
      </c>
      <c r="F898" s="8">
        <v>100</v>
      </c>
      <c r="G898" s="8">
        <v>100</v>
      </c>
      <c r="H898" s="2">
        <f t="shared" si="43"/>
        <v>4445871</v>
      </c>
      <c r="I898" s="12">
        <f t="shared" si="41"/>
        <v>0.24296666666666666</v>
      </c>
      <c r="J898" s="12">
        <f t="shared" si="42"/>
        <v>0.24057743506493506</v>
      </c>
    </row>
    <row r="899" spans="1:10" ht="15.75" customHeight="1">
      <c r="A899" s="7">
        <v>43633</v>
      </c>
      <c r="B899" s="10">
        <v>78</v>
      </c>
      <c r="C899">
        <v>56784</v>
      </c>
      <c r="D899" s="5">
        <v>7.1</v>
      </c>
      <c r="F899" s="8">
        <v>100</v>
      </c>
      <c r="G899" s="8">
        <v>100</v>
      </c>
      <c r="H899" s="2">
        <f t="shared" si="43"/>
        <v>4502655</v>
      </c>
      <c r="I899" s="12">
        <f t="shared" ref="I899:I962" si="44">C899/(10*24*1000)</f>
        <v>0.2366</v>
      </c>
      <c r="J899" s="12">
        <f t="shared" si="42"/>
        <v>0.2405264423076923</v>
      </c>
    </row>
    <row r="900" spans="1:10" ht="15.75" customHeight="1">
      <c r="A900" s="7">
        <v>43634</v>
      </c>
      <c r="B900" s="10">
        <v>79</v>
      </c>
      <c r="C900">
        <v>49605</v>
      </c>
      <c r="D900" s="5">
        <v>6.35</v>
      </c>
      <c r="F900" s="8">
        <v>100</v>
      </c>
      <c r="G900" s="8">
        <v>100</v>
      </c>
      <c r="H900" s="2">
        <f t="shared" si="43"/>
        <v>4552260</v>
      </c>
      <c r="I900" s="12">
        <f t="shared" si="44"/>
        <v>0.2066875</v>
      </c>
      <c r="J900" s="12">
        <f t="shared" ref="J900:J963" si="45">H900/(24*B900*10*1000)</f>
        <v>0.24009810126582279</v>
      </c>
    </row>
    <row r="901" spans="1:10" ht="15.75" customHeight="1">
      <c r="A901" s="7">
        <v>43635</v>
      </c>
      <c r="B901" s="10">
        <v>80</v>
      </c>
      <c r="C901">
        <v>59062</v>
      </c>
      <c r="D901" s="5">
        <v>7.49</v>
      </c>
      <c r="F901" s="8">
        <v>100</v>
      </c>
      <c r="G901" s="8">
        <v>100</v>
      </c>
      <c r="H901" s="2">
        <f t="shared" si="43"/>
        <v>4611322</v>
      </c>
      <c r="I901" s="12">
        <f t="shared" si="44"/>
        <v>0.24609166666666665</v>
      </c>
      <c r="J901" s="12">
        <f t="shared" si="45"/>
        <v>0.24017302083333333</v>
      </c>
    </row>
    <row r="902" spans="1:10" ht="15.75" customHeight="1">
      <c r="A902" s="7">
        <v>43636</v>
      </c>
      <c r="B902" s="10">
        <v>81</v>
      </c>
      <c r="C902">
        <v>56489</v>
      </c>
      <c r="D902" s="5">
        <v>7.34</v>
      </c>
      <c r="F902" s="8">
        <v>100</v>
      </c>
      <c r="G902" s="8">
        <v>100</v>
      </c>
      <c r="H902" s="2">
        <f t="shared" si="43"/>
        <v>4667811</v>
      </c>
      <c r="I902" s="12">
        <f t="shared" si="44"/>
        <v>0.23537083333333333</v>
      </c>
      <c r="J902" s="12">
        <f t="shared" si="45"/>
        <v>0.24011373456790122</v>
      </c>
    </row>
    <row r="903" spans="1:10" ht="15.75" customHeight="1">
      <c r="A903" s="7">
        <v>43637</v>
      </c>
      <c r="B903" s="10">
        <v>82</v>
      </c>
      <c r="C903">
        <v>43694</v>
      </c>
      <c r="D903" s="5">
        <v>5.47</v>
      </c>
      <c r="F903" s="8">
        <v>100</v>
      </c>
      <c r="G903" s="8">
        <v>100</v>
      </c>
      <c r="H903" s="2">
        <f t="shared" si="43"/>
        <v>4711505</v>
      </c>
      <c r="I903" s="12">
        <f t="shared" si="44"/>
        <v>0.18205833333333332</v>
      </c>
      <c r="J903" s="12">
        <f t="shared" si="45"/>
        <v>0.2394057418699187</v>
      </c>
    </row>
    <row r="904" spans="1:10" ht="15.75" customHeight="1">
      <c r="A904" s="7">
        <v>43638</v>
      </c>
      <c r="B904" s="10">
        <v>83</v>
      </c>
      <c r="C904">
        <v>50984</v>
      </c>
      <c r="D904" s="5">
        <v>6.65</v>
      </c>
      <c r="F904" s="8">
        <v>100</v>
      </c>
      <c r="G904" s="8">
        <v>100</v>
      </c>
      <c r="H904" s="2">
        <f t="shared" si="43"/>
        <v>4762489</v>
      </c>
      <c r="I904" s="12">
        <f t="shared" si="44"/>
        <v>0.21243333333333334</v>
      </c>
      <c r="J904" s="12">
        <f t="shared" si="45"/>
        <v>0.23908077309236947</v>
      </c>
    </row>
    <row r="905" spans="1:10" ht="15.75" customHeight="1">
      <c r="A905" s="7">
        <v>43639</v>
      </c>
      <c r="B905" s="10">
        <v>84</v>
      </c>
      <c r="C905">
        <v>53028</v>
      </c>
      <c r="D905" s="5">
        <v>6.51</v>
      </c>
      <c r="F905" s="8">
        <v>100</v>
      </c>
      <c r="G905" s="8">
        <v>100</v>
      </c>
      <c r="H905" s="2">
        <f t="shared" si="43"/>
        <v>4815517</v>
      </c>
      <c r="I905" s="12">
        <f t="shared" si="44"/>
        <v>0.22095000000000001</v>
      </c>
      <c r="J905" s="12">
        <f t="shared" si="45"/>
        <v>0.23886493055555555</v>
      </c>
    </row>
    <row r="906" spans="1:10" ht="15.75" customHeight="1">
      <c r="A906" s="7">
        <v>43640</v>
      </c>
      <c r="B906" s="10">
        <v>85</v>
      </c>
      <c r="C906">
        <v>39140</v>
      </c>
      <c r="D906" s="5">
        <v>4.72</v>
      </c>
      <c r="F906" s="8">
        <v>100</v>
      </c>
      <c r="G906" s="8">
        <v>100</v>
      </c>
      <c r="H906" s="2">
        <f t="shared" si="43"/>
        <v>4854657</v>
      </c>
      <c r="I906" s="12">
        <f t="shared" si="44"/>
        <v>0.16308333333333333</v>
      </c>
      <c r="J906" s="12">
        <f t="shared" si="45"/>
        <v>0.23797338235294119</v>
      </c>
    </row>
    <row r="907" spans="1:10" ht="15.75" customHeight="1">
      <c r="A907" s="7">
        <v>43641</v>
      </c>
      <c r="B907" s="10">
        <v>86</v>
      </c>
      <c r="C907">
        <v>52006</v>
      </c>
      <c r="D907" s="5">
        <v>6.45</v>
      </c>
      <c r="F907" s="8">
        <v>100</v>
      </c>
      <c r="G907" s="8">
        <v>100</v>
      </c>
      <c r="H907" s="2">
        <f t="shared" si="43"/>
        <v>4906663</v>
      </c>
      <c r="I907" s="12">
        <f t="shared" si="44"/>
        <v>0.21669166666666667</v>
      </c>
      <c r="J907" s="12">
        <f t="shared" si="45"/>
        <v>0.23772592054263567</v>
      </c>
    </row>
    <row r="908" spans="1:10" ht="15.75" customHeight="1">
      <c r="A908" s="7">
        <v>43642</v>
      </c>
      <c r="B908" s="10">
        <v>87</v>
      </c>
      <c r="C908">
        <v>54872</v>
      </c>
      <c r="D908" s="5">
        <v>7.37</v>
      </c>
      <c r="F908" s="8">
        <v>100</v>
      </c>
      <c r="G908" s="8">
        <v>100</v>
      </c>
      <c r="H908" s="2">
        <f t="shared" si="43"/>
        <v>4961535</v>
      </c>
      <c r="I908" s="12">
        <f t="shared" si="44"/>
        <v>0.22863333333333333</v>
      </c>
      <c r="J908" s="12">
        <f t="shared" si="45"/>
        <v>0.23762140804597701</v>
      </c>
    </row>
    <row r="909" spans="1:10" ht="15.75" customHeight="1">
      <c r="A909" s="7">
        <v>43643</v>
      </c>
      <c r="B909" s="10">
        <v>88</v>
      </c>
      <c r="C909">
        <v>55335</v>
      </c>
      <c r="D909" s="5">
        <v>7.25</v>
      </c>
      <c r="F909" s="8">
        <v>100</v>
      </c>
      <c r="G909" s="8">
        <v>100</v>
      </c>
      <c r="H909" s="2">
        <f t="shared" si="43"/>
        <v>5016870</v>
      </c>
      <c r="I909" s="12">
        <f t="shared" si="44"/>
        <v>0.2305625</v>
      </c>
      <c r="J909" s="12">
        <f t="shared" si="45"/>
        <v>0.23754119318181818</v>
      </c>
    </row>
    <row r="910" spans="1:10" ht="15.75" customHeight="1">
      <c r="A910" s="7">
        <v>43644</v>
      </c>
      <c r="B910" s="10">
        <v>89</v>
      </c>
      <c r="C910">
        <v>57432</v>
      </c>
      <c r="D910" s="5">
        <v>7.41</v>
      </c>
      <c r="F910" s="8">
        <v>100</v>
      </c>
      <c r="G910" s="8">
        <v>100</v>
      </c>
      <c r="H910" s="2">
        <f t="shared" si="43"/>
        <v>5074302</v>
      </c>
      <c r="I910" s="12">
        <f t="shared" si="44"/>
        <v>0.23930000000000001</v>
      </c>
      <c r="J910" s="12">
        <f t="shared" si="45"/>
        <v>0.23756095505617977</v>
      </c>
    </row>
    <row r="911" spans="1:10" ht="15.75" customHeight="1">
      <c r="A911" s="7">
        <v>43645</v>
      </c>
      <c r="B911" s="10">
        <v>90</v>
      </c>
      <c r="C911">
        <v>57731</v>
      </c>
      <c r="D911" s="5">
        <v>7.44</v>
      </c>
      <c r="F911" s="8">
        <v>100</v>
      </c>
      <c r="G911" s="8">
        <v>100</v>
      </c>
      <c r="H911" s="2">
        <f t="shared" si="43"/>
        <v>5132033</v>
      </c>
      <c r="I911" s="12">
        <f t="shared" si="44"/>
        <v>0.24054583333333332</v>
      </c>
      <c r="J911" s="12">
        <f t="shared" si="45"/>
        <v>0.23759412037037037</v>
      </c>
    </row>
    <row r="912" spans="1:10" ht="15.75" customHeight="1">
      <c r="A912" s="7">
        <v>43646</v>
      </c>
      <c r="B912" s="10">
        <v>91</v>
      </c>
      <c r="C912">
        <v>57413</v>
      </c>
      <c r="D912" s="5">
        <v>7.39</v>
      </c>
      <c r="F912" s="8">
        <v>100</v>
      </c>
      <c r="G912" s="8">
        <v>100</v>
      </c>
      <c r="H912" s="2">
        <f t="shared" si="43"/>
        <v>5189446</v>
      </c>
      <c r="I912" s="12">
        <f t="shared" si="44"/>
        <v>0.23922083333333333</v>
      </c>
      <c r="J912" s="12">
        <f t="shared" si="45"/>
        <v>0.23761199633699634</v>
      </c>
    </row>
    <row r="913" spans="1:10" ht="15.75" customHeight="1">
      <c r="A913" s="7">
        <v>43647</v>
      </c>
      <c r="B913" s="10">
        <v>92</v>
      </c>
      <c r="C913">
        <v>58149</v>
      </c>
      <c r="D913" s="5">
        <v>7.46</v>
      </c>
      <c r="F913" s="8">
        <v>100</v>
      </c>
      <c r="G913" s="8">
        <v>100</v>
      </c>
      <c r="H913" s="2">
        <f t="shared" si="43"/>
        <v>5247595</v>
      </c>
      <c r="I913" s="12">
        <f t="shared" si="44"/>
        <v>0.24228749999999999</v>
      </c>
      <c r="J913" s="12">
        <f t="shared" si="45"/>
        <v>0.23766281702898551</v>
      </c>
    </row>
    <row r="914" spans="1:10" ht="15.75" customHeight="1">
      <c r="A914" s="7">
        <v>43648</v>
      </c>
      <c r="B914" s="10">
        <v>93</v>
      </c>
      <c r="C914">
        <v>54162</v>
      </c>
      <c r="D914" s="5">
        <v>7.12</v>
      </c>
      <c r="F914" s="8">
        <v>100</v>
      </c>
      <c r="G914" s="8">
        <v>100</v>
      </c>
      <c r="H914" s="2">
        <f t="shared" si="43"/>
        <v>5301757</v>
      </c>
      <c r="I914" s="12">
        <f t="shared" si="44"/>
        <v>0.22567499999999999</v>
      </c>
      <c r="J914" s="12">
        <f t="shared" si="45"/>
        <v>0.23753391577060931</v>
      </c>
    </row>
    <row r="915" spans="1:10" ht="15.75" customHeight="1">
      <c r="A915" s="7">
        <v>43649</v>
      </c>
      <c r="B915" s="10">
        <v>94</v>
      </c>
      <c r="C915">
        <v>55980</v>
      </c>
      <c r="D915" s="5">
        <v>7.16</v>
      </c>
      <c r="F915" s="8">
        <v>100</v>
      </c>
      <c r="G915" s="8">
        <v>100</v>
      </c>
      <c r="H915" s="2">
        <f t="shared" si="43"/>
        <v>5357737</v>
      </c>
      <c r="I915" s="12">
        <f t="shared" si="44"/>
        <v>0.23325000000000001</v>
      </c>
      <c r="J915" s="12">
        <f t="shared" si="45"/>
        <v>0.23748834219858156</v>
      </c>
    </row>
    <row r="916" spans="1:10" ht="15.75" customHeight="1">
      <c r="A916" s="7">
        <v>43650</v>
      </c>
      <c r="B916" s="10">
        <v>95</v>
      </c>
      <c r="C916">
        <v>56849</v>
      </c>
      <c r="D916" s="5">
        <v>7.16</v>
      </c>
      <c r="F916" s="8">
        <v>100</v>
      </c>
      <c r="G916" s="8">
        <v>100</v>
      </c>
      <c r="H916" s="2">
        <f t="shared" si="43"/>
        <v>5414586</v>
      </c>
      <c r="I916" s="12">
        <f t="shared" si="44"/>
        <v>0.23687083333333334</v>
      </c>
      <c r="J916" s="12">
        <f t="shared" si="45"/>
        <v>0.23748184210526316</v>
      </c>
    </row>
    <row r="917" spans="1:10" ht="15.75" customHeight="1">
      <c r="A917" s="7">
        <v>43651</v>
      </c>
      <c r="B917" s="10">
        <v>96</v>
      </c>
      <c r="C917">
        <v>55833</v>
      </c>
      <c r="D917" s="5">
        <v>6.97</v>
      </c>
      <c r="F917" s="8">
        <v>100</v>
      </c>
      <c r="G917" s="8">
        <v>100</v>
      </c>
      <c r="H917" s="2">
        <f t="shared" si="43"/>
        <v>5470419</v>
      </c>
      <c r="I917" s="12">
        <f t="shared" si="44"/>
        <v>0.2326375</v>
      </c>
      <c r="J917" s="12">
        <f t="shared" si="45"/>
        <v>0.23743138020833332</v>
      </c>
    </row>
    <row r="918" spans="1:10" ht="15.75" customHeight="1">
      <c r="A918" s="7">
        <v>43652</v>
      </c>
      <c r="B918" s="10">
        <v>97</v>
      </c>
      <c r="C918">
        <v>53882</v>
      </c>
      <c r="D918" s="5">
        <v>6.65</v>
      </c>
      <c r="F918" s="8">
        <v>100</v>
      </c>
      <c r="G918" s="8">
        <v>100</v>
      </c>
      <c r="H918" s="2">
        <f t="shared" si="43"/>
        <v>5524301</v>
      </c>
      <c r="I918" s="12">
        <f t="shared" si="44"/>
        <v>0.22450833333333334</v>
      </c>
      <c r="J918" s="12">
        <f t="shared" si="45"/>
        <v>0.23729815292096221</v>
      </c>
    </row>
    <row r="919" spans="1:10" ht="15.75" customHeight="1">
      <c r="A919" s="7">
        <v>43653</v>
      </c>
      <c r="B919" s="10">
        <v>98</v>
      </c>
      <c r="C919">
        <v>54694</v>
      </c>
      <c r="D919" s="5">
        <v>6.64</v>
      </c>
      <c r="F919" s="8">
        <v>100</v>
      </c>
      <c r="G919" s="8">
        <v>100</v>
      </c>
      <c r="H919" s="2">
        <f t="shared" si="43"/>
        <v>5578995</v>
      </c>
      <c r="I919" s="12">
        <f t="shared" si="44"/>
        <v>0.22789166666666666</v>
      </c>
      <c r="J919" s="12">
        <f t="shared" si="45"/>
        <v>0.23720216836734695</v>
      </c>
    </row>
    <row r="920" spans="1:10" ht="15.75" customHeight="1">
      <c r="A920" s="7">
        <v>43654</v>
      </c>
      <c r="B920" s="10">
        <v>99</v>
      </c>
      <c r="C920">
        <v>56015</v>
      </c>
      <c r="D920" s="5">
        <v>6.86</v>
      </c>
      <c r="F920" s="8">
        <v>100</v>
      </c>
      <c r="G920" s="8">
        <v>100</v>
      </c>
      <c r="H920" s="2">
        <f t="shared" si="43"/>
        <v>5635010</v>
      </c>
      <c r="I920" s="12">
        <f t="shared" si="44"/>
        <v>0.23339583333333333</v>
      </c>
      <c r="J920" s="12">
        <f t="shared" si="45"/>
        <v>0.23716372053872053</v>
      </c>
    </row>
    <row r="921" spans="1:10" ht="15.75" customHeight="1">
      <c r="A921" s="7">
        <v>43655</v>
      </c>
      <c r="B921" s="10">
        <v>100</v>
      </c>
      <c r="C921">
        <v>53600</v>
      </c>
      <c r="D921" s="5">
        <v>6.54</v>
      </c>
      <c r="F921" s="8">
        <v>100</v>
      </c>
      <c r="G921" s="8">
        <v>100</v>
      </c>
      <c r="H921" s="2">
        <f t="shared" si="43"/>
        <v>5688610</v>
      </c>
      <c r="I921" s="12">
        <f t="shared" si="44"/>
        <v>0.22333333333333333</v>
      </c>
      <c r="J921" s="12">
        <f t="shared" si="45"/>
        <v>0.23702541666666666</v>
      </c>
    </row>
    <row r="922" spans="1:10" ht="15.75" customHeight="1">
      <c r="A922" s="7">
        <v>43656</v>
      </c>
      <c r="B922" s="10">
        <v>101</v>
      </c>
      <c r="C922">
        <v>55848</v>
      </c>
      <c r="D922" s="5">
        <v>6.79</v>
      </c>
      <c r="F922" s="8">
        <v>100</v>
      </c>
      <c r="G922" s="8">
        <v>100</v>
      </c>
      <c r="H922" s="2">
        <f t="shared" si="43"/>
        <v>5744458</v>
      </c>
      <c r="I922" s="12">
        <f t="shared" si="44"/>
        <v>0.23269999999999999</v>
      </c>
      <c r="J922" s="12">
        <f t="shared" si="45"/>
        <v>0.23698259075907591</v>
      </c>
    </row>
    <row r="923" spans="1:10" ht="15.75" customHeight="1">
      <c r="A923" s="7">
        <v>43657</v>
      </c>
      <c r="B923" s="10">
        <v>102</v>
      </c>
      <c r="C923">
        <v>46926</v>
      </c>
      <c r="D923" s="5">
        <v>5.62</v>
      </c>
      <c r="F923" s="8">
        <v>100</v>
      </c>
      <c r="G923" s="8">
        <v>100</v>
      </c>
      <c r="H923" s="2">
        <f t="shared" si="43"/>
        <v>5791384</v>
      </c>
      <c r="I923" s="12">
        <f t="shared" si="44"/>
        <v>0.195525</v>
      </c>
      <c r="J923" s="12">
        <f t="shared" si="45"/>
        <v>0.23657614379084968</v>
      </c>
    </row>
    <row r="924" spans="1:10" ht="15.75" customHeight="1">
      <c r="A924" s="7">
        <v>43658</v>
      </c>
      <c r="B924" s="10">
        <v>103</v>
      </c>
      <c r="C924">
        <v>45964</v>
      </c>
      <c r="D924" s="5">
        <v>5.4</v>
      </c>
      <c r="F924" s="8">
        <v>100</v>
      </c>
      <c r="G924" s="8">
        <v>100</v>
      </c>
      <c r="H924" s="2">
        <f t="shared" si="43"/>
        <v>5837348</v>
      </c>
      <c r="I924" s="12">
        <f t="shared" si="44"/>
        <v>0.19151666666666667</v>
      </c>
      <c r="J924" s="12">
        <f t="shared" si="45"/>
        <v>0.23613867313915857</v>
      </c>
    </row>
    <row r="925" spans="1:10" ht="15.75" customHeight="1">
      <c r="A925" s="7">
        <v>43659</v>
      </c>
      <c r="B925" s="10">
        <v>104</v>
      </c>
      <c r="C925">
        <v>47429</v>
      </c>
      <c r="D925" s="5">
        <v>5.57</v>
      </c>
      <c r="F925" s="8">
        <v>100</v>
      </c>
      <c r="G925" s="8">
        <v>100</v>
      </c>
      <c r="H925" s="2">
        <f t="shared" si="43"/>
        <v>5884777</v>
      </c>
      <c r="I925" s="12">
        <f t="shared" si="44"/>
        <v>0.19762083333333333</v>
      </c>
      <c r="J925" s="12">
        <f t="shared" si="45"/>
        <v>0.2357683092948718</v>
      </c>
    </row>
    <row r="926" spans="1:10" ht="15.75" customHeight="1">
      <c r="A926" s="7">
        <v>43660</v>
      </c>
      <c r="B926" s="10">
        <v>105</v>
      </c>
      <c r="C926">
        <v>36071</v>
      </c>
      <c r="D926" s="5">
        <v>4.25</v>
      </c>
      <c r="F926" s="8">
        <v>100</v>
      </c>
      <c r="G926" s="8">
        <v>100</v>
      </c>
      <c r="H926" s="2">
        <f t="shared" si="43"/>
        <v>5920848</v>
      </c>
      <c r="I926" s="12">
        <f t="shared" si="44"/>
        <v>0.15029583333333332</v>
      </c>
      <c r="J926" s="12">
        <f t="shared" si="45"/>
        <v>0.23495428571428573</v>
      </c>
    </row>
    <row r="927" spans="1:10" ht="15.75" customHeight="1">
      <c r="A927" s="7">
        <v>43661</v>
      </c>
      <c r="B927" s="10">
        <v>106</v>
      </c>
      <c r="C927">
        <v>39539</v>
      </c>
      <c r="D927" s="5">
        <v>4.6399999999999997</v>
      </c>
      <c r="F927" s="8">
        <v>100</v>
      </c>
      <c r="G927" s="8">
        <v>100</v>
      </c>
      <c r="H927" s="2">
        <f t="shared" si="43"/>
        <v>5960387</v>
      </c>
      <c r="I927" s="12">
        <f t="shared" si="44"/>
        <v>0.16474583333333334</v>
      </c>
      <c r="J927" s="12">
        <f t="shared" si="45"/>
        <v>0.23429194182389937</v>
      </c>
    </row>
    <row r="928" spans="1:10" ht="15.75" customHeight="1">
      <c r="A928" s="7">
        <v>43662</v>
      </c>
      <c r="B928" s="10">
        <v>107</v>
      </c>
      <c r="C928">
        <v>41290</v>
      </c>
      <c r="D928" s="5">
        <v>4.8099999999999996</v>
      </c>
      <c r="F928" s="8">
        <v>100</v>
      </c>
      <c r="G928" s="8">
        <v>100</v>
      </c>
      <c r="H928" s="2">
        <f t="shared" si="43"/>
        <v>6001677</v>
      </c>
      <c r="I928" s="12">
        <f t="shared" si="44"/>
        <v>0.17204166666666668</v>
      </c>
      <c r="J928" s="12">
        <f t="shared" si="45"/>
        <v>0.23371016355140187</v>
      </c>
    </row>
    <row r="929" spans="1:10" ht="15.75" customHeight="1">
      <c r="A929" s="7">
        <v>43663</v>
      </c>
      <c r="B929" s="10">
        <v>108</v>
      </c>
      <c r="C929">
        <v>51726</v>
      </c>
      <c r="D929" s="5">
        <v>6.22</v>
      </c>
      <c r="F929" s="8">
        <v>100</v>
      </c>
      <c r="G929" s="8">
        <v>100</v>
      </c>
      <c r="H929" s="2">
        <f t="shared" si="43"/>
        <v>6053403</v>
      </c>
      <c r="I929" s="12">
        <f t="shared" si="44"/>
        <v>0.21552499999999999</v>
      </c>
      <c r="J929" s="12">
        <f t="shared" si="45"/>
        <v>0.23354178240740742</v>
      </c>
    </row>
    <row r="930" spans="1:10" ht="15.75" customHeight="1">
      <c r="A930" s="7">
        <v>43664</v>
      </c>
      <c r="B930" s="10">
        <v>109</v>
      </c>
      <c r="C930">
        <v>56005</v>
      </c>
      <c r="D930" s="5">
        <v>6.84</v>
      </c>
      <c r="F930" s="8">
        <v>100</v>
      </c>
      <c r="G930" s="8">
        <v>100</v>
      </c>
      <c r="H930" s="2">
        <f t="shared" si="43"/>
        <v>6109408</v>
      </c>
      <c r="I930" s="12">
        <f t="shared" si="44"/>
        <v>0.23335416666666667</v>
      </c>
      <c r="J930" s="12">
        <f t="shared" si="45"/>
        <v>0.23354006116207951</v>
      </c>
    </row>
    <row r="931" spans="1:10" ht="15.75" customHeight="1">
      <c r="A931" s="7">
        <v>43665</v>
      </c>
      <c r="B931" s="10">
        <v>110</v>
      </c>
      <c r="C931">
        <v>47768</v>
      </c>
      <c r="D931" s="5">
        <v>6.05</v>
      </c>
      <c r="F931" s="8">
        <v>100</v>
      </c>
      <c r="G931" s="8">
        <v>100</v>
      </c>
      <c r="H931" s="2">
        <f t="shared" si="43"/>
        <v>6157176</v>
      </c>
      <c r="I931" s="12">
        <f t="shared" si="44"/>
        <v>0.19903333333333334</v>
      </c>
      <c r="J931" s="12">
        <f t="shared" si="45"/>
        <v>0.23322636363636365</v>
      </c>
    </row>
    <row r="932" spans="1:10" ht="15.75" customHeight="1">
      <c r="A932" s="7">
        <v>43666</v>
      </c>
      <c r="B932" s="10">
        <v>111</v>
      </c>
      <c r="C932">
        <v>42256</v>
      </c>
      <c r="D932" s="5">
        <v>5.61</v>
      </c>
      <c r="F932" s="8">
        <v>100</v>
      </c>
      <c r="G932" s="8">
        <v>100</v>
      </c>
      <c r="H932" s="2">
        <f t="shared" si="43"/>
        <v>6199432</v>
      </c>
      <c r="I932" s="12">
        <f t="shared" si="44"/>
        <v>0.17606666666666668</v>
      </c>
      <c r="J932" s="12">
        <f t="shared" si="45"/>
        <v>0.23271141141141141</v>
      </c>
    </row>
    <row r="933" spans="1:10" ht="15.75" customHeight="1">
      <c r="A933" s="7">
        <v>43667</v>
      </c>
      <c r="B933" s="10">
        <v>112</v>
      </c>
      <c r="C933">
        <v>52990</v>
      </c>
      <c r="D933" s="5">
        <v>6.67</v>
      </c>
      <c r="F933" s="8">
        <v>100</v>
      </c>
      <c r="G933" s="8">
        <v>100</v>
      </c>
      <c r="H933" s="2">
        <f t="shared" si="43"/>
        <v>6252422</v>
      </c>
      <c r="I933" s="12">
        <f t="shared" si="44"/>
        <v>0.22079166666666666</v>
      </c>
      <c r="J933" s="12">
        <f t="shared" si="45"/>
        <v>0.23260498511904762</v>
      </c>
    </row>
    <row r="934" spans="1:10" ht="15.75" customHeight="1">
      <c r="A934" s="7">
        <v>43668</v>
      </c>
      <c r="B934" s="10">
        <v>113</v>
      </c>
      <c r="C934">
        <v>50301</v>
      </c>
      <c r="D934" s="5">
        <v>6.11</v>
      </c>
      <c r="F934" s="8">
        <v>100</v>
      </c>
      <c r="G934" s="8">
        <v>100</v>
      </c>
      <c r="H934" s="2">
        <f t="shared" si="43"/>
        <v>6302723</v>
      </c>
      <c r="I934" s="12">
        <f t="shared" si="44"/>
        <v>0.20958750000000001</v>
      </c>
      <c r="J934" s="12">
        <f t="shared" si="45"/>
        <v>0.23240129056047198</v>
      </c>
    </row>
    <row r="935" spans="1:10" ht="15.75" customHeight="1">
      <c r="A935" s="7">
        <v>43669</v>
      </c>
      <c r="B935" s="10">
        <v>114</v>
      </c>
      <c r="C935">
        <v>47170</v>
      </c>
      <c r="D935" s="5">
        <v>6.06</v>
      </c>
      <c r="F935" s="8">
        <v>100</v>
      </c>
      <c r="G935" s="8">
        <v>100</v>
      </c>
      <c r="H935" s="2">
        <f t="shared" si="43"/>
        <v>6349893</v>
      </c>
      <c r="I935" s="12">
        <f t="shared" si="44"/>
        <v>0.19654166666666667</v>
      </c>
      <c r="J935" s="12">
        <f t="shared" si="45"/>
        <v>0.23208673245614034</v>
      </c>
    </row>
    <row r="936" spans="1:10" ht="15.75" customHeight="1">
      <c r="A936" s="7">
        <v>43670</v>
      </c>
      <c r="B936" s="10">
        <v>115</v>
      </c>
      <c r="C936">
        <v>59547</v>
      </c>
      <c r="D936" s="5">
        <v>7.34</v>
      </c>
      <c r="F936" s="8">
        <v>99.435323643208193</v>
      </c>
      <c r="G936" s="8">
        <v>100</v>
      </c>
      <c r="H936" s="2">
        <f t="shared" si="43"/>
        <v>6409440</v>
      </c>
      <c r="I936" s="12">
        <f t="shared" si="44"/>
        <v>0.24811250000000001</v>
      </c>
      <c r="J936" s="12">
        <f t="shared" si="45"/>
        <v>0.23222608695652175</v>
      </c>
    </row>
    <row r="937" spans="1:10" ht="15.75" customHeight="1">
      <c r="A937" s="7">
        <v>43671</v>
      </c>
      <c r="B937" s="10">
        <v>116</v>
      </c>
      <c r="C937">
        <v>44259</v>
      </c>
      <c r="D937" s="5">
        <v>5.35</v>
      </c>
      <c r="F937" s="8">
        <v>100</v>
      </c>
      <c r="G937" s="8">
        <v>100</v>
      </c>
      <c r="H937" s="2">
        <f t="shared" si="43"/>
        <v>6453699</v>
      </c>
      <c r="I937" s="12">
        <f t="shared" si="44"/>
        <v>0.18441250000000001</v>
      </c>
      <c r="J937" s="12">
        <f t="shared" si="45"/>
        <v>0.23181390086206896</v>
      </c>
    </row>
    <row r="938" spans="1:10" ht="15.75" customHeight="1">
      <c r="A938" s="7">
        <v>43672</v>
      </c>
      <c r="B938" s="10">
        <v>117</v>
      </c>
      <c r="C938">
        <v>43579</v>
      </c>
      <c r="D938" s="5">
        <v>5.17</v>
      </c>
      <c r="F938" s="8">
        <v>100</v>
      </c>
      <c r="G938" s="8">
        <v>100</v>
      </c>
      <c r="H938" s="2">
        <f t="shared" si="43"/>
        <v>6497278</v>
      </c>
      <c r="I938" s="12">
        <f t="shared" si="44"/>
        <v>0.18157916666666668</v>
      </c>
      <c r="J938" s="12">
        <f t="shared" si="45"/>
        <v>0.23138454415954415</v>
      </c>
    </row>
    <row r="939" spans="1:10" ht="15.75" customHeight="1">
      <c r="A939" s="7">
        <v>43673</v>
      </c>
      <c r="B939" s="10">
        <v>118</v>
      </c>
      <c r="C939">
        <v>50785</v>
      </c>
      <c r="D939" s="5">
        <v>5.98</v>
      </c>
      <c r="F939" s="8">
        <v>100</v>
      </c>
      <c r="G939" s="8">
        <v>100</v>
      </c>
      <c r="H939" s="2">
        <f t="shared" si="43"/>
        <v>6548063</v>
      </c>
      <c r="I939" s="12">
        <f t="shared" si="44"/>
        <v>0.21160416666666668</v>
      </c>
      <c r="J939" s="12">
        <f t="shared" si="45"/>
        <v>0.2312169138418079</v>
      </c>
    </row>
    <row r="940" spans="1:10" ht="15.75" customHeight="1">
      <c r="A940" s="7">
        <v>43674</v>
      </c>
      <c r="B940" s="10">
        <v>119</v>
      </c>
      <c r="C940">
        <v>19402</v>
      </c>
      <c r="D940" s="5">
        <v>2.15</v>
      </c>
      <c r="F940" s="8">
        <v>100</v>
      </c>
      <c r="G940" s="8">
        <v>100</v>
      </c>
      <c r="H940" s="2">
        <f t="shared" si="43"/>
        <v>6567465</v>
      </c>
      <c r="I940" s="12">
        <f t="shared" si="44"/>
        <v>8.0841666666666673E-2</v>
      </c>
      <c r="J940" s="12">
        <f t="shared" si="45"/>
        <v>0.229953256302521</v>
      </c>
    </row>
    <row r="941" spans="1:10" ht="15.75" customHeight="1">
      <c r="A941" s="7">
        <v>43675</v>
      </c>
      <c r="B941" s="10">
        <v>120</v>
      </c>
      <c r="C941">
        <v>52398</v>
      </c>
      <c r="D941" s="5">
        <v>6.42</v>
      </c>
      <c r="F941" s="8">
        <v>100</v>
      </c>
      <c r="G941" s="8">
        <v>100</v>
      </c>
      <c r="H941" s="2">
        <f t="shared" si="43"/>
        <v>6619863</v>
      </c>
      <c r="I941" s="12">
        <f t="shared" si="44"/>
        <v>0.21832499999999999</v>
      </c>
      <c r="J941" s="12">
        <f t="shared" si="45"/>
        <v>0.22985635416666667</v>
      </c>
    </row>
    <row r="942" spans="1:10" ht="15.75" customHeight="1">
      <c r="A942" s="7">
        <v>43676</v>
      </c>
      <c r="B942" s="10">
        <v>121</v>
      </c>
      <c r="C942">
        <v>52711</v>
      </c>
      <c r="D942" s="5">
        <v>6.71</v>
      </c>
      <c r="F942" s="8">
        <v>100</v>
      </c>
      <c r="G942" s="8">
        <v>100</v>
      </c>
      <c r="H942" s="2">
        <f t="shared" si="43"/>
        <v>6672574</v>
      </c>
      <c r="I942" s="12">
        <f t="shared" si="44"/>
        <v>0.21962916666666665</v>
      </c>
      <c r="J942" s="12">
        <f t="shared" si="45"/>
        <v>0.22977183195592288</v>
      </c>
    </row>
    <row r="943" spans="1:10" ht="15.75" customHeight="1">
      <c r="A943" s="7">
        <v>43677</v>
      </c>
      <c r="B943" s="10">
        <v>122</v>
      </c>
      <c r="C943">
        <v>52816</v>
      </c>
      <c r="D943" s="5">
        <v>6.7</v>
      </c>
      <c r="F943" s="8">
        <v>100</v>
      </c>
      <c r="G943" s="8">
        <v>100</v>
      </c>
      <c r="H943" s="2">
        <f t="shared" si="43"/>
        <v>6725390</v>
      </c>
      <c r="I943" s="12">
        <f t="shared" si="44"/>
        <v>0.22006666666666666</v>
      </c>
      <c r="J943" s="12">
        <f t="shared" si="45"/>
        <v>0.22969228142076503</v>
      </c>
    </row>
    <row r="944" spans="1:10" ht="15.75" customHeight="1">
      <c r="A944" s="7">
        <v>43678</v>
      </c>
      <c r="B944" s="10">
        <v>123</v>
      </c>
      <c r="C944">
        <v>46344</v>
      </c>
      <c r="D944" s="5">
        <v>5.39</v>
      </c>
      <c r="F944" s="8">
        <v>100</v>
      </c>
      <c r="G944" s="8">
        <v>100</v>
      </c>
      <c r="H944" s="2">
        <f t="shared" si="43"/>
        <v>6771734</v>
      </c>
      <c r="I944" s="12">
        <f t="shared" si="44"/>
        <v>0.19309999999999999</v>
      </c>
      <c r="J944" s="12">
        <f t="shared" si="45"/>
        <v>0.22939478319783199</v>
      </c>
    </row>
    <row r="945" spans="1:10" ht="15.75" customHeight="1">
      <c r="A945" s="7">
        <v>43679</v>
      </c>
      <c r="B945" s="10">
        <v>124</v>
      </c>
      <c r="C945">
        <v>47534</v>
      </c>
      <c r="D945" s="5">
        <v>5.58</v>
      </c>
      <c r="F945" s="8">
        <v>100</v>
      </c>
      <c r="G945" s="8">
        <v>100</v>
      </c>
      <c r="H945" s="2">
        <f t="shared" si="43"/>
        <v>6819268</v>
      </c>
      <c r="I945" s="12">
        <f t="shared" si="44"/>
        <v>0.19805833333333334</v>
      </c>
      <c r="J945" s="12">
        <f t="shared" si="45"/>
        <v>0.22914206989247313</v>
      </c>
    </row>
    <row r="946" spans="1:10" ht="15.75" customHeight="1">
      <c r="A946" s="7">
        <v>43680</v>
      </c>
      <c r="B946" s="10">
        <v>125</v>
      </c>
      <c r="C946">
        <v>29262</v>
      </c>
      <c r="D946" s="5">
        <v>3.3</v>
      </c>
      <c r="F946" s="8">
        <v>100</v>
      </c>
      <c r="G946" s="8">
        <v>100</v>
      </c>
      <c r="H946" s="2">
        <f t="shared" si="43"/>
        <v>6848530</v>
      </c>
      <c r="I946" s="12">
        <f t="shared" si="44"/>
        <v>0.12192500000000001</v>
      </c>
      <c r="J946" s="12">
        <f t="shared" si="45"/>
        <v>0.22828433333333334</v>
      </c>
    </row>
    <row r="947" spans="1:10" ht="15.75" customHeight="1">
      <c r="A947" s="7">
        <v>43681</v>
      </c>
      <c r="B947" s="10">
        <v>126</v>
      </c>
      <c r="C947">
        <v>52128</v>
      </c>
      <c r="D947" s="5">
        <v>6.71</v>
      </c>
      <c r="F947" s="8">
        <v>100</v>
      </c>
      <c r="G947" s="8">
        <v>94.166666666666671</v>
      </c>
      <c r="H947" s="2">
        <f t="shared" si="43"/>
        <v>6900658</v>
      </c>
      <c r="I947" s="12">
        <f t="shared" si="44"/>
        <v>0.2172</v>
      </c>
      <c r="J947" s="12">
        <f t="shared" si="45"/>
        <v>0.22819636243386243</v>
      </c>
    </row>
    <row r="948" spans="1:10" ht="15.75" customHeight="1">
      <c r="A948" s="7">
        <v>43682</v>
      </c>
      <c r="B948" s="10">
        <v>127</v>
      </c>
      <c r="C948">
        <v>54807</v>
      </c>
      <c r="D948" s="5">
        <v>6.51</v>
      </c>
      <c r="F948" s="8">
        <v>100</v>
      </c>
      <c r="G948" s="8">
        <v>100</v>
      </c>
      <c r="H948" s="2">
        <f t="shared" si="43"/>
        <v>6955465</v>
      </c>
      <c r="I948" s="12">
        <f t="shared" si="44"/>
        <v>0.2283625</v>
      </c>
      <c r="J948" s="12">
        <f t="shared" si="45"/>
        <v>0.22819767060367455</v>
      </c>
    </row>
    <row r="949" spans="1:10" ht="15.75" customHeight="1">
      <c r="A949" s="7">
        <v>43683</v>
      </c>
      <c r="B949" s="10">
        <v>128</v>
      </c>
      <c r="C949">
        <v>60603</v>
      </c>
      <c r="D949" s="5">
        <v>7.22</v>
      </c>
      <c r="F949" s="8">
        <v>100</v>
      </c>
      <c r="G949" s="8">
        <v>100</v>
      </c>
      <c r="H949" s="2">
        <f t="shared" si="43"/>
        <v>7016068</v>
      </c>
      <c r="I949" s="12">
        <f t="shared" si="44"/>
        <v>0.25251249999999997</v>
      </c>
      <c r="J949" s="12">
        <f t="shared" si="45"/>
        <v>0.22838763020833333</v>
      </c>
    </row>
    <row r="950" spans="1:10" ht="15.75" customHeight="1">
      <c r="A950" s="7">
        <v>43684</v>
      </c>
      <c r="B950" s="10">
        <v>129</v>
      </c>
      <c r="C950">
        <v>36598</v>
      </c>
      <c r="D950" s="5">
        <v>4.28</v>
      </c>
      <c r="F950" s="8">
        <v>100</v>
      </c>
      <c r="G950" s="8">
        <v>100</v>
      </c>
      <c r="H950" s="2">
        <f t="shared" si="43"/>
        <v>7052666</v>
      </c>
      <c r="I950" s="12">
        <f t="shared" si="44"/>
        <v>0.15249166666666666</v>
      </c>
      <c r="J950" s="12">
        <f t="shared" si="45"/>
        <v>0.22779928940568475</v>
      </c>
    </row>
    <row r="951" spans="1:10" ht="15.75" customHeight="1">
      <c r="A951" s="7">
        <v>43685</v>
      </c>
      <c r="B951" s="10">
        <v>130</v>
      </c>
      <c r="C951">
        <v>34160</v>
      </c>
      <c r="D951" s="5">
        <v>4.1399999999999997</v>
      </c>
      <c r="F951" s="8">
        <v>100</v>
      </c>
      <c r="G951" s="8">
        <v>100</v>
      </c>
      <c r="H951" s="2">
        <f t="shared" ref="H951:H1014" si="46">H950+C951</f>
        <v>7086826</v>
      </c>
      <c r="I951" s="12">
        <f t="shared" si="44"/>
        <v>0.14233333333333334</v>
      </c>
      <c r="J951" s="12">
        <f t="shared" si="45"/>
        <v>0.22714185897435898</v>
      </c>
    </row>
    <row r="952" spans="1:10" ht="15.75" customHeight="1">
      <c r="A952" s="7">
        <v>43686</v>
      </c>
      <c r="B952" s="10">
        <v>131</v>
      </c>
      <c r="C952">
        <v>49842</v>
      </c>
      <c r="D952" s="5">
        <v>5.57</v>
      </c>
      <c r="F952" s="8">
        <v>100</v>
      </c>
      <c r="G952" s="8">
        <v>100</v>
      </c>
      <c r="H952" s="2">
        <f t="shared" si="46"/>
        <v>7136668</v>
      </c>
      <c r="I952" s="12">
        <f t="shared" si="44"/>
        <v>0.207675</v>
      </c>
      <c r="J952" s="12">
        <f t="shared" si="45"/>
        <v>0.22699325699745548</v>
      </c>
    </row>
    <row r="953" spans="1:10" ht="15.75" customHeight="1">
      <c r="A953" s="7">
        <v>43687</v>
      </c>
      <c r="B953" s="10">
        <v>132</v>
      </c>
      <c r="C953">
        <v>32808</v>
      </c>
      <c r="D953" s="5">
        <v>3.65</v>
      </c>
      <c r="F953" s="8">
        <v>100</v>
      </c>
      <c r="G953" s="8">
        <v>100</v>
      </c>
      <c r="H953" s="2">
        <f t="shared" si="46"/>
        <v>7169476</v>
      </c>
      <c r="I953" s="12">
        <f t="shared" si="44"/>
        <v>0.13669999999999999</v>
      </c>
      <c r="J953" s="12">
        <f t="shared" si="45"/>
        <v>0.22630921717171718</v>
      </c>
    </row>
    <row r="954" spans="1:10" ht="15.75" customHeight="1">
      <c r="A954" s="7">
        <v>43688</v>
      </c>
      <c r="B954" s="10">
        <v>133</v>
      </c>
      <c r="C954">
        <v>47982</v>
      </c>
      <c r="D954" s="5">
        <v>5.79</v>
      </c>
      <c r="F954" s="8">
        <v>99.016780283167279</v>
      </c>
      <c r="G954" s="8">
        <v>100</v>
      </c>
      <c r="H954" s="2">
        <f t="shared" si="46"/>
        <v>7217458</v>
      </c>
      <c r="I954" s="12">
        <f t="shared" si="44"/>
        <v>0.19992499999999999</v>
      </c>
      <c r="J954" s="12">
        <f t="shared" si="45"/>
        <v>0.2261108395989975</v>
      </c>
    </row>
    <row r="955" spans="1:10" ht="15.75" customHeight="1">
      <c r="A955" s="7">
        <v>43689</v>
      </c>
      <c r="B955" s="10">
        <v>134</v>
      </c>
      <c r="C955">
        <v>42659</v>
      </c>
      <c r="D955" s="5">
        <v>5.18</v>
      </c>
      <c r="F955" s="8">
        <v>100</v>
      </c>
      <c r="G955" s="8">
        <v>100</v>
      </c>
      <c r="H955" s="2">
        <f t="shared" si="46"/>
        <v>7260117</v>
      </c>
      <c r="I955" s="12">
        <f t="shared" si="44"/>
        <v>0.17774583333333333</v>
      </c>
      <c r="J955" s="12">
        <f t="shared" si="45"/>
        <v>0.2257499067164179</v>
      </c>
    </row>
    <row r="956" spans="1:10" ht="15.75" customHeight="1">
      <c r="A956" s="7">
        <v>43690</v>
      </c>
      <c r="B956" s="10">
        <v>135</v>
      </c>
      <c r="C956">
        <v>53240</v>
      </c>
      <c r="D956" s="5">
        <v>6.48</v>
      </c>
      <c r="F956" s="8">
        <v>100</v>
      </c>
      <c r="G956" s="8">
        <v>100</v>
      </c>
      <c r="H956" s="2">
        <f t="shared" si="46"/>
        <v>7313357</v>
      </c>
      <c r="I956" s="12">
        <f t="shared" si="44"/>
        <v>0.22183333333333333</v>
      </c>
      <c r="J956" s="12">
        <f t="shared" si="45"/>
        <v>0.2257208950617284</v>
      </c>
    </row>
    <row r="957" spans="1:10" ht="15.75" customHeight="1">
      <c r="A957" s="7">
        <v>43691</v>
      </c>
      <c r="B957" s="10">
        <v>136</v>
      </c>
      <c r="C957">
        <v>48488</v>
      </c>
      <c r="D957" s="5">
        <v>5.82</v>
      </c>
      <c r="F957" s="8">
        <v>100</v>
      </c>
      <c r="G957" s="8">
        <v>100</v>
      </c>
      <c r="H957" s="2">
        <f t="shared" si="46"/>
        <v>7361845</v>
      </c>
      <c r="I957" s="12">
        <f t="shared" si="44"/>
        <v>0.20203333333333334</v>
      </c>
      <c r="J957" s="12">
        <f t="shared" si="45"/>
        <v>0.22554672181372548</v>
      </c>
    </row>
    <row r="958" spans="1:10" ht="15.75" customHeight="1">
      <c r="A958" s="7">
        <v>43692</v>
      </c>
      <c r="B958" s="10">
        <v>137</v>
      </c>
      <c r="C958">
        <v>21933</v>
      </c>
      <c r="D958" s="5">
        <v>3.22</v>
      </c>
      <c r="F958" s="8">
        <v>86.761577053400217</v>
      </c>
      <c r="G958" s="8">
        <v>100</v>
      </c>
      <c r="H958" s="2">
        <f t="shared" si="46"/>
        <v>7383778</v>
      </c>
      <c r="I958" s="12">
        <f t="shared" si="44"/>
        <v>9.1387499999999997E-2</v>
      </c>
      <c r="J958" s="12">
        <f t="shared" si="45"/>
        <v>0.22456745742092457</v>
      </c>
    </row>
    <row r="959" spans="1:10" ht="15.75" customHeight="1">
      <c r="A959" s="7">
        <v>43693</v>
      </c>
      <c r="B959" s="10">
        <v>138</v>
      </c>
      <c r="C959">
        <v>21456</v>
      </c>
      <c r="D959" s="5">
        <v>2.61</v>
      </c>
      <c r="F959" s="8">
        <v>100</v>
      </c>
      <c r="G959" s="8">
        <v>100</v>
      </c>
      <c r="H959" s="2">
        <f t="shared" si="46"/>
        <v>7405234</v>
      </c>
      <c r="I959" s="12">
        <f t="shared" si="44"/>
        <v>8.9399999999999993E-2</v>
      </c>
      <c r="J959" s="12">
        <f t="shared" si="45"/>
        <v>0.22358798309178743</v>
      </c>
    </row>
    <row r="960" spans="1:10" ht="15.75" customHeight="1">
      <c r="A960" s="7">
        <v>43694</v>
      </c>
      <c r="B960" s="10">
        <v>139</v>
      </c>
      <c r="C960">
        <v>46227</v>
      </c>
      <c r="D960" s="5">
        <v>5.14</v>
      </c>
      <c r="F960" s="8">
        <v>100</v>
      </c>
      <c r="G960" s="8">
        <v>100</v>
      </c>
      <c r="H960" s="2">
        <f t="shared" si="46"/>
        <v>7451461</v>
      </c>
      <c r="I960" s="12">
        <f t="shared" si="44"/>
        <v>0.19261249999999999</v>
      </c>
      <c r="J960" s="12">
        <f t="shared" si="45"/>
        <v>0.22336513788968826</v>
      </c>
    </row>
    <row r="961" spans="1:10" ht="15.75" customHeight="1">
      <c r="A961" s="7">
        <v>43695</v>
      </c>
      <c r="B961" s="10">
        <v>140</v>
      </c>
      <c r="C961">
        <v>62735</v>
      </c>
      <c r="D961" s="5">
        <v>7.25</v>
      </c>
      <c r="F961" s="8">
        <v>100</v>
      </c>
      <c r="G961" s="8">
        <v>100</v>
      </c>
      <c r="H961" s="2">
        <f t="shared" si="46"/>
        <v>7514196</v>
      </c>
      <c r="I961" s="12">
        <f t="shared" si="44"/>
        <v>0.26139583333333333</v>
      </c>
      <c r="J961" s="12">
        <f t="shared" si="45"/>
        <v>0.22363678571428572</v>
      </c>
    </row>
    <row r="962" spans="1:10" ht="15.75" customHeight="1">
      <c r="A962" s="7">
        <v>43696</v>
      </c>
      <c r="B962" s="10">
        <v>141</v>
      </c>
      <c r="C962">
        <v>61771</v>
      </c>
      <c r="D962" s="5">
        <v>7.12</v>
      </c>
      <c r="F962" s="8">
        <v>100</v>
      </c>
      <c r="G962" s="8">
        <v>100</v>
      </c>
      <c r="H962" s="2">
        <f t="shared" si="46"/>
        <v>7575967</v>
      </c>
      <c r="I962" s="12">
        <f t="shared" si="44"/>
        <v>0.25737916666666666</v>
      </c>
      <c r="J962" s="12">
        <f t="shared" si="45"/>
        <v>0.22387609338061465</v>
      </c>
    </row>
    <row r="963" spans="1:10" ht="15.75" customHeight="1">
      <c r="A963" s="7">
        <v>43697</v>
      </c>
      <c r="B963" s="10">
        <v>142</v>
      </c>
      <c r="C963">
        <v>60008</v>
      </c>
      <c r="D963" s="5">
        <v>7.08</v>
      </c>
      <c r="F963" s="8">
        <v>100</v>
      </c>
      <c r="G963" s="8">
        <v>100</v>
      </c>
      <c r="H963" s="2">
        <f t="shared" si="46"/>
        <v>7635975</v>
      </c>
      <c r="I963" s="12">
        <f t="shared" ref="I963:I1026" si="47">C963/(10*24*1000)</f>
        <v>0.25003333333333333</v>
      </c>
      <c r="J963" s="12">
        <f t="shared" si="45"/>
        <v>0.22406029929577465</v>
      </c>
    </row>
    <row r="964" spans="1:10" ht="15.75" customHeight="1">
      <c r="A964" s="7">
        <v>43698</v>
      </c>
      <c r="B964" s="10">
        <v>143</v>
      </c>
      <c r="C964">
        <v>63444</v>
      </c>
      <c r="D964" s="5">
        <v>7.41</v>
      </c>
      <c r="F964" s="8">
        <v>100</v>
      </c>
      <c r="G964" s="8">
        <v>100</v>
      </c>
      <c r="H964" s="2">
        <f t="shared" si="46"/>
        <v>7699419</v>
      </c>
      <c r="I964" s="12">
        <f t="shared" si="47"/>
        <v>0.26434999999999997</v>
      </c>
      <c r="J964" s="12">
        <f t="shared" ref="J964:J1027" si="48">H964/(24*B964*10*1000)</f>
        <v>0.22434204545454545</v>
      </c>
    </row>
    <row r="965" spans="1:10" ht="15.75" customHeight="1">
      <c r="A965" s="7">
        <v>43699</v>
      </c>
      <c r="B965" s="10">
        <v>144</v>
      </c>
      <c r="C965">
        <v>63931</v>
      </c>
      <c r="D965" s="5">
        <v>7.41</v>
      </c>
      <c r="F965" s="8">
        <v>100</v>
      </c>
      <c r="G965" s="8">
        <v>100</v>
      </c>
      <c r="H965" s="2">
        <f t="shared" si="46"/>
        <v>7763350</v>
      </c>
      <c r="I965" s="12">
        <f t="shared" si="47"/>
        <v>0.26637916666666667</v>
      </c>
      <c r="J965" s="12">
        <f t="shared" si="48"/>
        <v>0.22463396990740742</v>
      </c>
    </row>
    <row r="966" spans="1:10" ht="15.75" customHeight="1">
      <c r="A966" s="7">
        <v>43700</v>
      </c>
      <c r="B966" s="10">
        <v>145</v>
      </c>
      <c r="C966">
        <v>61006</v>
      </c>
      <c r="D966" s="5">
        <v>7.12</v>
      </c>
      <c r="F966" s="8">
        <v>100</v>
      </c>
      <c r="G966" s="8">
        <v>100</v>
      </c>
      <c r="H966" s="2">
        <f t="shared" si="46"/>
        <v>7824356</v>
      </c>
      <c r="I966" s="12">
        <f t="shared" si="47"/>
        <v>0.25419166666666665</v>
      </c>
      <c r="J966" s="12">
        <f t="shared" si="48"/>
        <v>0.22483781609195402</v>
      </c>
    </row>
    <row r="967" spans="1:10" ht="15.75" customHeight="1">
      <c r="A967" s="7">
        <v>43701</v>
      </c>
      <c r="B967" s="10">
        <v>146</v>
      </c>
      <c r="C967">
        <v>56658</v>
      </c>
      <c r="D967" s="5">
        <v>7.04</v>
      </c>
      <c r="F967" s="8">
        <v>100</v>
      </c>
      <c r="G967" s="8">
        <v>95.833333333333343</v>
      </c>
      <c r="H967" s="2">
        <f t="shared" si="46"/>
        <v>7881014</v>
      </c>
      <c r="I967" s="12">
        <f t="shared" si="47"/>
        <v>0.23607500000000001</v>
      </c>
      <c r="J967" s="12">
        <f t="shared" si="48"/>
        <v>0.22491478310502283</v>
      </c>
    </row>
    <row r="968" spans="1:10" ht="15.75" customHeight="1">
      <c r="A968" s="7">
        <v>43702</v>
      </c>
      <c r="B968" s="10">
        <v>147</v>
      </c>
      <c r="C968">
        <v>55024</v>
      </c>
      <c r="D968" s="5">
        <v>6.27</v>
      </c>
      <c r="F968" s="8">
        <v>100</v>
      </c>
      <c r="G968" s="8">
        <v>100</v>
      </c>
      <c r="H968" s="2">
        <f t="shared" si="46"/>
        <v>7936038</v>
      </c>
      <c r="I968" s="12">
        <f t="shared" si="47"/>
        <v>0.22926666666666667</v>
      </c>
      <c r="J968" s="12">
        <f t="shared" si="48"/>
        <v>0.22494438775510203</v>
      </c>
    </row>
    <row r="969" spans="1:10" ht="15.75" customHeight="1">
      <c r="A969" s="7">
        <v>43703</v>
      </c>
      <c r="B969" s="10">
        <v>148</v>
      </c>
      <c r="C969">
        <v>32603</v>
      </c>
      <c r="D969" s="5">
        <v>3.85</v>
      </c>
      <c r="F969" s="8">
        <v>100</v>
      </c>
      <c r="G969" s="8">
        <v>100</v>
      </c>
      <c r="H969" s="2">
        <f t="shared" si="46"/>
        <v>7968641</v>
      </c>
      <c r="I969" s="12">
        <f t="shared" si="47"/>
        <v>0.13584583333333333</v>
      </c>
      <c r="J969" s="12">
        <f t="shared" si="48"/>
        <v>0.22434237049549549</v>
      </c>
    </row>
    <row r="970" spans="1:10" ht="15.75" customHeight="1">
      <c r="A970" s="7">
        <v>43704</v>
      </c>
      <c r="B970" s="10">
        <v>149</v>
      </c>
      <c r="C970">
        <v>50846</v>
      </c>
      <c r="D970" s="5">
        <v>6.07</v>
      </c>
      <c r="F970" s="8">
        <v>100</v>
      </c>
      <c r="G970" s="8">
        <v>100</v>
      </c>
      <c r="H970" s="2">
        <f t="shared" si="46"/>
        <v>8019487</v>
      </c>
      <c r="I970" s="12">
        <f t="shared" si="47"/>
        <v>0.21185833333333334</v>
      </c>
      <c r="J970" s="12">
        <f t="shared" si="48"/>
        <v>0.22425858501118567</v>
      </c>
    </row>
    <row r="971" spans="1:10" ht="15.75" customHeight="1">
      <c r="A971" s="7">
        <v>43705</v>
      </c>
      <c r="B971" s="10">
        <v>150</v>
      </c>
      <c r="C971">
        <v>25947</v>
      </c>
      <c r="D971" s="5">
        <v>3.21</v>
      </c>
      <c r="F971" s="8">
        <v>100</v>
      </c>
      <c r="G971" s="8">
        <v>100</v>
      </c>
      <c r="H971" s="2">
        <f t="shared" si="46"/>
        <v>8045434</v>
      </c>
      <c r="I971" s="12">
        <f t="shared" si="47"/>
        <v>0.1081125</v>
      </c>
      <c r="J971" s="12">
        <f t="shared" si="48"/>
        <v>0.22348427777777777</v>
      </c>
    </row>
    <row r="972" spans="1:10" ht="15.75" customHeight="1">
      <c r="A972" s="7">
        <v>43706</v>
      </c>
      <c r="B972" s="10">
        <v>151</v>
      </c>
      <c r="C972">
        <v>37545</v>
      </c>
      <c r="D972" s="5">
        <v>4.43</v>
      </c>
      <c r="F972" s="8">
        <v>100</v>
      </c>
      <c r="G972" s="8">
        <v>95.833333333333343</v>
      </c>
      <c r="H972" s="2">
        <f t="shared" si="46"/>
        <v>8082979</v>
      </c>
      <c r="I972" s="12">
        <f t="shared" si="47"/>
        <v>0.15643750000000001</v>
      </c>
      <c r="J972" s="12">
        <f t="shared" si="48"/>
        <v>0.22304025938189845</v>
      </c>
    </row>
    <row r="973" spans="1:10" ht="15.75" customHeight="1">
      <c r="A973" s="7">
        <v>43707</v>
      </c>
      <c r="B973" s="10">
        <v>152</v>
      </c>
      <c r="C973">
        <v>48298</v>
      </c>
      <c r="D973" s="5">
        <v>5.58</v>
      </c>
      <c r="F973" s="8">
        <v>100</v>
      </c>
      <c r="G973" s="8">
        <v>100</v>
      </c>
      <c r="H973" s="2">
        <f t="shared" si="46"/>
        <v>8131277</v>
      </c>
      <c r="I973" s="12">
        <f t="shared" si="47"/>
        <v>0.20124166666666668</v>
      </c>
      <c r="J973" s="12">
        <f t="shared" si="48"/>
        <v>0.2228968475877193</v>
      </c>
    </row>
    <row r="974" spans="1:10" ht="15.75" customHeight="1">
      <c r="A974" s="7">
        <v>43708</v>
      </c>
      <c r="B974" s="10">
        <v>153</v>
      </c>
      <c r="C974">
        <v>58970</v>
      </c>
      <c r="D974" s="5">
        <v>6.73</v>
      </c>
      <c r="F974" s="8">
        <v>100</v>
      </c>
      <c r="G974" s="8">
        <v>100</v>
      </c>
      <c r="H974" s="2">
        <f t="shared" si="46"/>
        <v>8190247</v>
      </c>
      <c r="I974" s="12">
        <f t="shared" si="47"/>
        <v>0.24570833333333333</v>
      </c>
      <c r="J974" s="12">
        <f t="shared" si="48"/>
        <v>0.22304594226579522</v>
      </c>
    </row>
    <row r="975" spans="1:10" ht="15.75" customHeight="1">
      <c r="A975" s="7">
        <v>43709</v>
      </c>
      <c r="B975" s="10">
        <v>154</v>
      </c>
      <c r="C975">
        <v>49885</v>
      </c>
      <c r="D975" s="5">
        <v>5.78</v>
      </c>
      <c r="F975" s="8">
        <v>100</v>
      </c>
      <c r="G975" s="8">
        <v>100</v>
      </c>
      <c r="H975" s="2">
        <f t="shared" si="46"/>
        <v>8240132</v>
      </c>
      <c r="I975" s="12">
        <f t="shared" si="47"/>
        <v>0.20785416666666667</v>
      </c>
      <c r="J975" s="12">
        <f t="shared" si="48"/>
        <v>0.22294729437229438</v>
      </c>
    </row>
    <row r="976" spans="1:10" ht="15.75" customHeight="1">
      <c r="A976" s="7">
        <v>43710</v>
      </c>
      <c r="B976" s="10">
        <v>155</v>
      </c>
      <c r="C976">
        <v>40898</v>
      </c>
      <c r="D976" s="5">
        <v>4.8499999999999996</v>
      </c>
      <c r="F976" s="8">
        <v>100</v>
      </c>
      <c r="G976" s="8">
        <v>100</v>
      </c>
      <c r="H976" s="2">
        <f t="shared" si="46"/>
        <v>8281030</v>
      </c>
      <c r="I976" s="12">
        <f t="shared" si="47"/>
        <v>0.17040833333333333</v>
      </c>
      <c r="J976" s="12">
        <f t="shared" si="48"/>
        <v>0.22260833333333332</v>
      </c>
    </row>
    <row r="977" spans="1:10" ht="15.75" customHeight="1">
      <c r="A977" s="7">
        <v>43711</v>
      </c>
      <c r="B977" s="10">
        <v>156</v>
      </c>
      <c r="C977">
        <v>50046</v>
      </c>
      <c r="D977" s="5">
        <v>5.92</v>
      </c>
      <c r="F977" s="8">
        <v>96.490503715937237</v>
      </c>
      <c r="G977" s="8">
        <v>100</v>
      </c>
      <c r="H977" s="2">
        <f t="shared" si="46"/>
        <v>8331076</v>
      </c>
      <c r="I977" s="12">
        <f t="shared" si="47"/>
        <v>0.20852499999999999</v>
      </c>
      <c r="J977" s="12">
        <f t="shared" si="48"/>
        <v>0.22251805555555557</v>
      </c>
    </row>
    <row r="978" spans="1:10" ht="15.75" customHeight="1">
      <c r="A978" s="7">
        <v>43712</v>
      </c>
      <c r="B978" s="10">
        <v>157</v>
      </c>
      <c r="C978">
        <v>59593</v>
      </c>
      <c r="D978" s="5">
        <v>6.79</v>
      </c>
      <c r="F978" s="8">
        <v>100</v>
      </c>
      <c r="G978" s="8">
        <v>97.847222222222214</v>
      </c>
      <c r="H978" s="2">
        <f t="shared" si="46"/>
        <v>8390669</v>
      </c>
      <c r="I978" s="12">
        <f t="shared" si="47"/>
        <v>0.24830416666666666</v>
      </c>
      <c r="J978" s="12">
        <f t="shared" si="48"/>
        <v>0.2226822983014862</v>
      </c>
    </row>
    <row r="979" spans="1:10" ht="15.75" customHeight="1">
      <c r="A979" s="7">
        <v>43713</v>
      </c>
      <c r="B979" s="10">
        <v>158</v>
      </c>
      <c r="C979">
        <v>55831</v>
      </c>
      <c r="D979" s="5">
        <v>6.33</v>
      </c>
      <c r="F979" s="8">
        <v>100</v>
      </c>
      <c r="G979" s="8">
        <v>100</v>
      </c>
      <c r="H979" s="2">
        <f t="shared" si="46"/>
        <v>8446500</v>
      </c>
      <c r="I979" s="12">
        <f t="shared" si="47"/>
        <v>0.23262916666666666</v>
      </c>
      <c r="J979" s="12">
        <f t="shared" si="48"/>
        <v>0.22274525316455696</v>
      </c>
    </row>
    <row r="980" spans="1:10" ht="15.75" customHeight="1">
      <c r="A980" s="7">
        <v>43714</v>
      </c>
      <c r="B980" s="10">
        <v>159</v>
      </c>
      <c r="C980">
        <v>58496</v>
      </c>
      <c r="D980" s="5">
        <v>6.54</v>
      </c>
      <c r="F980" s="8">
        <v>100</v>
      </c>
      <c r="G980" s="8">
        <v>100</v>
      </c>
      <c r="H980" s="2">
        <f t="shared" si="46"/>
        <v>8504996</v>
      </c>
      <c r="I980" s="12">
        <f t="shared" si="47"/>
        <v>0.24373333333333333</v>
      </c>
      <c r="J980" s="12">
        <f t="shared" si="48"/>
        <v>0.2228772536687631</v>
      </c>
    </row>
    <row r="981" spans="1:10" ht="15.75" customHeight="1">
      <c r="A981" s="7">
        <v>43715</v>
      </c>
      <c r="B981" s="10">
        <v>160</v>
      </c>
      <c r="C981">
        <v>49247</v>
      </c>
      <c r="D981" s="5">
        <v>5.71</v>
      </c>
      <c r="F981" s="8">
        <v>100</v>
      </c>
      <c r="G981" s="8">
        <v>100</v>
      </c>
      <c r="H981" s="2">
        <f t="shared" si="46"/>
        <v>8554243</v>
      </c>
      <c r="I981" s="12">
        <f t="shared" si="47"/>
        <v>0.20519583333333333</v>
      </c>
      <c r="J981" s="12">
        <f t="shared" si="48"/>
        <v>0.22276674479166667</v>
      </c>
    </row>
    <row r="982" spans="1:10" ht="15.75" customHeight="1">
      <c r="A982" s="7">
        <v>43716</v>
      </c>
      <c r="B982" s="10">
        <v>161</v>
      </c>
      <c r="C982">
        <v>56551</v>
      </c>
      <c r="D982" s="5">
        <v>6.17</v>
      </c>
      <c r="F982" s="8">
        <v>100</v>
      </c>
      <c r="G982" s="8">
        <v>100</v>
      </c>
      <c r="H982" s="2">
        <f t="shared" si="46"/>
        <v>8610794</v>
      </c>
      <c r="I982" s="12">
        <f t="shared" si="47"/>
        <v>0.23562916666666667</v>
      </c>
      <c r="J982" s="12">
        <f t="shared" si="48"/>
        <v>0.22284663561076604</v>
      </c>
    </row>
    <row r="983" spans="1:10" ht="15.75" customHeight="1">
      <c r="A983" s="7">
        <v>43717</v>
      </c>
      <c r="B983" s="10">
        <v>162</v>
      </c>
      <c r="C983">
        <v>56638</v>
      </c>
      <c r="D983" s="5">
        <v>6.33</v>
      </c>
      <c r="F983" s="8">
        <v>100</v>
      </c>
      <c r="G983" s="8">
        <v>100</v>
      </c>
      <c r="H983" s="2">
        <f t="shared" si="46"/>
        <v>8667432</v>
      </c>
      <c r="I983" s="12">
        <f t="shared" si="47"/>
        <v>0.23599166666666666</v>
      </c>
      <c r="J983" s="12">
        <f t="shared" si="48"/>
        <v>0.22292777777777778</v>
      </c>
    </row>
    <row r="984" spans="1:10" ht="15.75" customHeight="1">
      <c r="A984" s="7">
        <v>43718</v>
      </c>
      <c r="B984" s="10">
        <v>163</v>
      </c>
      <c r="C984">
        <v>58327</v>
      </c>
      <c r="D984" s="5">
        <v>6.53</v>
      </c>
      <c r="F984" s="8">
        <v>100</v>
      </c>
      <c r="G984" s="8">
        <v>100</v>
      </c>
      <c r="H984" s="2">
        <f t="shared" si="46"/>
        <v>8725759</v>
      </c>
      <c r="I984" s="12">
        <f t="shared" si="47"/>
        <v>0.24302916666666666</v>
      </c>
      <c r="J984" s="12">
        <f t="shared" si="48"/>
        <v>0.22305109918200408</v>
      </c>
    </row>
    <row r="985" spans="1:10" ht="15.75" customHeight="1">
      <c r="A985" s="7">
        <v>43719</v>
      </c>
      <c r="B985" s="10">
        <v>164</v>
      </c>
      <c r="C985">
        <v>59634</v>
      </c>
      <c r="D985" s="5">
        <v>6.6</v>
      </c>
      <c r="F985" s="8">
        <v>100</v>
      </c>
      <c r="G985" s="8">
        <v>100</v>
      </c>
      <c r="H985" s="2">
        <f t="shared" si="46"/>
        <v>8785393</v>
      </c>
      <c r="I985" s="12">
        <f t="shared" si="47"/>
        <v>0.248475</v>
      </c>
      <c r="J985" s="12">
        <f t="shared" si="48"/>
        <v>0.22320612296747969</v>
      </c>
    </row>
    <row r="986" spans="1:10" ht="15.75" customHeight="1">
      <c r="A986" s="7">
        <v>43720</v>
      </c>
      <c r="B986" s="10">
        <v>165</v>
      </c>
      <c r="C986">
        <v>57013</v>
      </c>
      <c r="D986" s="5">
        <v>6.22</v>
      </c>
      <c r="F986" s="8">
        <v>100</v>
      </c>
      <c r="G986" s="8">
        <v>100</v>
      </c>
      <c r="H986" s="2">
        <f t="shared" si="46"/>
        <v>8842406</v>
      </c>
      <c r="I986" s="12">
        <f t="shared" si="47"/>
        <v>0.23755416666666668</v>
      </c>
      <c r="J986" s="12">
        <f t="shared" si="48"/>
        <v>0.2232930808080808</v>
      </c>
    </row>
    <row r="987" spans="1:10" ht="15.75" customHeight="1">
      <c r="A987" s="7">
        <v>43721</v>
      </c>
      <c r="B987" s="10">
        <v>166</v>
      </c>
      <c r="C987">
        <v>57683</v>
      </c>
      <c r="D987" s="5">
        <v>6.2</v>
      </c>
      <c r="F987" s="8">
        <v>100</v>
      </c>
      <c r="G987" s="8">
        <v>100</v>
      </c>
      <c r="H987" s="2">
        <f t="shared" si="46"/>
        <v>8900089</v>
      </c>
      <c r="I987" s="12">
        <f t="shared" si="47"/>
        <v>0.24034583333333334</v>
      </c>
      <c r="J987" s="12">
        <f t="shared" si="48"/>
        <v>0.22339580823293173</v>
      </c>
    </row>
    <row r="988" spans="1:10" ht="15.75" customHeight="1">
      <c r="A988" s="7">
        <v>43722</v>
      </c>
      <c r="B988" s="10">
        <v>167</v>
      </c>
      <c r="C988">
        <v>58048</v>
      </c>
      <c r="D988" s="5">
        <v>6.4</v>
      </c>
      <c r="F988" s="8">
        <v>100</v>
      </c>
      <c r="G988" s="8">
        <v>100</v>
      </c>
      <c r="H988" s="2">
        <f t="shared" si="46"/>
        <v>8958137</v>
      </c>
      <c r="I988" s="12">
        <f t="shared" si="47"/>
        <v>0.24186666666666667</v>
      </c>
      <c r="J988" s="12">
        <f t="shared" si="48"/>
        <v>0.22350641217564871</v>
      </c>
    </row>
    <row r="989" spans="1:10" ht="15.75" customHeight="1">
      <c r="A989" s="7">
        <v>43723</v>
      </c>
      <c r="B989" s="10">
        <v>168</v>
      </c>
      <c r="C989">
        <v>49714</v>
      </c>
      <c r="D989" s="5">
        <v>5.66</v>
      </c>
      <c r="F989" s="8">
        <v>100</v>
      </c>
      <c r="G989" s="8">
        <v>100</v>
      </c>
      <c r="H989" s="2">
        <f t="shared" si="46"/>
        <v>9007851</v>
      </c>
      <c r="I989" s="12">
        <f t="shared" si="47"/>
        <v>0.20714166666666667</v>
      </c>
      <c r="J989" s="12">
        <f t="shared" si="48"/>
        <v>0.22340900297619048</v>
      </c>
    </row>
    <row r="990" spans="1:10" ht="15.75" customHeight="1">
      <c r="A990" s="7">
        <v>43724</v>
      </c>
      <c r="B990" s="10">
        <v>169</v>
      </c>
      <c r="C990">
        <v>58489</v>
      </c>
      <c r="D990" s="5">
        <v>6.44</v>
      </c>
      <c r="F990" s="8">
        <v>100</v>
      </c>
      <c r="G990" s="8">
        <v>100</v>
      </c>
      <c r="H990" s="2">
        <f t="shared" si="46"/>
        <v>9066340</v>
      </c>
      <c r="I990" s="12">
        <f t="shared" si="47"/>
        <v>0.24370416666666667</v>
      </c>
      <c r="J990" s="12">
        <f t="shared" si="48"/>
        <v>0.22352909270216961</v>
      </c>
    </row>
    <row r="991" spans="1:10" ht="15.75" customHeight="1">
      <c r="A991" s="7">
        <v>43725</v>
      </c>
      <c r="B991" s="10">
        <v>170</v>
      </c>
      <c r="C991">
        <v>60464</v>
      </c>
      <c r="D991" s="5">
        <v>6.58</v>
      </c>
      <c r="F991" s="8">
        <v>100</v>
      </c>
      <c r="G991" s="8">
        <v>100</v>
      </c>
      <c r="H991" s="2">
        <f t="shared" si="46"/>
        <v>9126804</v>
      </c>
      <c r="I991" s="12">
        <f t="shared" si="47"/>
        <v>0.25193333333333334</v>
      </c>
      <c r="J991" s="12">
        <f t="shared" si="48"/>
        <v>0.22369617647058823</v>
      </c>
    </row>
    <row r="992" spans="1:10" ht="15.75" customHeight="1">
      <c r="A992" s="7">
        <v>43726</v>
      </c>
      <c r="B992" s="10">
        <v>171</v>
      </c>
      <c r="C992">
        <v>57954</v>
      </c>
      <c r="D992" s="5">
        <v>6.4</v>
      </c>
      <c r="F992" s="8">
        <v>100</v>
      </c>
      <c r="G992" s="8">
        <v>100</v>
      </c>
      <c r="H992" s="2">
        <f t="shared" si="46"/>
        <v>9184758</v>
      </c>
      <c r="I992" s="12">
        <f t="shared" si="47"/>
        <v>0.241475</v>
      </c>
      <c r="J992" s="12">
        <f t="shared" si="48"/>
        <v>0.2238001461988304</v>
      </c>
    </row>
    <row r="993" spans="1:10" ht="15.75" customHeight="1">
      <c r="A993" s="7">
        <v>43727</v>
      </c>
      <c r="B993" s="10">
        <v>172</v>
      </c>
      <c r="C993">
        <v>56865</v>
      </c>
      <c r="D993" s="5">
        <v>6.3</v>
      </c>
      <c r="F993" s="8">
        <v>100</v>
      </c>
      <c r="G993" s="8">
        <v>100</v>
      </c>
      <c r="H993" s="2">
        <f t="shared" si="46"/>
        <v>9241623</v>
      </c>
      <c r="I993" s="12">
        <f t="shared" si="47"/>
        <v>0.2369375</v>
      </c>
      <c r="J993" s="12">
        <f t="shared" si="48"/>
        <v>0.22387652616279069</v>
      </c>
    </row>
    <row r="994" spans="1:10" ht="15.75" customHeight="1">
      <c r="A994" s="7">
        <v>43728</v>
      </c>
      <c r="B994" s="10">
        <v>173</v>
      </c>
      <c r="C994">
        <v>45662</v>
      </c>
      <c r="D994" s="5">
        <v>5.13</v>
      </c>
      <c r="F994" s="8">
        <v>100</v>
      </c>
      <c r="G994" s="8">
        <v>100</v>
      </c>
      <c r="H994" s="2">
        <f t="shared" si="46"/>
        <v>9287285</v>
      </c>
      <c r="I994" s="12">
        <f t="shared" si="47"/>
        <v>0.19025833333333333</v>
      </c>
      <c r="J994" s="12">
        <f t="shared" si="48"/>
        <v>0.22368220134874758</v>
      </c>
    </row>
    <row r="995" spans="1:10" ht="15.75" customHeight="1">
      <c r="A995" s="7">
        <v>43729</v>
      </c>
      <c r="B995" s="10">
        <v>174</v>
      </c>
      <c r="C995">
        <v>55199</v>
      </c>
      <c r="D995" s="5">
        <v>5.95</v>
      </c>
      <c r="F995" s="8">
        <v>100</v>
      </c>
      <c r="G995" s="8">
        <v>100</v>
      </c>
      <c r="H995" s="2">
        <f t="shared" si="46"/>
        <v>9342484</v>
      </c>
      <c r="I995" s="12">
        <f t="shared" si="47"/>
        <v>0.22999583333333334</v>
      </c>
      <c r="J995" s="12">
        <f t="shared" si="48"/>
        <v>0.22371848659003832</v>
      </c>
    </row>
    <row r="996" spans="1:10" ht="15.75" customHeight="1">
      <c r="A996" s="7">
        <v>43730</v>
      </c>
      <c r="B996" s="10">
        <v>175</v>
      </c>
      <c r="C996">
        <v>55263</v>
      </c>
      <c r="D996" s="5">
        <v>6.04</v>
      </c>
      <c r="F996" s="8">
        <v>100</v>
      </c>
      <c r="G996" s="8">
        <v>100</v>
      </c>
      <c r="H996" s="2">
        <f t="shared" si="46"/>
        <v>9397747</v>
      </c>
      <c r="I996" s="12">
        <f t="shared" si="47"/>
        <v>0.23026250000000001</v>
      </c>
      <c r="J996" s="12">
        <f t="shared" si="48"/>
        <v>0.22375588095238094</v>
      </c>
    </row>
    <row r="997" spans="1:10" ht="15.75" customHeight="1">
      <c r="A997" s="7">
        <v>43731</v>
      </c>
      <c r="B997" s="10">
        <v>176</v>
      </c>
      <c r="C997">
        <v>55502</v>
      </c>
      <c r="D997" s="5">
        <v>6.06</v>
      </c>
      <c r="F997" s="8">
        <v>100</v>
      </c>
      <c r="G997" s="8">
        <v>100</v>
      </c>
      <c r="H997" s="2">
        <f t="shared" si="46"/>
        <v>9453249</v>
      </c>
      <c r="I997" s="12">
        <f t="shared" si="47"/>
        <v>0.23125833333333334</v>
      </c>
      <c r="J997" s="12">
        <f t="shared" si="48"/>
        <v>0.22379850852272729</v>
      </c>
    </row>
    <row r="998" spans="1:10" ht="15.75" customHeight="1">
      <c r="A998" s="7">
        <v>43732</v>
      </c>
      <c r="B998" s="10">
        <v>177</v>
      </c>
      <c r="C998">
        <v>56159</v>
      </c>
      <c r="D998" s="5">
        <v>6.19</v>
      </c>
      <c r="F998" s="8">
        <v>100</v>
      </c>
      <c r="G998" s="8">
        <v>100</v>
      </c>
      <c r="H998" s="2">
        <f t="shared" si="46"/>
        <v>9509408</v>
      </c>
      <c r="I998" s="12">
        <f t="shared" si="47"/>
        <v>0.23399583333333332</v>
      </c>
      <c r="J998" s="12">
        <f t="shared" si="48"/>
        <v>0.22385612052730697</v>
      </c>
    </row>
    <row r="999" spans="1:10" ht="15.75" customHeight="1">
      <c r="A999" s="7">
        <v>43733</v>
      </c>
      <c r="B999" s="10">
        <v>178</v>
      </c>
      <c r="C999">
        <v>55440</v>
      </c>
      <c r="D999" s="5">
        <v>5.97</v>
      </c>
      <c r="F999" s="8">
        <v>100</v>
      </c>
      <c r="G999" s="8">
        <v>100</v>
      </c>
      <c r="H999" s="2">
        <f t="shared" si="46"/>
        <v>9564848</v>
      </c>
      <c r="I999" s="12">
        <f t="shared" si="47"/>
        <v>0.23100000000000001</v>
      </c>
      <c r="J999" s="12">
        <f t="shared" si="48"/>
        <v>0.22389625468164795</v>
      </c>
    </row>
    <row r="1000" spans="1:10" ht="15" customHeight="1">
      <c r="A1000" s="7">
        <v>43734</v>
      </c>
      <c r="B1000" s="10">
        <v>179</v>
      </c>
      <c r="C1000">
        <v>50103</v>
      </c>
      <c r="D1000" s="5">
        <v>5.37</v>
      </c>
      <c r="F1000" s="8">
        <v>100</v>
      </c>
      <c r="G1000" s="8">
        <v>100</v>
      </c>
      <c r="H1000" s="2">
        <f t="shared" si="46"/>
        <v>9614951</v>
      </c>
      <c r="I1000" s="12">
        <f t="shared" si="47"/>
        <v>0.20876249999999999</v>
      </c>
      <c r="J1000" s="12">
        <f t="shared" si="48"/>
        <v>0.22381170856610802</v>
      </c>
    </row>
    <row r="1001" spans="1:10" ht="15" customHeight="1">
      <c r="A1001" s="7">
        <v>43735</v>
      </c>
      <c r="B1001" s="10">
        <v>180</v>
      </c>
      <c r="C1001">
        <v>52843</v>
      </c>
      <c r="D1001" s="5">
        <v>5.8</v>
      </c>
      <c r="F1001" s="8">
        <v>100</v>
      </c>
      <c r="G1001" s="8">
        <v>100</v>
      </c>
      <c r="H1001" s="2">
        <f t="shared" si="46"/>
        <v>9667794</v>
      </c>
      <c r="I1001" s="12">
        <f t="shared" si="47"/>
        <v>0.22017916666666668</v>
      </c>
      <c r="J1001" s="12">
        <f t="shared" si="48"/>
        <v>0.22379152777777778</v>
      </c>
    </row>
    <row r="1002" spans="1:10" ht="15" customHeight="1">
      <c r="A1002" s="7">
        <v>43736</v>
      </c>
      <c r="B1002" s="10">
        <v>181</v>
      </c>
      <c r="C1002">
        <v>54223</v>
      </c>
      <c r="D1002" s="5">
        <v>5.72</v>
      </c>
      <c r="F1002" s="8">
        <v>100</v>
      </c>
      <c r="G1002" s="8">
        <v>100</v>
      </c>
      <c r="H1002" s="2">
        <f t="shared" si="46"/>
        <v>9722017</v>
      </c>
      <c r="I1002" s="12">
        <f t="shared" si="47"/>
        <v>0.22592916666666665</v>
      </c>
      <c r="J1002" s="12">
        <f t="shared" si="48"/>
        <v>0.22380333793738491</v>
      </c>
    </row>
    <row r="1003" spans="1:10" ht="15" customHeight="1">
      <c r="A1003" s="7">
        <v>43737</v>
      </c>
      <c r="B1003" s="10">
        <v>182</v>
      </c>
      <c r="C1003">
        <v>30739</v>
      </c>
      <c r="D1003" s="5">
        <v>3.17</v>
      </c>
      <c r="F1003" s="8">
        <v>100</v>
      </c>
      <c r="G1003" s="8">
        <v>100</v>
      </c>
      <c r="H1003" s="2">
        <f t="shared" si="46"/>
        <v>9752756</v>
      </c>
      <c r="I1003" s="12">
        <f t="shared" si="47"/>
        <v>0.12807916666666666</v>
      </c>
      <c r="J1003" s="12">
        <f t="shared" si="48"/>
        <v>0.22327738095238095</v>
      </c>
    </row>
    <row r="1004" spans="1:10" ht="15" customHeight="1">
      <c r="A1004" s="7">
        <v>43738</v>
      </c>
      <c r="B1004" s="10">
        <v>183</v>
      </c>
      <c r="C1004">
        <v>56452</v>
      </c>
      <c r="D1004" s="5">
        <v>5.69</v>
      </c>
      <c r="F1004" s="8">
        <v>100</v>
      </c>
      <c r="G1004" s="8">
        <v>100</v>
      </c>
      <c r="H1004" s="2">
        <f t="shared" si="46"/>
        <v>9809208</v>
      </c>
      <c r="I1004" s="12">
        <f t="shared" si="47"/>
        <v>0.23521666666666666</v>
      </c>
      <c r="J1004" s="12">
        <f t="shared" si="48"/>
        <v>0.22334262295081966</v>
      </c>
    </row>
    <row r="1005" spans="1:10" ht="15" customHeight="1">
      <c r="A1005" s="7">
        <v>43739</v>
      </c>
      <c r="B1005" s="10">
        <v>184</v>
      </c>
      <c r="C1005">
        <v>54111</v>
      </c>
      <c r="D1005" s="5">
        <v>5.65</v>
      </c>
      <c r="F1005" s="8">
        <v>100</v>
      </c>
      <c r="G1005" s="8">
        <v>100</v>
      </c>
      <c r="H1005" s="2">
        <f t="shared" si="46"/>
        <v>9863319</v>
      </c>
      <c r="I1005" s="12">
        <f t="shared" si="47"/>
        <v>0.22546250000000001</v>
      </c>
      <c r="J1005" s="12">
        <f t="shared" si="48"/>
        <v>0.22335414402173914</v>
      </c>
    </row>
    <row r="1006" spans="1:10" ht="15" customHeight="1">
      <c r="A1006" s="7">
        <v>43740</v>
      </c>
      <c r="B1006" s="10">
        <v>185</v>
      </c>
      <c r="C1006">
        <v>54873</v>
      </c>
      <c r="D1006" s="5">
        <v>5.57</v>
      </c>
      <c r="F1006" s="8">
        <v>100</v>
      </c>
      <c r="G1006" s="8">
        <v>100</v>
      </c>
      <c r="H1006" s="2">
        <f t="shared" si="46"/>
        <v>9918192</v>
      </c>
      <c r="I1006" s="12">
        <f t="shared" si="47"/>
        <v>0.22863749999999999</v>
      </c>
      <c r="J1006" s="12">
        <f t="shared" si="48"/>
        <v>0.22338270270270269</v>
      </c>
    </row>
    <row r="1007" spans="1:10" ht="15" customHeight="1">
      <c r="A1007" s="7">
        <v>43741</v>
      </c>
      <c r="B1007" s="10">
        <v>186</v>
      </c>
      <c r="C1007">
        <v>57969</v>
      </c>
      <c r="D1007" s="5">
        <v>5.82</v>
      </c>
      <c r="F1007" s="8">
        <v>100</v>
      </c>
      <c r="G1007" s="8">
        <v>100</v>
      </c>
      <c r="H1007" s="2">
        <f t="shared" si="46"/>
        <v>9976161</v>
      </c>
      <c r="I1007" s="12">
        <f t="shared" si="47"/>
        <v>0.24153749999999999</v>
      </c>
      <c r="J1007" s="12">
        <f t="shared" si="48"/>
        <v>0.22348030913978495</v>
      </c>
    </row>
    <row r="1008" spans="1:10" ht="15" customHeight="1">
      <c r="A1008" s="7">
        <v>43742</v>
      </c>
      <c r="B1008" s="10">
        <v>187</v>
      </c>
      <c r="C1008">
        <v>58421</v>
      </c>
      <c r="D1008" s="5">
        <v>5.77</v>
      </c>
      <c r="F1008" s="8">
        <v>100</v>
      </c>
      <c r="G1008" s="8">
        <v>100</v>
      </c>
      <c r="H1008" s="2">
        <f t="shared" si="46"/>
        <v>10034582</v>
      </c>
      <c r="I1008" s="12">
        <f t="shared" si="47"/>
        <v>0.24342083333333334</v>
      </c>
      <c r="J1008" s="12">
        <f t="shared" si="48"/>
        <v>0.22358694295900178</v>
      </c>
    </row>
    <row r="1009" spans="1:10" ht="15" customHeight="1">
      <c r="A1009" s="7">
        <v>43743</v>
      </c>
      <c r="B1009" s="10">
        <v>188</v>
      </c>
      <c r="C1009">
        <v>60095</v>
      </c>
      <c r="D1009" s="5">
        <v>5.97</v>
      </c>
      <c r="F1009" s="8">
        <v>100</v>
      </c>
      <c r="G1009" s="8">
        <v>100</v>
      </c>
      <c r="H1009" s="2">
        <f t="shared" si="46"/>
        <v>10094677</v>
      </c>
      <c r="I1009" s="12">
        <f t="shared" si="47"/>
        <v>0.25039583333333332</v>
      </c>
      <c r="J1009" s="12">
        <f t="shared" si="48"/>
        <v>0.22372954343971632</v>
      </c>
    </row>
    <row r="1010" spans="1:10" ht="15" customHeight="1">
      <c r="A1010" s="7">
        <v>43744</v>
      </c>
      <c r="B1010" s="10">
        <v>189</v>
      </c>
      <c r="C1010">
        <v>45848</v>
      </c>
      <c r="D1010" s="5">
        <v>4.54</v>
      </c>
      <c r="F1010" s="8">
        <v>100</v>
      </c>
      <c r="G1010" s="8">
        <v>100</v>
      </c>
      <c r="H1010" s="2">
        <f t="shared" si="46"/>
        <v>10140525</v>
      </c>
      <c r="I1010" s="12">
        <f t="shared" si="47"/>
        <v>0.19103333333333333</v>
      </c>
      <c r="J1010" s="12">
        <f t="shared" si="48"/>
        <v>0.22355654761904761</v>
      </c>
    </row>
    <row r="1011" spans="1:10" ht="15" customHeight="1">
      <c r="A1011" s="7">
        <v>43745</v>
      </c>
      <c r="B1011" s="10">
        <v>190</v>
      </c>
      <c r="C1011">
        <v>58553</v>
      </c>
      <c r="D1011" s="5">
        <v>5.75</v>
      </c>
      <c r="F1011" s="8">
        <v>100</v>
      </c>
      <c r="G1011" s="8">
        <v>100</v>
      </c>
      <c r="H1011" s="2">
        <f t="shared" si="46"/>
        <v>10199078</v>
      </c>
      <c r="I1011" s="12">
        <f t="shared" si="47"/>
        <v>0.24397083333333333</v>
      </c>
      <c r="J1011" s="12">
        <f t="shared" si="48"/>
        <v>0.22366399122807018</v>
      </c>
    </row>
    <row r="1012" spans="1:10" ht="15" customHeight="1">
      <c r="A1012" s="7">
        <v>43746</v>
      </c>
      <c r="B1012" s="10">
        <v>191</v>
      </c>
      <c r="C1012">
        <v>61368</v>
      </c>
      <c r="D1012" s="5">
        <v>6.01</v>
      </c>
      <c r="F1012" s="8">
        <v>100</v>
      </c>
      <c r="G1012" s="8">
        <v>100</v>
      </c>
      <c r="H1012" s="2">
        <f t="shared" si="46"/>
        <v>10260446</v>
      </c>
      <c r="I1012" s="12">
        <f t="shared" si="47"/>
        <v>0.25569999999999998</v>
      </c>
      <c r="J1012" s="12">
        <f t="shared" si="48"/>
        <v>0.22383171902268761</v>
      </c>
    </row>
    <row r="1013" spans="1:10" ht="15" customHeight="1">
      <c r="A1013" s="7">
        <v>43747</v>
      </c>
      <c r="B1013" s="10">
        <v>192</v>
      </c>
      <c r="C1013">
        <v>59661</v>
      </c>
      <c r="D1013" s="5">
        <v>5.9</v>
      </c>
      <c r="F1013" s="8">
        <v>100</v>
      </c>
      <c r="G1013" s="8">
        <v>100</v>
      </c>
      <c r="H1013" s="2">
        <f t="shared" si="46"/>
        <v>10320107</v>
      </c>
      <c r="I1013" s="12">
        <f t="shared" si="47"/>
        <v>0.24858749999999999</v>
      </c>
      <c r="J1013" s="12">
        <f t="shared" si="48"/>
        <v>0.22396065538194446</v>
      </c>
    </row>
    <row r="1014" spans="1:10" ht="15" customHeight="1">
      <c r="A1014" s="7">
        <v>43748</v>
      </c>
      <c r="B1014" s="10">
        <v>193</v>
      </c>
      <c r="C1014">
        <v>58820</v>
      </c>
      <c r="D1014" s="5">
        <v>5.95</v>
      </c>
      <c r="F1014" s="8">
        <v>100</v>
      </c>
      <c r="G1014" s="8">
        <v>100</v>
      </c>
      <c r="H1014" s="2">
        <f t="shared" si="46"/>
        <v>10378927</v>
      </c>
      <c r="I1014" s="12">
        <f t="shared" si="47"/>
        <v>0.24508333333333332</v>
      </c>
      <c r="J1014" s="12">
        <f t="shared" si="48"/>
        <v>0.22407009930915373</v>
      </c>
    </row>
    <row r="1015" spans="1:10" ht="15" customHeight="1">
      <c r="A1015" s="7">
        <v>43749</v>
      </c>
      <c r="B1015" s="10">
        <v>194</v>
      </c>
      <c r="C1015">
        <v>56127</v>
      </c>
      <c r="D1015" s="5">
        <v>5.55</v>
      </c>
      <c r="F1015" s="8">
        <v>100</v>
      </c>
      <c r="G1015" s="8">
        <v>100</v>
      </c>
      <c r="H1015" s="2">
        <f t="shared" ref="H1015:H1078" si="49">H1014+C1015</f>
        <v>10435054</v>
      </c>
      <c r="I1015" s="12">
        <f t="shared" si="47"/>
        <v>0.2338625</v>
      </c>
      <c r="J1015" s="12">
        <f t="shared" si="48"/>
        <v>0.22412057560137458</v>
      </c>
    </row>
    <row r="1016" spans="1:10" ht="15" customHeight="1">
      <c r="A1016" s="7">
        <v>43750</v>
      </c>
      <c r="B1016" s="10">
        <v>195</v>
      </c>
      <c r="C1016">
        <v>57749</v>
      </c>
      <c r="D1016" s="5">
        <v>5.6</v>
      </c>
      <c r="F1016" s="8">
        <v>100</v>
      </c>
      <c r="G1016" s="8">
        <v>100</v>
      </c>
      <c r="H1016" s="2">
        <f t="shared" si="49"/>
        <v>10492803</v>
      </c>
      <c r="I1016" s="12">
        <f t="shared" si="47"/>
        <v>0.24062083333333334</v>
      </c>
      <c r="J1016" s="12">
        <f t="shared" si="48"/>
        <v>0.22420519230769231</v>
      </c>
    </row>
    <row r="1017" spans="1:10" ht="15" customHeight="1">
      <c r="A1017" s="7">
        <v>43751</v>
      </c>
      <c r="B1017" s="10">
        <v>196</v>
      </c>
      <c r="C1017">
        <v>56333</v>
      </c>
      <c r="D1017" s="5">
        <v>5.52</v>
      </c>
      <c r="F1017" s="8">
        <v>100</v>
      </c>
      <c r="G1017" s="8">
        <v>100</v>
      </c>
      <c r="H1017" s="2">
        <f t="shared" si="49"/>
        <v>10549136</v>
      </c>
      <c r="I1017" s="12">
        <f t="shared" si="47"/>
        <v>0.23472083333333332</v>
      </c>
      <c r="J1017" s="12">
        <f t="shared" si="48"/>
        <v>0.22425884353741496</v>
      </c>
    </row>
    <row r="1018" spans="1:10" ht="15" customHeight="1">
      <c r="A1018" s="7">
        <v>43752</v>
      </c>
      <c r="B1018" s="10">
        <v>197</v>
      </c>
      <c r="C1018">
        <v>56160</v>
      </c>
      <c r="D1018" s="5">
        <v>5.5</v>
      </c>
      <c r="F1018" s="8">
        <v>100</v>
      </c>
      <c r="G1018" s="8">
        <v>100</v>
      </c>
      <c r="H1018" s="2">
        <f t="shared" si="49"/>
        <v>10605296</v>
      </c>
      <c r="I1018" s="12">
        <f t="shared" si="47"/>
        <v>0.23400000000000001</v>
      </c>
      <c r="J1018" s="12">
        <f t="shared" si="48"/>
        <v>0.22430829103214889</v>
      </c>
    </row>
    <row r="1019" spans="1:10" ht="15" customHeight="1">
      <c r="A1019" s="7">
        <v>43753</v>
      </c>
      <c r="B1019" s="10">
        <v>198</v>
      </c>
      <c r="C1019">
        <v>56053</v>
      </c>
      <c r="D1019" s="5">
        <v>5.46</v>
      </c>
      <c r="F1019" s="8">
        <v>100</v>
      </c>
      <c r="G1019" s="8">
        <v>100</v>
      </c>
      <c r="H1019" s="2">
        <f t="shared" si="49"/>
        <v>10661349</v>
      </c>
      <c r="I1019" s="12">
        <f t="shared" si="47"/>
        <v>0.23355416666666667</v>
      </c>
      <c r="J1019" s="12">
        <f t="shared" si="48"/>
        <v>0.22435498737373738</v>
      </c>
    </row>
    <row r="1020" spans="1:10" ht="15" customHeight="1">
      <c r="A1020" s="7">
        <v>43754</v>
      </c>
      <c r="B1020" s="10">
        <v>199</v>
      </c>
      <c r="C1020">
        <v>55738</v>
      </c>
      <c r="D1020" s="5">
        <v>5.44</v>
      </c>
      <c r="F1020" s="8">
        <v>100</v>
      </c>
      <c r="G1020" s="8">
        <v>100</v>
      </c>
      <c r="H1020" s="2">
        <f t="shared" si="49"/>
        <v>10717087</v>
      </c>
      <c r="I1020" s="12">
        <f t="shared" si="47"/>
        <v>0.23224166666666668</v>
      </c>
      <c r="J1020" s="12">
        <f t="shared" si="48"/>
        <v>0.22439461892797319</v>
      </c>
    </row>
    <row r="1021" spans="1:10" ht="15" customHeight="1">
      <c r="A1021" s="7">
        <v>43755</v>
      </c>
      <c r="B1021" s="10">
        <v>200</v>
      </c>
      <c r="C1021">
        <v>48324</v>
      </c>
      <c r="D1021" s="5">
        <v>4.88</v>
      </c>
      <c r="F1021" s="8">
        <v>100</v>
      </c>
      <c r="G1021" s="8">
        <v>100</v>
      </c>
      <c r="H1021" s="2">
        <f t="shared" si="49"/>
        <v>10765411</v>
      </c>
      <c r="I1021" s="12">
        <f t="shared" si="47"/>
        <v>0.20135</v>
      </c>
      <c r="J1021" s="12">
        <f t="shared" si="48"/>
        <v>0.22427939583333334</v>
      </c>
    </row>
    <row r="1022" spans="1:10" ht="15" customHeight="1">
      <c r="A1022" s="7">
        <v>43756</v>
      </c>
      <c r="B1022" s="10">
        <v>201</v>
      </c>
      <c r="C1022">
        <v>57051</v>
      </c>
      <c r="D1022" s="5">
        <v>5.46</v>
      </c>
      <c r="F1022" s="8">
        <v>100</v>
      </c>
      <c r="G1022" s="8">
        <v>100</v>
      </c>
      <c r="H1022" s="2">
        <f t="shared" si="49"/>
        <v>10822462</v>
      </c>
      <c r="I1022" s="12">
        <f t="shared" si="47"/>
        <v>0.23771249999999999</v>
      </c>
      <c r="J1022" s="12">
        <f t="shared" si="48"/>
        <v>0.22434622719734659</v>
      </c>
    </row>
    <row r="1023" spans="1:10" ht="15" customHeight="1">
      <c r="A1023" s="7">
        <v>43757</v>
      </c>
      <c r="B1023" s="10">
        <v>202</v>
      </c>
      <c r="C1023">
        <v>47544</v>
      </c>
      <c r="D1023" s="5">
        <v>4.5599999999999996</v>
      </c>
      <c r="F1023" s="8">
        <v>100</v>
      </c>
      <c r="G1023" s="8">
        <v>100</v>
      </c>
      <c r="H1023" s="2">
        <f t="shared" si="49"/>
        <v>10870006</v>
      </c>
      <c r="I1023" s="12">
        <f t="shared" si="47"/>
        <v>0.1981</v>
      </c>
      <c r="J1023" s="12">
        <f t="shared" si="48"/>
        <v>0.22421629537953797</v>
      </c>
    </row>
    <row r="1024" spans="1:10" ht="15" customHeight="1">
      <c r="A1024" s="7">
        <v>43758</v>
      </c>
      <c r="B1024" s="10">
        <v>203</v>
      </c>
      <c r="C1024">
        <v>54633</v>
      </c>
      <c r="D1024" s="5">
        <v>5.19</v>
      </c>
      <c r="F1024" s="8">
        <v>100</v>
      </c>
      <c r="G1024" s="8">
        <v>100</v>
      </c>
      <c r="H1024" s="2">
        <f t="shared" si="49"/>
        <v>10924639</v>
      </c>
      <c r="I1024" s="12">
        <f t="shared" si="47"/>
        <v>0.22763749999999999</v>
      </c>
      <c r="J1024" s="12">
        <f t="shared" si="48"/>
        <v>0.22423314860426929</v>
      </c>
    </row>
    <row r="1025" spans="1:10" ht="15" customHeight="1">
      <c r="A1025" s="7">
        <v>43759</v>
      </c>
      <c r="B1025" s="10">
        <v>204</v>
      </c>
      <c r="C1025">
        <v>56595</v>
      </c>
      <c r="D1025" s="5">
        <v>5.37</v>
      </c>
      <c r="F1025" s="8">
        <v>100</v>
      </c>
      <c r="G1025" s="8">
        <v>100</v>
      </c>
      <c r="H1025" s="2">
        <f t="shared" si="49"/>
        <v>10981234</v>
      </c>
      <c r="I1025" s="12">
        <f t="shared" si="47"/>
        <v>0.23581250000000001</v>
      </c>
      <c r="J1025" s="12">
        <f t="shared" si="48"/>
        <v>0.22428991013071894</v>
      </c>
    </row>
    <row r="1026" spans="1:10" ht="15" customHeight="1">
      <c r="A1026" s="7">
        <v>43760</v>
      </c>
      <c r="B1026" s="10">
        <v>205</v>
      </c>
      <c r="C1026">
        <v>57378</v>
      </c>
      <c r="D1026" s="5">
        <v>5.41</v>
      </c>
      <c r="F1026" s="8">
        <v>100</v>
      </c>
      <c r="G1026" s="8">
        <v>100</v>
      </c>
      <c r="H1026" s="2">
        <f t="shared" si="49"/>
        <v>11038612</v>
      </c>
      <c r="I1026" s="12">
        <f t="shared" si="47"/>
        <v>0.23907500000000001</v>
      </c>
      <c r="J1026" s="12">
        <f t="shared" si="48"/>
        <v>0.22436203252032522</v>
      </c>
    </row>
    <row r="1027" spans="1:10" ht="15" customHeight="1">
      <c r="A1027" s="7">
        <v>43761</v>
      </c>
      <c r="B1027" s="10">
        <v>206</v>
      </c>
      <c r="C1027">
        <v>55689</v>
      </c>
      <c r="D1027" s="5">
        <v>5.23</v>
      </c>
      <c r="F1027" s="8">
        <v>100</v>
      </c>
      <c r="G1027" s="8">
        <v>100</v>
      </c>
      <c r="H1027" s="2">
        <f t="shared" si="49"/>
        <v>11094301</v>
      </c>
      <c r="I1027" s="12">
        <f t="shared" ref="I1027:I1090" si="50">C1027/(10*24*1000)</f>
        <v>0.23203750000000001</v>
      </c>
      <c r="J1027" s="12">
        <f t="shared" si="48"/>
        <v>0.22439929207119741</v>
      </c>
    </row>
    <row r="1028" spans="1:10" ht="15" customHeight="1">
      <c r="A1028" s="7">
        <v>43762</v>
      </c>
      <c r="B1028" s="10">
        <v>207</v>
      </c>
      <c r="C1028">
        <v>54733</v>
      </c>
      <c r="D1028" s="5">
        <v>5.14</v>
      </c>
      <c r="F1028" s="8">
        <v>100</v>
      </c>
      <c r="G1028" s="8">
        <v>100</v>
      </c>
      <c r="H1028" s="2">
        <f t="shared" si="49"/>
        <v>11149034</v>
      </c>
      <c r="I1028" s="12">
        <f t="shared" si="50"/>
        <v>0.22805416666666667</v>
      </c>
      <c r="J1028" s="12">
        <f t="shared" ref="J1028:J1091" si="51">H1028/(24*B1028*10*1000)</f>
        <v>0.22441694847020935</v>
      </c>
    </row>
    <row r="1029" spans="1:10" ht="15" customHeight="1">
      <c r="A1029" s="7">
        <v>43763</v>
      </c>
      <c r="B1029" s="10">
        <v>208</v>
      </c>
      <c r="C1029">
        <v>54651</v>
      </c>
      <c r="D1029" s="5">
        <v>5.12</v>
      </c>
      <c r="F1029" s="8">
        <v>100</v>
      </c>
      <c r="G1029" s="8">
        <v>100</v>
      </c>
      <c r="H1029" s="2">
        <f t="shared" si="49"/>
        <v>11203685</v>
      </c>
      <c r="I1029" s="12">
        <f t="shared" si="50"/>
        <v>0.22771250000000001</v>
      </c>
      <c r="J1029" s="12">
        <f t="shared" si="51"/>
        <v>0.22443279246794873</v>
      </c>
    </row>
    <row r="1030" spans="1:10" ht="15" customHeight="1">
      <c r="A1030" s="7">
        <v>43764</v>
      </c>
      <c r="B1030" s="10">
        <v>209</v>
      </c>
      <c r="C1030">
        <v>51632</v>
      </c>
      <c r="D1030" s="5">
        <v>4.83</v>
      </c>
      <c r="F1030" s="8">
        <v>100</v>
      </c>
      <c r="G1030" s="8">
        <v>100</v>
      </c>
      <c r="H1030" s="2">
        <f t="shared" si="49"/>
        <v>11255317</v>
      </c>
      <c r="I1030" s="12">
        <f t="shared" si="50"/>
        <v>0.21513333333333334</v>
      </c>
      <c r="J1030" s="12">
        <f t="shared" si="51"/>
        <v>0.22438829744816588</v>
      </c>
    </row>
    <row r="1031" spans="1:10" ht="15" customHeight="1">
      <c r="A1031" s="7">
        <v>43765</v>
      </c>
      <c r="B1031" s="10">
        <v>210</v>
      </c>
      <c r="C1031">
        <v>51692</v>
      </c>
      <c r="D1031" s="5">
        <v>4.84</v>
      </c>
      <c r="F1031" s="8">
        <v>100</v>
      </c>
      <c r="G1031" s="8">
        <v>100</v>
      </c>
      <c r="H1031" s="2">
        <f t="shared" si="49"/>
        <v>11307009</v>
      </c>
      <c r="I1031" s="12">
        <f t="shared" si="50"/>
        <v>0.21538333333333334</v>
      </c>
      <c r="J1031" s="12">
        <f t="shared" si="51"/>
        <v>0.22434541666666666</v>
      </c>
    </row>
    <row r="1032" spans="1:10" ht="15" customHeight="1">
      <c r="A1032" s="7">
        <v>43766</v>
      </c>
      <c r="B1032" s="10">
        <v>211</v>
      </c>
      <c r="C1032">
        <v>47521</v>
      </c>
      <c r="D1032" s="5">
        <v>4.55</v>
      </c>
      <c r="F1032" s="8">
        <v>100</v>
      </c>
      <c r="G1032" s="8">
        <v>100</v>
      </c>
      <c r="H1032" s="2">
        <f t="shared" si="49"/>
        <v>11354530</v>
      </c>
      <c r="I1032" s="12">
        <f t="shared" si="50"/>
        <v>0.19800416666666668</v>
      </c>
      <c r="J1032" s="12">
        <f t="shared" si="51"/>
        <v>0.2242205766192733</v>
      </c>
    </row>
    <row r="1033" spans="1:10" ht="15" customHeight="1">
      <c r="A1033" s="7">
        <v>43767</v>
      </c>
      <c r="B1033" s="10">
        <v>212</v>
      </c>
      <c r="C1033">
        <v>12431</v>
      </c>
      <c r="D1033" s="5">
        <v>1.37</v>
      </c>
      <c r="F1033" s="8">
        <v>100</v>
      </c>
      <c r="G1033" s="8">
        <v>100</v>
      </c>
      <c r="H1033" s="2">
        <f t="shared" si="49"/>
        <v>11366961</v>
      </c>
      <c r="I1033" s="12">
        <f t="shared" si="50"/>
        <v>5.1795833333333333E-2</v>
      </c>
      <c r="J1033" s="12">
        <f t="shared" si="51"/>
        <v>0.22340725235849057</v>
      </c>
    </row>
    <row r="1034" spans="1:10" ht="15" customHeight="1">
      <c r="A1034" s="7">
        <v>43768</v>
      </c>
      <c r="B1034" s="10">
        <v>213</v>
      </c>
      <c r="C1034">
        <v>31323</v>
      </c>
      <c r="D1034" s="5">
        <v>3.73</v>
      </c>
      <c r="F1034" s="8">
        <v>100</v>
      </c>
      <c r="G1034" s="8">
        <v>100</v>
      </c>
      <c r="H1034" s="2">
        <f t="shared" si="49"/>
        <v>11398284</v>
      </c>
      <c r="I1034" s="12">
        <f t="shared" si="50"/>
        <v>0.1305125</v>
      </c>
      <c r="J1034" s="12">
        <f t="shared" si="51"/>
        <v>0.22297112676056338</v>
      </c>
    </row>
    <row r="1035" spans="1:10" ht="15" customHeight="1">
      <c r="A1035" s="7">
        <v>43769</v>
      </c>
      <c r="B1035" s="10">
        <v>214</v>
      </c>
      <c r="C1035">
        <v>55411</v>
      </c>
      <c r="D1035" s="5">
        <v>5.03</v>
      </c>
      <c r="F1035" s="8">
        <v>100</v>
      </c>
      <c r="G1035" s="8">
        <v>100</v>
      </c>
      <c r="H1035" s="2">
        <f t="shared" si="49"/>
        <v>11453695</v>
      </c>
      <c r="I1035" s="12">
        <f t="shared" si="50"/>
        <v>0.23087916666666666</v>
      </c>
      <c r="J1035" s="12">
        <f t="shared" si="51"/>
        <v>0.22300808021806853</v>
      </c>
    </row>
    <row r="1036" spans="1:10" ht="15" customHeight="1">
      <c r="A1036" s="7">
        <v>43770</v>
      </c>
      <c r="B1036" s="10">
        <v>215</v>
      </c>
      <c r="C1036">
        <v>29768</v>
      </c>
      <c r="D1036" s="5">
        <v>2.92</v>
      </c>
      <c r="F1036" s="8">
        <v>100</v>
      </c>
      <c r="G1036" s="8">
        <v>100</v>
      </c>
      <c r="H1036" s="2">
        <f t="shared" si="49"/>
        <v>11483463</v>
      </c>
      <c r="I1036" s="12">
        <f t="shared" si="50"/>
        <v>0.12403333333333333</v>
      </c>
      <c r="J1036" s="12">
        <f t="shared" si="51"/>
        <v>0.22254773255813953</v>
      </c>
    </row>
    <row r="1037" spans="1:10" ht="15" customHeight="1">
      <c r="A1037" s="7">
        <v>43771</v>
      </c>
      <c r="B1037" s="10">
        <v>216</v>
      </c>
      <c r="C1037">
        <v>16985</v>
      </c>
      <c r="D1037" s="5">
        <v>1.67</v>
      </c>
      <c r="F1037" s="8">
        <v>100</v>
      </c>
      <c r="G1037" s="8">
        <v>100</v>
      </c>
      <c r="H1037" s="2">
        <f t="shared" si="49"/>
        <v>11500448</v>
      </c>
      <c r="I1037" s="12">
        <f t="shared" si="50"/>
        <v>7.0770833333333338E-2</v>
      </c>
      <c r="J1037" s="12">
        <f t="shared" si="51"/>
        <v>0.22184506172839505</v>
      </c>
    </row>
    <row r="1038" spans="1:10" ht="15" customHeight="1">
      <c r="A1038" s="7">
        <v>43772</v>
      </c>
      <c r="B1038" s="10">
        <v>217</v>
      </c>
      <c r="C1038">
        <v>23332</v>
      </c>
      <c r="D1038" s="5">
        <v>2.23</v>
      </c>
      <c r="F1038" s="8">
        <v>100</v>
      </c>
      <c r="G1038" s="8">
        <v>100</v>
      </c>
      <c r="H1038" s="2">
        <f t="shared" si="49"/>
        <v>11523780</v>
      </c>
      <c r="I1038" s="12">
        <f t="shared" si="50"/>
        <v>9.7216666666666673E-2</v>
      </c>
      <c r="J1038" s="12">
        <f t="shared" si="51"/>
        <v>0.22127073732718894</v>
      </c>
    </row>
    <row r="1039" spans="1:10" ht="15" customHeight="1">
      <c r="A1039" s="7">
        <v>43773</v>
      </c>
      <c r="B1039" s="10">
        <v>218</v>
      </c>
      <c r="C1039">
        <v>53676</v>
      </c>
      <c r="D1039" s="5">
        <v>4.7</v>
      </c>
      <c r="F1039" s="8">
        <v>100</v>
      </c>
      <c r="G1039" s="8">
        <v>100</v>
      </c>
      <c r="H1039" s="2">
        <f t="shared" si="49"/>
        <v>11577456</v>
      </c>
      <c r="I1039" s="12">
        <f t="shared" si="50"/>
        <v>0.22364999999999999</v>
      </c>
      <c r="J1039" s="12">
        <f t="shared" si="51"/>
        <v>0.22128165137614678</v>
      </c>
    </row>
    <row r="1040" spans="1:10" ht="15" customHeight="1">
      <c r="A1040" s="7">
        <v>43774</v>
      </c>
      <c r="B1040" s="10">
        <v>219</v>
      </c>
      <c r="C1040">
        <v>57570</v>
      </c>
      <c r="D1040" s="5">
        <v>5.0199999999999996</v>
      </c>
      <c r="F1040" s="8">
        <v>100</v>
      </c>
      <c r="G1040" s="8">
        <v>100</v>
      </c>
      <c r="H1040" s="2">
        <f t="shared" si="49"/>
        <v>11635026</v>
      </c>
      <c r="I1040" s="12">
        <f t="shared" si="50"/>
        <v>0.239875</v>
      </c>
      <c r="J1040" s="12">
        <f t="shared" si="51"/>
        <v>0.22136655251141552</v>
      </c>
    </row>
    <row r="1041" spans="1:10" ht="15" customHeight="1">
      <c r="A1041" s="7">
        <v>43775</v>
      </c>
      <c r="B1041" s="10">
        <v>220</v>
      </c>
      <c r="C1041">
        <v>51272</v>
      </c>
      <c r="D1041" s="5">
        <v>4.4800000000000004</v>
      </c>
      <c r="F1041" s="8">
        <v>100</v>
      </c>
      <c r="G1041" s="8">
        <v>100</v>
      </c>
      <c r="H1041" s="2">
        <f t="shared" si="49"/>
        <v>11686298</v>
      </c>
      <c r="I1041" s="12">
        <f t="shared" si="50"/>
        <v>0.21363333333333334</v>
      </c>
      <c r="J1041" s="12">
        <f t="shared" si="51"/>
        <v>0.22133140151515152</v>
      </c>
    </row>
    <row r="1042" spans="1:10" ht="15" customHeight="1">
      <c r="A1042" s="7">
        <v>43776</v>
      </c>
      <c r="B1042" s="10">
        <v>221</v>
      </c>
      <c r="C1042">
        <v>53082</v>
      </c>
      <c r="D1042" s="5">
        <v>4.7699999999999996</v>
      </c>
      <c r="F1042" s="8">
        <v>100</v>
      </c>
      <c r="G1042" s="8">
        <v>100</v>
      </c>
      <c r="H1042" s="2">
        <f t="shared" si="49"/>
        <v>11739380</v>
      </c>
      <c r="I1042" s="12">
        <f t="shared" si="50"/>
        <v>0.22117500000000001</v>
      </c>
      <c r="J1042" s="12">
        <f t="shared" si="51"/>
        <v>0.22133069381598794</v>
      </c>
    </row>
    <row r="1043" spans="1:10" ht="15" customHeight="1">
      <c r="A1043" s="7">
        <v>43777</v>
      </c>
      <c r="B1043" s="10">
        <v>222</v>
      </c>
      <c r="C1043">
        <v>55683</v>
      </c>
      <c r="D1043" s="5">
        <v>4.71</v>
      </c>
      <c r="F1043" s="8">
        <v>100</v>
      </c>
      <c r="G1043" s="8">
        <v>100</v>
      </c>
      <c r="H1043" s="2">
        <f t="shared" si="49"/>
        <v>11795063</v>
      </c>
      <c r="I1043" s="12">
        <f t="shared" si="50"/>
        <v>0.23201250000000001</v>
      </c>
      <c r="J1043" s="12">
        <f t="shared" si="51"/>
        <v>0.22137881006006005</v>
      </c>
    </row>
    <row r="1044" spans="1:10" ht="15" customHeight="1">
      <c r="A1044" s="7">
        <v>43778</v>
      </c>
      <c r="B1044" s="10">
        <v>223</v>
      </c>
      <c r="C1044">
        <v>52092</v>
      </c>
      <c r="D1044" s="5">
        <v>4.5199999999999996</v>
      </c>
      <c r="F1044" s="8">
        <v>100</v>
      </c>
      <c r="G1044" s="8">
        <v>100</v>
      </c>
      <c r="H1044" s="2">
        <f t="shared" si="49"/>
        <v>11847155</v>
      </c>
      <c r="I1044" s="12">
        <f t="shared" si="50"/>
        <v>0.21704999999999999</v>
      </c>
      <c r="J1044" s="12">
        <f t="shared" si="51"/>
        <v>0.22135939835575486</v>
      </c>
    </row>
    <row r="1045" spans="1:10" ht="15" customHeight="1">
      <c r="A1045" s="7">
        <v>43779</v>
      </c>
      <c r="B1045" s="10">
        <v>224</v>
      </c>
      <c r="C1045">
        <v>49877</v>
      </c>
      <c r="D1045" s="5">
        <v>4.3600000000000003</v>
      </c>
      <c r="F1045" s="8">
        <v>100</v>
      </c>
      <c r="G1045" s="8">
        <v>100</v>
      </c>
      <c r="H1045" s="2">
        <f t="shared" si="49"/>
        <v>11897032</v>
      </c>
      <c r="I1045" s="12">
        <f t="shared" si="50"/>
        <v>0.20782083333333334</v>
      </c>
      <c r="J1045" s="12">
        <f t="shared" si="51"/>
        <v>0.22129895833333332</v>
      </c>
    </row>
    <row r="1046" spans="1:10" ht="15" customHeight="1">
      <c r="A1046" s="7">
        <v>43780</v>
      </c>
      <c r="B1046" s="10">
        <v>225</v>
      </c>
      <c r="C1046">
        <v>54435</v>
      </c>
      <c r="D1046" s="5">
        <v>4.6900000000000004</v>
      </c>
      <c r="F1046" s="8">
        <v>100</v>
      </c>
      <c r="G1046" s="8">
        <v>100</v>
      </c>
      <c r="H1046" s="2">
        <f t="shared" si="49"/>
        <v>11951467</v>
      </c>
      <c r="I1046" s="12">
        <f t="shared" si="50"/>
        <v>0.2268125</v>
      </c>
      <c r="J1046" s="12">
        <f t="shared" si="51"/>
        <v>0.22132346296296296</v>
      </c>
    </row>
    <row r="1047" spans="1:10" ht="15" customHeight="1">
      <c r="A1047" s="7">
        <v>43781</v>
      </c>
      <c r="B1047" s="10">
        <v>226</v>
      </c>
      <c r="C1047">
        <v>33306</v>
      </c>
      <c r="D1047" s="5">
        <v>3.08</v>
      </c>
      <c r="F1047" s="8">
        <v>100</v>
      </c>
      <c r="G1047" s="8">
        <v>100</v>
      </c>
      <c r="H1047" s="2">
        <f t="shared" si="49"/>
        <v>11984773</v>
      </c>
      <c r="I1047" s="12">
        <f t="shared" si="50"/>
        <v>0.13877500000000001</v>
      </c>
      <c r="J1047" s="12">
        <f t="shared" si="51"/>
        <v>0.22095820427728613</v>
      </c>
    </row>
    <row r="1048" spans="1:10" ht="15" customHeight="1">
      <c r="A1048" s="7">
        <v>43782</v>
      </c>
      <c r="B1048" s="10">
        <v>227</v>
      </c>
      <c r="C1048">
        <v>2487</v>
      </c>
      <c r="D1048" s="5">
        <v>0.34</v>
      </c>
      <c r="F1048" s="8">
        <v>100</v>
      </c>
      <c r="G1048" s="8">
        <v>100</v>
      </c>
      <c r="H1048" s="2">
        <f t="shared" si="49"/>
        <v>11987260</v>
      </c>
      <c r="I1048" s="12">
        <f t="shared" si="50"/>
        <v>1.03625E-2</v>
      </c>
      <c r="J1048" s="12">
        <f t="shared" si="51"/>
        <v>0.22003046989720998</v>
      </c>
    </row>
    <row r="1049" spans="1:10" ht="15" customHeight="1">
      <c r="A1049" s="7">
        <v>43783</v>
      </c>
      <c r="B1049" s="10">
        <v>228</v>
      </c>
      <c r="C1049">
        <v>1692</v>
      </c>
      <c r="D1049" s="5">
        <v>0.28999999999999998</v>
      </c>
      <c r="F1049" s="8">
        <v>100</v>
      </c>
      <c r="G1049" s="8">
        <v>100</v>
      </c>
      <c r="H1049" s="2">
        <f t="shared" si="49"/>
        <v>11988952</v>
      </c>
      <c r="I1049" s="12">
        <f t="shared" si="50"/>
        <v>7.0499999999999998E-3</v>
      </c>
      <c r="J1049" s="12">
        <f t="shared" si="51"/>
        <v>0.21909634502923978</v>
      </c>
    </row>
    <row r="1050" spans="1:10" ht="15" customHeight="1">
      <c r="A1050" s="7">
        <v>43784</v>
      </c>
      <c r="B1050" s="10">
        <v>229</v>
      </c>
      <c r="C1050">
        <v>22236</v>
      </c>
      <c r="D1050" s="5">
        <v>2.16</v>
      </c>
      <c r="F1050" s="8">
        <v>100</v>
      </c>
      <c r="G1050" s="8">
        <v>100</v>
      </c>
      <c r="H1050" s="2">
        <f t="shared" si="49"/>
        <v>12011188</v>
      </c>
      <c r="I1050" s="12">
        <f t="shared" si="50"/>
        <v>9.2649999999999996E-2</v>
      </c>
      <c r="J1050" s="12">
        <f t="shared" si="51"/>
        <v>0.21854417758369724</v>
      </c>
    </row>
    <row r="1051" spans="1:10" ht="15" customHeight="1">
      <c r="A1051" s="7">
        <v>43785</v>
      </c>
      <c r="B1051" s="10">
        <v>230</v>
      </c>
      <c r="C1051">
        <v>33763</v>
      </c>
      <c r="D1051" s="5">
        <v>3.18</v>
      </c>
      <c r="F1051" s="8">
        <v>100</v>
      </c>
      <c r="G1051" s="8">
        <v>100</v>
      </c>
      <c r="H1051" s="2">
        <f t="shared" si="49"/>
        <v>12044951</v>
      </c>
      <c r="I1051" s="12">
        <f t="shared" si="50"/>
        <v>0.14067916666666666</v>
      </c>
      <c r="J1051" s="12">
        <f t="shared" si="51"/>
        <v>0.21820563405797103</v>
      </c>
    </row>
    <row r="1052" spans="1:10" ht="15" customHeight="1">
      <c r="A1052" s="7">
        <v>43786</v>
      </c>
      <c r="B1052" s="10">
        <v>231</v>
      </c>
      <c r="C1052">
        <v>39199</v>
      </c>
      <c r="D1052" s="5">
        <v>3.54</v>
      </c>
      <c r="F1052" s="8">
        <v>100</v>
      </c>
      <c r="G1052" s="8">
        <v>100</v>
      </c>
      <c r="H1052" s="2">
        <f t="shared" si="49"/>
        <v>12084150</v>
      </c>
      <c r="I1052" s="12">
        <f t="shared" si="50"/>
        <v>0.16332916666666666</v>
      </c>
      <c r="J1052" s="12">
        <f t="shared" si="51"/>
        <v>0.2179680735930736</v>
      </c>
    </row>
    <row r="1053" spans="1:10" ht="15" customHeight="1">
      <c r="A1053" s="7">
        <v>43787</v>
      </c>
      <c r="B1053" s="10">
        <v>232</v>
      </c>
      <c r="C1053">
        <v>47035</v>
      </c>
      <c r="D1053" s="5">
        <v>4.0999999999999996</v>
      </c>
      <c r="F1053" s="8">
        <v>100</v>
      </c>
      <c r="G1053" s="8">
        <v>100</v>
      </c>
      <c r="H1053" s="2">
        <f t="shared" si="49"/>
        <v>12131185</v>
      </c>
      <c r="I1053" s="12">
        <f t="shared" si="50"/>
        <v>0.19597916666666668</v>
      </c>
      <c r="J1053" s="12">
        <f t="shared" si="51"/>
        <v>0.21787329382183909</v>
      </c>
    </row>
    <row r="1054" spans="1:10" ht="15" customHeight="1">
      <c r="A1054" s="7">
        <v>43788</v>
      </c>
      <c r="B1054" s="10">
        <v>233</v>
      </c>
      <c r="C1054">
        <v>51135</v>
      </c>
      <c r="D1054" s="5">
        <v>4.3</v>
      </c>
      <c r="F1054" s="8">
        <v>100</v>
      </c>
      <c r="G1054" s="8">
        <v>100</v>
      </c>
      <c r="H1054" s="2">
        <f t="shared" si="49"/>
        <v>12182320</v>
      </c>
      <c r="I1054" s="12">
        <f t="shared" si="50"/>
        <v>0.21306249999999999</v>
      </c>
      <c r="J1054" s="12">
        <f t="shared" si="51"/>
        <v>0.21785264663805437</v>
      </c>
    </row>
    <row r="1055" spans="1:10" ht="15" customHeight="1">
      <c r="A1055" s="7">
        <v>43789</v>
      </c>
      <c r="B1055" s="10">
        <v>234</v>
      </c>
      <c r="C1055">
        <v>52187</v>
      </c>
      <c r="D1055" s="5">
        <v>4.47</v>
      </c>
      <c r="F1055" s="8">
        <v>98.17930586035925</v>
      </c>
      <c r="G1055" s="8">
        <v>100</v>
      </c>
      <c r="H1055" s="2">
        <f t="shared" si="49"/>
        <v>12234507</v>
      </c>
      <c r="I1055" s="12">
        <f t="shared" si="50"/>
        <v>0.21744583333333334</v>
      </c>
      <c r="J1055" s="12">
        <f t="shared" si="51"/>
        <v>0.21785090811965813</v>
      </c>
    </row>
    <row r="1056" spans="1:10" ht="15" customHeight="1">
      <c r="A1056" s="7">
        <v>43790</v>
      </c>
      <c r="B1056" s="10">
        <v>235</v>
      </c>
      <c r="C1056">
        <v>42124</v>
      </c>
      <c r="D1056" s="5">
        <v>3.8</v>
      </c>
      <c r="F1056" s="8">
        <v>100</v>
      </c>
      <c r="G1056" s="8">
        <v>100</v>
      </c>
      <c r="H1056" s="2">
        <f t="shared" si="49"/>
        <v>12276631</v>
      </c>
      <c r="I1056" s="12">
        <f t="shared" si="50"/>
        <v>0.17551666666666665</v>
      </c>
      <c r="J1056" s="12">
        <f t="shared" si="51"/>
        <v>0.21767076241134753</v>
      </c>
    </row>
    <row r="1057" spans="1:10" ht="15" customHeight="1">
      <c r="A1057" s="7">
        <v>43791</v>
      </c>
      <c r="B1057" s="10">
        <v>236</v>
      </c>
      <c r="C1057">
        <v>39266</v>
      </c>
      <c r="D1057" s="5">
        <v>3.53</v>
      </c>
      <c r="F1057" s="8">
        <v>100</v>
      </c>
      <c r="G1057" s="8">
        <v>100</v>
      </c>
      <c r="H1057" s="2">
        <f t="shared" si="49"/>
        <v>12315897</v>
      </c>
      <c r="I1057" s="12">
        <f t="shared" si="50"/>
        <v>0.16360833333333333</v>
      </c>
      <c r="J1057" s="12">
        <f t="shared" si="51"/>
        <v>0.2174416843220339</v>
      </c>
    </row>
    <row r="1058" spans="1:10" ht="15" customHeight="1">
      <c r="A1058" s="7">
        <v>43792</v>
      </c>
      <c r="B1058" s="10">
        <v>237</v>
      </c>
      <c r="C1058">
        <v>44709</v>
      </c>
      <c r="D1058" s="5">
        <v>3.74</v>
      </c>
      <c r="F1058" s="8">
        <v>100</v>
      </c>
      <c r="G1058" s="8">
        <v>100</v>
      </c>
      <c r="H1058" s="2">
        <f t="shared" si="49"/>
        <v>12360606</v>
      </c>
      <c r="I1058" s="12">
        <f t="shared" si="50"/>
        <v>0.18628749999999999</v>
      </c>
      <c r="J1058" s="12">
        <f t="shared" si="51"/>
        <v>0.21731023206751054</v>
      </c>
    </row>
    <row r="1059" spans="1:10" ht="15" customHeight="1">
      <c r="A1059" s="7">
        <v>43793</v>
      </c>
      <c r="B1059" s="10">
        <v>238</v>
      </c>
      <c r="C1059">
        <v>41425</v>
      </c>
      <c r="D1059" s="5">
        <v>3.64</v>
      </c>
      <c r="F1059" s="8">
        <v>98.115404402805225</v>
      </c>
      <c r="G1059" s="8">
        <v>100</v>
      </c>
      <c r="H1059" s="2">
        <f t="shared" si="49"/>
        <v>12402031</v>
      </c>
      <c r="I1059" s="12">
        <f t="shared" si="50"/>
        <v>0.17260416666666667</v>
      </c>
      <c r="J1059" s="12">
        <f t="shared" si="51"/>
        <v>0.21712239145658263</v>
      </c>
    </row>
    <row r="1060" spans="1:10" ht="15" customHeight="1">
      <c r="A1060" s="7">
        <v>43794</v>
      </c>
      <c r="B1060" s="10">
        <v>239</v>
      </c>
      <c r="C1060">
        <v>52187</v>
      </c>
      <c r="D1060" s="5">
        <v>4.26</v>
      </c>
      <c r="F1060" s="8">
        <v>100</v>
      </c>
      <c r="G1060" s="8">
        <v>100</v>
      </c>
      <c r="H1060" s="2">
        <f t="shared" si="49"/>
        <v>12454218</v>
      </c>
      <c r="I1060" s="12">
        <f t="shared" si="50"/>
        <v>0.21744583333333334</v>
      </c>
      <c r="J1060" s="12">
        <f t="shared" si="51"/>
        <v>0.21712374476987448</v>
      </c>
    </row>
    <row r="1061" spans="1:10" ht="15" customHeight="1">
      <c r="A1061" s="7">
        <v>43795</v>
      </c>
      <c r="B1061" s="10">
        <v>240</v>
      </c>
      <c r="C1061">
        <v>21357</v>
      </c>
      <c r="D1061" s="5">
        <v>2.1800000000000002</v>
      </c>
      <c r="F1061" s="8">
        <v>100</v>
      </c>
      <c r="G1061" s="8">
        <v>100</v>
      </c>
      <c r="H1061" s="2">
        <f t="shared" si="49"/>
        <v>12475575</v>
      </c>
      <c r="I1061" s="12">
        <f t="shared" si="50"/>
        <v>8.8987499999999997E-2</v>
      </c>
      <c r="J1061" s="12">
        <f t="shared" si="51"/>
        <v>0.21658984375000001</v>
      </c>
    </row>
    <row r="1062" spans="1:10" ht="15" customHeight="1">
      <c r="A1062" s="7">
        <v>43796</v>
      </c>
      <c r="B1062" s="10">
        <v>241</v>
      </c>
      <c r="C1062">
        <v>40851</v>
      </c>
      <c r="D1062" s="5">
        <v>3.49</v>
      </c>
      <c r="F1062" s="8">
        <v>100</v>
      </c>
      <c r="G1062" s="8">
        <v>100</v>
      </c>
      <c r="H1062" s="2">
        <f t="shared" si="49"/>
        <v>12516426</v>
      </c>
      <c r="I1062" s="12">
        <f t="shared" si="50"/>
        <v>0.17021249999999999</v>
      </c>
      <c r="J1062" s="12">
        <f t="shared" si="51"/>
        <v>0.21639740663900414</v>
      </c>
    </row>
    <row r="1063" spans="1:10" ht="15" customHeight="1">
      <c r="A1063" s="7">
        <v>43797</v>
      </c>
      <c r="B1063" s="10">
        <v>242</v>
      </c>
      <c r="C1063">
        <v>46055</v>
      </c>
      <c r="D1063" s="5">
        <v>3.84</v>
      </c>
      <c r="F1063" s="8">
        <v>100</v>
      </c>
      <c r="G1063" s="8">
        <v>100</v>
      </c>
      <c r="H1063" s="2">
        <f t="shared" si="49"/>
        <v>12562481</v>
      </c>
      <c r="I1063" s="12">
        <f t="shared" si="50"/>
        <v>0.19189583333333332</v>
      </c>
      <c r="J1063" s="12">
        <f t="shared" si="51"/>
        <v>0.21629616046831956</v>
      </c>
    </row>
    <row r="1064" spans="1:10" ht="15" customHeight="1">
      <c r="A1064" s="7">
        <v>43798</v>
      </c>
      <c r="B1064" s="10">
        <v>243</v>
      </c>
      <c r="C1064">
        <v>45564</v>
      </c>
      <c r="D1064" s="5">
        <v>3.79</v>
      </c>
      <c r="F1064" s="8">
        <v>100</v>
      </c>
      <c r="G1064" s="8">
        <v>100</v>
      </c>
      <c r="H1064" s="2">
        <f t="shared" si="49"/>
        <v>12608045</v>
      </c>
      <c r="I1064" s="12">
        <f t="shared" si="50"/>
        <v>0.18984999999999999</v>
      </c>
      <c r="J1064" s="12">
        <f t="shared" si="51"/>
        <v>0.21618732853223593</v>
      </c>
    </row>
    <row r="1065" spans="1:10" ht="15" customHeight="1">
      <c r="A1065" s="7">
        <v>43799</v>
      </c>
      <c r="B1065" s="10">
        <v>244</v>
      </c>
      <c r="C1065">
        <v>47586</v>
      </c>
      <c r="D1065" s="5">
        <v>3.95</v>
      </c>
      <c r="F1065" s="8">
        <v>100</v>
      </c>
      <c r="G1065" s="8">
        <v>100</v>
      </c>
      <c r="H1065" s="2">
        <f t="shared" si="49"/>
        <v>12655631</v>
      </c>
      <c r="I1065" s="12">
        <f t="shared" si="50"/>
        <v>0.19827500000000001</v>
      </c>
      <c r="J1065" s="12">
        <f t="shared" si="51"/>
        <v>0.21611391734972676</v>
      </c>
    </row>
    <row r="1066" spans="1:10" ht="15" customHeight="1">
      <c r="A1066" s="7">
        <v>43800</v>
      </c>
      <c r="B1066" s="10">
        <v>245</v>
      </c>
      <c r="C1066">
        <v>53459</v>
      </c>
      <c r="D1066" s="5">
        <v>4.32</v>
      </c>
      <c r="F1066" s="8">
        <v>100</v>
      </c>
      <c r="G1066" s="8">
        <v>100</v>
      </c>
      <c r="H1066" s="2">
        <f t="shared" si="49"/>
        <v>12709090</v>
      </c>
      <c r="I1066" s="12">
        <f t="shared" si="50"/>
        <v>0.22274583333333334</v>
      </c>
      <c r="J1066" s="12">
        <f t="shared" si="51"/>
        <v>0.21614098639455781</v>
      </c>
    </row>
    <row r="1067" spans="1:10" ht="15" customHeight="1">
      <c r="A1067" s="7">
        <v>43801</v>
      </c>
      <c r="B1067" s="10">
        <v>246</v>
      </c>
      <c r="C1067">
        <v>53898</v>
      </c>
      <c r="D1067" s="5">
        <v>4.3600000000000003</v>
      </c>
      <c r="F1067" s="8">
        <v>100</v>
      </c>
      <c r="G1067" s="8">
        <v>100</v>
      </c>
      <c r="H1067" s="2">
        <f t="shared" si="49"/>
        <v>12762988</v>
      </c>
      <c r="I1067" s="12">
        <f t="shared" si="50"/>
        <v>0.224575</v>
      </c>
      <c r="J1067" s="12">
        <f t="shared" si="51"/>
        <v>0.21617527100271003</v>
      </c>
    </row>
    <row r="1068" spans="1:10" ht="15" customHeight="1">
      <c r="A1068" s="7">
        <v>43802</v>
      </c>
      <c r="B1068" s="10">
        <v>247</v>
      </c>
      <c r="C1068">
        <v>54470</v>
      </c>
      <c r="D1068" s="5">
        <v>4.4400000000000004</v>
      </c>
      <c r="F1068" s="8">
        <v>100</v>
      </c>
      <c r="G1068" s="8">
        <v>100</v>
      </c>
      <c r="H1068" s="2">
        <f t="shared" si="49"/>
        <v>12817458</v>
      </c>
      <c r="I1068" s="12">
        <f t="shared" si="50"/>
        <v>0.22695833333333335</v>
      </c>
      <c r="J1068" s="12">
        <f t="shared" si="51"/>
        <v>0.21621892712550608</v>
      </c>
    </row>
    <row r="1069" spans="1:10" ht="15" customHeight="1">
      <c r="A1069" s="7">
        <v>43803</v>
      </c>
      <c r="B1069" s="10">
        <v>248</v>
      </c>
      <c r="C1069">
        <v>50134</v>
      </c>
      <c r="D1069" s="5">
        <v>4.2300000000000004</v>
      </c>
      <c r="F1069" s="8">
        <v>100</v>
      </c>
      <c r="G1069" s="8">
        <v>100</v>
      </c>
      <c r="H1069" s="2">
        <f t="shared" si="49"/>
        <v>12867592</v>
      </c>
      <c r="I1069" s="12">
        <f t="shared" si="50"/>
        <v>0.20889166666666667</v>
      </c>
      <c r="J1069" s="12">
        <f t="shared" si="51"/>
        <v>0.21618938172043012</v>
      </c>
    </row>
    <row r="1070" spans="1:10" ht="15" customHeight="1">
      <c r="A1070" s="7">
        <v>43804</v>
      </c>
      <c r="B1070" s="10">
        <v>249</v>
      </c>
      <c r="C1070">
        <v>43013</v>
      </c>
      <c r="D1070" s="5">
        <v>3.86</v>
      </c>
      <c r="F1070" s="8">
        <v>97.278574962889664</v>
      </c>
      <c r="G1070" s="8">
        <v>100</v>
      </c>
      <c r="H1070" s="2">
        <f t="shared" si="49"/>
        <v>12910605</v>
      </c>
      <c r="I1070" s="12">
        <f t="shared" si="50"/>
        <v>0.17922083333333333</v>
      </c>
      <c r="J1070" s="12">
        <f t="shared" si="51"/>
        <v>0.21604091365461847</v>
      </c>
    </row>
    <row r="1071" spans="1:10" ht="15" customHeight="1">
      <c r="A1071" s="7">
        <v>43805</v>
      </c>
      <c r="B1071" s="10">
        <v>250</v>
      </c>
      <c r="C1071">
        <v>36721</v>
      </c>
      <c r="D1071" s="5">
        <v>3.16</v>
      </c>
      <c r="F1071" s="8">
        <v>100</v>
      </c>
      <c r="G1071" s="8">
        <v>100</v>
      </c>
      <c r="H1071" s="2">
        <f t="shared" si="49"/>
        <v>12947326</v>
      </c>
      <c r="I1071" s="12">
        <f t="shared" si="50"/>
        <v>0.15300416666666666</v>
      </c>
      <c r="J1071" s="12">
        <f t="shared" si="51"/>
        <v>0.21578876666666666</v>
      </c>
    </row>
    <row r="1072" spans="1:10" ht="15" customHeight="1">
      <c r="A1072" s="7">
        <v>43806</v>
      </c>
      <c r="B1072" s="10">
        <v>251</v>
      </c>
      <c r="C1072">
        <v>46955</v>
      </c>
      <c r="D1072" s="5">
        <v>3.9</v>
      </c>
      <c r="F1072" s="8">
        <v>100</v>
      </c>
      <c r="G1072" s="8">
        <v>97.708333333333329</v>
      </c>
      <c r="H1072" s="2">
        <f t="shared" si="49"/>
        <v>12994281</v>
      </c>
      <c r="I1072" s="12">
        <f t="shared" si="50"/>
        <v>0.19564583333333332</v>
      </c>
      <c r="J1072" s="12">
        <f t="shared" si="51"/>
        <v>0.21570851593625498</v>
      </c>
    </row>
    <row r="1073" spans="1:10" ht="15" customHeight="1">
      <c r="A1073" s="7">
        <v>43807</v>
      </c>
      <c r="B1073" s="10">
        <v>252</v>
      </c>
      <c r="C1073">
        <v>48089</v>
      </c>
      <c r="D1073" s="5">
        <v>3.98</v>
      </c>
      <c r="F1073" s="8">
        <v>100</v>
      </c>
      <c r="G1073" s="8">
        <v>100</v>
      </c>
      <c r="H1073" s="2">
        <f t="shared" si="49"/>
        <v>13042370</v>
      </c>
      <c r="I1073" s="12">
        <f t="shared" si="50"/>
        <v>0.20037083333333333</v>
      </c>
      <c r="J1073" s="12">
        <f t="shared" si="51"/>
        <v>0.21564765211640211</v>
      </c>
    </row>
    <row r="1074" spans="1:10" ht="15" customHeight="1">
      <c r="A1074" s="7">
        <v>43808</v>
      </c>
      <c r="B1074" s="10">
        <v>253</v>
      </c>
      <c r="C1074">
        <v>44748</v>
      </c>
      <c r="D1074" s="5">
        <v>3.74</v>
      </c>
      <c r="F1074" s="8">
        <v>100</v>
      </c>
      <c r="G1074" s="8">
        <v>100</v>
      </c>
      <c r="H1074" s="2">
        <f t="shared" si="49"/>
        <v>13087118</v>
      </c>
      <c r="I1074" s="12">
        <f t="shared" si="50"/>
        <v>0.18645</v>
      </c>
      <c r="J1074" s="12">
        <f t="shared" si="51"/>
        <v>0.21553224637681159</v>
      </c>
    </row>
    <row r="1075" spans="1:10" ht="15" customHeight="1">
      <c r="A1075" s="7">
        <v>43809</v>
      </c>
      <c r="B1075" s="10">
        <v>254</v>
      </c>
      <c r="C1075">
        <v>47334</v>
      </c>
      <c r="D1075" s="5">
        <v>3.9</v>
      </c>
      <c r="F1075" s="8">
        <v>100</v>
      </c>
      <c r="G1075" s="8">
        <v>98.263888888888886</v>
      </c>
      <c r="H1075" s="2">
        <f t="shared" si="49"/>
        <v>13134452</v>
      </c>
      <c r="I1075" s="12">
        <f t="shared" si="50"/>
        <v>0.19722500000000001</v>
      </c>
      <c r="J1075" s="12">
        <f t="shared" si="51"/>
        <v>0.21546017060367453</v>
      </c>
    </row>
    <row r="1076" spans="1:10" ht="15" customHeight="1">
      <c r="A1076" s="7">
        <v>43810</v>
      </c>
      <c r="B1076" s="10">
        <v>255</v>
      </c>
      <c r="C1076">
        <v>30223</v>
      </c>
      <c r="D1076" s="5">
        <v>2.85</v>
      </c>
      <c r="F1076" s="8">
        <v>100</v>
      </c>
      <c r="G1076" s="8">
        <v>100</v>
      </c>
      <c r="H1076" s="2">
        <f t="shared" si="49"/>
        <v>13164675</v>
      </c>
      <c r="I1076" s="12">
        <f t="shared" si="50"/>
        <v>0.12592916666666668</v>
      </c>
      <c r="J1076" s="12">
        <f t="shared" si="51"/>
        <v>0.21510906862745097</v>
      </c>
    </row>
    <row r="1077" spans="1:10" ht="15" customHeight="1">
      <c r="A1077" s="7">
        <v>43811</v>
      </c>
      <c r="B1077" s="10">
        <v>256</v>
      </c>
      <c r="C1077">
        <v>15239</v>
      </c>
      <c r="D1077" s="5">
        <v>1.57</v>
      </c>
      <c r="F1077" s="8">
        <v>100</v>
      </c>
      <c r="G1077" s="8">
        <v>100</v>
      </c>
      <c r="H1077" s="2">
        <f t="shared" si="49"/>
        <v>13179914</v>
      </c>
      <c r="I1077" s="12">
        <f t="shared" si="50"/>
        <v>6.3495833333333335E-2</v>
      </c>
      <c r="J1077" s="12">
        <f t="shared" si="51"/>
        <v>0.21451682942708333</v>
      </c>
    </row>
    <row r="1078" spans="1:10" ht="15" customHeight="1">
      <c r="A1078" s="7">
        <v>43812</v>
      </c>
      <c r="B1078" s="10">
        <v>257</v>
      </c>
      <c r="C1078">
        <v>40430</v>
      </c>
      <c r="D1078" s="5">
        <v>3.38</v>
      </c>
      <c r="F1078" s="8">
        <v>100</v>
      </c>
      <c r="G1078" s="8">
        <v>100</v>
      </c>
      <c r="H1078" s="2">
        <f t="shared" si="49"/>
        <v>13220344</v>
      </c>
      <c r="I1078" s="12">
        <f t="shared" si="50"/>
        <v>0.16845833333333332</v>
      </c>
      <c r="J1078" s="12">
        <f t="shared" si="51"/>
        <v>0.21433761348897537</v>
      </c>
    </row>
    <row r="1079" spans="1:10" ht="15" customHeight="1">
      <c r="A1079" s="7">
        <v>43813</v>
      </c>
      <c r="B1079" s="10">
        <v>258</v>
      </c>
      <c r="C1079">
        <v>50860</v>
      </c>
      <c r="D1079" s="5">
        <v>4.03</v>
      </c>
      <c r="F1079" s="8">
        <v>100</v>
      </c>
      <c r="G1079" s="8">
        <v>97.569444444444443</v>
      </c>
      <c r="H1079" s="2">
        <f t="shared" ref="H1079:H1142" si="52">H1078+C1079</f>
        <v>13271204</v>
      </c>
      <c r="I1079" s="12">
        <f t="shared" si="50"/>
        <v>0.21191666666666667</v>
      </c>
      <c r="J1079" s="12">
        <f t="shared" si="51"/>
        <v>0.21432822997416021</v>
      </c>
    </row>
    <row r="1080" spans="1:10" ht="15" customHeight="1">
      <c r="A1080" s="7">
        <v>43814</v>
      </c>
      <c r="B1080" s="10">
        <v>259</v>
      </c>
      <c r="C1080">
        <v>46094</v>
      </c>
      <c r="D1080" s="5">
        <v>3.72</v>
      </c>
      <c r="F1080" s="8">
        <v>100</v>
      </c>
      <c r="G1080" s="8">
        <v>100</v>
      </c>
      <c r="H1080" s="2">
        <f t="shared" si="52"/>
        <v>13317298</v>
      </c>
      <c r="I1080" s="12">
        <f t="shared" si="50"/>
        <v>0.19205833333333333</v>
      </c>
      <c r="J1080" s="12">
        <f t="shared" si="51"/>
        <v>0.21424224581724582</v>
      </c>
    </row>
    <row r="1081" spans="1:10" ht="15" customHeight="1">
      <c r="A1081" s="7">
        <v>43815</v>
      </c>
      <c r="B1081" s="10">
        <v>260</v>
      </c>
      <c r="C1081">
        <v>45240</v>
      </c>
      <c r="D1081" s="5">
        <v>3.58</v>
      </c>
      <c r="F1081" s="8">
        <v>100</v>
      </c>
      <c r="G1081" s="8">
        <v>100</v>
      </c>
      <c r="H1081" s="2">
        <f t="shared" si="52"/>
        <v>13362538</v>
      </c>
      <c r="I1081" s="12">
        <f t="shared" si="50"/>
        <v>0.1885</v>
      </c>
      <c r="J1081" s="12">
        <f t="shared" si="51"/>
        <v>0.21414323717948719</v>
      </c>
    </row>
    <row r="1082" spans="1:10" ht="15" customHeight="1">
      <c r="A1082" s="7">
        <v>43816</v>
      </c>
      <c r="B1082" s="10">
        <v>261</v>
      </c>
      <c r="C1082">
        <v>43937</v>
      </c>
      <c r="D1082" s="5">
        <v>3.62</v>
      </c>
      <c r="F1082" s="8">
        <v>97.963916068095685</v>
      </c>
      <c r="G1082" s="8">
        <v>100</v>
      </c>
      <c r="H1082" s="2">
        <f t="shared" si="52"/>
        <v>13406475</v>
      </c>
      <c r="I1082" s="12">
        <f t="shared" si="50"/>
        <v>0.18307083333333332</v>
      </c>
      <c r="J1082" s="12">
        <f t="shared" si="51"/>
        <v>0.21402418582375479</v>
      </c>
    </row>
    <row r="1083" spans="1:10" ht="15" customHeight="1">
      <c r="A1083" s="7">
        <v>43817</v>
      </c>
      <c r="B1083" s="10">
        <v>262</v>
      </c>
      <c r="C1083">
        <v>52679</v>
      </c>
      <c r="D1083" s="5">
        <v>4.13</v>
      </c>
      <c r="F1083" s="8">
        <v>100</v>
      </c>
      <c r="G1083" s="8">
        <v>100</v>
      </c>
      <c r="H1083" s="2">
        <f t="shared" si="52"/>
        <v>13459154</v>
      </c>
      <c r="I1083" s="12">
        <f t="shared" si="50"/>
        <v>0.21949583333333333</v>
      </c>
      <c r="J1083" s="12">
        <f t="shared" si="51"/>
        <v>0.21404506997455472</v>
      </c>
    </row>
    <row r="1084" spans="1:10" ht="15" customHeight="1">
      <c r="A1084" s="7">
        <v>43818</v>
      </c>
      <c r="B1084" s="10">
        <v>263</v>
      </c>
      <c r="C1084">
        <v>39594</v>
      </c>
      <c r="D1084" s="5">
        <v>3.36</v>
      </c>
      <c r="F1084" s="8">
        <v>100</v>
      </c>
      <c r="G1084" s="8">
        <v>100</v>
      </c>
      <c r="H1084" s="2">
        <f t="shared" si="52"/>
        <v>13498748</v>
      </c>
      <c r="I1084" s="12">
        <f t="shared" si="50"/>
        <v>0.16497500000000001</v>
      </c>
      <c r="J1084" s="12">
        <f t="shared" si="51"/>
        <v>0.2138584917617237</v>
      </c>
    </row>
    <row r="1085" spans="1:10" ht="15" customHeight="1">
      <c r="A1085" s="7">
        <v>43819</v>
      </c>
      <c r="B1085" s="10">
        <v>264</v>
      </c>
      <c r="C1085">
        <v>41499</v>
      </c>
      <c r="D1085" s="5">
        <v>3.43</v>
      </c>
      <c r="F1085" s="8">
        <v>100</v>
      </c>
      <c r="G1085" s="8">
        <v>99.236111111111114</v>
      </c>
      <c r="H1085" s="2">
        <f t="shared" si="52"/>
        <v>13540247</v>
      </c>
      <c r="I1085" s="12">
        <f t="shared" si="50"/>
        <v>0.1729125</v>
      </c>
      <c r="J1085" s="12">
        <f t="shared" si="51"/>
        <v>0.2137033933080808</v>
      </c>
    </row>
    <row r="1086" spans="1:10" ht="15" customHeight="1">
      <c r="A1086" s="7">
        <v>43820</v>
      </c>
      <c r="B1086" s="10">
        <v>265</v>
      </c>
      <c r="C1086">
        <v>44983</v>
      </c>
      <c r="D1086" s="5">
        <v>3.61</v>
      </c>
      <c r="F1086" s="8">
        <v>100</v>
      </c>
      <c r="G1086" s="8">
        <v>99.305555555555557</v>
      </c>
      <c r="H1086" s="2">
        <f t="shared" si="52"/>
        <v>13585230</v>
      </c>
      <c r="I1086" s="12">
        <f t="shared" si="50"/>
        <v>0.18742916666666667</v>
      </c>
      <c r="J1086" s="12">
        <f t="shared" si="51"/>
        <v>0.21360424528301886</v>
      </c>
    </row>
    <row r="1087" spans="1:10" ht="15" customHeight="1">
      <c r="A1087" s="7">
        <v>43821</v>
      </c>
      <c r="B1087" s="10">
        <v>266</v>
      </c>
      <c r="C1087">
        <v>54743</v>
      </c>
      <c r="D1087" s="5">
        <v>4.22</v>
      </c>
      <c r="F1087" s="8">
        <v>100</v>
      </c>
      <c r="G1087" s="8">
        <v>100</v>
      </c>
      <c r="H1087" s="2">
        <f t="shared" si="52"/>
        <v>13639973</v>
      </c>
      <c r="I1087" s="12">
        <f t="shared" si="50"/>
        <v>0.22809583333333333</v>
      </c>
      <c r="J1087" s="12">
        <f t="shared" si="51"/>
        <v>0.21365872493734336</v>
      </c>
    </row>
    <row r="1088" spans="1:10" ht="15" customHeight="1">
      <c r="A1088" s="7">
        <v>43822</v>
      </c>
      <c r="B1088" s="10">
        <v>267</v>
      </c>
      <c r="C1088">
        <v>55969</v>
      </c>
      <c r="D1088" s="5">
        <v>4.33</v>
      </c>
      <c r="F1088" s="8">
        <v>100</v>
      </c>
      <c r="G1088" s="8">
        <v>100</v>
      </c>
      <c r="H1088" s="2">
        <f t="shared" si="52"/>
        <v>13695942</v>
      </c>
      <c r="I1088" s="12">
        <f t="shared" si="50"/>
        <v>0.23320416666666666</v>
      </c>
      <c r="J1088" s="12">
        <f t="shared" si="51"/>
        <v>0.21373192883895131</v>
      </c>
    </row>
    <row r="1089" spans="1:10" ht="15" customHeight="1">
      <c r="A1089" s="7">
        <v>43823</v>
      </c>
      <c r="B1089" s="10">
        <v>268</v>
      </c>
      <c r="C1089">
        <v>49523</v>
      </c>
      <c r="D1089" s="5">
        <v>3.91</v>
      </c>
      <c r="F1089" s="8">
        <v>100</v>
      </c>
      <c r="G1089" s="8">
        <v>100</v>
      </c>
      <c r="H1089" s="2">
        <f t="shared" si="52"/>
        <v>13745465</v>
      </c>
      <c r="I1089" s="12">
        <f t="shared" si="50"/>
        <v>0.20634583333333334</v>
      </c>
      <c r="J1089" s="12">
        <f t="shared" si="51"/>
        <v>0.21370436878109453</v>
      </c>
    </row>
    <row r="1090" spans="1:10" ht="15" customHeight="1">
      <c r="A1090" s="7">
        <v>43824</v>
      </c>
      <c r="B1090" s="10">
        <v>269</v>
      </c>
      <c r="C1090">
        <v>49932</v>
      </c>
      <c r="D1090" s="5">
        <v>3.89</v>
      </c>
      <c r="F1090" s="8">
        <v>100</v>
      </c>
      <c r="G1090" s="8">
        <v>100</v>
      </c>
      <c r="H1090" s="2">
        <f t="shared" si="52"/>
        <v>13795397</v>
      </c>
      <c r="I1090" s="12">
        <f t="shared" si="50"/>
        <v>0.20805000000000001</v>
      </c>
      <c r="J1090" s="12">
        <f t="shared" si="51"/>
        <v>0.21368334882280049</v>
      </c>
    </row>
    <row r="1091" spans="1:10" ht="15" customHeight="1">
      <c r="A1091" s="7">
        <v>43825</v>
      </c>
      <c r="B1091" s="10">
        <v>270</v>
      </c>
      <c r="C1091">
        <v>50449</v>
      </c>
      <c r="D1091" s="5">
        <v>4.04</v>
      </c>
      <c r="F1091" s="8">
        <v>98.800366554663853</v>
      </c>
      <c r="G1091" s="8">
        <v>100</v>
      </c>
      <c r="H1091" s="2">
        <f t="shared" si="52"/>
        <v>13845846</v>
      </c>
      <c r="I1091" s="12">
        <f t="shared" ref="I1091:I1154" si="53">C1091/(10*24*1000)</f>
        <v>0.21020416666666666</v>
      </c>
      <c r="J1091" s="12">
        <f t="shared" si="51"/>
        <v>0.21367046296296296</v>
      </c>
    </row>
    <row r="1092" spans="1:10" ht="15" customHeight="1">
      <c r="A1092" s="7">
        <v>43826</v>
      </c>
      <c r="B1092" s="10">
        <v>271</v>
      </c>
      <c r="C1092">
        <v>55383</v>
      </c>
      <c r="D1092" s="5">
        <v>4.3600000000000003</v>
      </c>
      <c r="F1092" s="8">
        <v>100</v>
      </c>
      <c r="G1092" s="8">
        <v>100</v>
      </c>
      <c r="H1092" s="2">
        <f t="shared" si="52"/>
        <v>13901229</v>
      </c>
      <c r="I1092" s="12">
        <f t="shared" si="53"/>
        <v>0.23076250000000001</v>
      </c>
      <c r="J1092" s="12">
        <f t="shared" ref="J1092:J1155" si="54">H1092/(24*B1092*10*1000)</f>
        <v>0.21373353321033212</v>
      </c>
    </row>
    <row r="1093" spans="1:10" ht="15" customHeight="1">
      <c r="A1093" s="7">
        <v>43827</v>
      </c>
      <c r="B1093" s="10">
        <v>272</v>
      </c>
      <c r="C1093">
        <v>52969</v>
      </c>
      <c r="D1093" s="5">
        <v>4.2</v>
      </c>
      <c r="F1093" s="8">
        <v>100</v>
      </c>
      <c r="G1093" s="8">
        <v>100</v>
      </c>
      <c r="H1093" s="2">
        <f t="shared" si="52"/>
        <v>13954198</v>
      </c>
      <c r="I1093" s="12">
        <f t="shared" si="53"/>
        <v>0.22070416666666667</v>
      </c>
      <c r="J1093" s="12">
        <f t="shared" si="54"/>
        <v>0.21375916053921568</v>
      </c>
    </row>
    <row r="1094" spans="1:10" ht="15" customHeight="1">
      <c r="A1094" s="7">
        <v>43828</v>
      </c>
      <c r="B1094" s="10">
        <v>273</v>
      </c>
      <c r="C1094">
        <v>48429</v>
      </c>
      <c r="D1094" s="5">
        <v>3.83</v>
      </c>
      <c r="F1094" s="8">
        <v>100</v>
      </c>
      <c r="G1094" s="8">
        <v>100</v>
      </c>
      <c r="H1094" s="2">
        <f t="shared" si="52"/>
        <v>14002627</v>
      </c>
      <c r="I1094" s="12">
        <f t="shared" si="53"/>
        <v>0.20178750000000001</v>
      </c>
      <c r="J1094" s="12">
        <f t="shared" si="54"/>
        <v>0.2137153083028083</v>
      </c>
    </row>
    <row r="1095" spans="1:10" ht="15" customHeight="1">
      <c r="A1095" s="7">
        <v>43829</v>
      </c>
      <c r="B1095" s="10">
        <v>274</v>
      </c>
      <c r="C1095">
        <v>48816</v>
      </c>
      <c r="D1095" s="5">
        <v>3.85</v>
      </c>
      <c r="F1095" s="8">
        <v>100</v>
      </c>
      <c r="G1095" s="8">
        <v>100</v>
      </c>
      <c r="H1095" s="2">
        <f t="shared" si="52"/>
        <v>14051443</v>
      </c>
      <c r="I1095" s="12">
        <f t="shared" si="53"/>
        <v>0.2034</v>
      </c>
      <c r="J1095" s="12">
        <f t="shared" si="54"/>
        <v>0.21367766119221412</v>
      </c>
    </row>
    <row r="1096" spans="1:10" ht="15" customHeight="1">
      <c r="A1096" s="7">
        <v>43830</v>
      </c>
      <c r="B1096" s="10">
        <v>275</v>
      </c>
      <c r="C1096">
        <v>27050</v>
      </c>
      <c r="D1096" s="5">
        <v>2.37</v>
      </c>
      <c r="F1096" s="8">
        <v>100</v>
      </c>
      <c r="G1096" s="8">
        <v>100</v>
      </c>
      <c r="H1096" s="2">
        <f t="shared" si="52"/>
        <v>14078493</v>
      </c>
      <c r="I1096" s="12">
        <f t="shared" si="53"/>
        <v>0.11270833333333333</v>
      </c>
      <c r="J1096" s="12">
        <f t="shared" si="54"/>
        <v>0.21331049999999999</v>
      </c>
    </row>
    <row r="1097" spans="1:10" ht="15" customHeight="1">
      <c r="A1097" s="7">
        <v>43831</v>
      </c>
      <c r="B1097" s="10">
        <v>276</v>
      </c>
      <c r="C1097">
        <v>39334</v>
      </c>
      <c r="D1097" s="5">
        <v>3.28</v>
      </c>
      <c r="F1097" s="8">
        <v>100</v>
      </c>
      <c r="G1097" s="8">
        <v>100</v>
      </c>
      <c r="H1097" s="2">
        <f t="shared" si="52"/>
        <v>14117827</v>
      </c>
      <c r="I1097" s="12">
        <f t="shared" si="53"/>
        <v>0.16389166666666666</v>
      </c>
      <c r="J1097" s="12">
        <f t="shared" si="54"/>
        <v>0.21313144625603864</v>
      </c>
    </row>
    <row r="1098" spans="1:10" ht="15" customHeight="1">
      <c r="A1098" s="7">
        <v>43832</v>
      </c>
      <c r="B1098" s="10">
        <v>277</v>
      </c>
      <c r="C1098">
        <v>38963</v>
      </c>
      <c r="D1098" s="5">
        <v>3.24</v>
      </c>
      <c r="F1098" s="8">
        <v>100</v>
      </c>
      <c r="G1098" s="8">
        <v>100</v>
      </c>
      <c r="H1098" s="2">
        <f t="shared" si="52"/>
        <v>14156790</v>
      </c>
      <c r="I1098" s="12">
        <f t="shared" si="53"/>
        <v>0.16234583333333333</v>
      </c>
      <c r="J1098" s="12">
        <f t="shared" si="54"/>
        <v>0.21294810469314079</v>
      </c>
    </row>
    <row r="1099" spans="1:10" ht="15" customHeight="1">
      <c r="A1099" s="7">
        <v>43833</v>
      </c>
      <c r="B1099" s="10">
        <v>278</v>
      </c>
      <c r="C1099">
        <v>45556</v>
      </c>
      <c r="D1099" s="5">
        <v>3.71</v>
      </c>
      <c r="F1099" s="8">
        <v>100</v>
      </c>
      <c r="G1099" s="8">
        <v>100</v>
      </c>
      <c r="H1099" s="2">
        <f t="shared" si="52"/>
        <v>14202346</v>
      </c>
      <c r="I1099" s="12">
        <f t="shared" si="53"/>
        <v>0.18981666666666666</v>
      </c>
      <c r="J1099" s="12">
        <f t="shared" si="54"/>
        <v>0.21286489808153478</v>
      </c>
    </row>
    <row r="1100" spans="1:10" ht="15" customHeight="1">
      <c r="A1100" s="7">
        <v>43834</v>
      </c>
      <c r="B1100" s="10">
        <v>279</v>
      </c>
      <c r="C1100">
        <v>46608</v>
      </c>
      <c r="D1100" s="5">
        <v>3.82</v>
      </c>
      <c r="F1100" s="8">
        <v>100</v>
      </c>
      <c r="G1100" s="8">
        <v>100</v>
      </c>
      <c r="H1100" s="2">
        <f t="shared" si="52"/>
        <v>14248954</v>
      </c>
      <c r="I1100" s="12">
        <f t="shared" si="53"/>
        <v>0.19420000000000001</v>
      </c>
      <c r="J1100" s="12">
        <f t="shared" si="54"/>
        <v>0.21279799880525688</v>
      </c>
    </row>
    <row r="1101" spans="1:10" ht="15" customHeight="1">
      <c r="A1101" s="7">
        <v>43835</v>
      </c>
      <c r="B1101" s="10">
        <v>280</v>
      </c>
      <c r="C1101">
        <v>29672</v>
      </c>
      <c r="D1101" s="5">
        <v>2.74</v>
      </c>
      <c r="F1101" s="8">
        <v>100</v>
      </c>
      <c r="G1101" s="8">
        <v>100</v>
      </c>
      <c r="H1101" s="2">
        <f t="shared" si="52"/>
        <v>14278626</v>
      </c>
      <c r="I1101" s="12">
        <f t="shared" si="53"/>
        <v>0.12363333333333333</v>
      </c>
      <c r="J1101" s="12">
        <f t="shared" si="54"/>
        <v>0.21247955357142856</v>
      </c>
    </row>
    <row r="1102" spans="1:10" ht="15" customHeight="1">
      <c r="A1102" s="7">
        <v>43836</v>
      </c>
      <c r="B1102" s="10">
        <v>281</v>
      </c>
      <c r="C1102">
        <v>18658</v>
      </c>
      <c r="D1102" s="5">
        <v>1.92</v>
      </c>
      <c r="F1102" s="8">
        <v>100</v>
      </c>
      <c r="G1102" s="8">
        <v>100</v>
      </c>
      <c r="H1102" s="2">
        <f t="shared" si="52"/>
        <v>14297284</v>
      </c>
      <c r="I1102" s="12">
        <f t="shared" si="53"/>
        <v>7.7741666666666667E-2</v>
      </c>
      <c r="J1102" s="12">
        <f t="shared" si="54"/>
        <v>0.21200005931198102</v>
      </c>
    </row>
    <row r="1103" spans="1:10" ht="15" customHeight="1">
      <c r="A1103" s="7">
        <v>43837</v>
      </c>
      <c r="B1103" s="10">
        <v>282</v>
      </c>
      <c r="C1103">
        <v>15759</v>
      </c>
      <c r="D1103" s="5">
        <v>1.63</v>
      </c>
      <c r="F1103" s="8">
        <v>100</v>
      </c>
      <c r="G1103" s="8">
        <v>100</v>
      </c>
      <c r="H1103" s="2">
        <f t="shared" si="52"/>
        <v>14313043</v>
      </c>
      <c r="I1103" s="12">
        <f t="shared" si="53"/>
        <v>6.5662499999999999E-2</v>
      </c>
      <c r="J1103" s="12">
        <f t="shared" si="54"/>
        <v>0.21148113179669031</v>
      </c>
    </row>
    <row r="1104" spans="1:10" ht="15" customHeight="1">
      <c r="A1104" s="7">
        <v>43838</v>
      </c>
      <c r="B1104" s="10">
        <v>283</v>
      </c>
      <c r="C1104">
        <v>46761</v>
      </c>
      <c r="D1104" s="5">
        <v>3.75</v>
      </c>
      <c r="F1104" s="8">
        <v>100</v>
      </c>
      <c r="G1104" s="8">
        <v>100</v>
      </c>
      <c r="H1104" s="2">
        <f t="shared" si="52"/>
        <v>14359804</v>
      </c>
      <c r="I1104" s="12">
        <f t="shared" si="53"/>
        <v>0.1948375</v>
      </c>
      <c r="J1104" s="12">
        <f t="shared" si="54"/>
        <v>0.21142232037691402</v>
      </c>
    </row>
    <row r="1105" spans="1:10" ht="15" customHeight="1">
      <c r="A1105" s="7">
        <v>43839</v>
      </c>
      <c r="B1105" s="10">
        <v>284</v>
      </c>
      <c r="C1105">
        <v>56166</v>
      </c>
      <c r="D1105" s="5">
        <v>4.43</v>
      </c>
      <c r="F1105" s="8">
        <v>97.536794481525959</v>
      </c>
      <c r="G1105" s="8">
        <v>100</v>
      </c>
      <c r="H1105" s="2">
        <f t="shared" si="52"/>
        <v>14415970</v>
      </c>
      <c r="I1105" s="12">
        <f t="shared" si="53"/>
        <v>0.23402500000000001</v>
      </c>
      <c r="J1105" s="12">
        <f t="shared" si="54"/>
        <v>0.2115019072769953</v>
      </c>
    </row>
    <row r="1106" spans="1:10" ht="15" customHeight="1">
      <c r="A1106" s="7">
        <v>43840</v>
      </c>
      <c r="B1106" s="10">
        <v>285</v>
      </c>
      <c r="C1106">
        <v>53758</v>
      </c>
      <c r="D1106" s="5">
        <v>4.29</v>
      </c>
      <c r="F1106" s="8">
        <v>100</v>
      </c>
      <c r="G1106" s="8">
        <v>100</v>
      </c>
      <c r="H1106" s="2">
        <f t="shared" si="52"/>
        <v>14469728</v>
      </c>
      <c r="I1106" s="12">
        <f t="shared" si="53"/>
        <v>0.22399166666666667</v>
      </c>
      <c r="J1106" s="12">
        <f t="shared" si="54"/>
        <v>0.21154573099415205</v>
      </c>
    </row>
    <row r="1107" spans="1:10" ht="15" customHeight="1">
      <c r="A1107" s="7">
        <v>43841</v>
      </c>
      <c r="B1107" s="10">
        <v>286</v>
      </c>
      <c r="C1107">
        <v>47911</v>
      </c>
      <c r="D1107" s="5">
        <v>3.82</v>
      </c>
      <c r="F1107" s="8">
        <v>100</v>
      </c>
      <c r="G1107" s="8">
        <v>100</v>
      </c>
      <c r="H1107" s="2">
        <f t="shared" si="52"/>
        <v>14517639</v>
      </c>
      <c r="I1107" s="12">
        <f t="shared" si="53"/>
        <v>0.19962916666666666</v>
      </c>
      <c r="J1107" s="12">
        <f t="shared" si="54"/>
        <v>0.21150406468531469</v>
      </c>
    </row>
    <row r="1108" spans="1:10" ht="15" customHeight="1">
      <c r="A1108" s="7">
        <v>43842</v>
      </c>
      <c r="B1108" s="10">
        <v>287</v>
      </c>
      <c r="C1108">
        <v>33517</v>
      </c>
      <c r="D1108" s="5">
        <v>3.12</v>
      </c>
      <c r="F1108" s="8">
        <v>100</v>
      </c>
      <c r="G1108" s="8">
        <v>100</v>
      </c>
      <c r="H1108" s="2">
        <f t="shared" si="52"/>
        <v>14551156</v>
      </c>
      <c r="I1108" s="12">
        <f t="shared" si="53"/>
        <v>0.13965416666666666</v>
      </c>
      <c r="J1108" s="12">
        <f t="shared" si="54"/>
        <v>0.21125371660859465</v>
      </c>
    </row>
    <row r="1109" spans="1:10" ht="15" customHeight="1">
      <c r="A1109" s="7">
        <v>43843</v>
      </c>
      <c r="B1109" s="10">
        <v>288</v>
      </c>
      <c r="C1109">
        <v>12643</v>
      </c>
      <c r="D1109" s="5">
        <v>1.29</v>
      </c>
      <c r="F1109" s="8">
        <v>100</v>
      </c>
      <c r="G1109" s="8">
        <v>100</v>
      </c>
      <c r="H1109" s="2">
        <f t="shared" si="52"/>
        <v>14563799</v>
      </c>
      <c r="I1109" s="12">
        <f t="shared" si="53"/>
        <v>5.2679166666666666E-2</v>
      </c>
      <c r="J1109" s="12">
        <f t="shared" si="54"/>
        <v>0.21070311053240739</v>
      </c>
    </row>
    <row r="1110" spans="1:10" ht="15" customHeight="1">
      <c r="A1110" s="7">
        <v>43844</v>
      </c>
      <c r="B1110" s="10">
        <v>289</v>
      </c>
      <c r="C1110">
        <v>58929</v>
      </c>
      <c r="D1110" s="5">
        <v>4.62</v>
      </c>
      <c r="F1110" s="8">
        <v>100</v>
      </c>
      <c r="G1110" s="8">
        <v>100</v>
      </c>
      <c r="H1110" s="2">
        <f t="shared" si="52"/>
        <v>14622728</v>
      </c>
      <c r="I1110" s="12">
        <f t="shared" si="53"/>
        <v>0.24553749999999999</v>
      </c>
      <c r="J1110" s="12">
        <f t="shared" si="54"/>
        <v>0.21082364475201845</v>
      </c>
    </row>
    <row r="1111" spans="1:10" ht="15" customHeight="1">
      <c r="A1111" s="7">
        <v>43845</v>
      </c>
      <c r="B1111" s="10">
        <v>290</v>
      </c>
      <c r="C1111">
        <v>56892</v>
      </c>
      <c r="D1111" s="5">
        <v>4.42</v>
      </c>
      <c r="F1111" s="8">
        <v>100</v>
      </c>
      <c r="G1111" s="8">
        <v>100</v>
      </c>
      <c r="H1111" s="2">
        <f t="shared" si="52"/>
        <v>14679620</v>
      </c>
      <c r="I1111" s="12">
        <f t="shared" si="53"/>
        <v>0.23705000000000001</v>
      </c>
      <c r="J1111" s="12">
        <f t="shared" si="54"/>
        <v>0.21091408045977011</v>
      </c>
    </row>
    <row r="1112" spans="1:10" ht="15" customHeight="1">
      <c r="A1112" s="7">
        <v>43846</v>
      </c>
      <c r="B1112" s="10">
        <v>291</v>
      </c>
      <c r="C1112">
        <v>43106</v>
      </c>
      <c r="D1112" s="5">
        <v>3.5</v>
      </c>
      <c r="F1112" s="8">
        <v>100</v>
      </c>
      <c r="G1112" s="8">
        <v>100</v>
      </c>
      <c r="H1112" s="2">
        <f t="shared" si="52"/>
        <v>14722726</v>
      </c>
      <c r="I1112" s="12">
        <f t="shared" si="53"/>
        <v>0.17960833333333334</v>
      </c>
      <c r="J1112" s="12">
        <f t="shared" si="54"/>
        <v>0.2108065005727377</v>
      </c>
    </row>
    <row r="1113" spans="1:10" ht="15" customHeight="1">
      <c r="A1113" s="7">
        <v>43847</v>
      </c>
      <c r="B1113" s="10">
        <v>292</v>
      </c>
      <c r="C1113">
        <v>54159</v>
      </c>
      <c r="D1113" s="5">
        <v>4.3899999999999997</v>
      </c>
      <c r="F1113" s="8">
        <v>100</v>
      </c>
      <c r="G1113" s="8">
        <v>100</v>
      </c>
      <c r="H1113" s="2">
        <f t="shared" si="52"/>
        <v>14776885</v>
      </c>
      <c r="I1113" s="12">
        <f t="shared" si="53"/>
        <v>0.22566249999999999</v>
      </c>
      <c r="J1113" s="12">
        <f t="shared" si="54"/>
        <v>0.21085737728310502</v>
      </c>
    </row>
    <row r="1114" spans="1:10" ht="15" customHeight="1">
      <c r="A1114" s="7">
        <v>43848</v>
      </c>
      <c r="B1114" s="10">
        <v>293</v>
      </c>
      <c r="C1114">
        <v>56090</v>
      </c>
      <c r="D1114" s="5">
        <v>4.49</v>
      </c>
      <c r="F1114" s="8">
        <v>100</v>
      </c>
      <c r="G1114" s="8">
        <v>100</v>
      </c>
      <c r="H1114" s="2">
        <f t="shared" si="52"/>
        <v>14832975</v>
      </c>
      <c r="I1114" s="12">
        <f t="shared" si="53"/>
        <v>0.23370833333333332</v>
      </c>
      <c r="J1114" s="12">
        <f t="shared" si="54"/>
        <v>0.21093536689419795</v>
      </c>
    </row>
    <row r="1115" spans="1:10" ht="15" customHeight="1">
      <c r="A1115" s="7">
        <v>43849</v>
      </c>
      <c r="B1115" s="10">
        <v>294</v>
      </c>
      <c r="C1115">
        <v>52834</v>
      </c>
      <c r="D1115" s="5">
        <v>4.28</v>
      </c>
      <c r="F1115" s="8">
        <v>100</v>
      </c>
      <c r="G1115" s="8">
        <v>100</v>
      </c>
      <c r="H1115" s="2">
        <f t="shared" si="52"/>
        <v>14885809</v>
      </c>
      <c r="I1115" s="12">
        <f t="shared" si="53"/>
        <v>0.22014166666666668</v>
      </c>
      <c r="J1115" s="12">
        <f t="shared" si="54"/>
        <v>0.21096668083900227</v>
      </c>
    </row>
    <row r="1116" spans="1:10" ht="15" customHeight="1">
      <c r="A1116" s="7">
        <v>43850</v>
      </c>
      <c r="B1116" s="10">
        <v>295</v>
      </c>
      <c r="C1116">
        <v>29659</v>
      </c>
      <c r="D1116" s="5">
        <v>3.21</v>
      </c>
      <c r="F1116" s="8">
        <v>95.604024008791953</v>
      </c>
      <c r="G1116" s="8">
        <v>100</v>
      </c>
      <c r="H1116" s="2">
        <f t="shared" si="52"/>
        <v>14915468</v>
      </c>
      <c r="I1116" s="12">
        <f t="shared" si="53"/>
        <v>0.12357916666666667</v>
      </c>
      <c r="J1116" s="12">
        <f t="shared" si="54"/>
        <v>0.21067045197740114</v>
      </c>
    </row>
    <row r="1117" spans="1:10" ht="15" customHeight="1">
      <c r="A1117" s="7">
        <v>43851</v>
      </c>
      <c r="B1117" s="10">
        <v>296</v>
      </c>
      <c r="C1117">
        <v>51512</v>
      </c>
      <c r="D1117" s="5">
        <v>4.24</v>
      </c>
      <c r="F1117" s="8">
        <v>100</v>
      </c>
      <c r="G1117" s="8">
        <v>100</v>
      </c>
      <c r="H1117" s="2">
        <f t="shared" si="52"/>
        <v>14966980</v>
      </c>
      <c r="I1117" s="12">
        <f t="shared" si="53"/>
        <v>0.21463333333333334</v>
      </c>
      <c r="J1117" s="12">
        <f t="shared" si="54"/>
        <v>0.21068384009009009</v>
      </c>
    </row>
    <row r="1118" spans="1:10" ht="15" customHeight="1">
      <c r="A1118" s="7">
        <v>43852</v>
      </c>
      <c r="B1118" s="10">
        <v>297</v>
      </c>
      <c r="C1118">
        <v>54514</v>
      </c>
      <c r="D1118" s="5">
        <v>4.3499999999999996</v>
      </c>
      <c r="F1118" s="8">
        <v>100</v>
      </c>
      <c r="G1118" s="8">
        <v>100</v>
      </c>
      <c r="H1118" s="2">
        <f t="shared" si="52"/>
        <v>15021494</v>
      </c>
      <c r="I1118" s="12">
        <f t="shared" si="53"/>
        <v>0.22714166666666666</v>
      </c>
      <c r="J1118" s="12">
        <f t="shared" si="54"/>
        <v>0.21073925364758697</v>
      </c>
    </row>
    <row r="1119" spans="1:10" ht="15" customHeight="1">
      <c r="A1119" s="7">
        <v>43853</v>
      </c>
      <c r="B1119" s="10">
        <v>298</v>
      </c>
      <c r="C1119">
        <v>54021</v>
      </c>
      <c r="D1119" s="5">
        <v>4.4800000000000004</v>
      </c>
      <c r="F1119" s="8">
        <v>100</v>
      </c>
      <c r="G1119" s="8">
        <v>100</v>
      </c>
      <c r="H1119" s="2">
        <f t="shared" si="52"/>
        <v>15075515</v>
      </c>
      <c r="I1119" s="12">
        <f t="shared" si="53"/>
        <v>0.2250875</v>
      </c>
      <c r="J1119" s="12">
        <f t="shared" si="54"/>
        <v>0.21078740212527963</v>
      </c>
    </row>
    <row r="1120" spans="1:10" ht="15" customHeight="1">
      <c r="A1120" s="7">
        <v>43854</v>
      </c>
      <c r="B1120" s="10">
        <v>299</v>
      </c>
      <c r="C1120">
        <v>57533</v>
      </c>
      <c r="D1120" s="5">
        <v>4.74</v>
      </c>
      <c r="F1120" s="8">
        <v>100</v>
      </c>
      <c r="G1120" s="8">
        <v>100</v>
      </c>
      <c r="H1120" s="2">
        <f t="shared" si="52"/>
        <v>15133048</v>
      </c>
      <c r="I1120" s="12">
        <f t="shared" si="53"/>
        <v>0.23972083333333333</v>
      </c>
      <c r="J1120" s="12">
        <f t="shared" si="54"/>
        <v>0.21088416945373467</v>
      </c>
    </row>
    <row r="1121" spans="1:10" ht="15" customHeight="1">
      <c r="A1121" s="7">
        <v>43855</v>
      </c>
      <c r="B1121" s="10">
        <v>300</v>
      </c>
      <c r="C1121">
        <v>55254</v>
      </c>
      <c r="D1121" s="5">
        <v>4.55</v>
      </c>
      <c r="F1121" s="8">
        <v>100</v>
      </c>
      <c r="G1121" s="8">
        <v>100</v>
      </c>
      <c r="H1121" s="2">
        <f t="shared" si="52"/>
        <v>15188302</v>
      </c>
      <c r="I1121" s="12">
        <f t="shared" si="53"/>
        <v>0.23022500000000001</v>
      </c>
      <c r="J1121" s="12">
        <f t="shared" si="54"/>
        <v>0.2109486388888889</v>
      </c>
    </row>
    <row r="1122" spans="1:10" ht="15" customHeight="1">
      <c r="A1122" s="7">
        <v>43856</v>
      </c>
      <c r="B1122" s="10">
        <v>301</v>
      </c>
      <c r="C1122">
        <v>55000</v>
      </c>
      <c r="D1122" s="5">
        <v>4.6100000000000003</v>
      </c>
      <c r="F1122" s="8">
        <v>100</v>
      </c>
      <c r="G1122" s="8">
        <v>100</v>
      </c>
      <c r="H1122" s="2">
        <f t="shared" si="52"/>
        <v>15243302</v>
      </c>
      <c r="I1122" s="12">
        <f t="shared" si="53"/>
        <v>0.22916666666666666</v>
      </c>
      <c r="J1122" s="12">
        <f t="shared" si="54"/>
        <v>0.21100916389811739</v>
      </c>
    </row>
    <row r="1123" spans="1:10" ht="15" customHeight="1">
      <c r="A1123" s="7">
        <v>43857</v>
      </c>
      <c r="B1123" s="10">
        <v>302</v>
      </c>
      <c r="C1123">
        <v>37251</v>
      </c>
      <c r="D1123" s="5">
        <v>3.35</v>
      </c>
      <c r="F1123" s="8">
        <v>100</v>
      </c>
      <c r="G1123" s="8">
        <v>100</v>
      </c>
      <c r="H1123" s="2">
        <f t="shared" si="52"/>
        <v>15280553</v>
      </c>
      <c r="I1123" s="12">
        <f t="shared" si="53"/>
        <v>0.1552125</v>
      </c>
      <c r="J1123" s="12">
        <f t="shared" si="54"/>
        <v>0.21082440673289182</v>
      </c>
    </row>
    <row r="1124" spans="1:10" ht="15" customHeight="1">
      <c r="A1124" s="7">
        <v>43858</v>
      </c>
      <c r="B1124" s="10">
        <v>303</v>
      </c>
      <c r="C1124">
        <v>55586</v>
      </c>
      <c r="D1124" s="5">
        <v>4.6100000000000003</v>
      </c>
      <c r="F1124" s="8">
        <v>98.732372048803668</v>
      </c>
      <c r="G1124" s="8">
        <v>100</v>
      </c>
      <c r="H1124" s="2">
        <f t="shared" si="52"/>
        <v>15336139</v>
      </c>
      <c r="I1124" s="12">
        <f t="shared" si="53"/>
        <v>0.23160833333333333</v>
      </c>
      <c r="J1124" s="12">
        <f t="shared" si="54"/>
        <v>0.210893000550055</v>
      </c>
    </row>
    <row r="1125" spans="1:10" ht="15" customHeight="1">
      <c r="A1125" s="7">
        <v>43859</v>
      </c>
      <c r="B1125" s="10">
        <v>304</v>
      </c>
      <c r="C1125">
        <v>48463</v>
      </c>
      <c r="D1125" s="5">
        <v>4.26</v>
      </c>
      <c r="F1125" s="8">
        <v>97.598167022201153</v>
      </c>
      <c r="G1125" s="8">
        <v>100</v>
      </c>
      <c r="H1125" s="2">
        <f t="shared" si="52"/>
        <v>15384602</v>
      </c>
      <c r="I1125" s="12">
        <f t="shared" si="53"/>
        <v>0.20192916666666666</v>
      </c>
      <c r="J1125" s="12">
        <f t="shared" si="54"/>
        <v>0.21086351425438596</v>
      </c>
    </row>
    <row r="1126" spans="1:10" ht="15" customHeight="1">
      <c r="A1126" s="7">
        <v>43860</v>
      </c>
      <c r="B1126" s="10">
        <v>305</v>
      </c>
      <c r="C1126">
        <v>59322</v>
      </c>
      <c r="D1126" s="5">
        <v>4.8499999999999996</v>
      </c>
      <c r="F1126" s="8">
        <v>100</v>
      </c>
      <c r="G1126" s="8">
        <v>100</v>
      </c>
      <c r="H1126" s="2">
        <f t="shared" si="52"/>
        <v>15443924</v>
      </c>
      <c r="I1126" s="12">
        <f t="shared" si="53"/>
        <v>0.24717500000000001</v>
      </c>
      <c r="J1126" s="12">
        <f t="shared" si="54"/>
        <v>0.21098256830601092</v>
      </c>
    </row>
    <row r="1127" spans="1:10" ht="15" customHeight="1">
      <c r="A1127" s="7">
        <v>43861</v>
      </c>
      <c r="B1127" s="10">
        <v>306</v>
      </c>
      <c r="C1127">
        <v>58365</v>
      </c>
      <c r="D1127" s="5">
        <v>4.88</v>
      </c>
      <c r="F1127" s="8">
        <v>100</v>
      </c>
      <c r="G1127" s="8">
        <v>100</v>
      </c>
      <c r="H1127" s="2">
        <f t="shared" si="52"/>
        <v>15502289</v>
      </c>
      <c r="I1127" s="12">
        <f t="shared" si="53"/>
        <v>0.2431875</v>
      </c>
      <c r="J1127" s="12">
        <f t="shared" si="54"/>
        <v>0.21108781318082789</v>
      </c>
    </row>
    <row r="1128" spans="1:10" ht="15" customHeight="1">
      <c r="A1128" s="7">
        <v>43862</v>
      </c>
      <c r="B1128" s="10">
        <v>307</v>
      </c>
      <c r="C1128">
        <v>57614</v>
      </c>
      <c r="D1128" s="5">
        <v>4.87</v>
      </c>
      <c r="F1128" s="8">
        <v>100</v>
      </c>
      <c r="G1128" s="8">
        <v>100</v>
      </c>
      <c r="H1128" s="2">
        <f t="shared" si="52"/>
        <v>15559903</v>
      </c>
      <c r="I1128" s="12">
        <f t="shared" si="53"/>
        <v>0.24005833333333335</v>
      </c>
      <c r="J1128" s="12">
        <f t="shared" si="54"/>
        <v>0.21118217969598263</v>
      </c>
    </row>
    <row r="1129" spans="1:10" ht="15" customHeight="1">
      <c r="A1129" s="7">
        <v>43863</v>
      </c>
      <c r="B1129" s="10">
        <v>308</v>
      </c>
      <c r="C1129">
        <v>57347</v>
      </c>
      <c r="D1129" s="5">
        <v>4.9000000000000004</v>
      </c>
      <c r="F1129" s="8">
        <v>100</v>
      </c>
      <c r="G1129" s="8">
        <v>100</v>
      </c>
      <c r="H1129" s="2">
        <f t="shared" si="52"/>
        <v>15617250</v>
      </c>
      <c r="I1129" s="12">
        <f t="shared" si="53"/>
        <v>0.23894583333333333</v>
      </c>
      <c r="J1129" s="12">
        <f t="shared" si="54"/>
        <v>0.21127232142857144</v>
      </c>
    </row>
    <row r="1130" spans="1:10" ht="15" customHeight="1">
      <c r="A1130" s="7">
        <v>43864</v>
      </c>
      <c r="B1130" s="10">
        <v>309</v>
      </c>
      <c r="C1130">
        <v>57692</v>
      </c>
      <c r="D1130" s="5">
        <v>4.92</v>
      </c>
      <c r="F1130" s="8">
        <v>100</v>
      </c>
      <c r="G1130" s="8">
        <v>100</v>
      </c>
      <c r="H1130" s="2">
        <f t="shared" si="52"/>
        <v>15674942</v>
      </c>
      <c r="I1130" s="12">
        <f t="shared" si="53"/>
        <v>0.24038333333333334</v>
      </c>
      <c r="J1130" s="12">
        <f t="shared" si="54"/>
        <v>0.21136653182308521</v>
      </c>
    </row>
    <row r="1131" spans="1:10" ht="15" customHeight="1">
      <c r="A1131" s="7">
        <v>43865</v>
      </c>
      <c r="B1131" s="10">
        <v>310</v>
      </c>
      <c r="C1131">
        <v>48009</v>
      </c>
      <c r="D1131" s="5">
        <v>4.32</v>
      </c>
      <c r="F1131" s="8">
        <v>99.060371153394414</v>
      </c>
      <c r="G1131" s="8">
        <v>100</v>
      </c>
      <c r="H1131" s="2">
        <f t="shared" si="52"/>
        <v>15722951</v>
      </c>
      <c r="I1131" s="12">
        <f t="shared" si="53"/>
        <v>0.20003750000000001</v>
      </c>
      <c r="J1131" s="12">
        <f t="shared" si="54"/>
        <v>0.21132998655913979</v>
      </c>
    </row>
    <row r="1132" spans="1:10" ht="15" customHeight="1">
      <c r="A1132" s="7">
        <v>43866</v>
      </c>
      <c r="B1132" s="10">
        <v>311</v>
      </c>
      <c r="C1132">
        <v>46401</v>
      </c>
      <c r="D1132" s="5">
        <v>4.0199999999999996</v>
      </c>
      <c r="F1132" s="8">
        <v>100</v>
      </c>
      <c r="G1132" s="8">
        <v>100</v>
      </c>
      <c r="H1132" s="2">
        <f t="shared" si="52"/>
        <v>15769352</v>
      </c>
      <c r="I1132" s="12">
        <f t="shared" si="53"/>
        <v>0.1933375</v>
      </c>
      <c r="J1132" s="12">
        <f t="shared" si="54"/>
        <v>0.21127213290460878</v>
      </c>
    </row>
    <row r="1133" spans="1:10" ht="15" customHeight="1">
      <c r="A1133" s="7">
        <v>43867</v>
      </c>
      <c r="B1133" s="10">
        <v>312</v>
      </c>
      <c r="C1133">
        <v>60197</v>
      </c>
      <c r="D1133" s="5">
        <v>5.14</v>
      </c>
      <c r="F1133" s="8">
        <v>100</v>
      </c>
      <c r="G1133" s="8">
        <v>100</v>
      </c>
      <c r="H1133" s="2">
        <f t="shared" si="52"/>
        <v>15829549</v>
      </c>
      <c r="I1133" s="12">
        <f t="shared" si="53"/>
        <v>0.25082083333333333</v>
      </c>
      <c r="J1133" s="12">
        <f t="shared" si="54"/>
        <v>0.21139889155982905</v>
      </c>
    </row>
    <row r="1134" spans="1:10" ht="15" customHeight="1">
      <c r="A1134" s="7">
        <v>43868</v>
      </c>
      <c r="B1134" s="10">
        <v>313</v>
      </c>
      <c r="C1134">
        <v>61352</v>
      </c>
      <c r="D1134" s="5">
        <v>5.22</v>
      </c>
      <c r="F1134" s="8">
        <v>100</v>
      </c>
      <c r="G1134" s="8">
        <v>100</v>
      </c>
      <c r="H1134" s="2">
        <f t="shared" si="52"/>
        <v>15890901</v>
      </c>
      <c r="I1134" s="12">
        <f t="shared" si="53"/>
        <v>0.25563333333333332</v>
      </c>
      <c r="J1134" s="12">
        <f t="shared" si="54"/>
        <v>0.21154021565495207</v>
      </c>
    </row>
    <row r="1135" spans="1:10" ht="15" customHeight="1">
      <c r="A1135" s="7">
        <v>43869</v>
      </c>
      <c r="B1135" s="10">
        <v>314</v>
      </c>
      <c r="C1135">
        <v>61245</v>
      </c>
      <c r="D1135" s="5">
        <v>5.24</v>
      </c>
      <c r="F1135" s="8">
        <v>100</v>
      </c>
      <c r="G1135" s="8">
        <v>100</v>
      </c>
      <c r="H1135" s="2">
        <f t="shared" si="52"/>
        <v>15952146</v>
      </c>
      <c r="I1135" s="12">
        <f t="shared" si="53"/>
        <v>0.25518750000000001</v>
      </c>
      <c r="J1135" s="12">
        <f t="shared" si="54"/>
        <v>0.21167921974522294</v>
      </c>
    </row>
    <row r="1136" spans="1:10" ht="15" customHeight="1">
      <c r="A1136" s="7">
        <v>43870</v>
      </c>
      <c r="B1136" s="10">
        <v>315</v>
      </c>
      <c r="C1136">
        <v>54018</v>
      </c>
      <c r="D1136" s="5">
        <v>4.88</v>
      </c>
      <c r="F1136" s="8">
        <v>100</v>
      </c>
      <c r="G1136" s="8">
        <v>100</v>
      </c>
      <c r="H1136" s="2">
        <f t="shared" si="52"/>
        <v>16006164</v>
      </c>
      <c r="I1136" s="12">
        <f t="shared" si="53"/>
        <v>0.225075</v>
      </c>
      <c r="J1136" s="12">
        <f t="shared" si="54"/>
        <v>0.21172174603174604</v>
      </c>
    </row>
    <row r="1137" spans="1:10" ht="15" customHeight="1">
      <c r="A1137" s="7">
        <v>43871</v>
      </c>
      <c r="B1137" s="10">
        <v>316</v>
      </c>
      <c r="C1137">
        <v>59255</v>
      </c>
      <c r="D1137" s="5">
        <v>5.24</v>
      </c>
      <c r="F1137" s="8">
        <v>100</v>
      </c>
      <c r="G1137" s="8">
        <v>100</v>
      </c>
      <c r="H1137" s="2">
        <f t="shared" si="52"/>
        <v>16065419</v>
      </c>
      <c r="I1137" s="12">
        <f t="shared" si="53"/>
        <v>0.24689583333333334</v>
      </c>
      <c r="J1137" s="12">
        <f t="shared" si="54"/>
        <v>0.21183305643459915</v>
      </c>
    </row>
    <row r="1138" spans="1:10" ht="15" customHeight="1">
      <c r="A1138" s="7">
        <v>43872</v>
      </c>
      <c r="B1138" s="10">
        <v>317</v>
      </c>
      <c r="C1138">
        <v>55966</v>
      </c>
      <c r="D1138" s="5">
        <v>5.03</v>
      </c>
      <c r="F1138" s="8">
        <v>98.759433474620067</v>
      </c>
      <c r="G1138" s="8">
        <v>100</v>
      </c>
      <c r="H1138" s="2">
        <f t="shared" si="52"/>
        <v>16121385</v>
      </c>
      <c r="I1138" s="12">
        <f t="shared" si="53"/>
        <v>0.23319166666666666</v>
      </c>
      <c r="J1138" s="12">
        <f t="shared" si="54"/>
        <v>0.21190043375394321</v>
      </c>
    </row>
    <row r="1139" spans="1:10" ht="15" customHeight="1">
      <c r="A1139" s="7">
        <v>43873</v>
      </c>
      <c r="B1139" s="10">
        <v>318</v>
      </c>
      <c r="C1139">
        <v>54404</v>
      </c>
      <c r="D1139" s="5">
        <v>4.78</v>
      </c>
      <c r="F1139" s="8">
        <v>100</v>
      </c>
      <c r="G1139" s="8">
        <v>100</v>
      </c>
      <c r="H1139" s="2">
        <f t="shared" si="52"/>
        <v>16175789</v>
      </c>
      <c r="I1139" s="12">
        <f t="shared" si="53"/>
        <v>0.22668333333333332</v>
      </c>
      <c r="J1139" s="12">
        <f t="shared" si="54"/>
        <v>0.21194692085953878</v>
      </c>
    </row>
    <row r="1140" spans="1:10" ht="15" customHeight="1">
      <c r="A1140" s="7">
        <v>43874</v>
      </c>
      <c r="B1140" s="10">
        <v>319</v>
      </c>
      <c r="C1140">
        <v>53346</v>
      </c>
      <c r="D1140" s="5">
        <v>4.78</v>
      </c>
      <c r="F1140" s="8">
        <v>100</v>
      </c>
      <c r="G1140" s="8">
        <v>100</v>
      </c>
      <c r="H1140" s="2">
        <f t="shared" si="52"/>
        <v>16229135</v>
      </c>
      <c r="I1140" s="12">
        <f t="shared" si="53"/>
        <v>0.222275</v>
      </c>
      <c r="J1140" s="12">
        <f t="shared" si="54"/>
        <v>0.2119792972831766</v>
      </c>
    </row>
    <row r="1141" spans="1:10" ht="15" customHeight="1">
      <c r="A1141" s="7">
        <v>43875</v>
      </c>
      <c r="B1141" s="10">
        <v>320</v>
      </c>
      <c r="C1141">
        <v>59049</v>
      </c>
      <c r="D1141" s="5">
        <v>5.23</v>
      </c>
      <c r="F1141" s="8">
        <v>100</v>
      </c>
      <c r="G1141" s="8">
        <v>100</v>
      </c>
      <c r="H1141" s="2">
        <f t="shared" si="52"/>
        <v>16288184</v>
      </c>
      <c r="I1141" s="12">
        <f t="shared" si="53"/>
        <v>0.24603749999999999</v>
      </c>
      <c r="J1141" s="12">
        <f t="shared" si="54"/>
        <v>0.21208572916666665</v>
      </c>
    </row>
    <row r="1142" spans="1:10" ht="15" customHeight="1">
      <c r="A1142" s="7">
        <v>43876</v>
      </c>
      <c r="B1142" s="10">
        <v>321</v>
      </c>
      <c r="C1142">
        <v>62185</v>
      </c>
      <c r="D1142" s="5">
        <v>5.6</v>
      </c>
      <c r="F1142" s="8">
        <v>100</v>
      </c>
      <c r="G1142" s="8">
        <v>100</v>
      </c>
      <c r="H1142" s="2">
        <f t="shared" si="52"/>
        <v>16350369</v>
      </c>
      <c r="I1142" s="12">
        <f t="shared" si="53"/>
        <v>0.25910416666666669</v>
      </c>
      <c r="J1142" s="12">
        <f t="shared" si="54"/>
        <v>0.21223220404984425</v>
      </c>
    </row>
    <row r="1143" spans="1:10" ht="15" customHeight="1">
      <c r="A1143" s="7">
        <v>43877</v>
      </c>
      <c r="B1143" s="10">
        <v>322</v>
      </c>
      <c r="C1143">
        <v>62442</v>
      </c>
      <c r="D1143" s="5">
        <v>5.7</v>
      </c>
      <c r="F1143" s="8">
        <v>100</v>
      </c>
      <c r="G1143" s="8">
        <v>100</v>
      </c>
      <c r="H1143" s="2">
        <f t="shared" ref="H1143:H1187" si="55">H1142+C1143</f>
        <v>16412811</v>
      </c>
      <c r="I1143" s="12">
        <f t="shared" si="53"/>
        <v>0.26017499999999999</v>
      </c>
      <c r="J1143" s="12">
        <f t="shared" si="54"/>
        <v>0.2123810947204969</v>
      </c>
    </row>
    <row r="1144" spans="1:10" ht="15" customHeight="1">
      <c r="A1144" s="7">
        <v>43878</v>
      </c>
      <c r="B1144" s="10">
        <v>323</v>
      </c>
      <c r="C1144">
        <v>62346</v>
      </c>
      <c r="D1144" s="5">
        <v>5.68</v>
      </c>
      <c r="F1144" s="8">
        <v>100</v>
      </c>
      <c r="G1144" s="8">
        <v>100</v>
      </c>
      <c r="H1144" s="2">
        <f t="shared" si="55"/>
        <v>16475157</v>
      </c>
      <c r="I1144" s="12">
        <f t="shared" si="53"/>
        <v>0.25977499999999998</v>
      </c>
      <c r="J1144" s="12">
        <f t="shared" si="54"/>
        <v>0.21252782507739937</v>
      </c>
    </row>
    <row r="1145" spans="1:10" ht="15" customHeight="1">
      <c r="A1145" s="7">
        <v>43879</v>
      </c>
      <c r="B1145" s="10">
        <v>324</v>
      </c>
      <c r="C1145">
        <v>62736</v>
      </c>
      <c r="D1145" s="5">
        <v>5.81</v>
      </c>
      <c r="F1145" s="8">
        <v>100</v>
      </c>
      <c r="G1145" s="8">
        <v>100</v>
      </c>
      <c r="H1145" s="2">
        <f t="shared" si="55"/>
        <v>16537893</v>
      </c>
      <c r="I1145" s="12">
        <f t="shared" si="53"/>
        <v>0.26140000000000002</v>
      </c>
      <c r="J1145" s="12">
        <f t="shared" si="54"/>
        <v>0.21267866512345679</v>
      </c>
    </row>
    <row r="1146" spans="1:10" ht="15" customHeight="1">
      <c r="A1146" s="7">
        <v>43880</v>
      </c>
      <c r="B1146" s="10">
        <v>325</v>
      </c>
      <c r="C1146">
        <v>52254</v>
      </c>
      <c r="D1146" s="5">
        <v>5.08</v>
      </c>
      <c r="F1146" s="8">
        <v>100</v>
      </c>
      <c r="G1146" s="8">
        <v>100</v>
      </c>
      <c r="H1146" s="2">
        <f t="shared" si="55"/>
        <v>16590147</v>
      </c>
      <c r="I1146" s="12">
        <f t="shared" si="53"/>
        <v>0.217725</v>
      </c>
      <c r="J1146" s="12">
        <f t="shared" si="54"/>
        <v>0.21269419230769232</v>
      </c>
    </row>
    <row r="1147" spans="1:10" ht="15" customHeight="1">
      <c r="A1147" s="7">
        <v>43881</v>
      </c>
      <c r="B1147" s="10">
        <v>326</v>
      </c>
      <c r="C1147">
        <v>52474</v>
      </c>
      <c r="D1147" s="5">
        <v>4.83</v>
      </c>
      <c r="F1147" s="8">
        <v>100</v>
      </c>
      <c r="G1147" s="8">
        <v>100</v>
      </c>
      <c r="H1147" s="2">
        <f t="shared" si="55"/>
        <v>16642621</v>
      </c>
      <c r="I1147" s="12">
        <f t="shared" si="53"/>
        <v>0.21864166666666668</v>
      </c>
      <c r="J1147" s="12">
        <f t="shared" si="54"/>
        <v>0.21271243609406953</v>
      </c>
    </row>
    <row r="1148" spans="1:10" ht="15" customHeight="1">
      <c r="A1148" s="7">
        <v>43882</v>
      </c>
      <c r="B1148" s="10">
        <v>327</v>
      </c>
      <c r="C1148">
        <v>56698</v>
      </c>
      <c r="D1148" s="5">
        <v>5.24</v>
      </c>
      <c r="F1148" s="8">
        <v>99.154121141936457</v>
      </c>
      <c r="G1148" s="8">
        <v>100</v>
      </c>
      <c r="H1148" s="2">
        <f t="shared" si="55"/>
        <v>16699319</v>
      </c>
      <c r="I1148" s="12">
        <f t="shared" si="53"/>
        <v>0.23624166666666666</v>
      </c>
      <c r="J1148" s="12">
        <f t="shared" si="54"/>
        <v>0.21278439092762488</v>
      </c>
    </row>
    <row r="1149" spans="1:10" ht="15" customHeight="1">
      <c r="A1149" s="7">
        <v>43883</v>
      </c>
      <c r="B1149" s="10">
        <v>328</v>
      </c>
      <c r="C1149">
        <v>57346</v>
      </c>
      <c r="D1149" s="5">
        <v>5.2</v>
      </c>
      <c r="F1149" s="8">
        <v>100</v>
      </c>
      <c r="G1149" s="8">
        <v>100</v>
      </c>
      <c r="H1149" s="2">
        <f t="shared" si="55"/>
        <v>16756665</v>
      </c>
      <c r="I1149" s="12">
        <f t="shared" si="53"/>
        <v>0.23894166666666666</v>
      </c>
      <c r="J1149" s="12">
        <f t="shared" si="54"/>
        <v>0.21286413871951221</v>
      </c>
    </row>
    <row r="1150" spans="1:10" ht="15" customHeight="1">
      <c r="A1150" s="7">
        <v>43884</v>
      </c>
      <c r="B1150" s="10">
        <v>329</v>
      </c>
      <c r="C1150">
        <v>53944</v>
      </c>
      <c r="D1150" s="5">
        <v>5</v>
      </c>
      <c r="F1150" s="8">
        <v>100</v>
      </c>
      <c r="G1150" s="8">
        <v>100</v>
      </c>
      <c r="H1150" s="2">
        <f t="shared" si="55"/>
        <v>16810609</v>
      </c>
      <c r="I1150" s="12">
        <f t="shared" si="53"/>
        <v>0.22476666666666667</v>
      </c>
      <c r="J1150" s="12">
        <f t="shared" si="54"/>
        <v>0.21290031661600811</v>
      </c>
    </row>
    <row r="1151" spans="1:10" ht="15" customHeight="1">
      <c r="A1151" s="7">
        <v>43885</v>
      </c>
      <c r="B1151" s="10">
        <v>330</v>
      </c>
      <c r="C1151">
        <v>53054</v>
      </c>
      <c r="D1151" s="5">
        <v>5.01</v>
      </c>
      <c r="F1151" s="8">
        <v>100</v>
      </c>
      <c r="G1151" s="8">
        <v>100</v>
      </c>
      <c r="H1151" s="2">
        <f t="shared" si="55"/>
        <v>16863663</v>
      </c>
      <c r="I1151" s="12">
        <f t="shared" si="53"/>
        <v>0.22105833333333333</v>
      </c>
      <c r="J1151" s="12">
        <f t="shared" si="54"/>
        <v>0.21292503787878789</v>
      </c>
    </row>
    <row r="1152" spans="1:10" ht="15" customHeight="1">
      <c r="A1152" s="7">
        <v>43886</v>
      </c>
      <c r="B1152" s="10">
        <v>331</v>
      </c>
      <c r="C1152">
        <v>55981</v>
      </c>
      <c r="D1152" s="5">
        <v>5.27</v>
      </c>
      <c r="F1152" s="8">
        <v>100</v>
      </c>
      <c r="G1152" s="8">
        <v>100</v>
      </c>
      <c r="H1152" s="2">
        <f t="shared" si="55"/>
        <v>16919644</v>
      </c>
      <c r="I1152" s="12">
        <f t="shared" si="53"/>
        <v>0.23325416666666668</v>
      </c>
      <c r="J1152" s="12">
        <f t="shared" si="54"/>
        <v>0.21298645518630413</v>
      </c>
    </row>
    <row r="1153" spans="1:10" ht="15" customHeight="1">
      <c r="A1153" s="7">
        <v>43887</v>
      </c>
      <c r="B1153" s="10">
        <v>332</v>
      </c>
      <c r="C1153">
        <v>55072</v>
      </c>
      <c r="D1153" s="5">
        <v>5.31</v>
      </c>
      <c r="F1153" s="8">
        <v>100</v>
      </c>
      <c r="G1153" s="8">
        <v>100</v>
      </c>
      <c r="H1153" s="2">
        <f t="shared" si="55"/>
        <v>16974716</v>
      </c>
      <c r="I1153" s="12">
        <f t="shared" si="53"/>
        <v>0.22946666666666668</v>
      </c>
      <c r="J1153" s="12">
        <f t="shared" si="54"/>
        <v>0.21303609437751003</v>
      </c>
    </row>
    <row r="1154" spans="1:10" ht="15" customHeight="1">
      <c r="A1154" s="7">
        <v>43888</v>
      </c>
      <c r="B1154" s="10">
        <v>333</v>
      </c>
      <c r="C1154">
        <v>41980</v>
      </c>
      <c r="D1154" s="5">
        <v>4.26</v>
      </c>
      <c r="F1154" s="8">
        <v>100</v>
      </c>
      <c r="G1154" s="8">
        <v>100</v>
      </c>
      <c r="H1154" s="2">
        <f t="shared" si="55"/>
        <v>17016696</v>
      </c>
      <c r="I1154" s="12">
        <f t="shared" si="53"/>
        <v>0.17491666666666666</v>
      </c>
      <c r="J1154" s="12">
        <f t="shared" si="54"/>
        <v>0.21292162162162162</v>
      </c>
    </row>
    <row r="1155" spans="1:10" ht="15" customHeight="1">
      <c r="A1155" s="7">
        <v>43889</v>
      </c>
      <c r="B1155" s="10">
        <v>334</v>
      </c>
      <c r="C1155">
        <v>59530</v>
      </c>
      <c r="D1155" s="5">
        <v>5.76</v>
      </c>
      <c r="F1155" s="8">
        <v>100</v>
      </c>
      <c r="G1155" s="8">
        <v>100</v>
      </c>
      <c r="H1155" s="2">
        <f t="shared" si="55"/>
        <v>17076226</v>
      </c>
      <c r="I1155" s="12">
        <f t="shared" ref="I1155:I1218" si="56">C1155/(10*24*1000)</f>
        <v>0.24804166666666666</v>
      </c>
      <c r="J1155" s="12">
        <f t="shared" si="54"/>
        <v>0.21302677145708582</v>
      </c>
    </row>
    <row r="1156" spans="1:10" ht="15" customHeight="1">
      <c r="A1156" s="7">
        <v>43890</v>
      </c>
      <c r="B1156" s="10">
        <v>335</v>
      </c>
      <c r="C1156">
        <v>52361</v>
      </c>
      <c r="D1156" s="5">
        <v>4.9800000000000004</v>
      </c>
      <c r="F1156" s="8">
        <v>100</v>
      </c>
      <c r="G1156" s="8">
        <v>100</v>
      </c>
      <c r="H1156" s="2">
        <f t="shared" si="55"/>
        <v>17128587</v>
      </c>
      <c r="I1156" s="12">
        <f t="shared" si="56"/>
        <v>0.21817083333333334</v>
      </c>
      <c r="J1156" s="12">
        <f t="shared" ref="J1156:J1219" si="57">H1156/(24*B1156*10*1000)</f>
        <v>0.21304212686567164</v>
      </c>
    </row>
    <row r="1157" spans="1:10" ht="15" customHeight="1">
      <c r="A1157" s="7">
        <v>43891</v>
      </c>
      <c r="B1157" s="10">
        <v>336</v>
      </c>
      <c r="C1157">
        <v>51500</v>
      </c>
      <c r="D1157" s="5">
        <v>4.8600000000000003</v>
      </c>
      <c r="F1157" s="8">
        <v>100</v>
      </c>
      <c r="G1157" s="8">
        <v>100</v>
      </c>
      <c r="H1157" s="2">
        <f t="shared" si="55"/>
        <v>17180087</v>
      </c>
      <c r="I1157" s="12">
        <f t="shared" si="56"/>
        <v>0.21458333333333332</v>
      </c>
      <c r="J1157" s="12">
        <f t="shared" si="57"/>
        <v>0.21304671378968254</v>
      </c>
    </row>
    <row r="1158" spans="1:10" ht="15" customHeight="1">
      <c r="A1158" s="7">
        <v>43892</v>
      </c>
      <c r="B1158" s="10">
        <v>337</v>
      </c>
      <c r="C1158">
        <v>59844</v>
      </c>
      <c r="D1158" s="5">
        <v>5.73</v>
      </c>
      <c r="F1158" s="8">
        <v>100</v>
      </c>
      <c r="G1158" s="8">
        <v>100</v>
      </c>
      <c r="H1158" s="2">
        <f t="shared" si="55"/>
        <v>17239931</v>
      </c>
      <c r="I1158" s="12">
        <f t="shared" si="56"/>
        <v>0.24934999999999999</v>
      </c>
      <c r="J1158" s="12">
        <f t="shared" si="57"/>
        <v>0.21315443867457962</v>
      </c>
    </row>
    <row r="1159" spans="1:10" ht="15" customHeight="1">
      <c r="A1159" s="7">
        <v>43893</v>
      </c>
      <c r="B1159" s="10">
        <v>338</v>
      </c>
      <c r="C1159">
        <v>59594</v>
      </c>
      <c r="D1159" s="5">
        <v>5.79</v>
      </c>
      <c r="F1159" s="8">
        <v>100</v>
      </c>
      <c r="G1159" s="8">
        <v>100</v>
      </c>
      <c r="H1159" s="2">
        <f t="shared" si="55"/>
        <v>17299525</v>
      </c>
      <c r="I1159" s="12">
        <f t="shared" si="56"/>
        <v>0.24830833333333333</v>
      </c>
      <c r="J1159" s="12">
        <f t="shared" si="57"/>
        <v>0.2132584442800789</v>
      </c>
    </row>
    <row r="1160" spans="1:10" ht="15" customHeight="1">
      <c r="A1160" s="7">
        <v>43894</v>
      </c>
      <c r="B1160" s="10">
        <v>339</v>
      </c>
      <c r="C1160">
        <v>57937</v>
      </c>
      <c r="D1160" s="5">
        <v>5.71</v>
      </c>
      <c r="F1160" s="8">
        <v>100</v>
      </c>
      <c r="G1160" s="8">
        <v>100</v>
      </c>
      <c r="H1160" s="2">
        <f t="shared" si="55"/>
        <v>17357462</v>
      </c>
      <c r="I1160" s="12">
        <f t="shared" si="56"/>
        <v>0.24140416666666667</v>
      </c>
      <c r="J1160" s="12">
        <f t="shared" si="57"/>
        <v>0.21334147000983283</v>
      </c>
    </row>
    <row r="1161" spans="1:10" ht="15" customHeight="1">
      <c r="A1161" s="7">
        <v>43895</v>
      </c>
      <c r="B1161" s="10">
        <v>340</v>
      </c>
      <c r="C1161">
        <v>55607</v>
      </c>
      <c r="D1161" s="5">
        <v>5.43</v>
      </c>
      <c r="F1161" s="8">
        <v>100</v>
      </c>
      <c r="G1161" s="8">
        <v>100</v>
      </c>
      <c r="H1161" s="2">
        <f t="shared" si="55"/>
        <v>17413069</v>
      </c>
      <c r="I1161" s="12">
        <f t="shared" si="56"/>
        <v>0.23169583333333332</v>
      </c>
      <c r="J1161" s="12">
        <f t="shared" si="57"/>
        <v>0.21339545343137256</v>
      </c>
    </row>
    <row r="1162" spans="1:10" ht="15" customHeight="1">
      <c r="A1162" s="7">
        <v>43896</v>
      </c>
      <c r="B1162" s="10">
        <v>341</v>
      </c>
      <c r="C1162">
        <v>32996</v>
      </c>
      <c r="D1162" s="5">
        <v>3.41</v>
      </c>
      <c r="F1162" s="8">
        <v>99.035297073232016</v>
      </c>
      <c r="G1162" s="8">
        <v>100</v>
      </c>
      <c r="H1162" s="2">
        <f t="shared" si="55"/>
        <v>17446065</v>
      </c>
      <c r="I1162" s="12">
        <f t="shared" si="56"/>
        <v>0.13748333333333335</v>
      </c>
      <c r="J1162" s="12">
        <f t="shared" si="57"/>
        <v>0.21317283724340175</v>
      </c>
    </row>
    <row r="1163" spans="1:10" ht="15" customHeight="1">
      <c r="A1163" s="7">
        <v>43897</v>
      </c>
      <c r="B1163" s="10">
        <v>342</v>
      </c>
      <c r="C1163">
        <v>62331</v>
      </c>
      <c r="D1163" s="5">
        <v>6.18</v>
      </c>
      <c r="F1163" s="8">
        <v>99.217271192510353</v>
      </c>
      <c r="G1163" s="8">
        <v>100</v>
      </c>
      <c r="H1163" s="2">
        <f t="shared" si="55"/>
        <v>17508396</v>
      </c>
      <c r="I1163" s="12">
        <f t="shared" si="56"/>
        <v>0.25971250000000001</v>
      </c>
      <c r="J1163" s="12">
        <f t="shared" si="57"/>
        <v>0.21330891812865496</v>
      </c>
    </row>
    <row r="1164" spans="1:10" ht="15" customHeight="1">
      <c r="A1164" s="7">
        <v>43898</v>
      </c>
      <c r="B1164" s="10">
        <v>343</v>
      </c>
      <c r="C1164">
        <v>64998</v>
      </c>
      <c r="D1164" s="5">
        <v>6.34</v>
      </c>
      <c r="F1164" s="8">
        <v>100</v>
      </c>
      <c r="G1164" s="8">
        <v>100</v>
      </c>
      <c r="H1164" s="2">
        <f t="shared" si="55"/>
        <v>17573394</v>
      </c>
      <c r="I1164" s="12">
        <f t="shared" si="56"/>
        <v>0.27082499999999998</v>
      </c>
      <c r="J1164" s="12">
        <f t="shared" si="57"/>
        <v>0.21347660349854228</v>
      </c>
    </row>
    <row r="1165" spans="1:10" ht="15" customHeight="1">
      <c r="A1165" s="7">
        <v>43899</v>
      </c>
      <c r="B1165" s="10">
        <v>344</v>
      </c>
      <c r="C1165">
        <v>60795</v>
      </c>
      <c r="D1165" s="5">
        <v>6.33</v>
      </c>
      <c r="F1165" s="8">
        <v>98.118891909765594</v>
      </c>
      <c r="G1165" s="8">
        <v>100</v>
      </c>
      <c r="H1165" s="2">
        <f t="shared" si="55"/>
        <v>17634189</v>
      </c>
      <c r="I1165" s="12">
        <f t="shared" si="56"/>
        <v>0.2533125</v>
      </c>
      <c r="J1165" s="12">
        <f t="shared" si="57"/>
        <v>0.21359240552325581</v>
      </c>
    </row>
    <row r="1166" spans="1:10" ht="15" customHeight="1">
      <c r="A1166" s="7">
        <v>43900</v>
      </c>
      <c r="B1166" s="10">
        <v>345</v>
      </c>
      <c r="C1166">
        <v>52780</v>
      </c>
      <c r="D1166" s="5">
        <v>5.17</v>
      </c>
      <c r="F1166" s="8">
        <v>100</v>
      </c>
      <c r="G1166" s="8">
        <v>100</v>
      </c>
      <c r="H1166" s="2">
        <f t="shared" si="55"/>
        <v>17686969</v>
      </c>
      <c r="I1166" s="12">
        <f t="shared" si="56"/>
        <v>0.21991666666666668</v>
      </c>
      <c r="J1166" s="12">
        <f t="shared" si="57"/>
        <v>0.21361073671497585</v>
      </c>
    </row>
    <row r="1167" spans="1:10" ht="15" customHeight="1">
      <c r="A1167" s="7">
        <v>43901</v>
      </c>
      <c r="B1167" s="10">
        <v>346</v>
      </c>
      <c r="C1167">
        <v>55767</v>
      </c>
      <c r="D1167" s="5">
        <v>5.61</v>
      </c>
      <c r="F1167" s="8">
        <v>100</v>
      </c>
      <c r="G1167" s="8">
        <v>100</v>
      </c>
      <c r="H1167" s="2">
        <f t="shared" si="55"/>
        <v>17742736</v>
      </c>
      <c r="I1167" s="12">
        <f t="shared" si="56"/>
        <v>0.2323625</v>
      </c>
      <c r="J1167" s="12">
        <f t="shared" si="57"/>
        <v>0.21366493256262042</v>
      </c>
    </row>
    <row r="1168" spans="1:10" ht="15" customHeight="1">
      <c r="A1168" s="7">
        <v>43902</v>
      </c>
      <c r="B1168" s="10">
        <v>347</v>
      </c>
      <c r="C1168">
        <v>56057</v>
      </c>
      <c r="D1168" s="5">
        <v>5.82</v>
      </c>
      <c r="F1168" s="8">
        <v>100</v>
      </c>
      <c r="G1168" s="8">
        <v>100</v>
      </c>
      <c r="H1168" s="2">
        <f t="shared" si="55"/>
        <v>17798793</v>
      </c>
      <c r="I1168" s="12">
        <f t="shared" si="56"/>
        <v>0.23357083333333334</v>
      </c>
      <c r="J1168" s="12">
        <f t="shared" si="57"/>
        <v>0.21372229827089337</v>
      </c>
    </row>
    <row r="1169" spans="1:10" ht="15" customHeight="1">
      <c r="A1169" s="7">
        <v>43903</v>
      </c>
      <c r="B1169" s="10">
        <v>348</v>
      </c>
      <c r="C1169">
        <v>60698</v>
      </c>
      <c r="D1169" s="5">
        <v>6.07</v>
      </c>
      <c r="F1169" s="8">
        <v>100</v>
      </c>
      <c r="G1169" s="8">
        <v>100</v>
      </c>
      <c r="H1169" s="2">
        <f t="shared" si="55"/>
        <v>17859491</v>
      </c>
      <c r="I1169" s="12">
        <f t="shared" si="56"/>
        <v>0.25290833333333335</v>
      </c>
      <c r="J1169" s="12">
        <f t="shared" si="57"/>
        <v>0.21383490181992337</v>
      </c>
    </row>
    <row r="1170" spans="1:10" ht="15" customHeight="1">
      <c r="A1170" s="7">
        <v>43904</v>
      </c>
      <c r="B1170" s="10">
        <v>349</v>
      </c>
      <c r="C1170">
        <v>64536</v>
      </c>
      <c r="D1170" s="5">
        <v>6.35</v>
      </c>
      <c r="F1170" s="8">
        <v>100</v>
      </c>
      <c r="G1170" s="8">
        <v>100</v>
      </c>
      <c r="H1170" s="2">
        <f t="shared" si="55"/>
        <v>17924027</v>
      </c>
      <c r="I1170" s="12">
        <f t="shared" si="56"/>
        <v>0.26889999999999997</v>
      </c>
      <c r="J1170" s="12">
        <f t="shared" si="57"/>
        <v>0.21399268147086914</v>
      </c>
    </row>
    <row r="1171" spans="1:10" ht="15" customHeight="1">
      <c r="A1171" s="7">
        <v>43905</v>
      </c>
      <c r="B1171" s="10">
        <v>350</v>
      </c>
      <c r="C1171">
        <v>59332</v>
      </c>
      <c r="D1171" s="5">
        <v>5.88</v>
      </c>
      <c r="F1171" s="8">
        <v>100</v>
      </c>
      <c r="G1171" s="8">
        <v>100</v>
      </c>
      <c r="H1171" s="2">
        <f t="shared" si="55"/>
        <v>17983359</v>
      </c>
      <c r="I1171" s="12">
        <f t="shared" si="56"/>
        <v>0.24721666666666667</v>
      </c>
      <c r="J1171" s="12">
        <f t="shared" si="57"/>
        <v>0.21408760714285716</v>
      </c>
    </row>
    <row r="1172" spans="1:10" ht="15" customHeight="1">
      <c r="A1172" s="7">
        <v>43906</v>
      </c>
      <c r="B1172" s="10">
        <v>351</v>
      </c>
      <c r="C1172">
        <v>64104</v>
      </c>
      <c r="D1172" s="5">
        <v>6.42</v>
      </c>
      <c r="F1172" s="8">
        <v>100</v>
      </c>
      <c r="G1172" s="8">
        <v>100</v>
      </c>
      <c r="H1172" s="2">
        <f t="shared" si="55"/>
        <v>18047463</v>
      </c>
      <c r="I1172" s="12">
        <f t="shared" si="56"/>
        <v>0.2671</v>
      </c>
      <c r="J1172" s="12">
        <f t="shared" si="57"/>
        <v>0.21423863960113959</v>
      </c>
    </row>
    <row r="1173" spans="1:10" ht="15" customHeight="1">
      <c r="A1173" s="7">
        <v>43907</v>
      </c>
      <c r="B1173" s="10">
        <v>352</v>
      </c>
      <c r="C1173">
        <v>60237</v>
      </c>
      <c r="D1173" s="5">
        <v>6.12</v>
      </c>
      <c r="F1173" s="8">
        <v>100</v>
      </c>
      <c r="G1173" s="8">
        <v>100</v>
      </c>
      <c r="H1173" s="2">
        <f t="shared" si="55"/>
        <v>18107700</v>
      </c>
      <c r="I1173" s="12">
        <f t="shared" si="56"/>
        <v>0.25098749999999997</v>
      </c>
      <c r="J1173" s="12">
        <f t="shared" si="57"/>
        <v>0.21434303977272728</v>
      </c>
    </row>
    <row r="1174" spans="1:10" ht="15" customHeight="1">
      <c r="A1174" s="7">
        <v>43908</v>
      </c>
      <c r="B1174" s="10">
        <v>353</v>
      </c>
      <c r="C1174">
        <v>61977</v>
      </c>
      <c r="D1174" s="5">
        <v>6.48</v>
      </c>
      <c r="F1174" s="8">
        <v>100</v>
      </c>
      <c r="G1174" s="8">
        <v>100</v>
      </c>
      <c r="H1174" s="2">
        <f t="shared" si="55"/>
        <v>18169677</v>
      </c>
      <c r="I1174" s="12">
        <f t="shared" si="56"/>
        <v>0.25823750000000001</v>
      </c>
      <c r="J1174" s="12">
        <f t="shared" si="57"/>
        <v>0.2144673866855524</v>
      </c>
    </row>
    <row r="1175" spans="1:10" ht="15" customHeight="1">
      <c r="A1175" s="7">
        <v>43909</v>
      </c>
      <c r="B1175" s="10">
        <v>354</v>
      </c>
      <c r="C1175">
        <v>54962</v>
      </c>
      <c r="D1175" s="5">
        <v>5.88</v>
      </c>
      <c r="F1175" s="8">
        <v>100</v>
      </c>
      <c r="G1175" s="8">
        <v>100</v>
      </c>
      <c r="H1175" s="2">
        <f t="shared" si="55"/>
        <v>18224639</v>
      </c>
      <c r="I1175" s="12">
        <f t="shared" si="56"/>
        <v>0.22900833333333334</v>
      </c>
      <c r="J1175" s="12">
        <f t="shared" si="57"/>
        <v>0.21450846280602637</v>
      </c>
    </row>
    <row r="1176" spans="1:10" ht="15" customHeight="1">
      <c r="A1176" s="7">
        <v>43910</v>
      </c>
      <c r="B1176" s="10">
        <v>355</v>
      </c>
      <c r="C1176">
        <v>55584</v>
      </c>
      <c r="D1176" s="5">
        <v>5.86</v>
      </c>
      <c r="F1176" s="8">
        <v>100</v>
      </c>
      <c r="G1176" s="8">
        <v>100</v>
      </c>
      <c r="H1176" s="2">
        <f t="shared" si="55"/>
        <v>18280223</v>
      </c>
      <c r="I1176" s="12">
        <f t="shared" si="56"/>
        <v>0.2316</v>
      </c>
      <c r="J1176" s="12">
        <f t="shared" si="57"/>
        <v>0.21455660798122067</v>
      </c>
    </row>
    <row r="1177" spans="1:10" ht="15" customHeight="1">
      <c r="A1177" s="7">
        <v>43911</v>
      </c>
      <c r="B1177" s="10">
        <v>356</v>
      </c>
      <c r="C1177">
        <v>59706</v>
      </c>
      <c r="D1177" s="5">
        <v>6.19</v>
      </c>
      <c r="F1177" s="8">
        <v>100</v>
      </c>
      <c r="G1177" s="8">
        <v>100</v>
      </c>
      <c r="H1177" s="2">
        <f t="shared" si="55"/>
        <v>18339929</v>
      </c>
      <c r="I1177" s="12">
        <f t="shared" si="56"/>
        <v>0.248775</v>
      </c>
      <c r="J1177" s="12">
        <f t="shared" si="57"/>
        <v>0.21465272705992508</v>
      </c>
    </row>
    <row r="1178" spans="1:10" ht="15" customHeight="1">
      <c r="A1178" s="7">
        <v>43912</v>
      </c>
      <c r="B1178" s="10">
        <v>357</v>
      </c>
      <c r="C1178">
        <v>46081</v>
      </c>
      <c r="D1178" s="5">
        <v>5.19</v>
      </c>
      <c r="F1178" s="8">
        <v>98.797981796596758</v>
      </c>
      <c r="G1178" s="8">
        <v>100</v>
      </c>
      <c r="H1178" s="2">
        <f t="shared" si="55"/>
        <v>18386010</v>
      </c>
      <c r="I1178" s="12">
        <f t="shared" si="56"/>
        <v>0.19200416666666667</v>
      </c>
      <c r="J1178" s="12">
        <f t="shared" si="57"/>
        <v>0.2145892857142857</v>
      </c>
    </row>
    <row r="1179" spans="1:10" ht="15" customHeight="1">
      <c r="A1179" s="7">
        <v>43913</v>
      </c>
      <c r="B1179" s="10">
        <v>358</v>
      </c>
      <c r="C1179">
        <v>48674</v>
      </c>
      <c r="D1179" s="5">
        <v>5.16</v>
      </c>
      <c r="F1179" s="8">
        <v>100</v>
      </c>
      <c r="G1179" s="8">
        <v>100</v>
      </c>
      <c r="H1179" s="2">
        <f t="shared" si="55"/>
        <v>18434684</v>
      </c>
      <c r="I1179" s="12">
        <f t="shared" si="56"/>
        <v>0.20280833333333334</v>
      </c>
      <c r="J1179" s="12">
        <f t="shared" si="57"/>
        <v>0.21455637802607078</v>
      </c>
    </row>
    <row r="1180" spans="1:10" ht="15" customHeight="1">
      <c r="A1180" s="7">
        <v>43914</v>
      </c>
      <c r="B1180" s="10">
        <v>359</v>
      </c>
      <c r="C1180">
        <v>50288</v>
      </c>
      <c r="D1180" s="5">
        <v>5.31</v>
      </c>
      <c r="F1180" s="8">
        <v>100</v>
      </c>
      <c r="G1180" s="8">
        <v>100</v>
      </c>
      <c r="H1180" s="2">
        <f t="shared" si="55"/>
        <v>18484972</v>
      </c>
      <c r="I1180" s="12">
        <f t="shared" si="56"/>
        <v>0.20953333333333332</v>
      </c>
      <c r="J1180" s="12">
        <f t="shared" si="57"/>
        <v>0.21454238625812441</v>
      </c>
    </row>
    <row r="1181" spans="1:10" ht="15" customHeight="1">
      <c r="A1181" s="7">
        <v>43915</v>
      </c>
      <c r="B1181" s="10">
        <v>360</v>
      </c>
      <c r="C1181">
        <v>38532</v>
      </c>
      <c r="D1181" s="5">
        <v>4.71</v>
      </c>
      <c r="F1181" s="8">
        <v>100</v>
      </c>
      <c r="G1181" s="8">
        <v>100</v>
      </c>
      <c r="H1181" s="2">
        <f t="shared" si="55"/>
        <v>18523504</v>
      </c>
      <c r="I1181" s="12">
        <f t="shared" si="56"/>
        <v>0.16055</v>
      </c>
      <c r="J1181" s="12">
        <f t="shared" si="57"/>
        <v>0.21439240740740742</v>
      </c>
    </row>
    <row r="1182" spans="1:10" ht="15" customHeight="1">
      <c r="A1182" s="7">
        <v>43916</v>
      </c>
      <c r="B1182" s="10">
        <v>361</v>
      </c>
      <c r="C1182">
        <v>13740</v>
      </c>
      <c r="D1182" s="5">
        <v>1.48</v>
      </c>
      <c r="F1182" s="8">
        <v>100</v>
      </c>
      <c r="G1182" s="8">
        <v>100</v>
      </c>
      <c r="H1182" s="2">
        <f t="shared" si="55"/>
        <v>18537244</v>
      </c>
      <c r="I1182" s="12">
        <f t="shared" si="56"/>
        <v>5.7250000000000002E-2</v>
      </c>
      <c r="J1182" s="12">
        <f t="shared" si="57"/>
        <v>0.21395710987996305</v>
      </c>
    </row>
    <row r="1183" spans="1:10" ht="15" customHeight="1">
      <c r="A1183" s="7">
        <v>43917</v>
      </c>
      <c r="B1183" s="10">
        <v>362</v>
      </c>
      <c r="C1183">
        <v>48754</v>
      </c>
      <c r="D1183" s="5">
        <v>5.69</v>
      </c>
      <c r="F1183" s="8">
        <v>94.597473011569932</v>
      </c>
      <c r="G1183" s="8">
        <v>100</v>
      </c>
      <c r="H1183" s="2">
        <f t="shared" si="55"/>
        <v>18585998</v>
      </c>
      <c r="I1183" s="12">
        <f t="shared" si="56"/>
        <v>0.20314166666666666</v>
      </c>
      <c r="J1183" s="12">
        <f t="shared" si="57"/>
        <v>0.21392723296500921</v>
      </c>
    </row>
    <row r="1184" spans="1:10" ht="15" customHeight="1">
      <c r="A1184" s="7">
        <v>43918</v>
      </c>
      <c r="B1184" s="10">
        <v>363</v>
      </c>
      <c r="C1184">
        <v>64298</v>
      </c>
      <c r="D1184" s="5">
        <v>6.92</v>
      </c>
      <c r="F1184" s="8">
        <v>100</v>
      </c>
      <c r="G1184" s="8">
        <v>100</v>
      </c>
      <c r="H1184" s="2">
        <f t="shared" si="55"/>
        <v>18650296</v>
      </c>
      <c r="I1184" s="12">
        <f t="shared" si="56"/>
        <v>0.26790833333333336</v>
      </c>
      <c r="J1184" s="12">
        <f t="shared" si="57"/>
        <v>0.21407594123048668</v>
      </c>
    </row>
    <row r="1185" spans="1:10" ht="15" customHeight="1">
      <c r="A1185" s="7">
        <v>43919</v>
      </c>
      <c r="B1185" s="10">
        <v>364</v>
      </c>
      <c r="C1185">
        <v>63954</v>
      </c>
      <c r="D1185" s="5">
        <v>7.09</v>
      </c>
      <c r="F1185" s="8">
        <v>100</v>
      </c>
      <c r="G1185" s="8">
        <v>100</v>
      </c>
      <c r="H1185" s="2">
        <f t="shared" si="55"/>
        <v>18714250</v>
      </c>
      <c r="I1185" s="12">
        <f t="shared" si="56"/>
        <v>0.26647500000000002</v>
      </c>
      <c r="J1185" s="12">
        <f t="shared" si="57"/>
        <v>0.21421989468864469</v>
      </c>
    </row>
    <row r="1186" spans="1:10" ht="15" customHeight="1">
      <c r="A1186" s="7">
        <v>43920</v>
      </c>
      <c r="B1186" s="10">
        <v>365</v>
      </c>
      <c r="C1186">
        <v>62869</v>
      </c>
      <c r="D1186" s="5">
        <v>6.8</v>
      </c>
      <c r="F1186" s="8">
        <v>100</v>
      </c>
      <c r="G1186" s="8">
        <v>100</v>
      </c>
      <c r="H1186" s="2">
        <f t="shared" si="55"/>
        <v>18777119</v>
      </c>
      <c r="I1186" s="12">
        <f t="shared" si="56"/>
        <v>0.26195416666666665</v>
      </c>
      <c r="J1186" s="12">
        <f t="shared" si="57"/>
        <v>0.21435067351598175</v>
      </c>
    </row>
    <row r="1187" spans="1:10" ht="15" customHeight="1">
      <c r="A1187" s="7">
        <v>43921</v>
      </c>
      <c r="B1187" s="10">
        <v>366</v>
      </c>
      <c r="C1187">
        <v>56406</v>
      </c>
      <c r="D1187" s="5">
        <v>6.03</v>
      </c>
      <c r="F1187" s="8">
        <v>100</v>
      </c>
      <c r="G1187" s="8">
        <v>100</v>
      </c>
      <c r="H1187" s="2">
        <f t="shared" si="55"/>
        <v>18833525</v>
      </c>
      <c r="I1187" s="12">
        <f t="shared" si="56"/>
        <v>0.23502500000000001</v>
      </c>
      <c r="J1187" s="12">
        <f t="shared" si="57"/>
        <v>0.21440716074681238</v>
      </c>
    </row>
    <row r="1188" spans="1:10" ht="15" customHeight="1">
      <c r="A1188" s="7">
        <v>43922</v>
      </c>
      <c r="B1188" s="10">
        <v>1</v>
      </c>
      <c r="C1188">
        <v>66895</v>
      </c>
      <c r="D1188" s="5">
        <v>7.15</v>
      </c>
      <c r="F1188" s="8">
        <v>100</v>
      </c>
      <c r="G1188" s="8">
        <v>100</v>
      </c>
      <c r="H1188" s="2">
        <f>C1188</f>
        <v>66895</v>
      </c>
      <c r="I1188" s="12">
        <f t="shared" si="56"/>
        <v>0.27872916666666664</v>
      </c>
      <c r="J1188" s="12">
        <f t="shared" si="57"/>
        <v>0.27872916666666664</v>
      </c>
    </row>
    <row r="1189" spans="1:10" ht="15" customHeight="1">
      <c r="A1189" s="7">
        <v>43923</v>
      </c>
      <c r="B1189" s="10">
        <v>2</v>
      </c>
      <c r="C1189">
        <v>65943</v>
      </c>
      <c r="D1189" s="5">
        <v>7.23</v>
      </c>
      <c r="F1189" s="8">
        <v>100</v>
      </c>
      <c r="G1189" s="8">
        <v>100</v>
      </c>
      <c r="H1189" s="2">
        <f t="shared" ref="H1189:H1252" si="58">H1188+C1189</f>
        <v>132838</v>
      </c>
      <c r="I1189" s="12">
        <f t="shared" si="56"/>
        <v>0.27476250000000002</v>
      </c>
      <c r="J1189" s="12">
        <f t="shared" si="57"/>
        <v>0.27674583333333336</v>
      </c>
    </row>
    <row r="1190" spans="1:10" ht="15" customHeight="1">
      <c r="A1190" s="7">
        <v>43924</v>
      </c>
      <c r="B1190" s="10">
        <v>3</v>
      </c>
      <c r="C1190">
        <v>64795</v>
      </c>
      <c r="D1190" s="5">
        <v>7.29</v>
      </c>
      <c r="F1190" s="8">
        <v>100</v>
      </c>
      <c r="G1190" s="8">
        <v>100</v>
      </c>
      <c r="H1190" s="2">
        <f t="shared" si="58"/>
        <v>197633</v>
      </c>
      <c r="I1190" s="12">
        <f t="shared" si="56"/>
        <v>0.26997916666666666</v>
      </c>
      <c r="J1190" s="12">
        <f t="shared" si="57"/>
        <v>0.27449027777777779</v>
      </c>
    </row>
    <row r="1191" spans="1:10" ht="15" customHeight="1">
      <c r="A1191" s="7">
        <v>43925</v>
      </c>
      <c r="B1191" s="10">
        <v>4</v>
      </c>
      <c r="C1191">
        <v>64090</v>
      </c>
      <c r="D1191" s="5">
        <v>7.24</v>
      </c>
      <c r="F1191" s="8">
        <v>100</v>
      </c>
      <c r="G1191" s="8">
        <v>100</v>
      </c>
      <c r="H1191" s="2">
        <f t="shared" si="58"/>
        <v>261723</v>
      </c>
      <c r="I1191" s="12">
        <f t="shared" si="56"/>
        <v>0.26704166666666668</v>
      </c>
      <c r="J1191" s="12">
        <f t="shared" si="57"/>
        <v>0.272628125</v>
      </c>
    </row>
    <row r="1192" spans="1:10" ht="15" customHeight="1">
      <c r="A1192" s="7">
        <v>43926</v>
      </c>
      <c r="B1192" s="10">
        <v>5</v>
      </c>
      <c r="C1192">
        <v>62001</v>
      </c>
      <c r="D1192" s="5">
        <v>6.92</v>
      </c>
      <c r="F1192" s="8">
        <v>100</v>
      </c>
      <c r="G1192" s="8">
        <v>100</v>
      </c>
      <c r="H1192" s="2">
        <f t="shared" si="58"/>
        <v>323724</v>
      </c>
      <c r="I1192" s="12">
        <f t="shared" si="56"/>
        <v>0.2583375</v>
      </c>
      <c r="J1192" s="12">
        <f t="shared" si="57"/>
        <v>0.26977000000000001</v>
      </c>
    </row>
    <row r="1193" spans="1:10" ht="15" customHeight="1">
      <c r="A1193" s="7">
        <v>43927</v>
      </c>
      <c r="B1193" s="10">
        <v>6</v>
      </c>
      <c r="C1193">
        <v>62224</v>
      </c>
      <c r="D1193" s="5">
        <v>7.53</v>
      </c>
      <c r="F1193" s="8">
        <v>100</v>
      </c>
      <c r="G1193" s="8">
        <v>100</v>
      </c>
      <c r="H1193" s="2">
        <f t="shared" si="58"/>
        <v>385948</v>
      </c>
      <c r="I1193" s="12">
        <f t="shared" si="56"/>
        <v>0.25926666666666665</v>
      </c>
      <c r="J1193" s="12">
        <f t="shared" si="57"/>
        <v>0.26801944444444442</v>
      </c>
    </row>
    <row r="1194" spans="1:10" ht="15" customHeight="1">
      <c r="A1194" s="7">
        <v>43928</v>
      </c>
      <c r="B1194" s="10">
        <v>7</v>
      </c>
      <c r="C1194">
        <v>54553</v>
      </c>
      <c r="D1194" s="5">
        <v>6.24</v>
      </c>
      <c r="F1194" s="8">
        <v>100</v>
      </c>
      <c r="G1194" s="8">
        <v>100</v>
      </c>
      <c r="H1194" s="2">
        <f t="shared" si="58"/>
        <v>440501</v>
      </c>
      <c r="I1194" s="12">
        <f t="shared" si="56"/>
        <v>0.22730416666666667</v>
      </c>
      <c r="J1194" s="12">
        <f t="shared" si="57"/>
        <v>0.26220297619047617</v>
      </c>
    </row>
    <row r="1195" spans="1:10" ht="15" customHeight="1">
      <c r="A1195" s="7">
        <v>43929</v>
      </c>
      <c r="B1195" s="10">
        <v>8</v>
      </c>
      <c r="C1195">
        <v>64469</v>
      </c>
      <c r="D1195" s="5">
        <v>7.29</v>
      </c>
      <c r="F1195" s="8">
        <v>100</v>
      </c>
      <c r="G1195" s="8">
        <v>100</v>
      </c>
      <c r="H1195" s="2">
        <f t="shared" si="58"/>
        <v>504970</v>
      </c>
      <c r="I1195" s="12">
        <f t="shared" si="56"/>
        <v>0.26862083333333331</v>
      </c>
      <c r="J1195" s="12">
        <f t="shared" si="57"/>
        <v>0.26300520833333335</v>
      </c>
    </row>
    <row r="1196" spans="1:10" ht="15" customHeight="1">
      <c r="A1196" s="7">
        <v>43930</v>
      </c>
      <c r="B1196" s="10">
        <v>9</v>
      </c>
      <c r="C1196">
        <v>60808</v>
      </c>
      <c r="D1196" s="5">
        <v>7.02</v>
      </c>
      <c r="F1196" s="8">
        <v>100</v>
      </c>
      <c r="G1196" s="8">
        <v>100</v>
      </c>
      <c r="H1196" s="2">
        <f t="shared" si="58"/>
        <v>565778</v>
      </c>
      <c r="I1196" s="12">
        <f t="shared" si="56"/>
        <v>0.25336666666666668</v>
      </c>
      <c r="J1196" s="12">
        <f t="shared" si="57"/>
        <v>0.26193425925925928</v>
      </c>
    </row>
    <row r="1197" spans="1:10" ht="15" customHeight="1">
      <c r="A1197" s="7">
        <v>43931</v>
      </c>
      <c r="B1197" s="10">
        <v>10</v>
      </c>
      <c r="C1197">
        <v>58834</v>
      </c>
      <c r="D1197" s="5">
        <v>6.76</v>
      </c>
      <c r="F1197" s="8">
        <v>100</v>
      </c>
      <c r="G1197" s="8">
        <v>100</v>
      </c>
      <c r="H1197" s="2">
        <f t="shared" si="58"/>
        <v>624612</v>
      </c>
      <c r="I1197" s="12">
        <f t="shared" si="56"/>
        <v>0.24514166666666667</v>
      </c>
      <c r="J1197" s="12">
        <f t="shared" si="57"/>
        <v>0.26025500000000001</v>
      </c>
    </row>
    <row r="1198" spans="1:10" ht="15" customHeight="1">
      <c r="A1198" s="7">
        <v>43932</v>
      </c>
      <c r="B1198" s="10">
        <v>11</v>
      </c>
      <c r="C1198">
        <v>57167</v>
      </c>
      <c r="D1198" s="5">
        <v>6.69</v>
      </c>
      <c r="F1198" s="8">
        <v>100</v>
      </c>
      <c r="G1198" s="8">
        <v>100</v>
      </c>
      <c r="H1198" s="2">
        <f t="shared" si="58"/>
        <v>681779</v>
      </c>
      <c r="I1198" s="12">
        <f t="shared" si="56"/>
        <v>0.23819583333333333</v>
      </c>
      <c r="J1198" s="12">
        <f t="shared" si="57"/>
        <v>0.25824962121212119</v>
      </c>
    </row>
    <row r="1199" spans="1:10" ht="15" customHeight="1">
      <c r="A1199" s="7">
        <v>43933</v>
      </c>
      <c r="B1199" s="10">
        <v>12</v>
      </c>
      <c r="C1199">
        <v>59375</v>
      </c>
      <c r="D1199" s="5">
        <v>6.9</v>
      </c>
      <c r="F1199" s="8">
        <v>100</v>
      </c>
      <c r="G1199" s="8">
        <v>100</v>
      </c>
      <c r="H1199" s="2">
        <f t="shared" si="58"/>
        <v>741154</v>
      </c>
      <c r="I1199" s="12">
        <f t="shared" si="56"/>
        <v>0.24739583333333334</v>
      </c>
      <c r="J1199" s="12">
        <f t="shared" si="57"/>
        <v>0.25734513888888888</v>
      </c>
    </row>
    <row r="1200" spans="1:10" ht="15" customHeight="1">
      <c r="A1200" s="7">
        <v>43934</v>
      </c>
      <c r="B1200" s="10">
        <v>13</v>
      </c>
      <c r="C1200">
        <v>34286</v>
      </c>
      <c r="D1200" s="5">
        <v>5.65</v>
      </c>
      <c r="F1200" s="8">
        <v>100</v>
      </c>
      <c r="G1200" s="8">
        <v>91.666666666666657</v>
      </c>
      <c r="H1200" s="2">
        <f t="shared" si="58"/>
        <v>775440</v>
      </c>
      <c r="I1200" s="12">
        <f t="shared" si="56"/>
        <v>0.14285833333333334</v>
      </c>
      <c r="J1200" s="12">
        <f t="shared" si="57"/>
        <v>0.24853846153846154</v>
      </c>
    </row>
    <row r="1201" spans="1:10" ht="15" customHeight="1">
      <c r="A1201" s="7">
        <v>43935</v>
      </c>
      <c r="B1201" s="10">
        <v>14</v>
      </c>
      <c r="C1201">
        <v>40196</v>
      </c>
      <c r="D1201" s="5">
        <v>4.8499999999999996</v>
      </c>
      <c r="F1201" s="8">
        <v>100</v>
      </c>
      <c r="G1201" s="8">
        <v>100</v>
      </c>
      <c r="H1201" s="2">
        <f t="shared" si="58"/>
        <v>815636</v>
      </c>
      <c r="I1201" s="12">
        <f t="shared" si="56"/>
        <v>0.16748333333333335</v>
      </c>
      <c r="J1201" s="12">
        <f t="shared" si="57"/>
        <v>0.24274880952380953</v>
      </c>
    </row>
    <row r="1202" spans="1:10" ht="15" customHeight="1">
      <c r="A1202" s="7">
        <v>43936</v>
      </c>
      <c r="B1202" s="10">
        <v>15</v>
      </c>
      <c r="C1202">
        <v>60670</v>
      </c>
      <c r="D1202" s="5">
        <v>7.12</v>
      </c>
      <c r="F1202" s="8">
        <v>100</v>
      </c>
      <c r="G1202" s="8">
        <v>100</v>
      </c>
      <c r="H1202" s="2">
        <f t="shared" si="58"/>
        <v>876306</v>
      </c>
      <c r="I1202" s="12">
        <f t="shared" si="56"/>
        <v>0.25279166666666669</v>
      </c>
      <c r="J1202" s="12">
        <f t="shared" si="57"/>
        <v>0.24341833333333332</v>
      </c>
    </row>
    <row r="1203" spans="1:10" ht="15" customHeight="1">
      <c r="A1203" s="7">
        <v>43937</v>
      </c>
      <c r="B1203" s="10">
        <v>16</v>
      </c>
      <c r="C1203">
        <v>48764</v>
      </c>
      <c r="D1203" s="5">
        <v>5.9</v>
      </c>
      <c r="F1203" s="8">
        <v>100</v>
      </c>
      <c r="G1203" s="8">
        <v>100</v>
      </c>
      <c r="H1203" s="2">
        <f t="shared" si="58"/>
        <v>925070</v>
      </c>
      <c r="I1203" s="12">
        <f t="shared" si="56"/>
        <v>0.20318333333333333</v>
      </c>
      <c r="J1203" s="12">
        <f t="shared" si="57"/>
        <v>0.24090364583333335</v>
      </c>
    </row>
    <row r="1204" spans="1:10" ht="15" customHeight="1">
      <c r="A1204" s="7">
        <v>43938</v>
      </c>
      <c r="B1204" s="10">
        <v>17</v>
      </c>
      <c r="C1204">
        <v>56187</v>
      </c>
      <c r="D1204" s="5">
        <v>6.37</v>
      </c>
      <c r="F1204" s="8">
        <v>100</v>
      </c>
      <c r="G1204" s="8">
        <v>100</v>
      </c>
      <c r="H1204" s="2">
        <f t="shared" si="58"/>
        <v>981257</v>
      </c>
      <c r="I1204" s="12">
        <f t="shared" si="56"/>
        <v>0.2341125</v>
      </c>
      <c r="J1204" s="12">
        <f t="shared" si="57"/>
        <v>0.24050416666666666</v>
      </c>
    </row>
    <row r="1205" spans="1:10" ht="15" customHeight="1">
      <c r="A1205" s="7">
        <v>43939</v>
      </c>
      <c r="B1205" s="10">
        <v>18</v>
      </c>
      <c r="C1205">
        <v>52768</v>
      </c>
      <c r="D1205" s="5">
        <v>6.24</v>
      </c>
      <c r="F1205" s="8">
        <v>100</v>
      </c>
      <c r="G1205" s="8">
        <v>100</v>
      </c>
      <c r="H1205" s="2">
        <f t="shared" si="58"/>
        <v>1034025</v>
      </c>
      <c r="I1205" s="12">
        <f t="shared" si="56"/>
        <v>0.21986666666666665</v>
      </c>
      <c r="J1205" s="12">
        <f t="shared" si="57"/>
        <v>0.23935763888888889</v>
      </c>
    </row>
    <row r="1206" spans="1:10" ht="15" customHeight="1">
      <c r="A1206" s="7">
        <v>43940</v>
      </c>
      <c r="B1206" s="10">
        <v>19</v>
      </c>
      <c r="C1206">
        <v>54740</v>
      </c>
      <c r="D1206" s="5">
        <v>6.37</v>
      </c>
      <c r="F1206" s="8">
        <v>100</v>
      </c>
      <c r="G1206" s="8">
        <v>100</v>
      </c>
      <c r="H1206" s="2">
        <f t="shared" si="58"/>
        <v>1088765</v>
      </c>
      <c r="I1206" s="12">
        <f t="shared" si="56"/>
        <v>0.22808333333333333</v>
      </c>
      <c r="J1206" s="12">
        <f t="shared" si="57"/>
        <v>0.23876425438596491</v>
      </c>
    </row>
    <row r="1207" spans="1:10" ht="15" customHeight="1">
      <c r="A1207" s="7">
        <v>43941</v>
      </c>
      <c r="B1207" s="10">
        <v>20</v>
      </c>
      <c r="C1207">
        <v>46715</v>
      </c>
      <c r="D1207" s="5">
        <v>5.04</v>
      </c>
      <c r="F1207" s="8">
        <v>100</v>
      </c>
      <c r="G1207" s="8">
        <v>100</v>
      </c>
      <c r="H1207" s="2">
        <f t="shared" si="58"/>
        <v>1135480</v>
      </c>
      <c r="I1207" s="12">
        <f t="shared" si="56"/>
        <v>0.19464583333333332</v>
      </c>
      <c r="J1207" s="12">
        <f t="shared" si="57"/>
        <v>0.23655833333333334</v>
      </c>
    </row>
    <row r="1208" spans="1:10" ht="15" customHeight="1">
      <c r="A1208" s="7">
        <v>43942</v>
      </c>
      <c r="B1208" s="10">
        <v>21</v>
      </c>
      <c r="C1208">
        <v>62025</v>
      </c>
      <c r="D1208" s="5">
        <v>7.35</v>
      </c>
      <c r="F1208" s="8">
        <v>100</v>
      </c>
      <c r="G1208" s="8">
        <v>100</v>
      </c>
      <c r="H1208" s="2">
        <f t="shared" si="58"/>
        <v>1197505</v>
      </c>
      <c r="I1208" s="12">
        <f t="shared" si="56"/>
        <v>0.25843749999999999</v>
      </c>
      <c r="J1208" s="12">
        <f t="shared" si="57"/>
        <v>0.23760019841269842</v>
      </c>
    </row>
    <row r="1209" spans="1:10" ht="15" customHeight="1">
      <c r="A1209" s="7">
        <v>43943</v>
      </c>
      <c r="B1209" s="10">
        <v>22</v>
      </c>
      <c r="C1209">
        <v>46513</v>
      </c>
      <c r="D1209" s="5">
        <v>5.83</v>
      </c>
      <c r="F1209" s="8">
        <v>100</v>
      </c>
      <c r="G1209" s="8">
        <v>100</v>
      </c>
      <c r="H1209" s="2">
        <f t="shared" si="58"/>
        <v>1244018</v>
      </c>
      <c r="I1209" s="12">
        <f t="shared" si="56"/>
        <v>0.19380416666666667</v>
      </c>
      <c r="J1209" s="12">
        <f t="shared" si="57"/>
        <v>0.23560946969696969</v>
      </c>
    </row>
    <row r="1210" spans="1:10" ht="15" customHeight="1">
      <c r="A1210" s="7">
        <v>43944</v>
      </c>
      <c r="B1210" s="10">
        <v>23</v>
      </c>
      <c r="C1210">
        <v>48882</v>
      </c>
      <c r="D1210" s="5">
        <v>5.37</v>
      </c>
      <c r="F1210" s="8">
        <v>100</v>
      </c>
      <c r="G1210" s="8">
        <v>100</v>
      </c>
      <c r="H1210" s="2">
        <f t="shared" si="58"/>
        <v>1292900</v>
      </c>
      <c r="I1210" s="12">
        <f t="shared" si="56"/>
        <v>0.20367499999999999</v>
      </c>
      <c r="J1210" s="12">
        <f t="shared" si="57"/>
        <v>0.23422101449275362</v>
      </c>
    </row>
    <row r="1211" spans="1:10" ht="15" customHeight="1">
      <c r="A1211" s="7">
        <v>43945</v>
      </c>
      <c r="B1211" s="10">
        <v>24</v>
      </c>
      <c r="C1211">
        <v>48296</v>
      </c>
      <c r="D1211" s="5">
        <v>6.02</v>
      </c>
      <c r="F1211" s="8">
        <v>100</v>
      </c>
      <c r="G1211" s="8">
        <v>100</v>
      </c>
      <c r="H1211" s="2">
        <f t="shared" si="58"/>
        <v>1341196</v>
      </c>
      <c r="I1211" s="12">
        <f t="shared" si="56"/>
        <v>0.20123333333333332</v>
      </c>
      <c r="J1211" s="12">
        <f t="shared" si="57"/>
        <v>0.23284652777777778</v>
      </c>
    </row>
    <row r="1212" spans="1:10" ht="15" customHeight="1">
      <c r="A1212" s="7">
        <v>43946</v>
      </c>
      <c r="B1212" s="10">
        <v>25</v>
      </c>
      <c r="C1212">
        <v>55068</v>
      </c>
      <c r="D1212" s="5">
        <v>7.1</v>
      </c>
      <c r="F1212" s="8">
        <v>92.440208925135153</v>
      </c>
      <c r="G1212" s="8">
        <v>100</v>
      </c>
      <c r="H1212" s="2">
        <f t="shared" si="58"/>
        <v>1396264</v>
      </c>
      <c r="I1212" s="12">
        <f t="shared" si="56"/>
        <v>0.22944999999999999</v>
      </c>
      <c r="J1212" s="12">
        <f t="shared" si="57"/>
        <v>0.23271066666666668</v>
      </c>
    </row>
    <row r="1213" spans="1:10" ht="15" customHeight="1">
      <c r="A1213" s="7">
        <v>43947</v>
      </c>
      <c r="B1213" s="10">
        <v>26</v>
      </c>
      <c r="C1213">
        <v>54630</v>
      </c>
      <c r="D1213" s="5">
        <v>6.79</v>
      </c>
      <c r="F1213" s="8">
        <v>100</v>
      </c>
      <c r="G1213" s="8">
        <v>100</v>
      </c>
      <c r="H1213" s="2">
        <f t="shared" si="58"/>
        <v>1450894</v>
      </c>
      <c r="I1213" s="12">
        <f t="shared" si="56"/>
        <v>0.22762499999999999</v>
      </c>
      <c r="J1213" s="12">
        <f t="shared" si="57"/>
        <v>0.23251506410256409</v>
      </c>
    </row>
    <row r="1214" spans="1:10" ht="15" customHeight="1">
      <c r="A1214" s="7">
        <v>43948</v>
      </c>
      <c r="B1214" s="10">
        <v>27</v>
      </c>
      <c r="C1214">
        <v>59230</v>
      </c>
      <c r="D1214" s="5">
        <v>7.26</v>
      </c>
      <c r="F1214" s="8">
        <v>100</v>
      </c>
      <c r="G1214" s="8">
        <v>100</v>
      </c>
      <c r="H1214" s="2">
        <f t="shared" si="58"/>
        <v>1510124</v>
      </c>
      <c r="I1214" s="12">
        <f t="shared" si="56"/>
        <v>0.24679166666666666</v>
      </c>
      <c r="J1214" s="12">
        <f t="shared" si="57"/>
        <v>0.23304382716049382</v>
      </c>
    </row>
    <row r="1215" spans="1:10" ht="15" customHeight="1">
      <c r="A1215" s="7">
        <v>43949</v>
      </c>
      <c r="B1215" s="10">
        <v>28</v>
      </c>
      <c r="C1215">
        <v>59396</v>
      </c>
      <c r="D1215" s="5">
        <v>7.3</v>
      </c>
      <c r="F1215" s="8">
        <v>100</v>
      </c>
      <c r="G1215" s="8">
        <v>100</v>
      </c>
      <c r="H1215" s="2">
        <f t="shared" si="58"/>
        <v>1569520</v>
      </c>
      <c r="I1215" s="12">
        <f t="shared" si="56"/>
        <v>0.24748333333333333</v>
      </c>
      <c r="J1215" s="12">
        <f t="shared" si="57"/>
        <v>0.2335595238095238</v>
      </c>
    </row>
    <row r="1216" spans="1:10" ht="15" customHeight="1">
      <c r="A1216" s="7">
        <v>43950</v>
      </c>
      <c r="B1216" s="10">
        <v>29</v>
      </c>
      <c r="C1216">
        <v>58647</v>
      </c>
      <c r="D1216" s="5">
        <v>7.29</v>
      </c>
      <c r="F1216" s="8">
        <v>100</v>
      </c>
      <c r="G1216" s="8">
        <v>100</v>
      </c>
      <c r="H1216" s="2">
        <f t="shared" si="58"/>
        <v>1628167</v>
      </c>
      <c r="I1216" s="12">
        <f t="shared" si="56"/>
        <v>0.24436250000000001</v>
      </c>
      <c r="J1216" s="12">
        <f t="shared" si="57"/>
        <v>0.23393204022988506</v>
      </c>
    </row>
    <row r="1217" spans="1:10" ht="15" customHeight="1">
      <c r="A1217" s="7">
        <v>43951</v>
      </c>
      <c r="B1217" s="10">
        <v>30</v>
      </c>
      <c r="C1217">
        <v>53805</v>
      </c>
      <c r="D1217" s="5">
        <v>6.7</v>
      </c>
      <c r="F1217" s="8">
        <v>100</v>
      </c>
      <c r="G1217" s="8">
        <v>100</v>
      </c>
      <c r="H1217" s="2">
        <f t="shared" si="58"/>
        <v>1681972</v>
      </c>
      <c r="I1217" s="12">
        <f t="shared" si="56"/>
        <v>0.22418750000000001</v>
      </c>
      <c r="J1217" s="12">
        <f t="shared" si="57"/>
        <v>0.23360722222222222</v>
      </c>
    </row>
    <row r="1218" spans="1:10" ht="15" customHeight="1">
      <c r="A1218" s="7">
        <v>43952</v>
      </c>
      <c r="B1218" s="10">
        <v>31</v>
      </c>
      <c r="C1218">
        <v>61636</v>
      </c>
      <c r="D1218" s="5">
        <v>7.75</v>
      </c>
      <c r="F1218" s="8">
        <v>100</v>
      </c>
      <c r="G1218" s="8">
        <v>100</v>
      </c>
      <c r="H1218" s="2">
        <f t="shared" si="58"/>
        <v>1743608</v>
      </c>
      <c r="I1218" s="12">
        <f t="shared" si="56"/>
        <v>0.25681666666666669</v>
      </c>
      <c r="J1218" s="12">
        <f t="shared" si="57"/>
        <v>0.23435591397849462</v>
      </c>
    </row>
    <row r="1219" spans="1:10" ht="15" customHeight="1">
      <c r="A1219" s="7">
        <v>43953</v>
      </c>
      <c r="B1219" s="10">
        <v>32</v>
      </c>
      <c r="C1219">
        <v>61447</v>
      </c>
      <c r="D1219" s="5">
        <v>7.66</v>
      </c>
      <c r="F1219" s="8">
        <v>100</v>
      </c>
      <c r="G1219" s="8">
        <v>100</v>
      </c>
      <c r="H1219" s="2">
        <f t="shared" si="58"/>
        <v>1805055</v>
      </c>
      <c r="I1219" s="12">
        <f t="shared" ref="I1219:I1282" si="59">C1219/(10*24*1000)</f>
        <v>0.25602916666666664</v>
      </c>
      <c r="J1219" s="12">
        <f t="shared" si="57"/>
        <v>0.23503320312500001</v>
      </c>
    </row>
    <row r="1220" spans="1:10" ht="15" customHeight="1">
      <c r="A1220" s="7">
        <v>43954</v>
      </c>
      <c r="B1220" s="10">
        <v>33</v>
      </c>
      <c r="C1220">
        <v>48768</v>
      </c>
      <c r="D1220" s="5">
        <v>5.91</v>
      </c>
      <c r="F1220" s="8">
        <v>100</v>
      </c>
      <c r="G1220" s="8">
        <v>100</v>
      </c>
      <c r="H1220" s="2">
        <f t="shared" si="58"/>
        <v>1853823</v>
      </c>
      <c r="I1220" s="12">
        <f t="shared" si="59"/>
        <v>0.20319999999999999</v>
      </c>
      <c r="J1220" s="12">
        <f t="shared" ref="J1220:J1283" si="60">H1220/(24*B1220*10*1000)</f>
        <v>0.2340685606060606</v>
      </c>
    </row>
    <row r="1221" spans="1:10" ht="15" customHeight="1">
      <c r="A1221" s="7">
        <v>43955</v>
      </c>
      <c r="B1221" s="10">
        <v>34</v>
      </c>
      <c r="C1221">
        <v>33915</v>
      </c>
      <c r="D1221" s="5">
        <v>4</v>
      </c>
      <c r="F1221" s="8">
        <v>100</v>
      </c>
      <c r="G1221" s="8">
        <v>100</v>
      </c>
      <c r="H1221" s="2">
        <f t="shared" si="58"/>
        <v>1887738</v>
      </c>
      <c r="I1221" s="12">
        <f t="shared" si="59"/>
        <v>0.14131250000000001</v>
      </c>
      <c r="J1221" s="12">
        <f t="shared" si="60"/>
        <v>0.2313404411764706</v>
      </c>
    </row>
    <row r="1222" spans="1:10" ht="15" customHeight="1">
      <c r="A1222" s="7">
        <v>43956</v>
      </c>
      <c r="B1222" s="10">
        <v>35</v>
      </c>
      <c r="C1222">
        <v>55380</v>
      </c>
      <c r="D1222" s="5">
        <v>6.92</v>
      </c>
      <c r="F1222" s="8">
        <v>100</v>
      </c>
      <c r="G1222" s="8">
        <v>100</v>
      </c>
      <c r="H1222" s="2">
        <f t="shared" si="58"/>
        <v>1943118</v>
      </c>
      <c r="I1222" s="12">
        <f t="shared" si="59"/>
        <v>0.23075000000000001</v>
      </c>
      <c r="J1222" s="12">
        <f t="shared" si="60"/>
        <v>0.23132357142857143</v>
      </c>
    </row>
    <row r="1223" spans="1:10" ht="15" customHeight="1">
      <c r="A1223" s="7">
        <v>43957</v>
      </c>
      <c r="B1223" s="10">
        <v>36</v>
      </c>
      <c r="C1223">
        <v>47699</v>
      </c>
      <c r="D1223" s="5">
        <v>5.91</v>
      </c>
      <c r="F1223" s="8">
        <v>100</v>
      </c>
      <c r="G1223" s="8">
        <v>100</v>
      </c>
      <c r="H1223" s="2">
        <f t="shared" si="58"/>
        <v>1990817</v>
      </c>
      <c r="I1223" s="12">
        <f t="shared" si="59"/>
        <v>0.19874583333333334</v>
      </c>
      <c r="J1223" s="12">
        <f t="shared" si="60"/>
        <v>0.23041863425925926</v>
      </c>
    </row>
    <row r="1224" spans="1:10" ht="15" customHeight="1">
      <c r="A1224" s="7">
        <v>43958</v>
      </c>
      <c r="B1224" s="10">
        <v>37</v>
      </c>
      <c r="C1224">
        <v>59546</v>
      </c>
      <c r="D1224" s="5">
        <v>7.55</v>
      </c>
      <c r="F1224" s="8">
        <v>100</v>
      </c>
      <c r="G1224" s="8">
        <v>100</v>
      </c>
      <c r="H1224" s="2">
        <f t="shared" si="58"/>
        <v>2050363</v>
      </c>
      <c r="I1224" s="12">
        <f t="shared" si="59"/>
        <v>0.24810833333333332</v>
      </c>
      <c r="J1224" s="12">
        <f t="shared" si="60"/>
        <v>0.23089673423423424</v>
      </c>
    </row>
    <row r="1225" spans="1:10" ht="15" customHeight="1">
      <c r="A1225" s="7">
        <v>43959</v>
      </c>
      <c r="B1225" s="10">
        <v>38</v>
      </c>
      <c r="C1225">
        <v>61568</v>
      </c>
      <c r="D1225" s="5">
        <v>7.76</v>
      </c>
      <c r="F1225" s="8">
        <v>100</v>
      </c>
      <c r="G1225" s="8">
        <v>100</v>
      </c>
      <c r="H1225" s="2">
        <f t="shared" si="58"/>
        <v>2111931</v>
      </c>
      <c r="I1225" s="12">
        <f t="shared" si="59"/>
        <v>0.25653333333333334</v>
      </c>
      <c r="J1225" s="12">
        <f t="shared" si="60"/>
        <v>0.23157138157894736</v>
      </c>
    </row>
    <row r="1226" spans="1:10" ht="15" customHeight="1">
      <c r="A1226" s="7">
        <v>43960</v>
      </c>
      <c r="B1226" s="10">
        <v>39</v>
      </c>
      <c r="C1226">
        <v>60612</v>
      </c>
      <c r="D1226" s="5">
        <v>7.53</v>
      </c>
      <c r="F1226" s="8">
        <v>100</v>
      </c>
      <c r="G1226" s="8">
        <v>100</v>
      </c>
      <c r="H1226" s="2">
        <f t="shared" si="58"/>
        <v>2172543</v>
      </c>
      <c r="I1226" s="12">
        <f t="shared" si="59"/>
        <v>0.25255</v>
      </c>
      <c r="J1226" s="12">
        <f t="shared" si="60"/>
        <v>0.23210929487179488</v>
      </c>
    </row>
    <row r="1227" spans="1:10" ht="15" customHeight="1">
      <c r="A1227" s="7">
        <v>43961</v>
      </c>
      <c r="B1227" s="10">
        <v>40</v>
      </c>
      <c r="C1227">
        <v>60448</v>
      </c>
      <c r="D1227" s="5">
        <v>7.51</v>
      </c>
      <c r="F1227" s="8">
        <v>100</v>
      </c>
      <c r="G1227" s="8">
        <v>100</v>
      </c>
      <c r="H1227" s="2">
        <f t="shared" si="58"/>
        <v>2232991</v>
      </c>
      <c r="I1227" s="12">
        <f t="shared" si="59"/>
        <v>0.25186666666666668</v>
      </c>
      <c r="J1227" s="12">
        <f t="shared" si="60"/>
        <v>0.23260322916666668</v>
      </c>
    </row>
    <row r="1228" spans="1:10" ht="15" customHeight="1">
      <c r="A1228" s="7">
        <v>43962</v>
      </c>
      <c r="B1228" s="10">
        <v>41</v>
      </c>
      <c r="C1228">
        <v>55825</v>
      </c>
      <c r="D1228" s="5">
        <v>7.06</v>
      </c>
      <c r="F1228" s="8">
        <v>100</v>
      </c>
      <c r="G1228" s="8">
        <v>100</v>
      </c>
      <c r="H1228" s="2">
        <f t="shared" si="58"/>
        <v>2288816</v>
      </c>
      <c r="I1228" s="12">
        <f t="shared" si="59"/>
        <v>0.23260416666666667</v>
      </c>
      <c r="J1228" s="12">
        <f t="shared" si="60"/>
        <v>0.23260325203252033</v>
      </c>
    </row>
    <row r="1229" spans="1:10" ht="15" customHeight="1">
      <c r="A1229" s="7">
        <v>43963</v>
      </c>
      <c r="B1229" s="10">
        <v>42</v>
      </c>
      <c r="C1229">
        <v>58928</v>
      </c>
      <c r="D1229" s="5">
        <v>7.21</v>
      </c>
      <c r="F1229" s="8">
        <v>100</v>
      </c>
      <c r="G1229" s="8">
        <v>100</v>
      </c>
      <c r="H1229" s="2">
        <f t="shared" si="58"/>
        <v>2347744</v>
      </c>
      <c r="I1229" s="12">
        <f t="shared" si="59"/>
        <v>0.24553333333333333</v>
      </c>
      <c r="J1229" s="12">
        <f t="shared" si="60"/>
        <v>0.23291111111111112</v>
      </c>
    </row>
    <row r="1230" spans="1:10" ht="15" customHeight="1">
      <c r="A1230" s="7">
        <v>43964</v>
      </c>
      <c r="B1230" s="10">
        <v>43</v>
      </c>
      <c r="C1230">
        <v>56752</v>
      </c>
      <c r="D1230" s="5">
        <v>6.89</v>
      </c>
      <c r="F1230" s="8">
        <v>100</v>
      </c>
      <c r="G1230" s="8">
        <v>100</v>
      </c>
      <c r="H1230" s="2">
        <f t="shared" si="58"/>
        <v>2404496</v>
      </c>
      <c r="I1230" s="12">
        <f t="shared" si="59"/>
        <v>0.23646666666666666</v>
      </c>
      <c r="J1230" s="12">
        <f t="shared" si="60"/>
        <v>0.2329937984496124</v>
      </c>
    </row>
    <row r="1231" spans="1:10" ht="15" customHeight="1">
      <c r="A1231" s="7">
        <v>43965</v>
      </c>
      <c r="B1231" s="10">
        <v>44</v>
      </c>
      <c r="C1231">
        <v>56712</v>
      </c>
      <c r="D1231" s="5">
        <v>7.02</v>
      </c>
      <c r="F1231" s="8">
        <v>100</v>
      </c>
      <c r="G1231" s="8">
        <v>100</v>
      </c>
      <c r="H1231" s="2">
        <f t="shared" si="58"/>
        <v>2461208</v>
      </c>
      <c r="I1231" s="12">
        <f t="shared" si="59"/>
        <v>0.23630000000000001</v>
      </c>
      <c r="J1231" s="12">
        <f t="shared" si="60"/>
        <v>0.23306893939393938</v>
      </c>
    </row>
    <row r="1232" spans="1:10" ht="15" customHeight="1">
      <c r="A1232" s="7">
        <v>43966</v>
      </c>
      <c r="B1232" s="10">
        <v>45</v>
      </c>
      <c r="C1232">
        <v>59224</v>
      </c>
      <c r="D1232" s="5">
        <v>7.3</v>
      </c>
      <c r="F1232" s="8">
        <v>100</v>
      </c>
      <c r="G1232" s="8">
        <v>100</v>
      </c>
      <c r="H1232" s="2">
        <f t="shared" si="58"/>
        <v>2520432</v>
      </c>
      <c r="I1232" s="12">
        <f t="shared" si="59"/>
        <v>0.24676666666666666</v>
      </c>
      <c r="J1232" s="12">
        <f t="shared" si="60"/>
        <v>0.23337333333333332</v>
      </c>
    </row>
    <row r="1233" spans="1:10" ht="15" customHeight="1">
      <c r="A1233" s="7">
        <v>43967</v>
      </c>
      <c r="B1233" s="10">
        <v>46</v>
      </c>
      <c r="C1233">
        <v>56178</v>
      </c>
      <c r="D1233" s="5">
        <v>7.12</v>
      </c>
      <c r="F1233" s="8">
        <v>100</v>
      </c>
      <c r="G1233" s="8">
        <v>100</v>
      </c>
      <c r="H1233" s="2">
        <f t="shared" si="58"/>
        <v>2576610</v>
      </c>
      <c r="I1233" s="12">
        <f t="shared" si="59"/>
        <v>0.23407500000000001</v>
      </c>
      <c r="J1233" s="12">
        <f t="shared" si="60"/>
        <v>0.23338858695652173</v>
      </c>
    </row>
    <row r="1234" spans="1:10" ht="15" customHeight="1">
      <c r="A1234" s="7">
        <v>43968</v>
      </c>
      <c r="B1234" s="10">
        <v>47</v>
      </c>
      <c r="C1234">
        <v>59652</v>
      </c>
      <c r="D1234" s="5">
        <v>7.63</v>
      </c>
      <c r="F1234" s="8">
        <v>100</v>
      </c>
      <c r="G1234" s="8">
        <v>100</v>
      </c>
      <c r="H1234" s="2">
        <f t="shared" si="58"/>
        <v>2636262</v>
      </c>
      <c r="I1234" s="12">
        <f t="shared" si="59"/>
        <v>0.24854999999999999</v>
      </c>
      <c r="J1234" s="12">
        <f t="shared" si="60"/>
        <v>0.23371117021276597</v>
      </c>
    </row>
    <row r="1235" spans="1:10" ht="15" customHeight="1">
      <c r="A1235" s="7">
        <v>43969</v>
      </c>
      <c r="B1235" s="10">
        <v>48</v>
      </c>
      <c r="C1235">
        <v>61751</v>
      </c>
      <c r="D1235" s="5">
        <v>7.87</v>
      </c>
      <c r="F1235" s="8">
        <v>100</v>
      </c>
      <c r="G1235" s="8">
        <v>100</v>
      </c>
      <c r="H1235" s="2">
        <f t="shared" si="58"/>
        <v>2698013</v>
      </c>
      <c r="I1235" s="12">
        <f t="shared" si="59"/>
        <v>0.25729583333333333</v>
      </c>
      <c r="J1235" s="12">
        <f t="shared" si="60"/>
        <v>0.23420251736111111</v>
      </c>
    </row>
    <row r="1236" spans="1:10" ht="15" customHeight="1">
      <c r="A1236" s="7">
        <v>43970</v>
      </c>
      <c r="B1236" s="10">
        <v>49</v>
      </c>
      <c r="C1236">
        <v>60629</v>
      </c>
      <c r="D1236" s="5">
        <v>7.8</v>
      </c>
      <c r="F1236" s="8">
        <v>100</v>
      </c>
      <c r="G1236" s="8">
        <v>100</v>
      </c>
      <c r="H1236" s="2">
        <f t="shared" si="58"/>
        <v>2758642</v>
      </c>
      <c r="I1236" s="12">
        <f t="shared" si="59"/>
        <v>0.25262083333333335</v>
      </c>
      <c r="J1236" s="12">
        <f t="shared" si="60"/>
        <v>0.23457840136054423</v>
      </c>
    </row>
    <row r="1237" spans="1:10" ht="15" customHeight="1">
      <c r="A1237" s="7">
        <v>43971</v>
      </c>
      <c r="B1237" s="10">
        <v>50</v>
      </c>
      <c r="C1237">
        <v>61042</v>
      </c>
      <c r="D1237" s="5">
        <v>7.92</v>
      </c>
      <c r="F1237" s="8">
        <v>100</v>
      </c>
      <c r="G1237" s="8">
        <v>100</v>
      </c>
      <c r="H1237" s="2">
        <f t="shared" si="58"/>
        <v>2819684</v>
      </c>
      <c r="I1237" s="12">
        <f t="shared" si="59"/>
        <v>0.25434166666666669</v>
      </c>
      <c r="J1237" s="12">
        <f t="shared" si="60"/>
        <v>0.23497366666666666</v>
      </c>
    </row>
    <row r="1238" spans="1:10" ht="15" customHeight="1">
      <c r="A1238" s="7">
        <v>43972</v>
      </c>
      <c r="B1238" s="10">
        <v>51</v>
      </c>
      <c r="C1238">
        <v>59872</v>
      </c>
      <c r="D1238" s="5">
        <v>7.82</v>
      </c>
      <c r="F1238" s="8">
        <v>100</v>
      </c>
      <c r="G1238" s="8">
        <v>100</v>
      </c>
      <c r="H1238" s="2">
        <f t="shared" si="58"/>
        <v>2879556</v>
      </c>
      <c r="I1238" s="12">
        <f t="shared" si="59"/>
        <v>0.24946666666666667</v>
      </c>
      <c r="J1238" s="12">
        <f t="shared" si="60"/>
        <v>0.2352578431372549</v>
      </c>
    </row>
    <row r="1239" spans="1:10" ht="15" customHeight="1">
      <c r="A1239" s="7">
        <v>43973</v>
      </c>
      <c r="B1239" s="10">
        <v>52</v>
      </c>
      <c r="C1239">
        <v>58674</v>
      </c>
      <c r="D1239" s="5">
        <v>7.71</v>
      </c>
      <c r="F1239" s="8">
        <v>100</v>
      </c>
      <c r="G1239" s="8">
        <v>100</v>
      </c>
      <c r="H1239" s="2">
        <f t="shared" si="58"/>
        <v>2938230</v>
      </c>
      <c r="I1239" s="12">
        <f t="shared" si="59"/>
        <v>0.244475</v>
      </c>
      <c r="J1239" s="12">
        <f t="shared" si="60"/>
        <v>0.23543509615384614</v>
      </c>
    </row>
    <row r="1240" spans="1:10" ht="15" customHeight="1">
      <c r="A1240" s="7">
        <v>43974</v>
      </c>
      <c r="B1240" s="10">
        <v>53</v>
      </c>
      <c r="C1240">
        <v>56520</v>
      </c>
      <c r="D1240" s="5">
        <v>7.4</v>
      </c>
      <c r="F1240" s="8">
        <v>100</v>
      </c>
      <c r="G1240" s="8">
        <v>100</v>
      </c>
      <c r="H1240" s="2">
        <f t="shared" si="58"/>
        <v>2994750</v>
      </c>
      <c r="I1240" s="12">
        <f t="shared" si="59"/>
        <v>0.23549999999999999</v>
      </c>
      <c r="J1240" s="12">
        <f t="shared" si="60"/>
        <v>0.23543632075471699</v>
      </c>
    </row>
    <row r="1241" spans="1:10" ht="15" customHeight="1">
      <c r="A1241" s="7">
        <v>43975</v>
      </c>
      <c r="B1241" s="10">
        <v>54</v>
      </c>
      <c r="C1241">
        <v>58091</v>
      </c>
      <c r="D1241" s="5">
        <v>7.53</v>
      </c>
      <c r="F1241" s="8">
        <v>100</v>
      </c>
      <c r="G1241" s="8">
        <v>100</v>
      </c>
      <c r="H1241" s="2">
        <f t="shared" si="58"/>
        <v>3052841</v>
      </c>
      <c r="I1241" s="12">
        <f t="shared" si="59"/>
        <v>0.24204583333333332</v>
      </c>
      <c r="J1241" s="12">
        <f t="shared" si="60"/>
        <v>0.23555871913580248</v>
      </c>
    </row>
    <row r="1242" spans="1:10" ht="15" customHeight="1">
      <c r="A1242" s="7">
        <v>43976</v>
      </c>
      <c r="B1242" s="10">
        <v>55</v>
      </c>
      <c r="C1242">
        <v>58741</v>
      </c>
      <c r="D1242" s="5">
        <v>7.67</v>
      </c>
      <c r="F1242" s="8">
        <v>100</v>
      </c>
      <c r="G1242" s="8">
        <v>100</v>
      </c>
      <c r="H1242" s="2">
        <f t="shared" si="58"/>
        <v>3111582</v>
      </c>
      <c r="I1242" s="12">
        <f t="shared" si="59"/>
        <v>0.24475416666666666</v>
      </c>
      <c r="J1242" s="12">
        <f t="shared" si="60"/>
        <v>0.2357259090909091</v>
      </c>
    </row>
    <row r="1243" spans="1:10" ht="15" customHeight="1">
      <c r="A1243" s="7">
        <v>43977</v>
      </c>
      <c r="B1243" s="10">
        <v>56</v>
      </c>
      <c r="C1243">
        <v>60455</v>
      </c>
      <c r="D1243" s="5">
        <v>7.87</v>
      </c>
      <c r="F1243" s="8">
        <v>100</v>
      </c>
      <c r="G1243" s="8">
        <v>100</v>
      </c>
      <c r="H1243" s="2">
        <f t="shared" si="58"/>
        <v>3172037</v>
      </c>
      <c r="I1243" s="12">
        <f t="shared" si="59"/>
        <v>0.25189583333333332</v>
      </c>
      <c r="J1243" s="12">
        <f t="shared" si="60"/>
        <v>0.23601465773809524</v>
      </c>
    </row>
    <row r="1244" spans="1:10" ht="15" customHeight="1">
      <c r="A1244" s="7">
        <v>43978</v>
      </c>
      <c r="B1244" s="10">
        <v>57</v>
      </c>
      <c r="C1244">
        <v>60161</v>
      </c>
      <c r="D1244" s="5">
        <v>7.78</v>
      </c>
      <c r="F1244" s="8">
        <v>100</v>
      </c>
      <c r="G1244" s="8">
        <v>100</v>
      </c>
      <c r="H1244" s="2">
        <f t="shared" si="58"/>
        <v>3232198</v>
      </c>
      <c r="I1244" s="12">
        <f t="shared" si="59"/>
        <v>0.25067083333333334</v>
      </c>
      <c r="J1244" s="12">
        <f t="shared" si="60"/>
        <v>0.23627178362573101</v>
      </c>
    </row>
    <row r="1245" spans="1:10" ht="15" customHeight="1">
      <c r="A1245" s="7">
        <v>43979</v>
      </c>
      <c r="B1245" s="10">
        <v>58</v>
      </c>
      <c r="C1245">
        <v>58555</v>
      </c>
      <c r="D1245" s="5">
        <v>7.47</v>
      </c>
      <c r="F1245" s="8">
        <v>100</v>
      </c>
      <c r="G1245" s="8">
        <v>100</v>
      </c>
      <c r="H1245" s="2">
        <f t="shared" si="58"/>
        <v>3290753</v>
      </c>
      <c r="I1245" s="12">
        <f t="shared" si="59"/>
        <v>0.24397916666666666</v>
      </c>
      <c r="J1245" s="12">
        <f t="shared" si="60"/>
        <v>0.23640466954022987</v>
      </c>
    </row>
    <row r="1246" spans="1:10" ht="15" customHeight="1">
      <c r="A1246" s="7">
        <v>43980</v>
      </c>
      <c r="B1246" s="10">
        <v>59</v>
      </c>
      <c r="C1246">
        <v>52778</v>
      </c>
      <c r="D1246" s="5">
        <v>6.57</v>
      </c>
      <c r="F1246" s="8">
        <v>100</v>
      </c>
      <c r="G1246" s="8">
        <v>100</v>
      </c>
      <c r="H1246" s="2">
        <f t="shared" si="58"/>
        <v>3343531</v>
      </c>
      <c r="I1246" s="12">
        <f t="shared" si="59"/>
        <v>0.21990833333333334</v>
      </c>
      <c r="J1246" s="12">
        <f t="shared" si="60"/>
        <v>0.23612507062146892</v>
      </c>
    </row>
    <row r="1247" spans="1:10" ht="15" customHeight="1">
      <c r="A1247" s="7">
        <v>43981</v>
      </c>
      <c r="B1247" s="10">
        <v>60</v>
      </c>
      <c r="C1247">
        <v>57269</v>
      </c>
      <c r="D1247" s="5">
        <v>7.15</v>
      </c>
      <c r="F1247" s="8">
        <v>100</v>
      </c>
      <c r="G1247" s="8">
        <v>100</v>
      </c>
      <c r="H1247" s="2">
        <f t="shared" si="58"/>
        <v>3400800</v>
      </c>
      <c r="I1247" s="12">
        <f t="shared" si="59"/>
        <v>0.23862083333333334</v>
      </c>
      <c r="J1247" s="12">
        <f t="shared" si="60"/>
        <v>0.23616666666666666</v>
      </c>
    </row>
    <row r="1248" spans="1:10" ht="15" customHeight="1">
      <c r="A1248" s="7">
        <v>43982</v>
      </c>
      <c r="B1248" s="10">
        <v>61</v>
      </c>
      <c r="C1248">
        <v>56496</v>
      </c>
      <c r="D1248" s="5">
        <v>7.09</v>
      </c>
      <c r="F1248" s="8">
        <v>100</v>
      </c>
      <c r="G1248" s="8">
        <v>100</v>
      </c>
      <c r="H1248" s="2">
        <f t="shared" si="58"/>
        <v>3457296</v>
      </c>
      <c r="I1248" s="12">
        <f t="shared" si="59"/>
        <v>0.2354</v>
      </c>
      <c r="J1248" s="12">
        <f t="shared" si="60"/>
        <v>0.23615409836065573</v>
      </c>
    </row>
    <row r="1249" spans="1:10" ht="15" customHeight="1">
      <c r="A1249" s="7">
        <v>43983</v>
      </c>
      <c r="B1249" s="10">
        <v>62</v>
      </c>
      <c r="C1249">
        <v>60285</v>
      </c>
      <c r="D1249" s="5">
        <v>7.68</v>
      </c>
      <c r="F1249" s="8">
        <v>100</v>
      </c>
      <c r="G1249" s="8">
        <v>100</v>
      </c>
      <c r="H1249" s="2">
        <f t="shared" si="58"/>
        <v>3517581</v>
      </c>
      <c r="I1249" s="12">
        <f t="shared" si="59"/>
        <v>0.25118750000000001</v>
      </c>
      <c r="J1249" s="12">
        <f t="shared" si="60"/>
        <v>0.23639657258064517</v>
      </c>
    </row>
    <row r="1250" spans="1:10" ht="15" customHeight="1">
      <c r="A1250" s="7">
        <v>43984</v>
      </c>
      <c r="B1250" s="10">
        <v>63</v>
      </c>
      <c r="C1250">
        <v>62532</v>
      </c>
      <c r="D1250" s="5">
        <v>7.83</v>
      </c>
      <c r="F1250" s="8">
        <v>100</v>
      </c>
      <c r="G1250" s="8">
        <v>100</v>
      </c>
      <c r="H1250" s="2">
        <f t="shared" si="58"/>
        <v>3580113</v>
      </c>
      <c r="I1250" s="12">
        <f t="shared" si="59"/>
        <v>0.26055</v>
      </c>
      <c r="J1250" s="12">
        <f t="shared" si="60"/>
        <v>0.23677996031746032</v>
      </c>
    </row>
    <row r="1251" spans="1:10" ht="15" customHeight="1">
      <c r="A1251" s="7">
        <v>43985</v>
      </c>
      <c r="B1251" s="10">
        <v>64</v>
      </c>
      <c r="C1251">
        <v>52257</v>
      </c>
      <c r="D1251" s="5">
        <v>6.59</v>
      </c>
      <c r="F1251" s="8">
        <v>100</v>
      </c>
      <c r="G1251" s="8">
        <v>100</v>
      </c>
      <c r="H1251" s="2">
        <f t="shared" si="58"/>
        <v>3632370</v>
      </c>
      <c r="I1251" s="12">
        <f t="shared" si="59"/>
        <v>0.2177375</v>
      </c>
      <c r="J1251" s="12">
        <f t="shared" si="60"/>
        <v>0.23648242187499999</v>
      </c>
    </row>
    <row r="1252" spans="1:10" ht="15" customHeight="1">
      <c r="A1252" s="7">
        <v>43986</v>
      </c>
      <c r="B1252" s="10">
        <v>65</v>
      </c>
      <c r="C1252">
        <v>55551</v>
      </c>
      <c r="D1252" s="5">
        <v>6.95</v>
      </c>
      <c r="F1252" s="8">
        <v>100</v>
      </c>
      <c r="G1252" s="8">
        <v>100</v>
      </c>
      <c r="H1252" s="2">
        <f t="shared" si="58"/>
        <v>3687921</v>
      </c>
      <c r="I1252" s="12">
        <f t="shared" si="59"/>
        <v>0.23146249999999999</v>
      </c>
      <c r="J1252" s="12">
        <f t="shared" si="60"/>
        <v>0.2364051923076923</v>
      </c>
    </row>
    <row r="1253" spans="1:10" ht="15" customHeight="1">
      <c r="A1253" s="7">
        <v>43987</v>
      </c>
      <c r="B1253" s="10">
        <v>66</v>
      </c>
      <c r="C1253">
        <v>36089</v>
      </c>
      <c r="D1253" s="5">
        <v>4.18</v>
      </c>
      <c r="F1253" s="8">
        <v>100</v>
      </c>
      <c r="G1253" s="8">
        <v>100</v>
      </c>
      <c r="H1253" s="2">
        <f t="shared" ref="H1253:H1316" si="61">H1252+C1253</f>
        <v>3724010</v>
      </c>
      <c r="I1253" s="12">
        <f t="shared" si="59"/>
        <v>0.15037083333333334</v>
      </c>
      <c r="J1253" s="12">
        <f t="shared" si="60"/>
        <v>0.23510164141414142</v>
      </c>
    </row>
    <row r="1254" spans="1:10" ht="15" customHeight="1">
      <c r="A1254" s="7">
        <v>43988</v>
      </c>
      <c r="B1254" s="10">
        <v>67</v>
      </c>
      <c r="C1254">
        <v>59325</v>
      </c>
      <c r="D1254" s="5">
        <v>7.42</v>
      </c>
      <c r="F1254" s="8">
        <v>100</v>
      </c>
      <c r="G1254" s="8">
        <v>100</v>
      </c>
      <c r="H1254" s="2">
        <f t="shared" si="61"/>
        <v>3783335</v>
      </c>
      <c r="I1254" s="12">
        <f t="shared" si="59"/>
        <v>0.2471875</v>
      </c>
      <c r="J1254" s="12">
        <f t="shared" si="60"/>
        <v>0.23528202736318407</v>
      </c>
    </row>
    <row r="1255" spans="1:10" ht="15" customHeight="1">
      <c r="A1255" s="7">
        <v>43989</v>
      </c>
      <c r="B1255" s="10">
        <v>68</v>
      </c>
      <c r="C1255">
        <v>55374</v>
      </c>
      <c r="D1255" s="5">
        <v>7.27</v>
      </c>
      <c r="F1255" s="8">
        <v>100</v>
      </c>
      <c r="G1255" s="8">
        <v>100</v>
      </c>
      <c r="H1255" s="2">
        <f t="shared" si="61"/>
        <v>3838709</v>
      </c>
      <c r="I1255" s="12">
        <f t="shared" si="59"/>
        <v>0.23072500000000001</v>
      </c>
      <c r="J1255" s="12">
        <f t="shared" si="60"/>
        <v>0.23521501225490196</v>
      </c>
    </row>
    <row r="1256" spans="1:10" ht="15" customHeight="1">
      <c r="A1256" s="7">
        <v>43990</v>
      </c>
      <c r="B1256" s="10">
        <v>69</v>
      </c>
      <c r="C1256">
        <v>57267</v>
      </c>
      <c r="D1256" s="5">
        <v>7.49</v>
      </c>
      <c r="F1256" s="8">
        <v>100</v>
      </c>
      <c r="G1256" s="8">
        <v>100</v>
      </c>
      <c r="H1256" s="2">
        <f t="shared" si="61"/>
        <v>3895976</v>
      </c>
      <c r="I1256" s="12">
        <f t="shared" si="59"/>
        <v>0.23861250000000001</v>
      </c>
      <c r="J1256" s="12">
        <f t="shared" si="60"/>
        <v>0.23526425120772948</v>
      </c>
    </row>
    <row r="1257" spans="1:10" ht="15" customHeight="1">
      <c r="A1257" s="7">
        <v>43991</v>
      </c>
      <c r="B1257" s="10">
        <v>70</v>
      </c>
      <c r="C1257">
        <v>58428</v>
      </c>
      <c r="D1257" s="5">
        <v>7.72</v>
      </c>
      <c r="F1257" s="8">
        <v>100</v>
      </c>
      <c r="G1257" s="8">
        <v>100</v>
      </c>
      <c r="H1257" s="2">
        <f t="shared" si="61"/>
        <v>3954404</v>
      </c>
      <c r="I1257" s="12">
        <f t="shared" si="59"/>
        <v>0.24345</v>
      </c>
      <c r="J1257" s="12">
        <f t="shared" si="60"/>
        <v>0.23538119047619047</v>
      </c>
    </row>
    <row r="1258" spans="1:10" ht="15" customHeight="1">
      <c r="A1258" s="7">
        <v>43992</v>
      </c>
      <c r="B1258" s="10">
        <v>71</v>
      </c>
      <c r="C1258">
        <v>58851</v>
      </c>
      <c r="D1258" s="5">
        <v>7.83</v>
      </c>
      <c r="F1258" s="8">
        <v>100</v>
      </c>
      <c r="G1258" s="8">
        <v>100</v>
      </c>
      <c r="H1258" s="2">
        <f t="shared" si="61"/>
        <v>4013255</v>
      </c>
      <c r="I1258" s="12">
        <f t="shared" si="59"/>
        <v>0.2452125</v>
      </c>
      <c r="J1258" s="12">
        <f t="shared" si="60"/>
        <v>0.23551965962441315</v>
      </c>
    </row>
    <row r="1259" spans="1:10" ht="15" customHeight="1">
      <c r="A1259" s="7">
        <v>43993</v>
      </c>
      <c r="B1259" s="10">
        <v>72</v>
      </c>
      <c r="C1259">
        <v>58545</v>
      </c>
      <c r="D1259" s="5">
        <v>7.7</v>
      </c>
      <c r="F1259" s="8">
        <v>100</v>
      </c>
      <c r="G1259" s="8">
        <v>100</v>
      </c>
      <c r="H1259" s="2">
        <f t="shared" si="61"/>
        <v>4071800</v>
      </c>
      <c r="I1259" s="12">
        <f t="shared" si="59"/>
        <v>0.2439375</v>
      </c>
      <c r="J1259" s="12">
        <f t="shared" si="60"/>
        <v>0.23563657407407407</v>
      </c>
    </row>
    <row r="1260" spans="1:10" ht="15" customHeight="1">
      <c r="A1260" s="7">
        <v>43994</v>
      </c>
      <c r="B1260" s="10">
        <v>73</v>
      </c>
      <c r="C1260">
        <v>55532</v>
      </c>
      <c r="D1260" s="5">
        <v>7.42</v>
      </c>
      <c r="F1260" s="8">
        <v>99.494726204762202</v>
      </c>
      <c r="G1260" s="8">
        <v>100</v>
      </c>
      <c r="H1260" s="2">
        <f t="shared" si="61"/>
        <v>4127332</v>
      </c>
      <c r="I1260" s="12">
        <f t="shared" si="59"/>
        <v>0.23138333333333333</v>
      </c>
      <c r="J1260" s="12">
        <f t="shared" si="60"/>
        <v>0.23557831050228312</v>
      </c>
    </row>
    <row r="1261" spans="1:10" ht="15" customHeight="1">
      <c r="A1261" s="7">
        <v>43995</v>
      </c>
      <c r="B1261" s="10">
        <v>74</v>
      </c>
      <c r="C1261">
        <v>47462</v>
      </c>
      <c r="D1261" s="5">
        <v>5.81</v>
      </c>
      <c r="F1261" s="8">
        <v>99.868065175803153</v>
      </c>
      <c r="G1261" s="8">
        <v>100</v>
      </c>
      <c r="H1261" s="2">
        <f t="shared" si="61"/>
        <v>4174794</v>
      </c>
      <c r="I1261" s="12">
        <f t="shared" si="59"/>
        <v>0.19775833333333334</v>
      </c>
      <c r="J1261" s="12">
        <f t="shared" si="60"/>
        <v>0.23506722972972974</v>
      </c>
    </row>
    <row r="1262" spans="1:10" ht="15" customHeight="1">
      <c r="A1262" s="7">
        <v>43996</v>
      </c>
      <c r="B1262" s="10">
        <v>75</v>
      </c>
      <c r="C1262">
        <v>56822</v>
      </c>
      <c r="D1262" s="5">
        <v>7.17</v>
      </c>
      <c r="F1262" s="8">
        <v>100</v>
      </c>
      <c r="G1262" s="8">
        <v>100</v>
      </c>
      <c r="H1262" s="2">
        <f t="shared" si="61"/>
        <v>4231616</v>
      </c>
      <c r="I1262" s="12">
        <f t="shared" si="59"/>
        <v>0.23675833333333332</v>
      </c>
      <c r="J1262" s="12">
        <f t="shared" si="60"/>
        <v>0.23508977777777779</v>
      </c>
    </row>
    <row r="1263" spans="1:10" ht="15" customHeight="1">
      <c r="A1263" s="7">
        <v>43997</v>
      </c>
      <c r="B1263" s="10">
        <v>76</v>
      </c>
      <c r="C1263">
        <v>56813</v>
      </c>
      <c r="D1263" s="5">
        <v>7.49</v>
      </c>
      <c r="F1263" s="8">
        <v>100</v>
      </c>
      <c r="G1263" s="8">
        <v>100</v>
      </c>
      <c r="H1263" s="2">
        <f t="shared" si="61"/>
        <v>4288429</v>
      </c>
      <c r="I1263" s="12">
        <f t="shared" si="59"/>
        <v>0.23672083333333332</v>
      </c>
      <c r="J1263" s="12">
        <f t="shared" si="60"/>
        <v>0.23511123903508771</v>
      </c>
    </row>
    <row r="1264" spans="1:10" ht="15" customHeight="1">
      <c r="A1264" s="7">
        <v>43998</v>
      </c>
      <c r="B1264" s="10">
        <v>77</v>
      </c>
      <c r="C1264">
        <v>59139</v>
      </c>
      <c r="D1264" s="5">
        <v>7.4</v>
      </c>
      <c r="F1264" s="8">
        <v>100</v>
      </c>
      <c r="G1264" s="8">
        <v>100</v>
      </c>
      <c r="H1264" s="2">
        <f t="shared" si="61"/>
        <v>4347568</v>
      </c>
      <c r="I1264" s="12">
        <f t="shared" si="59"/>
        <v>0.24641250000000001</v>
      </c>
      <c r="J1264" s="12">
        <f t="shared" si="60"/>
        <v>0.23525800865800867</v>
      </c>
    </row>
    <row r="1265" spans="1:10" ht="15" customHeight="1">
      <c r="A1265" s="7">
        <v>43999</v>
      </c>
      <c r="B1265" s="10">
        <v>78</v>
      </c>
      <c r="C1265">
        <v>58411</v>
      </c>
      <c r="D1265" s="5">
        <v>7.61</v>
      </c>
      <c r="F1265" s="8">
        <v>100</v>
      </c>
      <c r="G1265" s="8">
        <v>100</v>
      </c>
      <c r="H1265" s="2">
        <f t="shared" si="61"/>
        <v>4405979</v>
      </c>
      <c r="I1265" s="12">
        <f t="shared" si="59"/>
        <v>0.24337916666666667</v>
      </c>
      <c r="J1265" s="12">
        <f t="shared" si="60"/>
        <v>0.23536212606837606</v>
      </c>
    </row>
    <row r="1266" spans="1:10" ht="15" customHeight="1">
      <c r="A1266" s="7">
        <v>44000</v>
      </c>
      <c r="B1266" s="10">
        <v>79</v>
      </c>
      <c r="C1266">
        <v>53834</v>
      </c>
      <c r="D1266" s="5">
        <v>6.88</v>
      </c>
      <c r="F1266" s="8">
        <v>100</v>
      </c>
      <c r="G1266" s="8">
        <v>100</v>
      </c>
      <c r="H1266" s="2">
        <f t="shared" si="61"/>
        <v>4459813</v>
      </c>
      <c r="I1266" s="12">
        <f t="shared" si="59"/>
        <v>0.22430833333333333</v>
      </c>
      <c r="J1266" s="12">
        <f t="shared" si="60"/>
        <v>0.23522220464135021</v>
      </c>
    </row>
    <row r="1267" spans="1:10" ht="15" customHeight="1">
      <c r="A1267" s="7">
        <v>44001</v>
      </c>
      <c r="B1267" s="10">
        <v>80</v>
      </c>
      <c r="C1267">
        <v>59471</v>
      </c>
      <c r="D1267" s="5">
        <v>7.56</v>
      </c>
      <c r="F1267" s="8">
        <v>100</v>
      </c>
      <c r="G1267" s="8">
        <v>100</v>
      </c>
      <c r="H1267" s="2">
        <f t="shared" si="61"/>
        <v>4519284</v>
      </c>
      <c r="I1267" s="12">
        <f t="shared" si="59"/>
        <v>0.24779583333333333</v>
      </c>
      <c r="J1267" s="12">
        <f t="shared" si="60"/>
        <v>0.235379375</v>
      </c>
    </row>
    <row r="1268" spans="1:10" ht="15" customHeight="1">
      <c r="A1268" s="7">
        <v>44002</v>
      </c>
      <c r="B1268" s="10">
        <v>81</v>
      </c>
      <c r="C1268">
        <v>60350</v>
      </c>
      <c r="D1268" s="5">
        <v>7.68</v>
      </c>
      <c r="F1268" s="8">
        <v>100</v>
      </c>
      <c r="G1268" s="8">
        <v>100</v>
      </c>
      <c r="H1268" s="2">
        <f t="shared" si="61"/>
        <v>4579634</v>
      </c>
      <c r="I1268" s="12">
        <f t="shared" si="59"/>
        <v>0.25145833333333334</v>
      </c>
      <c r="J1268" s="12">
        <f t="shared" si="60"/>
        <v>0.23557788065843621</v>
      </c>
    </row>
    <row r="1269" spans="1:10" ht="15" customHeight="1">
      <c r="A1269" s="7">
        <v>44003</v>
      </c>
      <c r="B1269" s="10">
        <v>82</v>
      </c>
      <c r="C1269">
        <v>49895</v>
      </c>
      <c r="D1269" s="5">
        <v>6.33</v>
      </c>
      <c r="F1269" s="8">
        <v>100</v>
      </c>
      <c r="G1269" s="8">
        <v>100</v>
      </c>
      <c r="H1269" s="2">
        <f t="shared" si="61"/>
        <v>4629529</v>
      </c>
      <c r="I1269" s="12">
        <f t="shared" si="59"/>
        <v>0.20789583333333334</v>
      </c>
      <c r="J1269" s="12">
        <f t="shared" si="60"/>
        <v>0.23524029471544716</v>
      </c>
    </row>
    <row r="1270" spans="1:10" ht="15" customHeight="1">
      <c r="A1270" s="7">
        <v>44004</v>
      </c>
      <c r="B1270" s="10">
        <v>83</v>
      </c>
      <c r="C1270">
        <v>60086</v>
      </c>
      <c r="D1270" s="5">
        <v>7.82</v>
      </c>
      <c r="F1270" s="8">
        <v>100</v>
      </c>
      <c r="G1270" s="8">
        <v>100</v>
      </c>
      <c r="H1270" s="2">
        <f t="shared" si="61"/>
        <v>4689615</v>
      </c>
      <c r="I1270" s="12">
        <f t="shared" si="59"/>
        <v>0.25035833333333335</v>
      </c>
      <c r="J1270" s="12">
        <f t="shared" si="60"/>
        <v>0.23542243975903615</v>
      </c>
    </row>
    <row r="1271" spans="1:10" ht="15" customHeight="1">
      <c r="A1271" s="7">
        <v>44005</v>
      </c>
      <c r="B1271" s="10">
        <v>84</v>
      </c>
      <c r="C1271">
        <v>55967</v>
      </c>
      <c r="D1271" s="5">
        <v>7.49</v>
      </c>
      <c r="F1271" s="8">
        <v>100</v>
      </c>
      <c r="G1271" s="8">
        <v>100</v>
      </c>
      <c r="H1271" s="2">
        <f t="shared" si="61"/>
        <v>4745582</v>
      </c>
      <c r="I1271" s="12">
        <f t="shared" si="59"/>
        <v>0.23319583333333332</v>
      </c>
      <c r="J1271" s="12">
        <f t="shared" si="60"/>
        <v>0.23539593253968255</v>
      </c>
    </row>
    <row r="1272" spans="1:10" ht="15" customHeight="1">
      <c r="A1272" s="7">
        <v>44006</v>
      </c>
      <c r="B1272" s="10">
        <v>85</v>
      </c>
      <c r="C1272">
        <v>56864</v>
      </c>
      <c r="D1272" s="5">
        <v>7.61</v>
      </c>
      <c r="F1272" s="8">
        <v>100</v>
      </c>
      <c r="G1272" s="8">
        <v>100</v>
      </c>
      <c r="H1272" s="2">
        <f t="shared" si="61"/>
        <v>4802446</v>
      </c>
      <c r="I1272" s="12">
        <f t="shared" si="59"/>
        <v>0.23693333333333333</v>
      </c>
      <c r="J1272" s="12">
        <f t="shared" si="60"/>
        <v>0.23541401960784314</v>
      </c>
    </row>
    <row r="1273" spans="1:10" ht="15" customHeight="1">
      <c r="A1273" s="7">
        <v>44007</v>
      </c>
      <c r="B1273" s="10">
        <v>86</v>
      </c>
      <c r="C1273">
        <v>46915</v>
      </c>
      <c r="D1273" s="5">
        <v>6.04</v>
      </c>
      <c r="F1273" s="8">
        <v>100</v>
      </c>
      <c r="G1273" s="8">
        <v>100</v>
      </c>
      <c r="H1273" s="2">
        <f t="shared" si="61"/>
        <v>4849361</v>
      </c>
      <c r="I1273" s="12">
        <f t="shared" si="59"/>
        <v>0.19547916666666668</v>
      </c>
      <c r="J1273" s="12">
        <f t="shared" si="60"/>
        <v>0.23494966085271318</v>
      </c>
    </row>
    <row r="1274" spans="1:10" ht="15" customHeight="1">
      <c r="A1274" s="7">
        <v>44008</v>
      </c>
      <c r="B1274" s="10">
        <v>87</v>
      </c>
      <c r="C1274">
        <v>57459</v>
      </c>
      <c r="D1274" s="5">
        <v>7.16</v>
      </c>
      <c r="F1274" s="8">
        <v>100</v>
      </c>
      <c r="G1274" s="8">
        <v>100</v>
      </c>
      <c r="H1274" s="2">
        <f t="shared" si="61"/>
        <v>4906820</v>
      </c>
      <c r="I1274" s="12">
        <f t="shared" si="59"/>
        <v>0.2394125</v>
      </c>
      <c r="J1274" s="12">
        <f t="shared" si="60"/>
        <v>0.23500095785440614</v>
      </c>
    </row>
    <row r="1275" spans="1:10" ht="15" customHeight="1">
      <c r="A1275" s="7">
        <v>44009</v>
      </c>
      <c r="B1275" s="10">
        <v>88</v>
      </c>
      <c r="C1275">
        <v>54013</v>
      </c>
      <c r="D1275" s="5">
        <v>6.81</v>
      </c>
      <c r="F1275" s="8">
        <v>100</v>
      </c>
      <c r="G1275" s="8">
        <v>100</v>
      </c>
      <c r="H1275" s="2">
        <f t="shared" si="61"/>
        <v>4960833</v>
      </c>
      <c r="I1275" s="12">
        <f t="shared" si="59"/>
        <v>0.22505416666666667</v>
      </c>
      <c r="J1275" s="12">
        <f t="shared" si="60"/>
        <v>0.23488792613636364</v>
      </c>
    </row>
    <row r="1276" spans="1:10" ht="15" customHeight="1">
      <c r="A1276" s="7">
        <v>44010</v>
      </c>
      <c r="B1276" s="10">
        <v>89</v>
      </c>
      <c r="C1276">
        <v>56325</v>
      </c>
      <c r="D1276" s="5">
        <v>7.12</v>
      </c>
      <c r="F1276" s="8">
        <v>100</v>
      </c>
      <c r="G1276" s="8">
        <v>100</v>
      </c>
      <c r="H1276" s="2">
        <f t="shared" si="61"/>
        <v>5017158</v>
      </c>
      <c r="I1276" s="12">
        <f t="shared" si="59"/>
        <v>0.23468749999999999</v>
      </c>
      <c r="J1276" s="12">
        <f t="shared" si="60"/>
        <v>0.23488567415730338</v>
      </c>
    </row>
    <row r="1277" spans="1:10" ht="15" customHeight="1">
      <c r="A1277" s="7">
        <v>44011</v>
      </c>
      <c r="B1277" s="10">
        <v>90</v>
      </c>
      <c r="C1277">
        <v>60125</v>
      </c>
      <c r="D1277" s="5">
        <v>7.76</v>
      </c>
      <c r="F1277" s="8">
        <v>100</v>
      </c>
      <c r="G1277" s="8">
        <v>100</v>
      </c>
      <c r="H1277" s="2">
        <f t="shared" si="61"/>
        <v>5077283</v>
      </c>
      <c r="I1277" s="12">
        <f t="shared" si="59"/>
        <v>0.25052083333333336</v>
      </c>
      <c r="J1277" s="12">
        <f t="shared" si="60"/>
        <v>0.23505939814814814</v>
      </c>
    </row>
    <row r="1278" spans="1:10" ht="15" customHeight="1">
      <c r="A1278" s="7">
        <v>44012</v>
      </c>
      <c r="B1278" s="10">
        <v>91</v>
      </c>
      <c r="C1278">
        <v>55881</v>
      </c>
      <c r="D1278" s="5">
        <v>7.45</v>
      </c>
      <c r="F1278" s="8">
        <v>100</v>
      </c>
      <c r="G1278" s="8">
        <v>100</v>
      </c>
      <c r="H1278" s="2">
        <f t="shared" si="61"/>
        <v>5133164</v>
      </c>
      <c r="I1278" s="12">
        <f t="shared" si="59"/>
        <v>0.2328375</v>
      </c>
      <c r="J1278" s="12">
        <f t="shared" si="60"/>
        <v>0.23503498168498169</v>
      </c>
    </row>
    <row r="1279" spans="1:10" ht="15" customHeight="1">
      <c r="A1279" s="7">
        <v>44013</v>
      </c>
      <c r="B1279" s="10">
        <v>92</v>
      </c>
      <c r="C1279">
        <v>53729</v>
      </c>
      <c r="D1279" s="5">
        <v>6.91</v>
      </c>
      <c r="F1279" s="8">
        <v>100</v>
      </c>
      <c r="G1279" s="8">
        <v>100</v>
      </c>
      <c r="H1279" s="2">
        <f t="shared" si="61"/>
        <v>5186893</v>
      </c>
      <c r="I1279" s="12">
        <f t="shared" si="59"/>
        <v>0.22387083333333332</v>
      </c>
      <c r="J1279" s="12">
        <f t="shared" si="60"/>
        <v>0.23491363224637682</v>
      </c>
    </row>
    <row r="1280" spans="1:10" ht="15" customHeight="1">
      <c r="A1280" s="7">
        <v>44014</v>
      </c>
      <c r="B1280" s="10">
        <v>93</v>
      </c>
      <c r="C1280">
        <v>56598</v>
      </c>
      <c r="D1280" s="5">
        <v>7.37</v>
      </c>
      <c r="F1280" s="8">
        <v>100</v>
      </c>
      <c r="G1280" s="8">
        <v>100</v>
      </c>
      <c r="H1280" s="2">
        <f t="shared" si="61"/>
        <v>5243491</v>
      </c>
      <c r="I1280" s="12">
        <f t="shared" si="59"/>
        <v>0.23582500000000001</v>
      </c>
      <c r="J1280" s="12">
        <f t="shared" si="60"/>
        <v>0.23492343189964157</v>
      </c>
    </row>
    <row r="1281" spans="1:10" ht="15" customHeight="1">
      <c r="A1281" s="7">
        <v>44015</v>
      </c>
      <c r="B1281" s="10">
        <v>94</v>
      </c>
      <c r="C1281">
        <v>59165</v>
      </c>
      <c r="D1281" s="5">
        <v>7.52</v>
      </c>
      <c r="F1281" s="8">
        <v>100</v>
      </c>
      <c r="G1281" s="8">
        <v>100</v>
      </c>
      <c r="H1281" s="2">
        <f t="shared" si="61"/>
        <v>5302656</v>
      </c>
      <c r="I1281" s="12">
        <f t="shared" si="59"/>
        <v>0.24652083333333333</v>
      </c>
      <c r="J1281" s="12">
        <f t="shared" si="60"/>
        <v>0.23504680851063831</v>
      </c>
    </row>
    <row r="1282" spans="1:10" ht="15" customHeight="1">
      <c r="A1282" s="7">
        <v>44016</v>
      </c>
      <c r="B1282" s="10">
        <v>95</v>
      </c>
      <c r="C1282">
        <v>58969</v>
      </c>
      <c r="D1282" s="5">
        <v>7.58</v>
      </c>
      <c r="F1282" s="8">
        <v>100</v>
      </c>
      <c r="G1282" s="8">
        <v>100</v>
      </c>
      <c r="H1282" s="2">
        <f t="shared" si="61"/>
        <v>5361625</v>
      </c>
      <c r="I1282" s="12">
        <f t="shared" si="59"/>
        <v>0.24570416666666667</v>
      </c>
      <c r="J1282" s="12">
        <f t="shared" si="60"/>
        <v>0.23515899122807019</v>
      </c>
    </row>
    <row r="1283" spans="1:10" ht="15" customHeight="1">
      <c r="A1283" s="7">
        <v>44017</v>
      </c>
      <c r="B1283" s="10">
        <v>96</v>
      </c>
      <c r="C1283">
        <v>45656</v>
      </c>
      <c r="D1283" s="5">
        <v>5.41</v>
      </c>
      <c r="F1283" s="8">
        <v>100</v>
      </c>
      <c r="G1283" s="8">
        <v>100</v>
      </c>
      <c r="H1283" s="2">
        <f t="shared" si="61"/>
        <v>5407281</v>
      </c>
      <c r="I1283" s="12">
        <f t="shared" ref="I1283:I1346" si="62">C1283/(10*24*1000)</f>
        <v>0.19023333333333334</v>
      </c>
      <c r="J1283" s="12">
        <f t="shared" si="60"/>
        <v>0.234691015625</v>
      </c>
    </row>
    <row r="1284" spans="1:10" ht="15" customHeight="1">
      <c r="A1284" s="7">
        <v>44018</v>
      </c>
      <c r="B1284" s="10">
        <v>97</v>
      </c>
      <c r="C1284">
        <v>57184</v>
      </c>
      <c r="D1284" s="5">
        <v>6.91</v>
      </c>
      <c r="F1284" s="8">
        <v>100</v>
      </c>
      <c r="G1284" s="8">
        <v>100</v>
      </c>
      <c r="H1284" s="2">
        <f t="shared" si="61"/>
        <v>5464465</v>
      </c>
      <c r="I1284" s="12">
        <f t="shared" si="62"/>
        <v>0.23826666666666665</v>
      </c>
      <c r="J1284" s="12">
        <f t="shared" ref="J1284:J1347" si="63">H1284/(24*B1284*10*1000)</f>
        <v>0.23472787800687286</v>
      </c>
    </row>
    <row r="1285" spans="1:10" ht="15" customHeight="1">
      <c r="A1285" s="7">
        <v>44019</v>
      </c>
      <c r="B1285" s="10">
        <v>98</v>
      </c>
      <c r="C1285">
        <v>50031</v>
      </c>
      <c r="D1285" s="5">
        <v>6.27</v>
      </c>
      <c r="F1285" s="8">
        <v>100</v>
      </c>
      <c r="G1285" s="8">
        <v>100</v>
      </c>
      <c r="H1285" s="2">
        <f t="shared" si="61"/>
        <v>5514496</v>
      </c>
      <c r="I1285" s="12">
        <f t="shared" si="62"/>
        <v>0.2084625</v>
      </c>
      <c r="J1285" s="12">
        <f t="shared" si="63"/>
        <v>0.23445986394557825</v>
      </c>
    </row>
    <row r="1286" spans="1:10" ht="15" customHeight="1">
      <c r="A1286" s="7">
        <v>44020</v>
      </c>
      <c r="B1286" s="10">
        <v>99</v>
      </c>
      <c r="C1286">
        <v>46315</v>
      </c>
      <c r="D1286" s="5">
        <v>5.98</v>
      </c>
      <c r="F1286" s="8">
        <v>100</v>
      </c>
      <c r="G1286" s="8">
        <v>100</v>
      </c>
      <c r="H1286" s="2">
        <f t="shared" si="61"/>
        <v>5560811</v>
      </c>
      <c r="I1286" s="12">
        <f t="shared" si="62"/>
        <v>0.19297916666666667</v>
      </c>
      <c r="J1286" s="12">
        <f t="shared" si="63"/>
        <v>0.23404086700336701</v>
      </c>
    </row>
    <row r="1287" spans="1:10" ht="15" customHeight="1">
      <c r="A1287" s="7">
        <v>44021</v>
      </c>
      <c r="B1287" s="10">
        <v>100</v>
      </c>
      <c r="C1287">
        <v>58517</v>
      </c>
      <c r="D1287" s="5">
        <v>7.63</v>
      </c>
      <c r="F1287" s="8">
        <v>100</v>
      </c>
      <c r="G1287" s="8">
        <v>100</v>
      </c>
      <c r="H1287" s="2">
        <f t="shared" si="61"/>
        <v>5619328</v>
      </c>
      <c r="I1287" s="12">
        <f t="shared" si="62"/>
        <v>0.24382083333333332</v>
      </c>
      <c r="J1287" s="12">
        <f t="shared" si="63"/>
        <v>0.23413866666666666</v>
      </c>
    </row>
    <row r="1288" spans="1:10" ht="15" customHeight="1">
      <c r="A1288" s="7">
        <v>44022</v>
      </c>
      <c r="B1288" s="10">
        <v>101</v>
      </c>
      <c r="C1288">
        <v>56454</v>
      </c>
      <c r="D1288" s="5">
        <v>6.51</v>
      </c>
      <c r="F1288" s="8">
        <v>100</v>
      </c>
      <c r="G1288" s="8">
        <v>100</v>
      </c>
      <c r="H1288" s="2">
        <f t="shared" si="61"/>
        <v>5675782</v>
      </c>
      <c r="I1288" s="12">
        <f t="shared" si="62"/>
        <v>0.23522499999999999</v>
      </c>
      <c r="J1288" s="12">
        <f t="shared" si="63"/>
        <v>0.23414942244224424</v>
      </c>
    </row>
    <row r="1289" spans="1:10" ht="15" customHeight="1">
      <c r="A1289" s="7">
        <v>44023</v>
      </c>
      <c r="B1289" s="10">
        <v>102</v>
      </c>
      <c r="C1289">
        <v>52295</v>
      </c>
      <c r="D1289" s="5">
        <v>6.79</v>
      </c>
      <c r="F1289" s="8">
        <v>100</v>
      </c>
      <c r="G1289" s="8">
        <v>100</v>
      </c>
      <c r="H1289" s="2">
        <f t="shared" si="61"/>
        <v>5728077</v>
      </c>
      <c r="I1289" s="12">
        <f t="shared" si="62"/>
        <v>0.21789583333333334</v>
      </c>
      <c r="J1289" s="12">
        <f t="shared" si="63"/>
        <v>0.23399007352941176</v>
      </c>
    </row>
    <row r="1290" spans="1:10" ht="15" customHeight="1">
      <c r="A1290" s="7">
        <v>44024</v>
      </c>
      <c r="B1290" s="10">
        <v>103</v>
      </c>
      <c r="C1290">
        <v>48680</v>
      </c>
      <c r="D1290" s="5">
        <v>6.17</v>
      </c>
      <c r="F1290" s="8">
        <v>100</v>
      </c>
      <c r="G1290" s="8">
        <v>100</v>
      </c>
      <c r="H1290" s="2">
        <f t="shared" si="61"/>
        <v>5776757</v>
      </c>
      <c r="I1290" s="12">
        <f t="shared" si="62"/>
        <v>0.20283333333333334</v>
      </c>
      <c r="J1290" s="12">
        <f t="shared" si="63"/>
        <v>0.23368758090614886</v>
      </c>
    </row>
    <row r="1291" spans="1:10" ht="15" customHeight="1">
      <c r="A1291" s="7">
        <v>44025</v>
      </c>
      <c r="B1291" s="10">
        <v>104</v>
      </c>
      <c r="C1291">
        <v>57727</v>
      </c>
      <c r="D1291" s="5">
        <v>7.32</v>
      </c>
      <c r="F1291" s="8">
        <v>100</v>
      </c>
      <c r="G1291" s="8">
        <v>100</v>
      </c>
      <c r="H1291" s="2">
        <f t="shared" si="61"/>
        <v>5834484</v>
      </c>
      <c r="I1291" s="12">
        <f t="shared" si="62"/>
        <v>0.24052916666666666</v>
      </c>
      <c r="J1291" s="12">
        <f t="shared" si="63"/>
        <v>0.23375336538461539</v>
      </c>
    </row>
    <row r="1292" spans="1:10" ht="15" customHeight="1">
      <c r="A1292" s="7">
        <v>44026</v>
      </c>
      <c r="B1292" s="10">
        <v>105</v>
      </c>
      <c r="C1292">
        <v>48498</v>
      </c>
      <c r="D1292" s="5">
        <v>6.05</v>
      </c>
      <c r="F1292" s="8">
        <v>100</v>
      </c>
      <c r="G1292" s="8">
        <v>100</v>
      </c>
      <c r="H1292" s="2">
        <f t="shared" si="61"/>
        <v>5882982</v>
      </c>
      <c r="I1292" s="12">
        <f t="shared" si="62"/>
        <v>0.202075</v>
      </c>
      <c r="J1292" s="12">
        <f t="shared" si="63"/>
        <v>0.23345166666666667</v>
      </c>
    </row>
    <row r="1293" spans="1:10" ht="15" customHeight="1">
      <c r="A1293" s="7">
        <v>44027</v>
      </c>
      <c r="B1293" s="10">
        <v>106</v>
      </c>
      <c r="C1293">
        <v>56665</v>
      </c>
      <c r="D1293" s="5">
        <v>7.43</v>
      </c>
      <c r="F1293" s="8">
        <v>100</v>
      </c>
      <c r="G1293" s="8">
        <v>100</v>
      </c>
      <c r="H1293" s="2">
        <f t="shared" si="61"/>
        <v>5939647</v>
      </c>
      <c r="I1293" s="12">
        <f t="shared" si="62"/>
        <v>0.23610416666666667</v>
      </c>
      <c r="J1293" s="12">
        <f t="shared" si="63"/>
        <v>0.23347669025157233</v>
      </c>
    </row>
    <row r="1294" spans="1:10" ht="15" customHeight="1">
      <c r="A1294" s="7">
        <v>44028</v>
      </c>
      <c r="B1294" s="10">
        <v>107</v>
      </c>
      <c r="C1294">
        <v>52980</v>
      </c>
      <c r="D1294" s="5">
        <v>7.14</v>
      </c>
      <c r="F1294" s="8">
        <v>100</v>
      </c>
      <c r="G1294" s="8">
        <v>100</v>
      </c>
      <c r="H1294" s="2">
        <f t="shared" si="61"/>
        <v>5992627</v>
      </c>
      <c r="I1294" s="12">
        <f t="shared" si="62"/>
        <v>0.22075</v>
      </c>
      <c r="J1294" s="12">
        <f t="shared" si="63"/>
        <v>0.2333577492211838</v>
      </c>
    </row>
    <row r="1295" spans="1:10" ht="15" customHeight="1">
      <c r="A1295" s="7">
        <v>44029</v>
      </c>
      <c r="B1295" s="10">
        <v>108</v>
      </c>
      <c r="C1295">
        <v>50603</v>
      </c>
      <c r="D1295" s="5">
        <v>6.77</v>
      </c>
      <c r="F1295" s="8">
        <v>100</v>
      </c>
      <c r="G1295" s="8">
        <v>100</v>
      </c>
      <c r="H1295" s="2">
        <f t="shared" si="61"/>
        <v>6043230</v>
      </c>
      <c r="I1295" s="12">
        <f t="shared" si="62"/>
        <v>0.21084583333333334</v>
      </c>
      <c r="J1295" s="12">
        <f t="shared" si="63"/>
        <v>0.23314930555555555</v>
      </c>
    </row>
    <row r="1296" spans="1:10" ht="15" customHeight="1">
      <c r="A1296" s="7">
        <v>44030</v>
      </c>
      <c r="B1296" s="10">
        <v>109</v>
      </c>
      <c r="C1296">
        <v>43464</v>
      </c>
      <c r="D1296" s="5">
        <v>5.97</v>
      </c>
      <c r="F1296" s="8">
        <v>100</v>
      </c>
      <c r="G1296" s="8">
        <v>100</v>
      </c>
      <c r="H1296" s="2">
        <f t="shared" si="61"/>
        <v>6086694</v>
      </c>
      <c r="I1296" s="12">
        <f t="shared" si="62"/>
        <v>0.18110000000000001</v>
      </c>
      <c r="J1296" s="12">
        <f t="shared" si="63"/>
        <v>0.23267178899082569</v>
      </c>
    </row>
    <row r="1297" spans="1:10" ht="15" customHeight="1">
      <c r="A1297" s="7">
        <v>44031</v>
      </c>
      <c r="B1297" s="10">
        <v>110</v>
      </c>
      <c r="C1297">
        <v>48079</v>
      </c>
      <c r="D1297" s="5">
        <v>5.84</v>
      </c>
      <c r="F1297" s="8">
        <v>100</v>
      </c>
      <c r="G1297" s="8">
        <v>100</v>
      </c>
      <c r="H1297" s="2">
        <f t="shared" si="61"/>
        <v>6134773</v>
      </c>
      <c r="I1297" s="12">
        <f t="shared" si="62"/>
        <v>0.20032916666666667</v>
      </c>
      <c r="J1297" s="12">
        <f t="shared" si="63"/>
        <v>0.23237776515151515</v>
      </c>
    </row>
    <row r="1298" spans="1:10" ht="15" customHeight="1">
      <c r="A1298" s="7">
        <v>44032</v>
      </c>
      <c r="B1298" s="10">
        <v>111</v>
      </c>
      <c r="C1298">
        <v>55861</v>
      </c>
      <c r="D1298" s="5">
        <v>6.89</v>
      </c>
      <c r="F1298" s="8">
        <v>100</v>
      </c>
      <c r="G1298" s="8">
        <v>100</v>
      </c>
      <c r="H1298" s="2">
        <f t="shared" si="61"/>
        <v>6190634</v>
      </c>
      <c r="I1298" s="12">
        <f t="shared" si="62"/>
        <v>0.23275416666666668</v>
      </c>
      <c r="J1298" s="12">
        <f t="shared" si="63"/>
        <v>0.23238115615615615</v>
      </c>
    </row>
    <row r="1299" spans="1:10" ht="15" customHeight="1">
      <c r="A1299" s="7">
        <v>44033</v>
      </c>
      <c r="B1299" s="10">
        <v>112</v>
      </c>
      <c r="C1299">
        <v>40545</v>
      </c>
      <c r="D1299" s="5">
        <v>5.15</v>
      </c>
      <c r="F1299" s="8">
        <v>100</v>
      </c>
      <c r="G1299" s="8">
        <v>100</v>
      </c>
      <c r="H1299" s="2">
        <f t="shared" si="61"/>
        <v>6231179</v>
      </c>
      <c r="I1299" s="12">
        <f t="shared" si="62"/>
        <v>0.16893749999999999</v>
      </c>
      <c r="J1299" s="12">
        <f t="shared" si="63"/>
        <v>0.23181469494047618</v>
      </c>
    </row>
    <row r="1300" spans="1:10" ht="15" customHeight="1">
      <c r="A1300" s="7">
        <v>44034</v>
      </c>
      <c r="B1300" s="10">
        <v>113</v>
      </c>
      <c r="C1300">
        <v>48438</v>
      </c>
      <c r="D1300" s="5">
        <v>5.67</v>
      </c>
      <c r="F1300" s="8">
        <v>98.397471566248967</v>
      </c>
      <c r="G1300" s="8">
        <v>100</v>
      </c>
      <c r="H1300" s="2">
        <f t="shared" si="61"/>
        <v>6279617</v>
      </c>
      <c r="I1300" s="12">
        <f t="shared" si="62"/>
        <v>0.201825</v>
      </c>
      <c r="J1300" s="12">
        <f t="shared" si="63"/>
        <v>0.2315492994100295</v>
      </c>
    </row>
    <row r="1301" spans="1:10" ht="15" customHeight="1">
      <c r="A1301" s="7">
        <v>44035</v>
      </c>
      <c r="B1301" s="10">
        <v>114</v>
      </c>
      <c r="C1301">
        <v>59079</v>
      </c>
      <c r="D1301" s="5">
        <v>7.32</v>
      </c>
      <c r="F1301" s="8">
        <v>100</v>
      </c>
      <c r="G1301" s="8">
        <v>100</v>
      </c>
      <c r="H1301" s="2">
        <f t="shared" si="61"/>
        <v>6338696</v>
      </c>
      <c r="I1301" s="12">
        <f t="shared" si="62"/>
        <v>0.24616250000000001</v>
      </c>
      <c r="J1301" s="12">
        <f t="shared" si="63"/>
        <v>0.23167748538011695</v>
      </c>
    </row>
    <row r="1302" spans="1:10" ht="15" customHeight="1">
      <c r="A1302" s="7">
        <v>44036</v>
      </c>
      <c r="B1302" s="10">
        <v>115</v>
      </c>
      <c r="C1302">
        <v>52265</v>
      </c>
      <c r="D1302" s="5">
        <v>6.48</v>
      </c>
      <c r="F1302" s="8">
        <v>100</v>
      </c>
      <c r="G1302" s="8">
        <v>100</v>
      </c>
      <c r="H1302" s="2">
        <f t="shared" si="61"/>
        <v>6390961</v>
      </c>
      <c r="I1302" s="12">
        <f t="shared" si="62"/>
        <v>0.21777083333333333</v>
      </c>
      <c r="J1302" s="12">
        <f t="shared" si="63"/>
        <v>0.23155655797101449</v>
      </c>
    </row>
    <row r="1303" spans="1:10" ht="15" customHeight="1">
      <c r="A1303" s="7">
        <v>44037</v>
      </c>
      <c r="B1303" s="10">
        <v>116</v>
      </c>
      <c r="C1303">
        <v>55008</v>
      </c>
      <c r="D1303" s="5">
        <v>6.7</v>
      </c>
      <c r="F1303" s="8">
        <v>100</v>
      </c>
      <c r="G1303" s="8">
        <v>100</v>
      </c>
      <c r="H1303" s="2">
        <f t="shared" si="61"/>
        <v>6445969</v>
      </c>
      <c r="I1303" s="12">
        <f t="shared" si="62"/>
        <v>0.22919999999999999</v>
      </c>
      <c r="J1303" s="12">
        <f t="shared" si="63"/>
        <v>0.23153624281609195</v>
      </c>
    </row>
    <row r="1304" spans="1:10" ht="15" customHeight="1">
      <c r="A1304" s="7">
        <v>44038</v>
      </c>
      <c r="B1304" s="10">
        <v>117</v>
      </c>
      <c r="C1304">
        <v>47768</v>
      </c>
      <c r="D1304" s="5">
        <v>6.35</v>
      </c>
      <c r="F1304" s="8">
        <v>99.476998845039105</v>
      </c>
      <c r="G1304" s="8">
        <v>100</v>
      </c>
      <c r="H1304" s="2">
        <f t="shared" si="61"/>
        <v>6493737</v>
      </c>
      <c r="I1304" s="12">
        <f t="shared" si="62"/>
        <v>0.19903333333333334</v>
      </c>
      <c r="J1304" s="12">
        <f t="shared" si="63"/>
        <v>0.23125844017094016</v>
      </c>
    </row>
    <row r="1305" spans="1:10" ht="15" customHeight="1">
      <c r="A1305" s="7">
        <v>44039</v>
      </c>
      <c r="B1305" s="10">
        <v>118</v>
      </c>
      <c r="C1305">
        <v>48801</v>
      </c>
      <c r="D1305" s="5">
        <v>6.39</v>
      </c>
      <c r="F1305" s="8">
        <v>100</v>
      </c>
      <c r="G1305" s="8">
        <v>100</v>
      </c>
      <c r="H1305" s="2">
        <f t="shared" si="61"/>
        <v>6542538</v>
      </c>
      <c r="I1305" s="12">
        <f t="shared" si="62"/>
        <v>0.2033375</v>
      </c>
      <c r="J1305" s="12">
        <f t="shared" si="63"/>
        <v>0.23102182203389832</v>
      </c>
    </row>
    <row r="1306" spans="1:10" ht="15" customHeight="1">
      <c r="A1306" s="7">
        <v>44040</v>
      </c>
      <c r="B1306" s="10">
        <v>119</v>
      </c>
      <c r="C1306">
        <v>58239</v>
      </c>
      <c r="D1306" s="5">
        <v>7.3</v>
      </c>
      <c r="F1306" s="8">
        <v>100</v>
      </c>
      <c r="G1306" s="8">
        <v>100</v>
      </c>
      <c r="H1306" s="2">
        <f t="shared" si="61"/>
        <v>6600777</v>
      </c>
      <c r="I1306" s="12">
        <f t="shared" si="62"/>
        <v>0.2426625</v>
      </c>
      <c r="J1306" s="12">
        <f t="shared" si="63"/>
        <v>0.23111964285714287</v>
      </c>
    </row>
    <row r="1307" spans="1:10" ht="15" customHeight="1">
      <c r="A1307" s="7">
        <v>44041</v>
      </c>
      <c r="B1307" s="10">
        <v>120</v>
      </c>
      <c r="C1307">
        <v>60369</v>
      </c>
      <c r="D1307" s="5">
        <v>7.2</v>
      </c>
      <c r="F1307" s="8">
        <v>99.558441558441558</v>
      </c>
      <c r="G1307" s="8">
        <v>100</v>
      </c>
      <c r="H1307" s="2">
        <f t="shared" si="61"/>
        <v>6661146</v>
      </c>
      <c r="I1307" s="12">
        <f t="shared" si="62"/>
        <v>0.25153750000000002</v>
      </c>
      <c r="J1307" s="12">
        <f t="shared" si="63"/>
        <v>0.23128979166666666</v>
      </c>
    </row>
    <row r="1308" spans="1:10" ht="15" customHeight="1">
      <c r="A1308" s="7">
        <v>44042</v>
      </c>
      <c r="B1308" s="10">
        <v>121</v>
      </c>
      <c r="C1308">
        <v>57381</v>
      </c>
      <c r="D1308" s="5">
        <v>6.55</v>
      </c>
      <c r="F1308" s="8">
        <v>100</v>
      </c>
      <c r="G1308" s="8">
        <v>100</v>
      </c>
      <c r="H1308" s="2">
        <f t="shared" si="61"/>
        <v>6718527</v>
      </c>
      <c r="I1308" s="12">
        <f t="shared" si="62"/>
        <v>0.23908750000000001</v>
      </c>
      <c r="J1308" s="12">
        <f t="shared" si="63"/>
        <v>0.23135423553719009</v>
      </c>
    </row>
    <row r="1309" spans="1:10" ht="15" customHeight="1">
      <c r="A1309" s="7">
        <v>44043</v>
      </c>
      <c r="B1309" s="10">
        <v>122</v>
      </c>
      <c r="C1309">
        <v>32041</v>
      </c>
      <c r="D1309" s="5">
        <v>4.33</v>
      </c>
      <c r="F1309" s="8">
        <v>100</v>
      </c>
      <c r="G1309" s="8">
        <v>100</v>
      </c>
      <c r="H1309" s="2">
        <f t="shared" si="61"/>
        <v>6750568</v>
      </c>
      <c r="I1309" s="12">
        <f t="shared" si="62"/>
        <v>0.13350416666666667</v>
      </c>
      <c r="J1309" s="12">
        <f t="shared" si="63"/>
        <v>0.23055218579234973</v>
      </c>
    </row>
    <row r="1310" spans="1:10" ht="15" customHeight="1">
      <c r="A1310" s="7">
        <v>44044</v>
      </c>
      <c r="B1310" s="10">
        <v>123</v>
      </c>
      <c r="C1310">
        <v>54919</v>
      </c>
      <c r="D1310" s="5">
        <v>6.7</v>
      </c>
      <c r="F1310" s="8">
        <v>100</v>
      </c>
      <c r="G1310" s="8">
        <v>100</v>
      </c>
      <c r="H1310" s="2">
        <f t="shared" si="61"/>
        <v>6805487</v>
      </c>
      <c r="I1310" s="12">
        <f t="shared" si="62"/>
        <v>0.22882916666666667</v>
      </c>
      <c r="J1310" s="12">
        <f t="shared" si="63"/>
        <v>0.23053817750677508</v>
      </c>
    </row>
    <row r="1311" spans="1:10" ht="15" customHeight="1">
      <c r="A1311" s="7">
        <v>44045</v>
      </c>
      <c r="B1311" s="10">
        <v>124</v>
      </c>
      <c r="C1311">
        <v>60022</v>
      </c>
      <c r="D1311" s="5">
        <v>7.08</v>
      </c>
      <c r="F1311" s="8">
        <v>100</v>
      </c>
      <c r="G1311" s="8">
        <v>100</v>
      </c>
      <c r="H1311" s="2">
        <f t="shared" si="61"/>
        <v>6865509</v>
      </c>
      <c r="I1311" s="12">
        <f t="shared" si="62"/>
        <v>0.25009166666666666</v>
      </c>
      <c r="J1311" s="12">
        <f t="shared" si="63"/>
        <v>0.23069586693548388</v>
      </c>
    </row>
    <row r="1312" spans="1:10" ht="15" customHeight="1">
      <c r="A1312" s="7">
        <v>44046</v>
      </c>
      <c r="B1312" s="10">
        <v>125</v>
      </c>
      <c r="C1312">
        <v>60440</v>
      </c>
      <c r="D1312" s="5">
        <v>6.98</v>
      </c>
      <c r="F1312" s="8">
        <v>100</v>
      </c>
      <c r="G1312" s="8">
        <v>100</v>
      </c>
      <c r="H1312" s="2">
        <f t="shared" si="61"/>
        <v>6925949</v>
      </c>
      <c r="I1312" s="12">
        <f t="shared" si="62"/>
        <v>0.25183333333333335</v>
      </c>
      <c r="J1312" s="12">
        <f t="shared" si="63"/>
        <v>0.23086496666666667</v>
      </c>
    </row>
    <row r="1313" spans="1:10" ht="15" customHeight="1">
      <c r="A1313" s="7">
        <v>44047</v>
      </c>
      <c r="B1313" s="10">
        <v>126</v>
      </c>
      <c r="C1313">
        <v>61641</v>
      </c>
      <c r="D1313" s="5">
        <v>7.4</v>
      </c>
      <c r="F1313" s="8">
        <v>100</v>
      </c>
      <c r="G1313" s="8">
        <v>100</v>
      </c>
      <c r="H1313" s="2">
        <f t="shared" si="61"/>
        <v>6987590</v>
      </c>
      <c r="I1313" s="12">
        <f t="shared" si="62"/>
        <v>0.2568375</v>
      </c>
      <c r="J1313" s="12">
        <f t="shared" si="63"/>
        <v>0.23107109788359789</v>
      </c>
    </row>
    <row r="1314" spans="1:10" ht="15" customHeight="1">
      <c r="A1314" s="7">
        <v>44048</v>
      </c>
      <c r="B1314" s="10">
        <v>127</v>
      </c>
      <c r="C1314">
        <v>46493</v>
      </c>
      <c r="D1314" s="5">
        <v>6.12</v>
      </c>
      <c r="F1314" s="8">
        <v>100</v>
      </c>
      <c r="G1314" s="8">
        <v>100</v>
      </c>
      <c r="H1314" s="2">
        <f t="shared" si="61"/>
        <v>7034083</v>
      </c>
      <c r="I1314" s="12">
        <f t="shared" si="62"/>
        <v>0.19372083333333334</v>
      </c>
      <c r="J1314" s="12">
        <f t="shared" si="63"/>
        <v>0.23077700131233594</v>
      </c>
    </row>
    <row r="1315" spans="1:10" ht="15" customHeight="1">
      <c r="A1315" s="7">
        <v>44049</v>
      </c>
      <c r="B1315" s="10">
        <v>128</v>
      </c>
      <c r="C1315">
        <v>55374</v>
      </c>
      <c r="D1315" s="5">
        <v>6.66</v>
      </c>
      <c r="F1315" s="8">
        <v>100</v>
      </c>
      <c r="G1315" s="8">
        <v>100</v>
      </c>
      <c r="H1315" s="2">
        <f t="shared" si="61"/>
        <v>7089457</v>
      </c>
      <c r="I1315" s="12">
        <f t="shared" si="62"/>
        <v>0.23072500000000001</v>
      </c>
      <c r="J1315" s="12">
        <f t="shared" si="63"/>
        <v>0.23077659505208334</v>
      </c>
    </row>
    <row r="1316" spans="1:10" ht="15" customHeight="1">
      <c r="A1316" s="7">
        <v>44050</v>
      </c>
      <c r="B1316" s="10">
        <v>129</v>
      </c>
      <c r="C1316">
        <v>39348</v>
      </c>
      <c r="D1316" s="5">
        <v>5.12</v>
      </c>
      <c r="F1316" s="8">
        <v>100</v>
      </c>
      <c r="G1316" s="8">
        <v>100</v>
      </c>
      <c r="H1316" s="2">
        <f t="shared" si="61"/>
        <v>7128805</v>
      </c>
      <c r="I1316" s="12">
        <f t="shared" si="62"/>
        <v>0.16395000000000001</v>
      </c>
      <c r="J1316" s="12">
        <f t="shared" si="63"/>
        <v>0.23025855943152454</v>
      </c>
    </row>
    <row r="1317" spans="1:10" ht="15" customHeight="1">
      <c r="A1317" s="7">
        <v>44051</v>
      </c>
      <c r="B1317" s="10">
        <v>130</v>
      </c>
      <c r="C1317">
        <v>22424</v>
      </c>
      <c r="D1317" s="5">
        <v>2.5499999999999998</v>
      </c>
      <c r="F1317" s="8">
        <v>100</v>
      </c>
      <c r="G1317" s="8">
        <v>100</v>
      </c>
      <c r="H1317" s="2">
        <f t="shared" ref="H1317:H1380" si="64">H1316+C1317</f>
        <v>7151229</v>
      </c>
      <c r="I1317" s="12">
        <f t="shared" si="62"/>
        <v>9.3433333333333327E-2</v>
      </c>
      <c r="J1317" s="12">
        <f t="shared" si="63"/>
        <v>0.2292060576923077</v>
      </c>
    </row>
    <row r="1318" spans="1:10" ht="15" customHeight="1">
      <c r="A1318" s="7">
        <v>44052</v>
      </c>
      <c r="B1318" s="10">
        <v>131</v>
      </c>
      <c r="C1318">
        <v>54203</v>
      </c>
      <c r="D1318" s="5">
        <v>6.08</v>
      </c>
      <c r="F1318" s="8">
        <v>100</v>
      </c>
      <c r="G1318" s="8">
        <v>100</v>
      </c>
      <c r="H1318" s="2">
        <f t="shared" si="64"/>
        <v>7205432</v>
      </c>
      <c r="I1318" s="12">
        <f t="shared" si="62"/>
        <v>0.22584583333333333</v>
      </c>
      <c r="J1318" s="12">
        <f t="shared" si="63"/>
        <v>0.22918040712468193</v>
      </c>
    </row>
    <row r="1319" spans="1:10" ht="15" customHeight="1">
      <c r="A1319" s="7">
        <v>44053</v>
      </c>
      <c r="B1319" s="10">
        <v>132</v>
      </c>
      <c r="C1319">
        <v>36017</v>
      </c>
      <c r="D1319" s="5">
        <v>4.05</v>
      </c>
      <c r="F1319" s="8">
        <v>100</v>
      </c>
      <c r="G1319" s="8">
        <v>100</v>
      </c>
      <c r="H1319" s="2">
        <f t="shared" si="64"/>
        <v>7241449</v>
      </c>
      <c r="I1319" s="12">
        <f t="shared" si="62"/>
        <v>0.15007083333333332</v>
      </c>
      <c r="J1319" s="12">
        <f t="shared" si="63"/>
        <v>0.22858109217171718</v>
      </c>
    </row>
    <row r="1320" spans="1:10" ht="15" customHeight="1">
      <c r="A1320" s="7">
        <v>44054</v>
      </c>
      <c r="B1320" s="10">
        <v>133</v>
      </c>
      <c r="C1320">
        <v>38658</v>
      </c>
      <c r="D1320" s="5">
        <v>4.5599999999999996</v>
      </c>
      <c r="F1320" s="8">
        <v>100</v>
      </c>
      <c r="G1320" s="8">
        <v>100</v>
      </c>
      <c r="H1320" s="2">
        <f t="shared" si="64"/>
        <v>7280107</v>
      </c>
      <c r="I1320" s="12">
        <f t="shared" si="62"/>
        <v>0.161075</v>
      </c>
      <c r="J1320" s="12">
        <f t="shared" si="63"/>
        <v>0.2280735275689223</v>
      </c>
    </row>
    <row r="1321" spans="1:10" ht="15" customHeight="1">
      <c r="A1321" s="7">
        <v>44055</v>
      </c>
      <c r="B1321" s="10">
        <v>134</v>
      </c>
      <c r="C1321">
        <v>59836</v>
      </c>
      <c r="D1321" s="5">
        <v>7.07</v>
      </c>
      <c r="F1321" s="8">
        <v>100</v>
      </c>
      <c r="G1321" s="8">
        <v>100</v>
      </c>
      <c r="H1321" s="2">
        <f t="shared" si="64"/>
        <v>7339943</v>
      </c>
      <c r="I1321" s="12">
        <f t="shared" si="62"/>
        <v>0.24931666666666666</v>
      </c>
      <c r="J1321" s="12">
        <f t="shared" si="63"/>
        <v>0.22823205845771144</v>
      </c>
    </row>
    <row r="1322" spans="1:10" ht="15" customHeight="1">
      <c r="A1322" s="7">
        <v>44056</v>
      </c>
      <c r="B1322" s="10">
        <v>135</v>
      </c>
      <c r="C1322">
        <v>55359</v>
      </c>
      <c r="D1322" s="5">
        <v>6.69</v>
      </c>
      <c r="F1322" s="8">
        <v>100</v>
      </c>
      <c r="G1322" s="8">
        <v>100</v>
      </c>
      <c r="H1322" s="2">
        <f t="shared" si="64"/>
        <v>7395302</v>
      </c>
      <c r="I1322" s="12">
        <f t="shared" si="62"/>
        <v>0.23066249999999999</v>
      </c>
      <c r="J1322" s="12">
        <f t="shared" si="63"/>
        <v>0.22825006172839507</v>
      </c>
    </row>
    <row r="1323" spans="1:10" ht="15" customHeight="1">
      <c r="A1323" s="7">
        <v>44057</v>
      </c>
      <c r="B1323" s="10">
        <v>136</v>
      </c>
      <c r="C1323">
        <v>54834</v>
      </c>
      <c r="D1323" s="5">
        <v>6.63</v>
      </c>
      <c r="F1323" s="8">
        <v>100</v>
      </c>
      <c r="G1323" s="8">
        <v>100</v>
      </c>
      <c r="H1323" s="2">
        <f t="shared" si="64"/>
        <v>7450136</v>
      </c>
      <c r="I1323" s="12">
        <f t="shared" si="62"/>
        <v>0.22847500000000001</v>
      </c>
      <c r="J1323" s="12">
        <f t="shared" si="63"/>
        <v>0.2282517156862745</v>
      </c>
    </row>
    <row r="1324" spans="1:10" ht="15" customHeight="1">
      <c r="A1324" s="7">
        <v>44058</v>
      </c>
      <c r="B1324" s="10">
        <v>137</v>
      </c>
      <c r="C1324">
        <v>37822</v>
      </c>
      <c r="D1324" s="5">
        <v>4.8499999999999996</v>
      </c>
      <c r="F1324" s="8">
        <v>100</v>
      </c>
      <c r="G1324" s="8">
        <v>100</v>
      </c>
      <c r="H1324" s="2">
        <f t="shared" si="64"/>
        <v>7487958</v>
      </c>
      <c r="I1324" s="12">
        <f t="shared" si="62"/>
        <v>0.15759166666666666</v>
      </c>
      <c r="J1324" s="12">
        <f t="shared" si="63"/>
        <v>0.22773594890510948</v>
      </c>
    </row>
    <row r="1325" spans="1:10" ht="15" customHeight="1">
      <c r="A1325" s="7">
        <v>44059</v>
      </c>
      <c r="B1325" s="10">
        <v>138</v>
      </c>
      <c r="C1325">
        <v>59296</v>
      </c>
      <c r="D1325" s="5">
        <v>6.81</v>
      </c>
      <c r="F1325" s="8">
        <v>100</v>
      </c>
      <c r="G1325" s="8">
        <v>100</v>
      </c>
      <c r="H1325" s="2">
        <f t="shared" si="64"/>
        <v>7547254</v>
      </c>
      <c r="I1325" s="12">
        <f t="shared" si="62"/>
        <v>0.24706666666666666</v>
      </c>
      <c r="J1325" s="12">
        <f t="shared" si="63"/>
        <v>0.2278760265700483</v>
      </c>
    </row>
    <row r="1326" spans="1:10" ht="15" customHeight="1">
      <c r="A1326" s="7">
        <v>44060</v>
      </c>
      <c r="B1326" s="10">
        <v>139</v>
      </c>
      <c r="C1326">
        <v>56939</v>
      </c>
      <c r="D1326" s="5">
        <v>6.61</v>
      </c>
      <c r="F1326" s="8">
        <v>100</v>
      </c>
      <c r="G1326" s="8">
        <v>100</v>
      </c>
      <c r="H1326" s="2">
        <f t="shared" si="64"/>
        <v>7604193</v>
      </c>
      <c r="I1326" s="12">
        <f t="shared" si="62"/>
        <v>0.23724583333333332</v>
      </c>
      <c r="J1326" s="12">
        <f t="shared" si="63"/>
        <v>0.22794343525179855</v>
      </c>
    </row>
    <row r="1327" spans="1:10" ht="15" customHeight="1">
      <c r="A1327" s="7">
        <v>44061</v>
      </c>
      <c r="B1327" s="10">
        <v>140</v>
      </c>
      <c r="C1327">
        <v>54440</v>
      </c>
      <c r="D1327" s="5">
        <v>6.5</v>
      </c>
      <c r="F1327" s="8">
        <v>100</v>
      </c>
      <c r="G1327" s="8">
        <v>100</v>
      </c>
      <c r="H1327" s="2">
        <f t="shared" si="64"/>
        <v>7658633</v>
      </c>
      <c r="I1327" s="12">
        <f t="shared" si="62"/>
        <v>0.22683333333333333</v>
      </c>
      <c r="J1327" s="12">
        <f t="shared" si="63"/>
        <v>0.22793550595238096</v>
      </c>
    </row>
    <row r="1328" spans="1:10" ht="15" customHeight="1">
      <c r="A1328" s="7">
        <v>44062</v>
      </c>
      <c r="B1328" s="10">
        <v>141</v>
      </c>
      <c r="C1328">
        <v>57351</v>
      </c>
      <c r="D1328" s="5">
        <v>7.03</v>
      </c>
      <c r="F1328" s="8">
        <v>100</v>
      </c>
      <c r="G1328" s="8">
        <v>100</v>
      </c>
      <c r="H1328" s="2">
        <f t="shared" si="64"/>
        <v>7715984</v>
      </c>
      <c r="I1328" s="12">
        <f t="shared" si="62"/>
        <v>0.23896249999999999</v>
      </c>
      <c r="J1328" s="12">
        <f t="shared" si="63"/>
        <v>0.22801371158392436</v>
      </c>
    </row>
    <row r="1329" spans="1:10" ht="15" customHeight="1">
      <c r="A1329" s="7">
        <v>44063</v>
      </c>
      <c r="B1329" s="10">
        <v>142</v>
      </c>
      <c r="C1329">
        <v>41397</v>
      </c>
      <c r="D1329" s="5">
        <v>5.1100000000000003</v>
      </c>
      <c r="F1329" s="8">
        <v>100</v>
      </c>
      <c r="G1329" s="8">
        <v>100</v>
      </c>
      <c r="H1329" s="2">
        <f t="shared" si="64"/>
        <v>7757381</v>
      </c>
      <c r="I1329" s="12">
        <f t="shared" si="62"/>
        <v>0.17248749999999999</v>
      </c>
      <c r="J1329" s="12">
        <f t="shared" si="63"/>
        <v>0.22762268192488264</v>
      </c>
    </row>
    <row r="1330" spans="1:10" ht="15" customHeight="1">
      <c r="A1330" s="7">
        <v>44064</v>
      </c>
      <c r="B1330" s="10">
        <v>143</v>
      </c>
      <c r="C1330">
        <v>36874</v>
      </c>
      <c r="D1330" s="5">
        <v>3.32</v>
      </c>
      <c r="F1330" s="8">
        <v>97.797299069096638</v>
      </c>
      <c r="G1330" s="8">
        <v>100</v>
      </c>
      <c r="H1330" s="2">
        <f t="shared" si="64"/>
        <v>7794255</v>
      </c>
      <c r="I1330" s="12">
        <f t="shared" si="62"/>
        <v>0.15364166666666668</v>
      </c>
      <c r="J1330" s="12">
        <f t="shared" si="63"/>
        <v>0.22710533216783216</v>
      </c>
    </row>
    <row r="1331" spans="1:10" ht="15" customHeight="1">
      <c r="A1331" s="7">
        <v>44065</v>
      </c>
      <c r="B1331" s="10">
        <v>144</v>
      </c>
      <c r="C1331">
        <v>59884</v>
      </c>
      <c r="D1331" s="5">
        <v>6.81</v>
      </c>
      <c r="F1331" s="8">
        <v>100</v>
      </c>
      <c r="G1331" s="8">
        <v>100</v>
      </c>
      <c r="H1331" s="2">
        <f t="shared" si="64"/>
        <v>7854139</v>
      </c>
      <c r="I1331" s="12">
        <f t="shared" si="62"/>
        <v>0.24951666666666666</v>
      </c>
      <c r="J1331" s="12">
        <f t="shared" si="63"/>
        <v>0.22726096643518517</v>
      </c>
    </row>
    <row r="1332" spans="1:10" ht="15" customHeight="1">
      <c r="A1332" s="7">
        <v>44066</v>
      </c>
      <c r="B1332" s="10">
        <v>145</v>
      </c>
      <c r="C1332">
        <v>59719</v>
      </c>
      <c r="D1332" s="5">
        <v>6.82</v>
      </c>
      <c r="F1332" s="8">
        <v>100</v>
      </c>
      <c r="G1332" s="8">
        <v>100</v>
      </c>
      <c r="H1332" s="2">
        <f t="shared" si="64"/>
        <v>7913858</v>
      </c>
      <c r="I1332" s="12">
        <f t="shared" si="62"/>
        <v>0.24882916666666666</v>
      </c>
      <c r="J1332" s="12">
        <f t="shared" si="63"/>
        <v>0.22740971264367815</v>
      </c>
    </row>
    <row r="1333" spans="1:10" ht="15" customHeight="1">
      <c r="A1333" s="7">
        <v>44067</v>
      </c>
      <c r="B1333" s="10">
        <v>146</v>
      </c>
      <c r="C1333">
        <v>47847</v>
      </c>
      <c r="D1333" s="5">
        <v>5.65</v>
      </c>
      <c r="F1333" s="8">
        <v>100</v>
      </c>
      <c r="G1333" s="8">
        <v>100</v>
      </c>
      <c r="H1333" s="2">
        <f t="shared" si="64"/>
        <v>7961705</v>
      </c>
      <c r="I1333" s="12">
        <f t="shared" si="62"/>
        <v>0.1993625</v>
      </c>
      <c r="J1333" s="12">
        <f t="shared" si="63"/>
        <v>0.22721760844748859</v>
      </c>
    </row>
    <row r="1334" spans="1:10" ht="15" customHeight="1">
      <c r="A1334" s="7">
        <v>44068</v>
      </c>
      <c r="B1334" s="10">
        <v>147</v>
      </c>
      <c r="C1334">
        <v>35236</v>
      </c>
      <c r="D1334" s="5">
        <v>4.12</v>
      </c>
      <c r="F1334" s="8">
        <v>100</v>
      </c>
      <c r="G1334" s="8">
        <v>100</v>
      </c>
      <c r="H1334" s="2">
        <f t="shared" si="64"/>
        <v>7996941</v>
      </c>
      <c r="I1334" s="12">
        <f t="shared" si="62"/>
        <v>0.14681666666666668</v>
      </c>
      <c r="J1334" s="12">
        <f t="shared" si="63"/>
        <v>0.22667066326530613</v>
      </c>
    </row>
    <row r="1335" spans="1:10" ht="15" customHeight="1">
      <c r="A1335" s="7">
        <v>44069</v>
      </c>
      <c r="B1335" s="10">
        <v>148</v>
      </c>
      <c r="C1335">
        <v>45400</v>
      </c>
      <c r="D1335" s="5">
        <v>5.27</v>
      </c>
      <c r="F1335" s="8">
        <v>100</v>
      </c>
      <c r="G1335" s="8">
        <v>100</v>
      </c>
      <c r="H1335" s="2">
        <f t="shared" si="64"/>
        <v>8042341</v>
      </c>
      <c r="I1335" s="12">
        <f t="shared" si="62"/>
        <v>0.18916666666666668</v>
      </c>
      <c r="J1335" s="12">
        <f t="shared" si="63"/>
        <v>0.22641725788288289</v>
      </c>
    </row>
    <row r="1336" spans="1:10" ht="15" customHeight="1">
      <c r="A1336" s="7">
        <v>44070</v>
      </c>
      <c r="B1336" s="10">
        <v>149</v>
      </c>
      <c r="C1336">
        <v>44528</v>
      </c>
      <c r="D1336" s="5">
        <v>5.78</v>
      </c>
      <c r="F1336" s="8">
        <v>100</v>
      </c>
      <c r="G1336" s="8">
        <v>100</v>
      </c>
      <c r="H1336" s="2">
        <f t="shared" si="64"/>
        <v>8086869</v>
      </c>
      <c r="I1336" s="12">
        <f t="shared" si="62"/>
        <v>0.18553333333333333</v>
      </c>
      <c r="J1336" s="12">
        <f t="shared" si="63"/>
        <v>0.22614286912751677</v>
      </c>
    </row>
    <row r="1337" spans="1:10" ht="15" customHeight="1">
      <c r="A1337" s="7">
        <v>44071</v>
      </c>
      <c r="B1337" s="10">
        <v>150</v>
      </c>
      <c r="C1337">
        <v>59220</v>
      </c>
      <c r="D1337" s="5">
        <v>6.65</v>
      </c>
      <c r="F1337" s="8">
        <v>100</v>
      </c>
      <c r="G1337" s="8">
        <v>100</v>
      </c>
      <c r="H1337" s="2">
        <f t="shared" si="64"/>
        <v>8146089</v>
      </c>
      <c r="I1337" s="12">
        <f t="shared" si="62"/>
        <v>0.24675</v>
      </c>
      <c r="J1337" s="12">
        <f t="shared" si="63"/>
        <v>0.22628024999999999</v>
      </c>
    </row>
    <row r="1338" spans="1:10" ht="15" customHeight="1">
      <c r="A1338" s="7">
        <v>44072</v>
      </c>
      <c r="B1338" s="10">
        <v>151</v>
      </c>
      <c r="C1338">
        <v>24262</v>
      </c>
      <c r="D1338" s="5">
        <v>2.5499999999999998</v>
      </c>
      <c r="F1338" s="8">
        <v>100</v>
      </c>
      <c r="G1338" s="8">
        <v>100</v>
      </c>
      <c r="H1338" s="2">
        <f t="shared" si="64"/>
        <v>8170351</v>
      </c>
      <c r="I1338" s="12">
        <f t="shared" si="62"/>
        <v>0.10109166666666666</v>
      </c>
      <c r="J1338" s="12">
        <f t="shared" si="63"/>
        <v>0.22545118653421634</v>
      </c>
    </row>
    <row r="1339" spans="1:10" ht="15" customHeight="1">
      <c r="A1339" s="7">
        <v>44073</v>
      </c>
      <c r="B1339" s="10">
        <v>152</v>
      </c>
      <c r="C1339">
        <v>47005</v>
      </c>
      <c r="D1339" s="5">
        <v>5.68</v>
      </c>
      <c r="F1339" s="8">
        <v>100</v>
      </c>
      <c r="G1339" s="8">
        <v>100</v>
      </c>
      <c r="H1339" s="2">
        <f t="shared" si="64"/>
        <v>8217356</v>
      </c>
      <c r="I1339" s="12">
        <f t="shared" si="62"/>
        <v>0.19585416666666666</v>
      </c>
      <c r="J1339" s="12">
        <f t="shared" si="63"/>
        <v>0.22525646929824561</v>
      </c>
    </row>
    <row r="1340" spans="1:10" ht="15" customHeight="1">
      <c r="A1340" s="7">
        <v>44074</v>
      </c>
      <c r="B1340" s="10">
        <v>153</v>
      </c>
      <c r="C1340">
        <v>15682</v>
      </c>
      <c r="D1340" s="5">
        <v>2.2400000000000002</v>
      </c>
      <c r="F1340" s="8">
        <v>100</v>
      </c>
      <c r="G1340" s="8">
        <v>100</v>
      </c>
      <c r="H1340" s="2">
        <f t="shared" si="64"/>
        <v>8233038</v>
      </c>
      <c r="I1340" s="12">
        <f t="shared" si="62"/>
        <v>6.5341666666666673E-2</v>
      </c>
      <c r="J1340" s="12">
        <f t="shared" si="63"/>
        <v>0.22421127450980391</v>
      </c>
    </row>
    <row r="1341" spans="1:10" ht="15" customHeight="1">
      <c r="A1341" s="7">
        <v>44075</v>
      </c>
      <c r="B1341" s="10">
        <v>154</v>
      </c>
      <c r="C1341">
        <v>35741</v>
      </c>
      <c r="D1341" s="5">
        <v>4.01</v>
      </c>
      <c r="F1341" s="8">
        <v>100</v>
      </c>
      <c r="G1341" s="8">
        <v>100</v>
      </c>
      <c r="H1341" s="2">
        <f t="shared" si="64"/>
        <v>8268779</v>
      </c>
      <c r="I1341" s="12">
        <f t="shared" si="62"/>
        <v>0.14892083333333334</v>
      </c>
      <c r="J1341" s="12">
        <f t="shared" si="63"/>
        <v>0.22372237554112553</v>
      </c>
    </row>
    <row r="1342" spans="1:10" ht="15" customHeight="1">
      <c r="A1342" s="7">
        <v>44076</v>
      </c>
      <c r="B1342" s="10">
        <v>155</v>
      </c>
      <c r="C1342">
        <v>42014</v>
      </c>
      <c r="D1342" s="5">
        <v>4.5999999999999996</v>
      </c>
      <c r="F1342" s="8">
        <v>100</v>
      </c>
      <c r="G1342" s="8">
        <v>100</v>
      </c>
      <c r="H1342" s="2">
        <f t="shared" si="64"/>
        <v>8310793</v>
      </c>
      <c r="I1342" s="12">
        <f t="shared" si="62"/>
        <v>0.17505833333333334</v>
      </c>
      <c r="J1342" s="12">
        <f t="shared" si="63"/>
        <v>0.22340841397849462</v>
      </c>
    </row>
    <row r="1343" spans="1:10" ht="15" customHeight="1">
      <c r="A1343" s="7">
        <v>44077</v>
      </c>
      <c r="B1343" s="10">
        <v>156</v>
      </c>
      <c r="C1343">
        <v>40865</v>
      </c>
      <c r="D1343" s="5">
        <v>4.51</v>
      </c>
      <c r="F1343" s="8">
        <v>100</v>
      </c>
      <c r="G1343" s="8">
        <v>100</v>
      </c>
      <c r="H1343" s="2">
        <f t="shared" si="64"/>
        <v>8351658</v>
      </c>
      <c r="I1343" s="12">
        <f t="shared" si="62"/>
        <v>0.17027083333333334</v>
      </c>
      <c r="J1343" s="12">
        <f t="shared" si="63"/>
        <v>0.22306778846153846</v>
      </c>
    </row>
    <row r="1344" spans="1:10" ht="15" customHeight="1">
      <c r="A1344" s="7">
        <v>44078</v>
      </c>
      <c r="B1344" s="10">
        <v>157</v>
      </c>
      <c r="C1344">
        <v>45307</v>
      </c>
      <c r="D1344" s="5">
        <v>4.71</v>
      </c>
      <c r="F1344" s="8">
        <v>100</v>
      </c>
      <c r="G1344" s="8">
        <v>100</v>
      </c>
      <c r="H1344" s="2">
        <f t="shared" si="64"/>
        <v>8396965</v>
      </c>
      <c r="I1344" s="12">
        <f t="shared" si="62"/>
        <v>0.18877916666666666</v>
      </c>
      <c r="J1344" s="12">
        <f t="shared" si="63"/>
        <v>0.22284938959660297</v>
      </c>
    </row>
    <row r="1345" spans="1:10" ht="15" customHeight="1">
      <c r="A1345" s="7">
        <v>44079</v>
      </c>
      <c r="B1345" s="10">
        <v>158</v>
      </c>
      <c r="C1345">
        <v>41244</v>
      </c>
      <c r="D1345" s="5">
        <v>4.5</v>
      </c>
      <c r="F1345" s="8">
        <v>100</v>
      </c>
      <c r="G1345" s="8">
        <v>100</v>
      </c>
      <c r="H1345" s="2">
        <f t="shared" si="64"/>
        <v>8438209</v>
      </c>
      <c r="I1345" s="12">
        <f t="shared" si="62"/>
        <v>0.17185</v>
      </c>
      <c r="J1345" s="12">
        <f t="shared" si="63"/>
        <v>0.22252660864978904</v>
      </c>
    </row>
    <row r="1346" spans="1:10" ht="15" customHeight="1">
      <c r="A1346" s="7">
        <v>44080</v>
      </c>
      <c r="B1346" s="10">
        <v>159</v>
      </c>
      <c r="C1346">
        <v>46322</v>
      </c>
      <c r="D1346" s="5">
        <v>5.48</v>
      </c>
      <c r="F1346" s="8">
        <v>98.676734987414591</v>
      </c>
      <c r="G1346" s="8">
        <v>99.305555555555557</v>
      </c>
      <c r="H1346" s="2">
        <f t="shared" si="64"/>
        <v>8484531</v>
      </c>
      <c r="I1346" s="12">
        <f t="shared" si="62"/>
        <v>0.19300833333333334</v>
      </c>
      <c r="J1346" s="12">
        <f t="shared" si="63"/>
        <v>0.22234095911949686</v>
      </c>
    </row>
    <row r="1347" spans="1:10" ht="15" customHeight="1">
      <c r="A1347" s="7">
        <v>44081</v>
      </c>
      <c r="B1347" s="10">
        <v>160</v>
      </c>
      <c r="C1347">
        <v>59033</v>
      </c>
      <c r="D1347" s="5">
        <v>6.44</v>
      </c>
      <c r="F1347" s="8">
        <v>100</v>
      </c>
      <c r="G1347" s="8">
        <v>100</v>
      </c>
      <c r="H1347" s="2">
        <f t="shared" si="64"/>
        <v>8543564</v>
      </c>
      <c r="I1347" s="12">
        <f t="shared" ref="I1347:I1410" si="65">C1347/(10*24*1000)</f>
        <v>0.24597083333333333</v>
      </c>
      <c r="J1347" s="12">
        <f t="shared" si="63"/>
        <v>0.22248864583333333</v>
      </c>
    </row>
    <row r="1348" spans="1:10" ht="15" customHeight="1">
      <c r="A1348" s="7">
        <v>44082</v>
      </c>
      <c r="B1348" s="10">
        <v>161</v>
      </c>
      <c r="C1348">
        <v>60137</v>
      </c>
      <c r="D1348" s="5">
        <v>6.44</v>
      </c>
      <c r="F1348" s="8">
        <v>100</v>
      </c>
      <c r="G1348" s="8">
        <v>100</v>
      </c>
      <c r="H1348" s="2">
        <f t="shared" si="64"/>
        <v>8603701</v>
      </c>
      <c r="I1348" s="12">
        <f t="shared" si="65"/>
        <v>0.25057083333333335</v>
      </c>
      <c r="J1348" s="12">
        <f t="shared" ref="J1348:J1411" si="66">H1348/(24*B1348*10*1000)</f>
        <v>0.22266306935817806</v>
      </c>
    </row>
    <row r="1349" spans="1:10" ht="15" customHeight="1">
      <c r="A1349" s="7">
        <v>44083</v>
      </c>
      <c r="B1349" s="10">
        <v>162</v>
      </c>
      <c r="C1349">
        <v>59240</v>
      </c>
      <c r="D1349" s="5">
        <v>6.38</v>
      </c>
      <c r="F1349" s="8">
        <v>100</v>
      </c>
      <c r="G1349" s="8">
        <v>100</v>
      </c>
      <c r="H1349" s="2">
        <f t="shared" si="64"/>
        <v>8662941</v>
      </c>
      <c r="I1349" s="12">
        <f t="shared" si="65"/>
        <v>0.24683333333333332</v>
      </c>
      <c r="J1349" s="12">
        <f t="shared" si="66"/>
        <v>0.22281226851851851</v>
      </c>
    </row>
    <row r="1350" spans="1:10" ht="15" customHeight="1">
      <c r="A1350" s="7">
        <v>44084</v>
      </c>
      <c r="B1350" s="10">
        <v>163</v>
      </c>
      <c r="C1350">
        <v>54704</v>
      </c>
      <c r="D1350" s="5">
        <v>5.85</v>
      </c>
      <c r="F1350" s="8">
        <v>100</v>
      </c>
      <c r="G1350" s="8">
        <v>100</v>
      </c>
      <c r="H1350" s="2">
        <f t="shared" si="64"/>
        <v>8717645</v>
      </c>
      <c r="I1350" s="12">
        <f t="shared" si="65"/>
        <v>0.22793333333333332</v>
      </c>
      <c r="J1350" s="12">
        <f t="shared" si="66"/>
        <v>0.22284368609406954</v>
      </c>
    </row>
    <row r="1351" spans="1:10" ht="15" customHeight="1">
      <c r="A1351" s="7">
        <v>44085</v>
      </c>
      <c r="B1351" s="10">
        <v>164</v>
      </c>
      <c r="C1351">
        <v>58731</v>
      </c>
      <c r="D1351" s="5">
        <v>6.37</v>
      </c>
      <c r="F1351" s="8">
        <v>100</v>
      </c>
      <c r="G1351" s="8">
        <v>100</v>
      </c>
      <c r="H1351" s="2">
        <f t="shared" si="64"/>
        <v>8776376</v>
      </c>
      <c r="I1351" s="12">
        <f t="shared" si="65"/>
        <v>0.2447125</v>
      </c>
      <c r="J1351" s="12">
        <f t="shared" si="66"/>
        <v>0.22297703252032519</v>
      </c>
    </row>
    <row r="1352" spans="1:10" ht="15" customHeight="1">
      <c r="A1352" s="7">
        <v>44086</v>
      </c>
      <c r="B1352" s="10">
        <v>165</v>
      </c>
      <c r="C1352">
        <v>48045</v>
      </c>
      <c r="D1352" s="5">
        <v>5.42</v>
      </c>
      <c r="F1352" s="8">
        <v>100</v>
      </c>
      <c r="G1352" s="8">
        <v>100</v>
      </c>
      <c r="H1352" s="2">
        <f t="shared" si="64"/>
        <v>8824421</v>
      </c>
      <c r="I1352" s="12">
        <f t="shared" si="65"/>
        <v>0.20018749999999999</v>
      </c>
      <c r="J1352" s="12">
        <f t="shared" si="66"/>
        <v>0.22283891414141413</v>
      </c>
    </row>
    <row r="1353" spans="1:10" ht="15" customHeight="1">
      <c r="A1353" s="7">
        <v>44087</v>
      </c>
      <c r="B1353" s="10">
        <v>166</v>
      </c>
      <c r="C1353">
        <v>54054</v>
      </c>
      <c r="D1353" s="5">
        <v>5.77</v>
      </c>
      <c r="F1353" s="8">
        <v>100</v>
      </c>
      <c r="G1353" s="8">
        <v>100</v>
      </c>
      <c r="H1353" s="2">
        <f t="shared" si="64"/>
        <v>8878475</v>
      </c>
      <c r="I1353" s="12">
        <f t="shared" si="65"/>
        <v>0.22522500000000001</v>
      </c>
      <c r="J1353" s="12">
        <f t="shared" si="66"/>
        <v>0.22285328815261043</v>
      </c>
    </row>
    <row r="1354" spans="1:10" ht="15" customHeight="1">
      <c r="A1354" s="7">
        <v>44088</v>
      </c>
      <c r="B1354" s="10">
        <v>167</v>
      </c>
      <c r="C1354">
        <v>55439</v>
      </c>
      <c r="D1354" s="5">
        <v>5.89</v>
      </c>
      <c r="F1354" s="8">
        <v>100</v>
      </c>
      <c r="G1354" s="8">
        <v>100</v>
      </c>
      <c r="H1354" s="2">
        <f t="shared" si="64"/>
        <v>8933914</v>
      </c>
      <c r="I1354" s="12">
        <f t="shared" si="65"/>
        <v>0.23099583333333334</v>
      </c>
      <c r="J1354" s="12">
        <f t="shared" si="66"/>
        <v>0.22290204590818363</v>
      </c>
    </row>
    <row r="1355" spans="1:10" ht="15" customHeight="1">
      <c r="A1355" s="7">
        <v>44089</v>
      </c>
      <c r="B1355" s="10">
        <v>168</v>
      </c>
      <c r="C1355">
        <v>48089</v>
      </c>
      <c r="D1355" s="5">
        <v>5.14</v>
      </c>
      <c r="F1355" s="8">
        <v>100</v>
      </c>
      <c r="G1355" s="8">
        <v>100</v>
      </c>
      <c r="H1355" s="2">
        <f t="shared" si="64"/>
        <v>8982003</v>
      </c>
      <c r="I1355" s="12">
        <f t="shared" si="65"/>
        <v>0.20037083333333333</v>
      </c>
      <c r="J1355" s="12">
        <f t="shared" si="66"/>
        <v>0.22276793154761904</v>
      </c>
    </row>
    <row r="1356" spans="1:10" ht="15" customHeight="1">
      <c r="A1356" s="7">
        <v>44090</v>
      </c>
      <c r="B1356" s="10">
        <v>169</v>
      </c>
      <c r="C1356">
        <v>55172</v>
      </c>
      <c r="D1356" s="5">
        <v>5.83</v>
      </c>
      <c r="F1356" s="8">
        <v>100</v>
      </c>
      <c r="G1356" s="8">
        <v>100</v>
      </c>
      <c r="H1356" s="2">
        <f t="shared" si="64"/>
        <v>9037175</v>
      </c>
      <c r="I1356" s="12">
        <f t="shared" si="65"/>
        <v>0.22988333333333333</v>
      </c>
      <c r="J1356" s="12">
        <f t="shared" si="66"/>
        <v>0.22281003451676529</v>
      </c>
    </row>
    <row r="1357" spans="1:10" ht="15" customHeight="1">
      <c r="A1357" s="7">
        <v>44091</v>
      </c>
      <c r="B1357" s="10">
        <v>170</v>
      </c>
      <c r="C1357">
        <v>56810</v>
      </c>
      <c r="D1357" s="5">
        <v>5.89</v>
      </c>
      <c r="F1357" s="8">
        <v>100</v>
      </c>
      <c r="G1357" s="8">
        <v>100</v>
      </c>
      <c r="H1357" s="2">
        <f t="shared" si="64"/>
        <v>9093985</v>
      </c>
      <c r="I1357" s="12">
        <f t="shared" si="65"/>
        <v>0.23670833333333333</v>
      </c>
      <c r="J1357" s="12">
        <f t="shared" si="66"/>
        <v>0.22289178921568628</v>
      </c>
    </row>
    <row r="1358" spans="1:10" ht="15" customHeight="1">
      <c r="A1358" s="7">
        <v>44092</v>
      </c>
      <c r="B1358" s="10">
        <v>171</v>
      </c>
      <c r="C1358">
        <v>36793</v>
      </c>
      <c r="D1358" s="5">
        <v>6.16</v>
      </c>
      <c r="F1358" s="8">
        <v>100</v>
      </c>
      <c r="G1358" s="8">
        <v>84.027777777777786</v>
      </c>
      <c r="H1358" s="2">
        <f t="shared" si="64"/>
        <v>9130778</v>
      </c>
      <c r="I1358" s="12">
        <f t="shared" si="65"/>
        <v>0.15330416666666666</v>
      </c>
      <c r="J1358" s="12">
        <f t="shared" si="66"/>
        <v>0.22248484405458091</v>
      </c>
    </row>
    <row r="1359" spans="1:10" ht="15" customHeight="1">
      <c r="A1359" s="7">
        <v>44093</v>
      </c>
      <c r="B1359" s="10">
        <v>172</v>
      </c>
      <c r="C1359">
        <v>57923</v>
      </c>
      <c r="D1359" s="5">
        <v>6.11</v>
      </c>
      <c r="F1359" s="8">
        <v>100</v>
      </c>
      <c r="G1359" s="8">
        <v>100</v>
      </c>
      <c r="H1359" s="2">
        <f t="shared" si="64"/>
        <v>9188701</v>
      </c>
      <c r="I1359" s="12">
        <f t="shared" si="65"/>
        <v>0.24134583333333334</v>
      </c>
      <c r="J1359" s="12">
        <f t="shared" si="66"/>
        <v>0.22259450096899225</v>
      </c>
    </row>
    <row r="1360" spans="1:10" ht="15" customHeight="1">
      <c r="A1360" s="7">
        <v>44094</v>
      </c>
      <c r="B1360" s="10">
        <v>173</v>
      </c>
      <c r="C1360">
        <v>54413</v>
      </c>
      <c r="D1360" s="5">
        <v>5.66</v>
      </c>
      <c r="F1360" s="8">
        <v>100</v>
      </c>
      <c r="G1360" s="8">
        <v>100</v>
      </c>
      <c r="H1360" s="2">
        <f t="shared" si="64"/>
        <v>9243114</v>
      </c>
      <c r="I1360" s="12">
        <f t="shared" si="65"/>
        <v>0.22672083333333334</v>
      </c>
      <c r="J1360" s="12">
        <f t="shared" si="66"/>
        <v>0.22261835260115606</v>
      </c>
    </row>
    <row r="1361" spans="1:10" ht="15" customHeight="1">
      <c r="A1361" s="7">
        <v>44095</v>
      </c>
      <c r="B1361" s="10">
        <v>174</v>
      </c>
      <c r="C1361">
        <v>59440</v>
      </c>
      <c r="D1361" s="5">
        <v>6.12</v>
      </c>
      <c r="F1361" s="8">
        <v>100</v>
      </c>
      <c r="G1361" s="8">
        <v>100</v>
      </c>
      <c r="H1361" s="2">
        <f t="shared" si="64"/>
        <v>9302554</v>
      </c>
      <c r="I1361" s="12">
        <f t="shared" si="65"/>
        <v>0.24766666666666667</v>
      </c>
      <c r="J1361" s="12">
        <f t="shared" si="66"/>
        <v>0.22276230842911876</v>
      </c>
    </row>
    <row r="1362" spans="1:10" ht="15" customHeight="1">
      <c r="A1362" s="7">
        <v>44096</v>
      </c>
      <c r="B1362" s="10">
        <v>175</v>
      </c>
      <c r="C1362">
        <v>59569</v>
      </c>
      <c r="D1362" s="5">
        <v>6.25</v>
      </c>
      <c r="F1362" s="8">
        <v>100</v>
      </c>
      <c r="G1362" s="8">
        <v>100</v>
      </c>
      <c r="H1362" s="2">
        <f t="shared" si="64"/>
        <v>9362123</v>
      </c>
      <c r="I1362" s="12">
        <f t="shared" si="65"/>
        <v>0.24820416666666667</v>
      </c>
      <c r="J1362" s="12">
        <f t="shared" si="66"/>
        <v>0.22290769047619047</v>
      </c>
    </row>
    <row r="1363" spans="1:10" ht="15" customHeight="1">
      <c r="A1363" s="7">
        <v>44097</v>
      </c>
      <c r="B1363" s="10">
        <v>176</v>
      </c>
      <c r="C1363">
        <v>53104</v>
      </c>
      <c r="D1363" s="5">
        <v>5.56</v>
      </c>
      <c r="F1363" s="8">
        <v>100</v>
      </c>
      <c r="G1363" s="8">
        <v>100</v>
      </c>
      <c r="H1363" s="2">
        <f t="shared" si="64"/>
        <v>9415227</v>
      </c>
      <c r="I1363" s="12">
        <f t="shared" si="65"/>
        <v>0.22126666666666667</v>
      </c>
      <c r="J1363" s="12">
        <f t="shared" si="66"/>
        <v>0.22289836647727274</v>
      </c>
    </row>
    <row r="1364" spans="1:10" ht="15" customHeight="1">
      <c r="A1364" s="7">
        <v>44098</v>
      </c>
      <c r="B1364" s="10">
        <v>177</v>
      </c>
      <c r="C1364">
        <v>57490</v>
      </c>
      <c r="D1364" s="5">
        <v>5.93</v>
      </c>
      <c r="F1364" s="8">
        <v>100</v>
      </c>
      <c r="G1364" s="8">
        <v>100</v>
      </c>
      <c r="H1364" s="2">
        <f t="shared" si="64"/>
        <v>9472717</v>
      </c>
      <c r="I1364" s="12">
        <f t="shared" si="65"/>
        <v>0.23954166666666668</v>
      </c>
      <c r="J1364" s="12">
        <f t="shared" si="66"/>
        <v>0.22299239642184557</v>
      </c>
    </row>
    <row r="1365" spans="1:10" ht="15" customHeight="1">
      <c r="A1365" s="7">
        <v>44099</v>
      </c>
      <c r="B1365" s="10">
        <v>178</v>
      </c>
      <c r="C1365">
        <v>55321</v>
      </c>
      <c r="D1365" s="5">
        <v>5.84</v>
      </c>
      <c r="F1365" s="8">
        <v>100</v>
      </c>
      <c r="G1365" s="8">
        <v>98.958333333333343</v>
      </c>
      <c r="H1365" s="2">
        <f t="shared" si="64"/>
        <v>9528038</v>
      </c>
      <c r="I1365" s="12">
        <f t="shared" si="65"/>
        <v>0.23050416666666668</v>
      </c>
      <c r="J1365" s="12">
        <f t="shared" si="66"/>
        <v>0.22303459737827716</v>
      </c>
    </row>
    <row r="1366" spans="1:10" ht="15" customHeight="1">
      <c r="A1366" s="7">
        <v>44100</v>
      </c>
      <c r="B1366" s="10">
        <v>179</v>
      </c>
      <c r="C1366">
        <v>60748</v>
      </c>
      <c r="D1366" s="5">
        <v>5.91</v>
      </c>
      <c r="F1366" s="8">
        <v>100</v>
      </c>
      <c r="G1366" s="8">
        <v>100</v>
      </c>
      <c r="H1366" s="2">
        <f t="shared" si="64"/>
        <v>9588786</v>
      </c>
      <c r="I1366" s="12">
        <f t="shared" si="65"/>
        <v>0.25311666666666666</v>
      </c>
      <c r="J1366" s="12">
        <f t="shared" si="66"/>
        <v>0.22320265363128491</v>
      </c>
    </row>
    <row r="1367" spans="1:10" ht="15" customHeight="1">
      <c r="A1367" s="7">
        <v>44101</v>
      </c>
      <c r="B1367" s="10">
        <v>180</v>
      </c>
      <c r="C1367">
        <v>57073</v>
      </c>
      <c r="D1367" s="5">
        <v>5.77</v>
      </c>
      <c r="F1367" s="8">
        <v>100</v>
      </c>
      <c r="G1367" s="8">
        <v>100</v>
      </c>
      <c r="H1367" s="2">
        <f t="shared" si="64"/>
        <v>9645859</v>
      </c>
      <c r="I1367" s="12">
        <f t="shared" si="65"/>
        <v>0.23780416666666668</v>
      </c>
      <c r="J1367" s="12">
        <f t="shared" si="66"/>
        <v>0.22328377314814815</v>
      </c>
    </row>
    <row r="1368" spans="1:10" ht="15" customHeight="1">
      <c r="A1368" s="7">
        <v>44102</v>
      </c>
      <c r="B1368" s="10">
        <v>181</v>
      </c>
      <c r="C1368">
        <v>57419</v>
      </c>
      <c r="D1368" s="5">
        <v>5.87</v>
      </c>
      <c r="F1368" s="8">
        <v>100</v>
      </c>
      <c r="G1368" s="8">
        <v>100</v>
      </c>
      <c r="H1368" s="2">
        <f t="shared" si="64"/>
        <v>9703278</v>
      </c>
      <c r="I1368" s="12">
        <f t="shared" si="65"/>
        <v>0.23924583333333332</v>
      </c>
      <c r="J1368" s="12">
        <f t="shared" si="66"/>
        <v>0.22337196132596684</v>
      </c>
    </row>
    <row r="1369" spans="1:10" ht="15" customHeight="1">
      <c r="A1369" s="7">
        <v>44103</v>
      </c>
      <c r="B1369" s="10">
        <v>182</v>
      </c>
      <c r="C1369">
        <v>55113</v>
      </c>
      <c r="D1369" s="5">
        <v>5.79</v>
      </c>
      <c r="F1369" s="8">
        <v>100</v>
      </c>
      <c r="G1369" s="8">
        <v>100</v>
      </c>
      <c r="H1369" s="2">
        <f t="shared" si="64"/>
        <v>9758391</v>
      </c>
      <c r="I1369" s="12">
        <f t="shared" si="65"/>
        <v>0.22963749999999999</v>
      </c>
      <c r="J1369" s="12">
        <f t="shared" si="66"/>
        <v>0.22340638736263738</v>
      </c>
    </row>
    <row r="1370" spans="1:10" ht="15" customHeight="1">
      <c r="A1370" s="7">
        <v>44104</v>
      </c>
      <c r="B1370" s="10">
        <v>183</v>
      </c>
      <c r="C1370">
        <v>57527</v>
      </c>
      <c r="D1370" s="5">
        <v>5.79</v>
      </c>
      <c r="F1370" s="8">
        <v>100</v>
      </c>
      <c r="G1370" s="8">
        <v>100</v>
      </c>
      <c r="H1370" s="2">
        <f t="shared" si="64"/>
        <v>9815918</v>
      </c>
      <c r="I1370" s="12">
        <f t="shared" si="65"/>
        <v>0.23969583333333333</v>
      </c>
      <c r="J1370" s="12">
        <f t="shared" si="66"/>
        <v>0.22349540072859744</v>
      </c>
    </row>
    <row r="1371" spans="1:10" ht="15" customHeight="1">
      <c r="A1371" s="7">
        <v>44105</v>
      </c>
      <c r="B1371" s="10">
        <v>184</v>
      </c>
      <c r="C1371">
        <v>57611</v>
      </c>
      <c r="D1371" s="5">
        <v>5.68</v>
      </c>
      <c r="F1371" s="8">
        <v>100</v>
      </c>
      <c r="G1371" s="8">
        <v>100</v>
      </c>
      <c r="H1371" s="2">
        <f t="shared" si="64"/>
        <v>9873529</v>
      </c>
      <c r="I1371" s="12">
        <f t="shared" si="65"/>
        <v>0.24004583333333335</v>
      </c>
      <c r="J1371" s="12">
        <f t="shared" si="66"/>
        <v>0.22358534873188407</v>
      </c>
    </row>
    <row r="1372" spans="1:10" ht="15" customHeight="1">
      <c r="A1372" s="7">
        <v>44106</v>
      </c>
      <c r="B1372" s="10">
        <v>185</v>
      </c>
      <c r="C1372">
        <v>59990</v>
      </c>
      <c r="D1372" s="5">
        <v>5.93</v>
      </c>
      <c r="F1372" s="8">
        <v>100</v>
      </c>
      <c r="G1372" s="8">
        <v>100</v>
      </c>
      <c r="H1372" s="2">
        <f t="shared" si="64"/>
        <v>9933519</v>
      </c>
      <c r="I1372" s="12">
        <f t="shared" si="65"/>
        <v>0.24995833333333334</v>
      </c>
      <c r="J1372" s="12">
        <f t="shared" si="66"/>
        <v>0.22372790540540541</v>
      </c>
    </row>
    <row r="1373" spans="1:10" ht="15" customHeight="1">
      <c r="A1373" s="7">
        <v>44107</v>
      </c>
      <c r="B1373" s="10">
        <v>186</v>
      </c>
      <c r="C1373">
        <v>57377</v>
      </c>
      <c r="D1373" s="5">
        <v>5.64</v>
      </c>
      <c r="F1373" s="8">
        <v>100</v>
      </c>
      <c r="G1373" s="8">
        <v>100</v>
      </c>
      <c r="H1373" s="2">
        <f t="shared" si="64"/>
        <v>9990896</v>
      </c>
      <c r="I1373" s="12">
        <f t="shared" si="65"/>
        <v>0.23907083333333334</v>
      </c>
      <c r="J1373" s="12">
        <f t="shared" si="66"/>
        <v>0.22381039426523297</v>
      </c>
    </row>
    <row r="1374" spans="1:10" ht="15" customHeight="1">
      <c r="A1374" s="7">
        <v>44108</v>
      </c>
      <c r="B1374" s="10">
        <v>187</v>
      </c>
      <c r="C1374">
        <v>58177</v>
      </c>
      <c r="D1374" s="5">
        <v>5.66</v>
      </c>
      <c r="F1374" s="8">
        <v>100</v>
      </c>
      <c r="G1374" s="8">
        <v>100</v>
      </c>
      <c r="H1374" s="2">
        <f t="shared" si="64"/>
        <v>10049073</v>
      </c>
      <c r="I1374" s="12">
        <f t="shared" si="65"/>
        <v>0.24240416666666667</v>
      </c>
      <c r="J1374" s="12">
        <f t="shared" si="66"/>
        <v>0.22390982620320857</v>
      </c>
    </row>
    <row r="1375" spans="1:10" ht="15" customHeight="1">
      <c r="A1375" s="7">
        <v>44109</v>
      </c>
      <c r="B1375" s="10">
        <v>188</v>
      </c>
      <c r="C1375">
        <v>59367</v>
      </c>
      <c r="D1375" s="5">
        <v>6.23</v>
      </c>
      <c r="F1375" s="8">
        <v>100</v>
      </c>
      <c r="G1375" s="8">
        <v>100</v>
      </c>
      <c r="H1375" s="2">
        <f t="shared" si="64"/>
        <v>10108440</v>
      </c>
      <c r="I1375" s="12">
        <f t="shared" si="65"/>
        <v>0.24736250000000001</v>
      </c>
      <c r="J1375" s="12">
        <f t="shared" si="66"/>
        <v>0.22403457446808511</v>
      </c>
    </row>
    <row r="1376" spans="1:10" ht="15" customHeight="1">
      <c r="A1376" s="7">
        <v>44110</v>
      </c>
      <c r="B1376" s="10">
        <v>189</v>
      </c>
      <c r="C1376">
        <v>60430</v>
      </c>
      <c r="D1376" s="5">
        <v>5.83</v>
      </c>
      <c r="F1376" s="8">
        <v>100</v>
      </c>
      <c r="G1376" s="8">
        <v>100</v>
      </c>
      <c r="H1376" s="2">
        <f t="shared" si="64"/>
        <v>10168870</v>
      </c>
      <c r="I1376" s="12">
        <f t="shared" si="65"/>
        <v>0.25179166666666669</v>
      </c>
      <c r="J1376" s="12">
        <f t="shared" si="66"/>
        <v>0.22418143738977073</v>
      </c>
    </row>
    <row r="1377" spans="1:10" ht="15" customHeight="1">
      <c r="A1377" s="7">
        <v>44111</v>
      </c>
      <c r="B1377" s="10">
        <v>190</v>
      </c>
      <c r="C1377">
        <v>55968</v>
      </c>
      <c r="D1377" s="5">
        <v>5.54</v>
      </c>
      <c r="F1377" s="8">
        <v>100</v>
      </c>
      <c r="G1377" s="8">
        <v>100</v>
      </c>
      <c r="H1377" s="2">
        <f t="shared" si="64"/>
        <v>10224838</v>
      </c>
      <c r="I1377" s="12">
        <f t="shared" si="65"/>
        <v>0.23319999999999999</v>
      </c>
      <c r="J1377" s="12">
        <f t="shared" si="66"/>
        <v>0.22422890350877192</v>
      </c>
    </row>
    <row r="1378" spans="1:10" ht="15" customHeight="1">
      <c r="A1378" s="7">
        <v>44112</v>
      </c>
      <c r="B1378" s="10">
        <v>191</v>
      </c>
      <c r="C1378">
        <v>58916</v>
      </c>
      <c r="D1378" s="5">
        <v>5.63</v>
      </c>
      <c r="F1378" s="8">
        <v>100</v>
      </c>
      <c r="G1378" s="8">
        <v>100</v>
      </c>
      <c r="H1378" s="2">
        <f t="shared" si="64"/>
        <v>10283754</v>
      </c>
      <c r="I1378" s="12">
        <f t="shared" si="65"/>
        <v>0.24548333333333333</v>
      </c>
      <c r="J1378" s="12">
        <f t="shared" si="66"/>
        <v>0.2243401832460733</v>
      </c>
    </row>
    <row r="1379" spans="1:10" ht="15" customHeight="1">
      <c r="A1379" s="7">
        <v>44113</v>
      </c>
      <c r="B1379" s="10">
        <v>192</v>
      </c>
      <c r="C1379">
        <v>58536</v>
      </c>
      <c r="D1379" s="5">
        <v>5.66</v>
      </c>
      <c r="F1379" s="8">
        <v>100</v>
      </c>
      <c r="G1379" s="8">
        <v>100</v>
      </c>
      <c r="H1379" s="2">
        <f t="shared" si="64"/>
        <v>10342290</v>
      </c>
      <c r="I1379" s="12">
        <f t="shared" si="65"/>
        <v>0.24390000000000001</v>
      </c>
      <c r="J1379" s="12">
        <f t="shared" si="66"/>
        <v>0.22444205729166666</v>
      </c>
    </row>
    <row r="1380" spans="1:10" ht="15" customHeight="1">
      <c r="A1380" s="7">
        <v>44114</v>
      </c>
      <c r="B1380" s="10">
        <v>193</v>
      </c>
      <c r="C1380">
        <v>59003</v>
      </c>
      <c r="D1380" s="5">
        <v>5.62</v>
      </c>
      <c r="F1380" s="8">
        <v>100</v>
      </c>
      <c r="G1380" s="8">
        <v>100</v>
      </c>
      <c r="H1380" s="2">
        <f t="shared" si="64"/>
        <v>10401293</v>
      </c>
      <c r="I1380" s="12">
        <f t="shared" si="65"/>
        <v>0.24584583333333335</v>
      </c>
      <c r="J1380" s="12">
        <f t="shared" si="66"/>
        <v>0.22455295768566494</v>
      </c>
    </row>
    <row r="1381" spans="1:10" ht="15" customHeight="1">
      <c r="A1381" s="7">
        <v>44115</v>
      </c>
      <c r="B1381" s="10">
        <v>194</v>
      </c>
      <c r="C1381">
        <v>60104</v>
      </c>
      <c r="D1381" s="5">
        <v>5.67</v>
      </c>
      <c r="F1381" s="8">
        <v>100</v>
      </c>
      <c r="G1381" s="8">
        <v>100</v>
      </c>
      <c r="H1381" s="2">
        <f t="shared" ref="H1381:H1444" si="67">H1380+C1381</f>
        <v>10461397</v>
      </c>
      <c r="I1381" s="12">
        <f t="shared" si="65"/>
        <v>0.25043333333333334</v>
      </c>
      <c r="J1381" s="12">
        <f t="shared" si="66"/>
        <v>0.22468636168384878</v>
      </c>
    </row>
    <row r="1382" spans="1:10" ht="15" customHeight="1">
      <c r="A1382" s="7">
        <v>44116</v>
      </c>
      <c r="B1382" s="10">
        <v>195</v>
      </c>
      <c r="C1382">
        <v>60400</v>
      </c>
      <c r="D1382" s="5">
        <v>5.7</v>
      </c>
      <c r="F1382" s="8">
        <v>100</v>
      </c>
      <c r="G1382" s="8">
        <v>100</v>
      </c>
      <c r="H1382" s="2">
        <f t="shared" si="67"/>
        <v>10521797</v>
      </c>
      <c r="I1382" s="12">
        <f t="shared" si="65"/>
        <v>0.25166666666666665</v>
      </c>
      <c r="J1382" s="12">
        <f t="shared" si="66"/>
        <v>0.22482472222222222</v>
      </c>
    </row>
    <row r="1383" spans="1:10" ht="15" customHeight="1">
      <c r="A1383" s="7">
        <v>44117</v>
      </c>
      <c r="B1383" s="10">
        <v>196</v>
      </c>
      <c r="C1383">
        <v>57955</v>
      </c>
      <c r="D1383" s="5">
        <v>5.46</v>
      </c>
      <c r="F1383" s="8">
        <v>100</v>
      </c>
      <c r="G1383" s="8">
        <v>100</v>
      </c>
      <c r="H1383" s="2">
        <f t="shared" si="67"/>
        <v>10579752</v>
      </c>
      <c r="I1383" s="12">
        <f t="shared" si="65"/>
        <v>0.24147916666666666</v>
      </c>
      <c r="J1383" s="12">
        <f t="shared" si="66"/>
        <v>0.22490969387755103</v>
      </c>
    </row>
    <row r="1384" spans="1:10" ht="15" customHeight="1">
      <c r="A1384" s="7">
        <v>44118</v>
      </c>
      <c r="B1384" s="10">
        <v>197</v>
      </c>
      <c r="C1384">
        <v>55405</v>
      </c>
      <c r="D1384" s="5">
        <v>5.12</v>
      </c>
      <c r="F1384" s="8">
        <v>100</v>
      </c>
      <c r="G1384" s="8">
        <v>100</v>
      </c>
      <c r="H1384" s="2">
        <f t="shared" si="67"/>
        <v>10635157</v>
      </c>
      <c r="I1384" s="12">
        <f t="shared" si="65"/>
        <v>0.23085416666666667</v>
      </c>
      <c r="J1384" s="12">
        <f t="shared" si="66"/>
        <v>0.22493986886632825</v>
      </c>
    </row>
    <row r="1385" spans="1:10" ht="15" customHeight="1">
      <c r="A1385" s="7">
        <v>44119</v>
      </c>
      <c r="B1385" s="10">
        <v>198</v>
      </c>
      <c r="C1385">
        <v>50187</v>
      </c>
      <c r="D1385" s="5">
        <v>4.7</v>
      </c>
      <c r="F1385" s="8">
        <v>100</v>
      </c>
      <c r="G1385" s="8">
        <v>100</v>
      </c>
      <c r="H1385" s="2">
        <f t="shared" si="67"/>
        <v>10685344</v>
      </c>
      <c r="I1385" s="12">
        <f t="shared" si="65"/>
        <v>0.20911250000000001</v>
      </c>
      <c r="J1385" s="12">
        <f t="shared" si="66"/>
        <v>0.22485993265993265</v>
      </c>
    </row>
    <row r="1386" spans="1:10" ht="15" customHeight="1">
      <c r="A1386" s="7">
        <v>44120</v>
      </c>
      <c r="B1386" s="10">
        <v>199</v>
      </c>
      <c r="C1386">
        <v>48042</v>
      </c>
      <c r="D1386" s="5">
        <v>4.5199999999999996</v>
      </c>
      <c r="F1386" s="8">
        <v>100</v>
      </c>
      <c r="G1386" s="8">
        <v>100</v>
      </c>
      <c r="H1386" s="2">
        <f t="shared" si="67"/>
        <v>10733386</v>
      </c>
      <c r="I1386" s="12">
        <f t="shared" si="65"/>
        <v>0.20017499999999999</v>
      </c>
      <c r="J1386" s="12">
        <f t="shared" si="66"/>
        <v>0.2247358877721943</v>
      </c>
    </row>
    <row r="1387" spans="1:10" ht="15" customHeight="1">
      <c r="A1387" s="7">
        <v>44121</v>
      </c>
      <c r="B1387" s="10">
        <v>200</v>
      </c>
      <c r="C1387">
        <v>42850</v>
      </c>
      <c r="D1387" s="5">
        <v>4.08</v>
      </c>
      <c r="F1387" s="8">
        <v>100</v>
      </c>
      <c r="G1387" s="8">
        <v>100</v>
      </c>
      <c r="H1387" s="2">
        <f t="shared" si="67"/>
        <v>10776236</v>
      </c>
      <c r="I1387" s="12">
        <f t="shared" si="65"/>
        <v>0.17854166666666665</v>
      </c>
      <c r="J1387" s="12">
        <f t="shared" si="66"/>
        <v>0.22450491666666667</v>
      </c>
    </row>
    <row r="1388" spans="1:10" ht="15" customHeight="1">
      <c r="A1388" s="7">
        <v>44122</v>
      </c>
      <c r="B1388" s="10">
        <v>201</v>
      </c>
      <c r="C1388">
        <v>22974</v>
      </c>
      <c r="D1388" s="5">
        <v>2.4700000000000002</v>
      </c>
      <c r="F1388" s="8">
        <v>100</v>
      </c>
      <c r="G1388" s="8">
        <v>100</v>
      </c>
      <c r="H1388" s="2">
        <f t="shared" si="67"/>
        <v>10799210</v>
      </c>
      <c r="I1388" s="12">
        <f t="shared" si="65"/>
        <v>9.5725000000000005E-2</v>
      </c>
      <c r="J1388" s="12">
        <f t="shared" si="66"/>
        <v>0.22386422056384742</v>
      </c>
    </row>
    <row r="1389" spans="1:10" ht="15" customHeight="1">
      <c r="A1389" s="7">
        <v>44123</v>
      </c>
      <c r="B1389" s="10">
        <v>202</v>
      </c>
      <c r="C1389">
        <v>48437</v>
      </c>
      <c r="D1389" s="5">
        <v>4.53</v>
      </c>
      <c r="F1389" s="8">
        <v>100</v>
      </c>
      <c r="G1389" s="8">
        <v>100</v>
      </c>
      <c r="H1389" s="2">
        <f t="shared" si="67"/>
        <v>10847647</v>
      </c>
      <c r="I1389" s="12">
        <f t="shared" si="65"/>
        <v>0.20182083333333334</v>
      </c>
      <c r="J1389" s="12">
        <f t="shared" si="66"/>
        <v>0.22375509488448844</v>
      </c>
    </row>
    <row r="1390" spans="1:10" ht="15" customHeight="1">
      <c r="A1390" s="7">
        <v>44124</v>
      </c>
      <c r="B1390" s="10">
        <v>203</v>
      </c>
      <c r="C1390">
        <v>48488</v>
      </c>
      <c r="D1390" s="5">
        <v>4.5999999999999996</v>
      </c>
      <c r="F1390" s="8">
        <v>100</v>
      </c>
      <c r="G1390" s="8">
        <v>100</v>
      </c>
      <c r="H1390" s="2">
        <f t="shared" si="67"/>
        <v>10896135</v>
      </c>
      <c r="I1390" s="12">
        <f t="shared" si="65"/>
        <v>0.20203333333333334</v>
      </c>
      <c r="J1390" s="12">
        <f t="shared" si="66"/>
        <v>0.22364809113300493</v>
      </c>
    </row>
    <row r="1391" spans="1:10" ht="15" customHeight="1">
      <c r="A1391" s="7">
        <v>44125</v>
      </c>
      <c r="B1391" s="10">
        <v>204</v>
      </c>
      <c r="C1391">
        <v>54548</v>
      </c>
      <c r="D1391" s="5">
        <v>4.95</v>
      </c>
      <c r="F1391" s="8">
        <v>100</v>
      </c>
      <c r="G1391" s="8">
        <v>100</v>
      </c>
      <c r="H1391" s="2">
        <f t="shared" si="67"/>
        <v>10950683</v>
      </c>
      <c r="I1391" s="12">
        <f t="shared" si="65"/>
        <v>0.22728333333333334</v>
      </c>
      <c r="J1391" s="12">
        <f t="shared" si="66"/>
        <v>0.22366591094771243</v>
      </c>
    </row>
    <row r="1392" spans="1:10" ht="15" customHeight="1">
      <c r="A1392" s="7">
        <v>44126</v>
      </c>
      <c r="B1392" s="10">
        <v>205</v>
      </c>
      <c r="C1392">
        <v>56291</v>
      </c>
      <c r="D1392" s="5">
        <v>4.84</v>
      </c>
      <c r="F1392" s="8">
        <v>100</v>
      </c>
      <c r="G1392" s="8">
        <v>100</v>
      </c>
      <c r="H1392" s="2">
        <f t="shared" si="67"/>
        <v>11006974</v>
      </c>
      <c r="I1392" s="12">
        <f t="shared" si="65"/>
        <v>0.23454583333333334</v>
      </c>
      <c r="J1392" s="12">
        <f t="shared" si="66"/>
        <v>0.2237189837398374</v>
      </c>
    </row>
    <row r="1393" spans="1:10" ht="15" customHeight="1">
      <c r="A1393" s="7">
        <v>44127</v>
      </c>
      <c r="B1393" s="10">
        <v>206</v>
      </c>
      <c r="C1393">
        <v>55523</v>
      </c>
      <c r="D1393" s="5">
        <v>5.03</v>
      </c>
      <c r="F1393" s="8">
        <v>100</v>
      </c>
      <c r="G1393" s="8">
        <v>100</v>
      </c>
      <c r="H1393" s="2">
        <f t="shared" si="67"/>
        <v>11062497</v>
      </c>
      <c r="I1393" s="12">
        <f t="shared" si="65"/>
        <v>0.23134583333333333</v>
      </c>
      <c r="J1393" s="12">
        <f t="shared" si="66"/>
        <v>0.2237560072815534</v>
      </c>
    </row>
    <row r="1394" spans="1:10" ht="15" customHeight="1">
      <c r="A1394" s="7">
        <v>44128</v>
      </c>
      <c r="B1394" s="10">
        <v>207</v>
      </c>
      <c r="C1394">
        <v>55152</v>
      </c>
      <c r="D1394" s="5">
        <v>4.97</v>
      </c>
      <c r="F1394" s="8">
        <v>100</v>
      </c>
      <c r="G1394" s="8">
        <v>100</v>
      </c>
      <c r="H1394" s="2">
        <f t="shared" si="67"/>
        <v>11117649</v>
      </c>
      <c r="I1394" s="12">
        <f t="shared" si="65"/>
        <v>0.2298</v>
      </c>
      <c r="J1394" s="12">
        <f t="shared" si="66"/>
        <v>0.22378520531400967</v>
      </c>
    </row>
    <row r="1395" spans="1:10" ht="15" customHeight="1">
      <c r="A1395" s="7">
        <v>44129</v>
      </c>
      <c r="B1395" s="10">
        <v>208</v>
      </c>
      <c r="C1395">
        <v>54301</v>
      </c>
      <c r="D1395" s="5">
        <v>4.8600000000000003</v>
      </c>
      <c r="F1395" s="8">
        <v>100</v>
      </c>
      <c r="G1395" s="8">
        <v>100</v>
      </c>
      <c r="H1395" s="2">
        <f t="shared" si="67"/>
        <v>11171950</v>
      </c>
      <c r="I1395" s="12">
        <f t="shared" si="65"/>
        <v>0.22625416666666667</v>
      </c>
      <c r="J1395" s="12">
        <f t="shared" si="66"/>
        <v>0.22379707532051282</v>
      </c>
    </row>
    <row r="1396" spans="1:10" ht="15" customHeight="1">
      <c r="A1396" s="7">
        <v>44130</v>
      </c>
      <c r="B1396" s="10">
        <v>209</v>
      </c>
      <c r="C1396">
        <v>48124</v>
      </c>
      <c r="D1396" s="5">
        <v>4.33</v>
      </c>
      <c r="F1396" s="8">
        <v>100</v>
      </c>
      <c r="G1396" s="8">
        <v>100</v>
      </c>
      <c r="H1396" s="2">
        <f t="shared" si="67"/>
        <v>11220074</v>
      </c>
      <c r="I1396" s="12">
        <f t="shared" si="65"/>
        <v>0.20051666666666668</v>
      </c>
      <c r="J1396" s="12">
        <f t="shared" si="66"/>
        <v>0.22368568580542264</v>
      </c>
    </row>
    <row r="1397" spans="1:10" ht="15" customHeight="1">
      <c r="A1397" s="7">
        <v>44131</v>
      </c>
      <c r="B1397" s="10">
        <v>210</v>
      </c>
      <c r="C1397">
        <v>51254</v>
      </c>
      <c r="D1397" s="5">
        <v>4.55</v>
      </c>
      <c r="F1397" s="8">
        <v>100</v>
      </c>
      <c r="G1397" s="8">
        <v>100</v>
      </c>
      <c r="H1397" s="2">
        <f t="shared" si="67"/>
        <v>11271328</v>
      </c>
      <c r="I1397" s="12">
        <f t="shared" si="65"/>
        <v>0.21355833333333332</v>
      </c>
      <c r="J1397" s="12">
        <f t="shared" si="66"/>
        <v>0.22363746031746032</v>
      </c>
    </row>
    <row r="1398" spans="1:10" ht="15" customHeight="1">
      <c r="A1398" s="7">
        <v>44132</v>
      </c>
      <c r="B1398" s="10">
        <v>211</v>
      </c>
      <c r="C1398">
        <v>50605</v>
      </c>
      <c r="D1398" s="5">
        <v>4.5199999999999996</v>
      </c>
      <c r="F1398" s="8">
        <v>100</v>
      </c>
      <c r="G1398" s="8">
        <v>100</v>
      </c>
      <c r="H1398" s="2">
        <f t="shared" si="67"/>
        <v>11321933</v>
      </c>
      <c r="I1398" s="12">
        <f t="shared" si="65"/>
        <v>0.21085416666666668</v>
      </c>
      <c r="J1398" s="12">
        <f t="shared" si="66"/>
        <v>0.22357687598736176</v>
      </c>
    </row>
    <row r="1399" spans="1:10" ht="15" customHeight="1">
      <c r="A1399" s="7">
        <v>44133</v>
      </c>
      <c r="B1399" s="10">
        <v>212</v>
      </c>
      <c r="C1399">
        <v>47597</v>
      </c>
      <c r="D1399" s="5">
        <v>4.28</v>
      </c>
      <c r="F1399" s="8">
        <v>100</v>
      </c>
      <c r="G1399" s="8">
        <v>100</v>
      </c>
      <c r="H1399" s="2">
        <f t="shared" si="67"/>
        <v>11369530</v>
      </c>
      <c r="I1399" s="12">
        <f t="shared" si="65"/>
        <v>0.19832083333333334</v>
      </c>
      <c r="J1399" s="12">
        <f t="shared" si="66"/>
        <v>0.22345774371069183</v>
      </c>
    </row>
    <row r="1400" spans="1:10" ht="15" customHeight="1">
      <c r="A1400" s="7">
        <v>44134</v>
      </c>
      <c r="B1400" s="10">
        <v>213</v>
      </c>
      <c r="C1400">
        <v>50479</v>
      </c>
      <c r="D1400" s="5">
        <v>4.45</v>
      </c>
      <c r="F1400" s="8">
        <v>100</v>
      </c>
      <c r="G1400" s="8">
        <v>100</v>
      </c>
      <c r="H1400" s="2">
        <f t="shared" si="67"/>
        <v>11420009</v>
      </c>
      <c r="I1400" s="12">
        <f t="shared" si="65"/>
        <v>0.21032916666666668</v>
      </c>
      <c r="J1400" s="12">
        <f t="shared" si="66"/>
        <v>0.22339610719874806</v>
      </c>
    </row>
    <row r="1401" spans="1:10" ht="15" customHeight="1">
      <c r="A1401" s="7">
        <v>44135</v>
      </c>
      <c r="B1401" s="10">
        <v>214</v>
      </c>
      <c r="C1401">
        <v>50727</v>
      </c>
      <c r="D1401" s="5">
        <v>4.4400000000000004</v>
      </c>
      <c r="F1401" s="8">
        <v>100</v>
      </c>
      <c r="G1401" s="8">
        <v>100</v>
      </c>
      <c r="H1401" s="2">
        <f t="shared" si="67"/>
        <v>11470736</v>
      </c>
      <c r="I1401" s="12">
        <f t="shared" si="65"/>
        <v>0.21136250000000001</v>
      </c>
      <c r="J1401" s="12">
        <f t="shared" si="66"/>
        <v>0.22333987538940811</v>
      </c>
    </row>
    <row r="1402" spans="1:10" ht="15" customHeight="1">
      <c r="A1402" s="7">
        <v>44136</v>
      </c>
      <c r="B1402" s="10">
        <v>215</v>
      </c>
      <c r="C1402">
        <v>49643</v>
      </c>
      <c r="D1402" s="5">
        <v>4.3600000000000003</v>
      </c>
      <c r="F1402" s="8">
        <v>100</v>
      </c>
      <c r="G1402" s="8">
        <v>100</v>
      </c>
      <c r="H1402" s="2">
        <f t="shared" si="67"/>
        <v>11520379</v>
      </c>
      <c r="I1402" s="12">
        <f t="shared" si="65"/>
        <v>0.20684583333333334</v>
      </c>
      <c r="J1402" s="12">
        <f t="shared" si="66"/>
        <v>0.22326315891472867</v>
      </c>
    </row>
    <row r="1403" spans="1:10" ht="15" customHeight="1">
      <c r="A1403" s="7">
        <v>44137</v>
      </c>
      <c r="B1403" s="10">
        <v>216</v>
      </c>
      <c r="C1403">
        <v>55317</v>
      </c>
      <c r="D1403" s="5">
        <v>4.7</v>
      </c>
      <c r="F1403" s="8">
        <v>100</v>
      </c>
      <c r="G1403" s="8">
        <v>100</v>
      </c>
      <c r="H1403" s="2">
        <f t="shared" si="67"/>
        <v>11575696</v>
      </c>
      <c r="I1403" s="12">
        <f t="shared" si="65"/>
        <v>0.23048750000000001</v>
      </c>
      <c r="J1403" s="12">
        <f t="shared" si="66"/>
        <v>0.22329660493827161</v>
      </c>
    </row>
    <row r="1404" spans="1:10" ht="15" customHeight="1">
      <c r="A1404" s="7">
        <v>44138</v>
      </c>
      <c r="B1404" s="10">
        <v>217</v>
      </c>
      <c r="C1404">
        <v>55518</v>
      </c>
      <c r="D1404" s="5">
        <v>4.71</v>
      </c>
      <c r="F1404" s="8">
        <v>100</v>
      </c>
      <c r="G1404" s="8">
        <v>100</v>
      </c>
      <c r="H1404" s="2">
        <f t="shared" si="67"/>
        <v>11631214</v>
      </c>
      <c r="I1404" s="12">
        <f t="shared" si="65"/>
        <v>0.231325</v>
      </c>
      <c r="J1404" s="12">
        <f t="shared" si="66"/>
        <v>0.22333360215053763</v>
      </c>
    </row>
    <row r="1405" spans="1:10" ht="15" customHeight="1">
      <c r="A1405" s="7">
        <v>44139</v>
      </c>
      <c r="B1405" s="10">
        <v>218</v>
      </c>
      <c r="C1405">
        <v>54832</v>
      </c>
      <c r="D1405" s="5">
        <v>4.67</v>
      </c>
      <c r="F1405" s="8">
        <v>100</v>
      </c>
      <c r="G1405" s="8">
        <v>100</v>
      </c>
      <c r="H1405" s="2">
        <f t="shared" si="67"/>
        <v>11686046</v>
      </c>
      <c r="I1405" s="12">
        <f t="shared" si="65"/>
        <v>0.22846666666666668</v>
      </c>
      <c r="J1405" s="12">
        <f t="shared" si="66"/>
        <v>0.22335714831804282</v>
      </c>
    </row>
    <row r="1406" spans="1:10" ht="15" customHeight="1">
      <c r="A1406" s="7">
        <v>44140</v>
      </c>
      <c r="B1406" s="10">
        <v>219</v>
      </c>
      <c r="C1406">
        <v>54954</v>
      </c>
      <c r="D1406" s="5">
        <v>4.6399999999999997</v>
      </c>
      <c r="F1406" s="8">
        <v>100</v>
      </c>
      <c r="G1406" s="8">
        <v>100</v>
      </c>
      <c r="H1406" s="2">
        <f t="shared" si="67"/>
        <v>11741000</v>
      </c>
      <c r="I1406" s="12">
        <f t="shared" si="65"/>
        <v>0.22897500000000001</v>
      </c>
      <c r="J1406" s="12">
        <f t="shared" si="66"/>
        <v>0.22338280060882801</v>
      </c>
    </row>
    <row r="1407" spans="1:10" ht="15" customHeight="1">
      <c r="A1407" s="7">
        <v>44141</v>
      </c>
      <c r="B1407" s="10">
        <v>220</v>
      </c>
      <c r="C1407">
        <v>54632</v>
      </c>
      <c r="D1407" s="5">
        <v>4.5999999999999996</v>
      </c>
      <c r="F1407" s="8">
        <v>100</v>
      </c>
      <c r="G1407" s="8">
        <v>100</v>
      </c>
      <c r="H1407" s="2">
        <f t="shared" si="67"/>
        <v>11795632</v>
      </c>
      <c r="I1407" s="12">
        <f t="shared" si="65"/>
        <v>0.22763333333333333</v>
      </c>
      <c r="J1407" s="12">
        <f t="shared" si="66"/>
        <v>0.22340212121212122</v>
      </c>
    </row>
    <row r="1408" spans="1:10" ht="15" customHeight="1">
      <c r="A1408" s="7">
        <v>44142</v>
      </c>
      <c r="B1408" s="10">
        <v>221</v>
      </c>
      <c r="C1408">
        <v>53234</v>
      </c>
      <c r="D1408" s="5">
        <v>4.49</v>
      </c>
      <c r="F1408" s="8">
        <v>100</v>
      </c>
      <c r="G1408" s="8">
        <v>100</v>
      </c>
      <c r="H1408" s="2">
        <f t="shared" si="67"/>
        <v>11848866</v>
      </c>
      <c r="I1408" s="12">
        <f t="shared" si="65"/>
        <v>0.22180833333333333</v>
      </c>
      <c r="J1408" s="12">
        <f t="shared" si="66"/>
        <v>0.22339490950226246</v>
      </c>
    </row>
    <row r="1409" spans="1:10" ht="15" customHeight="1">
      <c r="A1409" s="7">
        <v>44143</v>
      </c>
      <c r="B1409" s="10">
        <v>222</v>
      </c>
      <c r="C1409">
        <v>53180</v>
      </c>
      <c r="D1409" s="5">
        <v>4.5</v>
      </c>
      <c r="F1409" s="8">
        <v>100</v>
      </c>
      <c r="G1409" s="8">
        <v>100</v>
      </c>
      <c r="H1409" s="2">
        <f t="shared" si="67"/>
        <v>11902046</v>
      </c>
      <c r="I1409" s="12">
        <f t="shared" si="65"/>
        <v>0.22158333333333333</v>
      </c>
      <c r="J1409" s="12">
        <f t="shared" si="66"/>
        <v>0.22338674924924926</v>
      </c>
    </row>
    <row r="1410" spans="1:10" ht="15" customHeight="1">
      <c r="A1410" s="7">
        <v>44144</v>
      </c>
      <c r="B1410" s="10">
        <v>223</v>
      </c>
      <c r="C1410">
        <v>51141</v>
      </c>
      <c r="D1410" s="5">
        <v>4.37</v>
      </c>
      <c r="F1410" s="8">
        <v>100</v>
      </c>
      <c r="G1410" s="8">
        <v>100</v>
      </c>
      <c r="H1410" s="2">
        <f t="shared" si="67"/>
        <v>11953187</v>
      </c>
      <c r="I1410" s="12">
        <f t="shared" si="65"/>
        <v>0.21308750000000001</v>
      </c>
      <c r="J1410" s="12">
        <f t="shared" si="66"/>
        <v>0.22334056427503737</v>
      </c>
    </row>
    <row r="1411" spans="1:10" ht="15" customHeight="1">
      <c r="A1411" s="7">
        <v>44145</v>
      </c>
      <c r="B1411" s="10">
        <v>224</v>
      </c>
      <c r="C1411">
        <v>50413</v>
      </c>
      <c r="D1411" s="5">
        <v>4.25</v>
      </c>
      <c r="F1411" s="8">
        <v>100</v>
      </c>
      <c r="G1411" s="8">
        <v>100</v>
      </c>
      <c r="H1411" s="2">
        <f t="shared" si="67"/>
        <v>12003600</v>
      </c>
      <c r="I1411" s="12">
        <f t="shared" ref="I1411:I1474" si="68">C1411/(10*24*1000)</f>
        <v>0.21005416666666665</v>
      </c>
      <c r="J1411" s="12">
        <f t="shared" si="66"/>
        <v>0.22328124999999999</v>
      </c>
    </row>
    <row r="1412" spans="1:10" ht="15" customHeight="1">
      <c r="A1412" s="7">
        <v>44146</v>
      </c>
      <c r="B1412" s="10">
        <v>225</v>
      </c>
      <c r="C1412">
        <v>42162</v>
      </c>
      <c r="D1412" s="5">
        <v>3.67</v>
      </c>
      <c r="F1412" s="8">
        <v>100</v>
      </c>
      <c r="G1412" s="8">
        <v>100</v>
      </c>
      <c r="H1412" s="2">
        <f t="shared" si="67"/>
        <v>12045762</v>
      </c>
      <c r="I1412" s="12">
        <f t="shared" si="68"/>
        <v>0.175675</v>
      </c>
      <c r="J1412" s="12">
        <f t="shared" ref="J1412:J1475" si="69">H1412/(24*B1412*10*1000)</f>
        <v>0.22306966666666667</v>
      </c>
    </row>
    <row r="1413" spans="1:10" ht="15" customHeight="1">
      <c r="A1413" s="7">
        <v>44147</v>
      </c>
      <c r="B1413" s="10">
        <v>226</v>
      </c>
      <c r="C1413">
        <v>41650</v>
      </c>
      <c r="D1413" s="5">
        <v>3.61</v>
      </c>
      <c r="F1413" s="8">
        <v>100</v>
      </c>
      <c r="G1413" s="8">
        <v>100</v>
      </c>
      <c r="H1413" s="2">
        <f t="shared" si="67"/>
        <v>12087412</v>
      </c>
      <c r="I1413" s="12">
        <f t="shared" si="68"/>
        <v>0.17354166666666668</v>
      </c>
      <c r="J1413" s="12">
        <f t="shared" si="69"/>
        <v>0.22285051622418878</v>
      </c>
    </row>
    <row r="1414" spans="1:10" ht="15" customHeight="1">
      <c r="A1414" s="7">
        <v>44148</v>
      </c>
      <c r="B1414" s="10">
        <v>227</v>
      </c>
      <c r="C1414">
        <v>43337</v>
      </c>
      <c r="D1414" s="5">
        <v>3.67</v>
      </c>
      <c r="F1414" s="8">
        <v>100</v>
      </c>
      <c r="G1414" s="8">
        <v>100</v>
      </c>
      <c r="H1414" s="2">
        <f t="shared" si="67"/>
        <v>12130749</v>
      </c>
      <c r="I1414" s="12">
        <f t="shared" si="68"/>
        <v>0.18057083333333335</v>
      </c>
      <c r="J1414" s="12">
        <f t="shared" si="69"/>
        <v>0.22266426211453744</v>
      </c>
    </row>
    <row r="1415" spans="1:10" ht="15" customHeight="1">
      <c r="A1415" s="7">
        <v>44149</v>
      </c>
      <c r="B1415" s="10">
        <v>228</v>
      </c>
      <c r="C1415">
        <v>45796</v>
      </c>
      <c r="D1415" s="5">
        <v>3.84</v>
      </c>
      <c r="F1415" s="8">
        <v>100</v>
      </c>
      <c r="G1415" s="8">
        <v>100</v>
      </c>
      <c r="H1415" s="2">
        <f t="shared" si="67"/>
        <v>12176545</v>
      </c>
      <c r="I1415" s="12">
        <f t="shared" si="68"/>
        <v>0.19081666666666666</v>
      </c>
      <c r="J1415" s="12">
        <f t="shared" si="69"/>
        <v>0.22252457967836256</v>
      </c>
    </row>
    <row r="1416" spans="1:10" ht="15" customHeight="1">
      <c r="A1416" s="7">
        <v>44150</v>
      </c>
      <c r="B1416" s="10">
        <v>229</v>
      </c>
      <c r="C1416">
        <v>40533</v>
      </c>
      <c r="D1416" s="5">
        <v>3.53</v>
      </c>
      <c r="F1416" s="8">
        <v>100</v>
      </c>
      <c r="G1416" s="8">
        <v>100</v>
      </c>
      <c r="H1416" s="2">
        <f t="shared" si="67"/>
        <v>12217078</v>
      </c>
      <c r="I1416" s="12">
        <f t="shared" si="68"/>
        <v>0.1688875</v>
      </c>
      <c r="J1416" s="12">
        <f t="shared" si="69"/>
        <v>0.22229035662299854</v>
      </c>
    </row>
    <row r="1417" spans="1:10" ht="15" customHeight="1">
      <c r="A1417" s="7">
        <v>44151</v>
      </c>
      <c r="B1417" s="10">
        <v>230</v>
      </c>
      <c r="C1417">
        <v>42673</v>
      </c>
      <c r="D1417" s="5">
        <v>3.59</v>
      </c>
      <c r="F1417" s="8">
        <v>100</v>
      </c>
      <c r="G1417" s="8">
        <v>100</v>
      </c>
      <c r="H1417" s="2">
        <f t="shared" si="67"/>
        <v>12259751</v>
      </c>
      <c r="I1417" s="12">
        <f t="shared" si="68"/>
        <v>0.17780416666666668</v>
      </c>
      <c r="J1417" s="12">
        <f t="shared" si="69"/>
        <v>0.22209693840579711</v>
      </c>
    </row>
    <row r="1418" spans="1:10" ht="15" customHeight="1">
      <c r="A1418" s="7">
        <v>44152</v>
      </c>
      <c r="B1418" s="10">
        <v>231</v>
      </c>
      <c r="C1418">
        <v>49892</v>
      </c>
      <c r="D1418" s="5">
        <v>3.94</v>
      </c>
      <c r="F1418" s="8">
        <v>100</v>
      </c>
      <c r="G1418" s="8">
        <v>100</v>
      </c>
      <c r="H1418" s="2">
        <f t="shared" si="67"/>
        <v>12309643</v>
      </c>
      <c r="I1418" s="12">
        <f t="shared" si="68"/>
        <v>0.20788333333333334</v>
      </c>
      <c r="J1418" s="12">
        <f t="shared" si="69"/>
        <v>0.22203540764790763</v>
      </c>
    </row>
    <row r="1419" spans="1:10" ht="15" customHeight="1">
      <c r="A1419" s="7">
        <v>44153</v>
      </c>
      <c r="B1419" s="10">
        <v>232</v>
      </c>
      <c r="C1419">
        <v>54291</v>
      </c>
      <c r="D1419" s="5">
        <v>4.22</v>
      </c>
      <c r="F1419" s="8">
        <v>100</v>
      </c>
      <c r="G1419" s="8">
        <v>100</v>
      </c>
      <c r="H1419" s="2">
        <f t="shared" si="67"/>
        <v>12363934</v>
      </c>
      <c r="I1419" s="12">
        <f t="shared" si="68"/>
        <v>0.22621250000000001</v>
      </c>
      <c r="J1419" s="12">
        <f t="shared" si="69"/>
        <v>0.22205341235632184</v>
      </c>
    </row>
    <row r="1420" spans="1:10" ht="15" customHeight="1">
      <c r="A1420" s="7">
        <v>44154</v>
      </c>
      <c r="B1420" s="10">
        <v>233</v>
      </c>
      <c r="C1420">
        <v>52767</v>
      </c>
      <c r="D1420" s="5">
        <v>4.17</v>
      </c>
      <c r="F1420" s="8">
        <v>100</v>
      </c>
      <c r="G1420" s="8">
        <v>100</v>
      </c>
      <c r="H1420" s="2">
        <f t="shared" si="67"/>
        <v>12416701</v>
      </c>
      <c r="I1420" s="12">
        <f t="shared" si="68"/>
        <v>0.21986249999999999</v>
      </c>
      <c r="J1420" s="12">
        <f t="shared" si="69"/>
        <v>0.22204400929899856</v>
      </c>
    </row>
    <row r="1421" spans="1:10" ht="15" customHeight="1">
      <c r="A1421" s="7">
        <v>44155</v>
      </c>
      <c r="B1421" s="10">
        <v>234</v>
      </c>
      <c r="C1421">
        <v>54509</v>
      </c>
      <c r="D1421" s="5">
        <v>4.2300000000000004</v>
      </c>
      <c r="F1421" s="8">
        <v>100</v>
      </c>
      <c r="G1421" s="8">
        <v>100</v>
      </c>
      <c r="H1421" s="2">
        <f t="shared" si="67"/>
        <v>12471210</v>
      </c>
      <c r="I1421" s="12">
        <f t="shared" si="68"/>
        <v>0.22712083333333333</v>
      </c>
      <c r="J1421" s="12">
        <f t="shared" si="69"/>
        <v>0.22206570512820512</v>
      </c>
    </row>
    <row r="1422" spans="1:10" ht="15" customHeight="1">
      <c r="A1422" s="7">
        <v>44156</v>
      </c>
      <c r="B1422" s="10">
        <v>235</v>
      </c>
      <c r="C1422">
        <v>53311</v>
      </c>
      <c r="D1422" s="5">
        <v>4.2</v>
      </c>
      <c r="F1422" s="8">
        <v>100</v>
      </c>
      <c r="G1422" s="8">
        <v>100</v>
      </c>
      <c r="H1422" s="2">
        <f t="shared" si="67"/>
        <v>12524521</v>
      </c>
      <c r="I1422" s="12">
        <f t="shared" si="68"/>
        <v>0.22212916666666666</v>
      </c>
      <c r="J1422" s="12">
        <f t="shared" si="69"/>
        <v>0.22206597517730498</v>
      </c>
    </row>
    <row r="1423" spans="1:10" ht="15" customHeight="1">
      <c r="A1423" s="7">
        <v>44157</v>
      </c>
      <c r="B1423" s="10">
        <v>236</v>
      </c>
      <c r="C1423">
        <v>51103</v>
      </c>
      <c r="D1423" s="5">
        <v>4.2</v>
      </c>
      <c r="F1423" s="8">
        <v>100</v>
      </c>
      <c r="G1423" s="8">
        <v>100</v>
      </c>
      <c r="H1423" s="2">
        <f t="shared" si="67"/>
        <v>12575624</v>
      </c>
      <c r="I1423" s="12">
        <f t="shared" si="68"/>
        <v>0.21292916666666667</v>
      </c>
      <c r="J1423" s="12">
        <f t="shared" si="69"/>
        <v>0.22202725988700564</v>
      </c>
    </row>
    <row r="1424" spans="1:10" ht="15" customHeight="1">
      <c r="A1424" s="7">
        <v>44158</v>
      </c>
      <c r="B1424" s="10">
        <v>237</v>
      </c>
      <c r="C1424">
        <v>50168</v>
      </c>
      <c r="D1424" s="5">
        <v>4.13</v>
      </c>
      <c r="F1424" s="8">
        <v>100</v>
      </c>
      <c r="G1424" s="8">
        <v>100</v>
      </c>
      <c r="H1424" s="2">
        <f t="shared" si="67"/>
        <v>12625792</v>
      </c>
      <c r="I1424" s="12">
        <f t="shared" si="68"/>
        <v>0.20903333333333332</v>
      </c>
      <c r="J1424" s="12">
        <f t="shared" si="69"/>
        <v>0.22197243319268636</v>
      </c>
    </row>
    <row r="1425" spans="1:10" ht="15" customHeight="1">
      <c r="A1425" s="7">
        <v>44159</v>
      </c>
      <c r="B1425" s="10">
        <v>238</v>
      </c>
      <c r="C1425">
        <v>36554</v>
      </c>
      <c r="D1425" s="5">
        <v>3.32</v>
      </c>
      <c r="F1425" s="8">
        <v>100</v>
      </c>
      <c r="G1425" s="8">
        <v>100</v>
      </c>
      <c r="H1425" s="2">
        <f t="shared" si="67"/>
        <v>12662346</v>
      </c>
      <c r="I1425" s="12">
        <f t="shared" si="68"/>
        <v>0.15230833333333332</v>
      </c>
      <c r="J1425" s="12">
        <f t="shared" si="69"/>
        <v>0.2216797268907563</v>
      </c>
    </row>
    <row r="1426" spans="1:10" ht="15" customHeight="1">
      <c r="A1426" s="7">
        <v>44160</v>
      </c>
      <c r="B1426" s="10">
        <v>239</v>
      </c>
      <c r="C1426">
        <v>17346</v>
      </c>
      <c r="D1426" s="5">
        <v>1.66</v>
      </c>
      <c r="F1426" s="8">
        <v>100</v>
      </c>
      <c r="G1426" s="8">
        <v>100</v>
      </c>
      <c r="H1426" s="2">
        <f t="shared" si="67"/>
        <v>12679692</v>
      </c>
      <c r="I1426" s="12">
        <f t="shared" si="68"/>
        <v>7.2275000000000006E-2</v>
      </c>
      <c r="J1426" s="12">
        <f t="shared" si="69"/>
        <v>0.22105460251046025</v>
      </c>
    </row>
    <row r="1427" spans="1:10" ht="15" customHeight="1">
      <c r="A1427" s="7">
        <v>44161</v>
      </c>
      <c r="B1427" s="10">
        <v>240</v>
      </c>
      <c r="C1427">
        <v>44392</v>
      </c>
      <c r="D1427" s="5">
        <v>3.59</v>
      </c>
      <c r="F1427" s="8">
        <v>100</v>
      </c>
      <c r="G1427" s="8">
        <v>100</v>
      </c>
      <c r="H1427" s="2">
        <f t="shared" si="67"/>
        <v>12724084</v>
      </c>
      <c r="I1427" s="12">
        <f t="shared" si="68"/>
        <v>0.18496666666666667</v>
      </c>
      <c r="J1427" s="12">
        <f t="shared" si="69"/>
        <v>0.22090423611111112</v>
      </c>
    </row>
    <row r="1428" spans="1:10" ht="15" customHeight="1">
      <c r="A1428" s="7">
        <v>44162</v>
      </c>
      <c r="B1428" s="10">
        <v>241</v>
      </c>
      <c r="C1428">
        <v>52805</v>
      </c>
      <c r="D1428" s="5">
        <v>4.1399999999999997</v>
      </c>
      <c r="F1428" s="8">
        <v>100</v>
      </c>
      <c r="G1428" s="8">
        <v>100</v>
      </c>
      <c r="H1428" s="2">
        <f t="shared" si="67"/>
        <v>12776889</v>
      </c>
      <c r="I1428" s="12">
        <f t="shared" si="68"/>
        <v>0.22002083333333333</v>
      </c>
      <c r="J1428" s="12">
        <f t="shared" si="69"/>
        <v>0.22090057053941908</v>
      </c>
    </row>
    <row r="1429" spans="1:10" ht="15" customHeight="1">
      <c r="A1429" s="7">
        <v>44163</v>
      </c>
      <c r="B1429" s="10">
        <v>242</v>
      </c>
      <c r="C1429">
        <v>55406</v>
      </c>
      <c r="D1429" s="5">
        <v>4.38</v>
      </c>
      <c r="F1429" s="8">
        <v>100</v>
      </c>
      <c r="G1429" s="8">
        <v>100</v>
      </c>
      <c r="H1429" s="2">
        <f t="shared" si="67"/>
        <v>12832295</v>
      </c>
      <c r="I1429" s="12">
        <f t="shared" si="68"/>
        <v>0.23085833333333333</v>
      </c>
      <c r="J1429" s="12">
        <f t="shared" si="69"/>
        <v>0.22094171831955922</v>
      </c>
    </row>
    <row r="1430" spans="1:10" ht="15" customHeight="1">
      <c r="A1430" s="7">
        <v>44164</v>
      </c>
      <c r="B1430" s="10">
        <v>243</v>
      </c>
      <c r="C1430">
        <v>55574</v>
      </c>
      <c r="D1430" s="5">
        <v>4.4000000000000004</v>
      </c>
      <c r="F1430" s="8">
        <v>100</v>
      </c>
      <c r="G1430" s="8">
        <v>100</v>
      </c>
      <c r="H1430" s="2">
        <f t="shared" si="67"/>
        <v>12887869</v>
      </c>
      <c r="I1430" s="12">
        <f t="shared" si="68"/>
        <v>0.23155833333333334</v>
      </c>
      <c r="J1430" s="12">
        <f t="shared" si="69"/>
        <v>0.22098540809327846</v>
      </c>
    </row>
    <row r="1431" spans="1:10" ht="15" customHeight="1">
      <c r="A1431" s="7">
        <v>44165</v>
      </c>
      <c r="B1431" s="10">
        <v>244</v>
      </c>
      <c r="C1431">
        <v>52211</v>
      </c>
      <c r="D1431" s="5">
        <v>4.13</v>
      </c>
      <c r="F1431" s="8">
        <v>100</v>
      </c>
      <c r="G1431" s="8">
        <v>100</v>
      </c>
      <c r="H1431" s="2">
        <f t="shared" si="67"/>
        <v>12940080</v>
      </c>
      <c r="I1431" s="12">
        <f t="shared" si="68"/>
        <v>0.21754583333333333</v>
      </c>
      <c r="J1431" s="12">
        <f t="shared" si="69"/>
        <v>0.22097131147540983</v>
      </c>
    </row>
    <row r="1432" spans="1:10" ht="15" customHeight="1">
      <c r="A1432" s="7">
        <v>44166</v>
      </c>
      <c r="B1432" s="10">
        <v>245</v>
      </c>
      <c r="C1432">
        <v>52078</v>
      </c>
      <c r="D1432" s="5">
        <v>4.1399999999999997</v>
      </c>
      <c r="F1432" s="8">
        <v>100</v>
      </c>
      <c r="G1432" s="8">
        <v>100</v>
      </c>
      <c r="H1432" s="2">
        <f t="shared" si="67"/>
        <v>12992158</v>
      </c>
      <c r="I1432" s="12">
        <f t="shared" si="68"/>
        <v>0.21699166666666667</v>
      </c>
      <c r="J1432" s="12">
        <f t="shared" si="69"/>
        <v>0.22095506802721088</v>
      </c>
    </row>
    <row r="1433" spans="1:10" ht="15" customHeight="1">
      <c r="A1433" s="7">
        <v>44167</v>
      </c>
      <c r="B1433" s="10">
        <v>246</v>
      </c>
      <c r="C1433">
        <v>52526</v>
      </c>
      <c r="D1433" s="5">
        <v>4.0999999999999996</v>
      </c>
      <c r="F1433" s="8">
        <v>100</v>
      </c>
      <c r="G1433" s="8">
        <v>100</v>
      </c>
      <c r="H1433" s="2">
        <f t="shared" si="67"/>
        <v>13044684</v>
      </c>
      <c r="I1433" s="12">
        <f t="shared" si="68"/>
        <v>0.21885833333333332</v>
      </c>
      <c r="J1433" s="12">
        <f t="shared" si="69"/>
        <v>0.22094654471544714</v>
      </c>
    </row>
    <row r="1434" spans="1:10" ht="15" customHeight="1">
      <c r="A1434" s="7">
        <v>44168</v>
      </c>
      <c r="B1434" s="10">
        <v>247</v>
      </c>
      <c r="C1434">
        <v>51587</v>
      </c>
      <c r="D1434" s="5">
        <v>4.13</v>
      </c>
      <c r="F1434" s="8">
        <v>97.298855307584617</v>
      </c>
      <c r="G1434" s="8">
        <v>100</v>
      </c>
      <c r="H1434" s="2">
        <f t="shared" si="67"/>
        <v>13096271</v>
      </c>
      <c r="I1434" s="12">
        <f t="shared" si="68"/>
        <v>0.21494583333333334</v>
      </c>
      <c r="J1434" s="12">
        <f t="shared" si="69"/>
        <v>0.22092225033738191</v>
      </c>
    </row>
    <row r="1435" spans="1:10" ht="15" customHeight="1">
      <c r="A1435" s="7">
        <v>44169</v>
      </c>
      <c r="B1435" s="10">
        <v>248</v>
      </c>
      <c r="C1435">
        <v>51959</v>
      </c>
      <c r="D1435" s="5">
        <v>4.05</v>
      </c>
      <c r="F1435" s="8">
        <v>100</v>
      </c>
      <c r="G1435" s="8">
        <v>100</v>
      </c>
      <c r="H1435" s="2">
        <f t="shared" si="67"/>
        <v>13148230</v>
      </c>
      <c r="I1435" s="12">
        <f t="shared" si="68"/>
        <v>0.21649583333333333</v>
      </c>
      <c r="J1435" s="12">
        <f t="shared" si="69"/>
        <v>0.22090440188172042</v>
      </c>
    </row>
    <row r="1436" spans="1:10" ht="15" customHeight="1">
      <c r="A1436" s="7">
        <v>44170</v>
      </c>
      <c r="B1436" s="10">
        <v>249</v>
      </c>
      <c r="C1436">
        <v>47600</v>
      </c>
      <c r="D1436" s="5">
        <v>3.76</v>
      </c>
      <c r="F1436" s="8">
        <v>100</v>
      </c>
      <c r="G1436" s="8">
        <v>100</v>
      </c>
      <c r="H1436" s="2">
        <f t="shared" si="67"/>
        <v>13195830</v>
      </c>
      <c r="I1436" s="12">
        <f t="shared" si="68"/>
        <v>0.19833333333333333</v>
      </c>
      <c r="J1436" s="12">
        <f t="shared" si="69"/>
        <v>0.22081375502008033</v>
      </c>
    </row>
    <row r="1437" spans="1:10" ht="15" customHeight="1">
      <c r="A1437" s="7">
        <v>44171</v>
      </c>
      <c r="B1437" s="10">
        <v>250</v>
      </c>
      <c r="C1437">
        <v>44035</v>
      </c>
      <c r="D1437" s="5">
        <v>3.56</v>
      </c>
      <c r="F1437" s="8">
        <v>100</v>
      </c>
      <c r="G1437" s="8">
        <v>100</v>
      </c>
      <c r="H1437" s="2">
        <f t="shared" si="67"/>
        <v>13239865</v>
      </c>
      <c r="I1437" s="12">
        <f t="shared" si="68"/>
        <v>0.18347916666666667</v>
      </c>
      <c r="J1437" s="12">
        <f t="shared" si="69"/>
        <v>0.22066441666666667</v>
      </c>
    </row>
    <row r="1438" spans="1:10" ht="15" customHeight="1">
      <c r="A1438" s="7">
        <v>44172</v>
      </c>
      <c r="B1438" s="10">
        <v>251</v>
      </c>
      <c r="C1438">
        <v>40775</v>
      </c>
      <c r="D1438" s="5">
        <v>3.34</v>
      </c>
      <c r="F1438" s="8">
        <v>100</v>
      </c>
      <c r="G1438" s="8">
        <v>100</v>
      </c>
      <c r="H1438" s="2">
        <f t="shared" si="67"/>
        <v>13280640</v>
      </c>
      <c r="I1438" s="12">
        <f t="shared" si="68"/>
        <v>0.16989583333333333</v>
      </c>
      <c r="J1438" s="12">
        <f t="shared" si="69"/>
        <v>0.22046215139442232</v>
      </c>
    </row>
    <row r="1439" spans="1:10" ht="15" customHeight="1">
      <c r="A1439" s="7">
        <v>44173</v>
      </c>
      <c r="B1439" s="10">
        <v>252</v>
      </c>
      <c r="C1439">
        <v>47115</v>
      </c>
      <c r="D1439" s="5">
        <v>3.71</v>
      </c>
      <c r="F1439" s="8">
        <v>100</v>
      </c>
      <c r="G1439" s="8">
        <v>100</v>
      </c>
      <c r="H1439" s="2">
        <f t="shared" si="67"/>
        <v>13327755</v>
      </c>
      <c r="I1439" s="12">
        <f t="shared" si="68"/>
        <v>0.1963125</v>
      </c>
      <c r="J1439" s="12">
        <f t="shared" si="69"/>
        <v>0.22036631944444443</v>
      </c>
    </row>
    <row r="1440" spans="1:10" ht="15" customHeight="1">
      <c r="A1440" s="7">
        <v>44174</v>
      </c>
      <c r="B1440" s="10">
        <v>253</v>
      </c>
      <c r="C1440">
        <v>43726</v>
      </c>
      <c r="D1440" s="5">
        <v>3.45</v>
      </c>
      <c r="F1440" s="8">
        <v>100</v>
      </c>
      <c r="G1440" s="8">
        <v>100</v>
      </c>
      <c r="H1440" s="2">
        <f t="shared" si="67"/>
        <v>13371481</v>
      </c>
      <c r="I1440" s="12">
        <f t="shared" si="68"/>
        <v>0.18219166666666667</v>
      </c>
      <c r="J1440" s="12">
        <f t="shared" si="69"/>
        <v>0.22021543148880104</v>
      </c>
    </row>
    <row r="1441" spans="1:10" ht="15" customHeight="1">
      <c r="A1441" s="7">
        <v>44175</v>
      </c>
      <c r="B1441" s="10">
        <v>254</v>
      </c>
      <c r="C1441">
        <v>44801</v>
      </c>
      <c r="D1441" s="5">
        <v>3.54</v>
      </c>
      <c r="F1441" s="8">
        <v>97.006485947114584</v>
      </c>
      <c r="G1441" s="8">
        <v>100</v>
      </c>
      <c r="H1441" s="2">
        <f t="shared" si="67"/>
        <v>13416282</v>
      </c>
      <c r="I1441" s="12">
        <f t="shared" si="68"/>
        <v>0.18667083333333334</v>
      </c>
      <c r="J1441" s="12">
        <f t="shared" si="69"/>
        <v>0.2200833661417323</v>
      </c>
    </row>
    <row r="1442" spans="1:10" ht="15" customHeight="1">
      <c r="A1442" s="7">
        <v>44176</v>
      </c>
      <c r="B1442" s="10">
        <v>255</v>
      </c>
      <c r="C1442">
        <v>41301</v>
      </c>
      <c r="D1442" s="5">
        <v>3.29</v>
      </c>
      <c r="F1442" s="8">
        <v>100</v>
      </c>
      <c r="G1442" s="8">
        <v>100</v>
      </c>
      <c r="H1442" s="2">
        <f t="shared" si="67"/>
        <v>13457583</v>
      </c>
      <c r="I1442" s="12">
        <f t="shared" si="68"/>
        <v>0.1720875</v>
      </c>
      <c r="J1442" s="12">
        <f t="shared" si="69"/>
        <v>0.21989514705882354</v>
      </c>
    </row>
    <row r="1443" spans="1:10" ht="15" customHeight="1">
      <c r="A1443" s="7">
        <v>44177</v>
      </c>
      <c r="B1443" s="10">
        <v>256</v>
      </c>
      <c r="C1443">
        <v>52828</v>
      </c>
      <c r="D1443" s="5">
        <v>4.0199999999999996</v>
      </c>
      <c r="F1443" s="8">
        <v>100</v>
      </c>
      <c r="G1443" s="8">
        <v>100</v>
      </c>
      <c r="H1443" s="2">
        <f t="shared" si="67"/>
        <v>13510411</v>
      </c>
      <c r="I1443" s="12">
        <f t="shared" si="68"/>
        <v>0.22011666666666665</v>
      </c>
      <c r="J1443" s="12">
        <f t="shared" si="69"/>
        <v>0.21989601236979167</v>
      </c>
    </row>
    <row r="1444" spans="1:10" ht="15" customHeight="1">
      <c r="A1444" s="7">
        <v>44178</v>
      </c>
      <c r="B1444" s="10">
        <v>257</v>
      </c>
      <c r="C1444">
        <v>52670</v>
      </c>
      <c r="D1444" s="5">
        <v>4.0199999999999996</v>
      </c>
      <c r="F1444" s="8">
        <v>100</v>
      </c>
      <c r="G1444" s="8">
        <v>100</v>
      </c>
      <c r="H1444" s="2">
        <f t="shared" si="67"/>
        <v>13563081</v>
      </c>
      <c r="I1444" s="12">
        <f t="shared" si="68"/>
        <v>0.21945833333333334</v>
      </c>
      <c r="J1444" s="12">
        <f t="shared" si="69"/>
        <v>0.21989430933852139</v>
      </c>
    </row>
    <row r="1445" spans="1:10" ht="15" customHeight="1">
      <c r="A1445" s="7">
        <v>44179</v>
      </c>
      <c r="B1445" s="10">
        <v>258</v>
      </c>
      <c r="C1445">
        <v>54960</v>
      </c>
      <c r="D1445" s="5">
        <v>4.0999999999999996</v>
      </c>
      <c r="F1445" s="8">
        <v>100</v>
      </c>
      <c r="G1445" s="8">
        <v>100</v>
      </c>
      <c r="H1445" s="2">
        <f t="shared" ref="H1445:H1508" si="70">H1444+C1445</f>
        <v>13618041</v>
      </c>
      <c r="I1445" s="12">
        <f t="shared" si="68"/>
        <v>0.22900000000000001</v>
      </c>
      <c r="J1445" s="12">
        <f t="shared" si="69"/>
        <v>0.2199296027131783</v>
      </c>
    </row>
    <row r="1446" spans="1:10" ht="15" customHeight="1">
      <c r="A1446" s="7">
        <v>44180</v>
      </c>
      <c r="B1446" s="10">
        <v>259</v>
      </c>
      <c r="C1446">
        <v>48152</v>
      </c>
      <c r="D1446" s="5">
        <v>3.68</v>
      </c>
      <c r="F1446" s="8">
        <v>100</v>
      </c>
      <c r="G1446" s="8">
        <v>100</v>
      </c>
      <c r="H1446" s="2">
        <f t="shared" si="70"/>
        <v>13666193</v>
      </c>
      <c r="I1446" s="12">
        <f t="shared" si="68"/>
        <v>0.20063333333333333</v>
      </c>
      <c r="J1446" s="12">
        <f t="shared" si="69"/>
        <v>0.21985509974259973</v>
      </c>
    </row>
    <row r="1447" spans="1:10" ht="15" customHeight="1">
      <c r="A1447" s="7">
        <v>44181</v>
      </c>
      <c r="B1447" s="10">
        <v>260</v>
      </c>
      <c r="C1447">
        <v>45735</v>
      </c>
      <c r="D1447" s="5">
        <v>3.52</v>
      </c>
      <c r="F1447" s="8">
        <v>100</v>
      </c>
      <c r="G1447" s="8">
        <v>95.763888888888886</v>
      </c>
      <c r="H1447" s="2">
        <f t="shared" si="70"/>
        <v>13711928</v>
      </c>
      <c r="I1447" s="12">
        <f t="shared" si="68"/>
        <v>0.1905625</v>
      </c>
      <c r="J1447" s="12">
        <f t="shared" si="69"/>
        <v>0.21974243589743589</v>
      </c>
    </row>
    <row r="1448" spans="1:10" ht="15" customHeight="1">
      <c r="A1448" s="7">
        <v>44182</v>
      </c>
      <c r="B1448" s="10">
        <v>261</v>
      </c>
      <c r="C1448">
        <v>44753</v>
      </c>
      <c r="D1448" s="5">
        <v>3.99</v>
      </c>
      <c r="F1448" s="8">
        <v>100</v>
      </c>
      <c r="G1448" s="8">
        <v>100</v>
      </c>
      <c r="H1448" s="2">
        <f t="shared" si="70"/>
        <v>13756681</v>
      </c>
      <c r="I1448" s="12">
        <f t="shared" si="68"/>
        <v>0.18647083333333334</v>
      </c>
      <c r="J1448" s="12">
        <f t="shared" si="69"/>
        <v>0.21961495849297574</v>
      </c>
    </row>
    <row r="1449" spans="1:10" ht="15" customHeight="1">
      <c r="A1449" s="7">
        <v>44183</v>
      </c>
      <c r="B1449" s="10">
        <v>262</v>
      </c>
      <c r="C1449">
        <v>54958</v>
      </c>
      <c r="D1449" s="5">
        <v>4.13</v>
      </c>
      <c r="F1449" s="8">
        <v>100</v>
      </c>
      <c r="G1449" s="8">
        <v>100</v>
      </c>
      <c r="H1449" s="2">
        <f t="shared" si="70"/>
        <v>13811639</v>
      </c>
      <c r="I1449" s="12">
        <f t="shared" si="68"/>
        <v>0.22899166666666668</v>
      </c>
      <c r="J1449" s="12">
        <f t="shared" si="69"/>
        <v>0.21965074745547075</v>
      </c>
    </row>
    <row r="1450" spans="1:10" ht="15" customHeight="1">
      <c r="A1450" s="7">
        <v>44184</v>
      </c>
      <c r="B1450" s="10">
        <v>263</v>
      </c>
      <c r="C1450">
        <v>53231</v>
      </c>
      <c r="D1450" s="5">
        <v>4.05</v>
      </c>
      <c r="F1450" s="8">
        <v>100</v>
      </c>
      <c r="G1450" s="8">
        <v>100</v>
      </c>
      <c r="H1450" s="2">
        <f t="shared" si="70"/>
        <v>13864870</v>
      </c>
      <c r="I1450" s="12">
        <f t="shared" si="68"/>
        <v>0.22179583333333333</v>
      </c>
      <c r="J1450" s="12">
        <f t="shared" si="69"/>
        <v>0.21965890367553867</v>
      </c>
    </row>
    <row r="1451" spans="1:10" ht="15" customHeight="1">
      <c r="A1451" s="7">
        <v>44185</v>
      </c>
      <c r="B1451" s="10">
        <v>264</v>
      </c>
      <c r="C1451">
        <v>40932</v>
      </c>
      <c r="D1451" s="5">
        <v>3.38</v>
      </c>
      <c r="F1451" s="8">
        <v>100</v>
      </c>
      <c r="G1451" s="8">
        <v>100</v>
      </c>
      <c r="H1451" s="2">
        <f t="shared" si="70"/>
        <v>13905802</v>
      </c>
      <c r="I1451" s="12">
        <f t="shared" si="68"/>
        <v>0.17055000000000001</v>
      </c>
      <c r="J1451" s="12">
        <f t="shared" si="69"/>
        <v>0.2194728851010101</v>
      </c>
    </row>
    <row r="1452" spans="1:10" ht="15" customHeight="1">
      <c r="A1452" s="7">
        <v>44186</v>
      </c>
      <c r="B1452" s="10">
        <v>265</v>
      </c>
      <c r="C1452">
        <v>48642</v>
      </c>
      <c r="D1452" s="5">
        <v>3.78</v>
      </c>
      <c r="F1452" s="8">
        <v>100</v>
      </c>
      <c r="G1452" s="8">
        <v>100</v>
      </c>
      <c r="H1452" s="2">
        <f t="shared" si="70"/>
        <v>13954444</v>
      </c>
      <c r="I1452" s="12">
        <f t="shared" si="68"/>
        <v>0.20267499999999999</v>
      </c>
      <c r="J1452" s="12">
        <f t="shared" si="69"/>
        <v>0.21940949685534591</v>
      </c>
    </row>
    <row r="1453" spans="1:10" ht="15" customHeight="1">
      <c r="A1453" s="7">
        <v>44187</v>
      </c>
      <c r="B1453" s="10">
        <v>266</v>
      </c>
      <c r="C1453">
        <v>50364</v>
      </c>
      <c r="D1453" s="5">
        <v>3.98</v>
      </c>
      <c r="F1453" s="8">
        <v>100</v>
      </c>
      <c r="G1453" s="8">
        <v>100</v>
      </c>
      <c r="H1453" s="2">
        <f t="shared" si="70"/>
        <v>14004808</v>
      </c>
      <c r="I1453" s="12">
        <f t="shared" si="68"/>
        <v>0.20985000000000001</v>
      </c>
      <c r="J1453" s="12">
        <f t="shared" si="69"/>
        <v>0.21937355889724311</v>
      </c>
    </row>
    <row r="1454" spans="1:10" ht="15" customHeight="1">
      <c r="A1454" s="7">
        <v>44188</v>
      </c>
      <c r="B1454" s="10">
        <v>267</v>
      </c>
      <c r="C1454">
        <v>51391</v>
      </c>
      <c r="D1454" s="5">
        <v>3.91</v>
      </c>
      <c r="F1454" s="8">
        <v>100</v>
      </c>
      <c r="G1454" s="8">
        <v>100</v>
      </c>
      <c r="H1454" s="2">
        <f t="shared" si="70"/>
        <v>14056199</v>
      </c>
      <c r="I1454" s="12">
        <f t="shared" si="68"/>
        <v>0.21412916666666668</v>
      </c>
      <c r="J1454" s="12">
        <f t="shared" si="69"/>
        <v>0.21935391697877654</v>
      </c>
    </row>
    <row r="1455" spans="1:10" ht="15" customHeight="1">
      <c r="A1455" s="7">
        <v>44189</v>
      </c>
      <c r="B1455" s="10">
        <v>268</v>
      </c>
      <c r="C1455">
        <v>50220</v>
      </c>
      <c r="D1455" s="5">
        <v>3.85</v>
      </c>
      <c r="F1455" s="8">
        <v>100</v>
      </c>
      <c r="G1455" s="8">
        <v>100</v>
      </c>
      <c r="H1455" s="2">
        <f t="shared" si="70"/>
        <v>14106419</v>
      </c>
      <c r="I1455" s="12">
        <f t="shared" si="68"/>
        <v>0.20924999999999999</v>
      </c>
      <c r="J1455" s="12">
        <f t="shared" si="69"/>
        <v>0.2193162157960199</v>
      </c>
    </row>
    <row r="1456" spans="1:10" ht="15" customHeight="1">
      <c r="A1456" s="7">
        <v>44190</v>
      </c>
      <c r="B1456" s="10">
        <v>269</v>
      </c>
      <c r="C1456">
        <v>39863</v>
      </c>
      <c r="D1456" s="5">
        <v>3.27</v>
      </c>
      <c r="F1456" s="8">
        <v>100</v>
      </c>
      <c r="G1456" s="8">
        <v>100</v>
      </c>
      <c r="H1456" s="2">
        <f t="shared" si="70"/>
        <v>14146282</v>
      </c>
      <c r="I1456" s="12">
        <f t="shared" si="68"/>
        <v>0.16609583333333333</v>
      </c>
      <c r="J1456" s="12">
        <f t="shared" si="69"/>
        <v>0.21911837050805452</v>
      </c>
    </row>
    <row r="1457" spans="1:10" ht="15" customHeight="1">
      <c r="A1457" s="7">
        <v>44191</v>
      </c>
      <c r="B1457" s="10">
        <v>270</v>
      </c>
      <c r="C1457">
        <v>44209</v>
      </c>
      <c r="D1457" s="5">
        <v>3.53</v>
      </c>
      <c r="F1457" s="8">
        <v>100</v>
      </c>
      <c r="G1457" s="8">
        <v>100</v>
      </c>
      <c r="H1457" s="2">
        <f t="shared" si="70"/>
        <v>14190491</v>
      </c>
      <c r="I1457" s="12">
        <f t="shared" si="68"/>
        <v>0.18420416666666667</v>
      </c>
      <c r="J1457" s="12">
        <f t="shared" si="69"/>
        <v>0.21898905864197532</v>
      </c>
    </row>
    <row r="1458" spans="1:10" ht="15" customHeight="1">
      <c r="A1458" s="7">
        <v>44192</v>
      </c>
      <c r="B1458" s="10">
        <v>271</v>
      </c>
      <c r="C1458">
        <v>50147</v>
      </c>
      <c r="D1458" s="5">
        <v>3.92</v>
      </c>
      <c r="F1458" s="8">
        <v>100</v>
      </c>
      <c r="G1458" s="8">
        <v>100</v>
      </c>
      <c r="H1458" s="2">
        <f t="shared" si="70"/>
        <v>14240638</v>
      </c>
      <c r="I1458" s="12">
        <f t="shared" si="68"/>
        <v>0.20894583333333333</v>
      </c>
      <c r="J1458" s="12">
        <f t="shared" si="69"/>
        <v>0.21895199876998769</v>
      </c>
    </row>
    <row r="1459" spans="1:10" ht="15" customHeight="1">
      <c r="A1459" s="7">
        <v>44193</v>
      </c>
      <c r="B1459" s="10">
        <v>272</v>
      </c>
      <c r="C1459">
        <v>54658</v>
      </c>
      <c r="D1459" s="5">
        <v>4.22</v>
      </c>
      <c r="F1459" s="8">
        <v>100</v>
      </c>
      <c r="G1459" s="8">
        <v>100</v>
      </c>
      <c r="H1459" s="2">
        <f t="shared" si="70"/>
        <v>14295296</v>
      </c>
      <c r="I1459" s="12">
        <f t="shared" si="68"/>
        <v>0.22774166666666668</v>
      </c>
      <c r="J1459" s="12">
        <f t="shared" si="69"/>
        <v>0.21898431372549021</v>
      </c>
    </row>
    <row r="1460" spans="1:10" ht="15" customHeight="1">
      <c r="A1460" s="7">
        <v>44194</v>
      </c>
      <c r="B1460" s="10">
        <v>273</v>
      </c>
      <c r="C1460">
        <v>52472</v>
      </c>
      <c r="D1460" s="5">
        <v>4.04</v>
      </c>
      <c r="F1460" s="8">
        <v>100</v>
      </c>
      <c r="G1460" s="8">
        <v>100</v>
      </c>
      <c r="H1460" s="2">
        <f t="shared" si="70"/>
        <v>14347768</v>
      </c>
      <c r="I1460" s="12">
        <f t="shared" si="68"/>
        <v>0.21863333333333335</v>
      </c>
      <c r="J1460" s="12">
        <f t="shared" si="69"/>
        <v>0.21898302808302808</v>
      </c>
    </row>
    <row r="1461" spans="1:10" ht="15" customHeight="1">
      <c r="A1461" s="7">
        <v>44195</v>
      </c>
      <c r="B1461" s="10">
        <v>274</v>
      </c>
      <c r="C1461">
        <v>52154</v>
      </c>
      <c r="D1461" s="5">
        <v>4.01</v>
      </c>
      <c r="F1461" s="8">
        <v>100</v>
      </c>
      <c r="G1461" s="8">
        <v>100</v>
      </c>
      <c r="H1461" s="2">
        <f t="shared" si="70"/>
        <v>14399922</v>
      </c>
      <c r="I1461" s="12">
        <f t="shared" si="68"/>
        <v>0.21730833333333333</v>
      </c>
      <c r="J1461" s="12">
        <f t="shared" si="69"/>
        <v>0.21897691605839417</v>
      </c>
    </row>
    <row r="1462" spans="1:10" ht="15" customHeight="1">
      <c r="A1462" s="7">
        <v>44196</v>
      </c>
      <c r="B1462" s="10">
        <v>275</v>
      </c>
      <c r="C1462">
        <v>43565</v>
      </c>
      <c r="D1462" s="5">
        <v>3.61</v>
      </c>
      <c r="F1462" s="8">
        <v>100</v>
      </c>
      <c r="G1462" s="8">
        <v>100</v>
      </c>
      <c r="H1462" s="2">
        <f t="shared" si="70"/>
        <v>14443487</v>
      </c>
      <c r="I1462" s="12">
        <f t="shared" si="68"/>
        <v>0.18152083333333333</v>
      </c>
      <c r="J1462" s="12">
        <f t="shared" si="69"/>
        <v>0.21884071212121212</v>
      </c>
    </row>
    <row r="1463" spans="1:10" ht="15" customHeight="1">
      <c r="A1463" s="7">
        <v>44197</v>
      </c>
      <c r="B1463" s="10">
        <v>276</v>
      </c>
      <c r="C1463">
        <v>48566</v>
      </c>
      <c r="D1463" s="5">
        <v>3.82</v>
      </c>
      <c r="F1463" s="8">
        <v>100</v>
      </c>
      <c r="G1463" s="8">
        <v>100</v>
      </c>
      <c r="H1463" s="2">
        <f t="shared" si="70"/>
        <v>14492053</v>
      </c>
      <c r="I1463" s="12">
        <f t="shared" si="68"/>
        <v>0.20235833333333333</v>
      </c>
      <c r="J1463" s="12">
        <f t="shared" si="69"/>
        <v>0.21878099335748794</v>
      </c>
    </row>
    <row r="1464" spans="1:10" ht="15" customHeight="1">
      <c r="A1464" s="7">
        <v>44198</v>
      </c>
      <c r="B1464" s="10">
        <v>277</v>
      </c>
      <c r="C1464">
        <v>33980</v>
      </c>
      <c r="D1464" s="5">
        <v>3.05</v>
      </c>
      <c r="F1464" s="8">
        <v>100</v>
      </c>
      <c r="G1464" s="8">
        <v>100</v>
      </c>
      <c r="H1464" s="2">
        <f t="shared" si="70"/>
        <v>14526033</v>
      </c>
      <c r="I1464" s="12">
        <f t="shared" si="68"/>
        <v>0.14158333333333334</v>
      </c>
      <c r="J1464" s="12">
        <f t="shared" si="69"/>
        <v>0.21850230144404331</v>
      </c>
    </row>
    <row r="1465" spans="1:10" ht="15" customHeight="1">
      <c r="A1465" s="7">
        <v>44199</v>
      </c>
      <c r="B1465" s="10">
        <v>278</v>
      </c>
      <c r="C1465">
        <v>30748</v>
      </c>
      <c r="D1465" s="5">
        <v>2.73</v>
      </c>
      <c r="F1465" s="8">
        <v>100</v>
      </c>
      <c r="G1465" s="8">
        <v>100</v>
      </c>
      <c r="H1465" s="2">
        <f t="shared" si="70"/>
        <v>14556781</v>
      </c>
      <c r="I1465" s="12">
        <f t="shared" si="68"/>
        <v>0.12811666666666666</v>
      </c>
      <c r="J1465" s="12">
        <f t="shared" si="69"/>
        <v>0.21817717326139088</v>
      </c>
    </row>
    <row r="1466" spans="1:10" ht="15" customHeight="1">
      <c r="A1466" s="7">
        <v>44200</v>
      </c>
      <c r="B1466" s="10">
        <v>279</v>
      </c>
      <c r="C1466">
        <v>22290</v>
      </c>
      <c r="D1466" s="5">
        <v>2.21</v>
      </c>
      <c r="F1466" s="8">
        <v>100</v>
      </c>
      <c r="G1466" s="8">
        <v>100</v>
      </c>
      <c r="H1466" s="2">
        <f t="shared" si="70"/>
        <v>14579071</v>
      </c>
      <c r="I1466" s="12">
        <f t="shared" si="68"/>
        <v>9.2874999999999999E-2</v>
      </c>
      <c r="J1466" s="12">
        <f t="shared" si="69"/>
        <v>0.21772806152927121</v>
      </c>
    </row>
    <row r="1467" spans="1:10" ht="15" customHeight="1">
      <c r="A1467" s="7">
        <v>44201</v>
      </c>
      <c r="B1467" s="10">
        <v>280</v>
      </c>
      <c r="C1467">
        <v>8634</v>
      </c>
      <c r="D1467" s="5">
        <v>1.03</v>
      </c>
      <c r="F1467" s="8">
        <v>100</v>
      </c>
      <c r="G1467" s="8">
        <v>100</v>
      </c>
      <c r="H1467" s="2">
        <f t="shared" si="70"/>
        <v>14587705</v>
      </c>
      <c r="I1467" s="12">
        <f t="shared" si="68"/>
        <v>3.5975E-2</v>
      </c>
      <c r="J1467" s="12">
        <f t="shared" si="69"/>
        <v>0.21707894345238096</v>
      </c>
    </row>
    <row r="1468" spans="1:10" ht="15" customHeight="1">
      <c r="A1468" s="7">
        <v>44202</v>
      </c>
      <c r="B1468" s="10">
        <v>281</v>
      </c>
      <c r="C1468">
        <v>31827</v>
      </c>
      <c r="D1468" s="5">
        <v>3.13</v>
      </c>
      <c r="F1468" s="8">
        <v>98.061250750621937</v>
      </c>
      <c r="G1468" s="8">
        <v>97.638888888888886</v>
      </c>
      <c r="H1468" s="2">
        <f t="shared" si="70"/>
        <v>14619532</v>
      </c>
      <c r="I1468" s="12">
        <f t="shared" si="68"/>
        <v>0.13261249999999999</v>
      </c>
      <c r="J1468" s="12">
        <f t="shared" si="69"/>
        <v>0.21677835112692764</v>
      </c>
    </row>
    <row r="1469" spans="1:10" ht="15" customHeight="1">
      <c r="A1469" s="7">
        <v>44203</v>
      </c>
      <c r="B1469" s="10">
        <v>282</v>
      </c>
      <c r="C1469">
        <v>47236</v>
      </c>
      <c r="D1469" s="5">
        <v>3.79</v>
      </c>
      <c r="F1469" s="8">
        <v>100</v>
      </c>
      <c r="G1469" s="8">
        <v>100</v>
      </c>
      <c r="H1469" s="2">
        <f t="shared" si="70"/>
        <v>14666768</v>
      </c>
      <c r="I1469" s="12">
        <f t="shared" si="68"/>
        <v>0.19681666666666667</v>
      </c>
      <c r="J1469" s="12">
        <f t="shared" si="69"/>
        <v>0.21670756501182034</v>
      </c>
    </row>
    <row r="1470" spans="1:10" ht="15" customHeight="1">
      <c r="A1470" s="7">
        <v>44204</v>
      </c>
      <c r="B1470" s="10">
        <v>283</v>
      </c>
      <c r="C1470">
        <v>52197</v>
      </c>
      <c r="D1470" s="5">
        <v>4.09</v>
      </c>
      <c r="F1470" s="8">
        <v>100</v>
      </c>
      <c r="G1470" s="8">
        <v>100</v>
      </c>
      <c r="H1470" s="2">
        <f t="shared" si="70"/>
        <v>14718965</v>
      </c>
      <c r="I1470" s="12">
        <f t="shared" si="68"/>
        <v>0.2174875</v>
      </c>
      <c r="J1470" s="12">
        <f t="shared" si="69"/>
        <v>0.21671032096584217</v>
      </c>
    </row>
    <row r="1471" spans="1:10" ht="15" customHeight="1">
      <c r="A1471" s="7">
        <v>44205</v>
      </c>
      <c r="B1471" s="10">
        <v>284</v>
      </c>
      <c r="C1471">
        <v>44452</v>
      </c>
      <c r="D1471" s="5">
        <v>3.47</v>
      </c>
      <c r="F1471" s="8">
        <v>100</v>
      </c>
      <c r="G1471" s="8">
        <v>100</v>
      </c>
      <c r="H1471" s="2">
        <f t="shared" si="70"/>
        <v>14763417</v>
      </c>
      <c r="I1471" s="12">
        <f t="shared" si="68"/>
        <v>0.18521666666666667</v>
      </c>
      <c r="J1471" s="12">
        <f t="shared" si="69"/>
        <v>0.21659942781690142</v>
      </c>
    </row>
    <row r="1472" spans="1:10" ht="15" customHeight="1">
      <c r="A1472" s="7">
        <v>44206</v>
      </c>
      <c r="B1472" s="10">
        <v>285</v>
      </c>
      <c r="C1472">
        <v>55392</v>
      </c>
      <c r="D1472" s="5">
        <v>4.2300000000000004</v>
      </c>
      <c r="F1472" s="8">
        <v>100</v>
      </c>
      <c r="G1472" s="8">
        <v>100</v>
      </c>
      <c r="H1472" s="2">
        <f t="shared" si="70"/>
        <v>14818809</v>
      </c>
      <c r="I1472" s="12">
        <f t="shared" si="68"/>
        <v>0.23080000000000001</v>
      </c>
      <c r="J1472" s="12">
        <f t="shared" si="69"/>
        <v>0.21664925438596491</v>
      </c>
    </row>
    <row r="1473" spans="1:10" ht="15" customHeight="1">
      <c r="A1473" s="7">
        <v>44207</v>
      </c>
      <c r="B1473" s="10">
        <v>286</v>
      </c>
      <c r="C1473">
        <v>57570</v>
      </c>
      <c r="D1473" s="5">
        <v>4.45</v>
      </c>
      <c r="F1473" s="8">
        <v>100</v>
      </c>
      <c r="G1473" s="8">
        <v>100</v>
      </c>
      <c r="H1473" s="2">
        <f t="shared" si="70"/>
        <v>14876379</v>
      </c>
      <c r="I1473" s="12">
        <f t="shared" si="68"/>
        <v>0.239875</v>
      </c>
      <c r="J1473" s="12">
        <f t="shared" si="69"/>
        <v>0.21673046328671328</v>
      </c>
    </row>
    <row r="1474" spans="1:10" ht="15" customHeight="1">
      <c r="A1474" s="7">
        <v>44208</v>
      </c>
      <c r="B1474" s="10">
        <v>287</v>
      </c>
      <c r="C1474">
        <v>58189</v>
      </c>
      <c r="D1474" s="5">
        <v>4.51</v>
      </c>
      <c r="F1474" s="8">
        <v>100</v>
      </c>
      <c r="G1474" s="8">
        <v>100</v>
      </c>
      <c r="H1474" s="2">
        <f t="shared" si="70"/>
        <v>14934568</v>
      </c>
      <c r="I1474" s="12">
        <f t="shared" si="68"/>
        <v>0.24245416666666667</v>
      </c>
      <c r="J1474" s="12">
        <f t="shared" si="69"/>
        <v>0.21682009291521487</v>
      </c>
    </row>
    <row r="1475" spans="1:10" ht="15" customHeight="1">
      <c r="A1475" s="7">
        <v>44209</v>
      </c>
      <c r="B1475" s="10">
        <v>288</v>
      </c>
      <c r="C1475">
        <v>58138</v>
      </c>
      <c r="D1475" s="5">
        <v>4.5199999999999996</v>
      </c>
      <c r="F1475" s="8">
        <v>100</v>
      </c>
      <c r="G1475" s="8">
        <v>100</v>
      </c>
      <c r="H1475" s="2">
        <f t="shared" si="70"/>
        <v>14992706</v>
      </c>
      <c r="I1475" s="12">
        <f t="shared" ref="I1475:I1538" si="71">C1475/(10*24*1000)</f>
        <v>0.24224166666666666</v>
      </c>
      <c r="J1475" s="12">
        <f t="shared" si="69"/>
        <v>0.21690836226851851</v>
      </c>
    </row>
    <row r="1476" spans="1:10" ht="15" customHeight="1">
      <c r="A1476" s="7">
        <v>44210</v>
      </c>
      <c r="B1476" s="10">
        <v>289</v>
      </c>
      <c r="C1476">
        <v>49187</v>
      </c>
      <c r="D1476" s="5">
        <v>4.16</v>
      </c>
      <c r="F1476" s="8">
        <v>100</v>
      </c>
      <c r="G1476" s="8">
        <v>100</v>
      </c>
      <c r="H1476" s="2">
        <f t="shared" si="70"/>
        <v>15041893</v>
      </c>
      <c r="I1476" s="12">
        <f t="shared" si="71"/>
        <v>0.20494583333333333</v>
      </c>
      <c r="J1476" s="12">
        <f t="shared" ref="J1476:J1539" si="72">H1476/(24*B1476*10*1000)</f>
        <v>0.21686696943483275</v>
      </c>
    </row>
    <row r="1477" spans="1:10" ht="15" customHeight="1">
      <c r="A1477" s="7">
        <v>44211</v>
      </c>
      <c r="B1477" s="10">
        <v>290</v>
      </c>
      <c r="C1477">
        <v>55230</v>
      </c>
      <c r="D1477" s="5">
        <v>4.37</v>
      </c>
      <c r="F1477" s="8">
        <v>100</v>
      </c>
      <c r="G1477" s="8">
        <v>100</v>
      </c>
      <c r="H1477" s="2">
        <f t="shared" si="70"/>
        <v>15097123</v>
      </c>
      <c r="I1477" s="12">
        <f t="shared" si="71"/>
        <v>0.230125</v>
      </c>
      <c r="J1477" s="12">
        <f t="shared" si="72"/>
        <v>0.21691268678160919</v>
      </c>
    </row>
    <row r="1478" spans="1:10" ht="15" customHeight="1">
      <c r="A1478" s="7">
        <v>44212</v>
      </c>
      <c r="B1478" s="10">
        <v>291</v>
      </c>
      <c r="C1478">
        <v>56578</v>
      </c>
      <c r="D1478" s="5">
        <v>4.38</v>
      </c>
      <c r="F1478" s="8">
        <v>100</v>
      </c>
      <c r="G1478" s="8">
        <v>100</v>
      </c>
      <c r="H1478" s="2">
        <f t="shared" si="70"/>
        <v>15153701</v>
      </c>
      <c r="I1478" s="12">
        <f t="shared" si="71"/>
        <v>0.23574166666666665</v>
      </c>
      <c r="J1478" s="12">
        <f t="shared" si="72"/>
        <v>0.21697739117983963</v>
      </c>
    </row>
    <row r="1479" spans="1:10" ht="15" customHeight="1">
      <c r="A1479" s="7">
        <v>44213</v>
      </c>
      <c r="B1479" s="10">
        <v>292</v>
      </c>
      <c r="C1479">
        <v>52499</v>
      </c>
      <c r="D1479" s="5">
        <v>4.1900000000000004</v>
      </c>
      <c r="F1479" s="8">
        <v>100</v>
      </c>
      <c r="G1479" s="8">
        <v>100</v>
      </c>
      <c r="H1479" s="2">
        <f t="shared" si="70"/>
        <v>15206200</v>
      </c>
      <c r="I1479" s="12">
        <f t="shared" si="71"/>
        <v>0.21874583333333333</v>
      </c>
      <c r="J1479" s="12">
        <f t="shared" si="72"/>
        <v>0.21698344748858447</v>
      </c>
    </row>
    <row r="1480" spans="1:10" ht="15" customHeight="1">
      <c r="A1480" s="7">
        <v>44214</v>
      </c>
      <c r="B1480" s="10">
        <v>293</v>
      </c>
      <c r="C1480">
        <v>12589</v>
      </c>
      <c r="D1480" s="5">
        <v>1.35</v>
      </c>
      <c r="F1480" s="8">
        <v>100</v>
      </c>
      <c r="G1480" s="8">
        <v>100</v>
      </c>
      <c r="H1480" s="2">
        <f t="shared" si="70"/>
        <v>15218789</v>
      </c>
      <c r="I1480" s="12">
        <f t="shared" si="71"/>
        <v>5.245416666666667E-2</v>
      </c>
      <c r="J1480" s="12">
        <f t="shared" si="72"/>
        <v>0.2164219141069397</v>
      </c>
    </row>
    <row r="1481" spans="1:10" ht="15" customHeight="1">
      <c r="A1481" s="7">
        <v>44215</v>
      </c>
      <c r="B1481" s="10">
        <v>294</v>
      </c>
      <c r="C1481">
        <v>39694</v>
      </c>
      <c r="D1481" s="5">
        <v>3.18</v>
      </c>
      <c r="F1481" s="8">
        <v>100</v>
      </c>
      <c r="G1481" s="8">
        <v>100</v>
      </c>
      <c r="H1481" s="2">
        <f t="shared" si="70"/>
        <v>15258483</v>
      </c>
      <c r="I1481" s="12">
        <f t="shared" si="71"/>
        <v>0.16539166666666666</v>
      </c>
      <c r="J1481" s="12">
        <f t="shared" si="72"/>
        <v>0.21624834183673469</v>
      </c>
    </row>
    <row r="1482" spans="1:10" ht="15" customHeight="1">
      <c r="A1482" s="7">
        <v>44216</v>
      </c>
      <c r="B1482" s="10">
        <v>295</v>
      </c>
      <c r="C1482">
        <v>53650</v>
      </c>
      <c r="D1482" s="5">
        <v>4.3</v>
      </c>
      <c r="F1482" s="8">
        <v>100</v>
      </c>
      <c r="G1482" s="8">
        <v>100</v>
      </c>
      <c r="H1482" s="2">
        <f t="shared" si="70"/>
        <v>15312133</v>
      </c>
      <c r="I1482" s="12">
        <f t="shared" si="71"/>
        <v>0.22354166666666667</v>
      </c>
      <c r="J1482" s="12">
        <f t="shared" si="72"/>
        <v>0.21627306497175142</v>
      </c>
    </row>
    <row r="1483" spans="1:10" ht="15" customHeight="1">
      <c r="A1483" s="7">
        <v>44217</v>
      </c>
      <c r="B1483" s="10">
        <v>296</v>
      </c>
      <c r="C1483">
        <v>55222</v>
      </c>
      <c r="D1483" s="5">
        <v>4.5999999999999996</v>
      </c>
      <c r="F1483" s="8">
        <v>100</v>
      </c>
      <c r="G1483" s="8">
        <v>100</v>
      </c>
      <c r="H1483" s="2">
        <f t="shared" si="70"/>
        <v>15367355</v>
      </c>
      <c r="I1483" s="12">
        <f t="shared" si="71"/>
        <v>0.23009166666666667</v>
      </c>
      <c r="J1483" s="12">
        <f t="shared" si="72"/>
        <v>0.21631974943693694</v>
      </c>
    </row>
    <row r="1484" spans="1:10" ht="15" customHeight="1">
      <c r="A1484" s="7">
        <v>44218</v>
      </c>
      <c r="B1484" s="10">
        <v>297</v>
      </c>
      <c r="C1484">
        <v>53002</v>
      </c>
      <c r="D1484" s="5">
        <v>4.37</v>
      </c>
      <c r="F1484" s="8">
        <v>100</v>
      </c>
      <c r="G1484" s="8">
        <v>100</v>
      </c>
      <c r="H1484" s="2">
        <f t="shared" si="70"/>
        <v>15420357</v>
      </c>
      <c r="I1484" s="12">
        <f t="shared" si="71"/>
        <v>0.22084166666666666</v>
      </c>
      <c r="J1484" s="12">
        <f t="shared" si="72"/>
        <v>0.21633497474747473</v>
      </c>
    </row>
    <row r="1485" spans="1:10" ht="15" customHeight="1">
      <c r="A1485" s="7">
        <v>44219</v>
      </c>
      <c r="B1485" s="10">
        <v>298</v>
      </c>
      <c r="C1485">
        <v>42647</v>
      </c>
      <c r="D1485" s="5">
        <v>3.79</v>
      </c>
      <c r="F1485" s="8">
        <v>100</v>
      </c>
      <c r="G1485" s="8">
        <v>100</v>
      </c>
      <c r="H1485" s="2">
        <f t="shared" si="70"/>
        <v>15463004</v>
      </c>
      <c r="I1485" s="12">
        <f t="shared" si="71"/>
        <v>0.17769583333333333</v>
      </c>
      <c r="J1485" s="12">
        <f t="shared" si="72"/>
        <v>0.21620531319910516</v>
      </c>
    </row>
    <row r="1486" spans="1:10" ht="15" customHeight="1">
      <c r="A1486" s="7">
        <v>44220</v>
      </c>
      <c r="B1486" s="10">
        <v>299</v>
      </c>
      <c r="C1486">
        <v>53889</v>
      </c>
      <c r="D1486" s="5">
        <v>4.62</v>
      </c>
      <c r="F1486" s="8">
        <v>100</v>
      </c>
      <c r="G1486" s="8">
        <v>100</v>
      </c>
      <c r="H1486" s="2">
        <f t="shared" si="70"/>
        <v>15516893</v>
      </c>
      <c r="I1486" s="12">
        <f t="shared" si="71"/>
        <v>0.2245375</v>
      </c>
      <c r="J1486" s="12">
        <f t="shared" si="72"/>
        <v>0.21623318004459308</v>
      </c>
    </row>
    <row r="1487" spans="1:10" ht="15" customHeight="1">
      <c r="A1487" s="7">
        <v>44221</v>
      </c>
      <c r="B1487" s="10">
        <v>300</v>
      </c>
      <c r="C1487">
        <v>55667</v>
      </c>
      <c r="D1487" s="5">
        <v>4.75</v>
      </c>
      <c r="F1487" s="8">
        <v>100</v>
      </c>
      <c r="G1487" s="8">
        <v>100</v>
      </c>
      <c r="H1487" s="2">
        <f t="shared" si="70"/>
        <v>15572560</v>
      </c>
      <c r="I1487" s="12">
        <f t="shared" si="71"/>
        <v>0.23194583333333332</v>
      </c>
      <c r="J1487" s="12">
        <f t="shared" si="72"/>
        <v>0.21628555555555556</v>
      </c>
    </row>
    <row r="1488" spans="1:10" ht="15" customHeight="1">
      <c r="A1488" s="7">
        <v>44222</v>
      </c>
      <c r="B1488" s="10">
        <v>301</v>
      </c>
      <c r="C1488">
        <v>56587</v>
      </c>
      <c r="D1488" s="5">
        <v>4.8899999999999997</v>
      </c>
      <c r="F1488" s="8">
        <v>100</v>
      </c>
      <c r="G1488" s="8">
        <v>100</v>
      </c>
      <c r="H1488" s="2">
        <f t="shared" si="70"/>
        <v>15629147</v>
      </c>
      <c r="I1488" s="12">
        <f t="shared" si="71"/>
        <v>0.23577916666666668</v>
      </c>
      <c r="J1488" s="12">
        <f t="shared" si="72"/>
        <v>0.21635031838316723</v>
      </c>
    </row>
    <row r="1489" spans="1:10" ht="15" customHeight="1">
      <c r="A1489" s="7">
        <v>44223</v>
      </c>
      <c r="B1489" s="10">
        <v>302</v>
      </c>
      <c r="C1489">
        <v>55416</v>
      </c>
      <c r="D1489" s="5">
        <v>4.78</v>
      </c>
      <c r="F1489" s="8">
        <v>100</v>
      </c>
      <c r="G1489" s="8">
        <v>100</v>
      </c>
      <c r="H1489" s="2">
        <f t="shared" si="70"/>
        <v>15684563</v>
      </c>
      <c r="I1489" s="12">
        <f t="shared" si="71"/>
        <v>0.23089999999999999</v>
      </c>
      <c r="J1489" s="12">
        <f t="shared" si="72"/>
        <v>0.21639849613686535</v>
      </c>
    </row>
    <row r="1490" spans="1:10" ht="15" customHeight="1">
      <c r="A1490" s="7">
        <v>44224</v>
      </c>
      <c r="B1490" s="10">
        <v>303</v>
      </c>
      <c r="C1490">
        <v>55560</v>
      </c>
      <c r="D1490" s="5">
        <v>4.82</v>
      </c>
      <c r="F1490" s="8">
        <v>100</v>
      </c>
      <c r="G1490" s="8">
        <v>100</v>
      </c>
      <c r="H1490" s="2">
        <f t="shared" si="70"/>
        <v>15740123</v>
      </c>
      <c r="I1490" s="12">
        <f t="shared" si="71"/>
        <v>0.23150000000000001</v>
      </c>
      <c r="J1490" s="12">
        <f t="shared" si="72"/>
        <v>0.21644833608360836</v>
      </c>
    </row>
    <row r="1491" spans="1:10" ht="15" customHeight="1">
      <c r="A1491" s="7">
        <v>44225</v>
      </c>
      <c r="B1491" s="10">
        <v>304</v>
      </c>
      <c r="C1491">
        <v>56459</v>
      </c>
      <c r="D1491" s="5">
        <v>4.9000000000000004</v>
      </c>
      <c r="F1491" s="8">
        <v>100</v>
      </c>
      <c r="G1491" s="8">
        <v>100</v>
      </c>
      <c r="H1491" s="2">
        <f t="shared" si="70"/>
        <v>15796582</v>
      </c>
      <c r="I1491" s="12">
        <f t="shared" si="71"/>
        <v>0.23524583333333332</v>
      </c>
      <c r="J1491" s="12">
        <f t="shared" si="72"/>
        <v>0.21651016995614036</v>
      </c>
    </row>
    <row r="1492" spans="1:10" ht="15" customHeight="1">
      <c r="A1492" s="7">
        <v>44226</v>
      </c>
      <c r="B1492" s="10">
        <v>305</v>
      </c>
      <c r="C1492">
        <v>58349</v>
      </c>
      <c r="D1492" s="5">
        <v>5.07</v>
      </c>
      <c r="F1492" s="8">
        <v>100</v>
      </c>
      <c r="G1492" s="8">
        <v>100</v>
      </c>
      <c r="H1492" s="2">
        <f t="shared" si="70"/>
        <v>15854931</v>
      </c>
      <c r="I1492" s="12">
        <f t="shared" si="71"/>
        <v>0.24312083333333334</v>
      </c>
      <c r="J1492" s="12">
        <f t="shared" si="72"/>
        <v>0.2165974180327869</v>
      </c>
    </row>
    <row r="1493" spans="1:10" ht="15" customHeight="1">
      <c r="A1493" s="7">
        <v>44227</v>
      </c>
      <c r="B1493" s="10">
        <v>306</v>
      </c>
      <c r="C1493">
        <v>57231</v>
      </c>
      <c r="D1493" s="5">
        <v>4.95</v>
      </c>
      <c r="F1493" s="8">
        <v>100</v>
      </c>
      <c r="G1493" s="8">
        <v>100</v>
      </c>
      <c r="H1493" s="2">
        <f t="shared" si="70"/>
        <v>15912162</v>
      </c>
      <c r="I1493" s="12">
        <f t="shared" si="71"/>
        <v>0.23846249999999999</v>
      </c>
      <c r="J1493" s="12">
        <f t="shared" si="72"/>
        <v>0.21666887254901962</v>
      </c>
    </row>
    <row r="1494" spans="1:10" ht="15" customHeight="1">
      <c r="A1494" s="7">
        <v>44228</v>
      </c>
      <c r="B1494" s="10">
        <v>307</v>
      </c>
      <c r="C1494">
        <v>54904</v>
      </c>
      <c r="D1494" s="5">
        <v>4.8099999999999996</v>
      </c>
      <c r="F1494" s="8">
        <v>100</v>
      </c>
      <c r="G1494" s="8">
        <v>100</v>
      </c>
      <c r="H1494" s="2">
        <f t="shared" si="70"/>
        <v>15967066</v>
      </c>
      <c r="I1494" s="12">
        <f t="shared" si="71"/>
        <v>0.22876666666666667</v>
      </c>
      <c r="J1494" s="12">
        <f t="shared" si="72"/>
        <v>0.21670827904451684</v>
      </c>
    </row>
    <row r="1495" spans="1:10" ht="15" customHeight="1">
      <c r="A1495" s="7">
        <v>44229</v>
      </c>
      <c r="B1495" s="10">
        <v>308</v>
      </c>
      <c r="C1495">
        <v>54191</v>
      </c>
      <c r="D1495" s="5">
        <v>4.8</v>
      </c>
      <c r="F1495" s="8">
        <v>100</v>
      </c>
      <c r="G1495" s="8">
        <v>100</v>
      </c>
      <c r="H1495" s="2">
        <f t="shared" si="70"/>
        <v>16021257</v>
      </c>
      <c r="I1495" s="12">
        <f t="shared" si="71"/>
        <v>0.22579583333333333</v>
      </c>
      <c r="J1495" s="12">
        <f t="shared" si="72"/>
        <v>0.2167377840909091</v>
      </c>
    </row>
    <row r="1496" spans="1:10" ht="15" customHeight="1">
      <c r="A1496" s="7">
        <v>44230</v>
      </c>
      <c r="B1496" s="10">
        <v>309</v>
      </c>
      <c r="C1496">
        <v>49700</v>
      </c>
      <c r="D1496" s="5">
        <v>4.45</v>
      </c>
      <c r="F1496" s="8">
        <v>100</v>
      </c>
      <c r="G1496" s="8">
        <v>100</v>
      </c>
      <c r="H1496" s="2">
        <f t="shared" si="70"/>
        <v>16070957</v>
      </c>
      <c r="I1496" s="12">
        <f t="shared" si="71"/>
        <v>0.20708333333333334</v>
      </c>
      <c r="J1496" s="12">
        <f t="shared" si="72"/>
        <v>0.21670653991370012</v>
      </c>
    </row>
    <row r="1497" spans="1:10" ht="15" customHeight="1">
      <c r="A1497" s="7">
        <v>44231</v>
      </c>
      <c r="B1497" s="10">
        <v>310</v>
      </c>
      <c r="C1497">
        <v>43193</v>
      </c>
      <c r="D1497" s="5">
        <v>3.97</v>
      </c>
      <c r="F1497" s="8">
        <v>100</v>
      </c>
      <c r="G1497" s="8">
        <v>100</v>
      </c>
      <c r="H1497" s="2">
        <f t="shared" si="70"/>
        <v>16114150</v>
      </c>
      <c r="I1497" s="12">
        <f t="shared" si="71"/>
        <v>0.17997083333333333</v>
      </c>
      <c r="J1497" s="12">
        <f t="shared" si="72"/>
        <v>0.21658803763440859</v>
      </c>
    </row>
    <row r="1498" spans="1:10" ht="15" customHeight="1">
      <c r="A1498" s="7">
        <v>44232</v>
      </c>
      <c r="B1498" s="10">
        <v>311</v>
      </c>
      <c r="C1498">
        <v>53228</v>
      </c>
      <c r="D1498" s="5">
        <v>4.72</v>
      </c>
      <c r="F1498" s="8">
        <v>99.325948374960817</v>
      </c>
      <c r="G1498" s="8">
        <v>100</v>
      </c>
      <c r="H1498" s="2">
        <f t="shared" si="70"/>
        <v>16167378</v>
      </c>
      <c r="I1498" s="12">
        <f t="shared" si="71"/>
        <v>0.22178333333333333</v>
      </c>
      <c r="J1498" s="12">
        <f t="shared" si="72"/>
        <v>0.21660474276527331</v>
      </c>
    </row>
    <row r="1499" spans="1:10" ht="15" customHeight="1">
      <c r="A1499" s="7">
        <v>44233</v>
      </c>
      <c r="B1499" s="10">
        <v>312</v>
      </c>
      <c r="C1499">
        <v>56554</v>
      </c>
      <c r="D1499" s="5">
        <v>4.99</v>
      </c>
      <c r="F1499" s="8">
        <v>100</v>
      </c>
      <c r="G1499" s="8">
        <v>100</v>
      </c>
      <c r="H1499" s="2">
        <f t="shared" si="70"/>
        <v>16223932</v>
      </c>
      <c r="I1499" s="12">
        <f t="shared" si="71"/>
        <v>0.23564166666666667</v>
      </c>
      <c r="J1499" s="12">
        <f t="shared" si="72"/>
        <v>0.21666575854700854</v>
      </c>
    </row>
    <row r="1500" spans="1:10" ht="15" customHeight="1">
      <c r="A1500" s="7">
        <v>44234</v>
      </c>
      <c r="B1500" s="10">
        <v>313</v>
      </c>
      <c r="C1500">
        <v>57475</v>
      </c>
      <c r="D1500" s="5">
        <v>5.0999999999999996</v>
      </c>
      <c r="F1500" s="8">
        <v>100</v>
      </c>
      <c r="G1500" s="8">
        <v>100</v>
      </c>
      <c r="H1500" s="2">
        <f t="shared" si="70"/>
        <v>16281407</v>
      </c>
      <c r="I1500" s="12">
        <f t="shared" si="71"/>
        <v>0.23947916666666666</v>
      </c>
      <c r="J1500" s="12">
        <f t="shared" si="72"/>
        <v>0.21673864483493077</v>
      </c>
    </row>
    <row r="1501" spans="1:10" ht="15" customHeight="1">
      <c r="A1501" s="7">
        <v>44235</v>
      </c>
      <c r="B1501" s="10">
        <v>314</v>
      </c>
      <c r="C1501">
        <v>57965</v>
      </c>
      <c r="D1501" s="5">
        <v>5.14</v>
      </c>
      <c r="F1501" s="8">
        <v>100</v>
      </c>
      <c r="G1501" s="8">
        <v>100</v>
      </c>
      <c r="H1501" s="2">
        <f t="shared" si="70"/>
        <v>16339372</v>
      </c>
      <c r="I1501" s="12">
        <f t="shared" si="71"/>
        <v>0.24152083333333332</v>
      </c>
      <c r="J1501" s="12">
        <f t="shared" si="72"/>
        <v>0.21681756900212315</v>
      </c>
    </row>
    <row r="1502" spans="1:10" ht="15" customHeight="1">
      <c r="A1502" s="7">
        <v>44236</v>
      </c>
      <c r="B1502" s="10">
        <v>315</v>
      </c>
      <c r="C1502">
        <v>54070</v>
      </c>
      <c r="D1502" s="5">
        <v>4.97</v>
      </c>
      <c r="F1502" s="8">
        <v>99.730394100388551</v>
      </c>
      <c r="G1502" s="8">
        <v>100</v>
      </c>
      <c r="H1502" s="2">
        <f t="shared" si="70"/>
        <v>16393442</v>
      </c>
      <c r="I1502" s="12">
        <f t="shared" si="71"/>
        <v>0.22529166666666667</v>
      </c>
      <c r="J1502" s="12">
        <f t="shared" si="72"/>
        <v>0.2168444708994709</v>
      </c>
    </row>
    <row r="1503" spans="1:10" ht="15" customHeight="1">
      <c r="A1503" s="7">
        <v>44237</v>
      </c>
      <c r="B1503" s="10">
        <v>316</v>
      </c>
      <c r="C1503">
        <v>57425</v>
      </c>
      <c r="D1503" s="5">
        <v>5.18</v>
      </c>
      <c r="F1503" s="8">
        <v>100</v>
      </c>
      <c r="G1503" s="8">
        <v>100</v>
      </c>
      <c r="H1503" s="2">
        <f t="shared" si="70"/>
        <v>16450867</v>
      </c>
      <c r="I1503" s="12">
        <f t="shared" si="71"/>
        <v>0.23927083333333332</v>
      </c>
      <c r="J1503" s="12">
        <f t="shared" si="72"/>
        <v>0.21691544040084387</v>
      </c>
    </row>
    <row r="1504" spans="1:10" ht="15" customHeight="1">
      <c r="A1504" s="7">
        <v>44238</v>
      </c>
      <c r="B1504" s="10">
        <v>317</v>
      </c>
      <c r="C1504">
        <v>48277</v>
      </c>
      <c r="D1504" s="5">
        <v>4.55</v>
      </c>
      <c r="F1504" s="8">
        <v>100</v>
      </c>
      <c r="G1504" s="8">
        <v>100</v>
      </c>
      <c r="H1504" s="2">
        <f t="shared" si="70"/>
        <v>16499144</v>
      </c>
      <c r="I1504" s="12">
        <f t="shared" si="71"/>
        <v>0.20115416666666666</v>
      </c>
      <c r="J1504" s="12">
        <f t="shared" si="72"/>
        <v>0.21686572029442691</v>
      </c>
    </row>
    <row r="1505" spans="1:10" ht="15" customHeight="1">
      <c r="A1505" s="7">
        <v>44239</v>
      </c>
      <c r="B1505" s="10">
        <v>318</v>
      </c>
      <c r="C1505">
        <v>56445</v>
      </c>
      <c r="D1505" s="5">
        <v>5.18</v>
      </c>
      <c r="F1505" s="8">
        <v>100</v>
      </c>
      <c r="G1505" s="8">
        <v>100</v>
      </c>
      <c r="H1505" s="2">
        <f t="shared" si="70"/>
        <v>16555589</v>
      </c>
      <c r="I1505" s="12">
        <f t="shared" si="71"/>
        <v>0.23518749999999999</v>
      </c>
      <c r="J1505" s="12">
        <f t="shared" si="72"/>
        <v>0.21692333595387842</v>
      </c>
    </row>
    <row r="1506" spans="1:10" ht="15" customHeight="1">
      <c r="A1506" s="7">
        <v>44240</v>
      </c>
      <c r="B1506" s="10">
        <v>319</v>
      </c>
      <c r="C1506">
        <v>56132</v>
      </c>
      <c r="D1506" s="5">
        <v>5.15</v>
      </c>
      <c r="F1506" s="8">
        <v>100</v>
      </c>
      <c r="G1506" s="8">
        <v>100</v>
      </c>
      <c r="H1506" s="2">
        <f t="shared" si="70"/>
        <v>16611721</v>
      </c>
      <c r="I1506" s="12">
        <f t="shared" si="71"/>
        <v>0.23388333333333333</v>
      </c>
      <c r="J1506" s="12">
        <f t="shared" si="72"/>
        <v>0.21697650208986416</v>
      </c>
    </row>
    <row r="1507" spans="1:10" ht="15" customHeight="1">
      <c r="A1507" s="7">
        <v>44241</v>
      </c>
      <c r="B1507" s="10">
        <v>320</v>
      </c>
      <c r="C1507">
        <v>56137</v>
      </c>
      <c r="D1507" s="5">
        <v>5.23</v>
      </c>
      <c r="F1507" s="8">
        <v>100</v>
      </c>
      <c r="G1507" s="8">
        <v>100</v>
      </c>
      <c r="H1507" s="2">
        <f t="shared" si="70"/>
        <v>16667858</v>
      </c>
      <c r="I1507" s="12">
        <f t="shared" si="71"/>
        <v>0.23390416666666666</v>
      </c>
      <c r="J1507" s="12">
        <f t="shared" si="72"/>
        <v>0.21702940104166665</v>
      </c>
    </row>
    <row r="1508" spans="1:10" ht="15" customHeight="1">
      <c r="A1508" s="7">
        <v>44242</v>
      </c>
      <c r="B1508" s="10">
        <v>321</v>
      </c>
      <c r="C1508">
        <v>54652</v>
      </c>
      <c r="D1508" s="5">
        <v>5.09</v>
      </c>
      <c r="F1508" s="8">
        <v>100</v>
      </c>
      <c r="G1508" s="8">
        <v>100</v>
      </c>
      <c r="H1508" s="2">
        <f t="shared" si="70"/>
        <v>16722510</v>
      </c>
      <c r="I1508" s="12">
        <f t="shared" si="71"/>
        <v>0.22771666666666668</v>
      </c>
      <c r="J1508" s="12">
        <f t="shared" si="72"/>
        <v>0.21706269470404985</v>
      </c>
    </row>
    <row r="1509" spans="1:10" ht="15" customHeight="1">
      <c r="A1509" s="7">
        <v>44243</v>
      </c>
      <c r="B1509" s="10">
        <v>322</v>
      </c>
      <c r="C1509">
        <v>52404</v>
      </c>
      <c r="D1509" s="5">
        <v>4.93</v>
      </c>
      <c r="F1509" s="8">
        <v>100</v>
      </c>
      <c r="G1509" s="8">
        <v>100</v>
      </c>
      <c r="H1509" s="2">
        <f t="shared" ref="H1509:H1552" si="73">H1508+C1509</f>
        <v>16774914</v>
      </c>
      <c r="I1509" s="12">
        <f t="shared" si="71"/>
        <v>0.21834999999999999</v>
      </c>
      <c r="J1509" s="12">
        <f t="shared" si="72"/>
        <v>0.21706669254658384</v>
      </c>
    </row>
    <row r="1510" spans="1:10" ht="15" customHeight="1">
      <c r="A1510" s="7">
        <v>44244</v>
      </c>
      <c r="B1510" s="10">
        <v>323</v>
      </c>
      <c r="C1510">
        <v>55594</v>
      </c>
      <c r="D1510" s="5">
        <v>5.21</v>
      </c>
      <c r="F1510" s="8">
        <v>100</v>
      </c>
      <c r="G1510" s="8">
        <v>100</v>
      </c>
      <c r="H1510" s="2">
        <f t="shared" si="73"/>
        <v>16830508</v>
      </c>
      <c r="I1510" s="12">
        <f t="shared" si="71"/>
        <v>0.23164166666666666</v>
      </c>
      <c r="J1510" s="12">
        <f t="shared" si="72"/>
        <v>0.21711181630546955</v>
      </c>
    </row>
    <row r="1511" spans="1:10" ht="15" customHeight="1">
      <c r="A1511" s="7">
        <v>44245</v>
      </c>
      <c r="B1511" s="10">
        <v>324</v>
      </c>
      <c r="C1511">
        <v>58076</v>
      </c>
      <c r="D1511" s="5">
        <v>5.43</v>
      </c>
      <c r="F1511" s="8">
        <v>100</v>
      </c>
      <c r="G1511" s="8">
        <v>100</v>
      </c>
      <c r="H1511" s="2">
        <f t="shared" si="73"/>
        <v>16888584</v>
      </c>
      <c r="I1511" s="12">
        <f t="shared" si="71"/>
        <v>0.24198333333333333</v>
      </c>
      <c r="J1511" s="12">
        <f t="shared" si="72"/>
        <v>0.21718858024691359</v>
      </c>
    </row>
    <row r="1512" spans="1:10" ht="15" customHeight="1">
      <c r="A1512" s="7">
        <v>44246</v>
      </c>
      <c r="B1512" s="10">
        <v>325</v>
      </c>
      <c r="C1512">
        <v>57839</v>
      </c>
      <c r="D1512" s="5">
        <v>5.44</v>
      </c>
      <c r="F1512" s="8">
        <v>100</v>
      </c>
      <c r="G1512" s="8">
        <v>100</v>
      </c>
      <c r="H1512" s="2">
        <f t="shared" si="73"/>
        <v>16946423</v>
      </c>
      <c r="I1512" s="12">
        <f t="shared" si="71"/>
        <v>0.24099583333333333</v>
      </c>
      <c r="J1512" s="12">
        <f t="shared" si="72"/>
        <v>0.21726183333333332</v>
      </c>
    </row>
    <row r="1513" spans="1:10" ht="15" customHeight="1">
      <c r="A1513" s="7">
        <v>44247</v>
      </c>
      <c r="B1513" s="10">
        <v>326</v>
      </c>
      <c r="C1513">
        <v>56600</v>
      </c>
      <c r="D1513" s="5">
        <v>5.4</v>
      </c>
      <c r="F1513" s="8">
        <v>100</v>
      </c>
      <c r="G1513" s="8">
        <v>100</v>
      </c>
      <c r="H1513" s="2">
        <f t="shared" si="73"/>
        <v>17003023</v>
      </c>
      <c r="I1513" s="12">
        <f t="shared" si="71"/>
        <v>0.23583333333333334</v>
      </c>
      <c r="J1513" s="12">
        <f t="shared" si="72"/>
        <v>0.21731880112474439</v>
      </c>
    </row>
    <row r="1514" spans="1:10" ht="15" customHeight="1">
      <c r="A1514" s="7">
        <v>44248</v>
      </c>
      <c r="B1514" s="10">
        <v>327</v>
      </c>
      <c r="C1514">
        <v>53397</v>
      </c>
      <c r="D1514" s="5">
        <v>5.18</v>
      </c>
      <c r="F1514" s="8">
        <v>100</v>
      </c>
      <c r="G1514" s="8">
        <v>100</v>
      </c>
      <c r="H1514" s="2">
        <f t="shared" si="73"/>
        <v>17056420</v>
      </c>
      <c r="I1514" s="12">
        <f t="shared" si="71"/>
        <v>0.2224875</v>
      </c>
      <c r="J1514" s="12">
        <f t="shared" si="72"/>
        <v>0.21733460754332315</v>
      </c>
    </row>
    <row r="1515" spans="1:10" ht="15" customHeight="1">
      <c r="A1515" s="7">
        <v>44249</v>
      </c>
      <c r="B1515" s="10">
        <v>328</v>
      </c>
      <c r="C1515">
        <v>56962</v>
      </c>
      <c r="D1515" s="5">
        <v>5.41</v>
      </c>
      <c r="F1515" s="8">
        <v>100</v>
      </c>
      <c r="G1515" s="8">
        <v>100</v>
      </c>
      <c r="H1515" s="2">
        <f t="shared" si="73"/>
        <v>17113382</v>
      </c>
      <c r="I1515" s="12">
        <f t="shared" si="71"/>
        <v>0.23734166666666667</v>
      </c>
      <c r="J1515" s="12">
        <f t="shared" si="72"/>
        <v>0.21739560467479674</v>
      </c>
    </row>
    <row r="1516" spans="1:10" ht="15" customHeight="1">
      <c r="A1516" s="7">
        <v>44250</v>
      </c>
      <c r="B1516" s="10">
        <v>329</v>
      </c>
      <c r="C1516">
        <v>57947</v>
      </c>
      <c r="D1516" s="5">
        <v>5.49</v>
      </c>
      <c r="F1516" s="8">
        <v>100</v>
      </c>
      <c r="G1516" s="8">
        <v>100</v>
      </c>
      <c r="H1516" s="2">
        <f t="shared" si="73"/>
        <v>17171329</v>
      </c>
      <c r="I1516" s="12">
        <f t="shared" si="71"/>
        <v>0.24144583333333333</v>
      </c>
      <c r="J1516" s="12">
        <f t="shared" si="72"/>
        <v>0.21746870567375887</v>
      </c>
    </row>
    <row r="1517" spans="1:10" ht="15" customHeight="1">
      <c r="A1517" s="7">
        <v>44251</v>
      </c>
      <c r="B1517" s="10">
        <v>330</v>
      </c>
      <c r="C1517">
        <v>60720</v>
      </c>
      <c r="D1517" s="5">
        <v>5.76</v>
      </c>
      <c r="F1517" s="8">
        <v>100</v>
      </c>
      <c r="G1517" s="8">
        <v>100</v>
      </c>
      <c r="H1517" s="2">
        <f t="shared" si="73"/>
        <v>17232049</v>
      </c>
      <c r="I1517" s="12">
        <f t="shared" si="71"/>
        <v>0.253</v>
      </c>
      <c r="J1517" s="12">
        <f t="shared" si="72"/>
        <v>0.21757637626262627</v>
      </c>
    </row>
    <row r="1518" spans="1:10" ht="15" customHeight="1">
      <c r="A1518" s="7">
        <v>44252</v>
      </c>
      <c r="B1518" s="10">
        <v>331</v>
      </c>
      <c r="C1518">
        <v>56476</v>
      </c>
      <c r="D1518" s="5">
        <v>5.65</v>
      </c>
      <c r="F1518" s="8">
        <v>100</v>
      </c>
      <c r="G1518" s="8">
        <v>99.722222222222229</v>
      </c>
      <c r="H1518" s="2">
        <f t="shared" si="73"/>
        <v>17288525</v>
      </c>
      <c r="I1518" s="12">
        <f t="shared" si="71"/>
        <v>0.23531666666666667</v>
      </c>
      <c r="J1518" s="12">
        <f t="shared" si="72"/>
        <v>0.217629972306143</v>
      </c>
    </row>
    <row r="1519" spans="1:10" ht="15" customHeight="1">
      <c r="A1519" s="7">
        <v>44253</v>
      </c>
      <c r="B1519" s="10">
        <v>332</v>
      </c>
      <c r="C1519">
        <v>57434</v>
      </c>
      <c r="D1519" s="5">
        <v>5.57</v>
      </c>
      <c r="F1519" s="8">
        <v>100</v>
      </c>
      <c r="G1519" s="8">
        <v>100</v>
      </c>
      <c r="H1519" s="2">
        <f t="shared" si="73"/>
        <v>17345959</v>
      </c>
      <c r="I1519" s="12">
        <f t="shared" si="71"/>
        <v>0.23930833333333335</v>
      </c>
      <c r="J1519" s="12">
        <f t="shared" si="72"/>
        <v>0.21769526857429719</v>
      </c>
    </row>
    <row r="1520" spans="1:10" ht="15" customHeight="1">
      <c r="A1520" s="7">
        <v>44254</v>
      </c>
      <c r="B1520" s="10">
        <v>333</v>
      </c>
      <c r="C1520">
        <v>57481</v>
      </c>
      <c r="D1520" s="5">
        <v>5.4</v>
      </c>
      <c r="F1520" s="8">
        <v>100</v>
      </c>
      <c r="G1520" s="8">
        <v>100</v>
      </c>
      <c r="H1520" s="2">
        <f t="shared" si="73"/>
        <v>17403440</v>
      </c>
      <c r="I1520" s="12">
        <f t="shared" si="71"/>
        <v>0.23950416666666666</v>
      </c>
      <c r="J1520" s="12">
        <f t="shared" si="72"/>
        <v>0.21776076076076076</v>
      </c>
    </row>
    <row r="1521" spans="1:10" ht="15" customHeight="1">
      <c r="A1521" s="7">
        <v>44255</v>
      </c>
      <c r="B1521" s="10">
        <v>334</v>
      </c>
      <c r="C1521">
        <v>61377</v>
      </c>
      <c r="D1521" s="5">
        <v>6.04</v>
      </c>
      <c r="F1521" s="8">
        <v>100</v>
      </c>
      <c r="G1521" s="8">
        <v>100</v>
      </c>
      <c r="H1521" s="2">
        <f t="shared" si="73"/>
        <v>17464817</v>
      </c>
      <c r="I1521" s="12">
        <f t="shared" si="71"/>
        <v>0.25573750000000001</v>
      </c>
      <c r="J1521" s="12">
        <f t="shared" si="72"/>
        <v>0.21787446357285428</v>
      </c>
    </row>
    <row r="1522" spans="1:10" ht="15" customHeight="1">
      <c r="A1522" s="7">
        <v>44256</v>
      </c>
      <c r="B1522" s="10">
        <v>335</v>
      </c>
      <c r="C1522">
        <v>61763</v>
      </c>
      <c r="D1522" s="5">
        <v>6.11</v>
      </c>
      <c r="F1522" s="8">
        <v>100</v>
      </c>
      <c r="G1522" s="8">
        <v>100</v>
      </c>
      <c r="H1522" s="2">
        <f t="shared" si="73"/>
        <v>17526580</v>
      </c>
      <c r="I1522" s="12">
        <f t="shared" si="71"/>
        <v>0.25734583333333333</v>
      </c>
      <c r="J1522" s="12">
        <f t="shared" si="72"/>
        <v>0.21799228855721392</v>
      </c>
    </row>
    <row r="1523" spans="1:10" ht="15" customHeight="1">
      <c r="A1523" s="7">
        <v>44257</v>
      </c>
      <c r="B1523" s="10">
        <v>336</v>
      </c>
      <c r="C1523">
        <v>62800</v>
      </c>
      <c r="D1523" s="5">
        <v>6.22</v>
      </c>
      <c r="F1523" s="8">
        <v>100</v>
      </c>
      <c r="G1523" s="8">
        <v>100</v>
      </c>
      <c r="H1523" s="2">
        <f t="shared" si="73"/>
        <v>17589380</v>
      </c>
      <c r="I1523" s="12">
        <f t="shared" si="71"/>
        <v>0.26166666666666666</v>
      </c>
      <c r="J1523" s="12">
        <f t="shared" si="72"/>
        <v>0.21812227182539681</v>
      </c>
    </row>
    <row r="1524" spans="1:10" ht="15" customHeight="1">
      <c r="A1524" s="7">
        <v>44258</v>
      </c>
      <c r="B1524" s="10">
        <v>337</v>
      </c>
      <c r="C1524">
        <v>61024</v>
      </c>
      <c r="D1524" s="5">
        <v>6.01</v>
      </c>
      <c r="F1524" s="8">
        <v>100</v>
      </c>
      <c r="G1524" s="8">
        <v>100</v>
      </c>
      <c r="H1524" s="2">
        <f t="shared" si="73"/>
        <v>17650404</v>
      </c>
      <c r="I1524" s="12">
        <f t="shared" si="71"/>
        <v>0.25426666666666664</v>
      </c>
      <c r="J1524" s="12">
        <f t="shared" si="72"/>
        <v>0.21822952522255193</v>
      </c>
    </row>
    <row r="1525" spans="1:10" ht="15" customHeight="1">
      <c r="A1525" s="7">
        <v>44259</v>
      </c>
      <c r="B1525" s="10">
        <v>338</v>
      </c>
      <c r="C1525">
        <v>59915</v>
      </c>
      <c r="D1525" s="5">
        <v>6.07</v>
      </c>
      <c r="F1525" s="8">
        <v>100</v>
      </c>
      <c r="G1525" s="8">
        <v>99.305555555555557</v>
      </c>
      <c r="H1525" s="2">
        <f t="shared" si="73"/>
        <v>17710319</v>
      </c>
      <c r="I1525" s="12">
        <f t="shared" si="71"/>
        <v>0.24964583333333334</v>
      </c>
      <c r="J1525" s="12">
        <f t="shared" si="72"/>
        <v>0.21832247287968443</v>
      </c>
    </row>
    <row r="1526" spans="1:10" ht="15" customHeight="1">
      <c r="A1526" s="7">
        <v>44260</v>
      </c>
      <c r="B1526" s="10">
        <v>339</v>
      </c>
      <c r="C1526">
        <v>61266</v>
      </c>
      <c r="D1526" s="5">
        <v>6.04</v>
      </c>
      <c r="F1526" s="8">
        <v>100</v>
      </c>
      <c r="G1526" s="8">
        <v>100</v>
      </c>
      <c r="H1526" s="2">
        <f t="shared" si="73"/>
        <v>17771585</v>
      </c>
      <c r="I1526" s="12">
        <f t="shared" si="71"/>
        <v>0.25527499999999997</v>
      </c>
      <c r="J1526" s="12">
        <f t="shared" si="72"/>
        <v>0.21843147738446411</v>
      </c>
    </row>
    <row r="1527" spans="1:10" ht="15" customHeight="1">
      <c r="A1527" s="7">
        <v>44261</v>
      </c>
      <c r="B1527" s="10">
        <v>340</v>
      </c>
      <c r="C1527">
        <v>58379</v>
      </c>
      <c r="D1527" s="5">
        <v>5.79</v>
      </c>
      <c r="F1527" s="8">
        <v>100</v>
      </c>
      <c r="G1527" s="8">
        <v>100</v>
      </c>
      <c r="H1527" s="2">
        <f t="shared" si="73"/>
        <v>17829964</v>
      </c>
      <c r="I1527" s="12">
        <f t="shared" si="71"/>
        <v>0.24324583333333333</v>
      </c>
      <c r="J1527" s="12">
        <f t="shared" si="72"/>
        <v>0.21850446078431374</v>
      </c>
    </row>
    <row r="1528" spans="1:10" ht="15" customHeight="1">
      <c r="A1528" s="7">
        <v>44262</v>
      </c>
      <c r="B1528" s="10">
        <v>341</v>
      </c>
      <c r="C1528">
        <v>53251</v>
      </c>
      <c r="D1528" s="5">
        <v>5.16</v>
      </c>
      <c r="F1528" s="8">
        <v>100</v>
      </c>
      <c r="G1528" s="8">
        <v>100</v>
      </c>
      <c r="H1528" s="2">
        <f t="shared" si="73"/>
        <v>17883215</v>
      </c>
      <c r="I1528" s="12">
        <f t="shared" si="71"/>
        <v>0.22187916666666666</v>
      </c>
      <c r="J1528" s="12">
        <f t="shared" si="72"/>
        <v>0.21851435728250243</v>
      </c>
    </row>
    <row r="1529" spans="1:10" ht="15" customHeight="1">
      <c r="A1529" s="7">
        <v>44263</v>
      </c>
      <c r="B1529" s="10">
        <v>342</v>
      </c>
      <c r="C1529">
        <v>52629</v>
      </c>
      <c r="D1529" s="5">
        <v>5.45</v>
      </c>
      <c r="F1529" s="8">
        <v>100</v>
      </c>
      <c r="G1529" s="8">
        <v>100</v>
      </c>
      <c r="H1529" s="2">
        <f t="shared" si="73"/>
        <v>17935844</v>
      </c>
      <c r="I1529" s="12">
        <f t="shared" si="71"/>
        <v>0.2192875</v>
      </c>
      <c r="J1529" s="12">
        <f t="shared" si="72"/>
        <v>0.21851661793372321</v>
      </c>
    </row>
    <row r="1530" spans="1:10" ht="15" customHeight="1">
      <c r="A1530" s="7">
        <v>44264</v>
      </c>
      <c r="B1530" s="10">
        <v>343</v>
      </c>
      <c r="C1530">
        <v>51846</v>
      </c>
      <c r="D1530" s="5">
        <v>5.0999999999999996</v>
      </c>
      <c r="F1530" s="8">
        <v>100</v>
      </c>
      <c r="G1530" s="8">
        <v>100</v>
      </c>
      <c r="H1530" s="2">
        <f t="shared" si="73"/>
        <v>17987690</v>
      </c>
      <c r="I1530" s="12">
        <f t="shared" si="71"/>
        <v>0.21602499999999999</v>
      </c>
      <c r="J1530" s="12">
        <f t="shared" si="72"/>
        <v>0.2185093537414966</v>
      </c>
    </row>
    <row r="1531" spans="1:10" ht="15" customHeight="1">
      <c r="A1531" s="7">
        <v>44265</v>
      </c>
      <c r="B1531" s="10">
        <v>344</v>
      </c>
      <c r="C1531">
        <v>55375</v>
      </c>
      <c r="D1531" s="5">
        <v>5.84</v>
      </c>
      <c r="F1531" s="8">
        <v>99.564512617037238</v>
      </c>
      <c r="G1531" s="8">
        <v>100</v>
      </c>
      <c r="H1531" s="2">
        <f t="shared" si="73"/>
        <v>18043065</v>
      </c>
      <c r="I1531" s="12">
        <f t="shared" si="71"/>
        <v>0.23072916666666668</v>
      </c>
      <c r="J1531" s="12">
        <f t="shared" si="72"/>
        <v>0.21854487645348838</v>
      </c>
    </row>
    <row r="1532" spans="1:10" ht="15" customHeight="1">
      <c r="A1532" s="7">
        <v>44266</v>
      </c>
      <c r="B1532" s="10">
        <v>345</v>
      </c>
      <c r="C1532">
        <v>61372</v>
      </c>
      <c r="D1532" s="5">
        <v>6.4</v>
      </c>
      <c r="F1532" s="8">
        <v>100</v>
      </c>
      <c r="G1532" s="8">
        <v>100</v>
      </c>
      <c r="H1532" s="2">
        <f t="shared" si="73"/>
        <v>18104437</v>
      </c>
      <c r="I1532" s="12">
        <f t="shared" si="71"/>
        <v>0.25571666666666665</v>
      </c>
      <c r="J1532" s="12">
        <f t="shared" si="72"/>
        <v>0.21865262077294687</v>
      </c>
    </row>
    <row r="1533" spans="1:10" ht="15" customHeight="1">
      <c r="A1533" s="7">
        <v>44267</v>
      </c>
      <c r="B1533" s="10">
        <v>346</v>
      </c>
      <c r="C1533">
        <v>58787</v>
      </c>
      <c r="D1533" s="5">
        <v>6.03</v>
      </c>
      <c r="F1533" s="8">
        <v>100</v>
      </c>
      <c r="G1533" s="8">
        <v>100</v>
      </c>
      <c r="H1533" s="2">
        <f t="shared" si="73"/>
        <v>18163224</v>
      </c>
      <c r="I1533" s="12">
        <f t="shared" si="71"/>
        <v>0.24494583333333333</v>
      </c>
      <c r="J1533" s="12">
        <f t="shared" si="72"/>
        <v>0.218728612716763</v>
      </c>
    </row>
    <row r="1534" spans="1:10" ht="15" customHeight="1">
      <c r="A1534" s="7">
        <v>44268</v>
      </c>
      <c r="B1534" s="10">
        <v>347</v>
      </c>
      <c r="C1534">
        <v>50908</v>
      </c>
      <c r="D1534" s="5">
        <v>5.41</v>
      </c>
      <c r="F1534" s="8">
        <v>100</v>
      </c>
      <c r="G1534" s="8">
        <v>100</v>
      </c>
      <c r="H1534" s="2">
        <f t="shared" si="73"/>
        <v>18214132</v>
      </c>
      <c r="I1534" s="12">
        <f t="shared" si="71"/>
        <v>0.21211666666666668</v>
      </c>
      <c r="J1534" s="12">
        <f t="shared" si="72"/>
        <v>0.218709558117195</v>
      </c>
    </row>
    <row r="1535" spans="1:10" ht="15" customHeight="1">
      <c r="A1535" s="7">
        <v>44269</v>
      </c>
      <c r="B1535" s="10">
        <v>348</v>
      </c>
      <c r="C1535">
        <v>57336</v>
      </c>
      <c r="D1535" s="5">
        <v>6.14</v>
      </c>
      <c r="F1535" s="8">
        <v>100</v>
      </c>
      <c r="G1535" s="8">
        <v>100</v>
      </c>
      <c r="H1535" s="2">
        <f t="shared" si="73"/>
        <v>18271468</v>
      </c>
      <c r="I1535" s="12">
        <f t="shared" si="71"/>
        <v>0.2389</v>
      </c>
      <c r="J1535" s="12">
        <f t="shared" si="72"/>
        <v>0.2187675766283525</v>
      </c>
    </row>
    <row r="1536" spans="1:10" ht="15" customHeight="1">
      <c r="A1536" s="7">
        <v>44270</v>
      </c>
      <c r="B1536" s="10">
        <v>349</v>
      </c>
      <c r="C1536">
        <v>48487</v>
      </c>
      <c r="D1536" s="5">
        <v>5.39</v>
      </c>
      <c r="F1536" s="8">
        <v>99.699150099029751</v>
      </c>
      <c r="G1536" s="8">
        <v>100</v>
      </c>
      <c r="H1536" s="2">
        <f t="shared" si="73"/>
        <v>18319955</v>
      </c>
      <c r="I1536" s="12">
        <f t="shared" si="71"/>
        <v>0.20202916666666668</v>
      </c>
      <c r="J1536" s="12">
        <f t="shared" si="72"/>
        <v>0.21871961556829037</v>
      </c>
    </row>
    <row r="1537" spans="1:10" ht="15" customHeight="1">
      <c r="A1537" s="7">
        <v>44271</v>
      </c>
      <c r="B1537" s="10">
        <v>350</v>
      </c>
      <c r="C1537">
        <v>51678</v>
      </c>
      <c r="D1537" s="5">
        <v>5.64</v>
      </c>
      <c r="F1537" s="8">
        <v>100</v>
      </c>
      <c r="G1537" s="8">
        <v>100</v>
      </c>
      <c r="H1537" s="2">
        <f t="shared" si="73"/>
        <v>18371633</v>
      </c>
      <c r="I1537" s="12">
        <f t="shared" si="71"/>
        <v>0.21532499999999999</v>
      </c>
      <c r="J1537" s="12">
        <f t="shared" si="72"/>
        <v>0.21870991666666667</v>
      </c>
    </row>
    <row r="1538" spans="1:10" ht="15" customHeight="1">
      <c r="A1538" s="7">
        <v>44272</v>
      </c>
      <c r="B1538" s="10">
        <v>351</v>
      </c>
      <c r="C1538">
        <v>52232</v>
      </c>
      <c r="D1538" s="5">
        <v>5.66</v>
      </c>
      <c r="F1538" s="8">
        <v>100</v>
      </c>
      <c r="G1538" s="8">
        <v>100</v>
      </c>
      <c r="H1538" s="2">
        <f t="shared" si="73"/>
        <v>18423865</v>
      </c>
      <c r="I1538" s="12">
        <f t="shared" si="71"/>
        <v>0.21763333333333335</v>
      </c>
      <c r="J1538" s="12">
        <f t="shared" si="72"/>
        <v>0.21870684947768282</v>
      </c>
    </row>
    <row r="1539" spans="1:10" ht="15" customHeight="1">
      <c r="A1539" s="7">
        <v>44273</v>
      </c>
      <c r="B1539" s="10">
        <v>352</v>
      </c>
      <c r="C1539">
        <v>45494</v>
      </c>
      <c r="D1539" s="5">
        <v>5.14</v>
      </c>
      <c r="F1539" s="8">
        <v>100</v>
      </c>
      <c r="G1539" s="8">
        <v>100</v>
      </c>
      <c r="H1539" s="2">
        <f t="shared" si="73"/>
        <v>18469359</v>
      </c>
      <c r="I1539" s="12">
        <f t="shared" ref="I1539:I1602" si="74">C1539/(10*24*1000)</f>
        <v>0.18955833333333333</v>
      </c>
      <c r="J1539" s="12">
        <f t="shared" si="72"/>
        <v>0.21862404119318182</v>
      </c>
    </row>
    <row r="1540" spans="1:10" ht="15" customHeight="1">
      <c r="A1540" s="7">
        <v>44274</v>
      </c>
      <c r="B1540" s="10">
        <v>353</v>
      </c>
      <c r="C1540">
        <v>47034</v>
      </c>
      <c r="D1540" s="5">
        <v>4.83</v>
      </c>
      <c r="F1540" s="8">
        <v>100</v>
      </c>
      <c r="G1540" s="8">
        <v>100</v>
      </c>
      <c r="H1540" s="2">
        <f t="shared" si="73"/>
        <v>18516393</v>
      </c>
      <c r="I1540" s="12">
        <f t="shared" si="74"/>
        <v>0.19597500000000001</v>
      </c>
      <c r="J1540" s="12">
        <f t="shared" ref="J1540:J1603" si="75">H1540/(24*B1540*10*1000)</f>
        <v>0.21855987960339943</v>
      </c>
    </row>
    <row r="1541" spans="1:10" ht="15" customHeight="1">
      <c r="A1541" s="7">
        <v>44275</v>
      </c>
      <c r="B1541" s="10">
        <v>354</v>
      </c>
      <c r="C1541">
        <v>57320</v>
      </c>
      <c r="D1541" s="5">
        <v>6.24</v>
      </c>
      <c r="F1541" s="8">
        <v>100</v>
      </c>
      <c r="G1541" s="8">
        <v>100</v>
      </c>
      <c r="H1541" s="2">
        <f t="shared" si="73"/>
        <v>18573713</v>
      </c>
      <c r="I1541" s="12">
        <f t="shared" si="74"/>
        <v>0.23883333333333334</v>
      </c>
      <c r="J1541" s="12">
        <f t="shared" si="75"/>
        <v>0.21861714924670433</v>
      </c>
    </row>
    <row r="1542" spans="1:10" ht="15" customHeight="1">
      <c r="A1542" s="7">
        <v>44276</v>
      </c>
      <c r="B1542" s="10">
        <v>355</v>
      </c>
      <c r="C1542">
        <v>53241</v>
      </c>
      <c r="D1542" s="5">
        <v>5.94</v>
      </c>
      <c r="F1542" s="8">
        <v>100</v>
      </c>
      <c r="G1542" s="8">
        <v>100</v>
      </c>
      <c r="H1542" s="2">
        <f t="shared" si="73"/>
        <v>18626954</v>
      </c>
      <c r="I1542" s="12">
        <f t="shared" si="74"/>
        <v>0.22183749999999999</v>
      </c>
      <c r="J1542" s="12">
        <f t="shared" si="75"/>
        <v>0.21862622065727699</v>
      </c>
    </row>
    <row r="1543" spans="1:10" ht="15" customHeight="1">
      <c r="A1543" s="7">
        <v>44277</v>
      </c>
      <c r="B1543" s="10">
        <v>356</v>
      </c>
      <c r="C1543">
        <v>39392</v>
      </c>
      <c r="D1543" s="5">
        <v>4.38</v>
      </c>
      <c r="F1543" s="8">
        <v>100</v>
      </c>
      <c r="G1543" s="8">
        <v>100</v>
      </c>
      <c r="H1543" s="2">
        <f t="shared" si="73"/>
        <v>18666346</v>
      </c>
      <c r="I1543" s="12">
        <f t="shared" si="74"/>
        <v>0.16413333333333333</v>
      </c>
      <c r="J1543" s="12">
        <f t="shared" si="75"/>
        <v>0.21847315074906368</v>
      </c>
    </row>
    <row r="1544" spans="1:10" ht="15" customHeight="1">
      <c r="A1544" s="7">
        <v>44278</v>
      </c>
      <c r="B1544" s="10">
        <v>357</v>
      </c>
      <c r="C1544">
        <v>61941</v>
      </c>
      <c r="D1544" s="5">
        <v>6.8</v>
      </c>
      <c r="F1544" s="8">
        <v>100</v>
      </c>
      <c r="G1544" s="8">
        <v>100</v>
      </c>
      <c r="H1544" s="2">
        <f t="shared" si="73"/>
        <v>18728287</v>
      </c>
      <c r="I1544" s="12">
        <f t="shared" si="74"/>
        <v>0.25808750000000003</v>
      </c>
      <c r="J1544" s="12">
        <f t="shared" si="75"/>
        <v>0.21858411531279179</v>
      </c>
    </row>
    <row r="1545" spans="1:10" ht="15" customHeight="1">
      <c r="A1545" s="7">
        <v>44279</v>
      </c>
      <c r="B1545" s="10">
        <v>358</v>
      </c>
      <c r="C1545">
        <v>62014</v>
      </c>
      <c r="D1545" s="5">
        <v>6.75</v>
      </c>
      <c r="F1545" s="8">
        <v>100</v>
      </c>
      <c r="G1545" s="8">
        <v>100</v>
      </c>
      <c r="H1545" s="2">
        <f t="shared" si="73"/>
        <v>18790301</v>
      </c>
      <c r="I1545" s="12">
        <f t="shared" si="74"/>
        <v>0.25839166666666669</v>
      </c>
      <c r="J1545" s="12">
        <f t="shared" si="75"/>
        <v>0.21869530959031658</v>
      </c>
    </row>
    <row r="1546" spans="1:10" ht="15" customHeight="1">
      <c r="A1546" s="7">
        <v>44280</v>
      </c>
      <c r="B1546" s="10">
        <v>359</v>
      </c>
      <c r="C1546">
        <v>49676</v>
      </c>
      <c r="D1546" s="5">
        <v>5.36</v>
      </c>
      <c r="F1546" s="8">
        <v>100</v>
      </c>
      <c r="G1546" s="8">
        <v>100</v>
      </c>
      <c r="H1546" s="2">
        <f t="shared" si="73"/>
        <v>18839977</v>
      </c>
      <c r="I1546" s="12">
        <f t="shared" si="74"/>
        <v>0.20698333333333332</v>
      </c>
      <c r="J1546" s="12">
        <f t="shared" si="75"/>
        <v>0.21866268570102135</v>
      </c>
    </row>
    <row r="1547" spans="1:10" ht="15" customHeight="1">
      <c r="A1547" s="7">
        <v>44281</v>
      </c>
      <c r="B1547" s="10">
        <v>360</v>
      </c>
      <c r="C1547">
        <v>60870</v>
      </c>
      <c r="D1547" s="5">
        <v>6.68</v>
      </c>
      <c r="F1547" s="8">
        <v>100</v>
      </c>
      <c r="G1547" s="8">
        <v>100</v>
      </c>
      <c r="H1547" s="2">
        <f t="shared" si="73"/>
        <v>18900847</v>
      </c>
      <c r="I1547" s="12">
        <f t="shared" si="74"/>
        <v>0.25362499999999999</v>
      </c>
      <c r="J1547" s="12">
        <f t="shared" si="75"/>
        <v>0.21875980324074074</v>
      </c>
    </row>
    <row r="1548" spans="1:10" ht="15" customHeight="1">
      <c r="A1548" s="7">
        <v>44282</v>
      </c>
      <c r="B1548" s="10">
        <v>361</v>
      </c>
      <c r="C1548">
        <v>61259</v>
      </c>
      <c r="D1548" s="5">
        <v>6.8</v>
      </c>
      <c r="F1548" s="8">
        <v>100</v>
      </c>
      <c r="G1548" s="8">
        <v>100</v>
      </c>
      <c r="H1548" s="2">
        <f t="shared" si="73"/>
        <v>18962106</v>
      </c>
      <c r="I1548" s="12">
        <f t="shared" si="74"/>
        <v>0.25524583333333334</v>
      </c>
      <c r="J1548" s="12">
        <f t="shared" si="75"/>
        <v>0.21886087257617728</v>
      </c>
    </row>
    <row r="1549" spans="1:10" ht="15" customHeight="1">
      <c r="A1549" s="7">
        <v>44283</v>
      </c>
      <c r="B1549" s="10">
        <v>362</v>
      </c>
      <c r="C1549">
        <v>60911</v>
      </c>
      <c r="D1549" s="5">
        <v>6.87</v>
      </c>
      <c r="F1549" s="8">
        <v>100</v>
      </c>
      <c r="G1549" s="8">
        <v>100</v>
      </c>
      <c r="H1549" s="2">
        <f t="shared" si="73"/>
        <v>19023017</v>
      </c>
      <c r="I1549" s="12">
        <f t="shared" si="74"/>
        <v>0.25379583333333333</v>
      </c>
      <c r="J1549" s="12">
        <f t="shared" si="75"/>
        <v>0.21895737799263351</v>
      </c>
    </row>
    <row r="1550" spans="1:10" ht="15" customHeight="1">
      <c r="A1550" s="7">
        <v>44284</v>
      </c>
      <c r="B1550" s="10">
        <v>363</v>
      </c>
      <c r="C1550">
        <v>61055</v>
      </c>
      <c r="D1550" s="5">
        <v>6.86</v>
      </c>
      <c r="F1550" s="8">
        <v>100</v>
      </c>
      <c r="G1550" s="8">
        <v>100</v>
      </c>
      <c r="H1550" s="2">
        <f t="shared" si="73"/>
        <v>19084072</v>
      </c>
      <c r="I1550" s="12">
        <f t="shared" si="74"/>
        <v>0.25439583333333332</v>
      </c>
      <c r="J1550" s="12">
        <f t="shared" si="75"/>
        <v>0.21905500459136823</v>
      </c>
    </row>
    <row r="1551" spans="1:10" ht="15" customHeight="1">
      <c r="A1551" s="7">
        <v>44285</v>
      </c>
      <c r="B1551" s="10">
        <v>364</v>
      </c>
      <c r="C1551">
        <v>53203</v>
      </c>
      <c r="D1551" s="5">
        <v>5.82</v>
      </c>
      <c r="F1551" s="8">
        <v>100</v>
      </c>
      <c r="G1551" s="8">
        <v>100</v>
      </c>
      <c r="H1551" s="2">
        <f t="shared" si="73"/>
        <v>19137275</v>
      </c>
      <c r="I1551" s="12">
        <f t="shared" si="74"/>
        <v>0.22167916666666668</v>
      </c>
      <c r="J1551" s="12">
        <f t="shared" si="75"/>
        <v>0.21906221382783883</v>
      </c>
    </row>
    <row r="1552" spans="1:10" ht="15" customHeight="1">
      <c r="A1552" s="7">
        <v>44286</v>
      </c>
      <c r="B1552" s="10">
        <v>365</v>
      </c>
      <c r="C1552">
        <v>64190</v>
      </c>
      <c r="D1552" s="5">
        <v>7.22</v>
      </c>
      <c r="F1552" s="8">
        <v>100</v>
      </c>
      <c r="G1552" s="8">
        <v>100</v>
      </c>
      <c r="H1552" s="2">
        <f t="shared" si="73"/>
        <v>19201465</v>
      </c>
      <c r="I1552" s="12">
        <f t="shared" si="74"/>
        <v>0.26745833333333335</v>
      </c>
      <c r="J1552" s="12">
        <f t="shared" si="75"/>
        <v>0.21919480593607307</v>
      </c>
    </row>
    <row r="1553" spans="1:10" ht="15" customHeight="1">
      <c r="A1553" s="7">
        <v>44287</v>
      </c>
      <c r="B1553" s="10">
        <v>1</v>
      </c>
      <c r="C1553">
        <v>67295</v>
      </c>
      <c r="D1553" s="5">
        <v>7.57</v>
      </c>
      <c r="F1553" s="8">
        <v>100</v>
      </c>
      <c r="G1553" s="8">
        <v>100</v>
      </c>
      <c r="H1553" s="2">
        <f>C1553</f>
        <v>67295</v>
      </c>
      <c r="I1553" s="12">
        <f t="shared" si="74"/>
        <v>0.28039583333333334</v>
      </c>
      <c r="J1553" s="12">
        <f t="shared" si="75"/>
        <v>0.28039583333333334</v>
      </c>
    </row>
    <row r="1554" spans="1:10" ht="15" customHeight="1">
      <c r="A1554" s="7">
        <v>44288</v>
      </c>
      <c r="B1554" s="10">
        <v>2</v>
      </c>
      <c r="C1554">
        <v>65179</v>
      </c>
      <c r="D1554" s="5">
        <v>7.27</v>
      </c>
      <c r="F1554" s="8">
        <v>100</v>
      </c>
      <c r="G1554" s="8">
        <v>100</v>
      </c>
      <c r="H1554" s="2">
        <f t="shared" ref="H1554:H1617" si="76">H1553+C1554</f>
        <v>132474</v>
      </c>
      <c r="I1554" s="12">
        <f t="shared" si="74"/>
        <v>0.27157916666666665</v>
      </c>
      <c r="J1554" s="12">
        <f t="shared" si="75"/>
        <v>0.2759875</v>
      </c>
    </row>
    <row r="1555" spans="1:10" ht="15" customHeight="1">
      <c r="A1555" s="7">
        <v>44289</v>
      </c>
      <c r="B1555" s="10">
        <v>3</v>
      </c>
      <c r="C1555">
        <v>62833</v>
      </c>
      <c r="D1555" s="5">
        <v>7.07</v>
      </c>
      <c r="F1555" s="8">
        <v>100</v>
      </c>
      <c r="G1555" s="8">
        <v>100</v>
      </c>
      <c r="H1555" s="2">
        <f t="shared" si="76"/>
        <v>195307</v>
      </c>
      <c r="I1555" s="12">
        <f t="shared" si="74"/>
        <v>0.26180416666666667</v>
      </c>
      <c r="J1555" s="12">
        <f t="shared" si="75"/>
        <v>0.27125972222222222</v>
      </c>
    </row>
    <row r="1556" spans="1:10" ht="15" customHeight="1">
      <c r="A1556" s="7">
        <v>44290</v>
      </c>
      <c r="B1556" s="10">
        <v>4</v>
      </c>
      <c r="C1556">
        <v>61554</v>
      </c>
      <c r="D1556" s="5">
        <v>7.18</v>
      </c>
      <c r="F1556" s="8">
        <v>100</v>
      </c>
      <c r="G1556" s="8">
        <v>100</v>
      </c>
      <c r="H1556" s="2">
        <f t="shared" si="76"/>
        <v>256861</v>
      </c>
      <c r="I1556" s="12">
        <f t="shared" si="74"/>
        <v>0.25647500000000001</v>
      </c>
      <c r="J1556" s="12">
        <f t="shared" si="75"/>
        <v>0.26756354166666668</v>
      </c>
    </row>
    <row r="1557" spans="1:10" ht="15" customHeight="1">
      <c r="A1557" s="7">
        <v>44291</v>
      </c>
      <c r="B1557" s="10">
        <v>5</v>
      </c>
      <c r="C1557">
        <v>58992</v>
      </c>
      <c r="D1557" s="5">
        <v>6.44</v>
      </c>
      <c r="F1557" s="8">
        <v>100</v>
      </c>
      <c r="G1557" s="8">
        <v>100</v>
      </c>
      <c r="H1557" s="2">
        <f t="shared" si="76"/>
        <v>315853</v>
      </c>
      <c r="I1557" s="12">
        <f t="shared" si="74"/>
        <v>0.24579999999999999</v>
      </c>
      <c r="J1557" s="12">
        <f t="shared" si="75"/>
        <v>0.26321083333333334</v>
      </c>
    </row>
    <row r="1558" spans="1:10" ht="15" customHeight="1">
      <c r="A1558" s="7">
        <v>44292</v>
      </c>
      <c r="B1558" s="10">
        <v>6</v>
      </c>
      <c r="C1558">
        <v>60914</v>
      </c>
      <c r="D1558" s="5">
        <v>6.93</v>
      </c>
      <c r="F1558" s="8">
        <v>100</v>
      </c>
      <c r="G1558" s="8">
        <v>100</v>
      </c>
      <c r="H1558" s="2">
        <f t="shared" si="76"/>
        <v>376767</v>
      </c>
      <c r="I1558" s="12">
        <f t="shared" si="74"/>
        <v>0.25380833333333336</v>
      </c>
      <c r="J1558" s="12">
        <f t="shared" si="75"/>
        <v>0.26164375000000001</v>
      </c>
    </row>
    <row r="1559" spans="1:10" ht="15" customHeight="1">
      <c r="A1559" s="7">
        <v>44293</v>
      </c>
      <c r="B1559" s="10">
        <v>7</v>
      </c>
      <c r="C1559">
        <v>61744</v>
      </c>
      <c r="D1559" s="5">
        <v>6.77</v>
      </c>
      <c r="F1559" s="8">
        <v>100</v>
      </c>
      <c r="G1559" s="8">
        <v>100</v>
      </c>
      <c r="H1559" s="2">
        <f t="shared" si="76"/>
        <v>438511</v>
      </c>
      <c r="I1559" s="12">
        <f t="shared" si="74"/>
        <v>0.25726666666666664</v>
      </c>
      <c r="J1559" s="12">
        <f t="shared" si="75"/>
        <v>0.26101845238095239</v>
      </c>
    </row>
    <row r="1560" spans="1:10" ht="15" customHeight="1">
      <c r="A1560" s="7">
        <v>44294</v>
      </c>
      <c r="B1560" s="10">
        <v>8</v>
      </c>
      <c r="C1560">
        <v>64587</v>
      </c>
      <c r="D1560" s="5">
        <v>7.24</v>
      </c>
      <c r="F1560" s="8">
        <v>100</v>
      </c>
      <c r="G1560" s="8">
        <v>100</v>
      </c>
      <c r="H1560" s="2">
        <f t="shared" si="76"/>
        <v>503098</v>
      </c>
      <c r="I1560" s="12">
        <f t="shared" si="74"/>
        <v>0.26911249999999998</v>
      </c>
      <c r="J1560" s="12">
        <f t="shared" si="75"/>
        <v>0.26203020833333335</v>
      </c>
    </row>
    <row r="1561" spans="1:10" ht="15" customHeight="1">
      <c r="A1561" s="7">
        <v>44295</v>
      </c>
      <c r="B1561" s="10">
        <v>9</v>
      </c>
      <c r="C1561">
        <v>63210</v>
      </c>
      <c r="D1561" s="5">
        <v>7.22</v>
      </c>
      <c r="F1561" s="8">
        <v>100</v>
      </c>
      <c r="G1561" s="8">
        <v>100</v>
      </c>
      <c r="H1561" s="2">
        <f t="shared" si="76"/>
        <v>566308</v>
      </c>
      <c r="I1561" s="12">
        <f t="shared" si="74"/>
        <v>0.26337500000000003</v>
      </c>
      <c r="J1561" s="12">
        <f t="shared" si="75"/>
        <v>0.26217962962962965</v>
      </c>
    </row>
    <row r="1562" spans="1:10" ht="15" customHeight="1">
      <c r="A1562" s="7">
        <v>44296</v>
      </c>
      <c r="B1562" s="10">
        <v>10</v>
      </c>
      <c r="C1562">
        <v>62562</v>
      </c>
      <c r="D1562" s="5">
        <v>7.11</v>
      </c>
      <c r="F1562" s="8">
        <v>100</v>
      </c>
      <c r="G1562" s="8">
        <v>100</v>
      </c>
      <c r="H1562" s="2">
        <f t="shared" si="76"/>
        <v>628870</v>
      </c>
      <c r="I1562" s="12">
        <f t="shared" si="74"/>
        <v>0.26067499999999999</v>
      </c>
      <c r="J1562" s="12">
        <f t="shared" si="75"/>
        <v>0.26202916666666665</v>
      </c>
    </row>
    <row r="1563" spans="1:10" ht="15" customHeight="1">
      <c r="A1563" s="7">
        <v>44297</v>
      </c>
      <c r="B1563" s="10">
        <v>11</v>
      </c>
      <c r="C1563">
        <v>62024</v>
      </c>
      <c r="D1563" s="5">
        <v>7.18</v>
      </c>
      <c r="F1563" s="8">
        <v>100</v>
      </c>
      <c r="G1563" s="8">
        <v>100</v>
      </c>
      <c r="H1563" s="2">
        <f t="shared" si="76"/>
        <v>690894</v>
      </c>
      <c r="I1563" s="12">
        <f t="shared" si="74"/>
        <v>0.25843333333333335</v>
      </c>
      <c r="J1563" s="12">
        <f t="shared" si="75"/>
        <v>0.2617022727272727</v>
      </c>
    </row>
    <row r="1564" spans="1:10" ht="15" customHeight="1">
      <c r="A1564" s="7">
        <v>44298</v>
      </c>
      <c r="B1564" s="10">
        <v>12</v>
      </c>
      <c r="C1564">
        <v>61677</v>
      </c>
      <c r="D1564" s="5">
        <v>7.16</v>
      </c>
      <c r="F1564" s="8">
        <v>100</v>
      </c>
      <c r="G1564" s="8">
        <v>100</v>
      </c>
      <c r="H1564" s="2">
        <f t="shared" si="76"/>
        <v>752571</v>
      </c>
      <c r="I1564" s="12">
        <f t="shared" si="74"/>
        <v>0.25698749999999998</v>
      </c>
      <c r="J1564" s="12">
        <f t="shared" si="75"/>
        <v>0.26130937500000001</v>
      </c>
    </row>
    <row r="1565" spans="1:10" ht="15" customHeight="1">
      <c r="A1565" s="7">
        <v>44299</v>
      </c>
      <c r="B1565" s="10">
        <v>13</v>
      </c>
      <c r="C1565">
        <v>58301</v>
      </c>
      <c r="D1565" s="5">
        <v>6.82</v>
      </c>
      <c r="F1565" s="8">
        <v>100</v>
      </c>
      <c r="G1565" s="8">
        <v>100</v>
      </c>
      <c r="H1565" s="2">
        <f t="shared" si="76"/>
        <v>810872</v>
      </c>
      <c r="I1565" s="12">
        <f t="shared" si="74"/>
        <v>0.24292083333333334</v>
      </c>
      <c r="J1565" s="12">
        <f t="shared" si="75"/>
        <v>0.25989487179487181</v>
      </c>
    </row>
    <row r="1566" spans="1:10" ht="15" customHeight="1">
      <c r="A1566" s="7">
        <v>44300</v>
      </c>
      <c r="B1566" s="10">
        <v>14</v>
      </c>
      <c r="C1566">
        <v>59810</v>
      </c>
      <c r="D1566" s="5">
        <v>6.8</v>
      </c>
      <c r="F1566" s="8">
        <v>100</v>
      </c>
      <c r="G1566" s="8">
        <v>100</v>
      </c>
      <c r="H1566" s="2">
        <f t="shared" si="76"/>
        <v>870682</v>
      </c>
      <c r="I1566" s="12">
        <f t="shared" si="74"/>
        <v>0.24920833333333334</v>
      </c>
      <c r="J1566" s="12">
        <f t="shared" si="75"/>
        <v>0.25913154761904761</v>
      </c>
    </row>
    <row r="1567" spans="1:10" ht="15" customHeight="1">
      <c r="A1567" s="7">
        <v>44301</v>
      </c>
      <c r="B1567" s="10">
        <v>15</v>
      </c>
      <c r="C1567">
        <v>60827</v>
      </c>
      <c r="D1567" s="5">
        <v>7.03</v>
      </c>
      <c r="F1567" s="8">
        <v>100</v>
      </c>
      <c r="G1567" s="8">
        <v>100</v>
      </c>
      <c r="H1567" s="2">
        <f t="shared" si="76"/>
        <v>931509</v>
      </c>
      <c r="I1567" s="12">
        <f t="shared" si="74"/>
        <v>0.25344583333333331</v>
      </c>
      <c r="J1567" s="12">
        <f t="shared" si="75"/>
        <v>0.2587525</v>
      </c>
    </row>
    <row r="1568" spans="1:10" ht="15" customHeight="1">
      <c r="A1568" s="7">
        <v>44302</v>
      </c>
      <c r="B1568" s="10">
        <v>16</v>
      </c>
      <c r="C1568">
        <v>54586</v>
      </c>
      <c r="D1568" s="5">
        <v>6.22</v>
      </c>
      <c r="F1568" s="8">
        <v>100</v>
      </c>
      <c r="G1568" s="8">
        <v>100</v>
      </c>
      <c r="H1568" s="2">
        <f t="shared" si="76"/>
        <v>986095</v>
      </c>
      <c r="I1568" s="12">
        <f t="shared" si="74"/>
        <v>0.22744166666666665</v>
      </c>
      <c r="J1568" s="12">
        <f t="shared" si="75"/>
        <v>0.25679557291666666</v>
      </c>
    </row>
    <row r="1569" spans="1:10" ht="15" customHeight="1">
      <c r="A1569" s="7">
        <v>44303</v>
      </c>
      <c r="B1569" s="10">
        <v>17</v>
      </c>
      <c r="C1569">
        <v>60736</v>
      </c>
      <c r="D1569" s="5">
        <v>7.2</v>
      </c>
      <c r="F1569" s="8">
        <v>100</v>
      </c>
      <c r="G1569" s="8">
        <v>100</v>
      </c>
      <c r="H1569" s="2">
        <f t="shared" si="76"/>
        <v>1046831</v>
      </c>
      <c r="I1569" s="12">
        <f t="shared" si="74"/>
        <v>0.25306666666666666</v>
      </c>
      <c r="J1569" s="12">
        <f t="shared" si="75"/>
        <v>0.2565762254901961</v>
      </c>
    </row>
    <row r="1570" spans="1:10" ht="15" customHeight="1">
      <c r="A1570" s="7">
        <v>44304</v>
      </c>
      <c r="B1570" s="10">
        <v>18</v>
      </c>
      <c r="C1570">
        <v>60844</v>
      </c>
      <c r="D1570" s="5">
        <v>7.26</v>
      </c>
      <c r="F1570" s="8">
        <v>100</v>
      </c>
      <c r="G1570" s="8">
        <v>100</v>
      </c>
      <c r="H1570" s="2">
        <f t="shared" si="76"/>
        <v>1107675</v>
      </c>
      <c r="I1570" s="12">
        <f t="shared" si="74"/>
        <v>0.25351666666666667</v>
      </c>
      <c r="J1570" s="12">
        <f t="shared" si="75"/>
        <v>0.25640625</v>
      </c>
    </row>
    <row r="1571" spans="1:10" ht="15" customHeight="1">
      <c r="A1571" s="7">
        <v>44305</v>
      </c>
      <c r="B1571" s="10">
        <v>19</v>
      </c>
      <c r="C1571">
        <v>50302</v>
      </c>
      <c r="D1571" s="5">
        <v>6.14</v>
      </c>
      <c r="F1571" s="8">
        <v>100</v>
      </c>
      <c r="G1571" s="8">
        <v>100</v>
      </c>
      <c r="H1571" s="2">
        <f t="shared" si="76"/>
        <v>1157977</v>
      </c>
      <c r="I1571" s="12">
        <f t="shared" si="74"/>
        <v>0.20959166666666668</v>
      </c>
      <c r="J1571" s="12">
        <f t="shared" si="75"/>
        <v>0.25394232456140353</v>
      </c>
    </row>
    <row r="1572" spans="1:10" ht="15" customHeight="1">
      <c r="A1572" s="7">
        <v>44306</v>
      </c>
      <c r="B1572" s="10">
        <v>20</v>
      </c>
      <c r="C1572">
        <v>56148</v>
      </c>
      <c r="D1572" s="5">
        <v>6.17</v>
      </c>
      <c r="F1572" s="8">
        <v>100</v>
      </c>
      <c r="G1572" s="8">
        <v>100</v>
      </c>
      <c r="H1572" s="2">
        <f t="shared" si="76"/>
        <v>1214125</v>
      </c>
      <c r="I1572" s="12">
        <f t="shared" si="74"/>
        <v>0.23394999999999999</v>
      </c>
      <c r="J1572" s="12">
        <f t="shared" si="75"/>
        <v>0.25294270833333332</v>
      </c>
    </row>
    <row r="1573" spans="1:10" ht="15" customHeight="1">
      <c r="A1573" s="7">
        <v>44307</v>
      </c>
      <c r="B1573" s="10">
        <v>21</v>
      </c>
      <c r="C1573">
        <v>64370</v>
      </c>
      <c r="D1573" s="5">
        <v>7.45</v>
      </c>
      <c r="F1573" s="8">
        <v>100</v>
      </c>
      <c r="G1573" s="8">
        <v>100</v>
      </c>
      <c r="H1573" s="2">
        <f t="shared" si="76"/>
        <v>1278495</v>
      </c>
      <c r="I1573" s="12">
        <f t="shared" si="74"/>
        <v>0.26820833333333333</v>
      </c>
      <c r="J1573" s="12">
        <f t="shared" si="75"/>
        <v>0.25366964285714283</v>
      </c>
    </row>
    <row r="1574" spans="1:10" ht="15" customHeight="1">
      <c r="A1574" s="7">
        <v>44308</v>
      </c>
      <c r="B1574" s="10">
        <v>22</v>
      </c>
      <c r="C1574">
        <v>62553</v>
      </c>
      <c r="D1574" s="5">
        <v>7.59</v>
      </c>
      <c r="F1574" s="8">
        <v>100</v>
      </c>
      <c r="G1574" s="8">
        <v>100</v>
      </c>
      <c r="H1574" s="2">
        <f t="shared" si="76"/>
        <v>1341048</v>
      </c>
      <c r="I1574" s="12">
        <f t="shared" si="74"/>
        <v>0.26063750000000002</v>
      </c>
      <c r="J1574" s="12">
        <f t="shared" si="75"/>
        <v>0.25398636363636362</v>
      </c>
    </row>
    <row r="1575" spans="1:10" ht="15" customHeight="1">
      <c r="A1575" s="7">
        <v>44309</v>
      </c>
      <c r="B1575" s="10">
        <v>23</v>
      </c>
      <c r="C1575">
        <v>42553</v>
      </c>
      <c r="D1575" s="5">
        <v>5.09</v>
      </c>
      <c r="F1575" s="8">
        <v>99.293521727539328</v>
      </c>
      <c r="G1575" s="8">
        <v>100</v>
      </c>
      <c r="H1575" s="2">
        <f t="shared" si="76"/>
        <v>1383601</v>
      </c>
      <c r="I1575" s="12">
        <f t="shared" si="74"/>
        <v>0.17730416666666668</v>
      </c>
      <c r="J1575" s="12">
        <f t="shared" si="75"/>
        <v>0.25065235507246375</v>
      </c>
    </row>
    <row r="1576" spans="1:10" ht="15" customHeight="1">
      <c r="A1576" s="7">
        <v>44310</v>
      </c>
      <c r="B1576" s="10">
        <v>24</v>
      </c>
      <c r="C1576">
        <v>64111</v>
      </c>
      <c r="D1576" s="5">
        <v>7.86</v>
      </c>
      <c r="F1576" s="8">
        <v>100</v>
      </c>
      <c r="G1576" s="8">
        <v>100</v>
      </c>
      <c r="H1576" s="2">
        <f t="shared" si="76"/>
        <v>1447712</v>
      </c>
      <c r="I1576" s="12">
        <f t="shared" si="74"/>
        <v>0.26712916666666664</v>
      </c>
      <c r="J1576" s="12">
        <f t="shared" si="75"/>
        <v>0.25133888888888889</v>
      </c>
    </row>
    <row r="1577" spans="1:10" ht="15" customHeight="1">
      <c r="A1577" s="7">
        <v>44311</v>
      </c>
      <c r="B1577" s="10">
        <v>25</v>
      </c>
      <c r="C1577">
        <v>62390</v>
      </c>
      <c r="D1577" s="5">
        <v>7.72</v>
      </c>
      <c r="F1577" s="8">
        <v>100</v>
      </c>
      <c r="G1577" s="8">
        <v>100</v>
      </c>
      <c r="H1577" s="2">
        <f t="shared" si="76"/>
        <v>1510102</v>
      </c>
      <c r="I1577" s="12">
        <f t="shared" si="74"/>
        <v>0.25995833333333335</v>
      </c>
      <c r="J1577" s="12">
        <f t="shared" si="75"/>
        <v>0.25168366666666669</v>
      </c>
    </row>
    <row r="1578" spans="1:10" ht="15" customHeight="1">
      <c r="A1578" s="7">
        <v>44312</v>
      </c>
      <c r="B1578" s="10">
        <v>26</v>
      </c>
      <c r="C1578">
        <v>62912</v>
      </c>
      <c r="D1578" s="5">
        <v>7.93</v>
      </c>
      <c r="F1578" s="8">
        <v>100</v>
      </c>
      <c r="G1578" s="8">
        <v>100</v>
      </c>
      <c r="H1578" s="2">
        <f t="shared" si="76"/>
        <v>1573014</v>
      </c>
      <c r="I1578" s="12">
        <f t="shared" si="74"/>
        <v>0.26213333333333333</v>
      </c>
      <c r="J1578" s="12">
        <f t="shared" si="75"/>
        <v>0.25208557692307693</v>
      </c>
    </row>
    <row r="1579" spans="1:10" ht="15" customHeight="1">
      <c r="A1579" s="7">
        <v>44313</v>
      </c>
      <c r="B1579" s="10">
        <v>27</v>
      </c>
      <c r="C1579">
        <v>61402</v>
      </c>
      <c r="D1579" s="5">
        <v>7.78</v>
      </c>
      <c r="F1579" s="8">
        <v>100</v>
      </c>
      <c r="G1579" s="8">
        <v>100</v>
      </c>
      <c r="H1579" s="2">
        <f t="shared" si="76"/>
        <v>1634416</v>
      </c>
      <c r="I1579" s="12">
        <f t="shared" si="74"/>
        <v>0.25584166666666669</v>
      </c>
      <c r="J1579" s="12">
        <f t="shared" si="75"/>
        <v>0.25222469135802467</v>
      </c>
    </row>
    <row r="1580" spans="1:10" ht="15" customHeight="1">
      <c r="A1580" s="7">
        <v>44314</v>
      </c>
      <c r="B1580" s="10">
        <v>28</v>
      </c>
      <c r="C1580">
        <v>54325</v>
      </c>
      <c r="D1580" s="5">
        <v>6.79</v>
      </c>
      <c r="F1580" s="8">
        <v>100</v>
      </c>
      <c r="G1580" s="8">
        <v>100</v>
      </c>
      <c r="H1580" s="2">
        <f t="shared" si="76"/>
        <v>1688741</v>
      </c>
      <c r="I1580" s="12">
        <f t="shared" si="74"/>
        <v>0.22635416666666666</v>
      </c>
      <c r="J1580" s="12">
        <f t="shared" si="75"/>
        <v>0.25130074404761904</v>
      </c>
    </row>
    <row r="1581" spans="1:10" ht="15" customHeight="1">
      <c r="A1581" s="7">
        <v>44315</v>
      </c>
      <c r="B1581" s="10">
        <v>29</v>
      </c>
      <c r="C1581">
        <v>49674</v>
      </c>
      <c r="D1581" s="5">
        <v>6.34</v>
      </c>
      <c r="F1581" s="8">
        <v>100</v>
      </c>
      <c r="G1581" s="8">
        <v>100</v>
      </c>
      <c r="H1581" s="2">
        <f t="shared" si="76"/>
        <v>1738415</v>
      </c>
      <c r="I1581" s="12">
        <f t="shared" si="74"/>
        <v>0.20697499999999999</v>
      </c>
      <c r="J1581" s="12">
        <f t="shared" si="75"/>
        <v>0.24977227011494252</v>
      </c>
    </row>
    <row r="1582" spans="1:10" ht="15" customHeight="1">
      <c r="A1582" s="7">
        <v>44316</v>
      </c>
      <c r="B1582" s="10">
        <v>30</v>
      </c>
      <c r="C1582">
        <v>52063</v>
      </c>
      <c r="D1582" s="5">
        <v>6.68</v>
      </c>
      <c r="F1582" s="8">
        <v>100</v>
      </c>
      <c r="G1582" s="8">
        <v>100</v>
      </c>
      <c r="H1582" s="2">
        <f t="shared" si="76"/>
        <v>1790478</v>
      </c>
      <c r="I1582" s="12">
        <f t="shared" si="74"/>
        <v>0.21692916666666667</v>
      </c>
      <c r="J1582" s="12">
        <f t="shared" si="75"/>
        <v>0.2486775</v>
      </c>
    </row>
    <row r="1583" spans="1:10" ht="15" customHeight="1">
      <c r="A1583" s="7">
        <v>44317</v>
      </c>
      <c r="B1583" s="10">
        <v>31</v>
      </c>
      <c r="C1583">
        <v>44311</v>
      </c>
      <c r="D1583" s="5">
        <v>5.53</v>
      </c>
      <c r="F1583" s="8">
        <v>100</v>
      </c>
      <c r="G1583" s="8">
        <v>100</v>
      </c>
      <c r="H1583" s="2">
        <f t="shared" si="76"/>
        <v>1834789</v>
      </c>
      <c r="I1583" s="12">
        <f t="shared" si="74"/>
        <v>0.18462916666666668</v>
      </c>
      <c r="J1583" s="12">
        <f t="shared" si="75"/>
        <v>0.2466114247311828</v>
      </c>
    </row>
    <row r="1584" spans="1:10" ht="15" customHeight="1">
      <c r="A1584" s="7">
        <v>44318</v>
      </c>
      <c r="B1584" s="10">
        <v>32</v>
      </c>
      <c r="C1584">
        <v>45071</v>
      </c>
      <c r="D1584" s="5">
        <v>5.46</v>
      </c>
      <c r="F1584" s="8">
        <v>100</v>
      </c>
      <c r="G1584" s="8">
        <v>100</v>
      </c>
      <c r="H1584" s="2">
        <f t="shared" si="76"/>
        <v>1879860</v>
      </c>
      <c r="I1584" s="12">
        <f t="shared" si="74"/>
        <v>0.18779583333333333</v>
      </c>
      <c r="J1584" s="12">
        <f t="shared" si="75"/>
        <v>0.2447734375</v>
      </c>
    </row>
    <row r="1585" spans="1:10" ht="15" customHeight="1">
      <c r="A1585" s="7">
        <v>44319</v>
      </c>
      <c r="B1585" s="10">
        <v>33</v>
      </c>
      <c r="C1585">
        <v>61140</v>
      </c>
      <c r="D1585" s="5">
        <v>7.66</v>
      </c>
      <c r="F1585" s="8">
        <v>100</v>
      </c>
      <c r="G1585" s="8">
        <v>100</v>
      </c>
      <c r="H1585" s="2">
        <f t="shared" si="76"/>
        <v>1941000</v>
      </c>
      <c r="I1585" s="12">
        <f t="shared" si="74"/>
        <v>0.25474999999999998</v>
      </c>
      <c r="J1585" s="12">
        <f t="shared" si="75"/>
        <v>0.24507575757575759</v>
      </c>
    </row>
    <row r="1586" spans="1:10" ht="15" customHeight="1">
      <c r="A1586" s="7">
        <v>44320</v>
      </c>
      <c r="B1586" s="10">
        <v>34</v>
      </c>
      <c r="C1586">
        <v>54073</v>
      </c>
      <c r="D1586" s="5">
        <v>6.61</v>
      </c>
      <c r="F1586" s="8">
        <v>100</v>
      </c>
      <c r="G1586" s="8">
        <v>100</v>
      </c>
      <c r="H1586" s="2">
        <f t="shared" si="76"/>
        <v>1995073</v>
      </c>
      <c r="I1586" s="12">
        <f t="shared" si="74"/>
        <v>0.22530416666666667</v>
      </c>
      <c r="J1586" s="12">
        <f t="shared" si="75"/>
        <v>0.24449424019607843</v>
      </c>
    </row>
    <row r="1587" spans="1:10" ht="15" customHeight="1">
      <c r="A1587" s="7">
        <v>44321</v>
      </c>
      <c r="B1587" s="10">
        <v>35</v>
      </c>
      <c r="C1587">
        <v>59916</v>
      </c>
      <c r="D1587" s="5">
        <v>7.71</v>
      </c>
      <c r="F1587" s="8">
        <v>99.388020833333329</v>
      </c>
      <c r="G1587" s="8">
        <v>100</v>
      </c>
      <c r="H1587" s="2">
        <f t="shared" si="76"/>
        <v>2054989</v>
      </c>
      <c r="I1587" s="12">
        <f t="shared" si="74"/>
        <v>0.24965000000000001</v>
      </c>
      <c r="J1587" s="12">
        <f t="shared" si="75"/>
        <v>0.24464154761904761</v>
      </c>
    </row>
    <row r="1588" spans="1:10" ht="15" customHeight="1">
      <c r="A1588" s="7">
        <v>44322</v>
      </c>
      <c r="B1588" s="10">
        <v>36</v>
      </c>
      <c r="C1588">
        <v>41186</v>
      </c>
      <c r="D1588" s="5">
        <v>4.59</v>
      </c>
      <c r="F1588" s="8">
        <v>100</v>
      </c>
      <c r="G1588" s="8">
        <v>100</v>
      </c>
      <c r="H1588" s="2">
        <f t="shared" si="76"/>
        <v>2096175</v>
      </c>
      <c r="I1588" s="12">
        <f t="shared" si="74"/>
        <v>0.17160833333333333</v>
      </c>
      <c r="J1588" s="12">
        <f t="shared" si="75"/>
        <v>0.24261284722222223</v>
      </c>
    </row>
    <row r="1589" spans="1:10" ht="15" customHeight="1">
      <c r="A1589" s="7">
        <v>44323</v>
      </c>
      <c r="B1589" s="10">
        <v>37</v>
      </c>
      <c r="C1589">
        <v>61472</v>
      </c>
      <c r="D1589" s="5">
        <v>7.77</v>
      </c>
      <c r="F1589" s="8">
        <v>100</v>
      </c>
      <c r="G1589" s="8">
        <v>100</v>
      </c>
      <c r="H1589" s="2">
        <f t="shared" si="76"/>
        <v>2157647</v>
      </c>
      <c r="I1589" s="12">
        <f t="shared" si="74"/>
        <v>0.25613333333333332</v>
      </c>
      <c r="J1589" s="12">
        <f t="shared" si="75"/>
        <v>0.24297826576576576</v>
      </c>
    </row>
    <row r="1590" spans="1:10" ht="15" customHeight="1">
      <c r="A1590" s="7">
        <v>44324</v>
      </c>
      <c r="B1590" s="10">
        <v>38</v>
      </c>
      <c r="C1590">
        <v>60020</v>
      </c>
      <c r="D1590" s="5">
        <v>7.75</v>
      </c>
      <c r="F1590" s="8">
        <v>100</v>
      </c>
      <c r="G1590" s="8">
        <v>100</v>
      </c>
      <c r="H1590" s="2">
        <f t="shared" si="76"/>
        <v>2217667</v>
      </c>
      <c r="I1590" s="12">
        <f t="shared" si="74"/>
        <v>0.25008333333333332</v>
      </c>
      <c r="J1590" s="12">
        <f t="shared" si="75"/>
        <v>0.24316524122807018</v>
      </c>
    </row>
    <row r="1591" spans="1:10" ht="15" customHeight="1">
      <c r="A1591" s="7">
        <v>44325</v>
      </c>
      <c r="B1591" s="10">
        <v>39</v>
      </c>
      <c r="C1591">
        <v>56430</v>
      </c>
      <c r="D1591" s="5">
        <v>7.43</v>
      </c>
      <c r="F1591" s="8">
        <v>100</v>
      </c>
      <c r="G1591" s="8">
        <v>100</v>
      </c>
      <c r="H1591" s="2">
        <f t="shared" si="76"/>
        <v>2274097</v>
      </c>
      <c r="I1591" s="12">
        <f t="shared" si="74"/>
        <v>0.235125</v>
      </c>
      <c r="J1591" s="12">
        <f t="shared" si="75"/>
        <v>0.24295908119658119</v>
      </c>
    </row>
    <row r="1592" spans="1:10" ht="15" customHeight="1">
      <c r="A1592" s="7">
        <v>44326</v>
      </c>
      <c r="B1592" s="10">
        <v>40</v>
      </c>
      <c r="C1592">
        <v>53231</v>
      </c>
      <c r="D1592" s="5">
        <v>6.9</v>
      </c>
      <c r="F1592" s="8">
        <v>98.254402274964463</v>
      </c>
      <c r="G1592" s="8">
        <v>100</v>
      </c>
      <c r="H1592" s="2">
        <f t="shared" si="76"/>
        <v>2327328</v>
      </c>
      <c r="I1592" s="12">
        <f t="shared" si="74"/>
        <v>0.22179583333333333</v>
      </c>
      <c r="J1592" s="12">
        <f t="shared" si="75"/>
        <v>0.24243000000000001</v>
      </c>
    </row>
    <row r="1593" spans="1:10" ht="15" customHeight="1">
      <c r="A1593" s="7">
        <v>44327</v>
      </c>
      <c r="B1593" s="10">
        <v>41</v>
      </c>
      <c r="C1593">
        <v>48563</v>
      </c>
      <c r="D1593" s="5">
        <v>5.95</v>
      </c>
      <c r="F1593" s="8">
        <v>100</v>
      </c>
      <c r="G1593" s="8">
        <v>100</v>
      </c>
      <c r="H1593" s="2">
        <f t="shared" si="76"/>
        <v>2375891</v>
      </c>
      <c r="I1593" s="12">
        <f t="shared" si="74"/>
        <v>0.20234583333333334</v>
      </c>
      <c r="J1593" s="12">
        <f t="shared" si="75"/>
        <v>0.24145233739837399</v>
      </c>
    </row>
    <row r="1594" spans="1:10" ht="15" customHeight="1">
      <c r="A1594" s="7">
        <v>44328</v>
      </c>
      <c r="B1594" s="10">
        <v>42</v>
      </c>
      <c r="C1594">
        <v>50272</v>
      </c>
      <c r="D1594" s="5">
        <v>6.47</v>
      </c>
      <c r="F1594" s="8">
        <v>100</v>
      </c>
      <c r="G1594" s="8">
        <v>100</v>
      </c>
      <c r="H1594" s="2">
        <f t="shared" si="76"/>
        <v>2426163</v>
      </c>
      <c r="I1594" s="12">
        <f t="shared" si="74"/>
        <v>0.20946666666666666</v>
      </c>
      <c r="J1594" s="12">
        <f t="shared" si="75"/>
        <v>0.24069077380952381</v>
      </c>
    </row>
    <row r="1595" spans="1:10" ht="15" customHeight="1">
      <c r="A1595" s="7">
        <v>44329</v>
      </c>
      <c r="B1595" s="10">
        <v>43</v>
      </c>
      <c r="C1595">
        <v>59020</v>
      </c>
      <c r="D1595" s="5">
        <v>7.54</v>
      </c>
      <c r="F1595" s="8">
        <v>100</v>
      </c>
      <c r="G1595" s="8">
        <v>100</v>
      </c>
      <c r="H1595" s="2">
        <f t="shared" si="76"/>
        <v>2485183</v>
      </c>
      <c r="I1595" s="12">
        <f t="shared" si="74"/>
        <v>0.24591666666666667</v>
      </c>
      <c r="J1595" s="12">
        <f t="shared" si="75"/>
        <v>0.24081230620155039</v>
      </c>
    </row>
    <row r="1596" spans="1:10" ht="15" customHeight="1">
      <c r="A1596" s="7">
        <v>44330</v>
      </c>
      <c r="B1596" s="10">
        <v>44</v>
      </c>
      <c r="C1596">
        <v>52893</v>
      </c>
      <c r="D1596" s="5">
        <v>6.96</v>
      </c>
      <c r="F1596" s="8">
        <v>100</v>
      </c>
      <c r="G1596" s="8">
        <v>100</v>
      </c>
      <c r="H1596" s="2">
        <f t="shared" si="76"/>
        <v>2538076</v>
      </c>
      <c r="I1596" s="12">
        <f t="shared" si="74"/>
        <v>0.22038749999999999</v>
      </c>
      <c r="J1596" s="12">
        <f t="shared" si="75"/>
        <v>0.24034810606060605</v>
      </c>
    </row>
    <row r="1597" spans="1:10" ht="15" customHeight="1">
      <c r="A1597" s="7">
        <v>44331</v>
      </c>
      <c r="B1597" s="10">
        <v>45</v>
      </c>
      <c r="C1597">
        <v>56017</v>
      </c>
      <c r="D1597" s="5">
        <v>7.1</v>
      </c>
      <c r="F1597" s="8">
        <v>100</v>
      </c>
      <c r="G1597" s="8">
        <v>100</v>
      </c>
      <c r="H1597" s="2">
        <f t="shared" si="76"/>
        <v>2594093</v>
      </c>
      <c r="I1597" s="12">
        <f t="shared" si="74"/>
        <v>0.23340416666666666</v>
      </c>
      <c r="J1597" s="12">
        <f t="shared" si="75"/>
        <v>0.24019379629629631</v>
      </c>
    </row>
    <row r="1598" spans="1:10" ht="15" customHeight="1">
      <c r="A1598" s="7">
        <v>44332</v>
      </c>
      <c r="B1598" s="10">
        <v>46</v>
      </c>
      <c r="C1598">
        <v>57700</v>
      </c>
      <c r="D1598" s="5">
        <v>7.34</v>
      </c>
      <c r="F1598" s="8">
        <v>100</v>
      </c>
      <c r="G1598" s="8">
        <v>100</v>
      </c>
      <c r="H1598" s="2">
        <f t="shared" si="76"/>
        <v>2651793</v>
      </c>
      <c r="I1598" s="12">
        <f t="shared" si="74"/>
        <v>0.24041666666666667</v>
      </c>
      <c r="J1598" s="12">
        <f t="shared" si="75"/>
        <v>0.24019864130434782</v>
      </c>
    </row>
    <row r="1599" spans="1:10" ht="15" customHeight="1">
      <c r="A1599" s="7">
        <v>44333</v>
      </c>
      <c r="B1599" s="10">
        <v>47</v>
      </c>
      <c r="C1599">
        <v>49212</v>
      </c>
      <c r="D1599" s="5">
        <v>6.29</v>
      </c>
      <c r="F1599" s="8">
        <v>100</v>
      </c>
      <c r="G1599" s="8">
        <v>100</v>
      </c>
      <c r="H1599" s="2">
        <f t="shared" si="76"/>
        <v>2701005</v>
      </c>
      <c r="I1599" s="12">
        <f t="shared" si="74"/>
        <v>0.20505000000000001</v>
      </c>
      <c r="J1599" s="12">
        <f t="shared" si="75"/>
        <v>0.23945079787234042</v>
      </c>
    </row>
    <row r="1600" spans="1:10" ht="15" customHeight="1">
      <c r="A1600" s="7">
        <v>44334</v>
      </c>
      <c r="B1600" s="10">
        <v>48</v>
      </c>
      <c r="C1600">
        <v>25079</v>
      </c>
      <c r="D1600" s="5">
        <v>2.77</v>
      </c>
      <c r="F1600" s="8">
        <v>100</v>
      </c>
      <c r="G1600" s="8">
        <v>100</v>
      </c>
      <c r="H1600" s="2">
        <f t="shared" si="76"/>
        <v>2726084</v>
      </c>
      <c r="I1600" s="12">
        <f t="shared" si="74"/>
        <v>0.10449583333333333</v>
      </c>
      <c r="J1600" s="12">
        <f t="shared" si="75"/>
        <v>0.23663923611111112</v>
      </c>
    </row>
    <row r="1601" spans="1:10" ht="15" customHeight="1">
      <c r="A1601" s="7">
        <v>44335</v>
      </c>
      <c r="B1601" s="10">
        <v>49</v>
      </c>
      <c r="C1601">
        <v>37066</v>
      </c>
      <c r="D1601" s="5">
        <v>4.1500000000000004</v>
      </c>
      <c r="F1601" s="8">
        <v>100</v>
      </c>
      <c r="G1601" s="8">
        <v>100</v>
      </c>
      <c r="H1601" s="2">
        <f t="shared" si="76"/>
        <v>2763150</v>
      </c>
      <c r="I1601" s="12">
        <f t="shared" si="74"/>
        <v>0.15444166666666667</v>
      </c>
      <c r="J1601" s="12">
        <f t="shared" si="75"/>
        <v>0.23496173469387754</v>
      </c>
    </row>
    <row r="1602" spans="1:10" ht="15" customHeight="1">
      <c r="A1602" s="7">
        <v>44336</v>
      </c>
      <c r="B1602" s="10">
        <v>50</v>
      </c>
      <c r="C1602">
        <v>59264</v>
      </c>
      <c r="D1602" s="5">
        <v>7.69</v>
      </c>
      <c r="F1602" s="8">
        <v>100</v>
      </c>
      <c r="G1602" s="8">
        <v>100</v>
      </c>
      <c r="H1602" s="2">
        <f t="shared" si="76"/>
        <v>2822414</v>
      </c>
      <c r="I1602" s="12">
        <f t="shared" si="74"/>
        <v>0.24693333333333334</v>
      </c>
      <c r="J1602" s="12">
        <f t="shared" si="75"/>
        <v>0.23520116666666666</v>
      </c>
    </row>
    <row r="1603" spans="1:10" ht="15" customHeight="1">
      <c r="A1603" s="7">
        <v>44337</v>
      </c>
      <c r="B1603" s="10">
        <v>51</v>
      </c>
      <c r="C1603">
        <v>57326</v>
      </c>
      <c r="D1603" s="5">
        <v>7.42</v>
      </c>
      <c r="F1603" s="8">
        <v>100</v>
      </c>
      <c r="G1603" s="8">
        <v>100</v>
      </c>
      <c r="H1603" s="2">
        <f t="shared" si="76"/>
        <v>2879740</v>
      </c>
      <c r="I1603" s="12">
        <f t="shared" ref="I1603:I1666" si="77">C1603/(10*24*1000)</f>
        <v>0.23885833333333334</v>
      </c>
      <c r="J1603" s="12">
        <f t="shared" si="75"/>
        <v>0.23527287581699347</v>
      </c>
    </row>
    <row r="1604" spans="1:10" ht="15" customHeight="1">
      <c r="A1604" s="7">
        <v>44338</v>
      </c>
      <c r="B1604" s="10">
        <v>52</v>
      </c>
      <c r="C1604">
        <v>46311</v>
      </c>
      <c r="D1604" s="5">
        <v>5.85</v>
      </c>
      <c r="F1604" s="8">
        <v>100</v>
      </c>
      <c r="G1604" s="8">
        <v>100</v>
      </c>
      <c r="H1604" s="2">
        <f t="shared" si="76"/>
        <v>2926051</v>
      </c>
      <c r="I1604" s="12">
        <f t="shared" si="77"/>
        <v>0.19296250000000001</v>
      </c>
      <c r="J1604" s="12">
        <f t="shared" ref="J1604:J1667" si="78">H1604/(24*B1604*10*1000)</f>
        <v>0.23445921474358974</v>
      </c>
    </row>
    <row r="1605" spans="1:10" ht="15" customHeight="1">
      <c r="A1605" s="7">
        <v>44339</v>
      </c>
      <c r="B1605" s="10">
        <v>53</v>
      </c>
      <c r="C1605">
        <v>62633</v>
      </c>
      <c r="D1605" s="5">
        <v>7.93</v>
      </c>
      <c r="F1605" s="8">
        <v>100</v>
      </c>
      <c r="G1605" s="8">
        <v>100</v>
      </c>
      <c r="H1605" s="2">
        <f t="shared" si="76"/>
        <v>2988684</v>
      </c>
      <c r="I1605" s="12">
        <f t="shared" si="77"/>
        <v>0.26097083333333332</v>
      </c>
      <c r="J1605" s="12">
        <f t="shared" si="78"/>
        <v>0.23495943396226415</v>
      </c>
    </row>
    <row r="1606" spans="1:10" ht="15" customHeight="1">
      <c r="A1606" s="7">
        <v>44340</v>
      </c>
      <c r="B1606" s="10">
        <v>54</v>
      </c>
      <c r="C1606">
        <v>60355</v>
      </c>
      <c r="D1606" s="5">
        <v>7.89</v>
      </c>
      <c r="F1606" s="8">
        <v>100</v>
      </c>
      <c r="G1606" s="8">
        <v>100</v>
      </c>
      <c r="H1606" s="2">
        <f t="shared" si="76"/>
        <v>3049039</v>
      </c>
      <c r="I1606" s="12">
        <f t="shared" si="77"/>
        <v>0.25147916666666664</v>
      </c>
      <c r="J1606" s="12">
        <f t="shared" si="78"/>
        <v>0.23526535493827161</v>
      </c>
    </row>
    <row r="1607" spans="1:10" ht="15" customHeight="1">
      <c r="A1607" s="7">
        <v>44341</v>
      </c>
      <c r="B1607" s="10">
        <v>55</v>
      </c>
      <c r="C1607">
        <v>60109</v>
      </c>
      <c r="D1607" s="5">
        <v>7.96</v>
      </c>
      <c r="F1607" s="8">
        <v>100</v>
      </c>
      <c r="G1607" s="8">
        <v>100</v>
      </c>
      <c r="H1607" s="2">
        <f t="shared" si="76"/>
        <v>3109148</v>
      </c>
      <c r="I1607" s="12">
        <f t="shared" si="77"/>
        <v>0.25045416666666664</v>
      </c>
      <c r="J1607" s="12">
        <f t="shared" si="78"/>
        <v>0.23554151515151514</v>
      </c>
    </row>
    <row r="1608" spans="1:10" ht="15" customHeight="1">
      <c r="A1608" s="7">
        <v>44342</v>
      </c>
      <c r="B1608" s="10">
        <v>56</v>
      </c>
      <c r="C1608">
        <v>56648</v>
      </c>
      <c r="D1608" s="5">
        <v>7.51</v>
      </c>
      <c r="F1608" s="8">
        <v>100</v>
      </c>
      <c r="G1608" s="8">
        <v>100</v>
      </c>
      <c r="H1608" s="2">
        <f t="shared" si="76"/>
        <v>3165796</v>
      </c>
      <c r="I1608" s="12">
        <f t="shared" si="77"/>
        <v>0.23603333333333334</v>
      </c>
      <c r="J1608" s="12">
        <f t="shared" si="78"/>
        <v>0.23555029761904761</v>
      </c>
    </row>
    <row r="1609" spans="1:10" ht="15" customHeight="1">
      <c r="A1609" s="7">
        <v>44343</v>
      </c>
      <c r="B1609" s="10">
        <v>57</v>
      </c>
      <c r="C1609">
        <v>59015</v>
      </c>
      <c r="D1609" s="5">
        <v>7.95</v>
      </c>
      <c r="F1609" s="8">
        <v>100</v>
      </c>
      <c r="G1609" s="8">
        <v>100</v>
      </c>
      <c r="H1609" s="2">
        <f t="shared" si="76"/>
        <v>3224811</v>
      </c>
      <c r="I1609" s="12">
        <f t="shared" si="77"/>
        <v>0.24589583333333334</v>
      </c>
      <c r="J1609" s="12">
        <f t="shared" si="78"/>
        <v>0.23573179824561402</v>
      </c>
    </row>
    <row r="1610" spans="1:10" ht="15" customHeight="1">
      <c r="A1610" s="7">
        <v>44344</v>
      </c>
      <c r="B1610" s="10">
        <v>58</v>
      </c>
      <c r="C1610">
        <v>58706</v>
      </c>
      <c r="D1610" s="5">
        <v>7.96</v>
      </c>
      <c r="F1610" s="8">
        <v>100</v>
      </c>
      <c r="G1610" s="8">
        <v>100</v>
      </c>
      <c r="H1610" s="2">
        <f t="shared" si="76"/>
        <v>3283517</v>
      </c>
      <c r="I1610" s="12">
        <f t="shared" si="77"/>
        <v>0.24460833333333334</v>
      </c>
      <c r="J1610" s="12">
        <f t="shared" si="78"/>
        <v>0.23588484195402298</v>
      </c>
    </row>
    <row r="1611" spans="1:10" ht="15" customHeight="1">
      <c r="A1611" s="7">
        <v>44345</v>
      </c>
      <c r="B1611" s="10">
        <v>59</v>
      </c>
      <c r="C1611">
        <v>59874</v>
      </c>
      <c r="D1611" s="5">
        <v>7.99</v>
      </c>
      <c r="F1611" s="8">
        <v>100</v>
      </c>
      <c r="G1611" s="8">
        <v>100</v>
      </c>
      <c r="H1611" s="2">
        <f t="shared" si="76"/>
        <v>3343391</v>
      </c>
      <c r="I1611" s="12">
        <f t="shared" si="77"/>
        <v>0.249475</v>
      </c>
      <c r="J1611" s="12">
        <f t="shared" si="78"/>
        <v>0.23611518361581921</v>
      </c>
    </row>
    <row r="1612" spans="1:10" ht="15" customHeight="1">
      <c r="A1612" s="7">
        <v>44346</v>
      </c>
      <c r="B1612" s="10">
        <v>60</v>
      </c>
      <c r="C1612">
        <v>57709</v>
      </c>
      <c r="D1612" s="5">
        <v>7.65</v>
      </c>
      <c r="F1612" s="8">
        <v>100</v>
      </c>
      <c r="G1612" s="8">
        <v>100</v>
      </c>
      <c r="H1612" s="2">
        <f t="shared" si="76"/>
        <v>3401100</v>
      </c>
      <c r="I1612" s="12">
        <f t="shared" si="77"/>
        <v>0.24045416666666666</v>
      </c>
      <c r="J1612" s="12">
        <f t="shared" si="78"/>
        <v>0.23618749999999999</v>
      </c>
    </row>
    <row r="1613" spans="1:10" ht="15" customHeight="1">
      <c r="A1613" s="7">
        <v>44347</v>
      </c>
      <c r="B1613" s="10">
        <v>61</v>
      </c>
      <c r="C1613">
        <v>58149</v>
      </c>
      <c r="D1613" s="5">
        <v>7.62</v>
      </c>
      <c r="F1613" s="8">
        <v>100</v>
      </c>
      <c r="G1613" s="8">
        <v>100</v>
      </c>
      <c r="H1613" s="2">
        <f t="shared" si="76"/>
        <v>3459249</v>
      </c>
      <c r="I1613" s="12">
        <f t="shared" si="77"/>
        <v>0.24228749999999999</v>
      </c>
      <c r="J1613" s="12">
        <f t="shared" si="78"/>
        <v>0.23628750000000001</v>
      </c>
    </row>
    <row r="1614" spans="1:10" ht="15" customHeight="1">
      <c r="A1614" s="7">
        <v>44348</v>
      </c>
      <c r="B1614" s="10">
        <v>62</v>
      </c>
      <c r="C1614">
        <v>53990</v>
      </c>
      <c r="D1614" s="5">
        <v>7.26</v>
      </c>
      <c r="F1614" s="8">
        <v>100</v>
      </c>
      <c r="G1614" s="8">
        <v>100</v>
      </c>
      <c r="H1614" s="2">
        <f t="shared" si="76"/>
        <v>3513239</v>
      </c>
      <c r="I1614" s="12">
        <f t="shared" si="77"/>
        <v>0.22495833333333334</v>
      </c>
      <c r="J1614" s="12">
        <f t="shared" si="78"/>
        <v>0.23610477150537634</v>
      </c>
    </row>
    <row r="1615" spans="1:10" ht="15" customHeight="1">
      <c r="A1615" s="7">
        <v>44349</v>
      </c>
      <c r="B1615" s="10">
        <v>63</v>
      </c>
      <c r="C1615">
        <v>54550</v>
      </c>
      <c r="D1615" s="5">
        <v>7.31</v>
      </c>
      <c r="F1615" s="8">
        <v>100</v>
      </c>
      <c r="G1615" s="8">
        <v>100</v>
      </c>
      <c r="H1615" s="2">
        <f t="shared" si="76"/>
        <v>3567789</v>
      </c>
      <c r="I1615" s="12">
        <f t="shared" si="77"/>
        <v>0.22729166666666667</v>
      </c>
      <c r="J1615" s="12">
        <f t="shared" si="78"/>
        <v>0.23596488095238094</v>
      </c>
    </row>
    <row r="1616" spans="1:10" ht="15" customHeight="1">
      <c r="A1616" s="7">
        <v>44350</v>
      </c>
      <c r="B1616" s="10">
        <v>64</v>
      </c>
      <c r="C1616">
        <v>61554</v>
      </c>
      <c r="D1616" s="5">
        <v>8.1300000000000008</v>
      </c>
      <c r="F1616" s="8">
        <v>100</v>
      </c>
      <c r="G1616" s="8">
        <v>100</v>
      </c>
      <c r="H1616" s="2">
        <f t="shared" si="76"/>
        <v>3629343</v>
      </c>
      <c r="I1616" s="12">
        <f t="shared" si="77"/>
        <v>0.25647500000000001</v>
      </c>
      <c r="J1616" s="12">
        <f t="shared" si="78"/>
        <v>0.2362853515625</v>
      </c>
    </row>
    <row r="1617" spans="1:10" ht="15" customHeight="1">
      <c r="A1617" s="7">
        <v>44351</v>
      </c>
      <c r="B1617" s="10">
        <v>65</v>
      </c>
      <c r="C1617">
        <v>58381</v>
      </c>
      <c r="D1617" s="5">
        <v>7.76</v>
      </c>
      <c r="F1617" s="8">
        <v>100</v>
      </c>
      <c r="G1617" s="8">
        <v>100</v>
      </c>
      <c r="H1617" s="2">
        <f t="shared" si="76"/>
        <v>3687724</v>
      </c>
      <c r="I1617" s="12">
        <f t="shared" si="77"/>
        <v>0.24325416666666666</v>
      </c>
      <c r="J1617" s="12">
        <f t="shared" si="78"/>
        <v>0.2363925641025641</v>
      </c>
    </row>
    <row r="1618" spans="1:10" ht="15" customHeight="1">
      <c r="A1618" s="7">
        <v>44352</v>
      </c>
      <c r="B1618" s="10">
        <v>66</v>
      </c>
      <c r="C1618">
        <v>37613</v>
      </c>
      <c r="D1618" s="5">
        <v>5.15</v>
      </c>
      <c r="F1618" s="8">
        <v>100</v>
      </c>
      <c r="G1618" s="8">
        <v>100</v>
      </c>
      <c r="H1618" s="2">
        <f t="shared" ref="H1618:H1681" si="79">H1617+C1618</f>
        <v>3725337</v>
      </c>
      <c r="I1618" s="12">
        <f t="shared" si="77"/>
        <v>0.15672083333333334</v>
      </c>
      <c r="J1618" s="12">
        <f t="shared" si="78"/>
        <v>0.23518541666666667</v>
      </c>
    </row>
    <row r="1619" spans="1:10" ht="15" customHeight="1">
      <c r="A1619" s="7">
        <v>44353</v>
      </c>
      <c r="B1619" s="10">
        <v>67</v>
      </c>
      <c r="C1619">
        <v>57428</v>
      </c>
      <c r="D1619" s="5">
        <v>7.45</v>
      </c>
      <c r="F1619" s="8">
        <v>100</v>
      </c>
      <c r="G1619" s="8">
        <v>100</v>
      </c>
      <c r="H1619" s="2">
        <f t="shared" si="79"/>
        <v>3782765</v>
      </c>
      <c r="I1619" s="12">
        <f t="shared" si="77"/>
        <v>0.23928333333333332</v>
      </c>
      <c r="J1619" s="12">
        <f t="shared" si="78"/>
        <v>0.23524657960199005</v>
      </c>
    </row>
    <row r="1620" spans="1:10" ht="15" customHeight="1">
      <c r="A1620" s="7">
        <v>44354</v>
      </c>
      <c r="B1620" s="10">
        <v>68</v>
      </c>
      <c r="C1620">
        <v>59604</v>
      </c>
      <c r="D1620" s="5">
        <v>7.92</v>
      </c>
      <c r="F1620" s="8">
        <v>100</v>
      </c>
      <c r="G1620" s="8">
        <v>100</v>
      </c>
      <c r="H1620" s="2">
        <f t="shared" si="79"/>
        <v>3842369</v>
      </c>
      <c r="I1620" s="12">
        <f t="shared" si="77"/>
        <v>0.24834999999999999</v>
      </c>
      <c r="J1620" s="12">
        <f t="shared" si="78"/>
        <v>0.23543927696078432</v>
      </c>
    </row>
    <row r="1621" spans="1:10" ht="15" customHeight="1">
      <c r="A1621" s="7">
        <v>44355</v>
      </c>
      <c r="B1621" s="10">
        <v>69</v>
      </c>
      <c r="C1621">
        <v>57896</v>
      </c>
      <c r="D1621" s="5">
        <v>7.72</v>
      </c>
      <c r="F1621" s="8">
        <v>100</v>
      </c>
      <c r="G1621" s="8">
        <v>100</v>
      </c>
      <c r="H1621" s="2">
        <f t="shared" si="79"/>
        <v>3900265</v>
      </c>
      <c r="I1621" s="12">
        <f t="shared" si="77"/>
        <v>0.24123333333333333</v>
      </c>
      <c r="J1621" s="12">
        <f t="shared" si="78"/>
        <v>0.23552324879227052</v>
      </c>
    </row>
    <row r="1622" spans="1:10" ht="15" customHeight="1">
      <c r="A1622" s="7">
        <v>44356</v>
      </c>
      <c r="B1622" s="10">
        <v>70</v>
      </c>
      <c r="C1622">
        <v>60375</v>
      </c>
      <c r="D1622" s="5">
        <v>7.94</v>
      </c>
      <c r="F1622" s="8">
        <v>100</v>
      </c>
      <c r="G1622" s="8">
        <v>100</v>
      </c>
      <c r="H1622" s="2">
        <f t="shared" si="79"/>
        <v>3960640</v>
      </c>
      <c r="I1622" s="12">
        <f t="shared" si="77"/>
        <v>0.25156250000000002</v>
      </c>
      <c r="J1622" s="12">
        <f t="shared" si="78"/>
        <v>0.23575238095238096</v>
      </c>
    </row>
    <row r="1623" spans="1:10" ht="15" customHeight="1">
      <c r="A1623" s="7">
        <v>44357</v>
      </c>
      <c r="B1623" s="10">
        <v>71</v>
      </c>
      <c r="C1623">
        <v>59631</v>
      </c>
      <c r="D1623" s="5">
        <v>7.97</v>
      </c>
      <c r="F1623" s="8">
        <v>100</v>
      </c>
      <c r="G1623" s="8">
        <v>100</v>
      </c>
      <c r="H1623" s="2">
        <f t="shared" si="79"/>
        <v>4020271</v>
      </c>
      <c r="I1623" s="12">
        <f t="shared" si="77"/>
        <v>0.2484625</v>
      </c>
      <c r="J1623" s="12">
        <f t="shared" si="78"/>
        <v>0.23593139671361502</v>
      </c>
    </row>
    <row r="1624" spans="1:10" ht="15" customHeight="1">
      <c r="A1624" s="7">
        <v>44358</v>
      </c>
      <c r="B1624" s="10">
        <v>72</v>
      </c>
      <c r="C1624">
        <v>55611</v>
      </c>
      <c r="D1624" s="5">
        <v>7.23</v>
      </c>
      <c r="F1624" s="8">
        <v>100</v>
      </c>
      <c r="G1624" s="8">
        <v>100</v>
      </c>
      <c r="H1624" s="2">
        <f t="shared" si="79"/>
        <v>4075882</v>
      </c>
      <c r="I1624" s="12">
        <f t="shared" si="77"/>
        <v>0.23171249999999999</v>
      </c>
      <c r="J1624" s="12">
        <f t="shared" si="78"/>
        <v>0.23587280092592591</v>
      </c>
    </row>
    <row r="1625" spans="1:10" ht="15" customHeight="1">
      <c r="A1625" s="7">
        <v>44359</v>
      </c>
      <c r="B1625" s="10">
        <v>73</v>
      </c>
      <c r="C1625">
        <v>57243</v>
      </c>
      <c r="D1625" s="5">
        <v>7.52</v>
      </c>
      <c r="F1625" s="8">
        <v>100</v>
      </c>
      <c r="G1625" s="8">
        <v>100</v>
      </c>
      <c r="H1625" s="2">
        <f t="shared" si="79"/>
        <v>4133125</v>
      </c>
      <c r="I1625" s="12">
        <f t="shared" si="77"/>
        <v>0.23851249999999999</v>
      </c>
      <c r="J1625" s="12">
        <f t="shared" si="78"/>
        <v>0.23590896118721461</v>
      </c>
    </row>
    <row r="1626" spans="1:10" ht="15" customHeight="1">
      <c r="A1626" s="7">
        <v>44360</v>
      </c>
      <c r="B1626" s="10">
        <v>74</v>
      </c>
      <c r="C1626">
        <v>54894</v>
      </c>
      <c r="D1626" s="5">
        <v>7.22</v>
      </c>
      <c r="F1626" s="8">
        <v>100</v>
      </c>
      <c r="G1626" s="8">
        <v>100</v>
      </c>
      <c r="H1626" s="2">
        <f t="shared" si="79"/>
        <v>4188019</v>
      </c>
      <c r="I1626" s="12">
        <f t="shared" si="77"/>
        <v>0.22872500000000001</v>
      </c>
      <c r="J1626" s="12">
        <f t="shared" si="78"/>
        <v>0.23581188063063063</v>
      </c>
    </row>
    <row r="1627" spans="1:10" ht="15" customHeight="1">
      <c r="A1627" s="7">
        <v>44361</v>
      </c>
      <c r="B1627" s="10">
        <v>75</v>
      </c>
      <c r="C1627">
        <v>57440</v>
      </c>
      <c r="D1627" s="5">
        <v>7.52</v>
      </c>
      <c r="F1627" s="8">
        <v>100</v>
      </c>
      <c r="G1627" s="8">
        <v>100</v>
      </c>
      <c r="H1627" s="2">
        <f t="shared" si="79"/>
        <v>4245459</v>
      </c>
      <c r="I1627" s="12">
        <f t="shared" si="77"/>
        <v>0.23933333333333334</v>
      </c>
      <c r="J1627" s="12">
        <f t="shared" si="78"/>
        <v>0.23585883333333332</v>
      </c>
    </row>
    <row r="1628" spans="1:10" ht="15" customHeight="1">
      <c r="A1628" s="7">
        <v>44362</v>
      </c>
      <c r="B1628" s="10">
        <v>76</v>
      </c>
      <c r="C1628">
        <v>53511</v>
      </c>
      <c r="D1628" s="5">
        <v>6.84</v>
      </c>
      <c r="F1628" s="8">
        <v>100</v>
      </c>
      <c r="G1628" s="8">
        <v>100</v>
      </c>
      <c r="H1628" s="2">
        <f t="shared" si="79"/>
        <v>4298970</v>
      </c>
      <c r="I1628" s="12">
        <f t="shared" si="77"/>
        <v>0.22296250000000001</v>
      </c>
      <c r="J1628" s="12">
        <f t="shared" si="78"/>
        <v>0.2356891447368421</v>
      </c>
    </row>
    <row r="1629" spans="1:10" ht="15" customHeight="1">
      <c r="A1629" s="7">
        <v>44363</v>
      </c>
      <c r="B1629" s="10">
        <v>77</v>
      </c>
      <c r="C1629">
        <v>50102</v>
      </c>
      <c r="D1629" s="5">
        <v>6.61</v>
      </c>
      <c r="F1629" s="8">
        <v>100</v>
      </c>
      <c r="G1629" s="8">
        <v>100</v>
      </c>
      <c r="H1629" s="2">
        <f t="shared" si="79"/>
        <v>4349072</v>
      </c>
      <c r="I1629" s="12">
        <f t="shared" si="77"/>
        <v>0.20875833333333332</v>
      </c>
      <c r="J1629" s="12">
        <f t="shared" si="78"/>
        <v>0.23533939393939393</v>
      </c>
    </row>
    <row r="1630" spans="1:10" ht="15" customHeight="1">
      <c r="A1630" s="7">
        <v>44364</v>
      </c>
      <c r="B1630" s="10">
        <v>78</v>
      </c>
      <c r="C1630">
        <v>46213</v>
      </c>
      <c r="D1630" s="5">
        <v>5.52</v>
      </c>
      <c r="F1630" s="8">
        <v>100</v>
      </c>
      <c r="G1630" s="8">
        <v>100</v>
      </c>
      <c r="H1630" s="2">
        <f t="shared" si="79"/>
        <v>4395285</v>
      </c>
      <c r="I1630" s="12">
        <f t="shared" si="77"/>
        <v>0.19255416666666667</v>
      </c>
      <c r="J1630" s="12">
        <f t="shared" si="78"/>
        <v>0.23479086538461538</v>
      </c>
    </row>
    <row r="1631" spans="1:10" ht="15" customHeight="1">
      <c r="A1631" s="7">
        <v>44365</v>
      </c>
      <c r="B1631" s="10">
        <v>79</v>
      </c>
      <c r="C1631">
        <v>44838</v>
      </c>
      <c r="D1631" s="5">
        <v>5.52</v>
      </c>
      <c r="F1631" s="8">
        <v>100</v>
      </c>
      <c r="G1631" s="8">
        <v>100</v>
      </c>
      <c r="H1631" s="2">
        <f t="shared" si="79"/>
        <v>4440123</v>
      </c>
      <c r="I1631" s="12">
        <f t="shared" si="77"/>
        <v>0.18682499999999999</v>
      </c>
      <c r="J1631" s="12">
        <f t="shared" si="78"/>
        <v>0.23418370253164558</v>
      </c>
    </row>
    <row r="1632" spans="1:10" ht="15" customHeight="1">
      <c r="A1632" s="7">
        <v>44366</v>
      </c>
      <c r="B1632" s="10">
        <v>80</v>
      </c>
      <c r="C1632">
        <v>59264</v>
      </c>
      <c r="D1632" s="5">
        <v>8.1</v>
      </c>
      <c r="F1632" s="8">
        <v>100</v>
      </c>
      <c r="G1632" s="8">
        <v>100</v>
      </c>
      <c r="H1632" s="2">
        <f t="shared" si="79"/>
        <v>4499387</v>
      </c>
      <c r="I1632" s="12">
        <f t="shared" si="77"/>
        <v>0.24693333333333334</v>
      </c>
      <c r="J1632" s="12">
        <f t="shared" si="78"/>
        <v>0.23434307291666667</v>
      </c>
    </row>
    <row r="1633" spans="1:10" ht="15" customHeight="1">
      <c r="A1633" s="7">
        <v>44367</v>
      </c>
      <c r="B1633" s="10">
        <v>81</v>
      </c>
      <c r="C1633">
        <v>60080</v>
      </c>
      <c r="D1633" s="5">
        <v>8.02</v>
      </c>
      <c r="F1633" s="8">
        <v>100</v>
      </c>
      <c r="G1633" s="8">
        <v>100</v>
      </c>
      <c r="H1633" s="2">
        <f t="shared" si="79"/>
        <v>4559467</v>
      </c>
      <c r="I1633" s="12">
        <f t="shared" si="77"/>
        <v>0.25033333333333335</v>
      </c>
      <c r="J1633" s="12">
        <f t="shared" si="78"/>
        <v>0.23454048353909465</v>
      </c>
    </row>
    <row r="1634" spans="1:10" ht="15" customHeight="1">
      <c r="A1634" s="7">
        <v>44368</v>
      </c>
      <c r="B1634" s="10">
        <v>82</v>
      </c>
      <c r="C1634">
        <v>56475</v>
      </c>
      <c r="D1634" s="5">
        <v>7.4</v>
      </c>
      <c r="F1634" s="8">
        <v>100</v>
      </c>
      <c r="G1634" s="8">
        <v>100</v>
      </c>
      <c r="H1634" s="2">
        <f t="shared" si="79"/>
        <v>4615942</v>
      </c>
      <c r="I1634" s="12">
        <f t="shared" si="77"/>
        <v>0.23531250000000001</v>
      </c>
      <c r="J1634" s="12">
        <f t="shared" si="78"/>
        <v>0.23454989837398374</v>
      </c>
    </row>
    <row r="1635" spans="1:10" ht="15" customHeight="1">
      <c r="A1635" s="7">
        <v>44369</v>
      </c>
      <c r="B1635" s="10">
        <v>83</v>
      </c>
      <c r="C1635">
        <v>54938</v>
      </c>
      <c r="D1635" s="5">
        <v>7.36</v>
      </c>
      <c r="F1635" s="8">
        <v>100</v>
      </c>
      <c r="G1635" s="8">
        <v>100</v>
      </c>
      <c r="H1635" s="2">
        <f t="shared" si="79"/>
        <v>4670880</v>
      </c>
      <c r="I1635" s="12">
        <f t="shared" si="77"/>
        <v>0.22890833333333332</v>
      </c>
      <c r="J1635" s="12">
        <f t="shared" si="78"/>
        <v>0.23448192771084336</v>
      </c>
    </row>
    <row r="1636" spans="1:10" ht="15" customHeight="1">
      <c r="A1636" s="7">
        <v>44370</v>
      </c>
      <c r="B1636" s="10">
        <v>84</v>
      </c>
      <c r="C1636">
        <v>57987</v>
      </c>
      <c r="D1636" s="5">
        <v>7.81</v>
      </c>
      <c r="F1636" s="8">
        <v>100</v>
      </c>
      <c r="G1636" s="8">
        <v>100</v>
      </c>
      <c r="H1636" s="2">
        <f t="shared" si="79"/>
        <v>4728867</v>
      </c>
      <c r="I1636" s="12">
        <f t="shared" si="77"/>
        <v>0.24161250000000001</v>
      </c>
      <c r="J1636" s="12">
        <f t="shared" si="78"/>
        <v>0.23456681547619049</v>
      </c>
    </row>
    <row r="1637" spans="1:10" ht="15" customHeight="1">
      <c r="A1637" s="7">
        <v>44371</v>
      </c>
      <c r="B1637" s="10">
        <v>85</v>
      </c>
      <c r="C1637">
        <v>57793</v>
      </c>
      <c r="D1637" s="5">
        <v>7.73</v>
      </c>
      <c r="F1637" s="8">
        <v>100</v>
      </c>
      <c r="G1637" s="8">
        <v>100</v>
      </c>
      <c r="H1637" s="2">
        <f t="shared" si="79"/>
        <v>4786660</v>
      </c>
      <c r="I1637" s="12">
        <f t="shared" si="77"/>
        <v>0.24080416666666668</v>
      </c>
      <c r="J1637" s="12">
        <f t="shared" si="78"/>
        <v>0.23464019607843137</v>
      </c>
    </row>
    <row r="1638" spans="1:10" ht="15" customHeight="1">
      <c r="A1638" s="7">
        <v>44372</v>
      </c>
      <c r="B1638" s="10">
        <v>86</v>
      </c>
      <c r="C1638">
        <v>58209</v>
      </c>
      <c r="D1638" s="5">
        <v>7.84</v>
      </c>
      <c r="F1638" s="8">
        <v>100</v>
      </c>
      <c r="G1638" s="8">
        <v>100</v>
      </c>
      <c r="H1638" s="2">
        <f t="shared" si="79"/>
        <v>4844869</v>
      </c>
      <c r="I1638" s="12">
        <f t="shared" si="77"/>
        <v>0.24253749999999999</v>
      </c>
      <c r="J1638" s="12">
        <f t="shared" si="78"/>
        <v>0.23473202519379846</v>
      </c>
    </row>
    <row r="1639" spans="1:10" ht="15" customHeight="1">
      <c r="A1639" s="7">
        <v>44373</v>
      </c>
      <c r="B1639" s="10">
        <v>87</v>
      </c>
      <c r="C1639">
        <v>58905</v>
      </c>
      <c r="D1639" s="5">
        <v>7.96</v>
      </c>
      <c r="F1639" s="8">
        <v>99.624130802480735</v>
      </c>
      <c r="G1639" s="8">
        <v>100</v>
      </c>
      <c r="H1639" s="2">
        <f t="shared" si="79"/>
        <v>4903774</v>
      </c>
      <c r="I1639" s="12">
        <f t="shared" si="77"/>
        <v>0.2454375</v>
      </c>
      <c r="J1639" s="12">
        <f t="shared" si="78"/>
        <v>0.23485507662835248</v>
      </c>
    </row>
    <row r="1640" spans="1:10" ht="15" customHeight="1">
      <c r="A1640" s="7">
        <v>44374</v>
      </c>
      <c r="B1640" s="10">
        <v>88</v>
      </c>
      <c r="C1640">
        <v>52516</v>
      </c>
      <c r="D1640" s="5">
        <v>7.13</v>
      </c>
      <c r="F1640" s="8">
        <v>100</v>
      </c>
      <c r="G1640" s="8">
        <v>100</v>
      </c>
      <c r="H1640" s="2">
        <f t="shared" si="79"/>
        <v>4956290</v>
      </c>
      <c r="I1640" s="12">
        <f t="shared" si="77"/>
        <v>0.21881666666666666</v>
      </c>
      <c r="J1640" s="12">
        <f t="shared" si="78"/>
        <v>0.23467282196969697</v>
      </c>
    </row>
    <row r="1641" spans="1:10" ht="15" customHeight="1">
      <c r="A1641" s="7">
        <v>44375</v>
      </c>
      <c r="B1641" s="10">
        <v>89</v>
      </c>
      <c r="C1641">
        <v>53990</v>
      </c>
      <c r="D1641" s="5">
        <v>7.37</v>
      </c>
      <c r="F1641" s="8">
        <v>100</v>
      </c>
      <c r="G1641" s="8">
        <v>100</v>
      </c>
      <c r="H1641" s="2">
        <f t="shared" si="79"/>
        <v>5010280</v>
      </c>
      <c r="I1641" s="12">
        <f t="shared" si="77"/>
        <v>0.22495833333333334</v>
      </c>
      <c r="J1641" s="12">
        <f t="shared" si="78"/>
        <v>0.23456367041198503</v>
      </c>
    </row>
    <row r="1642" spans="1:10" ht="15" customHeight="1">
      <c r="A1642" s="7">
        <v>44376</v>
      </c>
      <c r="B1642" s="10">
        <v>90</v>
      </c>
      <c r="C1642">
        <v>56362</v>
      </c>
      <c r="D1642" s="5">
        <v>7.6</v>
      </c>
      <c r="F1642" s="8">
        <v>100</v>
      </c>
      <c r="G1642" s="8">
        <v>100</v>
      </c>
      <c r="H1642" s="2">
        <f t="shared" si="79"/>
        <v>5066642</v>
      </c>
      <c r="I1642" s="12">
        <f t="shared" si="77"/>
        <v>0.23484166666666667</v>
      </c>
      <c r="J1642" s="12">
        <f t="shared" si="78"/>
        <v>0.23456675925925927</v>
      </c>
    </row>
    <row r="1643" spans="1:10" ht="15" customHeight="1">
      <c r="A1643" s="7">
        <v>44377</v>
      </c>
      <c r="B1643" s="10">
        <v>91</v>
      </c>
      <c r="C1643">
        <v>58377</v>
      </c>
      <c r="D1643" s="5">
        <v>7.81</v>
      </c>
      <c r="F1643" s="8">
        <v>100</v>
      </c>
      <c r="G1643" s="8">
        <v>100</v>
      </c>
      <c r="H1643" s="2">
        <f t="shared" si="79"/>
        <v>5125019</v>
      </c>
      <c r="I1643" s="12">
        <f t="shared" si="77"/>
        <v>0.2432375</v>
      </c>
      <c r="J1643" s="12">
        <f t="shared" si="78"/>
        <v>0.23466204212454211</v>
      </c>
    </row>
    <row r="1644" spans="1:10" ht="15" customHeight="1">
      <c r="A1644" s="7">
        <v>44378</v>
      </c>
      <c r="B1644" s="10">
        <v>92</v>
      </c>
      <c r="C1644">
        <v>58140</v>
      </c>
      <c r="D1644" s="5">
        <v>7.82</v>
      </c>
      <c r="F1644" s="8">
        <v>100</v>
      </c>
      <c r="G1644" s="8">
        <v>100</v>
      </c>
      <c r="H1644" s="2">
        <f t="shared" si="79"/>
        <v>5183159</v>
      </c>
      <c r="I1644" s="12">
        <f t="shared" si="77"/>
        <v>0.24224999999999999</v>
      </c>
      <c r="J1644" s="12">
        <f t="shared" si="78"/>
        <v>0.23474451992753623</v>
      </c>
    </row>
    <row r="1645" spans="1:10" ht="15" customHeight="1">
      <c r="A1645" s="7">
        <v>44379</v>
      </c>
      <c r="B1645" s="10">
        <v>93</v>
      </c>
      <c r="C1645">
        <v>58315</v>
      </c>
      <c r="D1645" s="5">
        <v>7.66</v>
      </c>
      <c r="F1645" s="8">
        <v>100</v>
      </c>
      <c r="G1645" s="8">
        <v>100</v>
      </c>
      <c r="H1645" s="2">
        <f t="shared" si="79"/>
        <v>5241474</v>
      </c>
      <c r="I1645" s="12">
        <f t="shared" si="77"/>
        <v>0.24297916666666666</v>
      </c>
      <c r="J1645" s="12">
        <f t="shared" si="78"/>
        <v>0.23483306451612904</v>
      </c>
    </row>
    <row r="1646" spans="1:10" ht="15" customHeight="1">
      <c r="A1646" s="7">
        <v>44380</v>
      </c>
      <c r="B1646" s="10">
        <v>94</v>
      </c>
      <c r="C1646">
        <v>58356</v>
      </c>
      <c r="D1646" s="5">
        <v>7.69</v>
      </c>
      <c r="F1646" s="8">
        <v>100</v>
      </c>
      <c r="G1646" s="8">
        <v>100</v>
      </c>
      <c r="H1646" s="2">
        <f t="shared" si="79"/>
        <v>5299830</v>
      </c>
      <c r="I1646" s="12">
        <f t="shared" si="77"/>
        <v>0.24315000000000001</v>
      </c>
      <c r="J1646" s="12">
        <f t="shared" si="78"/>
        <v>0.23492154255319148</v>
      </c>
    </row>
    <row r="1647" spans="1:10" ht="15" customHeight="1">
      <c r="A1647" s="7">
        <v>44381</v>
      </c>
      <c r="B1647" s="10">
        <v>95</v>
      </c>
      <c r="C1647">
        <v>58221</v>
      </c>
      <c r="D1647" s="5">
        <v>7.63</v>
      </c>
      <c r="F1647" s="8">
        <v>100</v>
      </c>
      <c r="G1647" s="8">
        <v>100</v>
      </c>
      <c r="H1647" s="2">
        <f t="shared" si="79"/>
        <v>5358051</v>
      </c>
      <c r="I1647" s="12">
        <f t="shared" si="77"/>
        <v>0.24258750000000001</v>
      </c>
      <c r="J1647" s="12">
        <f t="shared" si="78"/>
        <v>0.23500223684210525</v>
      </c>
    </row>
    <row r="1648" spans="1:10" ht="15" customHeight="1">
      <c r="A1648" s="7">
        <v>44382</v>
      </c>
      <c r="B1648" s="10">
        <v>96</v>
      </c>
      <c r="C1648">
        <v>53717</v>
      </c>
      <c r="D1648" s="5">
        <v>7.26</v>
      </c>
      <c r="F1648" s="8">
        <v>100</v>
      </c>
      <c r="G1648" s="8">
        <v>100</v>
      </c>
      <c r="H1648" s="2">
        <f t="shared" si="79"/>
        <v>5411768</v>
      </c>
      <c r="I1648" s="12">
        <f t="shared" si="77"/>
        <v>0.22382083333333333</v>
      </c>
      <c r="J1648" s="12">
        <f t="shared" si="78"/>
        <v>0.23488576388888888</v>
      </c>
    </row>
    <row r="1649" spans="1:10" ht="15" customHeight="1">
      <c r="A1649" s="7">
        <v>44383</v>
      </c>
      <c r="B1649" s="10">
        <v>97</v>
      </c>
      <c r="C1649">
        <v>56736</v>
      </c>
      <c r="D1649" s="5">
        <v>7.65</v>
      </c>
      <c r="F1649" s="8">
        <v>100</v>
      </c>
      <c r="G1649" s="8">
        <v>100</v>
      </c>
      <c r="H1649" s="2">
        <f t="shared" si="79"/>
        <v>5468504</v>
      </c>
      <c r="I1649" s="12">
        <f t="shared" si="77"/>
        <v>0.2364</v>
      </c>
      <c r="J1649" s="12">
        <f t="shared" si="78"/>
        <v>0.23490137457044674</v>
      </c>
    </row>
    <row r="1650" spans="1:10" ht="15" customHeight="1">
      <c r="A1650" s="7">
        <v>44384</v>
      </c>
      <c r="B1650" s="10">
        <v>98</v>
      </c>
      <c r="C1650">
        <v>59353</v>
      </c>
      <c r="D1650" s="5">
        <v>7.94</v>
      </c>
      <c r="F1650" s="8">
        <v>99.243459073237361</v>
      </c>
      <c r="G1650" s="8">
        <v>100</v>
      </c>
      <c r="H1650" s="2">
        <f t="shared" si="79"/>
        <v>5527857</v>
      </c>
      <c r="I1650" s="12">
        <f t="shared" si="77"/>
        <v>0.24730416666666666</v>
      </c>
      <c r="J1650" s="12">
        <f t="shared" si="78"/>
        <v>0.23502793367346939</v>
      </c>
    </row>
    <row r="1651" spans="1:10" ht="15" customHeight="1">
      <c r="A1651" s="7">
        <v>44385</v>
      </c>
      <c r="B1651" s="10">
        <v>99</v>
      </c>
      <c r="C1651">
        <v>59359</v>
      </c>
      <c r="D1651" s="5">
        <v>7.86</v>
      </c>
      <c r="F1651" s="8">
        <v>100</v>
      </c>
      <c r="G1651" s="8">
        <v>100</v>
      </c>
      <c r="H1651" s="2">
        <f t="shared" si="79"/>
        <v>5587216</v>
      </c>
      <c r="I1651" s="12">
        <f t="shared" si="77"/>
        <v>0.24732916666666666</v>
      </c>
      <c r="J1651" s="12">
        <f t="shared" si="78"/>
        <v>0.23515218855218856</v>
      </c>
    </row>
    <row r="1652" spans="1:10" ht="15" customHeight="1">
      <c r="A1652" s="7">
        <v>44386</v>
      </c>
      <c r="B1652" s="10">
        <v>100</v>
      </c>
      <c r="C1652">
        <v>58801</v>
      </c>
      <c r="D1652" s="5">
        <v>7.73</v>
      </c>
      <c r="F1652" s="8">
        <v>100</v>
      </c>
      <c r="G1652" s="8">
        <v>100</v>
      </c>
      <c r="H1652" s="2">
        <f t="shared" si="79"/>
        <v>5646017</v>
      </c>
      <c r="I1652" s="12">
        <f t="shared" si="77"/>
        <v>0.24500416666666666</v>
      </c>
      <c r="J1652" s="12">
        <f t="shared" si="78"/>
        <v>0.23525070833333334</v>
      </c>
    </row>
    <row r="1653" spans="1:10" ht="15" customHeight="1">
      <c r="A1653" s="7">
        <v>44387</v>
      </c>
      <c r="B1653" s="10">
        <v>101</v>
      </c>
      <c r="C1653">
        <v>54003</v>
      </c>
      <c r="D1653" s="5">
        <v>7</v>
      </c>
      <c r="F1653" s="8">
        <v>100</v>
      </c>
      <c r="G1653" s="8">
        <v>100</v>
      </c>
      <c r="H1653" s="2">
        <f t="shared" si="79"/>
        <v>5700020</v>
      </c>
      <c r="I1653" s="12">
        <f t="shared" si="77"/>
        <v>0.2250125</v>
      </c>
      <c r="J1653" s="12">
        <f t="shared" si="78"/>
        <v>0.2351493399339934</v>
      </c>
    </row>
    <row r="1654" spans="1:10" ht="15" customHeight="1">
      <c r="A1654" s="7">
        <v>44388</v>
      </c>
      <c r="B1654" s="10">
        <v>102</v>
      </c>
      <c r="C1654">
        <v>52274</v>
      </c>
      <c r="D1654" s="5">
        <v>6.86</v>
      </c>
      <c r="F1654" s="8">
        <v>100</v>
      </c>
      <c r="G1654" s="8">
        <v>100</v>
      </c>
      <c r="H1654" s="2">
        <f t="shared" si="79"/>
        <v>5752294</v>
      </c>
      <c r="I1654" s="12">
        <f t="shared" si="77"/>
        <v>0.21780833333333333</v>
      </c>
      <c r="J1654" s="12">
        <f t="shared" si="78"/>
        <v>0.23497933006535948</v>
      </c>
    </row>
    <row r="1655" spans="1:10" ht="15" customHeight="1">
      <c r="A1655" s="7">
        <v>44389</v>
      </c>
      <c r="B1655" s="10">
        <v>103</v>
      </c>
      <c r="C1655">
        <v>46916</v>
      </c>
      <c r="D1655" s="5">
        <v>6.25</v>
      </c>
      <c r="F1655" s="8">
        <v>100</v>
      </c>
      <c r="G1655" s="8">
        <v>100</v>
      </c>
      <c r="H1655" s="2">
        <f t="shared" si="79"/>
        <v>5799210</v>
      </c>
      <c r="I1655" s="12">
        <f t="shared" si="77"/>
        <v>0.19548333333333334</v>
      </c>
      <c r="J1655" s="12">
        <f t="shared" si="78"/>
        <v>0.23459587378640775</v>
      </c>
    </row>
    <row r="1656" spans="1:10" ht="15" customHeight="1">
      <c r="A1656" s="7">
        <v>44390</v>
      </c>
      <c r="B1656" s="10">
        <v>104</v>
      </c>
      <c r="C1656">
        <v>35966</v>
      </c>
      <c r="D1656" s="5">
        <v>6.1</v>
      </c>
      <c r="F1656" s="8">
        <v>100</v>
      </c>
      <c r="G1656" s="8">
        <v>100</v>
      </c>
      <c r="H1656" s="2">
        <f t="shared" si="79"/>
        <v>5835176</v>
      </c>
      <c r="I1656" s="12">
        <f t="shared" si="77"/>
        <v>0.14985833333333334</v>
      </c>
      <c r="J1656" s="12">
        <f t="shared" si="78"/>
        <v>0.23378108974358974</v>
      </c>
    </row>
    <row r="1657" spans="1:10" ht="15" customHeight="1">
      <c r="A1657" s="7">
        <v>44391</v>
      </c>
      <c r="B1657" s="10">
        <v>105</v>
      </c>
      <c r="C1657">
        <v>49303</v>
      </c>
      <c r="D1657" s="5">
        <v>6.49</v>
      </c>
      <c r="F1657" s="8">
        <v>100</v>
      </c>
      <c r="G1657" s="8">
        <v>100</v>
      </c>
      <c r="H1657" s="2">
        <f t="shared" si="79"/>
        <v>5884479</v>
      </c>
      <c r="I1657" s="12">
        <f t="shared" si="77"/>
        <v>0.20542916666666666</v>
      </c>
      <c r="J1657" s="12">
        <f t="shared" si="78"/>
        <v>0.23351107142857142</v>
      </c>
    </row>
    <row r="1658" spans="1:10" ht="15" customHeight="1">
      <c r="A1658" s="7">
        <v>44392</v>
      </c>
      <c r="B1658" s="10">
        <v>106</v>
      </c>
      <c r="C1658">
        <v>60725</v>
      </c>
      <c r="D1658" s="5">
        <v>7.33</v>
      </c>
      <c r="F1658" s="8">
        <v>100</v>
      </c>
      <c r="G1658" s="8">
        <v>100</v>
      </c>
      <c r="H1658" s="2">
        <f t="shared" si="79"/>
        <v>5945204</v>
      </c>
      <c r="I1658" s="12">
        <f t="shared" si="77"/>
        <v>0.25302083333333331</v>
      </c>
      <c r="J1658" s="12">
        <f t="shared" si="78"/>
        <v>0.23369512578616353</v>
      </c>
    </row>
    <row r="1659" spans="1:10" ht="15" customHeight="1">
      <c r="A1659" s="7">
        <v>44393</v>
      </c>
      <c r="B1659" s="10">
        <v>107</v>
      </c>
      <c r="C1659">
        <v>51545</v>
      </c>
      <c r="D1659" s="5">
        <v>6.77</v>
      </c>
      <c r="F1659" s="8">
        <v>100</v>
      </c>
      <c r="G1659" s="8">
        <v>100</v>
      </c>
      <c r="H1659" s="2">
        <f t="shared" si="79"/>
        <v>5996749</v>
      </c>
      <c r="I1659" s="12">
        <f t="shared" si="77"/>
        <v>0.21477083333333333</v>
      </c>
      <c r="J1659" s="12">
        <f t="shared" si="78"/>
        <v>0.2335182632398754</v>
      </c>
    </row>
    <row r="1660" spans="1:10" ht="15" customHeight="1">
      <c r="A1660" s="7">
        <v>44394</v>
      </c>
      <c r="B1660" s="10">
        <v>108</v>
      </c>
      <c r="C1660">
        <v>52023</v>
      </c>
      <c r="D1660" s="5">
        <v>6.77</v>
      </c>
      <c r="F1660" s="8">
        <v>100</v>
      </c>
      <c r="G1660" s="8">
        <v>100</v>
      </c>
      <c r="H1660" s="2">
        <f t="shared" si="79"/>
        <v>6048772</v>
      </c>
      <c r="I1660" s="12">
        <f t="shared" si="77"/>
        <v>0.2167625</v>
      </c>
      <c r="J1660" s="12">
        <f t="shared" si="78"/>
        <v>0.23336311728395062</v>
      </c>
    </row>
    <row r="1661" spans="1:10" ht="15" customHeight="1">
      <c r="A1661" s="7">
        <v>44395</v>
      </c>
      <c r="B1661" s="10">
        <v>109</v>
      </c>
      <c r="C1661">
        <v>51051</v>
      </c>
      <c r="D1661" s="5">
        <v>6.65</v>
      </c>
      <c r="F1661" s="8">
        <v>100</v>
      </c>
      <c r="G1661" s="8">
        <v>100</v>
      </c>
      <c r="H1661" s="2">
        <f t="shared" si="79"/>
        <v>6099823</v>
      </c>
      <c r="I1661" s="12">
        <f t="shared" si="77"/>
        <v>0.2127125</v>
      </c>
      <c r="J1661" s="12">
        <f t="shared" si="78"/>
        <v>0.23317366207951071</v>
      </c>
    </row>
    <row r="1662" spans="1:10" ht="15" customHeight="1">
      <c r="A1662" s="7">
        <v>44396</v>
      </c>
      <c r="B1662" s="10">
        <v>110</v>
      </c>
      <c r="C1662">
        <v>48864</v>
      </c>
      <c r="D1662" s="5">
        <v>6.19</v>
      </c>
      <c r="F1662" s="8">
        <v>100</v>
      </c>
      <c r="G1662" s="8">
        <v>100</v>
      </c>
      <c r="H1662" s="2">
        <f t="shared" si="79"/>
        <v>6148687</v>
      </c>
      <c r="I1662" s="12">
        <f t="shared" si="77"/>
        <v>0.2036</v>
      </c>
      <c r="J1662" s="12">
        <f t="shared" si="78"/>
        <v>0.23290481060606061</v>
      </c>
    </row>
    <row r="1663" spans="1:10" ht="15" customHeight="1">
      <c r="A1663" s="7">
        <v>44397</v>
      </c>
      <c r="B1663" s="10">
        <v>111</v>
      </c>
      <c r="C1663">
        <v>41303</v>
      </c>
      <c r="D1663" s="5">
        <v>5.08</v>
      </c>
      <c r="F1663" s="8">
        <v>100</v>
      </c>
      <c r="G1663" s="8">
        <v>100</v>
      </c>
      <c r="H1663" s="2">
        <f t="shared" si="79"/>
        <v>6189990</v>
      </c>
      <c r="I1663" s="12">
        <f t="shared" si="77"/>
        <v>0.17209583333333334</v>
      </c>
      <c r="J1663" s="12">
        <f t="shared" si="78"/>
        <v>0.23235698198198199</v>
      </c>
    </row>
    <row r="1664" spans="1:10" ht="15" customHeight="1">
      <c r="A1664" s="7">
        <v>44398</v>
      </c>
      <c r="B1664" s="10">
        <v>112</v>
      </c>
      <c r="C1664">
        <v>45653</v>
      </c>
      <c r="D1664" s="5">
        <v>5.95</v>
      </c>
      <c r="F1664" s="8">
        <v>100</v>
      </c>
      <c r="G1664" s="8">
        <v>100</v>
      </c>
      <c r="H1664" s="2">
        <f t="shared" si="79"/>
        <v>6235643</v>
      </c>
      <c r="I1664" s="12">
        <f t="shared" si="77"/>
        <v>0.19022083333333334</v>
      </c>
      <c r="J1664" s="12">
        <f t="shared" si="78"/>
        <v>0.23198076636904763</v>
      </c>
    </row>
    <row r="1665" spans="1:10" ht="15" customHeight="1">
      <c r="A1665" s="7">
        <v>44399</v>
      </c>
      <c r="B1665" s="10">
        <v>113</v>
      </c>
      <c r="C1665">
        <v>55244</v>
      </c>
      <c r="D1665" s="5">
        <v>6.92</v>
      </c>
      <c r="F1665" s="8">
        <v>100</v>
      </c>
      <c r="G1665" s="8">
        <v>100</v>
      </c>
      <c r="H1665" s="2">
        <f t="shared" si="79"/>
        <v>6290887</v>
      </c>
      <c r="I1665" s="12">
        <f t="shared" si="77"/>
        <v>0.23018333333333332</v>
      </c>
      <c r="J1665" s="12">
        <f t="shared" si="78"/>
        <v>0.23196485988200591</v>
      </c>
    </row>
    <row r="1666" spans="1:10" ht="15" customHeight="1">
      <c r="A1666" s="7">
        <v>44400</v>
      </c>
      <c r="B1666" s="10">
        <v>114</v>
      </c>
      <c r="C1666">
        <v>46351</v>
      </c>
      <c r="D1666" s="5">
        <v>5.86</v>
      </c>
      <c r="F1666" s="8">
        <v>100</v>
      </c>
      <c r="G1666" s="8">
        <v>100</v>
      </c>
      <c r="H1666" s="2">
        <f t="shared" si="79"/>
        <v>6337238</v>
      </c>
      <c r="I1666" s="12">
        <f t="shared" si="77"/>
        <v>0.19312916666666666</v>
      </c>
      <c r="J1666" s="12">
        <f t="shared" si="78"/>
        <v>0.23162419590643274</v>
      </c>
    </row>
    <row r="1667" spans="1:10" ht="15" customHeight="1">
      <c r="A1667" s="7">
        <v>44401</v>
      </c>
      <c r="B1667" s="10">
        <v>115</v>
      </c>
      <c r="C1667">
        <v>52877</v>
      </c>
      <c r="D1667" s="5">
        <v>7.14</v>
      </c>
      <c r="F1667" s="8">
        <v>100</v>
      </c>
      <c r="G1667" s="8">
        <v>100</v>
      </c>
      <c r="H1667" s="2">
        <f t="shared" si="79"/>
        <v>6390115</v>
      </c>
      <c r="I1667" s="12">
        <f t="shared" ref="I1667:I1730" si="80">C1667/(10*24*1000)</f>
        <v>0.22032083333333333</v>
      </c>
      <c r="J1667" s="12">
        <f t="shared" si="78"/>
        <v>0.23152590579710144</v>
      </c>
    </row>
    <row r="1668" spans="1:10" ht="15" customHeight="1">
      <c r="A1668" s="7">
        <v>44402</v>
      </c>
      <c r="B1668" s="10">
        <v>116</v>
      </c>
      <c r="C1668">
        <v>39671</v>
      </c>
      <c r="D1668" s="5">
        <v>5.14</v>
      </c>
      <c r="F1668" s="8">
        <v>100</v>
      </c>
      <c r="G1668" s="8">
        <v>100</v>
      </c>
      <c r="H1668" s="2">
        <f t="shared" si="79"/>
        <v>6429786</v>
      </c>
      <c r="I1668" s="12">
        <f t="shared" si="80"/>
        <v>0.16529583333333334</v>
      </c>
      <c r="J1668" s="12">
        <f t="shared" ref="J1668:J1731" si="81">H1668/(24*B1668*10*1000)</f>
        <v>0.23095495689655171</v>
      </c>
    </row>
    <row r="1669" spans="1:10" ht="15" customHeight="1">
      <c r="A1669" s="7">
        <v>44403</v>
      </c>
      <c r="B1669" s="10">
        <v>117</v>
      </c>
      <c r="C1669">
        <v>47792</v>
      </c>
      <c r="D1669" s="5">
        <v>6.03</v>
      </c>
      <c r="F1669" s="8">
        <v>100</v>
      </c>
      <c r="G1669" s="8">
        <v>100</v>
      </c>
      <c r="H1669" s="2">
        <f t="shared" si="79"/>
        <v>6477578</v>
      </c>
      <c r="I1669" s="12">
        <f t="shared" si="80"/>
        <v>0.19913333333333333</v>
      </c>
      <c r="J1669" s="12">
        <f t="shared" si="81"/>
        <v>0.2306829772079772</v>
      </c>
    </row>
    <row r="1670" spans="1:10" ht="15" customHeight="1">
      <c r="A1670" s="7">
        <v>44404</v>
      </c>
      <c r="B1670" s="10">
        <v>118</v>
      </c>
      <c r="C1670">
        <v>34087</v>
      </c>
      <c r="D1670" s="5">
        <v>4.78</v>
      </c>
      <c r="F1670" s="8">
        <v>100</v>
      </c>
      <c r="G1670" s="8">
        <v>100</v>
      </c>
      <c r="H1670" s="2">
        <f t="shared" si="79"/>
        <v>6511665</v>
      </c>
      <c r="I1670" s="12">
        <f t="shared" si="80"/>
        <v>0.14202916666666668</v>
      </c>
      <c r="J1670" s="12">
        <f t="shared" si="81"/>
        <v>0.22993167372881357</v>
      </c>
    </row>
    <row r="1671" spans="1:10" ht="15" customHeight="1">
      <c r="A1671" s="7">
        <v>44405</v>
      </c>
      <c r="B1671" s="10">
        <v>119</v>
      </c>
      <c r="C1671">
        <v>25197</v>
      </c>
      <c r="D1671" s="5">
        <v>3.06</v>
      </c>
      <c r="F1671" s="8">
        <v>98.571394893797589</v>
      </c>
      <c r="G1671" s="8">
        <v>100</v>
      </c>
      <c r="H1671" s="2">
        <f t="shared" si="79"/>
        <v>6536862</v>
      </c>
      <c r="I1671" s="12">
        <f t="shared" si="80"/>
        <v>0.1049875</v>
      </c>
      <c r="J1671" s="12">
        <f t="shared" si="81"/>
        <v>0.22888172268907564</v>
      </c>
    </row>
    <row r="1672" spans="1:10" ht="15" customHeight="1">
      <c r="A1672" s="7">
        <v>44406</v>
      </c>
      <c r="B1672" s="10">
        <v>120</v>
      </c>
      <c r="C1672">
        <v>38867</v>
      </c>
      <c r="D1672" s="5">
        <v>4.29</v>
      </c>
      <c r="F1672" s="8">
        <v>100</v>
      </c>
      <c r="G1672" s="8">
        <v>100</v>
      </c>
      <c r="H1672" s="2">
        <f t="shared" si="79"/>
        <v>6575729</v>
      </c>
      <c r="I1672" s="12">
        <f t="shared" si="80"/>
        <v>0.16194583333333334</v>
      </c>
      <c r="J1672" s="12">
        <f t="shared" si="81"/>
        <v>0.22832392361111112</v>
      </c>
    </row>
    <row r="1673" spans="1:10" ht="15" customHeight="1">
      <c r="A1673" s="7">
        <v>44407</v>
      </c>
      <c r="B1673" s="10">
        <v>121</v>
      </c>
      <c r="C1673">
        <v>52070</v>
      </c>
      <c r="D1673" s="5">
        <v>6.48</v>
      </c>
      <c r="F1673" s="8">
        <v>100</v>
      </c>
      <c r="G1673" s="8">
        <v>100</v>
      </c>
      <c r="H1673" s="2">
        <f t="shared" si="79"/>
        <v>6627799</v>
      </c>
      <c r="I1673" s="12">
        <f t="shared" si="80"/>
        <v>0.21695833333333334</v>
      </c>
      <c r="J1673" s="12">
        <f t="shared" si="81"/>
        <v>0.22822999311294767</v>
      </c>
    </row>
    <row r="1674" spans="1:10" ht="15" customHeight="1">
      <c r="A1674" s="7">
        <v>44408</v>
      </c>
      <c r="B1674" s="10">
        <v>122</v>
      </c>
      <c r="C1674">
        <v>37401</v>
      </c>
      <c r="D1674" s="5">
        <v>4.47</v>
      </c>
      <c r="F1674" s="8">
        <v>98.910317391680351</v>
      </c>
      <c r="G1674" s="8">
        <v>100</v>
      </c>
      <c r="H1674" s="2">
        <f t="shared" si="79"/>
        <v>6665200</v>
      </c>
      <c r="I1674" s="12">
        <f t="shared" si="80"/>
        <v>0.15583749999999999</v>
      </c>
      <c r="J1674" s="12">
        <f t="shared" si="81"/>
        <v>0.22763661202185792</v>
      </c>
    </row>
    <row r="1675" spans="1:10" ht="15" customHeight="1">
      <c r="A1675" s="7">
        <v>44409</v>
      </c>
      <c r="B1675" s="10">
        <v>123</v>
      </c>
      <c r="C1675">
        <v>30500</v>
      </c>
      <c r="D1675" s="5">
        <v>3.4</v>
      </c>
      <c r="F1675" s="8">
        <v>100</v>
      </c>
      <c r="G1675" s="8">
        <v>100</v>
      </c>
      <c r="H1675" s="2">
        <f t="shared" si="79"/>
        <v>6695700</v>
      </c>
      <c r="I1675" s="12">
        <f t="shared" si="80"/>
        <v>0.12708333333333333</v>
      </c>
      <c r="J1675" s="12">
        <f t="shared" si="81"/>
        <v>0.2268191056910569</v>
      </c>
    </row>
    <row r="1676" spans="1:10" ht="15" customHeight="1">
      <c r="A1676" s="7">
        <v>44410</v>
      </c>
      <c r="B1676" s="10">
        <v>124</v>
      </c>
      <c r="C1676">
        <v>50740</v>
      </c>
      <c r="D1676" s="5">
        <v>6.14</v>
      </c>
      <c r="F1676" s="8">
        <v>100</v>
      </c>
      <c r="G1676" s="8">
        <v>100</v>
      </c>
      <c r="H1676" s="2">
        <f t="shared" si="79"/>
        <v>6746440</v>
      </c>
      <c r="I1676" s="12">
        <f t="shared" si="80"/>
        <v>0.21141666666666667</v>
      </c>
      <c r="J1676" s="12">
        <f t="shared" si="81"/>
        <v>0.22669489247311828</v>
      </c>
    </row>
    <row r="1677" spans="1:10" ht="15" customHeight="1">
      <c r="A1677" s="7">
        <v>44411</v>
      </c>
      <c r="B1677" s="10">
        <v>125</v>
      </c>
      <c r="C1677">
        <v>55747</v>
      </c>
      <c r="D1677" s="5">
        <v>7.16</v>
      </c>
      <c r="F1677" s="8">
        <v>100</v>
      </c>
      <c r="G1677" s="8">
        <v>100</v>
      </c>
      <c r="H1677" s="2">
        <f t="shared" si="79"/>
        <v>6802187</v>
      </c>
      <c r="I1677" s="12">
        <f t="shared" si="80"/>
        <v>0.23227916666666668</v>
      </c>
      <c r="J1677" s="12">
        <f t="shared" si="81"/>
        <v>0.22673956666666667</v>
      </c>
    </row>
    <row r="1678" spans="1:10" ht="15" customHeight="1">
      <c r="A1678" s="7">
        <v>44412</v>
      </c>
      <c r="B1678" s="10">
        <v>126</v>
      </c>
      <c r="C1678">
        <v>52903</v>
      </c>
      <c r="D1678" s="5">
        <v>6.73</v>
      </c>
      <c r="F1678" s="8">
        <v>100</v>
      </c>
      <c r="G1678" s="8">
        <v>100</v>
      </c>
      <c r="H1678" s="2">
        <f t="shared" si="79"/>
        <v>6855090</v>
      </c>
      <c r="I1678" s="12">
        <f t="shared" si="80"/>
        <v>0.22042916666666668</v>
      </c>
      <c r="J1678" s="12">
        <f t="shared" si="81"/>
        <v>0.22668948412698411</v>
      </c>
    </row>
    <row r="1679" spans="1:10" ht="15" customHeight="1">
      <c r="A1679" s="7">
        <v>44413</v>
      </c>
      <c r="B1679" s="10">
        <v>127</v>
      </c>
      <c r="C1679">
        <v>55836</v>
      </c>
      <c r="D1679" s="5">
        <v>7.05</v>
      </c>
      <c r="F1679" s="8">
        <v>100</v>
      </c>
      <c r="G1679" s="8">
        <v>100</v>
      </c>
      <c r="H1679" s="2">
        <f t="shared" si="79"/>
        <v>6910926</v>
      </c>
      <c r="I1679" s="12">
        <f t="shared" si="80"/>
        <v>0.23265</v>
      </c>
      <c r="J1679" s="12">
        <f t="shared" si="81"/>
        <v>0.22673641732283464</v>
      </c>
    </row>
    <row r="1680" spans="1:10" ht="15" customHeight="1">
      <c r="A1680" s="7">
        <v>44414</v>
      </c>
      <c r="B1680" s="10">
        <v>128</v>
      </c>
      <c r="C1680">
        <v>55565</v>
      </c>
      <c r="D1680" s="5">
        <v>6.93</v>
      </c>
      <c r="F1680" s="8">
        <v>100</v>
      </c>
      <c r="G1680" s="8">
        <v>100</v>
      </c>
      <c r="H1680" s="2">
        <f t="shared" si="79"/>
        <v>6966491</v>
      </c>
      <c r="I1680" s="12">
        <f t="shared" si="80"/>
        <v>0.23152083333333334</v>
      </c>
      <c r="J1680" s="12">
        <f t="shared" si="81"/>
        <v>0.22677379557291666</v>
      </c>
    </row>
    <row r="1681" spans="1:10" ht="15" customHeight="1">
      <c r="A1681" s="7">
        <v>44415</v>
      </c>
      <c r="B1681" s="10">
        <v>129</v>
      </c>
      <c r="C1681">
        <v>54543</v>
      </c>
      <c r="D1681" s="5">
        <v>6.76</v>
      </c>
      <c r="F1681" s="8">
        <v>100</v>
      </c>
      <c r="G1681" s="8">
        <v>100</v>
      </c>
      <c r="H1681" s="2">
        <f t="shared" si="79"/>
        <v>7021034</v>
      </c>
      <c r="I1681" s="12">
        <f t="shared" si="80"/>
        <v>0.22726250000000001</v>
      </c>
      <c r="J1681" s="12">
        <f t="shared" si="81"/>
        <v>0.22677758397932818</v>
      </c>
    </row>
    <row r="1682" spans="1:10" ht="15" customHeight="1">
      <c r="A1682" s="7">
        <v>44416</v>
      </c>
      <c r="B1682" s="10">
        <v>130</v>
      </c>
      <c r="C1682">
        <v>56505</v>
      </c>
      <c r="D1682" s="5">
        <v>6.99</v>
      </c>
      <c r="F1682" s="8">
        <v>100</v>
      </c>
      <c r="G1682" s="8">
        <v>100</v>
      </c>
      <c r="H1682" s="2">
        <f t="shared" ref="H1682:H1745" si="82">H1681+C1682</f>
        <v>7077539</v>
      </c>
      <c r="I1682" s="12">
        <f t="shared" si="80"/>
        <v>0.23543749999999999</v>
      </c>
      <c r="J1682" s="12">
        <f t="shared" si="81"/>
        <v>0.22684419871794873</v>
      </c>
    </row>
    <row r="1683" spans="1:10" ht="15" customHeight="1">
      <c r="A1683" s="7">
        <v>44417</v>
      </c>
      <c r="B1683" s="10">
        <v>131</v>
      </c>
      <c r="C1683">
        <v>56709</v>
      </c>
      <c r="D1683" s="5">
        <v>7</v>
      </c>
      <c r="F1683" s="8">
        <v>100</v>
      </c>
      <c r="G1683" s="8">
        <v>100</v>
      </c>
      <c r="H1683" s="2">
        <f t="shared" si="82"/>
        <v>7134248</v>
      </c>
      <c r="I1683" s="12">
        <f t="shared" si="80"/>
        <v>0.23628750000000001</v>
      </c>
      <c r="J1683" s="12">
        <f t="shared" si="81"/>
        <v>0.22691628498727737</v>
      </c>
    </row>
    <row r="1684" spans="1:10" ht="15" customHeight="1">
      <c r="A1684" s="7">
        <v>44418</v>
      </c>
      <c r="B1684" s="10">
        <v>132</v>
      </c>
      <c r="C1684">
        <v>59138</v>
      </c>
      <c r="D1684" s="5">
        <v>7.27</v>
      </c>
      <c r="F1684" s="8">
        <v>100</v>
      </c>
      <c r="G1684" s="8">
        <v>100</v>
      </c>
      <c r="H1684" s="2">
        <f t="shared" si="82"/>
        <v>7193386</v>
      </c>
      <c r="I1684" s="12">
        <f t="shared" si="80"/>
        <v>0.24640833333333334</v>
      </c>
      <c r="J1684" s="12">
        <f t="shared" si="81"/>
        <v>0.22706395202020202</v>
      </c>
    </row>
    <row r="1685" spans="1:10" ht="15" customHeight="1">
      <c r="A1685" s="7">
        <v>44419</v>
      </c>
      <c r="B1685" s="10">
        <v>133</v>
      </c>
      <c r="C1685">
        <v>60546</v>
      </c>
      <c r="D1685" s="5">
        <v>7.37</v>
      </c>
      <c r="F1685" s="8">
        <v>100</v>
      </c>
      <c r="G1685" s="8">
        <v>100</v>
      </c>
      <c r="H1685" s="2">
        <f t="shared" si="82"/>
        <v>7253932</v>
      </c>
      <c r="I1685" s="12">
        <f t="shared" si="80"/>
        <v>0.25227500000000003</v>
      </c>
      <c r="J1685" s="12">
        <f t="shared" si="81"/>
        <v>0.22725350877192982</v>
      </c>
    </row>
    <row r="1686" spans="1:10" ht="15" customHeight="1">
      <c r="A1686" s="7">
        <v>44420</v>
      </c>
      <c r="B1686" s="10">
        <v>134</v>
      </c>
      <c r="C1686">
        <v>60765</v>
      </c>
      <c r="D1686" s="5">
        <v>7.45</v>
      </c>
      <c r="F1686" s="8">
        <v>100</v>
      </c>
      <c r="G1686" s="8">
        <v>100</v>
      </c>
      <c r="H1686" s="2">
        <f t="shared" si="82"/>
        <v>7314697</v>
      </c>
      <c r="I1686" s="12">
        <f t="shared" si="80"/>
        <v>0.25318750000000001</v>
      </c>
      <c r="J1686" s="12">
        <f t="shared" si="81"/>
        <v>0.22744704601990048</v>
      </c>
    </row>
    <row r="1687" spans="1:10" ht="15" customHeight="1">
      <c r="A1687" s="7">
        <v>44421</v>
      </c>
      <c r="B1687" s="10">
        <v>135</v>
      </c>
      <c r="C1687">
        <v>58317</v>
      </c>
      <c r="D1687" s="5">
        <v>7.1580246248245238</v>
      </c>
      <c r="F1687" s="8">
        <v>100</v>
      </c>
      <c r="G1687" s="8">
        <v>100</v>
      </c>
      <c r="H1687" s="2">
        <f t="shared" si="82"/>
        <v>7373014</v>
      </c>
      <c r="I1687" s="12">
        <f t="shared" si="80"/>
        <v>0.2429875</v>
      </c>
      <c r="J1687" s="12">
        <f t="shared" si="81"/>
        <v>0.22756216049382716</v>
      </c>
    </row>
    <row r="1688" spans="1:10" ht="15" customHeight="1">
      <c r="A1688" s="7">
        <v>44422</v>
      </c>
      <c r="B1688" s="10">
        <v>136</v>
      </c>
      <c r="C1688">
        <v>59989</v>
      </c>
      <c r="D1688" s="5">
        <v>7.3</v>
      </c>
      <c r="F1688" s="8">
        <v>100</v>
      </c>
      <c r="G1688" s="8">
        <v>100</v>
      </c>
      <c r="H1688" s="2">
        <f t="shared" si="82"/>
        <v>7433003</v>
      </c>
      <c r="I1688" s="12">
        <f t="shared" si="80"/>
        <v>0.24995416666666667</v>
      </c>
      <c r="J1688" s="12">
        <f t="shared" si="81"/>
        <v>0.2277268075980392</v>
      </c>
    </row>
    <row r="1689" spans="1:10" ht="15" customHeight="1">
      <c r="A1689" s="7">
        <v>44423</v>
      </c>
      <c r="B1689" s="10">
        <v>137</v>
      </c>
      <c r="C1689">
        <v>61270</v>
      </c>
      <c r="D1689" s="5">
        <v>7.38</v>
      </c>
      <c r="F1689" s="8">
        <v>100</v>
      </c>
      <c r="G1689" s="8">
        <v>100</v>
      </c>
      <c r="H1689" s="2">
        <f t="shared" si="82"/>
        <v>7494273</v>
      </c>
      <c r="I1689" s="12">
        <f t="shared" si="80"/>
        <v>0.25529166666666664</v>
      </c>
      <c r="J1689" s="12">
        <f t="shared" si="81"/>
        <v>0.22792801094890511</v>
      </c>
    </row>
    <row r="1690" spans="1:10" ht="15" customHeight="1">
      <c r="A1690" s="7">
        <v>44424</v>
      </c>
      <c r="B1690" s="10">
        <v>138</v>
      </c>
      <c r="C1690">
        <v>55446</v>
      </c>
      <c r="D1690" s="5">
        <v>7.1670207826614378</v>
      </c>
      <c r="F1690" s="8">
        <v>99.501965923984272</v>
      </c>
      <c r="G1690" s="8">
        <v>99.166666666666671</v>
      </c>
      <c r="H1690" s="2">
        <f t="shared" si="82"/>
        <v>7549719</v>
      </c>
      <c r="I1690" s="12">
        <f t="shared" si="80"/>
        <v>0.23102500000000001</v>
      </c>
      <c r="J1690" s="12">
        <f t="shared" si="81"/>
        <v>0.22795045289855073</v>
      </c>
    </row>
    <row r="1691" spans="1:10" ht="15" customHeight="1">
      <c r="A1691" s="7">
        <v>44425</v>
      </c>
      <c r="B1691" s="10">
        <v>139</v>
      </c>
      <c r="C1691">
        <v>57909</v>
      </c>
      <c r="D1691" s="5">
        <v>7.1787867190519972</v>
      </c>
      <c r="F1691" s="8">
        <v>100</v>
      </c>
      <c r="G1691" s="8">
        <v>100</v>
      </c>
      <c r="H1691" s="2">
        <f t="shared" si="82"/>
        <v>7607628</v>
      </c>
      <c r="I1691" s="12">
        <f t="shared" si="80"/>
        <v>0.24128749999999999</v>
      </c>
      <c r="J1691" s="12">
        <f t="shared" si="81"/>
        <v>0.22804640287769784</v>
      </c>
    </row>
    <row r="1692" spans="1:10" ht="15" customHeight="1">
      <c r="A1692" s="7">
        <v>44426</v>
      </c>
      <c r="B1692" s="10">
        <v>140</v>
      </c>
      <c r="C1692">
        <v>57856</v>
      </c>
      <c r="D1692" s="5">
        <v>7.29</v>
      </c>
      <c r="F1692" s="8">
        <v>100</v>
      </c>
      <c r="G1692" s="8">
        <v>100</v>
      </c>
      <c r="H1692" s="2">
        <f t="shared" si="82"/>
        <v>7665484</v>
      </c>
      <c r="I1692" s="12">
        <f t="shared" si="80"/>
        <v>0.24106666666666668</v>
      </c>
      <c r="J1692" s="12">
        <f t="shared" si="81"/>
        <v>0.22813940476190475</v>
      </c>
    </row>
    <row r="1693" spans="1:10" ht="15" customHeight="1">
      <c r="A1693" s="7">
        <v>44427</v>
      </c>
      <c r="B1693" s="10">
        <v>141</v>
      </c>
      <c r="C1693">
        <v>58823</v>
      </c>
      <c r="D1693" s="5">
        <v>7.42</v>
      </c>
      <c r="F1693" s="8">
        <v>100</v>
      </c>
      <c r="G1693" s="8">
        <v>100</v>
      </c>
      <c r="H1693" s="2">
        <f t="shared" si="82"/>
        <v>7724307</v>
      </c>
      <c r="I1693" s="12">
        <f t="shared" si="80"/>
        <v>0.24509583333333335</v>
      </c>
      <c r="J1693" s="12">
        <f t="shared" si="81"/>
        <v>0.22825966312056736</v>
      </c>
    </row>
    <row r="1694" spans="1:10" ht="15" customHeight="1">
      <c r="A1694" s="7">
        <v>44428</v>
      </c>
      <c r="B1694" s="10">
        <v>142</v>
      </c>
      <c r="C1694">
        <v>54234</v>
      </c>
      <c r="D1694" s="5">
        <v>6.85</v>
      </c>
      <c r="F1694" s="8">
        <v>100</v>
      </c>
      <c r="G1694" s="8">
        <v>100</v>
      </c>
      <c r="H1694" s="2">
        <f t="shared" si="82"/>
        <v>7778541</v>
      </c>
      <c r="I1694" s="12">
        <f t="shared" si="80"/>
        <v>0.22597500000000001</v>
      </c>
      <c r="J1694" s="12">
        <f t="shared" si="81"/>
        <v>0.22824357394366196</v>
      </c>
    </row>
    <row r="1695" spans="1:10" ht="15" customHeight="1">
      <c r="A1695" s="7">
        <v>44429</v>
      </c>
      <c r="B1695" s="10">
        <v>143</v>
      </c>
      <c r="C1695">
        <v>52084</v>
      </c>
      <c r="D1695" s="5">
        <v>6.55</v>
      </c>
      <c r="F1695" s="8">
        <v>100</v>
      </c>
      <c r="G1695" s="8">
        <v>100</v>
      </c>
      <c r="H1695" s="2">
        <f t="shared" si="82"/>
        <v>7830625</v>
      </c>
      <c r="I1695" s="12">
        <f t="shared" si="80"/>
        <v>0.21701666666666666</v>
      </c>
      <c r="J1695" s="12">
        <f t="shared" si="81"/>
        <v>0.2281650641025641</v>
      </c>
    </row>
    <row r="1696" spans="1:10" ht="15" customHeight="1">
      <c r="A1696" s="7">
        <v>44430</v>
      </c>
      <c r="B1696" s="10">
        <v>144</v>
      </c>
      <c r="C1696">
        <v>30648</v>
      </c>
      <c r="D1696" s="5">
        <v>3.81</v>
      </c>
      <c r="F1696" s="8">
        <v>100</v>
      </c>
      <c r="G1696" s="8">
        <v>100</v>
      </c>
      <c r="H1696" s="2">
        <f t="shared" si="82"/>
        <v>7861273</v>
      </c>
      <c r="I1696" s="12">
        <f t="shared" si="80"/>
        <v>0.12770000000000001</v>
      </c>
      <c r="J1696" s="12">
        <f t="shared" si="81"/>
        <v>0.22746739004629629</v>
      </c>
    </row>
    <row r="1697" spans="1:10" ht="15" customHeight="1">
      <c r="A1697" s="7">
        <v>44431</v>
      </c>
      <c r="B1697" s="10">
        <v>145</v>
      </c>
      <c r="C1697">
        <v>51960</v>
      </c>
      <c r="D1697" s="5">
        <v>6.61</v>
      </c>
      <c r="F1697" s="8">
        <v>100</v>
      </c>
      <c r="G1697" s="8">
        <v>100</v>
      </c>
      <c r="H1697" s="2">
        <f t="shared" si="82"/>
        <v>7913233</v>
      </c>
      <c r="I1697" s="12">
        <f t="shared" si="80"/>
        <v>0.2165</v>
      </c>
      <c r="J1697" s="12">
        <f t="shared" si="81"/>
        <v>0.22739175287356322</v>
      </c>
    </row>
    <row r="1698" spans="1:10" ht="15" customHeight="1">
      <c r="A1698" s="7">
        <v>44432</v>
      </c>
      <c r="B1698" s="10">
        <v>146</v>
      </c>
      <c r="C1698">
        <v>58611</v>
      </c>
      <c r="D1698" s="5">
        <v>7.31</v>
      </c>
      <c r="F1698" s="8">
        <v>100</v>
      </c>
      <c r="G1698" s="8">
        <v>100</v>
      </c>
      <c r="H1698" s="2">
        <f t="shared" si="82"/>
        <v>7971844</v>
      </c>
      <c r="I1698" s="12">
        <f t="shared" si="80"/>
        <v>0.2442125</v>
      </c>
      <c r="J1698" s="12">
        <f t="shared" si="81"/>
        <v>0.22750696347031962</v>
      </c>
    </row>
    <row r="1699" spans="1:10" ht="15" customHeight="1">
      <c r="A1699" s="7">
        <v>44433</v>
      </c>
      <c r="B1699" s="10">
        <v>147</v>
      </c>
      <c r="C1699">
        <v>60125</v>
      </c>
      <c r="D1699" s="5">
        <v>7.29</v>
      </c>
      <c r="F1699" s="8">
        <v>99.664031177906693</v>
      </c>
      <c r="G1699" s="8">
        <v>100</v>
      </c>
      <c r="H1699" s="2">
        <f t="shared" si="82"/>
        <v>8031969</v>
      </c>
      <c r="I1699" s="12">
        <f t="shared" si="80"/>
        <v>0.25052083333333336</v>
      </c>
      <c r="J1699" s="12">
        <f t="shared" si="81"/>
        <v>0.22766352040816326</v>
      </c>
    </row>
    <row r="1700" spans="1:10" ht="15" customHeight="1">
      <c r="A1700" s="7">
        <v>44434</v>
      </c>
      <c r="B1700" s="10">
        <v>148</v>
      </c>
      <c r="C1700">
        <v>60172</v>
      </c>
      <c r="D1700" s="5">
        <v>7.4</v>
      </c>
      <c r="F1700" s="8">
        <v>100</v>
      </c>
      <c r="G1700" s="8">
        <v>100</v>
      </c>
      <c r="H1700" s="2">
        <f t="shared" si="82"/>
        <v>8092141</v>
      </c>
      <c r="I1700" s="12">
        <f t="shared" si="80"/>
        <v>0.25071666666666664</v>
      </c>
      <c r="J1700" s="12">
        <f t="shared" si="81"/>
        <v>0.22781928490990991</v>
      </c>
    </row>
    <row r="1701" spans="1:10" ht="15" customHeight="1">
      <c r="A1701" s="7">
        <v>44435</v>
      </c>
      <c r="B1701" s="10">
        <v>149</v>
      </c>
      <c r="C1701">
        <v>60438</v>
      </c>
      <c r="D1701" s="5">
        <v>7.48</v>
      </c>
      <c r="F1701" s="8">
        <v>100</v>
      </c>
      <c r="G1701" s="8">
        <v>100</v>
      </c>
      <c r="H1701" s="2">
        <f t="shared" si="82"/>
        <v>8152579</v>
      </c>
      <c r="I1701" s="12">
        <f t="shared" si="80"/>
        <v>0.25182500000000002</v>
      </c>
      <c r="J1701" s="12">
        <f t="shared" si="81"/>
        <v>0.2279803970917226</v>
      </c>
    </row>
    <row r="1702" spans="1:10" ht="15" customHeight="1">
      <c r="A1702" s="7">
        <v>44436</v>
      </c>
      <c r="B1702" s="10">
        <v>150</v>
      </c>
      <c r="C1702">
        <v>54951</v>
      </c>
      <c r="D1702" s="5">
        <v>6.94</v>
      </c>
      <c r="F1702" s="8">
        <v>100</v>
      </c>
      <c r="G1702" s="8">
        <v>100</v>
      </c>
      <c r="H1702" s="2">
        <f t="shared" si="82"/>
        <v>8207530</v>
      </c>
      <c r="I1702" s="12">
        <f t="shared" si="80"/>
        <v>0.22896250000000001</v>
      </c>
      <c r="J1702" s="12">
        <f t="shared" si="81"/>
        <v>0.22798694444444445</v>
      </c>
    </row>
    <row r="1703" spans="1:10" ht="15" customHeight="1">
      <c r="A1703" s="7">
        <v>44437</v>
      </c>
      <c r="B1703" s="10">
        <v>151</v>
      </c>
      <c r="C1703">
        <v>55626</v>
      </c>
      <c r="D1703" s="5">
        <v>7.02</v>
      </c>
      <c r="F1703" s="8">
        <v>100</v>
      </c>
      <c r="G1703" s="8">
        <v>100</v>
      </c>
      <c r="H1703" s="2">
        <f t="shared" si="82"/>
        <v>8263156</v>
      </c>
      <c r="I1703" s="12">
        <f t="shared" si="80"/>
        <v>0.23177500000000001</v>
      </c>
      <c r="J1703" s="12">
        <f t="shared" si="81"/>
        <v>0.22801203090507727</v>
      </c>
    </row>
    <row r="1704" spans="1:10" ht="15" customHeight="1">
      <c r="A1704" s="7">
        <v>44438</v>
      </c>
      <c r="B1704" s="10">
        <v>152</v>
      </c>
      <c r="C1704">
        <v>35679</v>
      </c>
      <c r="D1704" s="5">
        <v>4.3099999999999996</v>
      </c>
      <c r="F1704" s="8">
        <v>100</v>
      </c>
      <c r="G1704" s="8">
        <v>100</v>
      </c>
      <c r="H1704" s="2">
        <f t="shared" si="82"/>
        <v>8298835</v>
      </c>
      <c r="I1704" s="12">
        <f t="shared" si="80"/>
        <v>0.1486625</v>
      </c>
      <c r="J1704" s="12">
        <f t="shared" si="81"/>
        <v>0.22748999451754387</v>
      </c>
    </row>
    <row r="1705" spans="1:10" ht="15" customHeight="1">
      <c r="A1705" s="7">
        <v>44439</v>
      </c>
      <c r="B1705" s="10">
        <v>153</v>
      </c>
      <c r="C1705">
        <v>55887</v>
      </c>
      <c r="D1705" s="5">
        <v>6.39</v>
      </c>
      <c r="F1705" s="8">
        <v>100</v>
      </c>
      <c r="G1705" s="8">
        <v>100</v>
      </c>
      <c r="H1705" s="2">
        <f t="shared" si="82"/>
        <v>8354722</v>
      </c>
      <c r="I1705" s="12">
        <f t="shared" si="80"/>
        <v>0.2328625</v>
      </c>
      <c r="J1705" s="12">
        <f t="shared" si="81"/>
        <v>0.22752510893246186</v>
      </c>
    </row>
    <row r="1706" spans="1:10" ht="15" customHeight="1">
      <c r="A1706" s="7">
        <v>44440</v>
      </c>
      <c r="B1706" s="10">
        <v>154</v>
      </c>
      <c r="C1706">
        <v>53118</v>
      </c>
      <c r="D1706" s="5">
        <v>6.28</v>
      </c>
      <c r="F1706" s="8">
        <v>100</v>
      </c>
      <c r="G1706" s="8">
        <v>100</v>
      </c>
      <c r="H1706" s="2">
        <f t="shared" si="82"/>
        <v>8407840</v>
      </c>
      <c r="I1706" s="12">
        <f t="shared" si="80"/>
        <v>0.22132499999999999</v>
      </c>
      <c r="J1706" s="12">
        <f t="shared" si="81"/>
        <v>0.22748484848484848</v>
      </c>
    </row>
    <row r="1707" spans="1:10" ht="15" customHeight="1">
      <c r="A1707" s="7">
        <v>44441</v>
      </c>
      <c r="B1707" s="10">
        <v>155</v>
      </c>
      <c r="C1707">
        <v>34004</v>
      </c>
      <c r="D1707" s="5">
        <v>3.98</v>
      </c>
      <c r="F1707" s="8">
        <v>100</v>
      </c>
      <c r="G1707" s="8">
        <v>100</v>
      </c>
      <c r="H1707" s="2">
        <f t="shared" si="82"/>
        <v>8441844</v>
      </c>
      <c r="I1707" s="12">
        <f t="shared" si="80"/>
        <v>0.14168333333333333</v>
      </c>
      <c r="J1707" s="12">
        <f t="shared" si="81"/>
        <v>0.22693129032258064</v>
      </c>
    </row>
    <row r="1708" spans="1:10" ht="15" customHeight="1">
      <c r="A1708" s="7">
        <v>44442</v>
      </c>
      <c r="B1708" s="10">
        <v>156</v>
      </c>
      <c r="C1708">
        <v>26379</v>
      </c>
      <c r="D1708" s="5">
        <v>3.04</v>
      </c>
      <c r="F1708" s="8">
        <v>100</v>
      </c>
      <c r="G1708" s="8">
        <v>100</v>
      </c>
      <c r="H1708" s="2">
        <f t="shared" si="82"/>
        <v>8468223</v>
      </c>
      <c r="I1708" s="12">
        <f t="shared" si="80"/>
        <v>0.1099125</v>
      </c>
      <c r="J1708" s="12">
        <f t="shared" si="81"/>
        <v>0.22618116987179487</v>
      </c>
    </row>
    <row r="1709" spans="1:10" ht="15" customHeight="1">
      <c r="A1709" s="7">
        <v>44443</v>
      </c>
      <c r="B1709" s="10">
        <v>157</v>
      </c>
      <c r="C1709">
        <v>44775</v>
      </c>
      <c r="D1709" s="5">
        <v>5.16</v>
      </c>
      <c r="F1709" s="8">
        <v>100</v>
      </c>
      <c r="G1709" s="8">
        <v>100</v>
      </c>
      <c r="H1709" s="2">
        <f t="shared" si="82"/>
        <v>8512998</v>
      </c>
      <c r="I1709" s="12">
        <f t="shared" si="80"/>
        <v>0.18656249999999999</v>
      </c>
      <c r="J1709" s="12">
        <f t="shared" si="81"/>
        <v>0.22592882165605097</v>
      </c>
    </row>
    <row r="1710" spans="1:10" ht="15" customHeight="1">
      <c r="A1710" s="7">
        <v>44444</v>
      </c>
      <c r="B1710" s="10">
        <v>158</v>
      </c>
      <c r="C1710">
        <v>58858</v>
      </c>
      <c r="D1710" s="5">
        <v>6.57</v>
      </c>
      <c r="F1710" s="8">
        <v>100</v>
      </c>
      <c r="G1710" s="8">
        <v>100</v>
      </c>
      <c r="H1710" s="2">
        <f t="shared" si="82"/>
        <v>8571856</v>
      </c>
      <c r="I1710" s="12">
        <f t="shared" si="80"/>
        <v>0.24524166666666666</v>
      </c>
      <c r="J1710" s="12">
        <f t="shared" si="81"/>
        <v>0.22605105485232069</v>
      </c>
    </row>
    <row r="1711" spans="1:10" ht="15" customHeight="1">
      <c r="A1711" s="7">
        <v>44445</v>
      </c>
      <c r="B1711" s="10">
        <v>159</v>
      </c>
      <c r="C1711">
        <v>52234</v>
      </c>
      <c r="D1711" s="5">
        <v>6.12</v>
      </c>
      <c r="F1711" s="8">
        <v>100</v>
      </c>
      <c r="G1711" s="8">
        <v>100</v>
      </c>
      <c r="H1711" s="2">
        <f t="shared" si="82"/>
        <v>8624090</v>
      </c>
      <c r="I1711" s="12">
        <f t="shared" si="80"/>
        <v>0.21764166666666668</v>
      </c>
      <c r="J1711" s="12">
        <f t="shared" si="81"/>
        <v>0.22599816561844863</v>
      </c>
    </row>
    <row r="1712" spans="1:10" ht="15" customHeight="1">
      <c r="A1712" s="7">
        <v>44446</v>
      </c>
      <c r="B1712" s="10">
        <v>160</v>
      </c>
      <c r="C1712">
        <v>49439</v>
      </c>
      <c r="D1712" s="5">
        <v>5.63</v>
      </c>
      <c r="F1712" s="8">
        <v>100</v>
      </c>
      <c r="G1712" s="8">
        <v>100</v>
      </c>
      <c r="H1712" s="2">
        <f t="shared" si="82"/>
        <v>8673529</v>
      </c>
      <c r="I1712" s="12">
        <f t="shared" si="80"/>
        <v>0.20599583333333332</v>
      </c>
      <c r="J1712" s="12">
        <f t="shared" si="81"/>
        <v>0.22587315104166666</v>
      </c>
    </row>
    <row r="1713" spans="1:10" ht="15" customHeight="1">
      <c r="A1713" s="7">
        <v>44447</v>
      </c>
      <c r="B1713" s="10">
        <v>161</v>
      </c>
      <c r="C1713">
        <v>53578</v>
      </c>
      <c r="D1713" s="5">
        <v>6.02</v>
      </c>
      <c r="F1713" s="8">
        <v>100</v>
      </c>
      <c r="G1713" s="8">
        <v>100</v>
      </c>
      <c r="H1713" s="2">
        <f t="shared" si="82"/>
        <v>8727107</v>
      </c>
      <c r="I1713" s="12">
        <f t="shared" si="80"/>
        <v>0.22324166666666667</v>
      </c>
      <c r="J1713" s="12">
        <f t="shared" si="81"/>
        <v>0.22585680641821945</v>
      </c>
    </row>
    <row r="1714" spans="1:10" ht="15" customHeight="1">
      <c r="A1714" s="7">
        <v>44448</v>
      </c>
      <c r="B1714" s="10">
        <v>162</v>
      </c>
      <c r="C1714">
        <v>47891</v>
      </c>
      <c r="D1714" s="5">
        <v>5.6</v>
      </c>
      <c r="F1714" s="8">
        <v>100</v>
      </c>
      <c r="G1714" s="8">
        <v>94.861111111111114</v>
      </c>
      <c r="H1714" s="2">
        <f t="shared" si="82"/>
        <v>8774998</v>
      </c>
      <c r="I1714" s="12">
        <f t="shared" si="80"/>
        <v>0.19954583333333334</v>
      </c>
      <c r="J1714" s="12">
        <f t="shared" si="81"/>
        <v>0.22569439300411523</v>
      </c>
    </row>
    <row r="1715" spans="1:10" ht="15" customHeight="1">
      <c r="A1715" s="7">
        <v>44449</v>
      </c>
      <c r="B1715" s="10">
        <v>163</v>
      </c>
      <c r="C1715">
        <v>48192</v>
      </c>
      <c r="D1715" s="5">
        <v>5.37</v>
      </c>
      <c r="F1715" s="8">
        <v>100</v>
      </c>
      <c r="G1715" s="8">
        <v>98.541666666666671</v>
      </c>
      <c r="H1715" s="2">
        <f t="shared" si="82"/>
        <v>8823190</v>
      </c>
      <c r="I1715" s="12">
        <f t="shared" si="80"/>
        <v>0.20080000000000001</v>
      </c>
      <c r="J1715" s="12">
        <f t="shared" si="81"/>
        <v>0.22554166666666667</v>
      </c>
    </row>
    <row r="1716" spans="1:10" ht="15" customHeight="1">
      <c r="A1716" s="7">
        <v>44450</v>
      </c>
      <c r="B1716" s="10">
        <v>164</v>
      </c>
      <c r="C1716">
        <v>27876</v>
      </c>
      <c r="D1716" s="5">
        <v>3.12</v>
      </c>
      <c r="F1716" s="8">
        <v>100</v>
      </c>
      <c r="G1716" s="8">
        <v>100</v>
      </c>
      <c r="H1716" s="2">
        <f t="shared" si="82"/>
        <v>8851066</v>
      </c>
      <c r="I1716" s="12">
        <f t="shared" si="80"/>
        <v>0.11615</v>
      </c>
      <c r="J1716" s="12">
        <f t="shared" si="81"/>
        <v>0.22487464430894308</v>
      </c>
    </row>
    <row r="1717" spans="1:10" ht="15" customHeight="1">
      <c r="A1717" s="7">
        <v>44451</v>
      </c>
      <c r="B1717" s="10">
        <v>165</v>
      </c>
      <c r="C1717">
        <v>42452</v>
      </c>
      <c r="D1717" s="5">
        <v>4.7</v>
      </c>
      <c r="F1717" s="8">
        <v>100</v>
      </c>
      <c r="G1717" s="8">
        <v>100</v>
      </c>
      <c r="H1717" s="2">
        <f t="shared" si="82"/>
        <v>8893518</v>
      </c>
      <c r="I1717" s="12">
        <f t="shared" si="80"/>
        <v>0.17688333333333334</v>
      </c>
      <c r="J1717" s="12">
        <f t="shared" si="81"/>
        <v>0.22458378787878788</v>
      </c>
    </row>
    <row r="1718" spans="1:10" ht="15" customHeight="1">
      <c r="A1718" s="7">
        <v>44452</v>
      </c>
      <c r="B1718" s="10">
        <v>166</v>
      </c>
      <c r="C1718">
        <v>47368</v>
      </c>
      <c r="D1718" s="5">
        <v>5.0999999999999996</v>
      </c>
      <c r="F1718" s="8">
        <v>100</v>
      </c>
      <c r="G1718" s="8">
        <v>100</v>
      </c>
      <c r="H1718" s="2">
        <f t="shared" si="82"/>
        <v>8940886</v>
      </c>
      <c r="I1718" s="12">
        <f t="shared" si="80"/>
        <v>0.19736666666666666</v>
      </c>
      <c r="J1718" s="12">
        <f t="shared" si="81"/>
        <v>0.22441982931726909</v>
      </c>
    </row>
    <row r="1719" spans="1:10" ht="15" customHeight="1">
      <c r="A1719" s="7">
        <v>44453</v>
      </c>
      <c r="B1719" s="10">
        <v>167</v>
      </c>
      <c r="C1719">
        <v>33488</v>
      </c>
      <c r="D1719" s="5">
        <v>3.78</v>
      </c>
      <c r="F1719" s="8">
        <v>100</v>
      </c>
      <c r="G1719" s="8">
        <v>100</v>
      </c>
      <c r="H1719" s="2">
        <f t="shared" si="82"/>
        <v>8974374</v>
      </c>
      <c r="I1719" s="12">
        <f t="shared" si="80"/>
        <v>0.13953333333333334</v>
      </c>
      <c r="J1719" s="12">
        <f t="shared" si="81"/>
        <v>0.22391152694610778</v>
      </c>
    </row>
    <row r="1720" spans="1:10" ht="15" customHeight="1">
      <c r="A1720" s="7">
        <v>44454</v>
      </c>
      <c r="B1720" s="10">
        <v>168</v>
      </c>
      <c r="C1720">
        <v>53873</v>
      </c>
      <c r="D1720" s="5">
        <v>5.89</v>
      </c>
      <c r="F1720" s="8">
        <v>100</v>
      </c>
      <c r="G1720" s="8">
        <v>100</v>
      </c>
      <c r="H1720" s="2">
        <f t="shared" si="82"/>
        <v>9028247</v>
      </c>
      <c r="I1720" s="12">
        <f t="shared" si="80"/>
        <v>0.22447083333333334</v>
      </c>
      <c r="J1720" s="12">
        <f t="shared" si="81"/>
        <v>0.22391485615079365</v>
      </c>
    </row>
    <row r="1721" spans="1:10" ht="15" customHeight="1">
      <c r="A1721" s="7">
        <v>44455</v>
      </c>
      <c r="B1721" s="10">
        <v>169</v>
      </c>
      <c r="C1721">
        <v>63441</v>
      </c>
      <c r="D1721" s="5">
        <v>6.93</v>
      </c>
      <c r="F1721" s="8">
        <v>100</v>
      </c>
      <c r="G1721" s="8">
        <v>100</v>
      </c>
      <c r="H1721" s="2">
        <f t="shared" si="82"/>
        <v>9091688</v>
      </c>
      <c r="I1721" s="12">
        <f t="shared" si="80"/>
        <v>0.2643375</v>
      </c>
      <c r="J1721" s="12">
        <f t="shared" si="81"/>
        <v>0.22415404339250494</v>
      </c>
    </row>
    <row r="1722" spans="1:10" ht="15" customHeight="1">
      <c r="A1722" s="7">
        <v>44456</v>
      </c>
      <c r="B1722" s="10">
        <v>170</v>
      </c>
      <c r="C1722">
        <v>52730</v>
      </c>
      <c r="D1722" s="5">
        <v>6.04</v>
      </c>
      <c r="F1722" s="8">
        <v>100</v>
      </c>
      <c r="G1722" s="8">
        <v>100</v>
      </c>
      <c r="H1722" s="2">
        <f t="shared" si="82"/>
        <v>9144418</v>
      </c>
      <c r="I1722" s="12">
        <f t="shared" si="80"/>
        <v>0.21970833333333334</v>
      </c>
      <c r="J1722" s="12">
        <f t="shared" si="81"/>
        <v>0.22412789215686274</v>
      </c>
    </row>
    <row r="1723" spans="1:10" ht="15" customHeight="1">
      <c r="A1723" s="7">
        <v>44457</v>
      </c>
      <c r="B1723" s="10">
        <v>171</v>
      </c>
      <c r="C1723">
        <v>57809</v>
      </c>
      <c r="D1723" s="5">
        <v>6.27</v>
      </c>
      <c r="F1723" s="8">
        <v>100</v>
      </c>
      <c r="G1723" s="8">
        <v>98.333333333333329</v>
      </c>
      <c r="H1723" s="2">
        <f t="shared" si="82"/>
        <v>9202227</v>
      </c>
      <c r="I1723" s="12">
        <f t="shared" si="80"/>
        <v>0.24087083333333334</v>
      </c>
      <c r="J1723" s="12">
        <f t="shared" si="81"/>
        <v>0.22422580409356724</v>
      </c>
    </row>
    <row r="1724" spans="1:10" ht="15" customHeight="1">
      <c r="A1724" s="7">
        <v>44458</v>
      </c>
      <c r="B1724" s="10">
        <v>172</v>
      </c>
      <c r="C1724">
        <v>40547</v>
      </c>
      <c r="D1724" s="5">
        <v>4.4400000000000004</v>
      </c>
      <c r="F1724" s="8">
        <v>100</v>
      </c>
      <c r="G1724" s="8">
        <v>100</v>
      </c>
      <c r="H1724" s="2">
        <f t="shared" si="82"/>
        <v>9242774</v>
      </c>
      <c r="I1724" s="12">
        <f t="shared" si="80"/>
        <v>0.16894583333333332</v>
      </c>
      <c r="J1724" s="12">
        <f t="shared" si="81"/>
        <v>0.22390440891472868</v>
      </c>
    </row>
    <row r="1725" spans="1:10" ht="15" customHeight="1">
      <c r="A1725" s="7">
        <v>44459</v>
      </c>
      <c r="B1725" s="10">
        <v>173</v>
      </c>
      <c r="C1725">
        <v>28426</v>
      </c>
      <c r="D1725" s="5">
        <v>3.2</v>
      </c>
      <c r="F1725" s="8">
        <v>100</v>
      </c>
      <c r="G1725" s="8">
        <v>100</v>
      </c>
      <c r="H1725" s="2">
        <f t="shared" si="82"/>
        <v>9271200</v>
      </c>
      <c r="I1725" s="12">
        <f t="shared" si="80"/>
        <v>0.11844166666666667</v>
      </c>
      <c r="J1725" s="12">
        <f t="shared" si="81"/>
        <v>0.22329479768786129</v>
      </c>
    </row>
    <row r="1726" spans="1:10" ht="15" customHeight="1">
      <c r="A1726" s="7">
        <v>44460</v>
      </c>
      <c r="B1726" s="10">
        <v>174</v>
      </c>
      <c r="C1726">
        <v>31624</v>
      </c>
      <c r="D1726" s="5">
        <v>3.27</v>
      </c>
      <c r="F1726" s="8">
        <v>100</v>
      </c>
      <c r="G1726" s="8">
        <v>100</v>
      </c>
      <c r="H1726" s="2">
        <f t="shared" si="82"/>
        <v>9302824</v>
      </c>
      <c r="I1726" s="12">
        <f t="shared" si="80"/>
        <v>0.13176666666666667</v>
      </c>
      <c r="J1726" s="12">
        <f t="shared" si="81"/>
        <v>0.22276877394636016</v>
      </c>
    </row>
    <row r="1727" spans="1:10" ht="15" customHeight="1">
      <c r="A1727" s="7">
        <v>44461</v>
      </c>
      <c r="B1727" s="10">
        <v>175</v>
      </c>
      <c r="C1727">
        <v>39991</v>
      </c>
      <c r="D1727" s="5">
        <v>4.46</v>
      </c>
      <c r="F1727" s="8">
        <v>100</v>
      </c>
      <c r="G1727" s="8">
        <v>100</v>
      </c>
      <c r="H1727" s="2">
        <f t="shared" si="82"/>
        <v>9342815</v>
      </c>
      <c r="I1727" s="12">
        <f t="shared" si="80"/>
        <v>0.16662916666666666</v>
      </c>
      <c r="J1727" s="12">
        <f t="shared" si="81"/>
        <v>0.22244797619047618</v>
      </c>
    </row>
    <row r="1728" spans="1:10" ht="15" customHeight="1">
      <c r="A1728" s="7">
        <v>44462</v>
      </c>
      <c r="B1728" s="10">
        <v>176</v>
      </c>
      <c r="C1728">
        <v>32003</v>
      </c>
      <c r="D1728" s="5">
        <v>3.24</v>
      </c>
      <c r="F1728" s="8">
        <v>100</v>
      </c>
      <c r="G1728" s="8">
        <v>100</v>
      </c>
      <c r="H1728" s="2">
        <f t="shared" si="82"/>
        <v>9374818</v>
      </c>
      <c r="I1728" s="12">
        <f t="shared" si="80"/>
        <v>0.13334583333333333</v>
      </c>
      <c r="J1728" s="12">
        <f t="shared" si="81"/>
        <v>0.2219417140151515</v>
      </c>
    </row>
    <row r="1729" spans="1:10" ht="15" customHeight="1">
      <c r="A1729" s="7">
        <v>44463</v>
      </c>
      <c r="B1729" s="10">
        <v>177</v>
      </c>
      <c r="C1729">
        <v>24385</v>
      </c>
      <c r="D1729" s="5">
        <v>2.72</v>
      </c>
      <c r="F1729" s="8">
        <v>100</v>
      </c>
      <c r="G1729" s="8">
        <v>100</v>
      </c>
      <c r="H1729" s="2">
        <f t="shared" si="82"/>
        <v>9399203</v>
      </c>
      <c r="I1729" s="12">
        <f t="shared" si="80"/>
        <v>0.10160416666666666</v>
      </c>
      <c r="J1729" s="12">
        <f t="shared" si="81"/>
        <v>0.22126184086629003</v>
      </c>
    </row>
    <row r="1730" spans="1:10" ht="15" customHeight="1">
      <c r="A1730" s="7">
        <v>44464</v>
      </c>
      <c r="B1730" s="10">
        <v>178</v>
      </c>
      <c r="C1730">
        <v>57459</v>
      </c>
      <c r="D1730" s="5">
        <v>6.13</v>
      </c>
      <c r="F1730" s="8">
        <v>100</v>
      </c>
      <c r="G1730" s="8">
        <v>100</v>
      </c>
      <c r="H1730" s="2">
        <f t="shared" si="82"/>
        <v>9456662</v>
      </c>
      <c r="I1730" s="12">
        <f t="shared" si="80"/>
        <v>0.2394125</v>
      </c>
      <c r="J1730" s="12">
        <f t="shared" si="81"/>
        <v>0.22136381086142323</v>
      </c>
    </row>
    <row r="1731" spans="1:10" ht="15" customHeight="1">
      <c r="A1731" s="7">
        <v>44465</v>
      </c>
      <c r="B1731" s="10">
        <v>179</v>
      </c>
      <c r="C1731">
        <v>56932</v>
      </c>
      <c r="D1731" s="5">
        <v>6.15</v>
      </c>
      <c r="F1731" s="8">
        <v>100</v>
      </c>
      <c r="G1731" s="8">
        <v>100</v>
      </c>
      <c r="H1731" s="2">
        <f t="shared" si="82"/>
        <v>9513594</v>
      </c>
      <c r="I1731" s="12">
        <f t="shared" ref="I1731:I1794" si="83">C1731/(10*24*1000)</f>
        <v>0.23721666666666666</v>
      </c>
      <c r="J1731" s="12">
        <f t="shared" si="81"/>
        <v>0.22145237430167597</v>
      </c>
    </row>
    <row r="1732" spans="1:10" ht="15" customHeight="1">
      <c r="A1732" s="7">
        <v>44466</v>
      </c>
      <c r="B1732" s="10">
        <v>180</v>
      </c>
      <c r="C1732">
        <v>45895</v>
      </c>
      <c r="D1732" s="5">
        <v>5.13</v>
      </c>
      <c r="F1732" s="8">
        <v>100</v>
      </c>
      <c r="G1732" s="8">
        <v>100</v>
      </c>
      <c r="H1732" s="2">
        <f t="shared" si="82"/>
        <v>9559489</v>
      </c>
      <c r="I1732" s="12">
        <f t="shared" si="83"/>
        <v>0.19122916666666667</v>
      </c>
      <c r="J1732" s="12">
        <f t="shared" ref="J1732:J1795" si="84">H1732/(24*B1732*10*1000)</f>
        <v>0.2212844675925926</v>
      </c>
    </row>
    <row r="1733" spans="1:10" ht="15" customHeight="1">
      <c r="A1733" s="7">
        <v>44467</v>
      </c>
      <c r="B1733" s="10">
        <v>181</v>
      </c>
      <c r="C1733">
        <v>52767</v>
      </c>
      <c r="D1733" s="5">
        <v>5.76</v>
      </c>
      <c r="F1733" s="8">
        <v>100</v>
      </c>
      <c r="G1733" s="8">
        <v>100</v>
      </c>
      <c r="H1733" s="2">
        <f t="shared" si="82"/>
        <v>9612256</v>
      </c>
      <c r="I1733" s="12">
        <f t="shared" si="83"/>
        <v>0.21986249999999999</v>
      </c>
      <c r="J1733" s="12">
        <f t="shared" si="84"/>
        <v>0.22127661141804789</v>
      </c>
    </row>
    <row r="1734" spans="1:10" ht="15" customHeight="1">
      <c r="A1734" s="7">
        <v>44468</v>
      </c>
      <c r="B1734" s="10">
        <v>182</v>
      </c>
      <c r="C1734">
        <v>53320</v>
      </c>
      <c r="D1734" s="5">
        <v>5.63</v>
      </c>
      <c r="F1734" s="8">
        <v>100</v>
      </c>
      <c r="G1734" s="8">
        <v>100</v>
      </c>
      <c r="H1734" s="2">
        <f t="shared" si="82"/>
        <v>9665576</v>
      </c>
      <c r="I1734" s="12">
        <f t="shared" si="83"/>
        <v>0.22216666666666668</v>
      </c>
      <c r="J1734" s="12">
        <f t="shared" si="84"/>
        <v>0.22128150183150183</v>
      </c>
    </row>
    <row r="1735" spans="1:10" ht="15" customHeight="1">
      <c r="A1735" s="7">
        <v>44469</v>
      </c>
      <c r="B1735" s="10">
        <v>183</v>
      </c>
      <c r="C1735">
        <v>57265</v>
      </c>
      <c r="D1735" s="5">
        <v>5.93</v>
      </c>
      <c r="F1735" s="8">
        <v>100</v>
      </c>
      <c r="G1735" s="8">
        <v>100</v>
      </c>
      <c r="H1735" s="2">
        <f t="shared" si="82"/>
        <v>9722841</v>
      </c>
      <c r="I1735" s="12">
        <f t="shared" si="83"/>
        <v>0.23860416666666667</v>
      </c>
      <c r="J1735" s="12">
        <f t="shared" si="84"/>
        <v>0.22137616120218578</v>
      </c>
    </row>
    <row r="1736" spans="1:10" ht="15" customHeight="1">
      <c r="A1736" s="7">
        <v>44470</v>
      </c>
      <c r="B1736" s="10">
        <v>184</v>
      </c>
      <c r="C1736">
        <v>47027</v>
      </c>
      <c r="D1736" s="5">
        <v>5.05</v>
      </c>
      <c r="F1736" s="8">
        <v>100</v>
      </c>
      <c r="G1736" s="8">
        <v>100</v>
      </c>
      <c r="H1736" s="2">
        <f t="shared" si="82"/>
        <v>9769868</v>
      </c>
      <c r="I1736" s="12">
        <f t="shared" si="83"/>
        <v>0.19594583333333335</v>
      </c>
      <c r="J1736" s="12">
        <f t="shared" si="84"/>
        <v>0.22123795289855072</v>
      </c>
    </row>
    <row r="1737" spans="1:10" ht="15" customHeight="1">
      <c r="A1737" s="7">
        <v>44471</v>
      </c>
      <c r="B1737" s="10">
        <v>185</v>
      </c>
      <c r="C1737">
        <v>59155</v>
      </c>
      <c r="D1737" s="5">
        <v>6.26</v>
      </c>
      <c r="F1737" s="8">
        <v>100</v>
      </c>
      <c r="G1737" s="8">
        <v>100</v>
      </c>
      <c r="H1737" s="2">
        <f t="shared" si="82"/>
        <v>9829023</v>
      </c>
      <c r="I1737" s="12">
        <f t="shared" si="83"/>
        <v>0.24647916666666667</v>
      </c>
      <c r="J1737" s="12">
        <f t="shared" si="84"/>
        <v>0.2213743918918919</v>
      </c>
    </row>
    <row r="1738" spans="1:10" ht="15" customHeight="1">
      <c r="A1738" s="7">
        <v>44472</v>
      </c>
      <c r="B1738" s="10">
        <v>186</v>
      </c>
      <c r="C1738">
        <v>62631</v>
      </c>
      <c r="D1738" s="5">
        <v>6.44</v>
      </c>
      <c r="F1738" s="8">
        <v>100</v>
      </c>
      <c r="G1738" s="8">
        <v>100</v>
      </c>
      <c r="H1738" s="2">
        <f t="shared" si="82"/>
        <v>9891654</v>
      </c>
      <c r="I1738" s="12">
        <f t="shared" si="83"/>
        <v>0.26096249999999999</v>
      </c>
      <c r="J1738" s="12">
        <f t="shared" si="84"/>
        <v>0.22158723118279569</v>
      </c>
    </row>
    <row r="1739" spans="1:10" ht="15" customHeight="1">
      <c r="A1739" s="7">
        <v>44473</v>
      </c>
      <c r="B1739" s="10">
        <v>187</v>
      </c>
      <c r="C1739">
        <v>59590</v>
      </c>
      <c r="D1739" s="5">
        <v>6.15</v>
      </c>
      <c r="F1739" s="8">
        <v>100</v>
      </c>
      <c r="G1739" s="8">
        <v>100</v>
      </c>
      <c r="H1739" s="2">
        <f t="shared" si="82"/>
        <v>9951244</v>
      </c>
      <c r="I1739" s="12">
        <f t="shared" si="83"/>
        <v>0.24829166666666666</v>
      </c>
      <c r="J1739" s="12">
        <f t="shared" si="84"/>
        <v>0.22173003565062388</v>
      </c>
    </row>
    <row r="1740" spans="1:10" ht="15" customHeight="1">
      <c r="A1740" s="7">
        <v>44474</v>
      </c>
      <c r="B1740" s="10">
        <v>188</v>
      </c>
      <c r="C1740">
        <v>56752</v>
      </c>
      <c r="D1740" s="5">
        <v>6.03</v>
      </c>
      <c r="F1740" s="8">
        <v>100</v>
      </c>
      <c r="G1740" s="8">
        <v>100</v>
      </c>
      <c r="H1740" s="2">
        <f t="shared" si="82"/>
        <v>10007996</v>
      </c>
      <c r="I1740" s="12">
        <f t="shared" si="83"/>
        <v>0.23646666666666666</v>
      </c>
      <c r="J1740" s="12">
        <f t="shared" si="84"/>
        <v>0.2218084219858156</v>
      </c>
    </row>
    <row r="1741" spans="1:10" ht="15" customHeight="1">
      <c r="A1741" s="7">
        <v>44475</v>
      </c>
      <c r="B1741" s="10">
        <v>189</v>
      </c>
      <c r="C1741">
        <v>55898</v>
      </c>
      <c r="D1741" s="5">
        <v>5.9</v>
      </c>
      <c r="F1741" s="8">
        <v>100</v>
      </c>
      <c r="G1741" s="8">
        <v>100</v>
      </c>
      <c r="H1741" s="2">
        <f t="shared" si="82"/>
        <v>10063894</v>
      </c>
      <c r="I1741" s="12">
        <f t="shared" si="83"/>
        <v>0.23290833333333333</v>
      </c>
      <c r="J1741" s="12">
        <f t="shared" si="84"/>
        <v>0.22186715167548501</v>
      </c>
    </row>
    <row r="1742" spans="1:10" ht="15" customHeight="1">
      <c r="A1742" s="7">
        <v>44476</v>
      </c>
      <c r="B1742" s="10">
        <v>190</v>
      </c>
      <c r="C1742">
        <v>58241</v>
      </c>
      <c r="D1742" s="5">
        <v>6.12</v>
      </c>
      <c r="F1742" s="8">
        <v>100</v>
      </c>
      <c r="G1742" s="8">
        <v>100</v>
      </c>
      <c r="H1742" s="2">
        <f t="shared" si="82"/>
        <v>10122135</v>
      </c>
      <c r="I1742" s="12">
        <f t="shared" si="83"/>
        <v>0.24267083333333334</v>
      </c>
      <c r="J1742" s="12">
        <f t="shared" si="84"/>
        <v>0.22197664473684212</v>
      </c>
    </row>
    <row r="1743" spans="1:10" ht="15" customHeight="1">
      <c r="A1743" s="7">
        <v>44477</v>
      </c>
      <c r="B1743" s="10">
        <v>191</v>
      </c>
      <c r="C1743">
        <v>57196</v>
      </c>
      <c r="D1743" s="5">
        <v>5.97</v>
      </c>
      <c r="F1743" s="8">
        <v>100</v>
      </c>
      <c r="G1743" s="8">
        <v>100</v>
      </c>
      <c r="H1743" s="2">
        <f t="shared" si="82"/>
        <v>10179331</v>
      </c>
      <c r="I1743" s="12">
        <f t="shared" si="83"/>
        <v>0.23831666666666668</v>
      </c>
      <c r="J1743" s="12">
        <f t="shared" si="84"/>
        <v>0.22206219458987783</v>
      </c>
    </row>
    <row r="1744" spans="1:10" ht="15" customHeight="1">
      <c r="A1744" s="7">
        <v>44478</v>
      </c>
      <c r="B1744" s="10">
        <v>192</v>
      </c>
      <c r="C1744">
        <v>58468</v>
      </c>
      <c r="D1744" s="5">
        <v>6.07</v>
      </c>
      <c r="F1744" s="8">
        <v>100</v>
      </c>
      <c r="G1744" s="8">
        <v>100</v>
      </c>
      <c r="H1744" s="2">
        <f t="shared" si="82"/>
        <v>10237799</v>
      </c>
      <c r="I1744" s="12">
        <f t="shared" si="83"/>
        <v>0.24361666666666668</v>
      </c>
      <c r="J1744" s="12">
        <f t="shared" si="84"/>
        <v>0.22217445746527778</v>
      </c>
    </row>
    <row r="1745" spans="1:10" ht="15" customHeight="1">
      <c r="A1745" s="7">
        <v>44479</v>
      </c>
      <c r="B1745" s="10">
        <v>193</v>
      </c>
      <c r="C1745">
        <v>59277</v>
      </c>
      <c r="D1745" s="5">
        <v>6.13</v>
      </c>
      <c r="F1745" s="8">
        <v>100</v>
      </c>
      <c r="G1745" s="8">
        <v>100</v>
      </c>
      <c r="H1745" s="2">
        <f t="shared" si="82"/>
        <v>10297076</v>
      </c>
      <c r="I1745" s="12">
        <f t="shared" si="83"/>
        <v>0.2469875</v>
      </c>
      <c r="J1745" s="12">
        <f t="shared" si="84"/>
        <v>0.22230302245250433</v>
      </c>
    </row>
    <row r="1746" spans="1:10" ht="15" customHeight="1">
      <c r="A1746" s="7">
        <v>44480</v>
      </c>
      <c r="B1746" s="10">
        <v>194</v>
      </c>
      <c r="C1746">
        <v>56503</v>
      </c>
      <c r="D1746" s="5">
        <v>5.88</v>
      </c>
      <c r="F1746" s="8">
        <v>100</v>
      </c>
      <c r="G1746" s="8">
        <v>100</v>
      </c>
      <c r="H1746" s="2">
        <f t="shared" ref="H1746:H1809" si="85">H1745+C1746</f>
        <v>10353579</v>
      </c>
      <c r="I1746" s="12">
        <f t="shared" si="83"/>
        <v>0.23542916666666666</v>
      </c>
      <c r="J1746" s="12">
        <f t="shared" si="84"/>
        <v>0.22237068298969073</v>
      </c>
    </row>
    <row r="1747" spans="1:10" ht="15" customHeight="1">
      <c r="A1747" s="7">
        <v>44481</v>
      </c>
      <c r="B1747" s="10">
        <v>195</v>
      </c>
      <c r="C1747">
        <v>53214</v>
      </c>
      <c r="D1747" s="5">
        <v>5.5</v>
      </c>
      <c r="F1747" s="8">
        <v>100</v>
      </c>
      <c r="G1747" s="8">
        <v>100</v>
      </c>
      <c r="H1747" s="2">
        <f t="shared" si="85"/>
        <v>10406793</v>
      </c>
      <c r="I1747" s="12">
        <f t="shared" si="83"/>
        <v>0.22172500000000001</v>
      </c>
      <c r="J1747" s="12">
        <f t="shared" si="84"/>
        <v>0.22236737179487179</v>
      </c>
    </row>
    <row r="1748" spans="1:10" ht="15" customHeight="1">
      <c r="A1748" s="7">
        <v>44482</v>
      </c>
      <c r="B1748" s="10">
        <v>196</v>
      </c>
      <c r="C1748">
        <v>56172</v>
      </c>
      <c r="D1748" s="5">
        <v>5.8</v>
      </c>
      <c r="F1748" s="8">
        <v>100</v>
      </c>
      <c r="G1748" s="8">
        <v>100</v>
      </c>
      <c r="H1748" s="2">
        <f t="shared" si="85"/>
        <v>10462965</v>
      </c>
      <c r="I1748" s="12">
        <f t="shared" si="83"/>
        <v>0.23405000000000001</v>
      </c>
      <c r="J1748" s="12">
        <f t="shared" si="84"/>
        <v>0.22242697704081632</v>
      </c>
    </row>
    <row r="1749" spans="1:10" ht="15" customHeight="1">
      <c r="A1749" s="7">
        <v>44483</v>
      </c>
      <c r="B1749" s="10">
        <v>197</v>
      </c>
      <c r="C1749">
        <v>56606</v>
      </c>
      <c r="D1749" s="5">
        <v>5.89</v>
      </c>
      <c r="F1749" s="8">
        <v>100</v>
      </c>
      <c r="G1749" s="8">
        <v>100</v>
      </c>
      <c r="H1749" s="2">
        <f t="shared" si="85"/>
        <v>10519571</v>
      </c>
      <c r="I1749" s="12">
        <f t="shared" si="83"/>
        <v>0.23585833333333334</v>
      </c>
      <c r="J1749" s="12">
        <f t="shared" si="84"/>
        <v>0.2224951565143824</v>
      </c>
    </row>
    <row r="1750" spans="1:10" ht="15" customHeight="1">
      <c r="A1750" s="7">
        <v>44484</v>
      </c>
      <c r="B1750" s="10">
        <v>198</v>
      </c>
      <c r="C1750">
        <v>54692</v>
      </c>
      <c r="D1750" s="5">
        <v>6.03</v>
      </c>
      <c r="F1750" s="8">
        <v>100</v>
      </c>
      <c r="G1750" s="8">
        <v>100</v>
      </c>
      <c r="H1750" s="2">
        <f t="shared" si="85"/>
        <v>10574263</v>
      </c>
      <c r="I1750" s="12">
        <f t="shared" si="83"/>
        <v>0.22788333333333333</v>
      </c>
      <c r="J1750" s="12">
        <f t="shared" si="84"/>
        <v>0.22252236952861953</v>
      </c>
    </row>
    <row r="1751" spans="1:10" ht="15" customHeight="1">
      <c r="A1751" s="7">
        <v>44485</v>
      </c>
      <c r="B1751" s="10">
        <v>199</v>
      </c>
      <c r="C1751">
        <v>57499</v>
      </c>
      <c r="D1751" s="5">
        <v>5.97</v>
      </c>
      <c r="F1751" s="8">
        <v>100</v>
      </c>
      <c r="G1751" s="8">
        <v>100</v>
      </c>
      <c r="H1751" s="2">
        <f t="shared" si="85"/>
        <v>10631762</v>
      </c>
      <c r="I1751" s="12">
        <f t="shared" si="83"/>
        <v>0.23957916666666668</v>
      </c>
      <c r="J1751" s="12">
        <f t="shared" si="84"/>
        <v>0.22260808207705193</v>
      </c>
    </row>
    <row r="1752" spans="1:10" ht="15" customHeight="1">
      <c r="A1752" s="7">
        <v>44486</v>
      </c>
      <c r="B1752" s="10">
        <v>200</v>
      </c>
      <c r="C1752">
        <v>49395</v>
      </c>
      <c r="D1752" s="5">
        <v>5.12</v>
      </c>
      <c r="F1752" s="8">
        <v>100</v>
      </c>
      <c r="G1752" s="8">
        <v>100</v>
      </c>
      <c r="H1752" s="2">
        <f t="shared" si="85"/>
        <v>10681157</v>
      </c>
      <c r="I1752" s="12">
        <f t="shared" si="83"/>
        <v>0.20581250000000001</v>
      </c>
      <c r="J1752" s="12">
        <f t="shared" si="84"/>
        <v>0.22252410416666665</v>
      </c>
    </row>
    <row r="1753" spans="1:10" ht="15" customHeight="1">
      <c r="A1753" s="7">
        <v>44487</v>
      </c>
      <c r="B1753" s="10">
        <v>201</v>
      </c>
      <c r="C1753">
        <v>44141</v>
      </c>
      <c r="D1753" s="5">
        <v>4.59</v>
      </c>
      <c r="F1753" s="8">
        <v>100</v>
      </c>
      <c r="G1753" s="8">
        <v>100</v>
      </c>
      <c r="H1753" s="2">
        <f t="shared" si="85"/>
        <v>10725298</v>
      </c>
      <c r="I1753" s="12">
        <f t="shared" si="83"/>
        <v>0.18392083333333334</v>
      </c>
      <c r="J1753" s="12">
        <f t="shared" si="84"/>
        <v>0.22233204809286899</v>
      </c>
    </row>
    <row r="1754" spans="1:10" ht="15" customHeight="1">
      <c r="A1754" s="7">
        <v>44488</v>
      </c>
      <c r="B1754" s="10">
        <v>202</v>
      </c>
      <c r="C1754">
        <v>50983</v>
      </c>
      <c r="D1754" s="5">
        <v>5.21</v>
      </c>
      <c r="F1754" s="8">
        <v>100</v>
      </c>
      <c r="G1754" s="8">
        <v>100</v>
      </c>
      <c r="H1754" s="2">
        <f t="shared" si="85"/>
        <v>10776281</v>
      </c>
      <c r="I1754" s="12">
        <f t="shared" si="83"/>
        <v>0.21242916666666667</v>
      </c>
      <c r="J1754" s="12">
        <f t="shared" si="84"/>
        <v>0.22228302392739274</v>
      </c>
    </row>
    <row r="1755" spans="1:10" ht="15" customHeight="1">
      <c r="A1755" s="7">
        <v>44489</v>
      </c>
      <c r="B1755" s="10">
        <v>203</v>
      </c>
      <c r="C1755">
        <v>55760</v>
      </c>
      <c r="D1755" s="5">
        <v>5.69</v>
      </c>
      <c r="F1755" s="8">
        <v>100</v>
      </c>
      <c r="G1755" s="8">
        <v>100</v>
      </c>
      <c r="H1755" s="2">
        <f t="shared" si="85"/>
        <v>10832041</v>
      </c>
      <c r="I1755" s="12">
        <f t="shared" si="83"/>
        <v>0.23233333333333334</v>
      </c>
      <c r="J1755" s="12">
        <f t="shared" si="84"/>
        <v>0.22233253284072249</v>
      </c>
    </row>
    <row r="1756" spans="1:10" ht="15" customHeight="1">
      <c r="A1756" s="7">
        <v>44490</v>
      </c>
      <c r="B1756" s="10">
        <v>204</v>
      </c>
      <c r="C1756">
        <v>57240</v>
      </c>
      <c r="D1756" s="5">
        <v>5.72</v>
      </c>
      <c r="F1756" s="8">
        <v>100</v>
      </c>
      <c r="G1756" s="8">
        <v>100</v>
      </c>
      <c r="H1756" s="2">
        <f t="shared" si="85"/>
        <v>10889281</v>
      </c>
      <c r="I1756" s="12">
        <f t="shared" si="83"/>
        <v>0.23849999999999999</v>
      </c>
      <c r="J1756" s="12">
        <f t="shared" si="84"/>
        <v>0.22241178513071896</v>
      </c>
    </row>
    <row r="1757" spans="1:10" ht="15" customHeight="1">
      <c r="A1757" s="7">
        <v>44491</v>
      </c>
      <c r="B1757" s="10">
        <v>205</v>
      </c>
      <c r="C1757">
        <v>59374</v>
      </c>
      <c r="D1757" s="5">
        <v>5.87</v>
      </c>
      <c r="F1757" s="8">
        <v>100</v>
      </c>
      <c r="G1757" s="8">
        <v>100</v>
      </c>
      <c r="H1757" s="2">
        <f t="shared" si="85"/>
        <v>10948655</v>
      </c>
      <c r="I1757" s="12">
        <f t="shared" si="83"/>
        <v>0.24739166666666668</v>
      </c>
      <c r="J1757" s="12">
        <f t="shared" si="84"/>
        <v>0.22253363821138211</v>
      </c>
    </row>
    <row r="1758" spans="1:10" ht="15" customHeight="1">
      <c r="A1758" s="7">
        <v>44492</v>
      </c>
      <c r="B1758" s="10">
        <v>206</v>
      </c>
      <c r="C1758">
        <v>51126</v>
      </c>
      <c r="D1758" s="5">
        <v>5.23</v>
      </c>
      <c r="F1758" s="8">
        <v>100</v>
      </c>
      <c r="G1758" s="8">
        <v>100</v>
      </c>
      <c r="H1758" s="2">
        <f t="shared" si="85"/>
        <v>10999781</v>
      </c>
      <c r="I1758" s="12">
        <f t="shared" si="83"/>
        <v>0.21302499999999999</v>
      </c>
      <c r="J1758" s="12">
        <f t="shared" si="84"/>
        <v>0.22248747977346278</v>
      </c>
    </row>
    <row r="1759" spans="1:10" ht="15" customHeight="1">
      <c r="A1759" s="7">
        <v>44493</v>
      </c>
      <c r="B1759" s="10">
        <v>207</v>
      </c>
      <c r="C1759">
        <v>44792</v>
      </c>
      <c r="D1759" s="5">
        <v>4.47</v>
      </c>
      <c r="F1759" s="8">
        <v>100</v>
      </c>
      <c r="G1759" s="8">
        <v>100</v>
      </c>
      <c r="H1759" s="2">
        <f t="shared" si="85"/>
        <v>11044573</v>
      </c>
      <c r="I1759" s="12">
        <f t="shared" si="83"/>
        <v>0.18663333333333335</v>
      </c>
      <c r="J1759" s="12">
        <f t="shared" si="84"/>
        <v>0.22231427133655396</v>
      </c>
    </row>
    <row r="1760" spans="1:10" ht="15" customHeight="1">
      <c r="A1760" s="7">
        <v>44494</v>
      </c>
      <c r="B1760" s="10">
        <v>208</v>
      </c>
      <c r="C1760">
        <v>52855</v>
      </c>
      <c r="D1760" s="5">
        <v>5.0599999999999996</v>
      </c>
      <c r="F1760" s="8">
        <v>100</v>
      </c>
      <c r="G1760" s="8">
        <v>100</v>
      </c>
      <c r="H1760" s="2">
        <f t="shared" si="85"/>
        <v>11097428</v>
      </c>
      <c r="I1760" s="12">
        <f t="shared" si="83"/>
        <v>0.22022916666666667</v>
      </c>
      <c r="J1760" s="12">
        <f t="shared" si="84"/>
        <v>0.22230424679487179</v>
      </c>
    </row>
    <row r="1761" spans="1:10" ht="15" customHeight="1">
      <c r="A1761" s="7">
        <v>44495</v>
      </c>
      <c r="B1761" s="10">
        <v>209</v>
      </c>
      <c r="C1761">
        <v>53732</v>
      </c>
      <c r="D1761" s="5">
        <v>5.19</v>
      </c>
      <c r="F1761" s="8">
        <v>100</v>
      </c>
      <c r="G1761" s="8">
        <v>100</v>
      </c>
      <c r="H1761" s="2">
        <f t="shared" si="85"/>
        <v>11151160</v>
      </c>
      <c r="I1761" s="12">
        <f t="shared" si="83"/>
        <v>0.22388333333333332</v>
      </c>
      <c r="J1761" s="12">
        <f t="shared" si="84"/>
        <v>0.22231180223285488</v>
      </c>
    </row>
    <row r="1762" spans="1:10" ht="15" customHeight="1">
      <c r="A1762" s="7">
        <v>44496</v>
      </c>
      <c r="B1762" s="10">
        <v>210</v>
      </c>
      <c r="C1762">
        <v>53433</v>
      </c>
      <c r="D1762" s="5">
        <v>5.16</v>
      </c>
      <c r="F1762" s="8">
        <v>100</v>
      </c>
      <c r="G1762" s="8">
        <v>100</v>
      </c>
      <c r="H1762" s="2">
        <f t="shared" si="85"/>
        <v>11204593</v>
      </c>
      <c r="I1762" s="12">
        <f t="shared" si="83"/>
        <v>0.22263749999999999</v>
      </c>
      <c r="J1762" s="12">
        <f t="shared" si="84"/>
        <v>0.22231335317460318</v>
      </c>
    </row>
    <row r="1763" spans="1:10" ht="15" customHeight="1">
      <c r="A1763" s="7">
        <v>44497</v>
      </c>
      <c r="B1763" s="10">
        <v>211</v>
      </c>
      <c r="C1763">
        <v>53266</v>
      </c>
      <c r="D1763" s="5">
        <v>5.18</v>
      </c>
      <c r="F1763" s="8">
        <v>100</v>
      </c>
      <c r="G1763" s="8">
        <v>100</v>
      </c>
      <c r="H1763" s="2">
        <f t="shared" si="85"/>
        <v>11257859</v>
      </c>
      <c r="I1763" s="12">
        <f t="shared" si="83"/>
        <v>0.22194166666666668</v>
      </c>
      <c r="J1763" s="12">
        <f t="shared" si="84"/>
        <v>0.22231159162717221</v>
      </c>
    </row>
    <row r="1764" spans="1:10" ht="15" customHeight="1">
      <c r="A1764" s="7">
        <v>44498</v>
      </c>
      <c r="B1764" s="10">
        <v>212</v>
      </c>
      <c r="C1764">
        <v>54764</v>
      </c>
      <c r="D1764" s="5">
        <v>5.3</v>
      </c>
      <c r="F1764" s="8">
        <v>100</v>
      </c>
      <c r="G1764" s="8">
        <v>100</v>
      </c>
      <c r="H1764" s="2">
        <f t="shared" si="85"/>
        <v>11312623</v>
      </c>
      <c r="I1764" s="12">
        <f t="shared" si="83"/>
        <v>0.22818333333333332</v>
      </c>
      <c r="J1764" s="12">
        <f t="shared" si="84"/>
        <v>0.22233928852201257</v>
      </c>
    </row>
    <row r="1765" spans="1:10" ht="15" customHeight="1">
      <c r="A1765" s="7">
        <v>44499</v>
      </c>
      <c r="B1765" s="10">
        <v>213</v>
      </c>
      <c r="C1765">
        <v>54742</v>
      </c>
      <c r="D1765" s="5">
        <v>5.3</v>
      </c>
      <c r="F1765" s="8">
        <v>100</v>
      </c>
      <c r="G1765" s="8">
        <v>100</v>
      </c>
      <c r="H1765" s="2">
        <f t="shared" si="85"/>
        <v>11367365</v>
      </c>
      <c r="I1765" s="12">
        <f t="shared" si="83"/>
        <v>0.22809166666666666</v>
      </c>
      <c r="J1765" s="12">
        <f t="shared" si="84"/>
        <v>0.22236629499217528</v>
      </c>
    </row>
    <row r="1766" spans="1:10" ht="15" customHeight="1">
      <c r="A1766" s="7">
        <v>44500</v>
      </c>
      <c r="B1766" s="10">
        <v>214</v>
      </c>
      <c r="C1766">
        <v>55773</v>
      </c>
      <c r="D1766" s="5">
        <v>5.42</v>
      </c>
      <c r="F1766" s="8">
        <v>100</v>
      </c>
      <c r="G1766" s="8">
        <v>100</v>
      </c>
      <c r="H1766" s="2">
        <f t="shared" si="85"/>
        <v>11423138</v>
      </c>
      <c r="I1766" s="12">
        <f t="shared" si="83"/>
        <v>0.2323875</v>
      </c>
      <c r="J1766" s="12">
        <f t="shared" si="84"/>
        <v>0.22241312305295949</v>
      </c>
    </row>
    <row r="1767" spans="1:10" ht="15" customHeight="1">
      <c r="A1767" s="7">
        <v>44501</v>
      </c>
      <c r="B1767" s="10">
        <v>215</v>
      </c>
      <c r="C1767">
        <v>54598</v>
      </c>
      <c r="D1767" s="5">
        <v>5.25</v>
      </c>
      <c r="F1767" s="8">
        <v>100</v>
      </c>
      <c r="G1767" s="8">
        <v>100</v>
      </c>
      <c r="H1767" s="2">
        <f t="shared" si="85"/>
        <v>11477736</v>
      </c>
      <c r="I1767" s="12">
        <f t="shared" si="83"/>
        <v>0.22749166666666668</v>
      </c>
      <c r="J1767" s="12">
        <f t="shared" si="84"/>
        <v>0.2224367441860465</v>
      </c>
    </row>
    <row r="1768" spans="1:10" ht="15" customHeight="1">
      <c r="A1768" s="7">
        <v>44502</v>
      </c>
      <c r="B1768" s="10">
        <v>216</v>
      </c>
      <c r="C1768">
        <v>44512</v>
      </c>
      <c r="D1768" s="5">
        <v>4.46</v>
      </c>
      <c r="F1768" s="8">
        <v>100</v>
      </c>
      <c r="G1768" s="8">
        <v>100</v>
      </c>
      <c r="H1768" s="2">
        <f t="shared" si="85"/>
        <v>11522248</v>
      </c>
      <c r="I1768" s="12">
        <f t="shared" si="83"/>
        <v>0.18546666666666667</v>
      </c>
      <c r="J1768" s="12">
        <f t="shared" si="84"/>
        <v>0.22226558641975308</v>
      </c>
    </row>
    <row r="1769" spans="1:10" ht="15" customHeight="1">
      <c r="A1769" s="7">
        <v>44503</v>
      </c>
      <c r="B1769" s="10">
        <v>217</v>
      </c>
      <c r="C1769">
        <v>50137</v>
      </c>
      <c r="D1769" s="5">
        <v>4.7699999999999996</v>
      </c>
      <c r="F1769" s="8">
        <v>100</v>
      </c>
      <c r="G1769" s="8">
        <v>100</v>
      </c>
      <c r="H1769" s="2">
        <f t="shared" si="85"/>
        <v>11572385</v>
      </c>
      <c r="I1769" s="12">
        <f t="shared" si="83"/>
        <v>0.20890416666666667</v>
      </c>
      <c r="J1769" s="12">
        <f t="shared" si="84"/>
        <v>0.22220401305683563</v>
      </c>
    </row>
    <row r="1770" spans="1:10" ht="15" customHeight="1">
      <c r="A1770" s="7">
        <v>44504</v>
      </c>
      <c r="B1770" s="10">
        <v>218</v>
      </c>
      <c r="C1770">
        <v>50531</v>
      </c>
      <c r="D1770" s="5">
        <v>4.93</v>
      </c>
      <c r="F1770" s="8">
        <v>100</v>
      </c>
      <c r="G1770" s="8">
        <v>100</v>
      </c>
      <c r="H1770" s="2">
        <f t="shared" si="85"/>
        <v>11622916</v>
      </c>
      <c r="I1770" s="12">
        <f t="shared" si="83"/>
        <v>0.21054583333333332</v>
      </c>
      <c r="J1770" s="12">
        <f t="shared" si="84"/>
        <v>0.22215053516819572</v>
      </c>
    </row>
    <row r="1771" spans="1:10" ht="15" customHeight="1">
      <c r="A1771" s="7">
        <v>44505</v>
      </c>
      <c r="B1771" s="10">
        <v>219</v>
      </c>
      <c r="C1771">
        <v>46727</v>
      </c>
      <c r="D1771" s="5">
        <v>4.54</v>
      </c>
      <c r="F1771" s="8">
        <v>100</v>
      </c>
      <c r="G1771" s="8">
        <v>100</v>
      </c>
      <c r="H1771" s="2">
        <f t="shared" si="85"/>
        <v>11669643</v>
      </c>
      <c r="I1771" s="12">
        <f t="shared" si="83"/>
        <v>0.19469583333333335</v>
      </c>
      <c r="J1771" s="12">
        <f t="shared" si="84"/>
        <v>0.22202517123287671</v>
      </c>
    </row>
    <row r="1772" spans="1:10" ht="15" customHeight="1">
      <c r="A1772" s="7">
        <v>44506</v>
      </c>
      <c r="B1772" s="10">
        <v>220</v>
      </c>
      <c r="C1772">
        <v>47817</v>
      </c>
      <c r="D1772" s="5">
        <v>4.63</v>
      </c>
      <c r="F1772" s="8">
        <v>100</v>
      </c>
      <c r="G1772" s="8">
        <v>100</v>
      </c>
      <c r="H1772" s="2">
        <f t="shared" si="85"/>
        <v>11717460</v>
      </c>
      <c r="I1772" s="12">
        <f t="shared" si="83"/>
        <v>0.19923750000000001</v>
      </c>
      <c r="J1772" s="12">
        <f t="shared" si="84"/>
        <v>0.22192159090909092</v>
      </c>
    </row>
    <row r="1773" spans="1:10" ht="15" customHeight="1">
      <c r="A1773" s="7">
        <v>44507</v>
      </c>
      <c r="B1773" s="10">
        <v>221</v>
      </c>
      <c r="C1773">
        <v>46830</v>
      </c>
      <c r="D1773" s="5">
        <v>4.53</v>
      </c>
      <c r="F1773" s="8">
        <v>100</v>
      </c>
      <c r="G1773" s="8">
        <v>100</v>
      </c>
      <c r="H1773" s="2">
        <f t="shared" si="85"/>
        <v>11764290</v>
      </c>
      <c r="I1773" s="12">
        <f t="shared" si="83"/>
        <v>0.19512499999999999</v>
      </c>
      <c r="J1773" s="12">
        <f t="shared" si="84"/>
        <v>0.22180033936651583</v>
      </c>
    </row>
    <row r="1774" spans="1:10" ht="15" customHeight="1">
      <c r="A1774" s="7">
        <v>44508</v>
      </c>
      <c r="B1774" s="10">
        <v>222</v>
      </c>
      <c r="C1774">
        <v>47239</v>
      </c>
      <c r="D1774" s="5">
        <v>4.5599999999999996</v>
      </c>
      <c r="F1774" s="8">
        <v>100</v>
      </c>
      <c r="G1774" s="8">
        <v>100</v>
      </c>
      <c r="H1774" s="2">
        <f t="shared" si="85"/>
        <v>11811529</v>
      </c>
      <c r="I1774" s="12">
        <f t="shared" si="83"/>
        <v>0.19682916666666667</v>
      </c>
      <c r="J1774" s="12">
        <f t="shared" si="84"/>
        <v>0.22168785660660661</v>
      </c>
    </row>
    <row r="1775" spans="1:10" ht="15" customHeight="1">
      <c r="A1775" s="7">
        <v>44509</v>
      </c>
      <c r="B1775" s="10">
        <v>223</v>
      </c>
      <c r="C1775">
        <v>46976</v>
      </c>
      <c r="D1775" s="5">
        <v>4.5199999999999996</v>
      </c>
      <c r="F1775" s="8">
        <v>100</v>
      </c>
      <c r="G1775" s="8">
        <v>100</v>
      </c>
      <c r="H1775" s="2">
        <f t="shared" si="85"/>
        <v>11858505</v>
      </c>
      <c r="I1775" s="12">
        <f t="shared" si="83"/>
        <v>0.19573333333333334</v>
      </c>
      <c r="J1775" s="12">
        <f t="shared" si="84"/>
        <v>0.22157146860986546</v>
      </c>
    </row>
    <row r="1776" spans="1:10" ht="15" customHeight="1">
      <c r="A1776" s="7">
        <v>44510</v>
      </c>
      <c r="B1776" s="10">
        <v>224</v>
      </c>
      <c r="C1776">
        <v>43846</v>
      </c>
      <c r="D1776" s="5">
        <v>4.34</v>
      </c>
      <c r="F1776" s="8">
        <v>100</v>
      </c>
      <c r="G1776" s="8">
        <v>100</v>
      </c>
      <c r="H1776" s="2">
        <f t="shared" si="85"/>
        <v>11902351</v>
      </c>
      <c r="I1776" s="12">
        <f t="shared" si="83"/>
        <v>0.18269166666666667</v>
      </c>
      <c r="J1776" s="12">
        <f t="shared" si="84"/>
        <v>0.22139789806547619</v>
      </c>
    </row>
    <row r="1777" spans="1:10" ht="15" customHeight="1">
      <c r="A1777" s="7">
        <v>44511</v>
      </c>
      <c r="B1777" s="10">
        <v>225</v>
      </c>
      <c r="C1777">
        <v>50103</v>
      </c>
      <c r="D1777" s="5">
        <v>4.72</v>
      </c>
      <c r="F1777" s="8">
        <v>100</v>
      </c>
      <c r="G1777" s="8">
        <v>100</v>
      </c>
      <c r="H1777" s="2">
        <f t="shared" si="85"/>
        <v>11952454</v>
      </c>
      <c r="I1777" s="12">
        <f t="shared" si="83"/>
        <v>0.20876249999999999</v>
      </c>
      <c r="J1777" s="12">
        <f t="shared" si="84"/>
        <v>0.22134174074074073</v>
      </c>
    </row>
    <row r="1778" spans="1:10" ht="15" customHeight="1">
      <c r="A1778" s="7">
        <v>44512</v>
      </c>
      <c r="B1778" s="10">
        <v>226</v>
      </c>
      <c r="C1778">
        <v>50962</v>
      </c>
      <c r="D1778" s="5">
        <v>4.7699999999999996</v>
      </c>
      <c r="F1778" s="8">
        <v>100</v>
      </c>
      <c r="G1778" s="8">
        <v>100</v>
      </c>
      <c r="H1778" s="2">
        <f t="shared" si="85"/>
        <v>12003416</v>
      </c>
      <c r="I1778" s="12">
        <f t="shared" si="83"/>
        <v>0.21234166666666668</v>
      </c>
      <c r="J1778" s="12">
        <f t="shared" si="84"/>
        <v>0.2213019174041298</v>
      </c>
    </row>
    <row r="1779" spans="1:10" ht="15" customHeight="1">
      <c r="A1779" s="7">
        <v>44513</v>
      </c>
      <c r="B1779" s="10">
        <v>227</v>
      </c>
      <c r="C1779">
        <v>48657</v>
      </c>
      <c r="D1779" s="5">
        <v>4.5999999999999996</v>
      </c>
      <c r="F1779" s="8">
        <v>100</v>
      </c>
      <c r="G1779" s="8">
        <v>100</v>
      </c>
      <c r="H1779" s="2">
        <f t="shared" si="85"/>
        <v>12052073</v>
      </c>
      <c r="I1779" s="12">
        <f t="shared" si="83"/>
        <v>0.20273749999999999</v>
      </c>
      <c r="J1779" s="12">
        <f t="shared" si="84"/>
        <v>0.22122013582966227</v>
      </c>
    </row>
    <row r="1780" spans="1:10" ht="15" customHeight="1">
      <c r="A1780" s="7">
        <v>44514</v>
      </c>
      <c r="B1780" s="10">
        <v>228</v>
      </c>
      <c r="C1780">
        <v>49449</v>
      </c>
      <c r="D1780" s="5">
        <v>4.66</v>
      </c>
      <c r="F1780" s="8">
        <v>100</v>
      </c>
      <c r="G1780" s="8">
        <v>100</v>
      </c>
      <c r="H1780" s="2">
        <f t="shared" si="85"/>
        <v>12101522</v>
      </c>
      <c r="I1780" s="12">
        <f t="shared" si="83"/>
        <v>0.20603750000000001</v>
      </c>
      <c r="J1780" s="12">
        <f t="shared" si="84"/>
        <v>0.22115354532163742</v>
      </c>
    </row>
    <row r="1781" spans="1:10" ht="15" customHeight="1">
      <c r="A1781" s="7">
        <v>44515</v>
      </c>
      <c r="B1781" s="10">
        <v>229</v>
      </c>
      <c r="C1781">
        <v>49949</v>
      </c>
      <c r="D1781" s="5">
        <v>4.6500000000000004</v>
      </c>
      <c r="F1781" s="8">
        <v>100</v>
      </c>
      <c r="G1781" s="8">
        <v>100</v>
      </c>
      <c r="H1781" s="2">
        <f t="shared" si="85"/>
        <v>12151471</v>
      </c>
      <c r="I1781" s="12">
        <f t="shared" si="83"/>
        <v>0.20812083333333334</v>
      </c>
      <c r="J1781" s="12">
        <f t="shared" si="84"/>
        <v>0.22109663391557496</v>
      </c>
    </row>
    <row r="1782" spans="1:10" ht="15" customHeight="1">
      <c r="A1782" s="7">
        <v>44516</v>
      </c>
      <c r="B1782" s="10">
        <v>230</v>
      </c>
      <c r="C1782">
        <v>49929</v>
      </c>
      <c r="D1782" s="5">
        <v>4.63</v>
      </c>
      <c r="F1782" s="8">
        <v>100</v>
      </c>
      <c r="G1782" s="8">
        <v>100</v>
      </c>
      <c r="H1782" s="2">
        <f t="shared" si="85"/>
        <v>12201400</v>
      </c>
      <c r="I1782" s="12">
        <f t="shared" si="83"/>
        <v>0.20803749999999999</v>
      </c>
      <c r="J1782" s="12">
        <f t="shared" si="84"/>
        <v>0.22103985507246376</v>
      </c>
    </row>
    <row r="1783" spans="1:10" ht="15" customHeight="1">
      <c r="A1783" s="7">
        <v>44517</v>
      </c>
      <c r="B1783" s="10">
        <v>231</v>
      </c>
      <c r="C1783">
        <v>44091</v>
      </c>
      <c r="D1783" s="5">
        <v>4.1900000000000004</v>
      </c>
      <c r="F1783" s="8">
        <v>100</v>
      </c>
      <c r="G1783" s="8">
        <v>100</v>
      </c>
      <c r="H1783" s="2">
        <f t="shared" si="85"/>
        <v>12245491</v>
      </c>
      <c r="I1783" s="12">
        <f t="shared" si="83"/>
        <v>0.1837125</v>
      </c>
      <c r="J1783" s="12">
        <f t="shared" si="84"/>
        <v>0.22087826479076478</v>
      </c>
    </row>
    <row r="1784" spans="1:10" ht="15" customHeight="1">
      <c r="A1784" s="7">
        <v>44518</v>
      </c>
      <c r="B1784" s="10">
        <v>232</v>
      </c>
      <c r="C1784">
        <v>46310</v>
      </c>
      <c r="D1784" s="5">
        <v>4</v>
      </c>
      <c r="F1784" s="8">
        <v>100</v>
      </c>
      <c r="G1784" s="8">
        <v>100</v>
      </c>
      <c r="H1784" s="2">
        <f t="shared" si="85"/>
        <v>12291801</v>
      </c>
      <c r="I1784" s="12">
        <f t="shared" si="83"/>
        <v>0.19295833333333334</v>
      </c>
      <c r="J1784" s="12">
        <f t="shared" si="84"/>
        <v>0.22075792025862068</v>
      </c>
    </row>
    <row r="1785" spans="1:10" ht="15" customHeight="1">
      <c r="A1785" s="7">
        <v>44519</v>
      </c>
      <c r="B1785" s="10">
        <v>233</v>
      </c>
      <c r="C1785">
        <v>45975</v>
      </c>
      <c r="D1785" s="5">
        <v>3.75</v>
      </c>
      <c r="F1785" s="8">
        <v>100</v>
      </c>
      <c r="G1785" s="8">
        <v>100</v>
      </c>
      <c r="H1785" s="2">
        <f t="shared" si="85"/>
        <v>12337776</v>
      </c>
      <c r="I1785" s="12">
        <f t="shared" si="83"/>
        <v>0.1915625</v>
      </c>
      <c r="J1785" s="12">
        <f t="shared" si="84"/>
        <v>0.22063261802575107</v>
      </c>
    </row>
    <row r="1786" spans="1:10" ht="15" customHeight="1">
      <c r="A1786" s="7">
        <v>44520</v>
      </c>
      <c r="B1786" s="10">
        <v>234</v>
      </c>
      <c r="C1786">
        <v>43024</v>
      </c>
      <c r="D1786" s="5">
        <v>3.21</v>
      </c>
      <c r="F1786" s="8">
        <v>100</v>
      </c>
      <c r="G1786" s="8">
        <v>100</v>
      </c>
      <c r="H1786" s="2">
        <f t="shared" si="85"/>
        <v>12380800</v>
      </c>
      <c r="I1786" s="12">
        <f t="shared" si="83"/>
        <v>0.17926666666666666</v>
      </c>
      <c r="J1786" s="12">
        <f t="shared" si="84"/>
        <v>0.22045584045584046</v>
      </c>
    </row>
    <row r="1787" spans="1:10" ht="15" customHeight="1">
      <c r="A1787" s="7">
        <v>44521</v>
      </c>
      <c r="B1787" s="10">
        <v>235</v>
      </c>
      <c r="C1787">
        <v>43245</v>
      </c>
      <c r="D1787" s="5">
        <v>3.76</v>
      </c>
      <c r="F1787" s="8">
        <v>100</v>
      </c>
      <c r="G1787" s="8">
        <v>100</v>
      </c>
      <c r="H1787" s="2">
        <f t="shared" si="85"/>
        <v>12424045</v>
      </c>
      <c r="I1787" s="12">
        <f t="shared" si="83"/>
        <v>0.1801875</v>
      </c>
      <c r="J1787" s="12">
        <f t="shared" si="84"/>
        <v>0.22028448581560284</v>
      </c>
    </row>
    <row r="1788" spans="1:10" ht="15" customHeight="1">
      <c r="A1788" s="7">
        <v>44522</v>
      </c>
      <c r="B1788" s="10">
        <v>236</v>
      </c>
      <c r="C1788">
        <v>50368</v>
      </c>
      <c r="D1788" s="5">
        <v>4.28</v>
      </c>
      <c r="F1788" s="8">
        <v>100</v>
      </c>
      <c r="G1788" s="8">
        <v>100</v>
      </c>
      <c r="H1788" s="2">
        <f t="shared" si="85"/>
        <v>12474413</v>
      </c>
      <c r="I1788" s="12">
        <f t="shared" si="83"/>
        <v>0.20986666666666667</v>
      </c>
      <c r="J1788" s="12">
        <f t="shared" si="84"/>
        <v>0.2202403425141243</v>
      </c>
    </row>
    <row r="1789" spans="1:10" ht="15" customHeight="1">
      <c r="A1789" s="7">
        <v>44523</v>
      </c>
      <c r="B1789" s="10">
        <v>237</v>
      </c>
      <c r="C1789">
        <v>51793</v>
      </c>
      <c r="D1789" s="5">
        <v>4.33</v>
      </c>
      <c r="F1789" s="8">
        <v>100</v>
      </c>
      <c r="G1789" s="8">
        <v>100</v>
      </c>
      <c r="H1789" s="2">
        <f t="shared" si="85"/>
        <v>12526206</v>
      </c>
      <c r="I1789" s="12">
        <f t="shared" si="83"/>
        <v>0.21580416666666666</v>
      </c>
      <c r="J1789" s="12">
        <f t="shared" si="84"/>
        <v>0.22022162447257385</v>
      </c>
    </row>
    <row r="1790" spans="1:10" ht="15" customHeight="1">
      <c r="A1790" s="7">
        <v>44524</v>
      </c>
      <c r="B1790" s="10">
        <v>238</v>
      </c>
      <c r="C1790">
        <v>50653</v>
      </c>
      <c r="D1790" s="5">
        <v>4.28</v>
      </c>
      <c r="F1790" s="8">
        <v>100</v>
      </c>
      <c r="G1790" s="8">
        <v>100</v>
      </c>
      <c r="H1790" s="2">
        <f t="shared" si="85"/>
        <v>12576859</v>
      </c>
      <c r="I1790" s="12">
        <f t="shared" si="83"/>
        <v>0.21105416666666665</v>
      </c>
      <c r="J1790" s="12">
        <f t="shared" si="84"/>
        <v>0.22018310574229691</v>
      </c>
    </row>
    <row r="1791" spans="1:10" ht="15" customHeight="1">
      <c r="A1791" s="7">
        <v>44525</v>
      </c>
      <c r="B1791" s="10">
        <v>239</v>
      </c>
      <c r="C1791">
        <v>49823</v>
      </c>
      <c r="D1791" s="5">
        <v>4.2</v>
      </c>
      <c r="F1791" s="8">
        <v>100</v>
      </c>
      <c r="G1791" s="8">
        <v>100</v>
      </c>
      <c r="H1791" s="2">
        <f t="shared" si="85"/>
        <v>12626682</v>
      </c>
      <c r="I1791" s="12">
        <f t="shared" si="83"/>
        <v>0.20759583333333334</v>
      </c>
      <c r="J1791" s="12">
        <f t="shared" si="84"/>
        <v>0.22013043933054394</v>
      </c>
    </row>
    <row r="1792" spans="1:10" ht="15" customHeight="1">
      <c r="A1792" s="7">
        <v>44526</v>
      </c>
      <c r="B1792" s="10">
        <v>240</v>
      </c>
      <c r="C1792">
        <v>49528</v>
      </c>
      <c r="D1792" s="5">
        <v>4.1500000000000004</v>
      </c>
      <c r="F1792" s="8">
        <v>100</v>
      </c>
      <c r="G1792" s="8">
        <v>100</v>
      </c>
      <c r="H1792" s="2">
        <f t="shared" si="85"/>
        <v>12676210</v>
      </c>
      <c r="I1792" s="12">
        <f t="shared" si="83"/>
        <v>0.20636666666666667</v>
      </c>
      <c r="J1792" s="12">
        <f t="shared" si="84"/>
        <v>0.22007309027777777</v>
      </c>
    </row>
    <row r="1793" spans="1:10" ht="15" customHeight="1">
      <c r="A1793" s="7">
        <v>44527</v>
      </c>
      <c r="B1793" s="10">
        <v>241</v>
      </c>
      <c r="C1793">
        <v>48882</v>
      </c>
      <c r="D1793" s="5">
        <v>4.1100000000000003</v>
      </c>
      <c r="F1793" s="8">
        <v>100</v>
      </c>
      <c r="G1793" s="8">
        <v>100</v>
      </c>
      <c r="H1793" s="2">
        <f t="shared" si="85"/>
        <v>12725092</v>
      </c>
      <c r="I1793" s="12">
        <f t="shared" si="83"/>
        <v>0.20367499999999999</v>
      </c>
      <c r="J1793" s="12">
        <f t="shared" si="84"/>
        <v>0.22000504840940527</v>
      </c>
    </row>
    <row r="1794" spans="1:10" ht="15" customHeight="1">
      <c r="A1794" s="7">
        <v>44528</v>
      </c>
      <c r="B1794" s="10">
        <v>242</v>
      </c>
      <c r="C1794">
        <v>47634</v>
      </c>
      <c r="D1794" s="5">
        <v>3.97</v>
      </c>
      <c r="F1794" s="8">
        <v>100</v>
      </c>
      <c r="G1794" s="8">
        <v>100</v>
      </c>
      <c r="H1794" s="2">
        <f t="shared" si="85"/>
        <v>12772726</v>
      </c>
      <c r="I1794" s="12">
        <f t="shared" si="83"/>
        <v>0.19847500000000001</v>
      </c>
      <c r="J1794" s="12">
        <f t="shared" si="84"/>
        <v>0.21991608126721762</v>
      </c>
    </row>
    <row r="1795" spans="1:10" ht="15" customHeight="1">
      <c r="A1795" s="7">
        <v>44529</v>
      </c>
      <c r="B1795" s="10">
        <v>243</v>
      </c>
      <c r="C1795">
        <v>46643</v>
      </c>
      <c r="D1795" s="5">
        <v>3.92</v>
      </c>
      <c r="F1795" s="8">
        <v>100</v>
      </c>
      <c r="G1795" s="8">
        <v>100</v>
      </c>
      <c r="H1795" s="2">
        <f t="shared" si="85"/>
        <v>12819369</v>
      </c>
      <c r="I1795" s="12">
        <f t="shared" ref="I1795:I1858" si="86">C1795/(10*24*1000)</f>
        <v>0.19434583333333333</v>
      </c>
      <c r="J1795" s="12">
        <f t="shared" si="84"/>
        <v>0.21981085390946503</v>
      </c>
    </row>
    <row r="1796" spans="1:10" ht="15" customHeight="1">
      <c r="A1796" s="7">
        <v>44530</v>
      </c>
      <c r="B1796" s="10">
        <v>244</v>
      </c>
      <c r="C1796">
        <v>49006</v>
      </c>
      <c r="D1796" s="5">
        <v>4.0199999999999996</v>
      </c>
      <c r="F1796" s="8">
        <v>100</v>
      </c>
      <c r="G1796" s="8">
        <v>100</v>
      </c>
      <c r="H1796" s="2">
        <f t="shared" si="85"/>
        <v>12868375</v>
      </c>
      <c r="I1796" s="12">
        <f t="shared" si="86"/>
        <v>0.20419166666666666</v>
      </c>
      <c r="J1796" s="12">
        <f t="shared" ref="J1796:J1859" si="87">H1796/(24*B1796*10*1000)</f>
        <v>0.21974684084699453</v>
      </c>
    </row>
    <row r="1797" spans="1:10" ht="15" customHeight="1">
      <c r="A1797" s="7">
        <v>44531</v>
      </c>
      <c r="B1797" s="10">
        <v>245</v>
      </c>
      <c r="C1797">
        <v>20886</v>
      </c>
      <c r="D1797" s="5">
        <v>2.06</v>
      </c>
      <c r="F1797" s="8">
        <v>100</v>
      </c>
      <c r="G1797" s="8">
        <v>100</v>
      </c>
      <c r="H1797" s="2">
        <f t="shared" si="85"/>
        <v>12889261</v>
      </c>
      <c r="I1797" s="12">
        <f t="shared" si="86"/>
        <v>8.7025000000000005E-2</v>
      </c>
      <c r="J1797" s="12">
        <f t="shared" si="87"/>
        <v>0.21920511904761905</v>
      </c>
    </row>
    <row r="1798" spans="1:10" ht="15" customHeight="1">
      <c r="A1798" s="7">
        <v>44532</v>
      </c>
      <c r="B1798" s="10">
        <v>246</v>
      </c>
      <c r="C1798">
        <v>29199</v>
      </c>
      <c r="D1798" s="5">
        <v>2.66</v>
      </c>
      <c r="F1798" s="8">
        <v>100</v>
      </c>
      <c r="G1798" s="8">
        <v>100</v>
      </c>
      <c r="H1798" s="2">
        <f t="shared" si="85"/>
        <v>12918460</v>
      </c>
      <c r="I1798" s="12">
        <f t="shared" si="86"/>
        <v>0.12166250000000001</v>
      </c>
      <c r="J1798" s="12">
        <f t="shared" si="87"/>
        <v>0.21880860433604335</v>
      </c>
    </row>
    <row r="1799" spans="1:10" ht="15" customHeight="1">
      <c r="A1799" s="7">
        <v>44533</v>
      </c>
      <c r="B1799" s="10">
        <v>247</v>
      </c>
      <c r="C1799">
        <v>49278</v>
      </c>
      <c r="D1799" s="5">
        <v>4</v>
      </c>
      <c r="F1799" s="8">
        <v>100</v>
      </c>
      <c r="G1799" s="8">
        <v>100</v>
      </c>
      <c r="H1799" s="2">
        <f t="shared" si="85"/>
        <v>12967738</v>
      </c>
      <c r="I1799" s="12">
        <f t="shared" si="86"/>
        <v>0.20532500000000001</v>
      </c>
      <c r="J1799" s="12">
        <f t="shared" si="87"/>
        <v>0.21875401484480431</v>
      </c>
    </row>
    <row r="1800" spans="1:10" ht="15" customHeight="1">
      <c r="A1800" s="7">
        <v>44534</v>
      </c>
      <c r="B1800" s="10">
        <v>248</v>
      </c>
      <c r="C1800">
        <v>42229</v>
      </c>
      <c r="D1800" s="5">
        <v>3.73</v>
      </c>
      <c r="F1800" s="8">
        <v>100</v>
      </c>
      <c r="G1800" s="8">
        <v>100</v>
      </c>
      <c r="H1800" s="2">
        <f t="shared" si="85"/>
        <v>13009967</v>
      </c>
      <c r="I1800" s="12">
        <f t="shared" si="86"/>
        <v>0.17595416666666666</v>
      </c>
      <c r="J1800" s="12">
        <f t="shared" si="87"/>
        <v>0.21858143481182796</v>
      </c>
    </row>
    <row r="1801" spans="1:10" ht="15" customHeight="1">
      <c r="A1801" s="7">
        <v>44535</v>
      </c>
      <c r="B1801" s="10">
        <v>249</v>
      </c>
      <c r="C1801">
        <v>44835</v>
      </c>
      <c r="D1801" s="5">
        <v>3.69</v>
      </c>
      <c r="F1801" s="8">
        <v>100</v>
      </c>
      <c r="G1801" s="8">
        <v>100</v>
      </c>
      <c r="H1801" s="2">
        <f t="shared" si="85"/>
        <v>13054802</v>
      </c>
      <c r="I1801" s="12">
        <f t="shared" si="86"/>
        <v>0.18681249999999999</v>
      </c>
      <c r="J1801" s="12">
        <f t="shared" si="87"/>
        <v>0.21845384872824633</v>
      </c>
    </row>
    <row r="1802" spans="1:10" ht="15" customHeight="1">
      <c r="A1802" s="7">
        <v>44536</v>
      </c>
      <c r="B1802" s="10">
        <v>250</v>
      </c>
      <c r="C1802">
        <v>43283</v>
      </c>
      <c r="D1802" s="5">
        <v>3.56</v>
      </c>
      <c r="F1802" s="8">
        <v>100</v>
      </c>
      <c r="G1802" s="8">
        <v>100</v>
      </c>
      <c r="H1802" s="2">
        <f t="shared" si="85"/>
        <v>13098085</v>
      </c>
      <c r="I1802" s="12">
        <f t="shared" si="86"/>
        <v>0.18034583333333334</v>
      </c>
      <c r="J1802" s="12">
        <f t="shared" si="87"/>
        <v>0.21830141666666666</v>
      </c>
    </row>
    <row r="1803" spans="1:10" ht="15" customHeight="1">
      <c r="A1803" s="7">
        <v>44537</v>
      </c>
      <c r="B1803" s="10">
        <v>251</v>
      </c>
      <c r="C1803">
        <v>43447</v>
      </c>
      <c r="D1803" s="5">
        <v>3.66</v>
      </c>
      <c r="F1803" s="8">
        <v>100</v>
      </c>
      <c r="G1803" s="8">
        <v>100</v>
      </c>
      <c r="H1803" s="2">
        <f t="shared" si="85"/>
        <v>13141532</v>
      </c>
      <c r="I1803" s="12">
        <f t="shared" si="86"/>
        <v>0.18102916666666666</v>
      </c>
      <c r="J1803" s="12">
        <f t="shared" si="87"/>
        <v>0.21815292164674635</v>
      </c>
    </row>
    <row r="1804" spans="1:10" ht="15" customHeight="1">
      <c r="A1804" s="7">
        <v>44538</v>
      </c>
      <c r="B1804" s="10">
        <v>252</v>
      </c>
      <c r="C1804">
        <v>49210</v>
      </c>
      <c r="D1804" s="5">
        <v>3.95</v>
      </c>
      <c r="F1804" s="8">
        <v>100</v>
      </c>
      <c r="G1804" s="8">
        <v>100</v>
      </c>
      <c r="H1804" s="2">
        <f t="shared" si="85"/>
        <v>13190742</v>
      </c>
      <c r="I1804" s="12">
        <f t="shared" si="86"/>
        <v>0.20504166666666668</v>
      </c>
      <c r="J1804" s="12">
        <f t="shared" si="87"/>
        <v>0.21810089285714285</v>
      </c>
    </row>
    <row r="1805" spans="1:10" ht="15" customHeight="1">
      <c r="A1805" s="7">
        <v>44539</v>
      </c>
      <c r="B1805" s="10">
        <v>253</v>
      </c>
      <c r="C1805">
        <v>51495</v>
      </c>
      <c r="D1805" s="5">
        <v>4.1100000000000003</v>
      </c>
      <c r="F1805" s="8">
        <v>100</v>
      </c>
      <c r="G1805" s="8">
        <v>100</v>
      </c>
      <c r="H1805" s="2">
        <f t="shared" si="85"/>
        <v>13242237</v>
      </c>
      <c r="I1805" s="12">
        <f t="shared" si="86"/>
        <v>0.21456249999999999</v>
      </c>
      <c r="J1805" s="12">
        <f t="shared" si="87"/>
        <v>0.2180869071146245</v>
      </c>
    </row>
    <row r="1806" spans="1:10" ht="15" customHeight="1">
      <c r="A1806" s="7">
        <v>44540</v>
      </c>
      <c r="B1806" s="10">
        <v>254</v>
      </c>
      <c r="C1806">
        <v>49193</v>
      </c>
      <c r="D1806" s="5">
        <v>3.94</v>
      </c>
      <c r="F1806" s="8">
        <v>100</v>
      </c>
      <c r="G1806" s="8">
        <v>100</v>
      </c>
      <c r="H1806" s="2">
        <f t="shared" si="85"/>
        <v>13291430</v>
      </c>
      <c r="I1806" s="12">
        <f t="shared" si="86"/>
        <v>0.20497083333333332</v>
      </c>
      <c r="J1806" s="12">
        <f t="shared" si="87"/>
        <v>0.21803526902887138</v>
      </c>
    </row>
    <row r="1807" spans="1:10" ht="15" customHeight="1">
      <c r="A1807" s="7">
        <v>44541</v>
      </c>
      <c r="B1807" s="10">
        <v>255</v>
      </c>
      <c r="C1807">
        <v>49381</v>
      </c>
      <c r="D1807" s="5">
        <v>3.99</v>
      </c>
      <c r="F1807" s="8">
        <v>100</v>
      </c>
      <c r="G1807" s="8">
        <v>100</v>
      </c>
      <c r="H1807" s="2">
        <f t="shared" si="85"/>
        <v>13340811</v>
      </c>
      <c r="I1807" s="12">
        <f t="shared" si="86"/>
        <v>0.20575416666666665</v>
      </c>
      <c r="J1807" s="12">
        <f t="shared" si="87"/>
        <v>0.21798710784313727</v>
      </c>
    </row>
    <row r="1808" spans="1:10" ht="15" customHeight="1">
      <c r="A1808" s="7">
        <v>44542</v>
      </c>
      <c r="B1808" s="10">
        <v>256</v>
      </c>
      <c r="C1808">
        <v>51049</v>
      </c>
      <c r="D1808" s="5">
        <v>4.08</v>
      </c>
      <c r="F1808" s="8">
        <v>100</v>
      </c>
      <c r="G1808" s="8">
        <v>100</v>
      </c>
      <c r="H1808" s="2">
        <f t="shared" si="85"/>
        <v>13391860</v>
      </c>
      <c r="I1808" s="12">
        <f t="shared" si="86"/>
        <v>0.21270416666666667</v>
      </c>
      <c r="J1808" s="12">
        <f t="shared" si="87"/>
        <v>0.21796647135416666</v>
      </c>
    </row>
    <row r="1809" spans="1:10" ht="15" customHeight="1">
      <c r="A1809" s="7">
        <v>44543</v>
      </c>
      <c r="B1809" s="10">
        <v>257</v>
      </c>
      <c r="C1809">
        <v>38011</v>
      </c>
      <c r="D1809" s="5">
        <v>3.22</v>
      </c>
      <c r="F1809" s="8">
        <v>100</v>
      </c>
      <c r="G1809" s="8">
        <v>100</v>
      </c>
      <c r="H1809" s="2">
        <f t="shared" si="85"/>
        <v>13429871</v>
      </c>
      <c r="I1809" s="12">
        <f t="shared" si="86"/>
        <v>0.15837916666666665</v>
      </c>
      <c r="J1809" s="12">
        <f t="shared" si="87"/>
        <v>0.2177346141374838</v>
      </c>
    </row>
    <row r="1810" spans="1:10" ht="15" customHeight="1">
      <c r="A1810" s="7">
        <v>44544</v>
      </c>
      <c r="B1810" s="10">
        <v>258</v>
      </c>
      <c r="C1810">
        <v>45513</v>
      </c>
      <c r="D1810" s="5">
        <v>3.82</v>
      </c>
      <c r="F1810" s="8">
        <v>100</v>
      </c>
      <c r="G1810" s="8">
        <v>100</v>
      </c>
      <c r="H1810" s="2">
        <f t="shared" ref="H1810:H1873" si="88">H1809+C1810</f>
        <v>13475384</v>
      </c>
      <c r="I1810" s="12">
        <f t="shared" si="86"/>
        <v>0.18963749999999999</v>
      </c>
      <c r="J1810" s="12">
        <f t="shared" si="87"/>
        <v>0.21762571059431524</v>
      </c>
    </row>
    <row r="1811" spans="1:10" ht="15" customHeight="1">
      <c r="A1811" s="7">
        <v>44545</v>
      </c>
      <c r="B1811" s="10">
        <v>259</v>
      </c>
      <c r="C1811">
        <v>44805</v>
      </c>
      <c r="D1811" s="5">
        <v>3.64</v>
      </c>
      <c r="F1811" s="8">
        <v>100</v>
      </c>
      <c r="G1811" s="8">
        <v>100</v>
      </c>
      <c r="H1811" s="2">
        <f t="shared" si="88"/>
        <v>13520189</v>
      </c>
      <c r="I1811" s="12">
        <f t="shared" si="86"/>
        <v>0.18668750000000001</v>
      </c>
      <c r="J1811" s="12">
        <f t="shared" si="87"/>
        <v>0.21750625804375803</v>
      </c>
    </row>
    <row r="1812" spans="1:10" ht="15" customHeight="1">
      <c r="A1812" s="7">
        <v>44546</v>
      </c>
      <c r="B1812" s="10">
        <v>260</v>
      </c>
      <c r="C1812">
        <v>46433</v>
      </c>
      <c r="D1812" s="5">
        <v>3.73</v>
      </c>
      <c r="F1812" s="8">
        <v>100</v>
      </c>
      <c r="G1812" s="8">
        <v>100</v>
      </c>
      <c r="H1812" s="2">
        <f t="shared" si="88"/>
        <v>13566622</v>
      </c>
      <c r="I1812" s="12">
        <f t="shared" si="86"/>
        <v>0.19347083333333334</v>
      </c>
      <c r="J1812" s="12">
        <f t="shared" si="87"/>
        <v>0.21741381410256411</v>
      </c>
    </row>
    <row r="1813" spans="1:10" ht="15" customHeight="1">
      <c r="A1813" s="7">
        <v>44547</v>
      </c>
      <c r="B1813" s="10">
        <v>261</v>
      </c>
      <c r="C1813">
        <v>37469</v>
      </c>
      <c r="D1813" s="5">
        <v>3.77</v>
      </c>
      <c r="F1813" s="8">
        <v>79.997207873795901</v>
      </c>
      <c r="G1813" s="8">
        <v>100</v>
      </c>
      <c r="H1813" s="2">
        <f t="shared" si="88"/>
        <v>13604091</v>
      </c>
      <c r="I1813" s="12">
        <f t="shared" si="86"/>
        <v>0.15612083333333332</v>
      </c>
      <c r="J1813" s="12">
        <f t="shared" si="87"/>
        <v>0.21717897509578543</v>
      </c>
    </row>
    <row r="1814" spans="1:10" ht="15" customHeight="1">
      <c r="A1814" s="7">
        <v>44548</v>
      </c>
      <c r="B1814" s="10">
        <v>262</v>
      </c>
      <c r="C1814">
        <v>48662</v>
      </c>
      <c r="D1814" s="5">
        <v>4.21</v>
      </c>
      <c r="F1814" s="8">
        <v>88.136250346164502</v>
      </c>
      <c r="G1814" s="8">
        <v>100</v>
      </c>
      <c r="H1814" s="2">
        <f t="shared" si="88"/>
        <v>13652753</v>
      </c>
      <c r="I1814" s="12">
        <f t="shared" si="86"/>
        <v>0.20275833333333335</v>
      </c>
      <c r="J1814" s="12">
        <f t="shared" si="87"/>
        <v>0.2171239344783715</v>
      </c>
    </row>
    <row r="1815" spans="1:10" ht="15" customHeight="1">
      <c r="A1815" s="7">
        <v>44549</v>
      </c>
      <c r="B1815" s="10">
        <v>263</v>
      </c>
      <c r="C1815">
        <v>48638</v>
      </c>
      <c r="D1815" s="5">
        <v>4.22</v>
      </c>
      <c r="F1815" s="8">
        <v>100</v>
      </c>
      <c r="G1815" s="8">
        <v>100</v>
      </c>
      <c r="H1815" s="2">
        <f t="shared" si="88"/>
        <v>13701391</v>
      </c>
      <c r="I1815" s="12">
        <f t="shared" si="86"/>
        <v>0.20265833333333333</v>
      </c>
      <c r="J1815" s="12">
        <f t="shared" si="87"/>
        <v>0.21706893219264892</v>
      </c>
    </row>
    <row r="1816" spans="1:10" ht="15" customHeight="1">
      <c r="A1816" s="7">
        <v>44550</v>
      </c>
      <c r="B1816" s="10">
        <v>264</v>
      </c>
      <c r="C1816">
        <v>51803</v>
      </c>
      <c r="D1816" s="5">
        <v>4.05</v>
      </c>
      <c r="F1816" s="8">
        <v>100</v>
      </c>
      <c r="G1816" s="8">
        <v>100</v>
      </c>
      <c r="H1816" s="2">
        <f t="shared" si="88"/>
        <v>13753194</v>
      </c>
      <c r="I1816" s="12">
        <f t="shared" si="86"/>
        <v>0.21584583333333332</v>
      </c>
      <c r="J1816" s="12">
        <f t="shared" si="87"/>
        <v>0.21706429924242424</v>
      </c>
    </row>
    <row r="1817" spans="1:10" ht="15" customHeight="1">
      <c r="A1817" s="7">
        <v>44551</v>
      </c>
      <c r="B1817" s="10">
        <v>265</v>
      </c>
      <c r="C1817">
        <v>49995</v>
      </c>
      <c r="D1817" s="5">
        <v>3.97</v>
      </c>
      <c r="F1817" s="8">
        <v>100</v>
      </c>
      <c r="G1817" s="8">
        <v>100</v>
      </c>
      <c r="H1817" s="2">
        <f t="shared" si="88"/>
        <v>13803189</v>
      </c>
      <c r="I1817" s="12">
        <f t="shared" si="86"/>
        <v>0.20831250000000001</v>
      </c>
      <c r="J1817" s="12">
        <f t="shared" si="87"/>
        <v>0.21703127358490565</v>
      </c>
    </row>
    <row r="1818" spans="1:10" ht="15" customHeight="1">
      <c r="A1818" s="7">
        <v>44552</v>
      </c>
      <c r="B1818" s="10">
        <v>266</v>
      </c>
      <c r="C1818">
        <v>48465</v>
      </c>
      <c r="D1818" s="5">
        <v>3.85</v>
      </c>
      <c r="F1818" s="8">
        <v>100</v>
      </c>
      <c r="G1818" s="8">
        <v>100</v>
      </c>
      <c r="H1818" s="2">
        <f t="shared" si="88"/>
        <v>13851654</v>
      </c>
      <c r="I1818" s="12">
        <f t="shared" si="86"/>
        <v>0.20193749999999999</v>
      </c>
      <c r="J1818" s="12">
        <f t="shared" si="87"/>
        <v>0.21697453007518797</v>
      </c>
    </row>
    <row r="1819" spans="1:10" ht="15" customHeight="1">
      <c r="A1819" s="7">
        <v>44553</v>
      </c>
      <c r="B1819" s="10">
        <v>267</v>
      </c>
      <c r="C1819">
        <v>16348</v>
      </c>
      <c r="D1819" s="5">
        <v>1.66</v>
      </c>
      <c r="F1819" s="8">
        <v>100</v>
      </c>
      <c r="G1819" s="8">
        <v>100</v>
      </c>
      <c r="H1819" s="2">
        <f t="shared" si="88"/>
        <v>13868002</v>
      </c>
      <c r="I1819" s="12">
        <f t="shared" si="86"/>
        <v>6.8116666666666673E-2</v>
      </c>
      <c r="J1819" s="12">
        <f t="shared" si="87"/>
        <v>0.21641700998751562</v>
      </c>
    </row>
    <row r="1820" spans="1:10" ht="15" customHeight="1">
      <c r="A1820" s="7">
        <v>44554</v>
      </c>
      <c r="B1820" s="10">
        <v>268</v>
      </c>
      <c r="C1820">
        <v>35210</v>
      </c>
      <c r="D1820" s="5">
        <v>3.06</v>
      </c>
      <c r="F1820" s="8">
        <v>100</v>
      </c>
      <c r="G1820" s="8">
        <v>100</v>
      </c>
      <c r="H1820" s="2">
        <f t="shared" si="88"/>
        <v>13903212</v>
      </c>
      <c r="I1820" s="12">
        <f t="shared" si="86"/>
        <v>0.14670833333333333</v>
      </c>
      <c r="J1820" s="12">
        <f t="shared" si="87"/>
        <v>0.21615690298507462</v>
      </c>
    </row>
    <row r="1821" spans="1:10" ht="15" customHeight="1">
      <c r="A1821" s="7">
        <v>44555</v>
      </c>
      <c r="B1821" s="10">
        <v>269</v>
      </c>
      <c r="C1821">
        <v>38858</v>
      </c>
      <c r="D1821" s="5">
        <v>3.24</v>
      </c>
      <c r="F1821" s="8">
        <v>100</v>
      </c>
      <c r="G1821" s="8">
        <v>100</v>
      </c>
      <c r="H1821" s="2">
        <f t="shared" si="88"/>
        <v>13942070</v>
      </c>
      <c r="I1821" s="12">
        <f t="shared" si="86"/>
        <v>0.16190833333333332</v>
      </c>
      <c r="J1821" s="12">
        <f t="shared" si="87"/>
        <v>0.21595523543990086</v>
      </c>
    </row>
    <row r="1822" spans="1:10" ht="15" customHeight="1">
      <c r="A1822" s="7">
        <v>44556</v>
      </c>
      <c r="B1822" s="10">
        <v>270</v>
      </c>
      <c r="C1822">
        <v>8999</v>
      </c>
      <c r="D1822" s="5">
        <v>1.01</v>
      </c>
      <c r="F1822" s="8">
        <v>100</v>
      </c>
      <c r="G1822" s="8">
        <v>100</v>
      </c>
      <c r="H1822" s="2">
        <f t="shared" si="88"/>
        <v>13951069</v>
      </c>
      <c r="I1822" s="12">
        <f t="shared" si="86"/>
        <v>3.7495833333333332E-2</v>
      </c>
      <c r="J1822" s="12">
        <f t="shared" si="87"/>
        <v>0.21529427469135803</v>
      </c>
    </row>
    <row r="1823" spans="1:10" ht="15" customHeight="1">
      <c r="A1823" s="7">
        <v>44557</v>
      </c>
      <c r="B1823" s="10">
        <v>271</v>
      </c>
      <c r="C1823">
        <v>35159</v>
      </c>
      <c r="D1823" s="5">
        <v>3.09</v>
      </c>
      <c r="F1823" s="8">
        <v>100</v>
      </c>
      <c r="G1823" s="8">
        <v>100</v>
      </c>
      <c r="H1823" s="2">
        <f t="shared" si="88"/>
        <v>13986228</v>
      </c>
      <c r="I1823" s="12">
        <f t="shared" si="86"/>
        <v>0.14649583333333333</v>
      </c>
      <c r="J1823" s="12">
        <f t="shared" si="87"/>
        <v>0.21504040590405904</v>
      </c>
    </row>
    <row r="1824" spans="1:10" ht="15" customHeight="1">
      <c r="A1824" s="7">
        <v>44558</v>
      </c>
      <c r="B1824" s="10">
        <v>272</v>
      </c>
      <c r="C1824">
        <v>10868</v>
      </c>
      <c r="D1824" s="5">
        <v>1.23</v>
      </c>
      <c r="F1824" s="8">
        <v>100</v>
      </c>
      <c r="G1824" s="8">
        <v>100</v>
      </c>
      <c r="H1824" s="2">
        <f t="shared" si="88"/>
        <v>13997096</v>
      </c>
      <c r="I1824" s="12">
        <f t="shared" si="86"/>
        <v>4.5283333333333335E-2</v>
      </c>
      <c r="J1824" s="12">
        <f t="shared" si="87"/>
        <v>0.21441629901960785</v>
      </c>
    </row>
    <row r="1825" spans="1:10" ht="15" customHeight="1">
      <c r="A1825" s="7">
        <v>44559</v>
      </c>
      <c r="B1825" s="10">
        <v>273</v>
      </c>
      <c r="C1825">
        <v>45695</v>
      </c>
      <c r="D1825" s="5">
        <v>3.66</v>
      </c>
      <c r="F1825" s="8">
        <v>100</v>
      </c>
      <c r="G1825" s="8">
        <v>100</v>
      </c>
      <c r="H1825" s="2">
        <f t="shared" si="88"/>
        <v>14042791</v>
      </c>
      <c r="I1825" s="12">
        <f t="shared" si="86"/>
        <v>0.19039583333333332</v>
      </c>
      <c r="J1825" s="12">
        <f t="shared" si="87"/>
        <v>0.21432831196581198</v>
      </c>
    </row>
    <row r="1826" spans="1:10" ht="15" customHeight="1">
      <c r="A1826" s="7">
        <v>44560</v>
      </c>
      <c r="B1826" s="10">
        <v>274</v>
      </c>
      <c r="C1826">
        <v>37433</v>
      </c>
      <c r="D1826" s="5">
        <v>3.14</v>
      </c>
      <c r="F1826" s="8">
        <v>100</v>
      </c>
      <c r="G1826" s="8">
        <v>100</v>
      </c>
      <c r="H1826" s="2">
        <f t="shared" si="88"/>
        <v>14080224</v>
      </c>
      <c r="I1826" s="12">
        <f t="shared" si="86"/>
        <v>0.15597083333333334</v>
      </c>
      <c r="J1826" s="12">
        <f t="shared" si="87"/>
        <v>0.21411532846715328</v>
      </c>
    </row>
    <row r="1827" spans="1:10" ht="15" customHeight="1">
      <c r="A1827" s="7">
        <v>44561</v>
      </c>
      <c r="B1827" s="10">
        <v>275</v>
      </c>
      <c r="C1827">
        <v>32230</v>
      </c>
      <c r="D1827" s="5">
        <v>2.86</v>
      </c>
      <c r="F1827" s="8">
        <v>100</v>
      </c>
      <c r="G1827" s="8">
        <v>100</v>
      </c>
      <c r="H1827" s="2">
        <f t="shared" si="88"/>
        <v>14112454</v>
      </c>
      <c r="I1827" s="12">
        <f t="shared" si="86"/>
        <v>0.13429166666666667</v>
      </c>
      <c r="J1827" s="12">
        <f t="shared" si="87"/>
        <v>0.2138250606060606</v>
      </c>
    </row>
    <row r="1828" spans="1:10" ht="15" customHeight="1">
      <c r="A1828" s="7">
        <v>44562</v>
      </c>
      <c r="B1828" s="10">
        <v>276</v>
      </c>
      <c r="C1828">
        <v>49904</v>
      </c>
      <c r="D1828" s="5">
        <v>3.98</v>
      </c>
      <c r="F1828" s="8">
        <v>100</v>
      </c>
      <c r="G1828" s="8">
        <v>100</v>
      </c>
      <c r="H1828" s="2">
        <f t="shared" si="88"/>
        <v>14162358</v>
      </c>
      <c r="I1828" s="12">
        <f t="shared" si="86"/>
        <v>0.20793333333333333</v>
      </c>
      <c r="J1828" s="12">
        <f t="shared" si="87"/>
        <v>0.21380371376811594</v>
      </c>
    </row>
    <row r="1829" spans="1:10" ht="15" customHeight="1">
      <c r="A1829" s="7">
        <v>44563</v>
      </c>
      <c r="B1829" s="10">
        <v>277</v>
      </c>
      <c r="C1829">
        <v>47681</v>
      </c>
      <c r="D1829" s="5">
        <v>3.82</v>
      </c>
      <c r="F1829" s="8">
        <v>100</v>
      </c>
      <c r="G1829" s="8">
        <v>100</v>
      </c>
      <c r="H1829" s="2">
        <f t="shared" si="88"/>
        <v>14210039</v>
      </c>
      <c r="I1829" s="12">
        <f t="shared" si="86"/>
        <v>0.19867083333333332</v>
      </c>
      <c r="J1829" s="12">
        <f t="shared" si="87"/>
        <v>0.21374908243080626</v>
      </c>
    </row>
    <row r="1830" spans="1:10" ht="15" customHeight="1">
      <c r="A1830" s="7">
        <v>44564</v>
      </c>
      <c r="B1830" s="10">
        <v>278</v>
      </c>
      <c r="C1830">
        <v>44688</v>
      </c>
      <c r="D1830" s="5">
        <v>3.7</v>
      </c>
      <c r="F1830" s="8">
        <v>100</v>
      </c>
      <c r="G1830" s="8">
        <v>100</v>
      </c>
      <c r="H1830" s="2">
        <f t="shared" si="88"/>
        <v>14254727</v>
      </c>
      <c r="I1830" s="12">
        <f t="shared" si="86"/>
        <v>0.1862</v>
      </c>
      <c r="J1830" s="12">
        <f t="shared" si="87"/>
        <v>0.2136499850119904</v>
      </c>
    </row>
    <row r="1831" spans="1:10" ht="15" customHeight="1">
      <c r="A1831" s="7">
        <v>44565</v>
      </c>
      <c r="B1831" s="10">
        <v>279</v>
      </c>
      <c r="C1831">
        <v>23815</v>
      </c>
      <c r="D1831" s="5">
        <v>2.25</v>
      </c>
      <c r="F1831" s="8">
        <v>100</v>
      </c>
      <c r="G1831" s="8">
        <v>100</v>
      </c>
      <c r="H1831" s="2">
        <f t="shared" si="88"/>
        <v>14278542</v>
      </c>
      <c r="I1831" s="12">
        <f t="shared" si="86"/>
        <v>9.922916666666666E-2</v>
      </c>
      <c r="J1831" s="12">
        <f t="shared" si="87"/>
        <v>0.21323987455197133</v>
      </c>
    </row>
    <row r="1832" spans="1:10" ht="15" customHeight="1">
      <c r="A1832" s="7">
        <v>44566</v>
      </c>
      <c r="B1832" s="10">
        <v>280</v>
      </c>
      <c r="C1832">
        <v>4360</v>
      </c>
      <c r="D1832" s="5">
        <v>0.56999999999999995</v>
      </c>
      <c r="F1832" s="8">
        <v>100</v>
      </c>
      <c r="G1832" s="8">
        <v>100</v>
      </c>
      <c r="H1832" s="2">
        <f t="shared" si="88"/>
        <v>14282902</v>
      </c>
      <c r="I1832" s="12">
        <f t="shared" si="86"/>
        <v>1.8166666666666668E-2</v>
      </c>
      <c r="J1832" s="12">
        <f t="shared" si="87"/>
        <v>0.21254318452380952</v>
      </c>
    </row>
    <row r="1833" spans="1:10" ht="15" customHeight="1">
      <c r="A1833" s="7">
        <v>44567</v>
      </c>
      <c r="B1833" s="10">
        <v>281</v>
      </c>
      <c r="C1833">
        <v>14380</v>
      </c>
      <c r="D1833" s="5">
        <v>1.54</v>
      </c>
      <c r="F1833" s="8">
        <v>100</v>
      </c>
      <c r="G1833" s="8">
        <v>100</v>
      </c>
      <c r="H1833" s="2">
        <f t="shared" si="88"/>
        <v>14297282</v>
      </c>
      <c r="I1833" s="12">
        <f t="shared" si="86"/>
        <v>5.9916666666666667E-2</v>
      </c>
      <c r="J1833" s="12">
        <f t="shared" si="87"/>
        <v>0.21200002965599052</v>
      </c>
    </row>
    <row r="1834" spans="1:10" ht="15" customHeight="1">
      <c r="A1834" s="7">
        <v>44568</v>
      </c>
      <c r="B1834" s="10">
        <v>282</v>
      </c>
      <c r="C1834">
        <v>4575</v>
      </c>
      <c r="D1834" s="5">
        <v>0.61</v>
      </c>
      <c r="F1834" s="8">
        <v>100</v>
      </c>
      <c r="G1834" s="8">
        <v>100</v>
      </c>
      <c r="H1834" s="2">
        <f t="shared" si="88"/>
        <v>14301857</v>
      </c>
      <c r="I1834" s="12">
        <f t="shared" si="86"/>
        <v>1.90625E-2</v>
      </c>
      <c r="J1834" s="12">
        <f t="shared" si="87"/>
        <v>0.21131585401891254</v>
      </c>
    </row>
    <row r="1835" spans="1:10" ht="15" customHeight="1">
      <c r="A1835" s="7">
        <v>44569</v>
      </c>
      <c r="B1835" s="10">
        <v>283</v>
      </c>
      <c r="C1835">
        <v>44132</v>
      </c>
      <c r="D1835" s="5">
        <v>3.84</v>
      </c>
      <c r="F1835" s="8">
        <v>100</v>
      </c>
      <c r="G1835" s="8">
        <v>100</v>
      </c>
      <c r="H1835" s="2">
        <f t="shared" si="88"/>
        <v>14345989</v>
      </c>
      <c r="I1835" s="12">
        <f t="shared" si="86"/>
        <v>0.18388333333333334</v>
      </c>
      <c r="J1835" s="12">
        <f t="shared" si="87"/>
        <v>0.21121891931684333</v>
      </c>
    </row>
    <row r="1836" spans="1:10" ht="15" customHeight="1">
      <c r="A1836" s="7">
        <v>44570</v>
      </c>
      <c r="B1836" s="10">
        <v>284</v>
      </c>
      <c r="C1836">
        <v>52316</v>
      </c>
      <c r="D1836" s="5">
        <v>4.22</v>
      </c>
      <c r="F1836" s="8">
        <v>100</v>
      </c>
      <c r="G1836" s="8">
        <v>100</v>
      </c>
      <c r="H1836" s="2">
        <f t="shared" si="88"/>
        <v>14398305</v>
      </c>
      <c r="I1836" s="12">
        <f t="shared" si="86"/>
        <v>0.21798333333333333</v>
      </c>
      <c r="J1836" s="12">
        <f t="shared" si="87"/>
        <v>0.21124273767605634</v>
      </c>
    </row>
    <row r="1837" spans="1:10" ht="15" customHeight="1">
      <c r="A1837" s="7">
        <v>44571</v>
      </c>
      <c r="B1837" s="10">
        <v>285</v>
      </c>
      <c r="C1837">
        <v>46359</v>
      </c>
      <c r="D1837" s="5">
        <v>3.84</v>
      </c>
      <c r="F1837" s="8">
        <v>100</v>
      </c>
      <c r="G1837" s="8">
        <v>100</v>
      </c>
      <c r="H1837" s="2">
        <f t="shared" si="88"/>
        <v>14444664</v>
      </c>
      <c r="I1837" s="12">
        <f t="shared" si="86"/>
        <v>0.19316249999999999</v>
      </c>
      <c r="J1837" s="12">
        <f t="shared" si="87"/>
        <v>0.21117929824561404</v>
      </c>
    </row>
    <row r="1838" spans="1:10" ht="15" customHeight="1">
      <c r="A1838" s="7">
        <v>44572</v>
      </c>
      <c r="B1838" s="10">
        <v>286</v>
      </c>
      <c r="C1838">
        <v>48981</v>
      </c>
      <c r="D1838" s="5">
        <v>3.99</v>
      </c>
      <c r="F1838" s="8">
        <v>100</v>
      </c>
      <c r="G1838" s="8">
        <v>100</v>
      </c>
      <c r="H1838" s="2">
        <f t="shared" si="88"/>
        <v>14493645</v>
      </c>
      <c r="I1838" s="12">
        <f t="shared" si="86"/>
        <v>0.20408750000000001</v>
      </c>
      <c r="J1838" s="12">
        <f t="shared" si="87"/>
        <v>0.21115450174825176</v>
      </c>
    </row>
    <row r="1839" spans="1:10" ht="15" customHeight="1">
      <c r="A1839" s="7">
        <v>44573</v>
      </c>
      <c r="B1839" s="10">
        <v>287</v>
      </c>
      <c r="C1839">
        <v>52738</v>
      </c>
      <c r="D1839" s="5">
        <v>4.2</v>
      </c>
      <c r="F1839" s="8">
        <v>100</v>
      </c>
      <c r="G1839" s="8">
        <v>100</v>
      </c>
      <c r="H1839" s="2">
        <f t="shared" si="88"/>
        <v>14546383</v>
      </c>
      <c r="I1839" s="12">
        <f t="shared" si="86"/>
        <v>0.21974166666666667</v>
      </c>
      <c r="J1839" s="12">
        <f t="shared" si="87"/>
        <v>0.21118442218350755</v>
      </c>
    </row>
    <row r="1840" spans="1:10" ht="15" customHeight="1">
      <c r="A1840" s="7">
        <v>44574</v>
      </c>
      <c r="B1840" s="10">
        <v>288</v>
      </c>
      <c r="C1840">
        <v>55502</v>
      </c>
      <c r="D1840" s="5">
        <v>4.3899999999999997</v>
      </c>
      <c r="F1840" s="8">
        <v>100</v>
      </c>
      <c r="G1840" s="8">
        <v>100</v>
      </c>
      <c r="H1840" s="2">
        <f t="shared" si="88"/>
        <v>14601885</v>
      </c>
      <c r="I1840" s="12">
        <f t="shared" si="86"/>
        <v>0.23125833333333334</v>
      </c>
      <c r="J1840" s="12">
        <f t="shared" si="87"/>
        <v>0.2112541232638889</v>
      </c>
    </row>
    <row r="1841" spans="1:10" ht="15" customHeight="1">
      <c r="A1841" s="7">
        <v>44575</v>
      </c>
      <c r="B1841" s="10">
        <v>289</v>
      </c>
      <c r="C1841">
        <v>52376</v>
      </c>
      <c r="D1841" s="5">
        <v>4.16</v>
      </c>
      <c r="F1841" s="8">
        <v>100</v>
      </c>
      <c r="G1841" s="8">
        <v>100</v>
      </c>
      <c r="H1841" s="2">
        <f t="shared" si="88"/>
        <v>14654261</v>
      </c>
      <c r="I1841" s="12">
        <f t="shared" si="86"/>
        <v>0.21823333333333333</v>
      </c>
      <c r="J1841" s="12">
        <f t="shared" si="87"/>
        <v>0.21127827277970013</v>
      </c>
    </row>
    <row r="1842" spans="1:10" ht="15" customHeight="1">
      <c r="A1842" s="7">
        <v>44576</v>
      </c>
      <c r="B1842" s="10">
        <v>290</v>
      </c>
      <c r="C1842">
        <v>53586</v>
      </c>
      <c r="D1842" s="5">
        <v>4.29</v>
      </c>
      <c r="F1842" s="8">
        <v>100</v>
      </c>
      <c r="G1842" s="8">
        <v>100</v>
      </c>
      <c r="H1842" s="2">
        <f t="shared" si="88"/>
        <v>14707847</v>
      </c>
      <c r="I1842" s="12">
        <f t="shared" si="86"/>
        <v>0.223275</v>
      </c>
      <c r="J1842" s="12">
        <f t="shared" si="87"/>
        <v>0.2113196408045977</v>
      </c>
    </row>
    <row r="1843" spans="1:10" ht="15" customHeight="1">
      <c r="A1843" s="7">
        <v>44577</v>
      </c>
      <c r="B1843" s="10">
        <v>291</v>
      </c>
      <c r="C1843">
        <v>54612</v>
      </c>
      <c r="D1843" s="5">
        <v>4.41</v>
      </c>
      <c r="F1843" s="8">
        <v>100</v>
      </c>
      <c r="G1843" s="8">
        <v>100</v>
      </c>
      <c r="H1843" s="2">
        <f t="shared" si="88"/>
        <v>14762459</v>
      </c>
      <c r="I1843" s="12">
        <f t="shared" si="86"/>
        <v>0.22755</v>
      </c>
      <c r="J1843" s="12">
        <f t="shared" si="87"/>
        <v>0.21137541523482245</v>
      </c>
    </row>
    <row r="1844" spans="1:10" ht="15" customHeight="1">
      <c r="A1844" s="7">
        <v>44578</v>
      </c>
      <c r="B1844" s="10">
        <v>292</v>
      </c>
      <c r="C1844">
        <v>52894</v>
      </c>
      <c r="D1844" s="5">
        <v>4.2699999999999996</v>
      </c>
      <c r="F1844" s="8">
        <v>100</v>
      </c>
      <c r="G1844" s="8">
        <v>100</v>
      </c>
      <c r="H1844" s="2">
        <f t="shared" si="88"/>
        <v>14815353</v>
      </c>
      <c r="I1844" s="12">
        <f t="shared" si="86"/>
        <v>0.22039166666666668</v>
      </c>
      <c r="J1844" s="12">
        <f t="shared" si="87"/>
        <v>0.21140629280821918</v>
      </c>
    </row>
    <row r="1845" spans="1:10" ht="15" customHeight="1">
      <c r="A1845" s="7">
        <v>44579</v>
      </c>
      <c r="B1845" s="10">
        <v>293</v>
      </c>
      <c r="C1845">
        <v>54906</v>
      </c>
      <c r="D1845" s="5">
        <v>4.4000000000000004</v>
      </c>
      <c r="F1845" s="8">
        <v>100</v>
      </c>
      <c r="G1845" s="8">
        <v>100</v>
      </c>
      <c r="H1845" s="2">
        <f t="shared" si="88"/>
        <v>14870259</v>
      </c>
      <c r="I1845" s="12">
        <f t="shared" si="86"/>
        <v>0.22877500000000001</v>
      </c>
      <c r="J1845" s="12">
        <f t="shared" si="87"/>
        <v>0.21146557167235494</v>
      </c>
    </row>
    <row r="1846" spans="1:10" ht="15" customHeight="1">
      <c r="A1846" s="7">
        <v>44580</v>
      </c>
      <c r="B1846" s="10">
        <v>294</v>
      </c>
      <c r="C1846">
        <v>50318</v>
      </c>
      <c r="D1846" s="5">
        <v>4.25</v>
      </c>
      <c r="F1846" s="8">
        <v>100</v>
      </c>
      <c r="G1846" s="8">
        <v>100</v>
      </c>
      <c r="H1846" s="2">
        <f t="shared" si="88"/>
        <v>14920577</v>
      </c>
      <c r="I1846" s="12">
        <f t="shared" si="86"/>
        <v>0.20965833333333334</v>
      </c>
      <c r="J1846" s="12">
        <f t="shared" si="87"/>
        <v>0.2114594246031746</v>
      </c>
    </row>
    <row r="1847" spans="1:10" ht="15" customHeight="1">
      <c r="A1847" s="7">
        <v>44581</v>
      </c>
      <c r="B1847" s="10">
        <v>295</v>
      </c>
      <c r="C1847">
        <v>49059</v>
      </c>
      <c r="D1847" s="5">
        <v>4.07</v>
      </c>
      <c r="F1847" s="8">
        <v>100</v>
      </c>
      <c r="G1847" s="8">
        <v>100</v>
      </c>
      <c r="H1847" s="2">
        <f t="shared" si="88"/>
        <v>14969636</v>
      </c>
      <c r="I1847" s="12">
        <f t="shared" si="86"/>
        <v>0.2044125</v>
      </c>
      <c r="J1847" s="12">
        <f t="shared" si="87"/>
        <v>0.21143553672316384</v>
      </c>
    </row>
    <row r="1848" spans="1:10" ht="15" customHeight="1">
      <c r="A1848" s="7">
        <v>44582</v>
      </c>
      <c r="B1848" s="10">
        <v>296</v>
      </c>
      <c r="C1848">
        <v>42185</v>
      </c>
      <c r="D1848" s="5">
        <v>3.72</v>
      </c>
      <c r="F1848" s="8">
        <v>100</v>
      </c>
      <c r="G1848" s="8">
        <v>100</v>
      </c>
      <c r="H1848" s="2">
        <f t="shared" si="88"/>
        <v>15011821</v>
      </c>
      <c r="I1848" s="12">
        <f t="shared" si="86"/>
        <v>0.17577083333333332</v>
      </c>
      <c r="J1848" s="12">
        <f t="shared" si="87"/>
        <v>0.21131504786036037</v>
      </c>
    </row>
    <row r="1849" spans="1:10" ht="15" customHeight="1">
      <c r="A1849" s="7">
        <v>44583</v>
      </c>
      <c r="B1849" s="10">
        <v>297</v>
      </c>
      <c r="C1849">
        <v>7909</v>
      </c>
      <c r="D1849" s="5">
        <v>0.94</v>
      </c>
      <c r="F1849" s="8">
        <v>100</v>
      </c>
      <c r="G1849" s="8">
        <v>100</v>
      </c>
      <c r="H1849" s="2">
        <f t="shared" si="88"/>
        <v>15019730</v>
      </c>
      <c r="I1849" s="12">
        <f t="shared" si="86"/>
        <v>3.2954166666666666E-2</v>
      </c>
      <c r="J1849" s="12">
        <f t="shared" si="87"/>
        <v>0.21071450617283952</v>
      </c>
    </row>
    <row r="1850" spans="1:10" ht="15" customHeight="1">
      <c r="A1850" s="7">
        <v>44584</v>
      </c>
      <c r="B1850" s="10">
        <v>298</v>
      </c>
      <c r="C1850">
        <v>56066</v>
      </c>
      <c r="D1850" s="5">
        <v>4.58</v>
      </c>
      <c r="F1850" s="8">
        <v>100</v>
      </c>
      <c r="G1850" s="8">
        <v>100</v>
      </c>
      <c r="H1850" s="2">
        <f t="shared" si="88"/>
        <v>15075796</v>
      </c>
      <c r="I1850" s="12">
        <f t="shared" si="86"/>
        <v>0.23360833333333333</v>
      </c>
      <c r="J1850" s="12">
        <f t="shared" si="87"/>
        <v>0.21079133109619685</v>
      </c>
    </row>
    <row r="1851" spans="1:10" ht="15" customHeight="1">
      <c r="A1851" s="7">
        <v>44585</v>
      </c>
      <c r="B1851" s="10">
        <v>299</v>
      </c>
      <c r="C1851">
        <v>57769</v>
      </c>
      <c r="D1851" s="5">
        <v>4.75</v>
      </c>
      <c r="F1851" s="8">
        <v>100</v>
      </c>
      <c r="G1851" s="8">
        <v>100</v>
      </c>
      <c r="H1851" s="2">
        <f t="shared" si="88"/>
        <v>15133565</v>
      </c>
      <c r="I1851" s="12">
        <f t="shared" si="86"/>
        <v>0.24070416666666666</v>
      </c>
      <c r="J1851" s="12">
        <f t="shared" si="87"/>
        <v>0.21089137402452621</v>
      </c>
    </row>
    <row r="1852" spans="1:10" ht="15" customHeight="1">
      <c r="A1852" s="7">
        <v>44586</v>
      </c>
      <c r="B1852" s="10">
        <v>300</v>
      </c>
      <c r="C1852">
        <v>56283</v>
      </c>
      <c r="D1852" s="5">
        <v>4.8499999999999996</v>
      </c>
      <c r="F1852" s="8">
        <v>100</v>
      </c>
      <c r="G1852" s="8">
        <v>100</v>
      </c>
      <c r="H1852" s="2">
        <f t="shared" si="88"/>
        <v>15189848</v>
      </c>
      <c r="I1852" s="12">
        <f t="shared" si="86"/>
        <v>0.23451250000000001</v>
      </c>
      <c r="J1852" s="12">
        <f t="shared" si="87"/>
        <v>0.21097011111111111</v>
      </c>
    </row>
    <row r="1853" spans="1:10" ht="15" customHeight="1">
      <c r="A1853" s="7">
        <v>44587</v>
      </c>
      <c r="B1853" s="10">
        <v>301</v>
      </c>
      <c r="C1853">
        <v>57892</v>
      </c>
      <c r="D1853" s="5">
        <v>4.8499999999999996</v>
      </c>
      <c r="F1853" s="8">
        <v>100</v>
      </c>
      <c r="G1853" s="8">
        <v>100</v>
      </c>
      <c r="H1853" s="2">
        <f t="shared" si="88"/>
        <v>15247740</v>
      </c>
      <c r="I1853" s="12">
        <f t="shared" si="86"/>
        <v>0.24121666666666666</v>
      </c>
      <c r="J1853" s="12">
        <f t="shared" si="87"/>
        <v>0.21107059800664452</v>
      </c>
    </row>
    <row r="1854" spans="1:10" ht="15" customHeight="1">
      <c r="A1854" s="7">
        <v>44588</v>
      </c>
      <c r="B1854" s="10">
        <v>302</v>
      </c>
      <c r="C1854">
        <v>59350</v>
      </c>
      <c r="D1854" s="5">
        <v>5.0199999999999996</v>
      </c>
      <c r="F1854" s="8">
        <v>100</v>
      </c>
      <c r="G1854" s="8">
        <v>100</v>
      </c>
      <c r="H1854" s="2">
        <f t="shared" si="88"/>
        <v>15307090</v>
      </c>
      <c r="I1854" s="12">
        <f t="shared" si="86"/>
        <v>0.24729166666666666</v>
      </c>
      <c r="J1854" s="12">
        <f t="shared" si="87"/>
        <v>0.2111905353200883</v>
      </c>
    </row>
    <row r="1855" spans="1:10" ht="15" customHeight="1">
      <c r="A1855" s="7">
        <v>44589</v>
      </c>
      <c r="B1855" s="10">
        <v>303</v>
      </c>
      <c r="C1855">
        <v>58290</v>
      </c>
      <c r="D1855" s="5">
        <v>5.17</v>
      </c>
      <c r="F1855" s="8">
        <v>100</v>
      </c>
      <c r="G1855" s="8">
        <v>100</v>
      </c>
      <c r="H1855" s="2">
        <f t="shared" si="88"/>
        <v>15365380</v>
      </c>
      <c r="I1855" s="12">
        <f t="shared" si="86"/>
        <v>0.24287500000000001</v>
      </c>
      <c r="J1855" s="12">
        <f t="shared" si="87"/>
        <v>0.21129510451045105</v>
      </c>
    </row>
    <row r="1856" spans="1:10" ht="15" customHeight="1">
      <c r="A1856" s="7">
        <v>44590</v>
      </c>
      <c r="B1856" s="10">
        <v>304</v>
      </c>
      <c r="C1856">
        <v>58411</v>
      </c>
      <c r="D1856" s="5">
        <v>5.03</v>
      </c>
      <c r="F1856" s="8">
        <v>100</v>
      </c>
      <c r="G1856" s="8">
        <v>100</v>
      </c>
      <c r="H1856" s="2">
        <f t="shared" si="88"/>
        <v>15423791</v>
      </c>
      <c r="I1856" s="12">
        <f t="shared" si="86"/>
        <v>0.24337916666666667</v>
      </c>
      <c r="J1856" s="12">
        <f t="shared" si="87"/>
        <v>0.2114006441885965</v>
      </c>
    </row>
    <row r="1857" spans="1:10" ht="15" customHeight="1">
      <c r="A1857" s="7">
        <v>44591</v>
      </c>
      <c r="B1857" s="10">
        <v>305</v>
      </c>
      <c r="C1857">
        <v>56805</v>
      </c>
      <c r="D1857" s="5">
        <v>4.8</v>
      </c>
      <c r="F1857" s="8">
        <v>100</v>
      </c>
      <c r="G1857" s="8">
        <v>100</v>
      </c>
      <c r="H1857" s="2">
        <f t="shared" si="88"/>
        <v>15480596</v>
      </c>
      <c r="I1857" s="12">
        <f t="shared" si="86"/>
        <v>0.2366875</v>
      </c>
      <c r="J1857" s="12">
        <f t="shared" si="87"/>
        <v>0.21148355191256832</v>
      </c>
    </row>
    <row r="1858" spans="1:10" ht="15" customHeight="1">
      <c r="A1858" s="7">
        <v>44592</v>
      </c>
      <c r="B1858" s="10">
        <v>306</v>
      </c>
      <c r="C1858">
        <v>52526</v>
      </c>
      <c r="D1858" s="5">
        <v>4.62</v>
      </c>
      <c r="F1858" s="8">
        <v>100</v>
      </c>
      <c r="G1858" s="8">
        <v>100</v>
      </c>
      <c r="H1858" s="2">
        <f t="shared" si="88"/>
        <v>15533122</v>
      </c>
      <c r="I1858" s="12">
        <f t="shared" si="86"/>
        <v>0.21885833333333332</v>
      </c>
      <c r="J1858" s="12">
        <f t="shared" si="87"/>
        <v>0.21150765250544662</v>
      </c>
    </row>
    <row r="1859" spans="1:10" ht="15" customHeight="1">
      <c r="A1859" s="7">
        <v>44593</v>
      </c>
      <c r="B1859" s="10">
        <v>307</v>
      </c>
      <c r="C1859">
        <v>54759</v>
      </c>
      <c r="D1859" s="5">
        <v>4.78</v>
      </c>
      <c r="F1859" s="8">
        <v>100</v>
      </c>
      <c r="G1859" s="8">
        <v>100</v>
      </c>
      <c r="H1859" s="2">
        <f t="shared" si="88"/>
        <v>15587881</v>
      </c>
      <c r="I1859" s="12">
        <f t="shared" ref="I1859:I1922" si="89">C1859/(10*24*1000)</f>
        <v>0.22816249999999999</v>
      </c>
      <c r="J1859" s="12">
        <f t="shared" si="87"/>
        <v>0.21156190282301846</v>
      </c>
    </row>
    <row r="1860" spans="1:10" ht="15" customHeight="1">
      <c r="A1860" s="7">
        <v>44594</v>
      </c>
      <c r="B1860" s="10">
        <v>308</v>
      </c>
      <c r="C1860">
        <v>51766</v>
      </c>
      <c r="D1860" s="5">
        <v>4.5599999999999996</v>
      </c>
      <c r="F1860" s="8">
        <v>100</v>
      </c>
      <c r="G1860" s="8">
        <v>100</v>
      </c>
      <c r="H1860" s="2">
        <f t="shared" si="88"/>
        <v>15639647</v>
      </c>
      <c r="I1860" s="12">
        <f t="shared" si="89"/>
        <v>0.21569166666666667</v>
      </c>
      <c r="J1860" s="12">
        <f t="shared" ref="J1860:J1923" si="90">H1860/(24*B1860*10*1000)</f>
        <v>0.21157531114718614</v>
      </c>
    </row>
    <row r="1861" spans="1:10" ht="15" customHeight="1">
      <c r="A1861" s="7">
        <v>44595</v>
      </c>
      <c r="B1861" s="10">
        <v>309</v>
      </c>
      <c r="C1861">
        <v>54686</v>
      </c>
      <c r="D1861" s="5">
        <v>4.67</v>
      </c>
      <c r="F1861" s="8">
        <v>100</v>
      </c>
      <c r="G1861" s="8">
        <v>100</v>
      </c>
      <c r="H1861" s="2">
        <f t="shared" si="88"/>
        <v>15694333</v>
      </c>
      <c r="I1861" s="12">
        <f t="shared" si="89"/>
        <v>0.22785833333333333</v>
      </c>
      <c r="J1861" s="12">
        <f t="shared" si="90"/>
        <v>0.21162800701186624</v>
      </c>
    </row>
    <row r="1862" spans="1:10" ht="15" customHeight="1">
      <c r="A1862" s="7">
        <v>44596</v>
      </c>
      <c r="B1862" s="10">
        <v>310</v>
      </c>
      <c r="C1862">
        <v>59567</v>
      </c>
      <c r="D1862" s="5">
        <v>5.23</v>
      </c>
      <c r="F1862" s="8">
        <v>100</v>
      </c>
      <c r="G1862" s="8">
        <v>100</v>
      </c>
      <c r="H1862" s="2">
        <f t="shared" si="88"/>
        <v>15753900</v>
      </c>
      <c r="I1862" s="12">
        <f t="shared" si="89"/>
        <v>0.24819583333333334</v>
      </c>
      <c r="J1862" s="12">
        <f t="shared" si="90"/>
        <v>0.21174596774193549</v>
      </c>
    </row>
    <row r="1863" spans="1:10" ht="15" customHeight="1">
      <c r="A1863" s="7">
        <v>44597</v>
      </c>
      <c r="B1863" s="10">
        <v>311</v>
      </c>
      <c r="C1863">
        <v>59471</v>
      </c>
      <c r="D1863" s="5">
        <v>5.22</v>
      </c>
      <c r="F1863" s="8">
        <v>100</v>
      </c>
      <c r="G1863" s="8">
        <v>100</v>
      </c>
      <c r="H1863" s="2">
        <f t="shared" si="88"/>
        <v>15813371</v>
      </c>
      <c r="I1863" s="12">
        <f t="shared" si="89"/>
        <v>0.24779583333333333</v>
      </c>
      <c r="J1863" s="12">
        <f t="shared" si="90"/>
        <v>0.21186188370846731</v>
      </c>
    </row>
    <row r="1864" spans="1:10" ht="15" customHeight="1">
      <c r="A1864" s="7">
        <v>44598</v>
      </c>
      <c r="B1864" s="10">
        <v>312</v>
      </c>
      <c r="C1864">
        <v>54371</v>
      </c>
      <c r="D1864" s="5">
        <v>4.8899999999999997</v>
      </c>
      <c r="F1864" s="8">
        <v>100</v>
      </c>
      <c r="G1864" s="8">
        <v>100</v>
      </c>
      <c r="H1864" s="2">
        <f t="shared" si="88"/>
        <v>15867742</v>
      </c>
      <c r="I1864" s="12">
        <f t="shared" si="89"/>
        <v>0.22654583333333334</v>
      </c>
      <c r="J1864" s="12">
        <f t="shared" si="90"/>
        <v>0.21190894764957266</v>
      </c>
    </row>
    <row r="1865" spans="1:10" ht="15" customHeight="1">
      <c r="A1865" s="7">
        <v>44599</v>
      </c>
      <c r="B1865" s="10">
        <v>313</v>
      </c>
      <c r="C1865">
        <v>49406</v>
      </c>
      <c r="D1865" s="5">
        <v>4.5</v>
      </c>
      <c r="F1865" s="8">
        <v>100</v>
      </c>
      <c r="G1865" s="8">
        <v>100</v>
      </c>
      <c r="H1865" s="2">
        <f t="shared" si="88"/>
        <v>15917148</v>
      </c>
      <c r="I1865" s="12">
        <f t="shared" si="89"/>
        <v>0.20585833333333334</v>
      </c>
      <c r="J1865" s="12">
        <f t="shared" si="90"/>
        <v>0.21188961661341854</v>
      </c>
    </row>
    <row r="1866" spans="1:10" ht="15" customHeight="1">
      <c r="A1866" s="7">
        <v>44600</v>
      </c>
      <c r="B1866" s="10">
        <v>314</v>
      </c>
      <c r="C1866">
        <v>44877</v>
      </c>
      <c r="D1866" s="5">
        <v>4.18</v>
      </c>
      <c r="F1866" s="8">
        <v>100</v>
      </c>
      <c r="G1866" s="8">
        <v>100</v>
      </c>
      <c r="H1866" s="2">
        <f t="shared" si="88"/>
        <v>15962025</v>
      </c>
      <c r="I1866" s="12">
        <f t="shared" si="89"/>
        <v>0.1869875</v>
      </c>
      <c r="J1866" s="12">
        <f t="shared" si="90"/>
        <v>0.21181031050955415</v>
      </c>
    </row>
    <row r="1867" spans="1:10" ht="15" customHeight="1">
      <c r="A1867" s="7">
        <v>44601</v>
      </c>
      <c r="B1867" s="10">
        <v>315</v>
      </c>
      <c r="C1867">
        <v>54352</v>
      </c>
      <c r="D1867" s="5">
        <v>4.79</v>
      </c>
      <c r="F1867" s="8">
        <v>100</v>
      </c>
      <c r="G1867" s="8">
        <v>100</v>
      </c>
      <c r="H1867" s="2">
        <f t="shared" si="88"/>
        <v>16016377</v>
      </c>
      <c r="I1867" s="12">
        <f t="shared" si="89"/>
        <v>0.22646666666666668</v>
      </c>
      <c r="J1867" s="12">
        <f t="shared" si="90"/>
        <v>0.21185683862433863</v>
      </c>
    </row>
    <row r="1868" spans="1:10" ht="15" customHeight="1">
      <c r="A1868" s="7">
        <v>44602</v>
      </c>
      <c r="B1868" s="10">
        <v>316</v>
      </c>
      <c r="C1868">
        <v>60579</v>
      </c>
      <c r="D1868" s="5">
        <v>5.31</v>
      </c>
      <c r="F1868" s="8">
        <v>100</v>
      </c>
      <c r="G1868" s="8">
        <v>100</v>
      </c>
      <c r="H1868" s="2">
        <f t="shared" si="88"/>
        <v>16076956</v>
      </c>
      <c r="I1868" s="12">
        <f t="shared" si="89"/>
        <v>0.25241249999999998</v>
      </c>
      <c r="J1868" s="12">
        <f t="shared" si="90"/>
        <v>0.21198517932489452</v>
      </c>
    </row>
    <row r="1869" spans="1:10" ht="15" customHeight="1">
      <c r="A1869" s="7">
        <v>44603</v>
      </c>
      <c r="B1869" s="10">
        <v>317</v>
      </c>
      <c r="C1869">
        <v>61824</v>
      </c>
      <c r="D1869" s="5">
        <v>5.44</v>
      </c>
      <c r="F1869" s="8">
        <v>100</v>
      </c>
      <c r="G1869" s="8">
        <v>100</v>
      </c>
      <c r="H1869" s="2">
        <f t="shared" si="88"/>
        <v>16138780</v>
      </c>
      <c r="I1869" s="12">
        <f t="shared" si="89"/>
        <v>0.2576</v>
      </c>
      <c r="J1869" s="12">
        <f t="shared" si="90"/>
        <v>0.21212907465825448</v>
      </c>
    </row>
    <row r="1870" spans="1:10" ht="15" customHeight="1">
      <c r="A1870" s="7">
        <v>44604</v>
      </c>
      <c r="B1870" s="10">
        <v>318</v>
      </c>
      <c r="C1870">
        <v>62514</v>
      </c>
      <c r="D1870" s="5">
        <v>5.67</v>
      </c>
      <c r="F1870" s="8">
        <v>100</v>
      </c>
      <c r="G1870" s="8">
        <v>100</v>
      </c>
      <c r="H1870" s="2">
        <f t="shared" si="88"/>
        <v>16201294</v>
      </c>
      <c r="I1870" s="12">
        <f t="shared" si="89"/>
        <v>0.26047500000000001</v>
      </c>
      <c r="J1870" s="12">
        <f t="shared" si="90"/>
        <v>0.21228110587002097</v>
      </c>
    </row>
    <row r="1871" spans="1:10" ht="15" customHeight="1">
      <c r="A1871" s="7">
        <v>44605</v>
      </c>
      <c r="B1871" s="10">
        <v>319</v>
      </c>
      <c r="C1871">
        <v>61129</v>
      </c>
      <c r="D1871" s="5">
        <v>5.35</v>
      </c>
      <c r="F1871" s="8">
        <v>100</v>
      </c>
      <c r="G1871" s="8">
        <v>100</v>
      </c>
      <c r="H1871" s="2">
        <f t="shared" si="88"/>
        <v>16262423</v>
      </c>
      <c r="I1871" s="12">
        <f t="shared" si="89"/>
        <v>0.25470416666666668</v>
      </c>
      <c r="J1871" s="12">
        <f t="shared" si="90"/>
        <v>0.2124140935214211</v>
      </c>
    </row>
    <row r="1872" spans="1:10" ht="15" customHeight="1">
      <c r="A1872" s="7">
        <v>44606</v>
      </c>
      <c r="B1872" s="10">
        <v>320</v>
      </c>
      <c r="C1872">
        <v>58947</v>
      </c>
      <c r="D1872" s="5">
        <v>5.38</v>
      </c>
      <c r="F1872" s="8">
        <v>100</v>
      </c>
      <c r="G1872" s="8">
        <v>100</v>
      </c>
      <c r="H1872" s="2">
        <f t="shared" si="88"/>
        <v>16321370</v>
      </c>
      <c r="I1872" s="12">
        <f t="shared" si="89"/>
        <v>0.24561250000000001</v>
      </c>
      <c r="J1872" s="12">
        <f t="shared" si="90"/>
        <v>0.21251783854166667</v>
      </c>
    </row>
    <row r="1873" spans="1:10" ht="15" customHeight="1">
      <c r="A1873" s="7">
        <v>44607</v>
      </c>
      <c r="B1873" s="10">
        <v>321</v>
      </c>
      <c r="C1873">
        <v>56173</v>
      </c>
      <c r="D1873" s="5">
        <v>5.21</v>
      </c>
      <c r="F1873" s="8">
        <v>100</v>
      </c>
      <c r="G1873" s="8">
        <v>100</v>
      </c>
      <c r="H1873" s="2">
        <f t="shared" si="88"/>
        <v>16377543</v>
      </c>
      <c r="I1873" s="12">
        <f t="shared" si="89"/>
        <v>0.23405416666666667</v>
      </c>
      <c r="J1873" s="12">
        <f t="shared" si="90"/>
        <v>0.21258492990654207</v>
      </c>
    </row>
    <row r="1874" spans="1:10" ht="15" customHeight="1">
      <c r="A1874" s="7">
        <v>44608</v>
      </c>
      <c r="B1874" s="10">
        <v>322</v>
      </c>
      <c r="C1874">
        <v>58906</v>
      </c>
      <c r="D1874" s="5">
        <v>5.39</v>
      </c>
      <c r="F1874" s="8">
        <v>100</v>
      </c>
      <c r="G1874" s="8">
        <v>100</v>
      </c>
      <c r="H1874" s="2">
        <f t="shared" ref="H1874:H1917" si="91">H1873+C1874</f>
        <v>16436449</v>
      </c>
      <c r="I1874" s="12">
        <f t="shared" si="89"/>
        <v>0.24544166666666667</v>
      </c>
      <c r="J1874" s="12">
        <f t="shared" si="90"/>
        <v>0.21268696946169771</v>
      </c>
    </row>
    <row r="1875" spans="1:10" ht="15" customHeight="1">
      <c r="A1875" s="7">
        <v>44609</v>
      </c>
      <c r="B1875" s="10">
        <v>323</v>
      </c>
      <c r="C1875">
        <v>59290</v>
      </c>
      <c r="D1875" s="5">
        <v>5.45</v>
      </c>
      <c r="F1875" s="8">
        <v>100</v>
      </c>
      <c r="G1875" s="8">
        <v>100</v>
      </c>
      <c r="H1875" s="2">
        <f t="shared" si="91"/>
        <v>16495739</v>
      </c>
      <c r="I1875" s="12">
        <f t="shared" si="89"/>
        <v>0.24704166666666666</v>
      </c>
      <c r="J1875" s="12">
        <f t="shared" si="90"/>
        <v>0.21279333075335397</v>
      </c>
    </row>
    <row r="1876" spans="1:10" ht="15" customHeight="1">
      <c r="A1876" s="7">
        <v>44610</v>
      </c>
      <c r="B1876" s="10">
        <v>324</v>
      </c>
      <c r="C1876">
        <v>56694</v>
      </c>
      <c r="D1876" s="5">
        <v>5.27</v>
      </c>
      <c r="F1876" s="8">
        <v>100</v>
      </c>
      <c r="G1876" s="8">
        <v>100</v>
      </c>
      <c r="H1876" s="2">
        <f t="shared" si="91"/>
        <v>16552433</v>
      </c>
      <c r="I1876" s="12">
        <f t="shared" si="89"/>
        <v>0.23622499999999999</v>
      </c>
      <c r="J1876" s="12">
        <f t="shared" si="90"/>
        <v>0.21286565072016461</v>
      </c>
    </row>
    <row r="1877" spans="1:10" ht="15" customHeight="1">
      <c r="A1877" s="7">
        <v>44611</v>
      </c>
      <c r="B1877" s="10">
        <v>325</v>
      </c>
      <c r="C1877">
        <v>58375</v>
      </c>
      <c r="D1877" s="5">
        <v>5.5</v>
      </c>
      <c r="F1877" s="8">
        <v>100</v>
      </c>
      <c r="G1877" s="8">
        <v>100</v>
      </c>
      <c r="H1877" s="2">
        <f t="shared" si="91"/>
        <v>16610808</v>
      </c>
      <c r="I1877" s="12">
        <f t="shared" si="89"/>
        <v>0.24322916666666666</v>
      </c>
      <c r="J1877" s="12">
        <f t="shared" si="90"/>
        <v>0.21295907692307692</v>
      </c>
    </row>
    <row r="1878" spans="1:10" ht="15" customHeight="1">
      <c r="A1878" s="7">
        <v>44612</v>
      </c>
      <c r="B1878" s="10">
        <v>326</v>
      </c>
      <c r="C1878">
        <v>60822</v>
      </c>
      <c r="D1878" s="5">
        <v>5.59</v>
      </c>
      <c r="F1878" s="8">
        <v>100</v>
      </c>
      <c r="G1878" s="8">
        <v>100</v>
      </c>
      <c r="H1878" s="2">
        <f t="shared" si="91"/>
        <v>16671630</v>
      </c>
      <c r="I1878" s="12">
        <f t="shared" si="89"/>
        <v>0.25342500000000001</v>
      </c>
      <c r="J1878" s="12">
        <f t="shared" si="90"/>
        <v>0.21308320552147239</v>
      </c>
    </row>
    <row r="1879" spans="1:10" ht="15" customHeight="1">
      <c r="A1879" s="7">
        <v>44613</v>
      </c>
      <c r="B1879" s="10">
        <v>327</v>
      </c>
      <c r="C1879">
        <v>58553</v>
      </c>
      <c r="D1879" s="5">
        <v>5.49</v>
      </c>
      <c r="F1879" s="8">
        <v>100</v>
      </c>
      <c r="G1879" s="8">
        <v>100</v>
      </c>
      <c r="H1879" s="2">
        <f t="shared" si="91"/>
        <v>16730183</v>
      </c>
      <c r="I1879" s="12">
        <f t="shared" si="89"/>
        <v>0.24397083333333333</v>
      </c>
      <c r="J1879" s="12">
        <f t="shared" si="90"/>
        <v>0.2131776630988787</v>
      </c>
    </row>
    <row r="1880" spans="1:10" ht="15" customHeight="1">
      <c r="A1880" s="7">
        <v>44614</v>
      </c>
      <c r="B1880" s="10">
        <v>328</v>
      </c>
      <c r="C1880">
        <v>54009</v>
      </c>
      <c r="D1880" s="5">
        <v>5.38</v>
      </c>
      <c r="F1880" s="8">
        <v>100</v>
      </c>
      <c r="G1880" s="8">
        <v>100</v>
      </c>
      <c r="H1880" s="2">
        <f t="shared" si="91"/>
        <v>16784192</v>
      </c>
      <c r="I1880" s="12">
        <f t="shared" si="89"/>
        <v>0.2250375</v>
      </c>
      <c r="J1880" s="12">
        <f t="shared" si="90"/>
        <v>0.21321382113821138</v>
      </c>
    </row>
    <row r="1881" spans="1:10" ht="15" customHeight="1">
      <c r="A1881" s="7">
        <v>44615</v>
      </c>
      <c r="B1881" s="10">
        <v>329</v>
      </c>
      <c r="C1881">
        <v>51234</v>
      </c>
      <c r="D1881" s="5">
        <v>4.96</v>
      </c>
      <c r="F1881" s="8">
        <v>100</v>
      </c>
      <c r="G1881" s="8">
        <v>100</v>
      </c>
      <c r="H1881" s="2">
        <f t="shared" si="91"/>
        <v>16835426</v>
      </c>
      <c r="I1881" s="12">
        <f t="shared" si="89"/>
        <v>0.213475</v>
      </c>
      <c r="J1881" s="12">
        <f t="shared" si="90"/>
        <v>0.21321461499493413</v>
      </c>
    </row>
    <row r="1882" spans="1:10" ht="15" customHeight="1">
      <c r="A1882" s="7">
        <v>44616</v>
      </c>
      <c r="B1882" s="10">
        <v>330</v>
      </c>
      <c r="C1882">
        <v>56178</v>
      </c>
      <c r="D1882" s="5">
        <v>5.46</v>
      </c>
      <c r="F1882" s="8">
        <v>100</v>
      </c>
      <c r="G1882" s="8">
        <v>100</v>
      </c>
      <c r="H1882" s="2">
        <f t="shared" si="91"/>
        <v>16891604</v>
      </c>
      <c r="I1882" s="12">
        <f t="shared" si="89"/>
        <v>0.23407500000000001</v>
      </c>
      <c r="J1882" s="12">
        <f t="shared" si="90"/>
        <v>0.21327782828282829</v>
      </c>
    </row>
    <row r="1883" spans="1:10" ht="15" customHeight="1">
      <c r="A1883" s="7">
        <v>44617</v>
      </c>
      <c r="B1883" s="10">
        <v>331</v>
      </c>
      <c r="C1883">
        <v>57208</v>
      </c>
      <c r="D1883" s="5">
        <v>5.52</v>
      </c>
      <c r="F1883" s="8">
        <v>100</v>
      </c>
      <c r="G1883" s="8">
        <v>100</v>
      </c>
      <c r="H1883" s="2">
        <f t="shared" si="91"/>
        <v>16948812</v>
      </c>
      <c r="I1883" s="12">
        <f t="shared" si="89"/>
        <v>0.23836666666666667</v>
      </c>
      <c r="J1883" s="12">
        <f t="shared" si="90"/>
        <v>0.21335362537764349</v>
      </c>
    </row>
    <row r="1884" spans="1:10" ht="15" customHeight="1">
      <c r="A1884" s="7">
        <v>44618</v>
      </c>
      <c r="B1884" s="10">
        <v>332</v>
      </c>
      <c r="C1884">
        <v>58228</v>
      </c>
      <c r="D1884" s="5">
        <v>5.45</v>
      </c>
      <c r="F1884" s="8">
        <v>100</v>
      </c>
      <c r="G1884" s="8">
        <v>100</v>
      </c>
      <c r="H1884" s="2">
        <f t="shared" si="91"/>
        <v>17007040</v>
      </c>
      <c r="I1884" s="12">
        <f t="shared" si="89"/>
        <v>0.24261666666666667</v>
      </c>
      <c r="J1884" s="12">
        <f t="shared" si="90"/>
        <v>0.21344176706827309</v>
      </c>
    </row>
    <row r="1885" spans="1:10" ht="15" customHeight="1">
      <c r="A1885" s="7">
        <v>44619</v>
      </c>
      <c r="B1885" s="10">
        <v>333</v>
      </c>
      <c r="C1885">
        <v>63066</v>
      </c>
      <c r="D1885" s="5">
        <v>5.92</v>
      </c>
      <c r="F1885" s="8">
        <v>100</v>
      </c>
      <c r="G1885" s="8">
        <v>100</v>
      </c>
      <c r="H1885" s="2">
        <f t="shared" si="91"/>
        <v>17070106</v>
      </c>
      <c r="I1885" s="12">
        <f t="shared" si="89"/>
        <v>0.26277499999999998</v>
      </c>
      <c r="J1885" s="12">
        <f t="shared" si="90"/>
        <v>0.21358991491491491</v>
      </c>
    </row>
    <row r="1886" spans="1:10" ht="15" customHeight="1">
      <c r="A1886" s="7">
        <v>44620</v>
      </c>
      <c r="B1886" s="10">
        <v>334</v>
      </c>
      <c r="C1886">
        <v>58457</v>
      </c>
      <c r="D1886" s="5">
        <v>5.65</v>
      </c>
      <c r="F1886" s="8">
        <v>100</v>
      </c>
      <c r="G1886" s="8">
        <v>100</v>
      </c>
      <c r="H1886" s="2">
        <f t="shared" si="91"/>
        <v>17128563</v>
      </c>
      <c r="I1886" s="12">
        <f t="shared" si="89"/>
        <v>0.24357083333333332</v>
      </c>
      <c r="J1886" s="12">
        <f t="shared" si="90"/>
        <v>0.21367967814371258</v>
      </c>
    </row>
    <row r="1887" spans="1:10" ht="15" customHeight="1">
      <c r="A1887" s="7">
        <v>44621</v>
      </c>
      <c r="B1887" s="10">
        <v>335</v>
      </c>
      <c r="C1887">
        <v>57524</v>
      </c>
      <c r="D1887" s="5">
        <v>5.7</v>
      </c>
      <c r="F1887" s="8">
        <v>100</v>
      </c>
      <c r="G1887" s="8">
        <v>100</v>
      </c>
      <c r="H1887" s="2">
        <f t="shared" si="91"/>
        <v>17186087</v>
      </c>
      <c r="I1887" s="12">
        <f t="shared" si="89"/>
        <v>0.23968333333333333</v>
      </c>
      <c r="J1887" s="12">
        <f t="shared" si="90"/>
        <v>0.21375730099502488</v>
      </c>
    </row>
    <row r="1888" spans="1:10" ht="15" customHeight="1">
      <c r="A1888" s="7">
        <v>44622</v>
      </c>
      <c r="B1888" s="10">
        <v>336</v>
      </c>
      <c r="C1888">
        <v>49862</v>
      </c>
      <c r="D1888" s="5">
        <v>5.04</v>
      </c>
      <c r="F1888" s="8">
        <v>100</v>
      </c>
      <c r="G1888" s="8">
        <v>100</v>
      </c>
      <c r="H1888" s="2">
        <f t="shared" si="91"/>
        <v>17235949</v>
      </c>
      <c r="I1888" s="12">
        <f t="shared" si="89"/>
        <v>0.20775833333333332</v>
      </c>
      <c r="J1888" s="12">
        <f t="shared" si="90"/>
        <v>0.21373944692460317</v>
      </c>
    </row>
    <row r="1889" spans="1:10" ht="15" customHeight="1">
      <c r="A1889" s="7">
        <v>44623</v>
      </c>
      <c r="B1889" s="10">
        <v>337</v>
      </c>
      <c r="C1889">
        <v>60926</v>
      </c>
      <c r="D1889" s="5">
        <v>5.8</v>
      </c>
      <c r="F1889" s="8">
        <v>100</v>
      </c>
      <c r="G1889" s="8">
        <v>100</v>
      </c>
      <c r="H1889" s="2">
        <f t="shared" si="91"/>
        <v>17296875</v>
      </c>
      <c r="I1889" s="12">
        <f t="shared" si="89"/>
        <v>0.25385833333333335</v>
      </c>
      <c r="J1889" s="12">
        <f t="shared" si="90"/>
        <v>0.2138584940652819</v>
      </c>
    </row>
    <row r="1890" spans="1:10" ht="15" customHeight="1">
      <c r="A1890" s="7">
        <v>44624</v>
      </c>
      <c r="B1890" s="10">
        <v>338</v>
      </c>
      <c r="C1890">
        <v>60911</v>
      </c>
      <c r="D1890" s="5">
        <v>5.85</v>
      </c>
      <c r="F1890" s="8">
        <v>100</v>
      </c>
      <c r="G1890" s="8">
        <v>100</v>
      </c>
      <c r="H1890" s="2">
        <f t="shared" si="91"/>
        <v>17357786</v>
      </c>
      <c r="I1890" s="12">
        <f t="shared" si="89"/>
        <v>0.25379583333333333</v>
      </c>
      <c r="J1890" s="12">
        <f t="shared" si="90"/>
        <v>0.21397665187376727</v>
      </c>
    </row>
    <row r="1891" spans="1:10" ht="15" customHeight="1">
      <c r="A1891" s="7">
        <v>44625</v>
      </c>
      <c r="B1891" s="10">
        <v>339</v>
      </c>
      <c r="C1891">
        <v>54268</v>
      </c>
      <c r="D1891" s="5">
        <v>5.81</v>
      </c>
      <c r="F1891" s="8">
        <v>97.121448178648279</v>
      </c>
      <c r="G1891" s="8">
        <v>100</v>
      </c>
      <c r="H1891" s="2">
        <f t="shared" si="91"/>
        <v>17412054</v>
      </c>
      <c r="I1891" s="12">
        <f t="shared" si="89"/>
        <v>0.22611666666666666</v>
      </c>
      <c r="J1891" s="12">
        <f t="shared" si="90"/>
        <v>0.21401246312684366</v>
      </c>
    </row>
    <row r="1892" spans="1:10" ht="15" customHeight="1">
      <c r="A1892" s="7">
        <v>44626</v>
      </c>
      <c r="B1892" s="10">
        <v>340</v>
      </c>
      <c r="C1892">
        <v>43508</v>
      </c>
      <c r="D1892" s="5">
        <v>4.5999999999999996</v>
      </c>
      <c r="F1892" s="8">
        <v>98.4</v>
      </c>
      <c r="G1892" s="8">
        <v>100</v>
      </c>
      <c r="H1892" s="2">
        <f t="shared" si="91"/>
        <v>17455562</v>
      </c>
      <c r="I1892" s="12">
        <f t="shared" si="89"/>
        <v>0.18128333333333332</v>
      </c>
      <c r="J1892" s="12">
        <f t="shared" si="90"/>
        <v>0.21391620098039216</v>
      </c>
    </row>
    <row r="1893" spans="1:10" ht="15" customHeight="1">
      <c r="A1893" s="7">
        <v>44627</v>
      </c>
      <c r="B1893" s="10">
        <v>341</v>
      </c>
      <c r="C1893">
        <v>59263</v>
      </c>
      <c r="D1893" s="5">
        <v>6.03</v>
      </c>
      <c r="F1893" s="8">
        <v>98.4</v>
      </c>
      <c r="G1893" s="8">
        <v>100</v>
      </c>
      <c r="H1893" s="2">
        <f t="shared" si="91"/>
        <v>17514825</v>
      </c>
      <c r="I1893" s="12">
        <f t="shared" si="89"/>
        <v>0.24692916666666667</v>
      </c>
      <c r="J1893" s="12">
        <f t="shared" si="90"/>
        <v>0.21401301319648094</v>
      </c>
    </row>
    <row r="1894" spans="1:10" ht="15" customHeight="1">
      <c r="A1894" s="7">
        <v>44628</v>
      </c>
      <c r="B1894" s="10">
        <v>342</v>
      </c>
      <c r="C1894">
        <v>57519</v>
      </c>
      <c r="D1894" s="5">
        <v>5.87</v>
      </c>
      <c r="F1894" s="8">
        <v>98.4</v>
      </c>
      <c r="G1894" s="8">
        <v>96.805555555555557</v>
      </c>
      <c r="H1894" s="2">
        <f t="shared" si="91"/>
        <v>17572344</v>
      </c>
      <c r="I1894" s="12">
        <f t="shared" si="89"/>
        <v>0.2396625</v>
      </c>
      <c r="J1894" s="12">
        <f t="shared" si="90"/>
        <v>0.21408801169590644</v>
      </c>
    </row>
    <row r="1895" spans="1:10" ht="15" customHeight="1">
      <c r="A1895" s="7">
        <v>44629</v>
      </c>
      <c r="B1895" s="10">
        <v>343</v>
      </c>
      <c r="C1895">
        <v>57419</v>
      </c>
      <c r="D1895" s="5">
        <v>5.72</v>
      </c>
      <c r="F1895" s="8">
        <v>98.4</v>
      </c>
      <c r="G1895" s="8">
        <v>100</v>
      </c>
      <c r="H1895" s="2">
        <f t="shared" si="91"/>
        <v>17629763</v>
      </c>
      <c r="I1895" s="12">
        <f t="shared" si="89"/>
        <v>0.23924583333333332</v>
      </c>
      <c r="J1895" s="12">
        <f t="shared" si="90"/>
        <v>0.21416135811467443</v>
      </c>
    </row>
    <row r="1896" spans="1:10" ht="15" customHeight="1">
      <c r="A1896" s="7">
        <v>44630</v>
      </c>
      <c r="B1896" s="10">
        <v>344</v>
      </c>
      <c r="C1896">
        <v>58293</v>
      </c>
      <c r="D1896" s="5">
        <v>5.88</v>
      </c>
      <c r="F1896" s="8">
        <v>98.4</v>
      </c>
      <c r="G1896" s="8">
        <v>100</v>
      </c>
      <c r="H1896" s="2">
        <f t="shared" si="91"/>
        <v>17688056</v>
      </c>
      <c r="I1896" s="12">
        <f t="shared" si="89"/>
        <v>0.24288750000000001</v>
      </c>
      <c r="J1896" s="12">
        <f t="shared" si="90"/>
        <v>0.21424486434108528</v>
      </c>
    </row>
    <row r="1897" spans="1:10" ht="15" customHeight="1">
      <c r="A1897" s="7">
        <v>44631</v>
      </c>
      <c r="B1897" s="10">
        <v>345</v>
      </c>
      <c r="C1897">
        <v>58007</v>
      </c>
      <c r="D1897" s="5">
        <v>5.93</v>
      </c>
      <c r="F1897" s="8">
        <v>98.4</v>
      </c>
      <c r="G1897" s="8">
        <v>96.527777777777786</v>
      </c>
      <c r="H1897" s="2">
        <f t="shared" si="91"/>
        <v>17746063</v>
      </c>
      <c r="I1897" s="12">
        <f t="shared" si="89"/>
        <v>0.24169583333333333</v>
      </c>
      <c r="J1897" s="12">
        <f t="shared" si="90"/>
        <v>0.21432443236714976</v>
      </c>
    </row>
    <row r="1898" spans="1:10" ht="15" customHeight="1">
      <c r="A1898" s="7">
        <v>44632</v>
      </c>
      <c r="B1898" s="10">
        <v>346</v>
      </c>
      <c r="C1898">
        <v>56805</v>
      </c>
      <c r="D1898" s="5">
        <v>5.87</v>
      </c>
      <c r="F1898" s="8">
        <v>98.4</v>
      </c>
      <c r="G1898" s="8">
        <v>97.5</v>
      </c>
      <c r="H1898" s="2">
        <f t="shared" si="91"/>
        <v>17802868</v>
      </c>
      <c r="I1898" s="12">
        <f t="shared" si="89"/>
        <v>0.2366875</v>
      </c>
      <c r="J1898" s="12">
        <f t="shared" si="90"/>
        <v>0.2143890655105973</v>
      </c>
    </row>
    <row r="1899" spans="1:10" ht="15" customHeight="1">
      <c r="A1899" s="7">
        <v>44633</v>
      </c>
      <c r="B1899" s="10">
        <v>347</v>
      </c>
      <c r="C1899">
        <v>57168</v>
      </c>
      <c r="D1899" s="5">
        <v>5.86</v>
      </c>
      <c r="F1899" s="8">
        <v>98.4</v>
      </c>
      <c r="G1899" s="8">
        <v>100</v>
      </c>
      <c r="H1899" s="2">
        <f t="shared" si="91"/>
        <v>17860036</v>
      </c>
      <c r="I1899" s="12">
        <f t="shared" si="89"/>
        <v>0.2382</v>
      </c>
      <c r="J1899" s="12">
        <f t="shared" si="90"/>
        <v>0.21445768491834774</v>
      </c>
    </row>
    <row r="1900" spans="1:10" ht="15" customHeight="1">
      <c r="A1900" s="7">
        <v>44634</v>
      </c>
      <c r="B1900" s="10">
        <v>348</v>
      </c>
      <c r="C1900">
        <v>59905</v>
      </c>
      <c r="D1900" s="5">
        <v>6.25</v>
      </c>
      <c r="F1900" s="8">
        <v>98.4</v>
      </c>
      <c r="G1900" s="8">
        <v>100</v>
      </c>
      <c r="H1900" s="2">
        <f t="shared" si="91"/>
        <v>17919941</v>
      </c>
      <c r="I1900" s="12">
        <f t="shared" si="89"/>
        <v>0.24960416666666665</v>
      </c>
      <c r="J1900" s="12">
        <f t="shared" si="90"/>
        <v>0.21455868055555555</v>
      </c>
    </row>
    <row r="1901" spans="1:10" ht="15" customHeight="1">
      <c r="A1901" s="7">
        <v>44635</v>
      </c>
      <c r="B1901" s="10">
        <v>349</v>
      </c>
      <c r="C1901">
        <v>60587</v>
      </c>
      <c r="D1901" s="5">
        <v>6.33</v>
      </c>
      <c r="F1901" s="8">
        <v>98.4</v>
      </c>
      <c r="G1901" s="8">
        <v>100</v>
      </c>
      <c r="H1901" s="2">
        <f t="shared" si="91"/>
        <v>17980528</v>
      </c>
      <c r="I1901" s="12">
        <f t="shared" si="89"/>
        <v>0.25244583333333331</v>
      </c>
      <c r="J1901" s="12">
        <f t="shared" si="90"/>
        <v>0.21466723973256924</v>
      </c>
    </row>
    <row r="1902" spans="1:10" ht="15" customHeight="1">
      <c r="A1902" s="7">
        <v>44636</v>
      </c>
      <c r="B1902" s="10">
        <v>350</v>
      </c>
      <c r="C1902">
        <v>61465</v>
      </c>
      <c r="D1902" s="5">
        <v>6.51</v>
      </c>
      <c r="F1902" s="8">
        <v>98.4</v>
      </c>
      <c r="G1902" s="8">
        <v>100</v>
      </c>
      <c r="H1902" s="2">
        <f t="shared" si="91"/>
        <v>18041993</v>
      </c>
      <c r="I1902" s="12">
        <f t="shared" si="89"/>
        <v>0.25610416666666669</v>
      </c>
      <c r="J1902" s="12">
        <f t="shared" si="90"/>
        <v>0.21478563095238096</v>
      </c>
    </row>
    <row r="1903" spans="1:10" ht="15" customHeight="1">
      <c r="A1903" s="7">
        <v>44637</v>
      </c>
      <c r="B1903" s="10">
        <v>351</v>
      </c>
      <c r="C1903">
        <v>62319</v>
      </c>
      <c r="D1903" s="5">
        <v>6.67</v>
      </c>
      <c r="F1903" s="8">
        <v>98.4</v>
      </c>
      <c r="G1903" s="8">
        <v>100</v>
      </c>
      <c r="H1903" s="2">
        <f t="shared" si="91"/>
        <v>18104312</v>
      </c>
      <c r="I1903" s="12">
        <f t="shared" si="89"/>
        <v>0.25966250000000002</v>
      </c>
      <c r="J1903" s="12">
        <f t="shared" si="90"/>
        <v>0.21491348528015194</v>
      </c>
    </row>
    <row r="1904" spans="1:10" ht="15" customHeight="1">
      <c r="A1904" s="7">
        <v>44638</v>
      </c>
      <c r="B1904" s="10">
        <v>352</v>
      </c>
      <c r="C1904">
        <v>63913</v>
      </c>
      <c r="D1904" s="5">
        <v>6.96</v>
      </c>
      <c r="F1904" s="8">
        <v>98.4</v>
      </c>
      <c r="G1904" s="8">
        <v>100</v>
      </c>
      <c r="H1904" s="2">
        <f t="shared" si="91"/>
        <v>18168225</v>
      </c>
      <c r="I1904" s="12">
        <f t="shared" si="89"/>
        <v>0.26630416666666668</v>
      </c>
      <c r="J1904" s="12">
        <f t="shared" si="90"/>
        <v>0.21505948153409091</v>
      </c>
    </row>
    <row r="1905" spans="1:10" ht="15" customHeight="1">
      <c r="A1905" s="7">
        <v>44639</v>
      </c>
      <c r="B1905" s="10">
        <v>353</v>
      </c>
      <c r="C1905">
        <v>62338</v>
      </c>
      <c r="D1905" s="5">
        <v>6.68</v>
      </c>
      <c r="F1905" s="8">
        <v>98.4</v>
      </c>
      <c r="G1905" s="8">
        <v>100</v>
      </c>
      <c r="H1905" s="2">
        <f t="shared" si="91"/>
        <v>18230563</v>
      </c>
      <c r="I1905" s="12">
        <f t="shared" si="89"/>
        <v>0.25974166666666665</v>
      </c>
      <c r="J1905" s="12">
        <f t="shared" si="90"/>
        <v>0.2151860599622285</v>
      </c>
    </row>
    <row r="1906" spans="1:10" ht="15" customHeight="1">
      <c r="A1906" s="7">
        <v>44640</v>
      </c>
      <c r="B1906" s="10">
        <v>354</v>
      </c>
      <c r="C1906">
        <v>56990</v>
      </c>
      <c r="D1906" s="5">
        <v>6.12</v>
      </c>
      <c r="F1906" s="8">
        <v>98.4</v>
      </c>
      <c r="G1906" s="8">
        <v>100</v>
      </c>
      <c r="H1906" s="2">
        <f t="shared" si="91"/>
        <v>18287553</v>
      </c>
      <c r="I1906" s="12">
        <f t="shared" si="89"/>
        <v>0.23745833333333333</v>
      </c>
      <c r="J1906" s="12">
        <f t="shared" si="90"/>
        <v>0.21524897598870057</v>
      </c>
    </row>
    <row r="1907" spans="1:10" ht="15" customHeight="1">
      <c r="A1907" s="7">
        <v>44641</v>
      </c>
      <c r="B1907" s="10">
        <v>355</v>
      </c>
      <c r="C1907">
        <v>56488</v>
      </c>
      <c r="D1907" s="5">
        <v>6.07</v>
      </c>
      <c r="F1907" s="8">
        <v>98.4</v>
      </c>
      <c r="G1907" s="8">
        <v>100</v>
      </c>
      <c r="H1907" s="2">
        <f t="shared" si="91"/>
        <v>18344041</v>
      </c>
      <c r="I1907" s="12">
        <f t="shared" si="89"/>
        <v>0.23536666666666667</v>
      </c>
      <c r="J1907" s="12">
        <f t="shared" si="90"/>
        <v>0.21530564553990611</v>
      </c>
    </row>
    <row r="1908" spans="1:10" ht="15" customHeight="1">
      <c r="A1908" s="7">
        <v>44642</v>
      </c>
      <c r="B1908" s="10">
        <v>356</v>
      </c>
      <c r="C1908">
        <v>56621</v>
      </c>
      <c r="D1908" s="5">
        <v>6.06</v>
      </c>
      <c r="F1908" s="8">
        <v>98.4</v>
      </c>
      <c r="G1908" s="8">
        <v>100</v>
      </c>
      <c r="H1908" s="2">
        <f t="shared" si="91"/>
        <v>18400662</v>
      </c>
      <c r="I1908" s="12">
        <f t="shared" si="89"/>
        <v>0.23592083333333333</v>
      </c>
      <c r="J1908" s="12">
        <f t="shared" si="90"/>
        <v>0.21536355337078653</v>
      </c>
    </row>
    <row r="1909" spans="1:10" ht="15" customHeight="1">
      <c r="A1909" s="7">
        <v>44643</v>
      </c>
      <c r="B1909" s="10">
        <v>357</v>
      </c>
      <c r="C1909">
        <v>59431</v>
      </c>
      <c r="D1909" s="5">
        <v>6.33</v>
      </c>
      <c r="F1909" s="8">
        <v>98.4</v>
      </c>
      <c r="G1909" s="8">
        <v>100</v>
      </c>
      <c r="H1909" s="2">
        <f t="shared" si="91"/>
        <v>18460093</v>
      </c>
      <c r="I1909" s="12">
        <f t="shared" si="89"/>
        <v>0.24762916666666668</v>
      </c>
      <c r="J1909" s="12">
        <f t="shared" si="90"/>
        <v>0.21545393323996265</v>
      </c>
    </row>
    <row r="1910" spans="1:10" ht="15" customHeight="1">
      <c r="A1910" s="7">
        <v>44644</v>
      </c>
      <c r="B1910" s="10">
        <v>358</v>
      </c>
      <c r="C1910">
        <v>58485</v>
      </c>
      <c r="D1910" s="5">
        <v>6.33</v>
      </c>
      <c r="F1910" s="8">
        <v>98.4</v>
      </c>
      <c r="G1910" s="8">
        <v>100</v>
      </c>
      <c r="H1910" s="2">
        <f t="shared" si="91"/>
        <v>18518578</v>
      </c>
      <c r="I1910" s="12">
        <f t="shared" si="89"/>
        <v>0.2436875</v>
      </c>
      <c r="J1910" s="12">
        <f t="shared" si="90"/>
        <v>0.21553279795158287</v>
      </c>
    </row>
    <row r="1911" spans="1:10" ht="15" customHeight="1">
      <c r="A1911" s="7">
        <v>44645</v>
      </c>
      <c r="B1911" s="10">
        <v>359</v>
      </c>
      <c r="C1911">
        <v>60518</v>
      </c>
      <c r="D1911" s="5">
        <v>6.59</v>
      </c>
      <c r="F1911" s="8">
        <v>98.4</v>
      </c>
      <c r="G1911" s="8">
        <v>95.694444444444443</v>
      </c>
      <c r="H1911" s="2">
        <f t="shared" si="91"/>
        <v>18579096</v>
      </c>
      <c r="I1911" s="12">
        <f t="shared" si="89"/>
        <v>0.25215833333333332</v>
      </c>
      <c r="J1911" s="12">
        <f t="shared" si="90"/>
        <v>0.21563481894150419</v>
      </c>
    </row>
    <row r="1912" spans="1:10" ht="15" customHeight="1">
      <c r="A1912" s="7">
        <v>44646</v>
      </c>
      <c r="B1912" s="10">
        <v>360</v>
      </c>
      <c r="C1912">
        <v>61354</v>
      </c>
      <c r="D1912" s="5">
        <v>6.75</v>
      </c>
      <c r="F1912" s="8">
        <v>98.4</v>
      </c>
      <c r="G1912" s="8">
        <v>100</v>
      </c>
      <c r="H1912" s="2">
        <f t="shared" si="91"/>
        <v>18640450</v>
      </c>
      <c r="I1912" s="12">
        <f t="shared" si="89"/>
        <v>0.25564166666666666</v>
      </c>
      <c r="J1912" s="12">
        <f t="shared" si="90"/>
        <v>0.21574594907407407</v>
      </c>
    </row>
    <row r="1913" spans="1:10" ht="15" customHeight="1">
      <c r="A1913" s="7">
        <v>44647</v>
      </c>
      <c r="B1913" s="10">
        <v>361</v>
      </c>
      <c r="C1913">
        <v>62304</v>
      </c>
      <c r="D1913" s="5">
        <v>6.92</v>
      </c>
      <c r="F1913" s="8">
        <v>98.4</v>
      </c>
      <c r="G1913" s="8">
        <v>100</v>
      </c>
      <c r="H1913" s="2">
        <f t="shared" si="91"/>
        <v>18702754</v>
      </c>
      <c r="I1913" s="12">
        <f t="shared" si="89"/>
        <v>0.2596</v>
      </c>
      <c r="J1913" s="12">
        <f t="shared" si="90"/>
        <v>0.21586742843951987</v>
      </c>
    </row>
    <row r="1914" spans="1:10" ht="15" customHeight="1">
      <c r="A1914" s="7">
        <v>44648</v>
      </c>
      <c r="B1914" s="10">
        <v>362</v>
      </c>
      <c r="C1914">
        <v>61528</v>
      </c>
      <c r="D1914" s="5">
        <v>6.94</v>
      </c>
      <c r="F1914" s="8">
        <v>98.4</v>
      </c>
      <c r="G1914" s="8">
        <v>100</v>
      </c>
      <c r="H1914" s="2">
        <f t="shared" si="91"/>
        <v>18764282</v>
      </c>
      <c r="I1914" s="12">
        <f t="shared" si="89"/>
        <v>0.25636666666666669</v>
      </c>
      <c r="J1914" s="12">
        <f t="shared" si="90"/>
        <v>0.21597930478821362</v>
      </c>
    </row>
    <row r="1915" spans="1:10" ht="15" customHeight="1">
      <c r="A1915" s="7">
        <v>44649</v>
      </c>
      <c r="B1915" s="10">
        <v>363</v>
      </c>
      <c r="C1915">
        <v>60612</v>
      </c>
      <c r="D1915" s="5">
        <v>6.84</v>
      </c>
      <c r="F1915" s="8">
        <v>98.4</v>
      </c>
      <c r="G1915" s="8">
        <v>100</v>
      </c>
      <c r="H1915" s="2">
        <f t="shared" si="91"/>
        <v>18824894</v>
      </c>
      <c r="I1915" s="12">
        <f t="shared" si="89"/>
        <v>0.25255</v>
      </c>
      <c r="J1915" s="12">
        <f t="shared" si="90"/>
        <v>0.2160800505050505</v>
      </c>
    </row>
    <row r="1916" spans="1:10" ht="15" customHeight="1">
      <c r="A1916" s="7">
        <v>44650</v>
      </c>
      <c r="B1916" s="10">
        <v>364</v>
      </c>
      <c r="C1916">
        <v>61356</v>
      </c>
      <c r="D1916" s="5">
        <v>6.92</v>
      </c>
      <c r="F1916" s="8">
        <v>98.4</v>
      </c>
      <c r="G1916" s="8">
        <v>100</v>
      </c>
      <c r="H1916" s="2">
        <f t="shared" si="91"/>
        <v>18886250</v>
      </c>
      <c r="I1916" s="12">
        <f t="shared" si="89"/>
        <v>0.25564999999999999</v>
      </c>
      <c r="J1916" s="12">
        <f t="shared" si="90"/>
        <v>0.21618875915750915</v>
      </c>
    </row>
    <row r="1917" spans="1:10" ht="15" customHeight="1">
      <c r="A1917" s="7">
        <v>44651</v>
      </c>
      <c r="B1917" s="10">
        <v>365</v>
      </c>
      <c r="C1917">
        <v>64111</v>
      </c>
      <c r="D1917" s="5">
        <v>7.19</v>
      </c>
      <c r="F1917" s="8">
        <v>98.4</v>
      </c>
      <c r="G1917" s="8">
        <v>100</v>
      </c>
      <c r="H1917" s="2">
        <f t="shared" si="91"/>
        <v>18950361</v>
      </c>
      <c r="I1917" s="12">
        <f t="shared" si="89"/>
        <v>0.26712916666666664</v>
      </c>
      <c r="J1917" s="12">
        <f t="shared" si="90"/>
        <v>0.21632832191780821</v>
      </c>
    </row>
    <row r="1918" spans="1:10" ht="15" customHeight="1">
      <c r="A1918" s="7">
        <v>44652</v>
      </c>
      <c r="B1918" s="10">
        <v>1</v>
      </c>
      <c r="C1918">
        <v>61985</v>
      </c>
      <c r="D1918" s="5">
        <v>7.06</v>
      </c>
      <c r="F1918" s="8">
        <v>98.4</v>
      </c>
      <c r="G1918" s="8">
        <v>100</v>
      </c>
      <c r="H1918" s="2">
        <f>C1918</f>
        <v>61985</v>
      </c>
      <c r="I1918" s="12">
        <f t="shared" si="89"/>
        <v>0.25827083333333334</v>
      </c>
      <c r="J1918" s="12">
        <f t="shared" si="90"/>
        <v>0.25827083333333334</v>
      </c>
    </row>
    <row r="1919" spans="1:10" ht="15" customHeight="1">
      <c r="A1919" s="7">
        <v>44653</v>
      </c>
      <c r="B1919" s="10">
        <v>2</v>
      </c>
      <c r="C1919">
        <v>64077</v>
      </c>
      <c r="D1919" s="5">
        <v>7.25</v>
      </c>
      <c r="F1919" s="8">
        <v>98.4</v>
      </c>
      <c r="G1919" s="8">
        <v>100</v>
      </c>
      <c r="H1919" s="2">
        <f t="shared" ref="H1919:H1982" si="92">H1918+C1919</f>
        <v>126062</v>
      </c>
      <c r="I1919" s="12">
        <f t="shared" si="89"/>
        <v>0.26698749999999999</v>
      </c>
      <c r="J1919" s="12">
        <f t="shared" si="90"/>
        <v>0.26262916666666669</v>
      </c>
    </row>
    <row r="1920" spans="1:10" ht="15" customHeight="1">
      <c r="A1920" s="7">
        <v>44654</v>
      </c>
      <c r="B1920" s="10">
        <v>3</v>
      </c>
      <c r="C1920">
        <v>62947</v>
      </c>
      <c r="D1920" s="5">
        <v>7.31</v>
      </c>
      <c r="F1920" s="8">
        <v>98.4</v>
      </c>
      <c r="G1920" s="8">
        <v>100</v>
      </c>
      <c r="H1920" s="2">
        <f t="shared" si="92"/>
        <v>189009</v>
      </c>
      <c r="I1920" s="12">
        <f t="shared" si="89"/>
        <v>0.26227916666666667</v>
      </c>
      <c r="J1920" s="12">
        <f t="shared" si="90"/>
        <v>0.26251249999999998</v>
      </c>
    </row>
    <row r="1921" spans="1:10" ht="15" customHeight="1">
      <c r="A1921" s="7">
        <v>44655</v>
      </c>
      <c r="B1921" s="10">
        <v>4</v>
      </c>
      <c r="C1921">
        <v>61778</v>
      </c>
      <c r="D1921" s="5">
        <v>7.14</v>
      </c>
      <c r="F1921" s="8">
        <v>98.4</v>
      </c>
      <c r="G1921" s="8">
        <v>100</v>
      </c>
      <c r="H1921" s="2">
        <f t="shared" si="92"/>
        <v>250787</v>
      </c>
      <c r="I1921" s="12">
        <f t="shared" si="89"/>
        <v>0.25740833333333335</v>
      </c>
      <c r="J1921" s="12">
        <f t="shared" si="90"/>
        <v>0.26123645833333331</v>
      </c>
    </row>
    <row r="1922" spans="1:10" ht="15" customHeight="1">
      <c r="A1922" s="7">
        <v>44656</v>
      </c>
      <c r="B1922" s="10">
        <v>5</v>
      </c>
      <c r="C1922">
        <v>61060</v>
      </c>
      <c r="D1922" s="5">
        <v>7.13</v>
      </c>
      <c r="F1922" s="8">
        <v>98.4</v>
      </c>
      <c r="G1922" s="8">
        <v>100</v>
      </c>
      <c r="H1922" s="2">
        <f t="shared" si="92"/>
        <v>311847</v>
      </c>
      <c r="I1922" s="12">
        <f t="shared" si="89"/>
        <v>0.25441666666666668</v>
      </c>
      <c r="J1922" s="12">
        <f t="shared" si="90"/>
        <v>0.25987250000000001</v>
      </c>
    </row>
    <row r="1923" spans="1:10" ht="15" customHeight="1">
      <c r="A1923" s="7">
        <v>44657</v>
      </c>
      <c r="B1923" s="10">
        <v>6</v>
      </c>
      <c r="C1923">
        <v>62263</v>
      </c>
      <c r="D1923" s="5">
        <v>7.26</v>
      </c>
      <c r="F1923" s="8">
        <v>98.4</v>
      </c>
      <c r="G1923" s="8">
        <v>100</v>
      </c>
      <c r="H1923" s="2">
        <f t="shared" si="92"/>
        <v>374110</v>
      </c>
      <c r="I1923" s="12">
        <f t="shared" ref="I1923:I1986" si="93">C1923/(10*24*1000)</f>
        <v>0.25942916666666666</v>
      </c>
      <c r="J1923" s="12">
        <f t="shared" si="90"/>
        <v>0.25979861111111113</v>
      </c>
    </row>
    <row r="1924" spans="1:10" ht="15" customHeight="1">
      <c r="A1924" s="7">
        <v>44658</v>
      </c>
      <c r="B1924" s="10">
        <v>7</v>
      </c>
      <c r="C1924">
        <v>61583</v>
      </c>
      <c r="D1924" s="5">
        <v>7.25</v>
      </c>
      <c r="F1924" s="8">
        <v>98.4</v>
      </c>
      <c r="G1924" s="8">
        <v>100</v>
      </c>
      <c r="H1924" s="2">
        <f t="shared" si="92"/>
        <v>435693</v>
      </c>
      <c r="I1924" s="12">
        <f t="shared" si="93"/>
        <v>0.25659583333333336</v>
      </c>
      <c r="J1924" s="12">
        <f t="shared" ref="J1924:J1987" si="94">H1924/(24*B1924*10*1000)</f>
        <v>0.25934107142857143</v>
      </c>
    </row>
    <row r="1925" spans="1:10" ht="15" customHeight="1">
      <c r="A1925" s="7">
        <v>44659</v>
      </c>
      <c r="B1925" s="10">
        <v>8</v>
      </c>
      <c r="C1925">
        <v>59857</v>
      </c>
      <c r="D1925" s="5">
        <v>6.92</v>
      </c>
      <c r="F1925" s="8">
        <v>98.4</v>
      </c>
      <c r="G1925" s="8">
        <v>100</v>
      </c>
      <c r="H1925" s="2">
        <f t="shared" si="92"/>
        <v>495550</v>
      </c>
      <c r="I1925" s="12">
        <f t="shared" si="93"/>
        <v>0.24940416666666668</v>
      </c>
      <c r="J1925" s="12">
        <f t="shared" si="94"/>
        <v>0.25809895833333335</v>
      </c>
    </row>
    <row r="1926" spans="1:10" ht="15" customHeight="1">
      <c r="A1926" s="7">
        <v>44660</v>
      </c>
      <c r="B1926" s="10">
        <v>9</v>
      </c>
      <c r="C1926">
        <v>61382</v>
      </c>
      <c r="D1926" s="5">
        <v>6.94</v>
      </c>
      <c r="F1926" s="8">
        <v>98.4</v>
      </c>
      <c r="G1926" s="8">
        <v>100</v>
      </c>
      <c r="H1926" s="2">
        <f t="shared" si="92"/>
        <v>556932</v>
      </c>
      <c r="I1926" s="12">
        <f t="shared" si="93"/>
        <v>0.25575833333333331</v>
      </c>
      <c r="J1926" s="12">
        <f t="shared" si="94"/>
        <v>0.2578388888888889</v>
      </c>
    </row>
    <row r="1927" spans="1:10" ht="15" customHeight="1">
      <c r="A1927" s="7">
        <v>44661</v>
      </c>
      <c r="B1927" s="10">
        <v>10</v>
      </c>
      <c r="C1927">
        <v>60176</v>
      </c>
      <c r="D1927" s="5">
        <v>7.05</v>
      </c>
      <c r="F1927" s="8">
        <v>98.4</v>
      </c>
      <c r="G1927" s="8">
        <v>100</v>
      </c>
      <c r="H1927" s="2">
        <f t="shared" si="92"/>
        <v>617108</v>
      </c>
      <c r="I1927" s="12">
        <f t="shared" si="93"/>
        <v>0.25073333333333331</v>
      </c>
      <c r="J1927" s="12">
        <f t="shared" si="94"/>
        <v>0.25712833333333335</v>
      </c>
    </row>
    <row r="1928" spans="1:10" ht="15" customHeight="1">
      <c r="A1928" s="7">
        <v>44662</v>
      </c>
      <c r="B1928" s="10">
        <v>11</v>
      </c>
      <c r="C1928">
        <v>58768</v>
      </c>
      <c r="D1928" s="5">
        <v>6.81</v>
      </c>
      <c r="F1928" s="8">
        <v>98.4</v>
      </c>
      <c r="G1928" s="8">
        <v>100</v>
      </c>
      <c r="H1928" s="2">
        <f t="shared" si="92"/>
        <v>675876</v>
      </c>
      <c r="I1928" s="12">
        <f t="shared" si="93"/>
        <v>0.24486666666666668</v>
      </c>
      <c r="J1928" s="12">
        <f t="shared" si="94"/>
        <v>0.25601363636363639</v>
      </c>
    </row>
    <row r="1929" spans="1:10" ht="15" customHeight="1">
      <c r="A1929" s="7">
        <v>44663</v>
      </c>
      <c r="B1929" s="10">
        <v>12</v>
      </c>
      <c r="C1929">
        <v>61508</v>
      </c>
      <c r="D1929" s="5">
        <v>7.04</v>
      </c>
      <c r="F1929" s="8">
        <v>98.4</v>
      </c>
      <c r="G1929" s="8">
        <v>100</v>
      </c>
      <c r="H1929" s="2">
        <f t="shared" si="92"/>
        <v>737384</v>
      </c>
      <c r="I1929" s="12">
        <f t="shared" si="93"/>
        <v>0.25628333333333331</v>
      </c>
      <c r="J1929" s="12">
        <f t="shared" si="94"/>
        <v>0.25603611111111113</v>
      </c>
    </row>
    <row r="1930" spans="1:10" ht="15" customHeight="1">
      <c r="A1930" s="7">
        <v>44664</v>
      </c>
      <c r="B1930" s="10">
        <v>13</v>
      </c>
      <c r="C1930">
        <v>48664</v>
      </c>
      <c r="D1930" s="5">
        <v>5.8</v>
      </c>
      <c r="F1930" s="8">
        <v>98.4</v>
      </c>
      <c r="G1930" s="8">
        <v>100</v>
      </c>
      <c r="H1930" s="2">
        <f t="shared" si="92"/>
        <v>786048</v>
      </c>
      <c r="I1930" s="12">
        <f t="shared" si="93"/>
        <v>0.20276666666666668</v>
      </c>
      <c r="J1930" s="12">
        <f t="shared" si="94"/>
        <v>0.25193846153846156</v>
      </c>
    </row>
    <row r="1931" spans="1:10" ht="15" customHeight="1">
      <c r="A1931" s="7">
        <v>44665</v>
      </c>
      <c r="B1931" s="10">
        <v>14</v>
      </c>
      <c r="C1931">
        <v>51784</v>
      </c>
      <c r="D1931" s="5">
        <v>6.23</v>
      </c>
      <c r="F1931" s="8">
        <v>98.4</v>
      </c>
      <c r="G1931" s="8">
        <v>100</v>
      </c>
      <c r="H1931" s="2">
        <f t="shared" si="92"/>
        <v>837832</v>
      </c>
      <c r="I1931" s="12">
        <f t="shared" si="93"/>
        <v>0.21576666666666666</v>
      </c>
      <c r="J1931" s="12">
        <f t="shared" si="94"/>
        <v>0.24935476190476191</v>
      </c>
    </row>
    <row r="1932" spans="1:10" ht="15" customHeight="1">
      <c r="A1932" s="7">
        <v>44666</v>
      </c>
      <c r="B1932" s="10">
        <v>15</v>
      </c>
      <c r="C1932">
        <v>62195</v>
      </c>
      <c r="D1932" s="5">
        <v>7.43</v>
      </c>
      <c r="F1932" s="8">
        <v>98.4</v>
      </c>
      <c r="G1932" s="8">
        <v>100</v>
      </c>
      <c r="H1932" s="2">
        <f t="shared" si="92"/>
        <v>900027</v>
      </c>
      <c r="I1932" s="12">
        <f t="shared" si="93"/>
        <v>0.25914583333333335</v>
      </c>
      <c r="J1932" s="12">
        <f t="shared" si="94"/>
        <v>0.25000749999999999</v>
      </c>
    </row>
    <row r="1933" spans="1:10" ht="15" customHeight="1">
      <c r="A1933" s="7">
        <v>44667</v>
      </c>
      <c r="B1933" s="10">
        <v>16</v>
      </c>
      <c r="C1933">
        <v>62187</v>
      </c>
      <c r="D1933" s="5">
        <v>7.1</v>
      </c>
      <c r="F1933" s="8">
        <v>100</v>
      </c>
      <c r="G1933" s="8">
        <v>100</v>
      </c>
      <c r="H1933" s="2">
        <f t="shared" si="92"/>
        <v>962214</v>
      </c>
      <c r="I1933" s="12">
        <f t="shared" si="93"/>
        <v>0.25911250000000002</v>
      </c>
      <c r="J1933" s="12">
        <f t="shared" si="94"/>
        <v>0.25057656249999999</v>
      </c>
    </row>
    <row r="1934" spans="1:10" ht="15" customHeight="1">
      <c r="A1934" s="7">
        <v>44668</v>
      </c>
      <c r="B1934" s="10">
        <v>17</v>
      </c>
      <c r="C1934">
        <v>60147</v>
      </c>
      <c r="D1934" s="5">
        <v>7.05</v>
      </c>
      <c r="F1934" s="8">
        <v>100</v>
      </c>
      <c r="G1934" s="8">
        <v>100</v>
      </c>
      <c r="H1934" s="2">
        <f t="shared" si="92"/>
        <v>1022361</v>
      </c>
      <c r="I1934" s="12">
        <f t="shared" si="93"/>
        <v>0.25061250000000002</v>
      </c>
      <c r="J1934" s="12">
        <f t="shared" si="94"/>
        <v>0.25057867647058824</v>
      </c>
    </row>
    <row r="1935" spans="1:10" ht="15" customHeight="1">
      <c r="A1935" s="7">
        <v>44669</v>
      </c>
      <c r="B1935" s="10">
        <v>18</v>
      </c>
      <c r="C1935">
        <v>58739</v>
      </c>
      <c r="D1935" s="5">
        <v>6.88</v>
      </c>
      <c r="F1935" s="8">
        <v>100</v>
      </c>
      <c r="G1935" s="8">
        <v>100</v>
      </c>
      <c r="H1935" s="2">
        <f t="shared" si="92"/>
        <v>1081100</v>
      </c>
      <c r="I1935" s="12">
        <f t="shared" si="93"/>
        <v>0.24474583333333333</v>
      </c>
      <c r="J1935" s="12">
        <f t="shared" si="94"/>
        <v>0.25025462962962963</v>
      </c>
    </row>
    <row r="1936" spans="1:10" ht="15" customHeight="1">
      <c r="A1936" s="7">
        <v>44670</v>
      </c>
      <c r="B1936" s="10">
        <v>19</v>
      </c>
      <c r="C1936">
        <v>56784</v>
      </c>
      <c r="D1936" s="5">
        <v>6.74</v>
      </c>
      <c r="F1936" s="8">
        <v>98.314720355931058</v>
      </c>
      <c r="G1936" s="8">
        <v>100</v>
      </c>
      <c r="H1936" s="2">
        <f t="shared" si="92"/>
        <v>1137884</v>
      </c>
      <c r="I1936" s="12">
        <f t="shared" si="93"/>
        <v>0.2366</v>
      </c>
      <c r="J1936" s="12">
        <f t="shared" si="94"/>
        <v>0.24953596491228069</v>
      </c>
    </row>
    <row r="1937" spans="1:10" ht="15" customHeight="1">
      <c r="A1937" s="7">
        <v>44671</v>
      </c>
      <c r="B1937" s="10">
        <v>20</v>
      </c>
      <c r="C1937">
        <v>50760</v>
      </c>
      <c r="D1937" s="5">
        <v>5.9</v>
      </c>
      <c r="F1937" s="8">
        <v>100</v>
      </c>
      <c r="G1937" s="8">
        <v>100</v>
      </c>
      <c r="H1937" s="2">
        <f t="shared" si="92"/>
        <v>1188644</v>
      </c>
      <c r="I1937" s="12">
        <f t="shared" si="93"/>
        <v>0.21149999999999999</v>
      </c>
      <c r="J1937" s="12">
        <f t="shared" si="94"/>
        <v>0.24763416666666666</v>
      </c>
    </row>
    <row r="1938" spans="1:10" ht="15" customHeight="1">
      <c r="A1938" s="7">
        <v>44672</v>
      </c>
      <c r="B1938" s="10">
        <v>21</v>
      </c>
      <c r="C1938">
        <v>57426</v>
      </c>
      <c r="D1938" s="5">
        <v>6.67</v>
      </c>
      <c r="F1938" s="8">
        <v>100</v>
      </c>
      <c r="G1938" s="8">
        <v>100</v>
      </c>
      <c r="H1938" s="2">
        <f t="shared" si="92"/>
        <v>1246070</v>
      </c>
      <c r="I1938" s="12">
        <f t="shared" si="93"/>
        <v>0.23927499999999999</v>
      </c>
      <c r="J1938" s="12">
        <f t="shared" si="94"/>
        <v>0.2472361111111111</v>
      </c>
    </row>
    <row r="1939" spans="1:10" ht="15" customHeight="1">
      <c r="A1939" s="7">
        <v>44673</v>
      </c>
      <c r="B1939" s="10">
        <v>22</v>
      </c>
      <c r="C1939">
        <v>61463</v>
      </c>
      <c r="D1939" s="5">
        <v>7.33</v>
      </c>
      <c r="F1939" s="8">
        <v>100</v>
      </c>
      <c r="G1939" s="8">
        <v>100</v>
      </c>
      <c r="H1939" s="2">
        <f t="shared" si="92"/>
        <v>1307533</v>
      </c>
      <c r="I1939" s="12">
        <f t="shared" si="93"/>
        <v>0.25609583333333336</v>
      </c>
      <c r="J1939" s="12">
        <f t="shared" si="94"/>
        <v>0.24763882575757576</v>
      </c>
    </row>
    <row r="1940" spans="1:10" ht="15" customHeight="1">
      <c r="A1940" s="7">
        <v>44674</v>
      </c>
      <c r="B1940" s="10">
        <v>23</v>
      </c>
      <c r="C1940">
        <v>59473</v>
      </c>
      <c r="D1940" s="5">
        <v>7.02</v>
      </c>
      <c r="F1940" s="8">
        <v>100</v>
      </c>
      <c r="G1940" s="8">
        <v>100</v>
      </c>
      <c r="H1940" s="2">
        <f t="shared" si="92"/>
        <v>1367006</v>
      </c>
      <c r="I1940" s="12">
        <f t="shared" si="93"/>
        <v>0.24780416666666666</v>
      </c>
      <c r="J1940" s="12">
        <f t="shared" si="94"/>
        <v>0.24764601449275361</v>
      </c>
    </row>
    <row r="1941" spans="1:10" ht="15" customHeight="1">
      <c r="A1941" s="7">
        <v>44675</v>
      </c>
      <c r="B1941" s="10">
        <v>24</v>
      </c>
      <c r="C1941">
        <v>56350</v>
      </c>
      <c r="D1941" s="5">
        <v>6.66</v>
      </c>
      <c r="F1941" s="8">
        <v>100</v>
      </c>
      <c r="G1941" s="8">
        <v>100</v>
      </c>
      <c r="H1941" s="2">
        <f t="shared" si="92"/>
        <v>1423356</v>
      </c>
      <c r="I1941" s="12">
        <f t="shared" si="93"/>
        <v>0.23479166666666668</v>
      </c>
      <c r="J1941" s="12">
        <f t="shared" si="94"/>
        <v>0.24711041666666667</v>
      </c>
    </row>
    <row r="1942" spans="1:10" ht="15" customHeight="1">
      <c r="A1942" s="7">
        <v>44676</v>
      </c>
      <c r="B1942" s="10">
        <v>25</v>
      </c>
      <c r="C1942">
        <v>50375</v>
      </c>
      <c r="D1942" s="5">
        <v>5.96</v>
      </c>
      <c r="F1942" s="8">
        <v>100</v>
      </c>
      <c r="G1942" s="8">
        <v>100</v>
      </c>
      <c r="H1942" s="2">
        <f t="shared" si="92"/>
        <v>1473731</v>
      </c>
      <c r="I1942" s="12">
        <f t="shared" si="93"/>
        <v>0.20989583333333334</v>
      </c>
      <c r="J1942" s="12">
        <f t="shared" si="94"/>
        <v>0.24562183333333334</v>
      </c>
    </row>
    <row r="1943" spans="1:10" ht="15" customHeight="1">
      <c r="A1943" s="7">
        <v>44677</v>
      </c>
      <c r="B1943" s="10">
        <v>26</v>
      </c>
      <c r="C1943">
        <v>58596</v>
      </c>
      <c r="D1943" s="5">
        <v>7.18</v>
      </c>
      <c r="F1943" s="8">
        <v>100</v>
      </c>
      <c r="G1943" s="8">
        <v>100</v>
      </c>
      <c r="H1943" s="2">
        <f t="shared" si="92"/>
        <v>1532327</v>
      </c>
      <c r="I1943" s="12">
        <f t="shared" si="93"/>
        <v>0.24415000000000001</v>
      </c>
      <c r="J1943" s="12">
        <f t="shared" si="94"/>
        <v>0.24556522435897435</v>
      </c>
    </row>
    <row r="1944" spans="1:10" ht="15" customHeight="1">
      <c r="A1944" s="7">
        <v>44678</v>
      </c>
      <c r="B1944" s="10">
        <v>27</v>
      </c>
      <c r="C1944">
        <v>59634</v>
      </c>
      <c r="D1944" s="5">
        <v>7.26</v>
      </c>
      <c r="F1944" s="8">
        <v>100</v>
      </c>
      <c r="G1944" s="8">
        <v>100</v>
      </c>
      <c r="H1944" s="2">
        <f t="shared" si="92"/>
        <v>1591961</v>
      </c>
      <c r="I1944" s="12">
        <f t="shared" si="93"/>
        <v>0.248475</v>
      </c>
      <c r="J1944" s="12">
        <f t="shared" si="94"/>
        <v>0.24567299382716049</v>
      </c>
    </row>
    <row r="1945" spans="1:10" ht="15" customHeight="1">
      <c r="A1945" s="7">
        <v>44679</v>
      </c>
      <c r="B1945" s="10">
        <v>28</v>
      </c>
      <c r="C1945">
        <v>61153</v>
      </c>
      <c r="D1945" s="5">
        <v>7.31</v>
      </c>
      <c r="F1945" s="8">
        <v>100</v>
      </c>
      <c r="G1945" s="8">
        <v>100</v>
      </c>
      <c r="H1945" s="2">
        <f t="shared" si="92"/>
        <v>1653114</v>
      </c>
      <c r="I1945" s="12">
        <f t="shared" si="93"/>
        <v>0.25480416666666666</v>
      </c>
      <c r="J1945" s="12">
        <f t="shared" si="94"/>
        <v>0.24599910714285714</v>
      </c>
    </row>
    <row r="1946" spans="1:10" ht="15" customHeight="1">
      <c r="A1946" s="7">
        <v>44680</v>
      </c>
      <c r="B1946" s="10">
        <v>29</v>
      </c>
      <c r="C1946">
        <v>62006</v>
      </c>
      <c r="D1946" s="5">
        <v>7.35</v>
      </c>
      <c r="F1946" s="8">
        <v>100</v>
      </c>
      <c r="G1946" s="8">
        <v>100</v>
      </c>
      <c r="H1946" s="2">
        <f t="shared" si="92"/>
        <v>1715120</v>
      </c>
      <c r="I1946" s="12">
        <f t="shared" si="93"/>
        <v>0.25835833333333336</v>
      </c>
      <c r="J1946" s="12">
        <f t="shared" si="94"/>
        <v>0.24642528735632183</v>
      </c>
    </row>
    <row r="1947" spans="1:10" ht="15" customHeight="1">
      <c r="A1947" s="7">
        <v>44681</v>
      </c>
      <c r="B1947" s="10">
        <v>30</v>
      </c>
      <c r="C1947">
        <v>58180</v>
      </c>
      <c r="D1947" s="5">
        <v>7.01</v>
      </c>
      <c r="F1947" s="8">
        <v>100</v>
      </c>
      <c r="G1947" s="8">
        <v>100</v>
      </c>
      <c r="H1947" s="2">
        <f t="shared" si="92"/>
        <v>1773300</v>
      </c>
      <c r="I1947" s="12">
        <f t="shared" si="93"/>
        <v>0.24241666666666667</v>
      </c>
      <c r="J1947" s="12">
        <f t="shared" si="94"/>
        <v>0.24629166666666666</v>
      </c>
    </row>
    <row r="1948" spans="1:10" ht="15" customHeight="1">
      <c r="A1948" s="7">
        <v>44682</v>
      </c>
      <c r="B1948" s="10">
        <v>31</v>
      </c>
      <c r="C1948">
        <v>58928</v>
      </c>
      <c r="D1948" s="5">
        <v>7.08</v>
      </c>
      <c r="F1948" s="8">
        <v>100</v>
      </c>
      <c r="G1948" s="8">
        <v>100</v>
      </c>
      <c r="H1948" s="2">
        <f t="shared" si="92"/>
        <v>1832228</v>
      </c>
      <c r="I1948" s="12">
        <f t="shared" si="93"/>
        <v>0.24553333333333333</v>
      </c>
      <c r="J1948" s="12">
        <f t="shared" si="94"/>
        <v>0.24626720430107527</v>
      </c>
    </row>
    <row r="1949" spans="1:10" ht="15" customHeight="1">
      <c r="A1949" s="7">
        <v>44683</v>
      </c>
      <c r="B1949" s="10">
        <v>32</v>
      </c>
      <c r="C1949">
        <v>55030</v>
      </c>
      <c r="D1949" s="5">
        <v>6.95</v>
      </c>
      <c r="F1949" s="8">
        <v>100</v>
      </c>
      <c r="G1949" s="8">
        <v>100</v>
      </c>
      <c r="H1949" s="2">
        <f t="shared" si="92"/>
        <v>1887258</v>
      </c>
      <c r="I1949" s="12">
        <f t="shared" si="93"/>
        <v>0.22929166666666667</v>
      </c>
      <c r="J1949" s="12">
        <f t="shared" si="94"/>
        <v>0.24573671875</v>
      </c>
    </row>
    <row r="1950" spans="1:10" ht="15" customHeight="1">
      <c r="A1950" s="7">
        <v>44684</v>
      </c>
      <c r="B1950" s="10">
        <v>33</v>
      </c>
      <c r="C1950">
        <v>56067</v>
      </c>
      <c r="D1950" s="5">
        <v>6.6</v>
      </c>
      <c r="F1950" s="8">
        <v>100</v>
      </c>
      <c r="G1950" s="8">
        <v>100</v>
      </c>
      <c r="H1950" s="2">
        <f t="shared" si="92"/>
        <v>1943325</v>
      </c>
      <c r="I1950" s="12">
        <f t="shared" si="93"/>
        <v>0.2336125</v>
      </c>
      <c r="J1950" s="12">
        <f t="shared" si="94"/>
        <v>0.24536931818181817</v>
      </c>
    </row>
    <row r="1951" spans="1:10" ht="15" customHeight="1">
      <c r="A1951" s="7">
        <v>44685</v>
      </c>
      <c r="B1951" s="10">
        <v>34</v>
      </c>
      <c r="C1951">
        <v>55766</v>
      </c>
      <c r="D1951" s="5">
        <v>6.99</v>
      </c>
      <c r="F1951" s="8">
        <v>100</v>
      </c>
      <c r="G1951" s="8">
        <v>100</v>
      </c>
      <c r="H1951" s="2">
        <f t="shared" si="92"/>
        <v>1999091</v>
      </c>
      <c r="I1951" s="12">
        <f t="shared" si="93"/>
        <v>0.23235833333333333</v>
      </c>
      <c r="J1951" s="12">
        <f t="shared" si="94"/>
        <v>0.24498664215686275</v>
      </c>
    </row>
    <row r="1952" spans="1:10" ht="15" customHeight="1">
      <c r="A1952" s="7">
        <v>44686</v>
      </c>
      <c r="B1952" s="10">
        <v>35</v>
      </c>
      <c r="C1952">
        <v>52359</v>
      </c>
      <c r="D1952" s="5">
        <v>6.51</v>
      </c>
      <c r="F1952" s="8">
        <v>100</v>
      </c>
      <c r="G1952" s="8">
        <v>100</v>
      </c>
      <c r="H1952" s="2">
        <f t="shared" si="92"/>
        <v>2051450</v>
      </c>
      <c r="I1952" s="12">
        <f t="shared" si="93"/>
        <v>0.21816250000000001</v>
      </c>
      <c r="J1952" s="12">
        <f t="shared" si="94"/>
        <v>0.2442202380952381</v>
      </c>
    </row>
    <row r="1953" spans="1:10" ht="15" customHeight="1">
      <c r="A1953" s="7">
        <v>44687</v>
      </c>
      <c r="B1953" s="10">
        <v>36</v>
      </c>
      <c r="C1953">
        <v>55862</v>
      </c>
      <c r="D1953" s="5">
        <v>6.93</v>
      </c>
      <c r="F1953" s="8">
        <v>100</v>
      </c>
      <c r="G1953" s="8">
        <v>100</v>
      </c>
      <c r="H1953" s="2">
        <f t="shared" si="92"/>
        <v>2107312</v>
      </c>
      <c r="I1953" s="12">
        <f t="shared" si="93"/>
        <v>0.23275833333333334</v>
      </c>
      <c r="J1953" s="12">
        <f t="shared" si="94"/>
        <v>0.24390185185185184</v>
      </c>
    </row>
    <row r="1954" spans="1:10" ht="15" customHeight="1">
      <c r="A1954" s="7">
        <v>44688</v>
      </c>
      <c r="B1954" s="10">
        <v>37</v>
      </c>
      <c r="C1954">
        <v>58118</v>
      </c>
      <c r="D1954" s="5">
        <v>7.33</v>
      </c>
      <c r="F1954" s="8">
        <v>100</v>
      </c>
      <c r="G1954" s="8">
        <v>100</v>
      </c>
      <c r="H1954" s="2">
        <f t="shared" si="92"/>
        <v>2165430</v>
      </c>
      <c r="I1954" s="12">
        <f t="shared" si="93"/>
        <v>0.24215833333333334</v>
      </c>
      <c r="J1954" s="12">
        <f t="shared" si="94"/>
        <v>0.24385472972972974</v>
      </c>
    </row>
    <row r="1955" spans="1:10" ht="15" customHeight="1">
      <c r="A1955" s="7">
        <v>44689</v>
      </c>
      <c r="B1955" s="10">
        <v>38</v>
      </c>
      <c r="C1955">
        <v>59514</v>
      </c>
      <c r="D1955" s="5">
        <v>7.46</v>
      </c>
      <c r="F1955" s="8">
        <v>100</v>
      </c>
      <c r="G1955" s="8">
        <v>100</v>
      </c>
      <c r="H1955" s="2">
        <f t="shared" si="92"/>
        <v>2224944</v>
      </c>
      <c r="I1955" s="12">
        <f t="shared" si="93"/>
        <v>0.247975</v>
      </c>
      <c r="J1955" s="12">
        <f t="shared" si="94"/>
        <v>0.24396315789473685</v>
      </c>
    </row>
    <row r="1956" spans="1:10" ht="15" customHeight="1">
      <c r="A1956" s="7">
        <v>44690</v>
      </c>
      <c r="B1956" s="10">
        <v>39</v>
      </c>
      <c r="C1956">
        <v>60198</v>
      </c>
      <c r="D1956" s="5">
        <v>7.53</v>
      </c>
      <c r="F1956" s="8">
        <v>100</v>
      </c>
      <c r="G1956" s="8">
        <v>100</v>
      </c>
      <c r="H1956" s="2">
        <f t="shared" si="92"/>
        <v>2285142</v>
      </c>
      <c r="I1956" s="12">
        <f t="shared" si="93"/>
        <v>0.25082500000000002</v>
      </c>
      <c r="J1956" s="12">
        <f t="shared" si="94"/>
        <v>0.24413910256410257</v>
      </c>
    </row>
    <row r="1957" spans="1:10" ht="15" customHeight="1">
      <c r="A1957" s="7">
        <v>44691</v>
      </c>
      <c r="B1957" s="10">
        <v>40</v>
      </c>
      <c r="C1957">
        <v>60368</v>
      </c>
      <c r="D1957" s="5">
        <v>7.54</v>
      </c>
      <c r="F1957" s="8">
        <v>100</v>
      </c>
      <c r="G1957" s="8">
        <v>100</v>
      </c>
      <c r="H1957" s="2">
        <f t="shared" si="92"/>
        <v>2345510</v>
      </c>
      <c r="I1957" s="12">
        <f t="shared" si="93"/>
        <v>0.25153333333333333</v>
      </c>
      <c r="J1957" s="12">
        <f t="shared" si="94"/>
        <v>0.24432395833333334</v>
      </c>
    </row>
    <row r="1958" spans="1:10" ht="15" customHeight="1">
      <c r="A1958" s="7">
        <v>44692</v>
      </c>
      <c r="B1958" s="10">
        <v>41</v>
      </c>
      <c r="C1958">
        <v>57196</v>
      </c>
      <c r="D1958" s="5">
        <v>7.3</v>
      </c>
      <c r="F1958" s="8">
        <v>98.7</v>
      </c>
      <c r="G1958" s="8">
        <v>100</v>
      </c>
      <c r="H1958" s="2">
        <f t="shared" si="92"/>
        <v>2402706</v>
      </c>
      <c r="I1958" s="12">
        <f t="shared" si="93"/>
        <v>0.23831666666666668</v>
      </c>
      <c r="J1958" s="12">
        <f t="shared" si="94"/>
        <v>0.24417743902439024</v>
      </c>
    </row>
    <row r="1959" spans="1:10" ht="15" customHeight="1">
      <c r="A1959" s="7">
        <v>44693</v>
      </c>
      <c r="B1959" s="10">
        <v>42</v>
      </c>
      <c r="C1959">
        <v>59038</v>
      </c>
      <c r="D1959" s="5">
        <v>7.53</v>
      </c>
      <c r="F1959" s="8">
        <v>100</v>
      </c>
      <c r="G1959" s="8">
        <v>100</v>
      </c>
      <c r="H1959" s="2">
        <f t="shared" si="92"/>
        <v>2461744</v>
      </c>
      <c r="I1959" s="12">
        <f t="shared" si="93"/>
        <v>0.24599166666666666</v>
      </c>
      <c r="J1959" s="12">
        <f t="shared" si="94"/>
        <v>0.24422063492063492</v>
      </c>
    </row>
    <row r="1960" spans="1:10" ht="15" customHeight="1">
      <c r="A1960" s="7">
        <v>44694</v>
      </c>
      <c r="B1960" s="10">
        <v>43</v>
      </c>
      <c r="C1960">
        <v>60026</v>
      </c>
      <c r="D1960" s="5">
        <v>7.6</v>
      </c>
      <c r="F1960" s="8">
        <v>100</v>
      </c>
      <c r="G1960" s="8">
        <v>100</v>
      </c>
      <c r="H1960" s="2">
        <f t="shared" si="92"/>
        <v>2521770</v>
      </c>
      <c r="I1960" s="12">
        <f t="shared" si="93"/>
        <v>0.25010833333333332</v>
      </c>
      <c r="J1960" s="12">
        <f t="shared" si="94"/>
        <v>0.24435755813953489</v>
      </c>
    </row>
    <row r="1961" spans="1:10" ht="15" customHeight="1">
      <c r="A1961" s="7">
        <v>44695</v>
      </c>
      <c r="B1961" s="10">
        <v>44</v>
      </c>
      <c r="C1961">
        <v>57754</v>
      </c>
      <c r="D1961" s="5">
        <v>7.54</v>
      </c>
      <c r="F1961" s="8">
        <v>100</v>
      </c>
      <c r="G1961" s="8">
        <v>100</v>
      </c>
      <c r="H1961" s="2">
        <f t="shared" si="92"/>
        <v>2579524</v>
      </c>
      <c r="I1961" s="12">
        <f t="shared" si="93"/>
        <v>0.24064166666666667</v>
      </c>
      <c r="J1961" s="12">
        <f t="shared" si="94"/>
        <v>0.24427310606060607</v>
      </c>
    </row>
    <row r="1962" spans="1:10" ht="15" customHeight="1">
      <c r="A1962" s="7">
        <v>44696</v>
      </c>
      <c r="B1962" s="10">
        <v>45</v>
      </c>
      <c r="C1962">
        <v>58780</v>
      </c>
      <c r="D1962" s="5">
        <v>7.13</v>
      </c>
      <c r="F1962" s="8">
        <v>100</v>
      </c>
      <c r="G1962" s="8">
        <v>100</v>
      </c>
      <c r="H1962" s="2">
        <f t="shared" si="92"/>
        <v>2638304</v>
      </c>
      <c r="I1962" s="12">
        <f t="shared" si="93"/>
        <v>0.24491666666666667</v>
      </c>
      <c r="J1962" s="12">
        <f t="shared" si="94"/>
        <v>0.2442874074074074</v>
      </c>
    </row>
    <row r="1963" spans="1:10" ht="15" customHeight="1">
      <c r="A1963" s="7">
        <v>44697</v>
      </c>
      <c r="B1963" s="10">
        <v>46</v>
      </c>
      <c r="C1963">
        <v>55743</v>
      </c>
      <c r="D1963" s="5">
        <v>6.9</v>
      </c>
      <c r="F1963" s="8">
        <v>100</v>
      </c>
      <c r="G1963" s="8">
        <v>100</v>
      </c>
      <c r="H1963" s="2">
        <f t="shared" si="92"/>
        <v>2694047</v>
      </c>
      <c r="I1963" s="12">
        <f t="shared" si="93"/>
        <v>0.23226250000000001</v>
      </c>
      <c r="J1963" s="12">
        <f t="shared" si="94"/>
        <v>0.2440259963768116</v>
      </c>
    </row>
    <row r="1964" spans="1:10" ht="15" customHeight="1">
      <c r="A1964" s="7">
        <v>44698</v>
      </c>
      <c r="B1964" s="10">
        <v>47</v>
      </c>
      <c r="C1964">
        <v>60278</v>
      </c>
      <c r="D1964" s="5">
        <v>7.48</v>
      </c>
      <c r="F1964" s="8">
        <v>100</v>
      </c>
      <c r="G1964" s="8">
        <v>100</v>
      </c>
      <c r="H1964" s="2">
        <f t="shared" si="92"/>
        <v>2754325</v>
      </c>
      <c r="I1964" s="12">
        <f t="shared" si="93"/>
        <v>0.25115833333333332</v>
      </c>
      <c r="J1964" s="12">
        <f t="shared" si="94"/>
        <v>0.24417774822695035</v>
      </c>
    </row>
    <row r="1965" spans="1:10" ht="15" customHeight="1">
      <c r="A1965" s="7">
        <v>44699</v>
      </c>
      <c r="B1965" s="10">
        <v>48</v>
      </c>
      <c r="C1965">
        <v>56686</v>
      </c>
      <c r="D1965" s="5">
        <v>7.22</v>
      </c>
      <c r="F1965" s="8">
        <v>100</v>
      </c>
      <c r="G1965" s="8">
        <v>100</v>
      </c>
      <c r="H1965" s="2">
        <f t="shared" si="92"/>
        <v>2811011</v>
      </c>
      <c r="I1965" s="12">
        <f t="shared" si="93"/>
        <v>0.23619166666666666</v>
      </c>
      <c r="J1965" s="12">
        <f t="shared" si="94"/>
        <v>0.24401137152777777</v>
      </c>
    </row>
    <row r="1966" spans="1:10" ht="15" customHeight="1">
      <c r="A1966" s="7">
        <v>44700</v>
      </c>
      <c r="B1966" s="10">
        <v>49</v>
      </c>
      <c r="C1966">
        <v>57355</v>
      </c>
      <c r="D1966" s="5">
        <v>7.17</v>
      </c>
      <c r="F1966" s="8">
        <v>100</v>
      </c>
      <c r="G1966" s="8">
        <v>100</v>
      </c>
      <c r="H1966" s="2">
        <f t="shared" si="92"/>
        <v>2868366</v>
      </c>
      <c r="I1966" s="12">
        <f t="shared" si="93"/>
        <v>0.23897916666666666</v>
      </c>
      <c r="J1966" s="12">
        <f t="shared" si="94"/>
        <v>0.24390867346938774</v>
      </c>
    </row>
    <row r="1967" spans="1:10" ht="15" customHeight="1">
      <c r="A1967" s="7">
        <v>44701</v>
      </c>
      <c r="B1967" s="10">
        <v>50</v>
      </c>
      <c r="C1967">
        <v>54343</v>
      </c>
      <c r="D1967" s="5">
        <v>6.76</v>
      </c>
      <c r="F1967" s="8">
        <v>100</v>
      </c>
      <c r="G1967" s="8">
        <v>100</v>
      </c>
      <c r="H1967" s="2">
        <f t="shared" si="92"/>
        <v>2922709</v>
      </c>
      <c r="I1967" s="12">
        <f t="shared" si="93"/>
        <v>0.22642916666666665</v>
      </c>
      <c r="J1967" s="12">
        <f t="shared" si="94"/>
        <v>0.24355908333333334</v>
      </c>
    </row>
    <row r="1968" spans="1:10" ht="15" customHeight="1">
      <c r="A1968" s="7">
        <v>44702</v>
      </c>
      <c r="B1968" s="10">
        <v>51</v>
      </c>
      <c r="C1968">
        <v>55467</v>
      </c>
      <c r="D1968" s="5">
        <v>6.74</v>
      </c>
      <c r="F1968" s="8">
        <v>100</v>
      </c>
      <c r="G1968" s="8">
        <v>100</v>
      </c>
      <c r="H1968" s="2">
        <f t="shared" si="92"/>
        <v>2978176</v>
      </c>
      <c r="I1968" s="12">
        <f t="shared" si="93"/>
        <v>0.2311125</v>
      </c>
      <c r="J1968" s="12">
        <f t="shared" si="94"/>
        <v>0.24331503267973856</v>
      </c>
    </row>
    <row r="1969" spans="1:10" ht="15" customHeight="1">
      <c r="A1969" s="7">
        <v>44703</v>
      </c>
      <c r="B1969" s="10">
        <v>52</v>
      </c>
      <c r="C1969">
        <v>60600</v>
      </c>
      <c r="D1969" s="5">
        <v>7.55</v>
      </c>
      <c r="F1969" s="8">
        <v>100</v>
      </c>
      <c r="G1969" s="8">
        <v>100</v>
      </c>
      <c r="H1969" s="2">
        <f t="shared" si="92"/>
        <v>3038776</v>
      </c>
      <c r="I1969" s="12">
        <f t="shared" si="93"/>
        <v>0.2525</v>
      </c>
      <c r="J1969" s="12">
        <f t="shared" si="94"/>
        <v>0.24349166666666666</v>
      </c>
    </row>
    <row r="1970" spans="1:10" ht="15" customHeight="1">
      <c r="A1970" s="7">
        <v>44704</v>
      </c>
      <c r="B1970" s="10">
        <v>53</v>
      </c>
      <c r="C1970">
        <v>44305</v>
      </c>
      <c r="D1970" s="5">
        <v>5.23</v>
      </c>
      <c r="F1970" s="8">
        <v>100</v>
      </c>
      <c r="G1970" s="8">
        <v>100</v>
      </c>
      <c r="H1970" s="2">
        <f t="shared" si="92"/>
        <v>3083081</v>
      </c>
      <c r="I1970" s="12">
        <f t="shared" si="93"/>
        <v>0.18460416666666668</v>
      </c>
      <c r="J1970" s="12">
        <f t="shared" si="94"/>
        <v>0.2423805817610063</v>
      </c>
    </row>
    <row r="1971" spans="1:10" ht="15" customHeight="1">
      <c r="A1971" s="7">
        <v>44705</v>
      </c>
      <c r="B1971" s="10">
        <v>54</v>
      </c>
      <c r="C1971">
        <v>51222</v>
      </c>
      <c r="D1971" s="5">
        <v>6.33</v>
      </c>
      <c r="F1971" s="8">
        <v>100</v>
      </c>
      <c r="G1971" s="8">
        <v>100</v>
      </c>
      <c r="H1971" s="2">
        <f t="shared" si="92"/>
        <v>3134303</v>
      </c>
      <c r="I1971" s="12">
        <f t="shared" si="93"/>
        <v>0.213425</v>
      </c>
      <c r="J1971" s="12">
        <f t="shared" si="94"/>
        <v>0.24184436728395062</v>
      </c>
    </row>
    <row r="1972" spans="1:10" ht="15" customHeight="1">
      <c r="A1972" s="7">
        <v>44706</v>
      </c>
      <c r="B1972" s="10">
        <v>55</v>
      </c>
      <c r="C1972">
        <v>54473</v>
      </c>
      <c r="D1972" s="5">
        <v>6.8</v>
      </c>
      <c r="F1972" s="8">
        <v>100</v>
      </c>
      <c r="G1972" s="8">
        <v>96.732097339927236</v>
      </c>
      <c r="H1972" s="2">
        <f t="shared" si="92"/>
        <v>3188776</v>
      </c>
      <c r="I1972" s="12">
        <f t="shared" si="93"/>
        <v>0.22697083333333334</v>
      </c>
      <c r="J1972" s="12">
        <f t="shared" si="94"/>
        <v>0.2415739393939394</v>
      </c>
    </row>
    <row r="1973" spans="1:10" ht="15" customHeight="1">
      <c r="A1973" s="7">
        <v>44707</v>
      </c>
      <c r="B1973" s="10">
        <v>56</v>
      </c>
      <c r="C1973">
        <v>57463</v>
      </c>
      <c r="D1973" s="5">
        <v>7.22</v>
      </c>
      <c r="F1973" s="8">
        <v>100</v>
      </c>
      <c r="G1973" s="8">
        <v>100</v>
      </c>
      <c r="H1973" s="2">
        <f t="shared" si="92"/>
        <v>3246239</v>
      </c>
      <c r="I1973" s="12">
        <f t="shared" si="93"/>
        <v>0.23942916666666667</v>
      </c>
      <c r="J1973" s="12">
        <f t="shared" si="94"/>
        <v>0.24153563988095239</v>
      </c>
    </row>
    <row r="1974" spans="1:10" ht="15" customHeight="1">
      <c r="A1974" s="7">
        <v>44708</v>
      </c>
      <c r="B1974" s="10">
        <v>57</v>
      </c>
      <c r="C1974">
        <v>57296</v>
      </c>
      <c r="D1974" s="5">
        <v>7.14</v>
      </c>
      <c r="F1974" s="8">
        <v>100</v>
      </c>
      <c r="G1974" s="8">
        <v>100</v>
      </c>
      <c r="H1974" s="2">
        <f t="shared" si="92"/>
        <v>3303535</v>
      </c>
      <c r="I1974" s="12">
        <f t="shared" si="93"/>
        <v>0.23873333333333333</v>
      </c>
      <c r="J1974" s="12">
        <f t="shared" si="94"/>
        <v>0.24148647660818714</v>
      </c>
    </row>
    <row r="1975" spans="1:10" ht="15" customHeight="1">
      <c r="A1975" s="7">
        <v>44709</v>
      </c>
      <c r="B1975" s="10">
        <v>58</v>
      </c>
      <c r="C1975">
        <v>56148</v>
      </c>
      <c r="D1975" s="5">
        <v>6.93</v>
      </c>
      <c r="F1975" s="8">
        <v>100</v>
      </c>
      <c r="G1975" s="8">
        <v>100</v>
      </c>
      <c r="H1975" s="2">
        <f t="shared" si="92"/>
        <v>3359683</v>
      </c>
      <c r="I1975" s="12">
        <f t="shared" si="93"/>
        <v>0.23394999999999999</v>
      </c>
      <c r="J1975" s="12">
        <f t="shared" si="94"/>
        <v>0.24135653735632184</v>
      </c>
    </row>
    <row r="1976" spans="1:10" ht="15" customHeight="1">
      <c r="A1976" s="7">
        <v>44710</v>
      </c>
      <c r="B1976" s="10">
        <v>59</v>
      </c>
      <c r="C1976">
        <v>55573</v>
      </c>
      <c r="D1976" s="5">
        <v>6.87</v>
      </c>
      <c r="F1976" s="8">
        <v>100</v>
      </c>
      <c r="G1976" s="8">
        <v>100</v>
      </c>
      <c r="H1976" s="2">
        <f t="shared" si="92"/>
        <v>3415256</v>
      </c>
      <c r="I1976" s="12">
        <f t="shared" si="93"/>
        <v>0.23155416666666667</v>
      </c>
      <c r="J1976" s="12">
        <f t="shared" si="94"/>
        <v>0.241190395480226</v>
      </c>
    </row>
    <row r="1977" spans="1:10" ht="15" customHeight="1">
      <c r="A1977" s="7">
        <v>44711</v>
      </c>
      <c r="B1977" s="10">
        <v>60</v>
      </c>
      <c r="C1977">
        <v>58733</v>
      </c>
      <c r="D1977" s="5">
        <v>7.33</v>
      </c>
      <c r="F1977" s="8">
        <v>100</v>
      </c>
      <c r="G1977" s="8">
        <v>100</v>
      </c>
      <c r="H1977" s="2">
        <f t="shared" si="92"/>
        <v>3473989</v>
      </c>
      <c r="I1977" s="12">
        <f t="shared" si="93"/>
        <v>0.24472083333333333</v>
      </c>
      <c r="J1977" s="12">
        <f t="shared" si="94"/>
        <v>0.2412492361111111</v>
      </c>
    </row>
    <row r="1978" spans="1:10" ht="15" customHeight="1">
      <c r="A1978" s="7">
        <v>44712</v>
      </c>
      <c r="B1978" s="10">
        <v>61</v>
      </c>
      <c r="C1978">
        <v>58205</v>
      </c>
      <c r="D1978" s="5">
        <v>7.38</v>
      </c>
      <c r="F1978" s="8">
        <v>100</v>
      </c>
      <c r="G1978" s="8">
        <v>100</v>
      </c>
      <c r="H1978" s="2">
        <f t="shared" si="92"/>
        <v>3532194</v>
      </c>
      <c r="I1978" s="12">
        <f t="shared" si="93"/>
        <v>0.24252083333333332</v>
      </c>
      <c r="J1978" s="12">
        <f t="shared" si="94"/>
        <v>0.24127008196721311</v>
      </c>
    </row>
    <row r="1979" spans="1:10" ht="15" customHeight="1">
      <c r="A1979" s="7">
        <v>44713</v>
      </c>
      <c r="B1979" s="10">
        <v>62</v>
      </c>
      <c r="C1979">
        <v>58075</v>
      </c>
      <c r="D1979" s="5">
        <v>7.38</v>
      </c>
      <c r="F1979" s="8">
        <v>100</v>
      </c>
      <c r="G1979" s="8">
        <v>95.707674766940158</v>
      </c>
      <c r="H1979" s="2">
        <f t="shared" si="92"/>
        <v>3590269</v>
      </c>
      <c r="I1979" s="12">
        <f t="shared" si="93"/>
        <v>0.24197916666666666</v>
      </c>
      <c r="J1979" s="12">
        <f t="shared" si="94"/>
        <v>0.2412815188172043</v>
      </c>
    </row>
    <row r="1980" spans="1:10" ht="15" customHeight="1">
      <c r="A1980" s="7">
        <v>44714</v>
      </c>
      <c r="B1980" s="10">
        <v>63</v>
      </c>
      <c r="C1980">
        <v>54676</v>
      </c>
      <c r="D1980" s="5">
        <v>7.03</v>
      </c>
      <c r="F1980" s="8">
        <v>100</v>
      </c>
      <c r="G1980" s="8">
        <v>100</v>
      </c>
      <c r="H1980" s="2">
        <f t="shared" si="92"/>
        <v>3644945</v>
      </c>
      <c r="I1980" s="12">
        <f t="shared" si="93"/>
        <v>0.22781666666666667</v>
      </c>
      <c r="J1980" s="12">
        <f t="shared" si="94"/>
        <v>0.24106779100529099</v>
      </c>
    </row>
    <row r="1981" spans="1:10" ht="15" customHeight="1">
      <c r="A1981" s="7">
        <v>44715</v>
      </c>
      <c r="B1981" s="10">
        <v>64</v>
      </c>
      <c r="C1981">
        <v>52398</v>
      </c>
      <c r="D1981" s="5">
        <v>6.64</v>
      </c>
      <c r="F1981" s="8">
        <v>100</v>
      </c>
      <c r="G1981" s="8">
        <v>100</v>
      </c>
      <c r="H1981" s="2">
        <f t="shared" si="92"/>
        <v>3697343</v>
      </c>
      <c r="I1981" s="12">
        <f t="shared" si="93"/>
        <v>0.21832499999999999</v>
      </c>
      <c r="J1981" s="12">
        <f t="shared" si="94"/>
        <v>0.24071243489583333</v>
      </c>
    </row>
    <row r="1982" spans="1:10" ht="15" customHeight="1">
      <c r="A1982" s="7">
        <v>44716</v>
      </c>
      <c r="B1982" s="10">
        <v>65</v>
      </c>
      <c r="C1982">
        <v>57930</v>
      </c>
      <c r="D1982" s="5">
        <v>7.55</v>
      </c>
      <c r="F1982" s="8">
        <v>100</v>
      </c>
      <c r="G1982" s="8">
        <v>100</v>
      </c>
      <c r="H1982" s="2">
        <f t="shared" si="92"/>
        <v>3755273</v>
      </c>
      <c r="I1982" s="12">
        <f t="shared" si="93"/>
        <v>0.24137500000000001</v>
      </c>
      <c r="J1982" s="12">
        <f t="shared" si="94"/>
        <v>0.24072262820512821</v>
      </c>
    </row>
    <row r="1983" spans="1:10" ht="15" customHeight="1">
      <c r="A1983" s="7">
        <v>44717</v>
      </c>
      <c r="B1983" s="10">
        <v>66</v>
      </c>
      <c r="C1983">
        <v>50310</v>
      </c>
      <c r="D1983" s="5">
        <v>7.09</v>
      </c>
      <c r="F1983" s="8">
        <v>95.358731386578995</v>
      </c>
      <c r="G1983" s="8">
        <v>100</v>
      </c>
      <c r="H1983" s="2">
        <f t="shared" ref="H1983:H2046" si="95">H1982+C1983</f>
        <v>3805583</v>
      </c>
      <c r="I1983" s="12">
        <f t="shared" si="93"/>
        <v>0.20962500000000001</v>
      </c>
      <c r="J1983" s="12">
        <f t="shared" si="94"/>
        <v>0.24025145202020201</v>
      </c>
    </row>
    <row r="1984" spans="1:10" ht="15" customHeight="1">
      <c r="A1984" s="7">
        <v>44718</v>
      </c>
      <c r="B1984" s="10">
        <v>67</v>
      </c>
      <c r="C1984">
        <v>56675</v>
      </c>
      <c r="D1984" s="5">
        <v>7.27</v>
      </c>
      <c r="F1984" s="8">
        <v>100</v>
      </c>
      <c r="G1984" s="8">
        <v>100</v>
      </c>
      <c r="H1984" s="2">
        <f t="shared" si="95"/>
        <v>3862258</v>
      </c>
      <c r="I1984" s="12">
        <f t="shared" si="93"/>
        <v>0.23614583333333333</v>
      </c>
      <c r="J1984" s="12">
        <f t="shared" si="94"/>
        <v>0.24019017412935323</v>
      </c>
    </row>
    <row r="1985" spans="1:10" ht="15" customHeight="1">
      <c r="A1985" s="7">
        <v>44719</v>
      </c>
      <c r="B1985" s="10">
        <v>68</v>
      </c>
      <c r="C1985">
        <v>57459</v>
      </c>
      <c r="D1985" s="5">
        <v>7.28</v>
      </c>
      <c r="F1985" s="8">
        <v>100</v>
      </c>
      <c r="G1985" s="8">
        <v>100</v>
      </c>
      <c r="H1985" s="2">
        <f t="shared" si="95"/>
        <v>3919717</v>
      </c>
      <c r="I1985" s="12">
        <f t="shared" si="93"/>
        <v>0.2394125</v>
      </c>
      <c r="J1985" s="12">
        <f t="shared" si="94"/>
        <v>0.24017873774509804</v>
      </c>
    </row>
    <row r="1986" spans="1:10" ht="15" customHeight="1">
      <c r="A1986" s="7">
        <v>44720</v>
      </c>
      <c r="B1986" s="10">
        <v>69</v>
      </c>
      <c r="C1986">
        <v>58433</v>
      </c>
      <c r="D1986" s="5">
        <v>7.35</v>
      </c>
      <c r="F1986" s="8">
        <v>100</v>
      </c>
      <c r="G1986" s="8">
        <v>100</v>
      </c>
      <c r="H1986" s="2">
        <f t="shared" si="95"/>
        <v>3978150</v>
      </c>
      <c r="I1986" s="12">
        <f t="shared" si="93"/>
        <v>0.24347083333333333</v>
      </c>
      <c r="J1986" s="12">
        <f t="shared" si="94"/>
        <v>0.24022644927536232</v>
      </c>
    </row>
    <row r="1987" spans="1:10" ht="15" customHeight="1">
      <c r="A1987" s="7">
        <v>44721</v>
      </c>
      <c r="B1987" s="10">
        <v>70</v>
      </c>
      <c r="C1987">
        <v>58434</v>
      </c>
      <c r="D1987" s="5">
        <v>7.48</v>
      </c>
      <c r="F1987" s="8">
        <v>100</v>
      </c>
      <c r="G1987" s="8">
        <v>96.092170866460052</v>
      </c>
      <c r="H1987" s="2">
        <f t="shared" si="95"/>
        <v>4036584</v>
      </c>
      <c r="I1987" s="12">
        <f t="shared" ref="I1987:I2050" si="96">C1987/(10*24*1000)</f>
        <v>0.243475</v>
      </c>
      <c r="J1987" s="12">
        <f t="shared" si="94"/>
        <v>0.24027285714285715</v>
      </c>
    </row>
    <row r="1988" spans="1:10" ht="15" customHeight="1">
      <c r="A1988" s="7">
        <v>44722</v>
      </c>
      <c r="B1988" s="10">
        <v>71</v>
      </c>
      <c r="C1988">
        <v>59322</v>
      </c>
      <c r="D1988" s="5">
        <v>7.66</v>
      </c>
      <c r="F1988" s="8">
        <v>100</v>
      </c>
      <c r="G1988" s="8">
        <v>100</v>
      </c>
      <c r="H1988" s="2">
        <f t="shared" si="95"/>
        <v>4095906</v>
      </c>
      <c r="I1988" s="12">
        <f t="shared" si="96"/>
        <v>0.24717500000000001</v>
      </c>
      <c r="J1988" s="12">
        <f t="shared" ref="J1988:J2051" si="97">H1988/(24*B1988*10*1000)</f>
        <v>0.24037007042253522</v>
      </c>
    </row>
    <row r="1989" spans="1:10" ht="15" customHeight="1">
      <c r="A1989" s="7">
        <v>44723</v>
      </c>
      <c r="B1989" s="10">
        <v>72</v>
      </c>
      <c r="C1989">
        <v>60153</v>
      </c>
      <c r="D1989" s="5">
        <v>7.72</v>
      </c>
      <c r="F1989" s="8">
        <v>100</v>
      </c>
      <c r="G1989" s="8">
        <v>100</v>
      </c>
      <c r="H1989" s="2">
        <f t="shared" si="95"/>
        <v>4156059</v>
      </c>
      <c r="I1989" s="12">
        <f t="shared" si="96"/>
        <v>0.25063750000000001</v>
      </c>
      <c r="J1989" s="12">
        <f t="shared" si="97"/>
        <v>0.24051267361111112</v>
      </c>
    </row>
    <row r="1990" spans="1:10" ht="15" customHeight="1">
      <c r="A1990" s="7">
        <v>44724</v>
      </c>
      <c r="B1990" s="10">
        <v>73</v>
      </c>
      <c r="C1990">
        <v>60011</v>
      </c>
      <c r="D1990" s="5">
        <v>7.72</v>
      </c>
      <c r="F1990" s="8">
        <v>100</v>
      </c>
      <c r="G1990" s="8">
        <v>100</v>
      </c>
      <c r="H1990" s="2">
        <f t="shared" si="95"/>
        <v>4216070</v>
      </c>
      <c r="I1990" s="12">
        <f t="shared" si="96"/>
        <v>0.25004583333333336</v>
      </c>
      <c r="J1990" s="12">
        <f t="shared" si="97"/>
        <v>0.24064326484018264</v>
      </c>
    </row>
    <row r="1991" spans="1:10" ht="15" customHeight="1">
      <c r="A1991" s="7">
        <v>44725</v>
      </c>
      <c r="B1991" s="10">
        <v>74</v>
      </c>
      <c r="C1991">
        <v>37075</v>
      </c>
      <c r="D1991" s="5">
        <v>4.8099999999999996</v>
      </c>
      <c r="F1991" s="8">
        <v>100</v>
      </c>
      <c r="G1991" s="8">
        <v>100</v>
      </c>
      <c r="H1991" s="2">
        <f t="shared" si="95"/>
        <v>4253145</v>
      </c>
      <c r="I1991" s="12">
        <f t="shared" si="96"/>
        <v>0.15447916666666667</v>
      </c>
      <c r="J1991" s="12">
        <f t="shared" si="97"/>
        <v>0.23947888513513513</v>
      </c>
    </row>
    <row r="1992" spans="1:10" ht="15" customHeight="1">
      <c r="A1992" s="7">
        <v>44726</v>
      </c>
      <c r="B1992" s="10">
        <v>75</v>
      </c>
      <c r="C1992">
        <v>31901</v>
      </c>
      <c r="D1992" s="5">
        <v>4.04</v>
      </c>
      <c r="F1992" s="8">
        <v>100</v>
      </c>
      <c r="G1992" s="8">
        <v>100</v>
      </c>
      <c r="H1992" s="2">
        <f t="shared" si="95"/>
        <v>4285046</v>
      </c>
      <c r="I1992" s="12">
        <f t="shared" si="96"/>
        <v>0.13292083333333332</v>
      </c>
      <c r="J1992" s="12">
        <f t="shared" si="97"/>
        <v>0.23805811111111111</v>
      </c>
    </row>
    <row r="1993" spans="1:10" ht="15" customHeight="1">
      <c r="A1993" s="7">
        <v>44727</v>
      </c>
      <c r="B1993" s="10">
        <v>76</v>
      </c>
      <c r="C1993">
        <v>59295</v>
      </c>
      <c r="D1993" s="5">
        <v>7.66</v>
      </c>
      <c r="F1993" s="8">
        <v>100</v>
      </c>
      <c r="G1993" s="8">
        <v>100</v>
      </c>
      <c r="H1993" s="2">
        <f t="shared" si="95"/>
        <v>4344341</v>
      </c>
      <c r="I1993" s="12">
        <f t="shared" si="96"/>
        <v>0.24706249999999999</v>
      </c>
      <c r="J1993" s="12">
        <f t="shared" si="97"/>
        <v>0.23817658991228069</v>
      </c>
    </row>
    <row r="1994" spans="1:10" ht="15" customHeight="1">
      <c r="A1994" s="7">
        <v>44728</v>
      </c>
      <c r="B1994" s="10">
        <v>77</v>
      </c>
      <c r="C1994">
        <v>58532</v>
      </c>
      <c r="D1994" s="5">
        <v>7.59</v>
      </c>
      <c r="F1994" s="8">
        <v>100</v>
      </c>
      <c r="G1994" s="8">
        <v>100</v>
      </c>
      <c r="H1994" s="2">
        <f t="shared" si="95"/>
        <v>4402873</v>
      </c>
      <c r="I1994" s="12">
        <f t="shared" si="96"/>
        <v>0.24388333333333334</v>
      </c>
      <c r="J1994" s="12">
        <f t="shared" si="97"/>
        <v>0.23825070346320346</v>
      </c>
    </row>
    <row r="1995" spans="1:10" ht="15" customHeight="1">
      <c r="A1995" s="7">
        <v>44729</v>
      </c>
      <c r="B1995" s="10">
        <v>78</v>
      </c>
      <c r="C1995">
        <v>58126</v>
      </c>
      <c r="D1995" s="5">
        <v>7.59</v>
      </c>
      <c r="F1995" s="8">
        <v>100</v>
      </c>
      <c r="G1995" s="8">
        <v>100</v>
      </c>
      <c r="H1995" s="2">
        <f t="shared" si="95"/>
        <v>4460999</v>
      </c>
      <c r="I1995" s="12">
        <f t="shared" si="96"/>
        <v>0.24219166666666667</v>
      </c>
      <c r="J1995" s="12">
        <f t="shared" si="97"/>
        <v>0.23830122863247863</v>
      </c>
    </row>
    <row r="1996" spans="1:10" ht="15" customHeight="1">
      <c r="A1996" s="7">
        <v>44730</v>
      </c>
      <c r="B1996" s="10">
        <v>79</v>
      </c>
      <c r="C1996">
        <v>44217</v>
      </c>
      <c r="D1996" s="5">
        <v>5.43</v>
      </c>
      <c r="F1996" s="8">
        <v>100</v>
      </c>
      <c r="G1996" s="8">
        <v>100</v>
      </c>
      <c r="H1996" s="2">
        <f t="shared" si="95"/>
        <v>4505216</v>
      </c>
      <c r="I1996" s="12">
        <f t="shared" si="96"/>
        <v>0.1842375</v>
      </c>
      <c r="J1996" s="12">
        <f t="shared" si="97"/>
        <v>0.2376168776371308</v>
      </c>
    </row>
    <row r="1997" spans="1:10" ht="15" customHeight="1">
      <c r="A1997" s="7">
        <v>44731</v>
      </c>
      <c r="B1997" s="10">
        <v>80</v>
      </c>
      <c r="C1997">
        <v>45178</v>
      </c>
      <c r="D1997" s="5">
        <v>5.59</v>
      </c>
      <c r="F1997" s="8">
        <v>100</v>
      </c>
      <c r="G1997" s="8">
        <v>100</v>
      </c>
      <c r="H1997" s="2">
        <f t="shared" si="95"/>
        <v>4550394</v>
      </c>
      <c r="I1997" s="12">
        <f t="shared" si="96"/>
        <v>0.18824166666666667</v>
      </c>
      <c r="J1997" s="12">
        <f t="shared" si="97"/>
        <v>0.2369996875</v>
      </c>
    </row>
    <row r="1998" spans="1:10" ht="15" customHeight="1">
      <c r="A1998" s="7">
        <v>44732</v>
      </c>
      <c r="B1998" s="10">
        <v>81</v>
      </c>
      <c r="C1998">
        <v>54281</v>
      </c>
      <c r="D1998" s="5">
        <v>6.74</v>
      </c>
      <c r="F1998" s="8">
        <v>100</v>
      </c>
      <c r="G1998" s="8">
        <v>100</v>
      </c>
      <c r="H1998" s="2">
        <f t="shared" si="95"/>
        <v>4604675</v>
      </c>
      <c r="I1998" s="12">
        <f t="shared" si="96"/>
        <v>0.22617083333333332</v>
      </c>
      <c r="J1998" s="12">
        <f t="shared" si="97"/>
        <v>0.23686599794238683</v>
      </c>
    </row>
    <row r="1999" spans="1:10" ht="15" customHeight="1">
      <c r="A1999" s="7">
        <v>44733</v>
      </c>
      <c r="B1999" s="10">
        <v>82</v>
      </c>
      <c r="C1999">
        <v>24712</v>
      </c>
      <c r="D1999" s="5">
        <v>3.25</v>
      </c>
      <c r="F1999" s="8">
        <v>100</v>
      </c>
      <c r="G1999" s="8">
        <v>100</v>
      </c>
      <c r="H1999" s="2">
        <f t="shared" si="95"/>
        <v>4629387</v>
      </c>
      <c r="I1999" s="12">
        <f t="shared" si="96"/>
        <v>0.10296666666666666</v>
      </c>
      <c r="J1999" s="12">
        <f t="shared" si="97"/>
        <v>0.23523307926829268</v>
      </c>
    </row>
    <row r="2000" spans="1:10" ht="15" customHeight="1">
      <c r="A2000" s="7">
        <v>44734</v>
      </c>
      <c r="B2000" s="10">
        <v>83</v>
      </c>
      <c r="C2000">
        <v>54298</v>
      </c>
      <c r="D2000" s="5">
        <v>6.87</v>
      </c>
      <c r="F2000" s="8">
        <v>100</v>
      </c>
      <c r="G2000" s="8">
        <v>100</v>
      </c>
      <c r="H2000" s="2">
        <f t="shared" si="95"/>
        <v>4683685</v>
      </c>
      <c r="I2000" s="12">
        <f t="shared" si="96"/>
        <v>0.22624166666666667</v>
      </c>
      <c r="J2000" s="12">
        <f t="shared" si="97"/>
        <v>0.23512474899598393</v>
      </c>
    </row>
    <row r="2001" spans="1:10" ht="15" customHeight="1">
      <c r="A2001" s="7">
        <v>44735</v>
      </c>
      <c r="B2001" s="10">
        <v>84</v>
      </c>
      <c r="C2001">
        <v>53782</v>
      </c>
      <c r="D2001" s="5">
        <v>6.69</v>
      </c>
      <c r="F2001" s="8">
        <v>100</v>
      </c>
      <c r="G2001" s="8">
        <v>100</v>
      </c>
      <c r="H2001" s="2">
        <f t="shared" si="95"/>
        <v>4737467</v>
      </c>
      <c r="I2001" s="12">
        <f t="shared" si="96"/>
        <v>0.22409166666666666</v>
      </c>
      <c r="J2001" s="12">
        <f t="shared" si="97"/>
        <v>0.23499340277777778</v>
      </c>
    </row>
    <row r="2002" spans="1:10" ht="15" customHeight="1">
      <c r="A2002" s="7">
        <v>44736</v>
      </c>
      <c r="B2002" s="10">
        <v>85</v>
      </c>
      <c r="C2002">
        <v>53558</v>
      </c>
      <c r="D2002" s="5">
        <v>7.23</v>
      </c>
      <c r="F2002" s="8">
        <v>100</v>
      </c>
      <c r="G2002" s="8">
        <v>100</v>
      </c>
      <c r="H2002" s="2">
        <f t="shared" si="95"/>
        <v>4791025</v>
      </c>
      <c r="I2002" s="12">
        <f t="shared" si="96"/>
        <v>0.22315833333333332</v>
      </c>
      <c r="J2002" s="12">
        <f t="shared" si="97"/>
        <v>0.23485416666666667</v>
      </c>
    </row>
    <row r="2003" spans="1:10" ht="15" customHeight="1">
      <c r="A2003" s="7">
        <v>44737</v>
      </c>
      <c r="B2003" s="10">
        <v>86</v>
      </c>
      <c r="C2003">
        <v>58230</v>
      </c>
      <c r="D2003" s="5">
        <v>7.78</v>
      </c>
      <c r="F2003" s="8">
        <v>100</v>
      </c>
      <c r="G2003" s="8">
        <v>100</v>
      </c>
      <c r="H2003" s="2">
        <f t="shared" si="95"/>
        <v>4849255</v>
      </c>
      <c r="I2003" s="12">
        <f t="shared" si="96"/>
        <v>0.24262500000000001</v>
      </c>
      <c r="J2003" s="12">
        <f t="shared" si="97"/>
        <v>0.23494452519379844</v>
      </c>
    </row>
    <row r="2004" spans="1:10" ht="15" customHeight="1">
      <c r="A2004" s="7">
        <v>44738</v>
      </c>
      <c r="B2004" s="10">
        <v>87</v>
      </c>
      <c r="C2004">
        <v>60155</v>
      </c>
      <c r="D2004" s="5">
        <v>7.99</v>
      </c>
      <c r="F2004" s="8">
        <v>100</v>
      </c>
      <c r="G2004" s="8">
        <v>100</v>
      </c>
      <c r="H2004" s="2">
        <f t="shared" si="95"/>
        <v>4909410</v>
      </c>
      <c r="I2004" s="12">
        <f t="shared" si="96"/>
        <v>0.25064583333333335</v>
      </c>
      <c r="J2004" s="12">
        <f t="shared" si="97"/>
        <v>0.235125</v>
      </c>
    </row>
    <row r="2005" spans="1:10" ht="15" customHeight="1">
      <c r="A2005" s="7">
        <v>44739</v>
      </c>
      <c r="B2005" s="10">
        <v>88</v>
      </c>
      <c r="C2005">
        <v>56166</v>
      </c>
      <c r="D2005" s="5">
        <v>7.27</v>
      </c>
      <c r="F2005" s="8">
        <v>100</v>
      </c>
      <c r="G2005" s="8">
        <v>100</v>
      </c>
      <c r="H2005" s="2">
        <f t="shared" si="95"/>
        <v>4965576</v>
      </c>
      <c r="I2005" s="12">
        <f t="shared" si="96"/>
        <v>0.23402500000000001</v>
      </c>
      <c r="J2005" s="12">
        <f t="shared" si="97"/>
        <v>0.2351125</v>
      </c>
    </row>
    <row r="2006" spans="1:10" ht="15" customHeight="1">
      <c r="A2006" s="7">
        <v>44740</v>
      </c>
      <c r="B2006" s="10">
        <v>89</v>
      </c>
      <c r="C2006">
        <v>53642</v>
      </c>
      <c r="D2006" s="5">
        <v>6.95</v>
      </c>
      <c r="F2006" s="8">
        <v>100</v>
      </c>
      <c r="G2006" s="8">
        <v>100</v>
      </c>
      <c r="H2006" s="2">
        <f t="shared" si="95"/>
        <v>5019218</v>
      </c>
      <c r="I2006" s="12">
        <f t="shared" si="96"/>
        <v>0.22350833333333334</v>
      </c>
      <c r="J2006" s="12">
        <f t="shared" si="97"/>
        <v>0.23498211610486891</v>
      </c>
    </row>
    <row r="2007" spans="1:10" ht="15" customHeight="1">
      <c r="A2007" s="7">
        <v>44741</v>
      </c>
      <c r="B2007" s="10">
        <v>90</v>
      </c>
      <c r="C2007">
        <v>56109</v>
      </c>
      <c r="D2007" s="5">
        <v>7.19</v>
      </c>
      <c r="F2007" s="8">
        <v>100</v>
      </c>
      <c r="G2007" s="8">
        <v>95.8708967035992</v>
      </c>
      <c r="H2007" s="2">
        <f t="shared" si="95"/>
        <v>5075327</v>
      </c>
      <c r="I2007" s="12">
        <f t="shared" si="96"/>
        <v>0.23378750000000001</v>
      </c>
      <c r="J2007" s="12">
        <f t="shared" si="97"/>
        <v>0.2349688425925926</v>
      </c>
    </row>
    <row r="2008" spans="1:10" ht="15" customHeight="1">
      <c r="A2008" s="7">
        <v>44742</v>
      </c>
      <c r="B2008" s="10">
        <v>91</v>
      </c>
      <c r="C2008">
        <v>56579</v>
      </c>
      <c r="D2008" s="5">
        <v>7.24</v>
      </c>
      <c r="F2008" s="8">
        <v>100</v>
      </c>
      <c r="G2008" s="8">
        <v>100</v>
      </c>
      <c r="H2008" s="2">
        <f t="shared" si="95"/>
        <v>5131906</v>
      </c>
      <c r="I2008" s="12">
        <f t="shared" si="96"/>
        <v>0.23574583333333332</v>
      </c>
      <c r="J2008" s="12">
        <f t="shared" si="97"/>
        <v>0.23497738095238097</v>
      </c>
    </row>
    <row r="2009" spans="1:10" ht="15" customHeight="1">
      <c r="A2009" s="7">
        <v>44743</v>
      </c>
      <c r="B2009" s="10">
        <v>92</v>
      </c>
      <c r="C2009">
        <v>27616</v>
      </c>
      <c r="D2009" s="5">
        <v>3.26</v>
      </c>
      <c r="F2009" s="8">
        <v>100</v>
      </c>
      <c r="G2009" s="8">
        <v>100</v>
      </c>
      <c r="H2009" s="2">
        <f t="shared" si="95"/>
        <v>5159522</v>
      </c>
      <c r="I2009" s="12">
        <f t="shared" si="96"/>
        <v>0.11506666666666666</v>
      </c>
      <c r="J2009" s="12">
        <f t="shared" si="97"/>
        <v>0.23367400362318841</v>
      </c>
    </row>
    <row r="2010" spans="1:10" ht="15" customHeight="1">
      <c r="A2010" s="7">
        <v>44744</v>
      </c>
      <c r="B2010" s="10">
        <v>93</v>
      </c>
      <c r="C2010">
        <v>28877</v>
      </c>
      <c r="D2010" s="5">
        <v>3.34</v>
      </c>
      <c r="F2010" s="8">
        <v>100</v>
      </c>
      <c r="G2010" s="8">
        <v>100</v>
      </c>
      <c r="H2010" s="2">
        <f t="shared" si="95"/>
        <v>5188399</v>
      </c>
      <c r="I2010" s="12">
        <f t="shared" si="96"/>
        <v>0.12032083333333334</v>
      </c>
      <c r="J2010" s="12">
        <f t="shared" si="97"/>
        <v>0.23245515232974912</v>
      </c>
    </row>
    <row r="2011" spans="1:10" ht="15" customHeight="1">
      <c r="A2011" s="7">
        <v>44745</v>
      </c>
      <c r="B2011" s="10">
        <v>94</v>
      </c>
      <c r="C2011">
        <v>26335</v>
      </c>
      <c r="D2011" s="5">
        <v>2.98</v>
      </c>
      <c r="F2011" s="8">
        <v>100</v>
      </c>
      <c r="G2011" s="8">
        <v>100</v>
      </c>
      <c r="H2011" s="2">
        <f t="shared" si="95"/>
        <v>5214734</v>
      </c>
      <c r="I2011" s="12">
        <f t="shared" si="96"/>
        <v>0.10972916666666667</v>
      </c>
      <c r="J2011" s="12">
        <f t="shared" si="97"/>
        <v>0.23114955673758866</v>
      </c>
    </row>
    <row r="2012" spans="1:10" ht="15" customHeight="1">
      <c r="A2012" s="7">
        <v>44746</v>
      </c>
      <c r="B2012" s="10">
        <v>95</v>
      </c>
      <c r="C2012">
        <v>45260</v>
      </c>
      <c r="D2012" s="5">
        <v>5.95</v>
      </c>
      <c r="F2012" s="8">
        <v>100</v>
      </c>
      <c r="G2012" s="8">
        <v>100</v>
      </c>
      <c r="H2012" s="2">
        <f t="shared" si="95"/>
        <v>5259994</v>
      </c>
      <c r="I2012" s="12">
        <f t="shared" si="96"/>
        <v>0.18858333333333333</v>
      </c>
      <c r="J2012" s="12">
        <f t="shared" si="97"/>
        <v>0.23070149122807018</v>
      </c>
    </row>
    <row r="2013" spans="1:10" ht="15" customHeight="1">
      <c r="A2013" s="7">
        <v>44747</v>
      </c>
      <c r="B2013" s="10">
        <v>96</v>
      </c>
      <c r="C2013">
        <v>57861</v>
      </c>
      <c r="D2013" s="5">
        <v>7.75</v>
      </c>
      <c r="F2013" s="8">
        <v>100</v>
      </c>
      <c r="G2013" s="8">
        <v>100</v>
      </c>
      <c r="H2013" s="2">
        <f t="shared" si="95"/>
        <v>5317855</v>
      </c>
      <c r="I2013" s="12">
        <f t="shared" si="96"/>
        <v>0.24108750000000001</v>
      </c>
      <c r="J2013" s="12">
        <f t="shared" si="97"/>
        <v>0.23080967881944445</v>
      </c>
    </row>
    <row r="2014" spans="1:10" ht="15" customHeight="1">
      <c r="A2014" s="7">
        <v>44748</v>
      </c>
      <c r="B2014" s="10">
        <v>97</v>
      </c>
      <c r="C2014">
        <v>54075</v>
      </c>
      <c r="D2014" s="5">
        <v>6.65</v>
      </c>
      <c r="F2014" s="8">
        <v>100</v>
      </c>
      <c r="G2014" s="8">
        <v>100</v>
      </c>
      <c r="H2014" s="2">
        <f t="shared" si="95"/>
        <v>5371930</v>
      </c>
      <c r="I2014" s="12">
        <f t="shared" si="96"/>
        <v>0.2253125</v>
      </c>
      <c r="J2014" s="12">
        <f t="shared" si="97"/>
        <v>0.23075300687285225</v>
      </c>
    </row>
    <row r="2015" spans="1:10" ht="15" customHeight="1">
      <c r="A2015" s="7">
        <v>44749</v>
      </c>
      <c r="B2015" s="10">
        <v>98</v>
      </c>
      <c r="C2015">
        <v>48356</v>
      </c>
      <c r="D2015" s="5">
        <v>6.08</v>
      </c>
      <c r="F2015" s="8">
        <v>100</v>
      </c>
      <c r="G2015" s="8">
        <v>100</v>
      </c>
      <c r="H2015" s="2">
        <f t="shared" si="95"/>
        <v>5420286</v>
      </c>
      <c r="I2015" s="12">
        <f t="shared" si="96"/>
        <v>0.20148333333333332</v>
      </c>
      <c r="J2015" s="12">
        <f t="shared" si="97"/>
        <v>0.23045433673469387</v>
      </c>
    </row>
    <row r="2016" spans="1:10" ht="15" customHeight="1">
      <c r="A2016" s="7">
        <v>44750</v>
      </c>
      <c r="B2016" s="10">
        <v>99</v>
      </c>
      <c r="C2016">
        <v>49186</v>
      </c>
      <c r="D2016" s="5">
        <v>6.43</v>
      </c>
      <c r="F2016" s="8">
        <v>100</v>
      </c>
      <c r="G2016" s="8">
        <v>100</v>
      </c>
      <c r="H2016" s="2">
        <f t="shared" si="95"/>
        <v>5469472</v>
      </c>
      <c r="I2016" s="12">
        <f t="shared" si="96"/>
        <v>0.20494166666666666</v>
      </c>
      <c r="J2016" s="12">
        <f t="shared" si="97"/>
        <v>0.23019663299663301</v>
      </c>
    </row>
    <row r="2017" spans="1:10" ht="15" customHeight="1">
      <c r="A2017" s="7">
        <v>44751</v>
      </c>
      <c r="B2017" s="10">
        <v>100</v>
      </c>
      <c r="C2017">
        <v>52215</v>
      </c>
      <c r="D2017" s="5">
        <v>6.65</v>
      </c>
      <c r="F2017" s="8">
        <v>100</v>
      </c>
      <c r="G2017" s="8">
        <v>100</v>
      </c>
      <c r="H2017" s="2">
        <f t="shared" si="95"/>
        <v>5521687</v>
      </c>
      <c r="I2017" s="12">
        <f t="shared" si="96"/>
        <v>0.21756249999999999</v>
      </c>
      <c r="J2017" s="12">
        <f t="shared" si="97"/>
        <v>0.23007029166666668</v>
      </c>
    </row>
    <row r="2018" spans="1:10" ht="15" customHeight="1">
      <c r="A2018" s="7">
        <v>44752</v>
      </c>
      <c r="B2018" s="10">
        <v>101</v>
      </c>
      <c r="C2018">
        <v>39144</v>
      </c>
      <c r="D2018" s="5">
        <v>4.88</v>
      </c>
      <c r="F2018" s="8">
        <v>100</v>
      </c>
      <c r="G2018" s="8">
        <v>100</v>
      </c>
      <c r="H2018" s="2">
        <f t="shared" si="95"/>
        <v>5560831</v>
      </c>
      <c r="I2018" s="12">
        <f t="shared" si="96"/>
        <v>0.16309999999999999</v>
      </c>
      <c r="J2018" s="12">
        <f t="shared" si="97"/>
        <v>0.2294072194719472</v>
      </c>
    </row>
    <row r="2019" spans="1:10" ht="15" customHeight="1">
      <c r="A2019" s="7">
        <v>44753</v>
      </c>
      <c r="B2019" s="10">
        <v>102</v>
      </c>
      <c r="C2019">
        <v>48289</v>
      </c>
      <c r="D2019" s="5">
        <v>6.31</v>
      </c>
      <c r="F2019" s="8">
        <v>100</v>
      </c>
      <c r="G2019" s="8">
        <v>100</v>
      </c>
      <c r="H2019" s="2">
        <f t="shared" si="95"/>
        <v>5609120</v>
      </c>
      <c r="I2019" s="12">
        <f t="shared" si="96"/>
        <v>0.20120416666666666</v>
      </c>
      <c r="J2019" s="12">
        <f t="shared" si="97"/>
        <v>0.22913071895424836</v>
      </c>
    </row>
    <row r="2020" spans="1:10" ht="15" customHeight="1">
      <c r="A2020" s="7">
        <v>44754</v>
      </c>
      <c r="B2020" s="10">
        <v>103</v>
      </c>
      <c r="C2020">
        <v>56290</v>
      </c>
      <c r="D2020" s="5">
        <v>7.4</v>
      </c>
      <c r="F2020" s="8">
        <v>100</v>
      </c>
      <c r="G2020" s="8">
        <v>100</v>
      </c>
      <c r="H2020" s="2">
        <f t="shared" si="95"/>
        <v>5665410</v>
      </c>
      <c r="I2020" s="12">
        <f t="shared" si="96"/>
        <v>0.23454166666666668</v>
      </c>
      <c r="J2020" s="12">
        <f t="shared" si="97"/>
        <v>0.22918325242718446</v>
      </c>
    </row>
    <row r="2021" spans="1:10" ht="15" customHeight="1">
      <c r="A2021" s="7">
        <v>44755</v>
      </c>
      <c r="B2021" s="10">
        <v>104</v>
      </c>
      <c r="C2021">
        <v>48588</v>
      </c>
      <c r="D2021" s="5">
        <v>6.3</v>
      </c>
      <c r="F2021" s="8">
        <v>100</v>
      </c>
      <c r="G2021" s="8">
        <v>100</v>
      </c>
      <c r="H2021" s="2">
        <f t="shared" si="95"/>
        <v>5713998</v>
      </c>
      <c r="I2021" s="12">
        <f t="shared" si="96"/>
        <v>0.20244999999999999</v>
      </c>
      <c r="J2021" s="12">
        <f t="shared" si="97"/>
        <v>0.22892620192307692</v>
      </c>
    </row>
    <row r="2022" spans="1:10" ht="15" customHeight="1">
      <c r="A2022" s="7">
        <v>44756</v>
      </c>
      <c r="B2022" s="10">
        <v>105</v>
      </c>
      <c r="C2022">
        <v>33658</v>
      </c>
      <c r="D2022" s="5">
        <v>4.24</v>
      </c>
      <c r="F2022" s="8">
        <v>100</v>
      </c>
      <c r="G2022" s="8">
        <v>100</v>
      </c>
      <c r="H2022" s="2">
        <f t="shared" si="95"/>
        <v>5747656</v>
      </c>
      <c r="I2022" s="12">
        <f t="shared" si="96"/>
        <v>0.14024166666666665</v>
      </c>
      <c r="J2022" s="12">
        <f t="shared" si="97"/>
        <v>0.22808158730158731</v>
      </c>
    </row>
    <row r="2023" spans="1:10" ht="15" customHeight="1">
      <c r="A2023" s="7">
        <v>44757</v>
      </c>
      <c r="B2023" s="10">
        <v>106</v>
      </c>
      <c r="C2023">
        <v>29992</v>
      </c>
      <c r="D2023" s="5">
        <v>3.75</v>
      </c>
      <c r="F2023" s="8">
        <v>100</v>
      </c>
      <c r="G2023" s="8">
        <v>100</v>
      </c>
      <c r="H2023" s="2">
        <f t="shared" si="95"/>
        <v>5777648</v>
      </c>
      <c r="I2023" s="12">
        <f t="shared" si="96"/>
        <v>0.12496666666666667</v>
      </c>
      <c r="J2023" s="12">
        <f t="shared" si="97"/>
        <v>0.22710880503144654</v>
      </c>
    </row>
    <row r="2024" spans="1:10" ht="15" customHeight="1">
      <c r="A2024" s="7">
        <v>44758</v>
      </c>
      <c r="B2024" s="10">
        <v>107</v>
      </c>
      <c r="C2024">
        <v>45136</v>
      </c>
      <c r="D2024" s="5">
        <v>5.33</v>
      </c>
      <c r="F2024" s="8">
        <v>99.238929889298888</v>
      </c>
      <c r="G2024" s="8">
        <v>100</v>
      </c>
      <c r="H2024" s="2">
        <f t="shared" si="95"/>
        <v>5822784</v>
      </c>
      <c r="I2024" s="12">
        <f t="shared" si="96"/>
        <v>0.18806666666666666</v>
      </c>
      <c r="J2024" s="12">
        <f t="shared" si="97"/>
        <v>0.22674392523364487</v>
      </c>
    </row>
    <row r="2025" spans="1:10" ht="15" customHeight="1">
      <c r="A2025" s="7">
        <v>44759</v>
      </c>
      <c r="B2025" s="10">
        <v>108</v>
      </c>
      <c r="C2025">
        <v>39215</v>
      </c>
      <c r="D2025" s="5">
        <v>4.58</v>
      </c>
      <c r="F2025" s="8">
        <v>100</v>
      </c>
      <c r="G2025" s="8">
        <v>100</v>
      </c>
      <c r="H2025" s="2">
        <f t="shared" si="95"/>
        <v>5861999</v>
      </c>
      <c r="I2025" s="12">
        <f t="shared" si="96"/>
        <v>0.16339583333333332</v>
      </c>
      <c r="J2025" s="12">
        <f t="shared" si="97"/>
        <v>0.2261573688271605</v>
      </c>
    </row>
    <row r="2026" spans="1:10" ht="15" customHeight="1">
      <c r="A2026" s="7">
        <v>44760</v>
      </c>
      <c r="B2026" s="10">
        <v>109</v>
      </c>
      <c r="C2026">
        <v>45672</v>
      </c>
      <c r="D2026" s="5">
        <v>5.45</v>
      </c>
      <c r="F2026" s="8">
        <v>100</v>
      </c>
      <c r="G2026" s="8">
        <v>100</v>
      </c>
      <c r="H2026" s="2">
        <f t="shared" si="95"/>
        <v>5907671</v>
      </c>
      <c r="I2026" s="12">
        <f t="shared" si="96"/>
        <v>0.1903</v>
      </c>
      <c r="J2026" s="12">
        <f t="shared" si="97"/>
        <v>0.22582840214067279</v>
      </c>
    </row>
    <row r="2027" spans="1:10" ht="15" customHeight="1">
      <c r="A2027" s="7">
        <v>44761</v>
      </c>
      <c r="B2027" s="10">
        <v>110</v>
      </c>
      <c r="C2027">
        <v>49304</v>
      </c>
      <c r="D2027" s="5">
        <v>6.52</v>
      </c>
      <c r="F2027" s="8">
        <v>100</v>
      </c>
      <c r="G2027" s="8">
        <v>100</v>
      </c>
      <c r="H2027" s="2">
        <f t="shared" si="95"/>
        <v>5956975</v>
      </c>
      <c r="I2027" s="12">
        <f t="shared" si="96"/>
        <v>0.20543333333333333</v>
      </c>
      <c r="J2027" s="12">
        <f t="shared" si="97"/>
        <v>0.22564299242424243</v>
      </c>
    </row>
    <row r="2028" spans="1:10" ht="15" customHeight="1">
      <c r="A2028" s="7">
        <v>44762</v>
      </c>
      <c r="B2028" s="10">
        <v>111</v>
      </c>
      <c r="C2028">
        <v>60430</v>
      </c>
      <c r="D2028" s="5">
        <v>7.62</v>
      </c>
      <c r="F2028" s="8">
        <v>100</v>
      </c>
      <c r="G2028" s="8">
        <v>100</v>
      </c>
      <c r="H2028" s="2">
        <f t="shared" si="95"/>
        <v>6017405</v>
      </c>
      <c r="I2028" s="12">
        <f t="shared" si="96"/>
        <v>0.25179166666666669</v>
      </c>
      <c r="J2028" s="12">
        <f t="shared" si="97"/>
        <v>0.22587856606606607</v>
      </c>
    </row>
    <row r="2029" spans="1:10" ht="15" customHeight="1">
      <c r="A2029" s="7">
        <v>44763</v>
      </c>
      <c r="B2029" s="10">
        <v>112</v>
      </c>
      <c r="C2029">
        <v>42857</v>
      </c>
      <c r="D2029" s="5">
        <v>5.35</v>
      </c>
      <c r="F2029" s="8">
        <v>100</v>
      </c>
      <c r="G2029" s="8">
        <v>100</v>
      </c>
      <c r="H2029" s="2">
        <f t="shared" si="95"/>
        <v>6060262</v>
      </c>
      <c r="I2029" s="12">
        <f t="shared" si="96"/>
        <v>0.17857083333333335</v>
      </c>
      <c r="J2029" s="12">
        <f t="shared" si="97"/>
        <v>0.22545617559523809</v>
      </c>
    </row>
    <row r="2030" spans="1:10" ht="15" customHeight="1">
      <c r="A2030" s="7">
        <v>44764</v>
      </c>
      <c r="B2030" s="10">
        <v>113</v>
      </c>
      <c r="C2030">
        <v>42020</v>
      </c>
      <c r="D2030" s="5">
        <v>5.09</v>
      </c>
      <c r="F2030" s="8">
        <v>97.964003209904845</v>
      </c>
      <c r="G2030" s="8">
        <v>100</v>
      </c>
      <c r="H2030" s="2">
        <f t="shared" si="95"/>
        <v>6102282</v>
      </c>
      <c r="I2030" s="12">
        <f t="shared" si="96"/>
        <v>0.17508333333333334</v>
      </c>
      <c r="J2030" s="12">
        <f t="shared" si="97"/>
        <v>0.2250103982300885</v>
      </c>
    </row>
    <row r="2031" spans="1:10" ht="15" customHeight="1">
      <c r="A2031" s="7">
        <v>44765</v>
      </c>
      <c r="B2031" s="10">
        <v>114</v>
      </c>
      <c r="C2031">
        <v>31600</v>
      </c>
      <c r="D2031" s="5">
        <v>3.9</v>
      </c>
      <c r="F2031" s="8">
        <v>100</v>
      </c>
      <c r="G2031" s="8">
        <v>100</v>
      </c>
      <c r="H2031" s="2">
        <f t="shared" si="95"/>
        <v>6133882</v>
      </c>
      <c r="I2031" s="12">
        <f t="shared" si="96"/>
        <v>0.13166666666666665</v>
      </c>
      <c r="J2031" s="12">
        <f t="shared" si="97"/>
        <v>0.22419159356725146</v>
      </c>
    </row>
    <row r="2032" spans="1:10" ht="15" customHeight="1">
      <c r="A2032" s="7">
        <v>44766</v>
      </c>
      <c r="B2032" s="10">
        <v>115</v>
      </c>
      <c r="C2032">
        <v>44916</v>
      </c>
      <c r="D2032" s="5">
        <v>5.24</v>
      </c>
      <c r="F2032" s="8">
        <v>100</v>
      </c>
      <c r="G2032" s="8">
        <v>100</v>
      </c>
      <c r="H2032" s="2">
        <f t="shared" si="95"/>
        <v>6178798</v>
      </c>
      <c r="I2032" s="12">
        <f t="shared" si="96"/>
        <v>0.18715000000000001</v>
      </c>
      <c r="J2032" s="12">
        <f t="shared" si="97"/>
        <v>0.22386949275362319</v>
      </c>
    </row>
    <row r="2033" spans="1:10" ht="15" customHeight="1">
      <c r="A2033" s="7">
        <v>44767</v>
      </c>
      <c r="B2033" s="10">
        <v>116</v>
      </c>
      <c r="C2033">
        <v>37811</v>
      </c>
      <c r="D2033" s="5">
        <v>4.4000000000000004</v>
      </c>
      <c r="F2033" s="8">
        <v>100</v>
      </c>
      <c r="G2033" s="8">
        <v>100</v>
      </c>
      <c r="H2033" s="2">
        <f t="shared" si="95"/>
        <v>6216609</v>
      </c>
      <c r="I2033" s="12">
        <f t="shared" si="96"/>
        <v>0.15754583333333333</v>
      </c>
      <c r="J2033" s="12">
        <f t="shared" si="97"/>
        <v>0.22329773706896552</v>
      </c>
    </row>
    <row r="2034" spans="1:10" ht="15" customHeight="1">
      <c r="A2034" s="7">
        <v>44768</v>
      </c>
      <c r="B2034" s="10">
        <v>117</v>
      </c>
      <c r="C2034">
        <v>27320</v>
      </c>
      <c r="D2034" s="5">
        <v>3.29</v>
      </c>
      <c r="F2034" s="8">
        <v>100</v>
      </c>
      <c r="G2034" s="8">
        <v>100</v>
      </c>
      <c r="H2034" s="2">
        <f t="shared" si="95"/>
        <v>6243929</v>
      </c>
      <c r="I2034" s="12">
        <f t="shared" si="96"/>
        <v>0.11383333333333333</v>
      </c>
      <c r="J2034" s="12">
        <f t="shared" si="97"/>
        <v>0.22236214387464387</v>
      </c>
    </row>
    <row r="2035" spans="1:10" ht="15" customHeight="1">
      <c r="A2035" s="7">
        <v>44769</v>
      </c>
      <c r="B2035" s="10">
        <v>118</v>
      </c>
      <c r="C2035">
        <v>27297</v>
      </c>
      <c r="D2035" s="5">
        <v>3.32</v>
      </c>
      <c r="F2035" s="8">
        <v>100</v>
      </c>
      <c r="G2035" s="8">
        <v>100</v>
      </c>
      <c r="H2035" s="2">
        <f t="shared" si="95"/>
        <v>6271226</v>
      </c>
      <c r="I2035" s="12">
        <f t="shared" si="96"/>
        <v>0.11373750000000001</v>
      </c>
      <c r="J2035" s="12">
        <f t="shared" si="97"/>
        <v>0.22144159604519775</v>
      </c>
    </row>
    <row r="2036" spans="1:10" ht="15" customHeight="1">
      <c r="A2036" s="7">
        <v>44770</v>
      </c>
      <c r="B2036" s="10">
        <v>119</v>
      </c>
      <c r="C2036">
        <v>39731</v>
      </c>
      <c r="D2036" s="5">
        <v>4.5999999999999996</v>
      </c>
      <c r="F2036" s="8">
        <v>100</v>
      </c>
      <c r="G2036" s="8">
        <v>100</v>
      </c>
      <c r="H2036" s="2">
        <f t="shared" si="95"/>
        <v>6310957</v>
      </c>
      <c r="I2036" s="12">
        <f t="shared" si="96"/>
        <v>0.16554583333333334</v>
      </c>
      <c r="J2036" s="12">
        <f t="shared" si="97"/>
        <v>0.22097188375350141</v>
      </c>
    </row>
    <row r="2037" spans="1:10" ht="15" customHeight="1">
      <c r="A2037" s="7">
        <v>44771</v>
      </c>
      <c r="B2037" s="10">
        <v>120</v>
      </c>
      <c r="C2037">
        <v>59403</v>
      </c>
      <c r="D2037" s="5">
        <v>7.35</v>
      </c>
      <c r="F2037" s="8">
        <v>100</v>
      </c>
      <c r="G2037" s="8">
        <v>100</v>
      </c>
      <c r="H2037" s="2">
        <f t="shared" si="95"/>
        <v>6370360</v>
      </c>
      <c r="I2037" s="12">
        <f t="shared" si="96"/>
        <v>0.2475125</v>
      </c>
      <c r="J2037" s="12">
        <f t="shared" si="97"/>
        <v>0.22119305555555555</v>
      </c>
    </row>
    <row r="2038" spans="1:10" ht="15" customHeight="1">
      <c r="A2038" s="7">
        <v>44772</v>
      </c>
      <c r="B2038" s="10">
        <v>121</v>
      </c>
      <c r="C2038">
        <v>52587</v>
      </c>
      <c r="D2038" s="5">
        <v>6.64</v>
      </c>
      <c r="F2038" s="8">
        <v>100</v>
      </c>
      <c r="G2038" s="8">
        <v>100</v>
      </c>
      <c r="H2038" s="2">
        <f t="shared" si="95"/>
        <v>6422947</v>
      </c>
      <c r="I2038" s="12">
        <f t="shared" si="96"/>
        <v>0.21911249999999999</v>
      </c>
      <c r="J2038" s="12">
        <f t="shared" si="97"/>
        <v>0.2211758608815427</v>
      </c>
    </row>
    <row r="2039" spans="1:10" ht="15" customHeight="1">
      <c r="A2039" s="7">
        <v>44773</v>
      </c>
      <c r="B2039" s="10">
        <v>122</v>
      </c>
      <c r="C2039">
        <v>57593</v>
      </c>
      <c r="D2039" s="5">
        <v>6.96</v>
      </c>
      <c r="F2039" s="8">
        <v>100</v>
      </c>
      <c r="G2039" s="8">
        <v>100</v>
      </c>
      <c r="H2039" s="2">
        <f t="shared" si="95"/>
        <v>6480540</v>
      </c>
      <c r="I2039" s="12">
        <f t="shared" si="96"/>
        <v>0.23997083333333333</v>
      </c>
      <c r="J2039" s="12">
        <f t="shared" si="97"/>
        <v>0.2213299180327869</v>
      </c>
    </row>
    <row r="2040" spans="1:10" ht="15" customHeight="1">
      <c r="A2040" s="7">
        <v>44774</v>
      </c>
      <c r="B2040" s="10">
        <v>123</v>
      </c>
      <c r="C2040">
        <v>50939</v>
      </c>
      <c r="D2040" s="5">
        <v>6.09</v>
      </c>
      <c r="F2040" s="8">
        <v>100</v>
      </c>
      <c r="G2040" s="8">
        <v>100</v>
      </c>
      <c r="H2040" s="2">
        <f t="shared" si="95"/>
        <v>6531479</v>
      </c>
      <c r="I2040" s="12">
        <f t="shared" si="96"/>
        <v>0.21224583333333333</v>
      </c>
      <c r="J2040" s="12">
        <f t="shared" si="97"/>
        <v>0.22125606368563686</v>
      </c>
    </row>
    <row r="2041" spans="1:10" ht="15" customHeight="1">
      <c r="A2041" s="7">
        <v>44775</v>
      </c>
      <c r="B2041" s="10">
        <v>124</v>
      </c>
      <c r="C2041">
        <v>53450</v>
      </c>
      <c r="D2041" s="5">
        <v>6.3</v>
      </c>
      <c r="F2041" s="8">
        <v>100</v>
      </c>
      <c r="G2041" s="8">
        <v>100</v>
      </c>
      <c r="H2041" s="2">
        <f t="shared" si="95"/>
        <v>6584929</v>
      </c>
      <c r="I2041" s="12">
        <f t="shared" si="96"/>
        <v>0.22270833333333334</v>
      </c>
      <c r="J2041" s="12">
        <f t="shared" si="97"/>
        <v>0.22126777553763441</v>
      </c>
    </row>
    <row r="2042" spans="1:10" ht="15" customHeight="1">
      <c r="A2042" s="7">
        <v>44776</v>
      </c>
      <c r="B2042" s="10">
        <v>125</v>
      </c>
      <c r="C2042">
        <v>46849</v>
      </c>
      <c r="D2042" s="5">
        <v>5.67</v>
      </c>
      <c r="F2042" s="8">
        <v>100</v>
      </c>
      <c r="G2042" s="8">
        <v>100</v>
      </c>
      <c r="H2042" s="2">
        <f t="shared" si="95"/>
        <v>6631778</v>
      </c>
      <c r="I2042" s="12">
        <f t="shared" si="96"/>
        <v>0.19520416666666668</v>
      </c>
      <c r="J2042" s="12">
        <f t="shared" si="97"/>
        <v>0.22105926666666667</v>
      </c>
    </row>
    <row r="2043" spans="1:10" ht="15" customHeight="1">
      <c r="A2043" s="7">
        <v>44777</v>
      </c>
      <c r="B2043" s="10">
        <v>126</v>
      </c>
      <c r="C2043">
        <v>33469</v>
      </c>
      <c r="D2043" s="5">
        <v>4.03</v>
      </c>
      <c r="F2043" s="8">
        <v>96.510847685081629</v>
      </c>
      <c r="G2043" s="8">
        <v>100</v>
      </c>
      <c r="H2043" s="2">
        <f t="shared" si="95"/>
        <v>6665247</v>
      </c>
      <c r="I2043" s="12">
        <f t="shared" si="96"/>
        <v>0.13945416666666666</v>
      </c>
      <c r="J2043" s="12">
        <f t="shared" si="97"/>
        <v>0.22041160714285715</v>
      </c>
    </row>
    <row r="2044" spans="1:10" ht="15" customHeight="1">
      <c r="A2044" s="7">
        <v>44778</v>
      </c>
      <c r="B2044" s="10">
        <v>127</v>
      </c>
      <c r="C2044">
        <v>42363</v>
      </c>
      <c r="D2044" s="5">
        <v>5.0999999999999996</v>
      </c>
      <c r="F2044" s="8">
        <v>100</v>
      </c>
      <c r="G2044" s="8">
        <v>100</v>
      </c>
      <c r="H2044" s="2">
        <f t="shared" si="95"/>
        <v>6707610</v>
      </c>
      <c r="I2044" s="12">
        <f t="shared" si="96"/>
        <v>0.17651249999999999</v>
      </c>
      <c r="J2044" s="12">
        <f t="shared" si="97"/>
        <v>0.22006594488188977</v>
      </c>
    </row>
    <row r="2045" spans="1:10" ht="15" customHeight="1">
      <c r="A2045" s="7">
        <v>44779</v>
      </c>
      <c r="B2045" s="10">
        <v>128</v>
      </c>
      <c r="C2045">
        <v>44444</v>
      </c>
      <c r="D2045" s="5">
        <v>5.28</v>
      </c>
      <c r="F2045" s="8">
        <v>100</v>
      </c>
      <c r="G2045" s="8">
        <v>100</v>
      </c>
      <c r="H2045" s="2">
        <f t="shared" si="95"/>
        <v>6752054</v>
      </c>
      <c r="I2045" s="12">
        <f t="shared" si="96"/>
        <v>0.18518333333333334</v>
      </c>
      <c r="J2045" s="12">
        <f t="shared" si="97"/>
        <v>0.21979342447916667</v>
      </c>
    </row>
    <row r="2046" spans="1:10" ht="15" customHeight="1">
      <c r="A2046" s="7">
        <v>44780</v>
      </c>
      <c r="B2046" s="10">
        <v>129</v>
      </c>
      <c r="C2046">
        <v>45034</v>
      </c>
      <c r="D2046" s="5">
        <v>5.39</v>
      </c>
      <c r="F2046" s="8">
        <v>100</v>
      </c>
      <c r="G2046" s="8">
        <v>100</v>
      </c>
      <c r="H2046" s="2">
        <f t="shared" si="95"/>
        <v>6797088</v>
      </c>
      <c r="I2046" s="12">
        <f t="shared" si="96"/>
        <v>0.18764166666666668</v>
      </c>
      <c r="J2046" s="12">
        <f t="shared" si="97"/>
        <v>0.21954418604651163</v>
      </c>
    </row>
    <row r="2047" spans="1:10" ht="15" customHeight="1">
      <c r="A2047" s="7">
        <v>44781</v>
      </c>
      <c r="B2047" s="10">
        <v>130</v>
      </c>
      <c r="C2047">
        <v>55351</v>
      </c>
      <c r="D2047" s="5">
        <v>6.66</v>
      </c>
      <c r="F2047" s="8">
        <v>100</v>
      </c>
      <c r="G2047" s="8">
        <v>100</v>
      </c>
      <c r="H2047" s="2">
        <f t="shared" ref="H2047:H2110" si="98">H2046+C2047</f>
        <v>6852439</v>
      </c>
      <c r="I2047" s="12">
        <f t="shared" si="96"/>
        <v>0.23062916666666666</v>
      </c>
      <c r="J2047" s="12">
        <f t="shared" si="97"/>
        <v>0.21962945512820511</v>
      </c>
    </row>
    <row r="2048" spans="1:10" ht="15" customHeight="1">
      <c r="A2048" s="7">
        <v>44782</v>
      </c>
      <c r="B2048" s="10">
        <v>131</v>
      </c>
      <c r="C2048">
        <v>54987</v>
      </c>
      <c r="D2048" s="5">
        <v>6.6</v>
      </c>
      <c r="F2048" s="8">
        <v>100</v>
      </c>
      <c r="G2048" s="8">
        <v>100</v>
      </c>
      <c r="H2048" s="2">
        <f t="shared" si="98"/>
        <v>6907426</v>
      </c>
      <c r="I2048" s="12">
        <f t="shared" si="96"/>
        <v>0.2291125</v>
      </c>
      <c r="J2048" s="12">
        <f t="shared" si="97"/>
        <v>0.21970184478371502</v>
      </c>
    </row>
    <row r="2049" spans="1:10" ht="15" customHeight="1">
      <c r="A2049" s="7">
        <v>44783</v>
      </c>
      <c r="B2049" s="10">
        <v>132</v>
      </c>
      <c r="C2049">
        <v>55368</v>
      </c>
      <c r="D2049" s="5">
        <v>6.67</v>
      </c>
      <c r="F2049" s="8">
        <v>95.527849302073449</v>
      </c>
      <c r="G2049" s="8">
        <v>100</v>
      </c>
      <c r="H2049" s="2">
        <f t="shared" si="98"/>
        <v>6962794</v>
      </c>
      <c r="I2049" s="12">
        <f t="shared" si="96"/>
        <v>0.23069999999999999</v>
      </c>
      <c r="J2049" s="12">
        <f t="shared" si="97"/>
        <v>0.21978516414141414</v>
      </c>
    </row>
    <row r="2050" spans="1:10" ht="15" customHeight="1">
      <c r="A2050" s="7">
        <v>44784</v>
      </c>
      <c r="B2050" s="10">
        <v>133</v>
      </c>
      <c r="C2050">
        <v>47041</v>
      </c>
      <c r="D2050" s="5">
        <v>5.68</v>
      </c>
      <c r="F2050" s="8">
        <v>100</v>
      </c>
      <c r="G2050" s="8">
        <v>100</v>
      </c>
      <c r="H2050" s="2">
        <f t="shared" si="98"/>
        <v>7009835</v>
      </c>
      <c r="I2050" s="12">
        <f t="shared" si="96"/>
        <v>0.19600416666666667</v>
      </c>
      <c r="J2050" s="12">
        <f t="shared" si="97"/>
        <v>0.21960635964912281</v>
      </c>
    </row>
    <row r="2051" spans="1:10" ht="15" customHeight="1">
      <c r="A2051" s="7">
        <v>44785</v>
      </c>
      <c r="B2051" s="10">
        <v>134</v>
      </c>
      <c r="C2051">
        <v>48063</v>
      </c>
      <c r="D2051" s="5">
        <v>5.73</v>
      </c>
      <c r="F2051" s="8">
        <v>100</v>
      </c>
      <c r="G2051" s="8">
        <v>100</v>
      </c>
      <c r="H2051" s="2">
        <f t="shared" si="98"/>
        <v>7057898</v>
      </c>
      <c r="I2051" s="12">
        <f t="shared" ref="I2051:I2114" si="99">C2051/(10*24*1000)</f>
        <v>0.20026250000000001</v>
      </c>
      <c r="J2051" s="12">
        <f t="shared" si="97"/>
        <v>0.2194620024875622</v>
      </c>
    </row>
    <row r="2052" spans="1:10" ht="15" customHeight="1">
      <c r="A2052" s="7">
        <v>44786</v>
      </c>
      <c r="B2052" s="10">
        <v>135</v>
      </c>
      <c r="C2052">
        <v>28144</v>
      </c>
      <c r="D2052" s="5">
        <v>3.3</v>
      </c>
      <c r="F2052" s="8">
        <v>100</v>
      </c>
      <c r="G2052" s="8">
        <v>100</v>
      </c>
      <c r="H2052" s="2">
        <f t="shared" si="98"/>
        <v>7086042</v>
      </c>
      <c r="I2052" s="12">
        <f t="shared" si="99"/>
        <v>0.11726666666666667</v>
      </c>
      <c r="J2052" s="12">
        <f t="shared" ref="J2052:J2115" si="100">H2052/(24*B2052*10*1000)</f>
        <v>0.21870500000000001</v>
      </c>
    </row>
    <row r="2053" spans="1:10" ht="15" customHeight="1">
      <c r="A2053" s="7">
        <v>44787</v>
      </c>
      <c r="B2053" s="10">
        <v>136</v>
      </c>
      <c r="C2053">
        <v>48898</v>
      </c>
      <c r="D2053" s="5">
        <v>5.82</v>
      </c>
      <c r="F2053" s="8">
        <v>100</v>
      </c>
      <c r="G2053" s="8">
        <v>100</v>
      </c>
      <c r="H2053" s="2">
        <f t="shared" si="98"/>
        <v>7134940</v>
      </c>
      <c r="I2053" s="12">
        <f t="shared" si="99"/>
        <v>0.20374166666666665</v>
      </c>
      <c r="J2053" s="12">
        <f t="shared" si="100"/>
        <v>0.21859497549019608</v>
      </c>
    </row>
    <row r="2054" spans="1:10" ht="15" customHeight="1">
      <c r="A2054" s="7">
        <v>44788</v>
      </c>
      <c r="B2054" s="10">
        <v>137</v>
      </c>
      <c r="C2054">
        <v>43540</v>
      </c>
      <c r="D2054" s="5">
        <v>5.22</v>
      </c>
      <c r="F2054" s="8">
        <v>100</v>
      </c>
      <c r="G2054" s="8">
        <v>100</v>
      </c>
      <c r="H2054" s="2">
        <f t="shared" si="98"/>
        <v>7178480</v>
      </c>
      <c r="I2054" s="12">
        <f t="shared" si="99"/>
        <v>0.18141666666666667</v>
      </c>
      <c r="J2054" s="12">
        <f t="shared" si="100"/>
        <v>0.218323600973236</v>
      </c>
    </row>
    <row r="2055" spans="1:10" ht="15" customHeight="1">
      <c r="A2055" s="7">
        <v>44789</v>
      </c>
      <c r="B2055" s="10">
        <v>138</v>
      </c>
      <c r="C2055">
        <v>49010</v>
      </c>
      <c r="D2055" s="5">
        <v>5.96</v>
      </c>
      <c r="F2055" s="8">
        <v>100</v>
      </c>
      <c r="G2055" s="8">
        <v>100</v>
      </c>
      <c r="H2055" s="2">
        <f t="shared" si="98"/>
        <v>7227490</v>
      </c>
      <c r="I2055" s="12">
        <f t="shared" si="99"/>
        <v>0.20420833333333333</v>
      </c>
      <c r="J2055" s="12">
        <f t="shared" si="100"/>
        <v>0.21822131642512077</v>
      </c>
    </row>
    <row r="2056" spans="1:10" ht="15" customHeight="1">
      <c r="A2056" s="7">
        <v>44790</v>
      </c>
      <c r="B2056" s="10">
        <v>139</v>
      </c>
      <c r="C2056">
        <v>27202</v>
      </c>
      <c r="D2056" s="5">
        <v>3.17</v>
      </c>
      <c r="F2056" s="8">
        <v>100</v>
      </c>
      <c r="G2056" s="8">
        <v>100</v>
      </c>
      <c r="H2056" s="2">
        <f t="shared" si="98"/>
        <v>7254692</v>
      </c>
      <c r="I2056" s="12">
        <f t="shared" si="99"/>
        <v>0.11334166666666666</v>
      </c>
      <c r="J2056" s="12">
        <f t="shared" si="100"/>
        <v>0.21746678657074339</v>
      </c>
    </row>
    <row r="2057" spans="1:10" ht="15" customHeight="1">
      <c r="A2057" s="7">
        <v>44791</v>
      </c>
      <c r="B2057" s="10">
        <v>140</v>
      </c>
      <c r="C2057">
        <v>29896</v>
      </c>
      <c r="D2057" s="5">
        <v>3.86</v>
      </c>
      <c r="F2057" s="8">
        <v>99.703231479446032</v>
      </c>
      <c r="G2057" s="8">
        <v>100</v>
      </c>
      <c r="H2057" s="2">
        <f t="shared" si="98"/>
        <v>7284588</v>
      </c>
      <c r="I2057" s="12">
        <f t="shared" si="99"/>
        <v>0.12456666666666667</v>
      </c>
      <c r="J2057" s="12">
        <f t="shared" si="100"/>
        <v>0.21680321428571428</v>
      </c>
    </row>
    <row r="2058" spans="1:10" ht="15" customHeight="1">
      <c r="A2058" s="7">
        <v>44792</v>
      </c>
      <c r="B2058" s="10">
        <v>141</v>
      </c>
      <c r="C2058">
        <v>50217</v>
      </c>
      <c r="D2058" s="5">
        <v>6.05</v>
      </c>
      <c r="F2058" s="8">
        <v>98.410946810858533</v>
      </c>
      <c r="G2058" s="8">
        <v>100</v>
      </c>
      <c r="H2058" s="2">
        <f t="shared" si="98"/>
        <v>7334805</v>
      </c>
      <c r="I2058" s="12">
        <f t="shared" si="99"/>
        <v>0.20923749999999999</v>
      </c>
      <c r="J2058" s="12">
        <f t="shared" si="100"/>
        <v>0.21674955673758864</v>
      </c>
    </row>
    <row r="2059" spans="1:10" ht="15" customHeight="1">
      <c r="A2059" s="7">
        <v>44793</v>
      </c>
      <c r="B2059" s="10">
        <v>142</v>
      </c>
      <c r="C2059">
        <v>35776</v>
      </c>
      <c r="D2059" s="5">
        <v>4.3499999999999996</v>
      </c>
      <c r="F2059" s="8">
        <v>98.39080973560111</v>
      </c>
      <c r="G2059" s="8">
        <v>100</v>
      </c>
      <c r="H2059" s="2">
        <f t="shared" si="98"/>
        <v>7370581</v>
      </c>
      <c r="I2059" s="12">
        <f t="shared" si="99"/>
        <v>0.14906666666666665</v>
      </c>
      <c r="J2059" s="12">
        <f t="shared" si="100"/>
        <v>0.21627291666666668</v>
      </c>
    </row>
    <row r="2060" spans="1:10" ht="15" customHeight="1">
      <c r="A2060" s="7">
        <v>44794</v>
      </c>
      <c r="B2060" s="10">
        <v>143</v>
      </c>
      <c r="C2060">
        <v>36855</v>
      </c>
      <c r="D2060" s="5">
        <v>4.25</v>
      </c>
      <c r="F2060" s="8">
        <v>98.373175471101277</v>
      </c>
      <c r="G2060" s="8">
        <v>100</v>
      </c>
      <c r="H2060" s="2">
        <f t="shared" si="98"/>
        <v>7407436</v>
      </c>
      <c r="I2060" s="12">
        <f t="shared" si="99"/>
        <v>0.15356249999999999</v>
      </c>
      <c r="J2060" s="12">
        <f t="shared" si="100"/>
        <v>0.21583438228438229</v>
      </c>
    </row>
    <row r="2061" spans="1:10" ht="15" customHeight="1">
      <c r="A2061" s="7">
        <v>44795</v>
      </c>
      <c r="B2061" s="10">
        <v>144</v>
      </c>
      <c r="C2061">
        <v>47699</v>
      </c>
      <c r="D2061" s="5">
        <v>5.87</v>
      </c>
      <c r="F2061" s="8">
        <v>98.393072356380841</v>
      </c>
      <c r="G2061" s="8">
        <v>100</v>
      </c>
      <c r="H2061" s="2">
        <f t="shared" si="98"/>
        <v>7455135</v>
      </c>
      <c r="I2061" s="12">
        <f t="shared" si="99"/>
        <v>0.19874583333333334</v>
      </c>
      <c r="J2061" s="12">
        <f t="shared" si="100"/>
        <v>0.21571571180555554</v>
      </c>
    </row>
    <row r="2062" spans="1:10" ht="15" customHeight="1">
      <c r="A2062" s="7">
        <v>44796</v>
      </c>
      <c r="B2062" s="10">
        <v>145</v>
      </c>
      <c r="C2062">
        <v>46954</v>
      </c>
      <c r="D2062" s="5">
        <v>5.1100000000000003</v>
      </c>
      <c r="F2062" s="8">
        <v>98.240985048372906</v>
      </c>
      <c r="G2062" s="8">
        <v>100</v>
      </c>
      <c r="H2062" s="2">
        <f t="shared" si="98"/>
        <v>7502089</v>
      </c>
      <c r="I2062" s="12">
        <f t="shared" si="99"/>
        <v>0.19564166666666666</v>
      </c>
      <c r="J2062" s="12">
        <f t="shared" si="100"/>
        <v>0.21557727011494252</v>
      </c>
    </row>
    <row r="2063" spans="1:10" ht="15" customHeight="1">
      <c r="A2063" s="7">
        <v>44797</v>
      </c>
      <c r="B2063" s="10">
        <v>146</v>
      </c>
      <c r="C2063">
        <v>36238</v>
      </c>
      <c r="D2063" s="5">
        <v>3.74</v>
      </c>
      <c r="F2063" s="8">
        <v>98.345284059569764</v>
      </c>
      <c r="G2063" s="8">
        <v>100</v>
      </c>
      <c r="H2063" s="2">
        <f t="shared" si="98"/>
        <v>7538327</v>
      </c>
      <c r="I2063" s="12">
        <f t="shared" si="99"/>
        <v>0.15099166666666666</v>
      </c>
      <c r="J2063" s="12">
        <f t="shared" si="100"/>
        <v>0.21513490296803653</v>
      </c>
    </row>
    <row r="2064" spans="1:10" ht="15" customHeight="1">
      <c r="A2064" s="7">
        <v>44798</v>
      </c>
      <c r="B2064" s="10">
        <v>147</v>
      </c>
      <c r="C2064">
        <v>39373</v>
      </c>
      <c r="D2064" s="5">
        <v>4.49</v>
      </c>
      <c r="F2064" s="8">
        <v>98.362780544375468</v>
      </c>
      <c r="G2064" s="8">
        <v>100</v>
      </c>
      <c r="H2064" s="2">
        <f t="shared" si="98"/>
        <v>7577700</v>
      </c>
      <c r="I2064" s="12">
        <f t="shared" si="99"/>
        <v>0.16405416666666667</v>
      </c>
      <c r="J2064" s="12">
        <f t="shared" si="100"/>
        <v>0.21478741496598638</v>
      </c>
    </row>
    <row r="2065" spans="1:10" ht="15" customHeight="1">
      <c r="A2065" s="7">
        <v>44799</v>
      </c>
      <c r="B2065" s="10">
        <v>148</v>
      </c>
      <c r="C2065">
        <v>41692</v>
      </c>
      <c r="D2065" s="5">
        <v>5</v>
      </c>
      <c r="F2065" s="8">
        <v>100</v>
      </c>
      <c r="G2065" s="8">
        <v>100</v>
      </c>
      <c r="H2065" s="2">
        <f t="shared" si="98"/>
        <v>7619392</v>
      </c>
      <c r="I2065" s="12">
        <f t="shared" si="99"/>
        <v>0.17371666666666666</v>
      </c>
      <c r="J2065" s="12">
        <f t="shared" si="100"/>
        <v>0.2145099099099099</v>
      </c>
    </row>
    <row r="2066" spans="1:10" ht="15" customHeight="1">
      <c r="A2066" s="7">
        <v>44800</v>
      </c>
      <c r="B2066" s="10">
        <v>149</v>
      </c>
      <c r="C2066">
        <v>51671</v>
      </c>
      <c r="D2066" s="5">
        <v>6.24</v>
      </c>
      <c r="F2066" s="8">
        <v>98.854936123397479</v>
      </c>
      <c r="G2066" s="8">
        <v>96.632165068816107</v>
      </c>
      <c r="H2066" s="2">
        <f t="shared" si="98"/>
        <v>7671063</v>
      </c>
      <c r="I2066" s="12">
        <f t="shared" si="99"/>
        <v>0.21529583333333333</v>
      </c>
      <c r="J2066" s="12">
        <f t="shared" si="100"/>
        <v>0.2145151845637584</v>
      </c>
    </row>
    <row r="2067" spans="1:10" ht="15" customHeight="1">
      <c r="A2067" s="7">
        <v>44801</v>
      </c>
      <c r="B2067" s="10">
        <v>150</v>
      </c>
      <c r="C2067">
        <v>49792</v>
      </c>
      <c r="D2067" s="5">
        <v>6.06</v>
      </c>
      <c r="F2067" s="8">
        <v>98.904047806968094</v>
      </c>
      <c r="G2067" s="8">
        <v>100</v>
      </c>
      <c r="H2067" s="2">
        <f t="shared" si="98"/>
        <v>7720855</v>
      </c>
      <c r="I2067" s="12">
        <f t="shared" si="99"/>
        <v>0.20746666666666666</v>
      </c>
      <c r="J2067" s="12">
        <f t="shared" si="100"/>
        <v>0.21446819444444445</v>
      </c>
    </row>
    <row r="2068" spans="1:10" ht="15" customHeight="1">
      <c r="A2068" s="7">
        <v>44802</v>
      </c>
      <c r="B2068" s="10">
        <v>151</v>
      </c>
      <c r="C2068">
        <v>55251</v>
      </c>
      <c r="D2068" s="5">
        <v>6.47</v>
      </c>
      <c r="F2068" s="8">
        <v>98.862624186365196</v>
      </c>
      <c r="G2068" s="8">
        <v>100</v>
      </c>
      <c r="H2068" s="2">
        <f t="shared" si="98"/>
        <v>7776106</v>
      </c>
      <c r="I2068" s="12">
        <f t="shared" si="99"/>
        <v>0.23021249999999999</v>
      </c>
      <c r="J2068" s="12">
        <f t="shared" si="100"/>
        <v>0.21457246136865343</v>
      </c>
    </row>
    <row r="2069" spans="1:10" ht="15" customHeight="1">
      <c r="A2069" s="7">
        <v>44803</v>
      </c>
      <c r="B2069" s="10">
        <v>152</v>
      </c>
      <c r="C2069">
        <v>54410</v>
      </c>
      <c r="D2069" s="5">
        <v>6.66</v>
      </c>
      <c r="F2069" s="8">
        <v>98.840592888969709</v>
      </c>
      <c r="G2069" s="8">
        <v>100</v>
      </c>
      <c r="H2069" s="2">
        <f t="shared" si="98"/>
        <v>7830516</v>
      </c>
      <c r="I2069" s="12">
        <f t="shared" si="99"/>
        <v>0.22670833333333335</v>
      </c>
      <c r="J2069" s="12">
        <f t="shared" si="100"/>
        <v>0.21465230263157895</v>
      </c>
    </row>
    <row r="2070" spans="1:10" ht="15" customHeight="1">
      <c r="A2070" s="7">
        <v>44804</v>
      </c>
      <c r="B2070" s="10">
        <v>153</v>
      </c>
      <c r="C2070">
        <v>56504</v>
      </c>
      <c r="D2070" s="5">
        <v>6.72</v>
      </c>
      <c r="F2070" s="8">
        <v>98.854232972628893</v>
      </c>
      <c r="G2070" s="8">
        <v>100</v>
      </c>
      <c r="H2070" s="2">
        <f t="shared" si="98"/>
        <v>7887020</v>
      </c>
      <c r="I2070" s="12">
        <f t="shared" si="99"/>
        <v>0.23543333333333333</v>
      </c>
      <c r="J2070" s="12">
        <f t="shared" si="100"/>
        <v>0.21478812636165578</v>
      </c>
    </row>
    <row r="2071" spans="1:10" ht="15" customHeight="1">
      <c r="A2071" s="7">
        <v>44805</v>
      </c>
      <c r="B2071" s="10">
        <v>154</v>
      </c>
      <c r="C2071">
        <v>56474</v>
      </c>
      <c r="D2071" s="5">
        <v>6.84</v>
      </c>
      <c r="F2071" s="8">
        <v>95.256274142176238</v>
      </c>
      <c r="G2071" s="8">
        <v>100</v>
      </c>
      <c r="H2071" s="2">
        <f t="shared" si="98"/>
        <v>7943494</v>
      </c>
      <c r="I2071" s="12">
        <f t="shared" si="99"/>
        <v>0.23530833333333334</v>
      </c>
      <c r="J2071" s="12">
        <f t="shared" si="100"/>
        <v>0.21492137445887446</v>
      </c>
    </row>
    <row r="2072" spans="1:10" ht="15" customHeight="1">
      <c r="A2072" s="7">
        <v>44806</v>
      </c>
      <c r="B2072" s="10">
        <v>155</v>
      </c>
      <c r="C2072">
        <v>57237</v>
      </c>
      <c r="D2072" s="5">
        <v>6.53</v>
      </c>
      <c r="F2072" s="8">
        <v>98.928350621694022</v>
      </c>
      <c r="G2072" s="8">
        <v>100</v>
      </c>
      <c r="H2072" s="2">
        <f t="shared" si="98"/>
        <v>8000731</v>
      </c>
      <c r="I2072" s="12">
        <f t="shared" si="99"/>
        <v>0.23848749999999999</v>
      </c>
      <c r="J2072" s="12">
        <f t="shared" si="100"/>
        <v>0.21507341397849464</v>
      </c>
    </row>
    <row r="2073" spans="1:10" ht="15" customHeight="1">
      <c r="A2073" s="7">
        <v>44807</v>
      </c>
      <c r="B2073" s="10">
        <v>156</v>
      </c>
      <c r="C2073">
        <v>59441</v>
      </c>
      <c r="D2073" s="5">
        <v>7.12</v>
      </c>
      <c r="F2073" s="8">
        <v>98.818624044475328</v>
      </c>
      <c r="G2073" s="8">
        <v>96.525364836692148</v>
      </c>
      <c r="H2073" s="2">
        <f t="shared" si="98"/>
        <v>8060172</v>
      </c>
      <c r="I2073" s="12">
        <f t="shared" si="99"/>
        <v>0.24767083333333334</v>
      </c>
      <c r="J2073" s="12">
        <f t="shared" si="100"/>
        <v>0.21528237179487181</v>
      </c>
    </row>
    <row r="2074" spans="1:10" ht="15" customHeight="1">
      <c r="A2074" s="7">
        <v>44808</v>
      </c>
      <c r="B2074" s="10">
        <v>157</v>
      </c>
      <c r="C2074">
        <v>57211</v>
      </c>
      <c r="D2074" s="5">
        <v>6.84</v>
      </c>
      <c r="F2074" s="8">
        <v>98.831133113311324</v>
      </c>
      <c r="G2074" s="8">
        <v>94.636963696369634</v>
      </c>
      <c r="H2074" s="2">
        <f t="shared" si="98"/>
        <v>8117383</v>
      </c>
      <c r="I2074" s="12">
        <f t="shared" si="99"/>
        <v>0.23837916666666667</v>
      </c>
      <c r="J2074" s="12">
        <f t="shared" si="100"/>
        <v>0.21542948513800425</v>
      </c>
    </row>
    <row r="2075" spans="1:10" ht="15" customHeight="1">
      <c r="A2075" s="7">
        <v>44809</v>
      </c>
      <c r="B2075" s="10">
        <v>158</v>
      </c>
      <c r="C2075">
        <v>59140</v>
      </c>
      <c r="D2075" s="5">
        <v>6.6</v>
      </c>
      <c r="F2075" s="8">
        <v>98.831186689279008</v>
      </c>
      <c r="G2075" s="8">
        <v>100</v>
      </c>
      <c r="H2075" s="2">
        <f t="shared" si="98"/>
        <v>8176523</v>
      </c>
      <c r="I2075" s="12">
        <f t="shared" si="99"/>
        <v>0.24641666666666667</v>
      </c>
      <c r="J2075" s="12">
        <f t="shared" si="100"/>
        <v>0.21562560654008439</v>
      </c>
    </row>
    <row r="2076" spans="1:10" ht="15" customHeight="1">
      <c r="A2076" s="7">
        <v>44810</v>
      </c>
      <c r="B2076" s="10">
        <v>159</v>
      </c>
      <c r="C2076">
        <v>51304</v>
      </c>
      <c r="D2076" s="5">
        <v>6.06</v>
      </c>
      <c r="F2076" s="8">
        <v>98.850233831413263</v>
      </c>
      <c r="G2076" s="8">
        <v>100</v>
      </c>
      <c r="H2076" s="2">
        <f t="shared" si="98"/>
        <v>8227827</v>
      </c>
      <c r="I2076" s="12">
        <f t="shared" si="99"/>
        <v>0.21376666666666666</v>
      </c>
      <c r="J2076" s="12">
        <f t="shared" si="100"/>
        <v>0.21561391509433961</v>
      </c>
    </row>
    <row r="2077" spans="1:10" ht="15" customHeight="1">
      <c r="A2077" s="7">
        <v>44811</v>
      </c>
      <c r="B2077" s="10">
        <v>160</v>
      </c>
      <c r="C2077">
        <v>54991</v>
      </c>
      <c r="D2077" s="5">
        <v>6.28</v>
      </c>
      <c r="F2077" s="8">
        <v>98.830704328686721</v>
      </c>
      <c r="G2077" s="8">
        <v>100</v>
      </c>
      <c r="H2077" s="2">
        <f t="shared" si="98"/>
        <v>8282818</v>
      </c>
      <c r="I2077" s="12">
        <f t="shared" si="99"/>
        <v>0.22912916666666666</v>
      </c>
      <c r="J2077" s="12">
        <f t="shared" si="100"/>
        <v>0.21569838541666667</v>
      </c>
    </row>
    <row r="2078" spans="1:10" ht="15" customHeight="1">
      <c r="A2078" s="7">
        <v>44812</v>
      </c>
      <c r="B2078" s="10">
        <v>161</v>
      </c>
      <c r="C2078">
        <v>53889</v>
      </c>
      <c r="D2078" s="5">
        <v>6.28</v>
      </c>
      <c r="F2078" s="8">
        <v>98.895764797901947</v>
      </c>
      <c r="G2078" s="8">
        <v>100</v>
      </c>
      <c r="H2078" s="2">
        <f t="shared" si="98"/>
        <v>8336707</v>
      </c>
      <c r="I2078" s="12">
        <f t="shared" si="99"/>
        <v>0.2245375</v>
      </c>
      <c r="J2078" s="12">
        <f t="shared" si="100"/>
        <v>0.21575328674948241</v>
      </c>
    </row>
    <row r="2079" spans="1:10" ht="15" customHeight="1">
      <c r="A2079" s="7">
        <v>44813</v>
      </c>
      <c r="B2079" s="10">
        <v>162</v>
      </c>
      <c r="C2079">
        <v>52288</v>
      </c>
      <c r="D2079" s="5">
        <v>6.07</v>
      </c>
      <c r="F2079" s="8">
        <v>98.923692562439641</v>
      </c>
      <c r="G2079" s="8">
        <v>100</v>
      </c>
      <c r="H2079" s="2">
        <f t="shared" si="98"/>
        <v>8388995</v>
      </c>
      <c r="I2079" s="12">
        <f t="shared" si="99"/>
        <v>0.21786666666666665</v>
      </c>
      <c r="J2079" s="12">
        <f t="shared" si="100"/>
        <v>0.21576633230452674</v>
      </c>
    </row>
    <row r="2080" spans="1:10" ht="15" customHeight="1">
      <c r="A2080" s="7">
        <v>44814</v>
      </c>
      <c r="B2080" s="10">
        <v>163</v>
      </c>
      <c r="C2080">
        <v>48755</v>
      </c>
      <c r="D2080" s="5">
        <v>5.66</v>
      </c>
      <c r="F2080" s="8">
        <v>98.949187694434855</v>
      </c>
      <c r="G2080" s="8">
        <v>98.893881783615626</v>
      </c>
      <c r="H2080" s="2">
        <f t="shared" si="98"/>
        <v>8437750</v>
      </c>
      <c r="I2080" s="12">
        <f t="shared" si="99"/>
        <v>0.20314583333333333</v>
      </c>
      <c r="J2080" s="12">
        <f t="shared" si="100"/>
        <v>0.21568890593047035</v>
      </c>
    </row>
    <row r="2081" spans="1:10" ht="15" customHeight="1">
      <c r="A2081" s="7">
        <v>44815</v>
      </c>
      <c r="B2081" s="10">
        <v>164</v>
      </c>
      <c r="C2081">
        <v>53109</v>
      </c>
      <c r="D2081" s="5">
        <v>6.23</v>
      </c>
      <c r="F2081" s="8">
        <v>99.003189792663477</v>
      </c>
      <c r="G2081" s="8">
        <v>100</v>
      </c>
      <c r="H2081" s="2">
        <f t="shared" si="98"/>
        <v>8490859</v>
      </c>
      <c r="I2081" s="12">
        <f t="shared" si="99"/>
        <v>0.2212875</v>
      </c>
      <c r="J2081" s="12">
        <f t="shared" si="100"/>
        <v>0.21572304369918699</v>
      </c>
    </row>
    <row r="2082" spans="1:10" ht="15" customHeight="1">
      <c r="A2082" s="7">
        <v>44816</v>
      </c>
      <c r="B2082" s="10">
        <v>165</v>
      </c>
      <c r="C2082">
        <v>37738</v>
      </c>
      <c r="D2082" s="5">
        <v>4.47</v>
      </c>
      <c r="F2082" s="8">
        <v>99.662875893378882</v>
      </c>
      <c r="G2082" s="8">
        <v>100</v>
      </c>
      <c r="H2082" s="2">
        <f t="shared" si="98"/>
        <v>8528597</v>
      </c>
      <c r="I2082" s="12">
        <f t="shared" si="99"/>
        <v>0.15724166666666667</v>
      </c>
      <c r="J2082" s="12">
        <f t="shared" si="100"/>
        <v>0.21536861111111111</v>
      </c>
    </row>
    <row r="2083" spans="1:10" ht="15" customHeight="1">
      <c r="A2083" s="7">
        <v>44817</v>
      </c>
      <c r="B2083" s="10">
        <v>166</v>
      </c>
      <c r="C2083">
        <v>51792</v>
      </c>
      <c r="D2083" s="5">
        <v>5.88</v>
      </c>
      <c r="F2083" s="8">
        <v>98.850600617520456</v>
      </c>
      <c r="G2083" s="8">
        <v>100</v>
      </c>
      <c r="H2083" s="2">
        <f t="shared" si="98"/>
        <v>8580389</v>
      </c>
      <c r="I2083" s="12">
        <f t="shared" si="99"/>
        <v>0.21579999999999999</v>
      </c>
      <c r="J2083" s="12">
        <f t="shared" si="100"/>
        <v>0.21537120983935742</v>
      </c>
    </row>
    <row r="2084" spans="1:10" ht="15" customHeight="1">
      <c r="A2084" s="7">
        <v>44818</v>
      </c>
      <c r="B2084" s="10">
        <v>167</v>
      </c>
      <c r="C2084">
        <v>50111</v>
      </c>
      <c r="D2084" s="5">
        <v>5.64</v>
      </c>
      <c r="F2084" s="8">
        <v>98.813929433398457</v>
      </c>
      <c r="G2084" s="8">
        <v>100</v>
      </c>
      <c r="H2084" s="2">
        <f t="shared" si="98"/>
        <v>8630500</v>
      </c>
      <c r="I2084" s="12">
        <f t="shared" si="99"/>
        <v>0.20879583333333335</v>
      </c>
      <c r="J2084" s="12">
        <f t="shared" si="100"/>
        <v>0.21533183632734532</v>
      </c>
    </row>
    <row r="2085" spans="1:10" ht="15" customHeight="1">
      <c r="A2085" s="7">
        <v>44819</v>
      </c>
      <c r="B2085" s="10">
        <v>168</v>
      </c>
      <c r="C2085">
        <v>55174</v>
      </c>
      <c r="D2085" s="5">
        <v>6.12</v>
      </c>
      <c r="F2085" s="8">
        <v>98.832551218953881</v>
      </c>
      <c r="G2085" s="8">
        <v>100</v>
      </c>
      <c r="H2085" s="2">
        <f t="shared" si="98"/>
        <v>8685674</v>
      </c>
      <c r="I2085" s="12">
        <f t="shared" si="99"/>
        <v>0.22989166666666666</v>
      </c>
      <c r="J2085" s="12">
        <f t="shared" si="100"/>
        <v>0.21541850198412699</v>
      </c>
    </row>
    <row r="2086" spans="1:10" ht="15" customHeight="1">
      <c r="A2086" s="7">
        <v>44820</v>
      </c>
      <c r="B2086" s="10">
        <v>169</v>
      </c>
      <c r="C2086">
        <v>59047</v>
      </c>
      <c r="D2086" s="5">
        <v>6.43</v>
      </c>
      <c r="F2086" s="8">
        <v>98.827936478753472</v>
      </c>
      <c r="G2086" s="8">
        <v>100</v>
      </c>
      <c r="H2086" s="2">
        <f t="shared" si="98"/>
        <v>8744721</v>
      </c>
      <c r="I2086" s="12">
        <f t="shared" si="99"/>
        <v>0.24602916666666666</v>
      </c>
      <c r="J2086" s="12">
        <f t="shared" si="100"/>
        <v>0.21559963017751479</v>
      </c>
    </row>
    <row r="2087" spans="1:10" ht="15" customHeight="1">
      <c r="A2087" s="7">
        <v>44821</v>
      </c>
      <c r="B2087" s="10">
        <v>170</v>
      </c>
      <c r="C2087">
        <v>57309</v>
      </c>
      <c r="D2087" s="5">
        <v>6.09</v>
      </c>
      <c r="F2087" s="8">
        <v>98.941823498015921</v>
      </c>
      <c r="G2087" s="8">
        <v>100</v>
      </c>
      <c r="H2087" s="2">
        <f t="shared" si="98"/>
        <v>8802030</v>
      </c>
      <c r="I2087" s="12">
        <f t="shared" si="99"/>
        <v>0.23878750000000001</v>
      </c>
      <c r="J2087" s="12">
        <f t="shared" si="100"/>
        <v>0.2157360294117647</v>
      </c>
    </row>
    <row r="2088" spans="1:10" ht="15" customHeight="1">
      <c r="A2088" s="7">
        <v>44822</v>
      </c>
      <c r="B2088" s="10">
        <v>171</v>
      </c>
      <c r="C2088">
        <v>56671</v>
      </c>
      <c r="D2088" s="5">
        <v>6.49</v>
      </c>
      <c r="F2088" s="8">
        <v>99.151603704663827</v>
      </c>
      <c r="G2088" s="8">
        <v>100</v>
      </c>
      <c r="H2088" s="2">
        <f t="shared" si="98"/>
        <v>8858701</v>
      </c>
      <c r="I2088" s="12">
        <f t="shared" si="99"/>
        <v>0.23612916666666667</v>
      </c>
      <c r="J2088" s="12">
        <f t="shared" si="100"/>
        <v>0.21585528752436647</v>
      </c>
    </row>
    <row r="2089" spans="1:10" ht="15" customHeight="1">
      <c r="A2089" s="7">
        <v>44823</v>
      </c>
      <c r="B2089" s="10">
        <v>172</v>
      </c>
      <c r="C2089">
        <v>60027</v>
      </c>
      <c r="D2089" s="5">
        <v>6.51</v>
      </c>
      <c r="F2089" s="8">
        <v>98.997481938201588</v>
      </c>
      <c r="G2089" s="8">
        <v>100</v>
      </c>
      <c r="H2089" s="2">
        <f t="shared" si="98"/>
        <v>8918728</v>
      </c>
      <c r="I2089" s="12">
        <f t="shared" si="99"/>
        <v>0.25011250000000002</v>
      </c>
      <c r="J2089" s="12">
        <f t="shared" si="100"/>
        <v>0.21605445736434109</v>
      </c>
    </row>
    <row r="2090" spans="1:10" ht="15" customHeight="1">
      <c r="A2090" s="7">
        <v>44824</v>
      </c>
      <c r="B2090" s="10">
        <v>173</v>
      </c>
      <c r="C2090">
        <v>58343</v>
      </c>
      <c r="D2090" s="5">
        <v>6.39</v>
      </c>
      <c r="F2090" s="8">
        <v>99.205917803039256</v>
      </c>
      <c r="G2090" s="8">
        <v>100</v>
      </c>
      <c r="H2090" s="2">
        <f t="shared" si="98"/>
        <v>8977071</v>
      </c>
      <c r="I2090" s="12">
        <f t="shared" si="99"/>
        <v>0.24309583333333334</v>
      </c>
      <c r="J2090" s="12">
        <f t="shared" si="100"/>
        <v>0.21621076589595375</v>
      </c>
    </row>
    <row r="2091" spans="1:10" ht="15" customHeight="1">
      <c r="A2091" s="7">
        <v>44825</v>
      </c>
      <c r="B2091" s="10">
        <v>174</v>
      </c>
      <c r="C2091">
        <v>54666</v>
      </c>
      <c r="D2091" s="5">
        <v>6.23</v>
      </c>
      <c r="F2091" s="8">
        <v>94.781124831133127</v>
      </c>
      <c r="G2091" s="8">
        <v>100</v>
      </c>
      <c r="H2091" s="2">
        <f t="shared" si="98"/>
        <v>9031737</v>
      </c>
      <c r="I2091" s="12">
        <f t="shared" si="99"/>
        <v>0.22777500000000001</v>
      </c>
      <c r="J2091" s="12">
        <f t="shared" si="100"/>
        <v>0.21627722701149427</v>
      </c>
    </row>
    <row r="2092" spans="1:10" ht="15" customHeight="1">
      <c r="A2092" s="7">
        <v>44826</v>
      </c>
      <c r="B2092" s="10">
        <v>175</v>
      </c>
      <c r="C2092">
        <v>52281</v>
      </c>
      <c r="D2092" s="5">
        <v>5.81</v>
      </c>
      <c r="F2092" s="8">
        <v>99.441127298781936</v>
      </c>
      <c r="G2092" s="8">
        <v>95.700979221399578</v>
      </c>
      <c r="H2092" s="2">
        <f t="shared" si="98"/>
        <v>9084018</v>
      </c>
      <c r="I2092" s="12">
        <f t="shared" si="99"/>
        <v>0.21783749999999999</v>
      </c>
      <c r="J2092" s="12">
        <f t="shared" si="100"/>
        <v>0.21628614285714284</v>
      </c>
    </row>
    <row r="2093" spans="1:10" ht="15" customHeight="1">
      <c r="A2093" s="7">
        <v>44827</v>
      </c>
      <c r="B2093" s="10">
        <v>176</v>
      </c>
      <c r="C2093">
        <v>56141</v>
      </c>
      <c r="D2093" s="5">
        <v>6.15</v>
      </c>
      <c r="F2093" s="8">
        <v>99.217341808177594</v>
      </c>
      <c r="G2093" s="8">
        <v>100</v>
      </c>
      <c r="H2093" s="2">
        <f t="shared" si="98"/>
        <v>9140159</v>
      </c>
      <c r="I2093" s="12">
        <f t="shared" si="99"/>
        <v>0.23392083333333333</v>
      </c>
      <c r="J2093" s="12">
        <f t="shared" si="100"/>
        <v>0.2163863399621212</v>
      </c>
    </row>
    <row r="2094" spans="1:10" ht="15" customHeight="1">
      <c r="A2094" s="7">
        <v>44828</v>
      </c>
      <c r="B2094" s="10">
        <v>177</v>
      </c>
      <c r="C2094">
        <v>53090</v>
      </c>
      <c r="D2094" s="5">
        <v>5.93</v>
      </c>
      <c r="F2094" s="8">
        <v>99.43282352085707</v>
      </c>
      <c r="G2094" s="8">
        <v>100</v>
      </c>
      <c r="H2094" s="2">
        <f t="shared" si="98"/>
        <v>9193249</v>
      </c>
      <c r="I2094" s="12">
        <f t="shared" si="99"/>
        <v>0.22120833333333334</v>
      </c>
      <c r="J2094" s="12">
        <f t="shared" si="100"/>
        <v>0.21641358286252355</v>
      </c>
    </row>
    <row r="2095" spans="1:10" ht="15" customHeight="1">
      <c r="A2095" s="7">
        <v>44829</v>
      </c>
      <c r="B2095" s="10">
        <v>178</v>
      </c>
      <c r="C2095">
        <v>58503</v>
      </c>
      <c r="D2095" s="5">
        <v>6.03</v>
      </c>
      <c r="F2095" s="8">
        <v>98.986213482870923</v>
      </c>
      <c r="G2095" s="8">
        <v>100</v>
      </c>
      <c r="H2095" s="2">
        <f t="shared" si="98"/>
        <v>9251752</v>
      </c>
      <c r="I2095" s="12">
        <f t="shared" si="99"/>
        <v>0.24376249999999999</v>
      </c>
      <c r="J2095" s="12">
        <f t="shared" si="100"/>
        <v>0.21656722846441948</v>
      </c>
    </row>
    <row r="2096" spans="1:10" ht="15" customHeight="1">
      <c r="A2096" s="7">
        <v>44830</v>
      </c>
      <c r="B2096" s="10">
        <v>179</v>
      </c>
      <c r="C2096">
        <v>51709</v>
      </c>
      <c r="D2096" s="5">
        <v>6.11</v>
      </c>
      <c r="F2096" s="8">
        <v>88.609180440602202</v>
      </c>
      <c r="G2096" s="8">
        <v>100</v>
      </c>
      <c r="H2096" s="2">
        <f t="shared" si="98"/>
        <v>9303461</v>
      </c>
      <c r="I2096" s="12">
        <f t="shared" si="99"/>
        <v>0.21545416666666667</v>
      </c>
      <c r="J2096" s="12">
        <f t="shared" si="100"/>
        <v>0.21656101024208566</v>
      </c>
    </row>
    <row r="2097" spans="1:10" ht="15" customHeight="1">
      <c r="A2097" s="7">
        <v>44831</v>
      </c>
      <c r="B2097" s="10">
        <v>180</v>
      </c>
      <c r="C2097">
        <v>57527</v>
      </c>
      <c r="D2097" s="5">
        <v>6.09</v>
      </c>
      <c r="F2097" s="8">
        <v>98.866526193417144</v>
      </c>
      <c r="G2097" s="8">
        <v>100</v>
      </c>
      <c r="H2097" s="2">
        <f t="shared" si="98"/>
        <v>9360988</v>
      </c>
      <c r="I2097" s="12">
        <f t="shared" si="99"/>
        <v>0.23969583333333333</v>
      </c>
      <c r="J2097" s="12">
        <f t="shared" si="100"/>
        <v>0.21668953703703703</v>
      </c>
    </row>
    <row r="2098" spans="1:10" ht="15" customHeight="1">
      <c r="A2098" s="7">
        <v>44832</v>
      </c>
      <c r="B2098" s="10">
        <v>181</v>
      </c>
      <c r="C2098">
        <v>56045</v>
      </c>
      <c r="D2098" s="5">
        <v>6.17</v>
      </c>
      <c r="F2098" s="8">
        <v>99.007516602203893</v>
      </c>
      <c r="G2098" s="8">
        <v>100</v>
      </c>
      <c r="H2098" s="2">
        <f t="shared" si="98"/>
        <v>9417033</v>
      </c>
      <c r="I2098" s="12">
        <f t="shared" si="99"/>
        <v>0.23352083333333334</v>
      </c>
      <c r="J2098" s="12">
        <f t="shared" si="100"/>
        <v>0.21678252762430938</v>
      </c>
    </row>
    <row r="2099" spans="1:10" ht="15" customHeight="1">
      <c r="A2099" s="7">
        <v>44833</v>
      </c>
      <c r="B2099" s="10">
        <v>182</v>
      </c>
      <c r="C2099">
        <v>56955</v>
      </c>
      <c r="D2099" s="5">
        <v>6.12</v>
      </c>
      <c r="F2099" s="8">
        <v>98.588201397392496</v>
      </c>
      <c r="G2099" s="8">
        <v>100</v>
      </c>
      <c r="H2099" s="2">
        <f t="shared" si="98"/>
        <v>9473988</v>
      </c>
      <c r="I2099" s="12">
        <f t="shared" si="99"/>
        <v>0.23731250000000001</v>
      </c>
      <c r="J2099" s="12">
        <f t="shared" si="100"/>
        <v>0.21689532967032968</v>
      </c>
    </row>
    <row r="2100" spans="1:10" ht="15" customHeight="1">
      <c r="A2100" s="7">
        <v>44834</v>
      </c>
      <c r="B2100" s="10">
        <v>183</v>
      </c>
      <c r="C2100">
        <v>58698</v>
      </c>
      <c r="D2100" s="5">
        <v>6.16</v>
      </c>
      <c r="F2100" s="8">
        <v>99.155933930000728</v>
      </c>
      <c r="G2100" s="8">
        <v>100</v>
      </c>
      <c r="H2100" s="2">
        <f t="shared" si="98"/>
        <v>9532686</v>
      </c>
      <c r="I2100" s="12">
        <f t="shared" si="99"/>
        <v>0.24457499999999999</v>
      </c>
      <c r="J2100" s="12">
        <f t="shared" si="100"/>
        <v>0.21704658469945357</v>
      </c>
    </row>
    <row r="2101" spans="1:10" ht="15" customHeight="1">
      <c r="A2101" s="7">
        <v>44835</v>
      </c>
      <c r="B2101" s="10">
        <v>184</v>
      </c>
      <c r="C2101">
        <v>59812</v>
      </c>
      <c r="D2101" s="5">
        <v>6.23</v>
      </c>
      <c r="F2101" s="8">
        <v>99.174092588567703</v>
      </c>
      <c r="G2101" s="8">
        <v>100</v>
      </c>
      <c r="H2101" s="2">
        <f t="shared" si="98"/>
        <v>9592498</v>
      </c>
      <c r="I2101" s="12">
        <f t="shared" si="99"/>
        <v>0.24921666666666667</v>
      </c>
      <c r="J2101" s="12">
        <f t="shared" si="100"/>
        <v>0.21722142210144926</v>
      </c>
    </row>
    <row r="2102" spans="1:10" ht="15" customHeight="1">
      <c r="A2102" s="7">
        <v>44836</v>
      </c>
      <c r="B2102" s="10">
        <v>185</v>
      </c>
      <c r="C2102">
        <v>60275</v>
      </c>
      <c r="D2102" s="5">
        <v>6.21</v>
      </c>
      <c r="F2102" s="8">
        <v>99.186893497567937</v>
      </c>
      <c r="G2102" s="8">
        <v>100</v>
      </c>
      <c r="H2102" s="2">
        <f t="shared" si="98"/>
        <v>9652773</v>
      </c>
      <c r="I2102" s="12">
        <f t="shared" si="99"/>
        <v>0.25114583333333335</v>
      </c>
      <c r="J2102" s="12">
        <f t="shared" si="100"/>
        <v>0.21740479729729731</v>
      </c>
    </row>
    <row r="2103" spans="1:10" ht="15" customHeight="1">
      <c r="A2103" s="7">
        <v>44837</v>
      </c>
      <c r="B2103" s="10">
        <v>186</v>
      </c>
      <c r="C2103">
        <v>60030</v>
      </c>
      <c r="D2103" s="5">
        <v>6.23</v>
      </c>
      <c r="F2103" s="8">
        <v>99.20487675589716</v>
      </c>
      <c r="G2103" s="8">
        <v>100</v>
      </c>
      <c r="H2103" s="2">
        <f t="shared" si="98"/>
        <v>9712803</v>
      </c>
      <c r="I2103" s="12">
        <f t="shared" si="99"/>
        <v>0.25012499999999999</v>
      </c>
      <c r="J2103" s="12">
        <f t="shared" si="100"/>
        <v>0.2175807123655914</v>
      </c>
    </row>
    <row r="2104" spans="1:10" ht="15" customHeight="1">
      <c r="A2104" s="7">
        <v>44838</v>
      </c>
      <c r="B2104" s="10">
        <v>187</v>
      </c>
      <c r="C2104">
        <v>58947</v>
      </c>
      <c r="D2104" s="5">
        <v>6.1</v>
      </c>
      <c r="F2104" s="8">
        <v>99.159074982480732</v>
      </c>
      <c r="G2104" s="8">
        <v>100</v>
      </c>
      <c r="H2104" s="2">
        <f t="shared" si="98"/>
        <v>9771750</v>
      </c>
      <c r="I2104" s="12">
        <f t="shared" si="99"/>
        <v>0.24561250000000001</v>
      </c>
      <c r="J2104" s="12">
        <f t="shared" si="100"/>
        <v>0.21773061497326204</v>
      </c>
    </row>
    <row r="2105" spans="1:10" ht="15" customHeight="1">
      <c r="A2105" s="7">
        <v>44839</v>
      </c>
      <c r="B2105" s="10">
        <v>188</v>
      </c>
      <c r="C2105">
        <v>59105</v>
      </c>
      <c r="D2105" s="5">
        <v>6.09</v>
      </c>
      <c r="F2105" s="8">
        <v>99.180092059838898</v>
      </c>
      <c r="G2105" s="8">
        <v>100</v>
      </c>
      <c r="H2105" s="2">
        <f t="shared" si="98"/>
        <v>9830855</v>
      </c>
      <c r="I2105" s="12">
        <f t="shared" si="99"/>
        <v>0.24627083333333333</v>
      </c>
      <c r="J2105" s="12">
        <f t="shared" si="100"/>
        <v>0.21788242464539007</v>
      </c>
    </row>
    <row r="2106" spans="1:10" ht="15" customHeight="1">
      <c r="A2106" s="7">
        <v>44840</v>
      </c>
      <c r="B2106" s="10">
        <v>189</v>
      </c>
      <c r="C2106">
        <v>58551</v>
      </c>
      <c r="D2106" s="5">
        <v>6.04</v>
      </c>
      <c r="F2106" s="8">
        <v>99.165894346617236</v>
      </c>
      <c r="G2106" s="8">
        <v>100</v>
      </c>
      <c r="H2106" s="2">
        <f t="shared" si="98"/>
        <v>9889406</v>
      </c>
      <c r="I2106" s="12">
        <f t="shared" si="99"/>
        <v>0.2439625</v>
      </c>
      <c r="J2106" s="12">
        <f t="shared" si="100"/>
        <v>0.21802041446208112</v>
      </c>
    </row>
    <row r="2107" spans="1:10" ht="15" customHeight="1">
      <c r="A2107" s="7">
        <v>44841</v>
      </c>
      <c r="B2107" s="10">
        <v>190</v>
      </c>
      <c r="C2107">
        <v>52996</v>
      </c>
      <c r="D2107" s="5">
        <v>5.59</v>
      </c>
      <c r="F2107" s="8">
        <v>99.179927755540362</v>
      </c>
      <c r="G2107" s="8">
        <v>100</v>
      </c>
      <c r="H2107" s="2">
        <f t="shared" si="98"/>
        <v>9942402</v>
      </c>
      <c r="I2107" s="12">
        <f t="shared" si="99"/>
        <v>0.22081666666666666</v>
      </c>
      <c r="J2107" s="12">
        <f t="shared" si="100"/>
        <v>0.21803513157894736</v>
      </c>
    </row>
    <row r="2108" spans="1:10" ht="15" customHeight="1">
      <c r="A2108" s="7">
        <v>44842</v>
      </c>
      <c r="B2108" s="10">
        <v>191</v>
      </c>
      <c r="C2108">
        <v>47607</v>
      </c>
      <c r="D2108" s="5">
        <v>4.99</v>
      </c>
      <c r="F2108" s="8">
        <v>99.17143420793056</v>
      </c>
      <c r="G2108" s="8">
        <v>100</v>
      </c>
      <c r="H2108" s="2">
        <f t="shared" si="98"/>
        <v>9990009</v>
      </c>
      <c r="I2108" s="12">
        <f t="shared" si="99"/>
        <v>0.1983625</v>
      </c>
      <c r="J2108" s="12">
        <f t="shared" si="100"/>
        <v>0.2179321335078534</v>
      </c>
    </row>
    <row r="2109" spans="1:10" ht="15" customHeight="1">
      <c r="A2109" s="7">
        <v>44843</v>
      </c>
      <c r="B2109" s="10">
        <v>192</v>
      </c>
      <c r="C2109">
        <v>54142</v>
      </c>
      <c r="D2109" s="5">
        <v>5.63</v>
      </c>
      <c r="F2109" s="8">
        <v>99.155555555555551</v>
      </c>
      <c r="G2109" s="8">
        <v>100</v>
      </c>
      <c r="H2109" s="2">
        <f t="shared" si="98"/>
        <v>10044151</v>
      </c>
      <c r="I2109" s="12">
        <f t="shared" si="99"/>
        <v>0.22559166666666666</v>
      </c>
      <c r="J2109" s="12">
        <f t="shared" si="100"/>
        <v>0.21797202690972223</v>
      </c>
    </row>
    <row r="2110" spans="1:10" ht="15" customHeight="1">
      <c r="A2110" s="7">
        <v>44844</v>
      </c>
      <c r="B2110" s="10">
        <v>193</v>
      </c>
      <c r="C2110">
        <v>52659</v>
      </c>
      <c r="D2110" s="5">
        <v>5.23</v>
      </c>
      <c r="F2110" s="8">
        <v>99.16749256689792</v>
      </c>
      <c r="G2110" s="8">
        <v>100</v>
      </c>
      <c r="H2110" s="2">
        <f t="shared" si="98"/>
        <v>10096810</v>
      </c>
      <c r="I2110" s="12">
        <f t="shared" si="99"/>
        <v>0.21941250000000001</v>
      </c>
      <c r="J2110" s="12">
        <f t="shared" si="100"/>
        <v>0.21797949050086357</v>
      </c>
    </row>
    <row r="2111" spans="1:10" ht="15" customHeight="1">
      <c r="A2111" s="7">
        <v>44845</v>
      </c>
      <c r="B2111" s="10">
        <v>194</v>
      </c>
      <c r="C2111">
        <v>55295</v>
      </c>
      <c r="D2111" s="5">
        <v>5.59</v>
      </c>
      <c r="F2111" s="8">
        <v>99.075523745619918</v>
      </c>
      <c r="G2111" s="8">
        <v>100</v>
      </c>
      <c r="H2111" s="2">
        <f t="shared" ref="H2111:H2174" si="101">H2110+C2111</f>
        <v>10152105</v>
      </c>
      <c r="I2111" s="12">
        <f t="shared" si="99"/>
        <v>0.23039583333333333</v>
      </c>
      <c r="J2111" s="12">
        <f t="shared" si="100"/>
        <v>0.21804349226804123</v>
      </c>
    </row>
    <row r="2112" spans="1:10" ht="15" customHeight="1">
      <c r="A2112" s="7">
        <v>44846</v>
      </c>
      <c r="B2112" s="10">
        <v>195</v>
      </c>
      <c r="C2112">
        <v>55014</v>
      </c>
      <c r="D2112" s="5">
        <v>5.57</v>
      </c>
      <c r="F2112" s="8">
        <v>99.140740740740739</v>
      </c>
      <c r="G2112" s="8">
        <v>100</v>
      </c>
      <c r="H2112" s="2">
        <f t="shared" si="101"/>
        <v>10207119</v>
      </c>
      <c r="I2112" s="12">
        <f t="shared" si="99"/>
        <v>0.22922500000000001</v>
      </c>
      <c r="J2112" s="12">
        <f t="shared" si="100"/>
        <v>0.21810083333333333</v>
      </c>
    </row>
    <row r="2113" spans="1:10" ht="15" customHeight="1">
      <c r="A2113" s="7">
        <v>44847</v>
      </c>
      <c r="B2113" s="10">
        <v>196</v>
      </c>
      <c r="C2113">
        <v>56142</v>
      </c>
      <c r="D2113" s="5">
        <v>5.66</v>
      </c>
      <c r="F2113" s="8">
        <v>99.034270998415224</v>
      </c>
      <c r="G2113" s="8">
        <v>100</v>
      </c>
      <c r="H2113" s="2">
        <f t="shared" si="101"/>
        <v>10263261</v>
      </c>
      <c r="I2113" s="12">
        <f t="shared" si="99"/>
        <v>0.23392499999999999</v>
      </c>
      <c r="J2113" s="12">
        <f t="shared" si="100"/>
        <v>0.21818156887755102</v>
      </c>
    </row>
    <row r="2114" spans="1:10" ht="15" customHeight="1">
      <c r="A2114" s="7">
        <v>44848</v>
      </c>
      <c r="B2114" s="10">
        <v>197</v>
      </c>
      <c r="C2114">
        <v>56675</v>
      </c>
      <c r="D2114" s="5">
        <v>5.7</v>
      </c>
      <c r="F2114" s="8">
        <v>99.246750689247733</v>
      </c>
      <c r="G2114" s="8">
        <v>100</v>
      </c>
      <c r="H2114" s="2">
        <f t="shared" si="101"/>
        <v>10319936</v>
      </c>
      <c r="I2114" s="12">
        <f t="shared" si="99"/>
        <v>0.23614583333333333</v>
      </c>
      <c r="J2114" s="12">
        <f t="shared" si="100"/>
        <v>0.21827275803722504</v>
      </c>
    </row>
    <row r="2115" spans="1:10" ht="15" customHeight="1">
      <c r="A2115" s="7">
        <v>44849</v>
      </c>
      <c r="B2115" s="10">
        <v>198</v>
      </c>
      <c r="C2115">
        <v>56500</v>
      </c>
      <c r="D2115" s="5">
        <v>5.64</v>
      </c>
      <c r="F2115" s="8">
        <v>99.251571699431196</v>
      </c>
      <c r="G2115" s="8">
        <v>100</v>
      </c>
      <c r="H2115" s="2">
        <f t="shared" si="101"/>
        <v>10376436</v>
      </c>
      <c r="I2115" s="12">
        <f t="shared" ref="I2115:I2178" si="102">C2115/(10*24*1000)</f>
        <v>0.23541666666666666</v>
      </c>
      <c r="J2115" s="12">
        <f t="shared" si="100"/>
        <v>0.21835934343434343</v>
      </c>
    </row>
    <row r="2116" spans="1:10" ht="15" customHeight="1">
      <c r="A2116" s="7">
        <v>44850</v>
      </c>
      <c r="B2116" s="10">
        <v>199</v>
      </c>
      <c r="C2116">
        <v>56198</v>
      </c>
      <c r="D2116" s="5">
        <v>5.65</v>
      </c>
      <c r="F2116" s="8">
        <v>99.282582702271824</v>
      </c>
      <c r="G2116" s="8">
        <v>100</v>
      </c>
      <c r="H2116" s="2">
        <f t="shared" si="101"/>
        <v>10432634</v>
      </c>
      <c r="I2116" s="12">
        <f t="shared" si="102"/>
        <v>0.23415833333333333</v>
      </c>
      <c r="J2116" s="12">
        <f t="shared" ref="J2116:J2179" si="103">H2116/(24*B2116*10*1000)</f>
        <v>0.21843873534338359</v>
      </c>
    </row>
    <row r="2117" spans="1:10" ht="15" customHeight="1">
      <c r="A2117" s="7">
        <v>44851</v>
      </c>
      <c r="B2117" s="10">
        <v>200</v>
      </c>
      <c r="C2117">
        <v>56012</v>
      </c>
      <c r="D2117" s="5">
        <v>5.59</v>
      </c>
      <c r="F2117" s="8">
        <v>99.270833333333329</v>
      </c>
      <c r="G2117" s="8">
        <v>100</v>
      </c>
      <c r="H2117" s="2">
        <f t="shared" si="101"/>
        <v>10488646</v>
      </c>
      <c r="I2117" s="12">
        <f t="shared" si="102"/>
        <v>0.23338333333333333</v>
      </c>
      <c r="J2117" s="12">
        <f t="shared" si="103"/>
        <v>0.21851345833333333</v>
      </c>
    </row>
    <row r="2118" spans="1:10" ht="15" customHeight="1">
      <c r="A2118" s="7">
        <v>44852</v>
      </c>
      <c r="B2118" s="10">
        <v>201</v>
      </c>
      <c r="C2118">
        <v>55720</v>
      </c>
      <c r="D2118" s="5">
        <v>5.56</v>
      </c>
      <c r="F2118" s="8">
        <v>99.287657679940637</v>
      </c>
      <c r="G2118" s="8">
        <v>100</v>
      </c>
      <c r="H2118" s="2">
        <f t="shared" si="101"/>
        <v>10544366</v>
      </c>
      <c r="I2118" s="12">
        <f t="shared" si="102"/>
        <v>0.23216666666666666</v>
      </c>
      <c r="J2118" s="12">
        <f t="shared" si="103"/>
        <v>0.21858138474295191</v>
      </c>
    </row>
    <row r="2119" spans="1:10" ht="15" customHeight="1">
      <c r="A2119" s="7">
        <v>44853</v>
      </c>
      <c r="B2119" s="10">
        <v>202</v>
      </c>
      <c r="C2119">
        <v>53871</v>
      </c>
      <c r="D2119" s="5">
        <v>5.36</v>
      </c>
      <c r="F2119" s="8">
        <v>99.303101445693812</v>
      </c>
      <c r="G2119" s="8">
        <v>100</v>
      </c>
      <c r="H2119" s="2">
        <f t="shared" si="101"/>
        <v>10598237</v>
      </c>
      <c r="I2119" s="12">
        <f t="shared" si="102"/>
        <v>0.22446250000000001</v>
      </c>
      <c r="J2119" s="12">
        <f t="shared" si="103"/>
        <v>0.21861049917491748</v>
      </c>
    </row>
    <row r="2120" spans="1:10" ht="15" customHeight="1">
      <c r="A2120" s="7">
        <v>44854</v>
      </c>
      <c r="B2120" s="10">
        <v>203</v>
      </c>
      <c r="C2120">
        <v>52287</v>
      </c>
      <c r="D2120" s="5">
        <v>5.2</v>
      </c>
      <c r="F2120" s="8">
        <v>99.251603706343545</v>
      </c>
      <c r="G2120" s="8">
        <v>100</v>
      </c>
      <c r="H2120" s="2">
        <f t="shared" si="101"/>
        <v>10650524</v>
      </c>
      <c r="I2120" s="12">
        <f t="shared" si="102"/>
        <v>0.21786249999999999</v>
      </c>
      <c r="J2120" s="12">
        <f t="shared" si="103"/>
        <v>0.21860681444991789</v>
      </c>
    </row>
    <row r="2121" spans="1:10" ht="15" customHeight="1">
      <c r="A2121" s="7">
        <v>44855</v>
      </c>
      <c r="B2121" s="10">
        <v>204</v>
      </c>
      <c r="C2121">
        <v>50021</v>
      </c>
      <c r="D2121" s="5">
        <v>4.99</v>
      </c>
      <c r="F2121" s="8">
        <v>99.360649498921731</v>
      </c>
      <c r="G2121" s="8">
        <v>100</v>
      </c>
      <c r="H2121" s="2">
        <f t="shared" si="101"/>
        <v>10700545</v>
      </c>
      <c r="I2121" s="12">
        <f t="shared" si="102"/>
        <v>0.20842083333333333</v>
      </c>
      <c r="J2121" s="12">
        <f t="shared" si="103"/>
        <v>0.21855688316993463</v>
      </c>
    </row>
    <row r="2122" spans="1:10" ht="15" customHeight="1">
      <c r="A2122" s="7">
        <v>44856</v>
      </c>
      <c r="B2122" s="10">
        <v>205</v>
      </c>
      <c r="C2122">
        <v>53175</v>
      </c>
      <c r="D2122" s="5">
        <v>5.21</v>
      </c>
      <c r="F2122" s="8">
        <v>99.324510269945705</v>
      </c>
      <c r="G2122" s="8">
        <v>100</v>
      </c>
      <c r="H2122" s="2">
        <f t="shared" si="101"/>
        <v>10753720</v>
      </c>
      <c r="I2122" s="12">
        <f t="shared" si="102"/>
        <v>0.2215625</v>
      </c>
      <c r="J2122" s="12">
        <f t="shared" si="103"/>
        <v>0.21857154471544715</v>
      </c>
    </row>
    <row r="2123" spans="1:10" ht="15" customHeight="1">
      <c r="A2123" s="7">
        <v>44857</v>
      </c>
      <c r="B2123" s="10">
        <v>206</v>
      </c>
      <c r="C2123">
        <v>52288</v>
      </c>
      <c r="D2123" s="5">
        <v>5.14</v>
      </c>
      <c r="F2123" s="8">
        <v>99.347050337863479</v>
      </c>
      <c r="G2123" s="8">
        <v>100</v>
      </c>
      <c r="H2123" s="2">
        <f t="shared" si="101"/>
        <v>10806008</v>
      </c>
      <c r="I2123" s="12">
        <f t="shared" si="102"/>
        <v>0.21786666666666665</v>
      </c>
      <c r="J2123" s="12">
        <f t="shared" si="103"/>
        <v>0.21856812297734629</v>
      </c>
    </row>
    <row r="2124" spans="1:10" ht="15" customHeight="1">
      <c r="A2124" s="7">
        <v>44858</v>
      </c>
      <c r="B2124" s="10">
        <v>207</v>
      </c>
      <c r="C2124">
        <v>51189</v>
      </c>
      <c r="D2124" s="5">
        <v>5.0599999999999996</v>
      </c>
      <c r="F2124" s="8">
        <v>99.365957982136123</v>
      </c>
      <c r="G2124" s="8">
        <v>100</v>
      </c>
      <c r="H2124" s="2">
        <f t="shared" si="101"/>
        <v>10857197</v>
      </c>
      <c r="I2124" s="12">
        <f t="shared" si="102"/>
        <v>0.21328749999999999</v>
      </c>
      <c r="J2124" s="12">
        <f t="shared" si="103"/>
        <v>0.21854261272141706</v>
      </c>
    </row>
    <row r="2125" spans="1:10" ht="15" customHeight="1">
      <c r="A2125" s="7">
        <v>44859</v>
      </c>
      <c r="B2125" s="10">
        <v>208</v>
      </c>
      <c r="C2125">
        <v>52078</v>
      </c>
      <c r="D2125" s="5">
        <v>5.04</v>
      </c>
      <c r="F2125" s="8">
        <v>99.368690031816016</v>
      </c>
      <c r="G2125" s="8">
        <v>100</v>
      </c>
      <c r="H2125" s="2">
        <f t="shared" si="101"/>
        <v>10909275</v>
      </c>
      <c r="I2125" s="12">
        <f t="shared" si="102"/>
        <v>0.21699166666666667</v>
      </c>
      <c r="J2125" s="12">
        <f t="shared" si="103"/>
        <v>0.21853515625</v>
      </c>
    </row>
    <row r="2126" spans="1:10" ht="15" customHeight="1">
      <c r="A2126" s="7">
        <v>44860</v>
      </c>
      <c r="B2126" s="10">
        <v>209</v>
      </c>
      <c r="C2126">
        <v>52110</v>
      </c>
      <c r="D2126" s="5">
        <v>5.05</v>
      </c>
      <c r="F2126" s="8">
        <v>99.394718922599679</v>
      </c>
      <c r="G2126" s="8">
        <v>100</v>
      </c>
      <c r="H2126" s="2">
        <f t="shared" si="101"/>
        <v>10961385</v>
      </c>
      <c r="I2126" s="12">
        <f t="shared" si="102"/>
        <v>0.21712500000000001</v>
      </c>
      <c r="J2126" s="12">
        <f t="shared" si="103"/>
        <v>0.21852840909090909</v>
      </c>
    </row>
    <row r="2127" spans="1:10" ht="15" customHeight="1">
      <c r="A2127" s="7">
        <v>44861</v>
      </c>
      <c r="B2127" s="10">
        <v>210</v>
      </c>
      <c r="C2127">
        <v>51245</v>
      </c>
      <c r="D2127" s="5">
        <v>5.01</v>
      </c>
      <c r="F2127" s="8">
        <v>99.427437784083779</v>
      </c>
      <c r="G2127" s="8">
        <v>100</v>
      </c>
      <c r="H2127" s="2">
        <f t="shared" si="101"/>
        <v>11012630</v>
      </c>
      <c r="I2127" s="12">
        <f t="shared" si="102"/>
        <v>0.21352083333333333</v>
      </c>
      <c r="J2127" s="12">
        <f t="shared" si="103"/>
        <v>0.21850456349206349</v>
      </c>
    </row>
    <row r="2128" spans="1:10" ht="15" customHeight="1">
      <c r="A2128" s="7">
        <v>44862</v>
      </c>
      <c r="B2128" s="10">
        <v>211</v>
      </c>
      <c r="C2128">
        <v>51446</v>
      </c>
      <c r="D2128" s="5">
        <v>5.05</v>
      </c>
      <c r="F2128" s="8">
        <v>99.367501631444199</v>
      </c>
      <c r="G2128" s="8">
        <v>100</v>
      </c>
      <c r="H2128" s="2">
        <f t="shared" si="101"/>
        <v>11064076</v>
      </c>
      <c r="I2128" s="12">
        <f t="shared" si="102"/>
        <v>0.21435833333333335</v>
      </c>
      <c r="J2128" s="12">
        <f t="shared" si="103"/>
        <v>0.21848491311216431</v>
      </c>
    </row>
    <row r="2129" spans="1:10" ht="15" customHeight="1">
      <c r="A2129" s="7">
        <v>44863</v>
      </c>
      <c r="B2129" s="10">
        <v>212</v>
      </c>
      <c r="C2129">
        <v>49746</v>
      </c>
      <c r="D2129" s="5">
        <v>4.95</v>
      </c>
      <c r="F2129" s="8">
        <v>99.386973180076637</v>
      </c>
      <c r="G2129" s="8">
        <v>100</v>
      </c>
      <c r="H2129" s="2">
        <f t="shared" si="101"/>
        <v>11113822</v>
      </c>
      <c r="I2129" s="12">
        <f t="shared" si="102"/>
        <v>0.20727499999999999</v>
      </c>
      <c r="J2129" s="12">
        <f t="shared" si="103"/>
        <v>0.21843203616352203</v>
      </c>
    </row>
    <row r="2130" spans="1:10" ht="15" customHeight="1">
      <c r="A2130" s="7">
        <v>44864</v>
      </c>
      <c r="B2130" s="10">
        <v>213</v>
      </c>
      <c r="C2130">
        <v>52348</v>
      </c>
      <c r="D2130" s="5">
        <v>5.08</v>
      </c>
      <c r="F2130" s="8">
        <v>99.370441458733211</v>
      </c>
      <c r="G2130" s="8">
        <v>100</v>
      </c>
      <c r="H2130" s="2">
        <f t="shared" si="101"/>
        <v>11166170</v>
      </c>
      <c r="I2130" s="12">
        <f t="shared" si="102"/>
        <v>0.21811666666666665</v>
      </c>
      <c r="J2130" s="12">
        <f t="shared" si="103"/>
        <v>0.21843055555555554</v>
      </c>
    </row>
    <row r="2131" spans="1:10" ht="15" customHeight="1">
      <c r="A2131" s="7">
        <v>44865</v>
      </c>
      <c r="B2131" s="10">
        <v>214</v>
      </c>
      <c r="C2131">
        <v>52716</v>
      </c>
      <c r="D2131" s="5">
        <v>5.08</v>
      </c>
      <c r="F2131" s="8">
        <v>99.401626348897864</v>
      </c>
      <c r="G2131" s="8">
        <v>100</v>
      </c>
      <c r="H2131" s="2">
        <f t="shared" si="101"/>
        <v>11218886</v>
      </c>
      <c r="I2131" s="12">
        <f t="shared" si="102"/>
        <v>0.21965000000000001</v>
      </c>
      <c r="J2131" s="12">
        <f t="shared" si="103"/>
        <v>0.218436253894081</v>
      </c>
    </row>
    <row r="2132" spans="1:10" ht="15" customHeight="1">
      <c r="A2132" s="7">
        <v>44866</v>
      </c>
      <c r="B2132" s="10">
        <v>215</v>
      </c>
      <c r="C2132">
        <v>53441</v>
      </c>
      <c r="D2132" s="5">
        <v>4.9000000000000004</v>
      </c>
      <c r="F2132" s="8">
        <v>99.370538113149607</v>
      </c>
      <c r="G2132" s="8">
        <v>100</v>
      </c>
      <c r="H2132" s="2">
        <f t="shared" si="101"/>
        <v>11272327</v>
      </c>
      <c r="I2132" s="12">
        <f t="shared" si="102"/>
        <v>0.22267083333333335</v>
      </c>
      <c r="J2132" s="12">
        <f t="shared" si="103"/>
        <v>0.21845594961240311</v>
      </c>
    </row>
    <row r="2133" spans="1:10" ht="15" customHeight="1">
      <c r="A2133" s="7">
        <v>44867</v>
      </c>
      <c r="B2133" s="10">
        <v>216</v>
      </c>
      <c r="C2133">
        <v>47915</v>
      </c>
      <c r="D2133" s="5">
        <v>4.5599999999999996</v>
      </c>
      <c r="F2133" s="8">
        <v>99.378411158277743</v>
      </c>
      <c r="G2133" s="8">
        <v>100</v>
      </c>
      <c r="H2133" s="2">
        <f t="shared" si="101"/>
        <v>11320242</v>
      </c>
      <c r="I2133" s="12">
        <f t="shared" si="102"/>
        <v>0.19964583333333333</v>
      </c>
      <c r="J2133" s="12">
        <f t="shared" si="103"/>
        <v>0.21836886574074074</v>
      </c>
    </row>
    <row r="2134" spans="1:10" ht="15" customHeight="1">
      <c r="A2134" s="7">
        <v>44868</v>
      </c>
      <c r="B2134" s="10">
        <v>217</v>
      </c>
      <c r="C2134">
        <v>50825</v>
      </c>
      <c r="D2134" s="5">
        <v>4.6500000000000004</v>
      </c>
      <c r="F2134" s="8">
        <v>99.39677273412758</v>
      </c>
      <c r="G2134" s="8">
        <v>100</v>
      </c>
      <c r="H2134" s="2">
        <f t="shared" si="101"/>
        <v>11371067</v>
      </c>
      <c r="I2134" s="12">
        <f t="shared" si="102"/>
        <v>0.21177083333333332</v>
      </c>
      <c r="J2134" s="12">
        <f t="shared" si="103"/>
        <v>0.21833846006144395</v>
      </c>
    </row>
    <row r="2135" spans="1:10" ht="15" customHeight="1">
      <c r="A2135" s="7">
        <v>44869</v>
      </c>
      <c r="B2135" s="10">
        <v>218</v>
      </c>
      <c r="C2135">
        <v>51703</v>
      </c>
      <c r="D2135" s="5">
        <v>5.03</v>
      </c>
      <c r="F2135" s="8">
        <v>99.409463722397476</v>
      </c>
      <c r="G2135" s="8">
        <v>100</v>
      </c>
      <c r="H2135" s="2">
        <f t="shared" si="101"/>
        <v>11422770</v>
      </c>
      <c r="I2135" s="12">
        <f t="shared" si="102"/>
        <v>0.21542916666666667</v>
      </c>
      <c r="J2135" s="12">
        <f t="shared" si="103"/>
        <v>0.21832511467889909</v>
      </c>
    </row>
    <row r="2136" spans="1:10" ht="15" customHeight="1">
      <c r="A2136" s="7">
        <v>44870</v>
      </c>
      <c r="B2136" s="10">
        <v>219</v>
      </c>
      <c r="C2136">
        <v>52753</v>
      </c>
      <c r="D2136" s="5">
        <v>5.0599999999999996</v>
      </c>
      <c r="F2136" s="8">
        <v>99.384646171548638</v>
      </c>
      <c r="G2136" s="8">
        <v>100</v>
      </c>
      <c r="H2136" s="2">
        <f t="shared" si="101"/>
        <v>11475523</v>
      </c>
      <c r="I2136" s="12">
        <f t="shared" si="102"/>
        <v>0.21980416666666666</v>
      </c>
      <c r="J2136" s="12">
        <f t="shared" si="103"/>
        <v>0.21833186834094367</v>
      </c>
    </row>
    <row r="2137" spans="1:10" ht="15" customHeight="1">
      <c r="A2137" s="7">
        <v>44871</v>
      </c>
      <c r="B2137" s="10">
        <v>220</v>
      </c>
      <c r="C2137">
        <v>43026</v>
      </c>
      <c r="D2137" s="5">
        <v>4.16</v>
      </c>
      <c r="F2137" s="8">
        <v>99.395692371261816</v>
      </c>
      <c r="G2137" s="8">
        <v>100</v>
      </c>
      <c r="H2137" s="2">
        <f t="shared" si="101"/>
        <v>11518549</v>
      </c>
      <c r="I2137" s="12">
        <f t="shared" si="102"/>
        <v>0.17927499999999999</v>
      </c>
      <c r="J2137" s="12">
        <f t="shared" si="103"/>
        <v>0.21815433712121213</v>
      </c>
    </row>
    <row r="2138" spans="1:10" ht="15" customHeight="1">
      <c r="A2138" s="7">
        <v>44872</v>
      </c>
      <c r="B2138" s="10">
        <v>221</v>
      </c>
      <c r="C2138">
        <v>42537</v>
      </c>
      <c r="D2138" s="5">
        <v>4.0599999999999996</v>
      </c>
      <c r="F2138" s="8">
        <v>100</v>
      </c>
      <c r="G2138" s="8">
        <v>100</v>
      </c>
      <c r="H2138" s="2">
        <f t="shared" si="101"/>
        <v>11561086</v>
      </c>
      <c r="I2138" s="12">
        <f t="shared" si="102"/>
        <v>0.17723749999999999</v>
      </c>
      <c r="J2138" s="12">
        <f t="shared" si="103"/>
        <v>0.21796919306184012</v>
      </c>
    </row>
    <row r="2139" spans="1:10" ht="15" customHeight="1">
      <c r="A2139" s="7">
        <v>44873</v>
      </c>
      <c r="B2139" s="10">
        <v>222</v>
      </c>
      <c r="C2139">
        <v>35427</v>
      </c>
      <c r="D2139" s="5">
        <v>3.41</v>
      </c>
      <c r="F2139" s="8">
        <v>100</v>
      </c>
      <c r="G2139" s="8">
        <v>100</v>
      </c>
      <c r="H2139" s="2">
        <f t="shared" si="101"/>
        <v>11596513</v>
      </c>
      <c r="I2139" s="12">
        <f t="shared" si="102"/>
        <v>0.14761250000000001</v>
      </c>
      <c r="J2139" s="12">
        <f t="shared" si="103"/>
        <v>0.21765227102102103</v>
      </c>
    </row>
    <row r="2140" spans="1:10" ht="15" customHeight="1">
      <c r="A2140" s="7">
        <v>44874</v>
      </c>
      <c r="B2140" s="10">
        <v>223</v>
      </c>
      <c r="C2140">
        <v>41458</v>
      </c>
      <c r="D2140" s="5">
        <v>3.88</v>
      </c>
      <c r="F2140" s="8">
        <v>100</v>
      </c>
      <c r="G2140" s="8">
        <v>90.036808457642607</v>
      </c>
      <c r="H2140" s="2">
        <f t="shared" si="101"/>
        <v>11637971</v>
      </c>
      <c r="I2140" s="12">
        <f t="shared" si="102"/>
        <v>0.17274166666666665</v>
      </c>
      <c r="J2140" s="12">
        <f t="shared" si="103"/>
        <v>0.21745087817638267</v>
      </c>
    </row>
    <row r="2141" spans="1:10" ht="15" customHeight="1">
      <c r="A2141" s="7">
        <v>44875</v>
      </c>
      <c r="B2141" s="10">
        <v>224</v>
      </c>
      <c r="C2141">
        <v>46062</v>
      </c>
      <c r="D2141" s="5">
        <v>4.21</v>
      </c>
      <c r="F2141" s="8">
        <v>100</v>
      </c>
      <c r="G2141" s="8">
        <v>95.834953073804627</v>
      </c>
      <c r="H2141" s="2">
        <f t="shared" si="101"/>
        <v>11684033</v>
      </c>
      <c r="I2141" s="12">
        <f t="shared" si="102"/>
        <v>0.19192500000000001</v>
      </c>
      <c r="J2141" s="12">
        <f t="shared" si="103"/>
        <v>0.21733692336309524</v>
      </c>
    </row>
    <row r="2142" spans="1:10" ht="15" customHeight="1">
      <c r="A2142" s="7">
        <v>44876</v>
      </c>
      <c r="B2142" s="10">
        <v>225</v>
      </c>
      <c r="C2142">
        <v>39884</v>
      </c>
      <c r="D2142" s="5">
        <v>3.86</v>
      </c>
      <c r="F2142" s="8">
        <v>100</v>
      </c>
      <c r="G2142" s="8">
        <v>96.624567522713846</v>
      </c>
      <c r="H2142" s="2">
        <f t="shared" si="101"/>
        <v>11723917</v>
      </c>
      <c r="I2142" s="12">
        <f t="shared" si="102"/>
        <v>0.16618333333333332</v>
      </c>
      <c r="J2142" s="12">
        <f t="shared" si="103"/>
        <v>0.21710957407407408</v>
      </c>
    </row>
    <row r="2143" spans="1:10" ht="15" customHeight="1">
      <c r="A2143" s="7">
        <v>44877</v>
      </c>
      <c r="B2143" s="10">
        <v>226</v>
      </c>
      <c r="C2143">
        <v>49322</v>
      </c>
      <c r="D2143" s="5">
        <v>4.41</v>
      </c>
      <c r="F2143" s="8">
        <v>99.058681052515681</v>
      </c>
      <c r="G2143" s="8">
        <v>95.760795839927653</v>
      </c>
      <c r="H2143" s="2">
        <f t="shared" si="101"/>
        <v>11773239</v>
      </c>
      <c r="I2143" s="12">
        <f t="shared" si="102"/>
        <v>0.20550833333333332</v>
      </c>
      <c r="J2143" s="12">
        <f t="shared" si="103"/>
        <v>0.21705824115044248</v>
      </c>
    </row>
    <row r="2144" spans="1:10" ht="15" customHeight="1">
      <c r="A2144" s="7">
        <v>44878</v>
      </c>
      <c r="B2144" s="10">
        <v>227</v>
      </c>
      <c r="C2144">
        <v>47851</v>
      </c>
      <c r="D2144" s="5">
        <v>4.46</v>
      </c>
      <c r="F2144" s="8">
        <v>99.020286165001522</v>
      </c>
      <c r="G2144" s="8">
        <v>94.939698068651424</v>
      </c>
      <c r="H2144" s="2">
        <f t="shared" si="101"/>
        <v>11821090</v>
      </c>
      <c r="I2144" s="12">
        <f t="shared" si="102"/>
        <v>0.19937916666666666</v>
      </c>
      <c r="J2144" s="12">
        <f t="shared" si="103"/>
        <v>0.21698035976505139</v>
      </c>
    </row>
    <row r="2145" spans="1:10" ht="15" customHeight="1">
      <c r="A2145" s="7">
        <v>44879</v>
      </c>
      <c r="B2145" s="10">
        <v>228</v>
      </c>
      <c r="C2145">
        <v>44780</v>
      </c>
      <c r="D2145" s="5">
        <v>4.24</v>
      </c>
      <c r="F2145" s="8">
        <v>99.033709113122669</v>
      </c>
      <c r="G2145" s="8">
        <v>96.637336770722413</v>
      </c>
      <c r="H2145" s="2">
        <f t="shared" si="101"/>
        <v>11865870</v>
      </c>
      <c r="I2145" s="12">
        <f t="shared" si="102"/>
        <v>0.18658333333333332</v>
      </c>
      <c r="J2145" s="12">
        <f t="shared" si="103"/>
        <v>0.21684703947368422</v>
      </c>
    </row>
    <row r="2146" spans="1:10" ht="15" customHeight="1">
      <c r="A2146" s="7">
        <v>44880</v>
      </c>
      <c r="B2146" s="10">
        <v>229</v>
      </c>
      <c r="C2146">
        <v>41902</v>
      </c>
      <c r="D2146" s="5">
        <v>3.77</v>
      </c>
      <c r="F2146" s="8">
        <v>100</v>
      </c>
      <c r="G2146" s="8">
        <v>94.974453471815053</v>
      </c>
      <c r="H2146" s="2">
        <f t="shared" si="101"/>
        <v>11907772</v>
      </c>
      <c r="I2146" s="12">
        <f t="shared" si="102"/>
        <v>0.17459166666666667</v>
      </c>
      <c r="J2146" s="12">
        <f t="shared" si="103"/>
        <v>0.21666251819505095</v>
      </c>
    </row>
    <row r="2147" spans="1:10" ht="15" customHeight="1">
      <c r="A2147" s="7">
        <v>44881</v>
      </c>
      <c r="B2147" s="10">
        <v>230</v>
      </c>
      <c r="C2147">
        <v>47289</v>
      </c>
      <c r="D2147" s="5">
        <v>4.32</v>
      </c>
      <c r="F2147" s="8">
        <v>99.576079583992765</v>
      </c>
      <c r="G2147" s="8">
        <v>100</v>
      </c>
      <c r="H2147" s="2">
        <f t="shared" si="101"/>
        <v>11955061</v>
      </c>
      <c r="I2147" s="12">
        <f t="shared" si="102"/>
        <v>0.1970375</v>
      </c>
      <c r="J2147" s="12">
        <f t="shared" si="103"/>
        <v>0.21657719202898551</v>
      </c>
    </row>
    <row r="2148" spans="1:10" ht="15" customHeight="1">
      <c r="A2148" s="7">
        <v>44882</v>
      </c>
      <c r="B2148" s="10">
        <v>231</v>
      </c>
      <c r="C2148">
        <v>48460</v>
      </c>
      <c r="D2148" s="5">
        <v>4.4000000000000004</v>
      </c>
      <c r="F2148" s="8">
        <v>99.628911191701107</v>
      </c>
      <c r="G2148" s="8">
        <v>94.93784802294843</v>
      </c>
      <c r="H2148" s="2">
        <f t="shared" si="101"/>
        <v>12003521</v>
      </c>
      <c r="I2148" s="12">
        <f t="shared" si="102"/>
        <v>0.20191666666666666</v>
      </c>
      <c r="J2148" s="12">
        <f t="shared" si="103"/>
        <v>0.21651372655122655</v>
      </c>
    </row>
    <row r="2149" spans="1:10" ht="15" customHeight="1">
      <c r="A2149" s="7">
        <v>44883</v>
      </c>
      <c r="B2149" s="10">
        <v>232</v>
      </c>
      <c r="C2149">
        <v>47862</v>
      </c>
      <c r="D2149" s="5">
        <v>4.3899999999999997</v>
      </c>
      <c r="F2149" s="8">
        <v>98.739001289020905</v>
      </c>
      <c r="G2149" s="8">
        <v>100</v>
      </c>
      <c r="H2149" s="2">
        <f t="shared" si="101"/>
        <v>12051383</v>
      </c>
      <c r="I2149" s="12">
        <f t="shared" si="102"/>
        <v>0.19942499999999999</v>
      </c>
      <c r="J2149" s="12">
        <f t="shared" si="103"/>
        <v>0.21644006824712644</v>
      </c>
    </row>
    <row r="2150" spans="1:10" ht="15" customHeight="1">
      <c r="A2150" s="7">
        <v>44884</v>
      </c>
      <c r="B2150" s="10">
        <v>233</v>
      </c>
      <c r="C2150">
        <v>48505</v>
      </c>
      <c r="D2150" s="5">
        <v>4.3100000000000005</v>
      </c>
      <c r="F2150" s="8">
        <v>99.58120445598459</v>
      </c>
      <c r="G2150" s="8">
        <v>100</v>
      </c>
      <c r="H2150" s="2">
        <f t="shared" si="101"/>
        <v>12099888</v>
      </c>
      <c r="I2150" s="12">
        <f t="shared" si="102"/>
        <v>0.20210416666666667</v>
      </c>
      <c r="J2150" s="12">
        <f t="shared" si="103"/>
        <v>0.21637854077253219</v>
      </c>
    </row>
    <row r="2151" spans="1:10" ht="15" customHeight="1">
      <c r="A2151" s="7">
        <v>44885</v>
      </c>
      <c r="B2151" s="10">
        <v>234</v>
      </c>
      <c r="C2151">
        <v>47267</v>
      </c>
      <c r="D2151" s="5">
        <v>4.0599999999999996</v>
      </c>
      <c r="F2151" s="8">
        <v>99.629317607413654</v>
      </c>
      <c r="G2151" s="8">
        <v>100</v>
      </c>
      <c r="H2151" s="2">
        <f t="shared" si="101"/>
        <v>12147155</v>
      </c>
      <c r="I2151" s="12">
        <f t="shared" si="102"/>
        <v>0.19694583333333332</v>
      </c>
      <c r="J2151" s="12">
        <f t="shared" si="103"/>
        <v>0.21629549501424503</v>
      </c>
    </row>
    <row r="2152" spans="1:10" ht="15" customHeight="1">
      <c r="A2152" s="7">
        <v>44886</v>
      </c>
      <c r="B2152" s="10">
        <v>235</v>
      </c>
      <c r="C2152">
        <v>47205</v>
      </c>
      <c r="D2152" s="5">
        <v>4.1100000000000003</v>
      </c>
      <c r="F2152" s="8">
        <v>99.595027841835872</v>
      </c>
      <c r="G2152" s="8">
        <v>100</v>
      </c>
      <c r="H2152" s="2">
        <f t="shared" si="101"/>
        <v>12194360</v>
      </c>
      <c r="I2152" s="12">
        <f t="shared" si="102"/>
        <v>0.19668749999999999</v>
      </c>
      <c r="J2152" s="12">
        <f t="shared" si="103"/>
        <v>0.21621205673758864</v>
      </c>
    </row>
    <row r="2153" spans="1:10" ht="15" customHeight="1">
      <c r="A2153" s="7">
        <v>44887</v>
      </c>
      <c r="B2153" s="10">
        <v>236</v>
      </c>
      <c r="C2153">
        <v>49940</v>
      </c>
      <c r="D2153" s="5">
        <v>4.3600000000000003</v>
      </c>
      <c r="F2153" s="8">
        <v>99.583472175941353</v>
      </c>
      <c r="G2153" s="8">
        <v>100</v>
      </c>
      <c r="H2153" s="2">
        <f t="shared" si="101"/>
        <v>12244300</v>
      </c>
      <c r="I2153" s="12">
        <f t="shared" si="102"/>
        <v>0.20808333333333334</v>
      </c>
      <c r="J2153" s="12">
        <f t="shared" si="103"/>
        <v>0.21617761299435029</v>
      </c>
    </row>
    <row r="2154" spans="1:10" ht="15" customHeight="1">
      <c r="A2154" s="7">
        <v>44888</v>
      </c>
      <c r="B2154" s="10">
        <v>237</v>
      </c>
      <c r="C2154">
        <v>51087</v>
      </c>
      <c r="D2154" s="5">
        <v>4.5999999999999996</v>
      </c>
      <c r="F2154" s="8">
        <v>99.415774099318398</v>
      </c>
      <c r="G2154" s="8">
        <v>100</v>
      </c>
      <c r="H2154" s="2">
        <f t="shared" si="101"/>
        <v>12295387</v>
      </c>
      <c r="I2154" s="12">
        <f t="shared" si="102"/>
        <v>0.21286250000000001</v>
      </c>
      <c r="J2154" s="12">
        <f t="shared" si="103"/>
        <v>0.21616362517580873</v>
      </c>
    </row>
    <row r="2155" spans="1:10" ht="15" customHeight="1">
      <c r="A2155" s="7">
        <v>44889</v>
      </c>
      <c r="B2155" s="10">
        <v>238</v>
      </c>
      <c r="C2155">
        <v>51349</v>
      </c>
      <c r="D2155" s="5">
        <v>4.6500000000000004</v>
      </c>
      <c r="F2155" s="8">
        <v>99.279912919701914</v>
      </c>
      <c r="G2155" s="8">
        <v>100</v>
      </c>
      <c r="H2155" s="2">
        <f t="shared" si="101"/>
        <v>12346736</v>
      </c>
      <c r="I2155" s="12">
        <f t="shared" si="102"/>
        <v>0.21395416666666667</v>
      </c>
      <c r="J2155" s="12">
        <f t="shared" si="103"/>
        <v>0.21615434173669468</v>
      </c>
    </row>
    <row r="2156" spans="1:10" ht="15" customHeight="1">
      <c r="A2156" s="7">
        <v>44890</v>
      </c>
      <c r="B2156" s="10">
        <v>239</v>
      </c>
      <c r="C2156">
        <v>52677</v>
      </c>
      <c r="D2156" s="5">
        <v>4.75</v>
      </c>
      <c r="F2156" s="8">
        <v>99.229652785530874</v>
      </c>
      <c r="G2156" s="8">
        <v>100</v>
      </c>
      <c r="H2156" s="2">
        <f t="shared" si="101"/>
        <v>12399413</v>
      </c>
      <c r="I2156" s="12">
        <f t="shared" si="102"/>
        <v>0.2194875</v>
      </c>
      <c r="J2156" s="12">
        <f t="shared" si="103"/>
        <v>0.2161682880055788</v>
      </c>
    </row>
    <row r="2157" spans="1:10" ht="15" customHeight="1">
      <c r="A2157" s="7">
        <v>44891</v>
      </c>
      <c r="B2157" s="10">
        <v>240</v>
      </c>
      <c r="C2157">
        <v>50998</v>
      </c>
      <c r="D2157" s="5">
        <v>4.4400000000000004</v>
      </c>
      <c r="F2157" s="8">
        <v>99.174713676173369</v>
      </c>
      <c r="G2157" s="8">
        <v>100</v>
      </c>
      <c r="H2157" s="2">
        <f t="shared" si="101"/>
        <v>12450411</v>
      </c>
      <c r="I2157" s="12">
        <f t="shared" si="102"/>
        <v>0.21249166666666666</v>
      </c>
      <c r="J2157" s="12">
        <f t="shared" si="103"/>
        <v>0.21615296875000001</v>
      </c>
    </row>
    <row r="2158" spans="1:10" ht="15" customHeight="1">
      <c r="A2158" s="7">
        <v>44892</v>
      </c>
      <c r="B2158" s="10">
        <v>241</v>
      </c>
      <c r="C2158">
        <v>51278</v>
      </c>
      <c r="D2158" s="5">
        <v>4.49</v>
      </c>
      <c r="F2158" s="8">
        <v>99.14544235924933</v>
      </c>
      <c r="G2158" s="8">
        <v>100</v>
      </c>
      <c r="H2158" s="2">
        <f t="shared" si="101"/>
        <v>12501689</v>
      </c>
      <c r="I2158" s="12">
        <f t="shared" si="102"/>
        <v>0.21365833333333334</v>
      </c>
      <c r="J2158" s="12">
        <f t="shared" si="103"/>
        <v>0.21614261756569847</v>
      </c>
    </row>
    <row r="2159" spans="1:10" ht="15" customHeight="1">
      <c r="A2159" s="7">
        <v>44893</v>
      </c>
      <c r="B2159" s="10">
        <v>242</v>
      </c>
      <c r="C2159">
        <v>51339</v>
      </c>
      <c r="D2159" s="5">
        <v>4.38</v>
      </c>
      <c r="F2159" s="8">
        <v>99.026518966096006</v>
      </c>
      <c r="G2159" s="8">
        <v>100</v>
      </c>
      <c r="H2159" s="2">
        <f t="shared" si="101"/>
        <v>12553028</v>
      </c>
      <c r="I2159" s="12">
        <f t="shared" si="102"/>
        <v>0.21391250000000001</v>
      </c>
      <c r="J2159" s="12">
        <f t="shared" si="103"/>
        <v>0.21613340220385674</v>
      </c>
    </row>
    <row r="2160" spans="1:10" ht="15" customHeight="1">
      <c r="A2160" s="7">
        <v>44894</v>
      </c>
      <c r="B2160" s="10">
        <v>243</v>
      </c>
      <c r="C2160">
        <v>47750</v>
      </c>
      <c r="D2160" s="5">
        <v>4.09</v>
      </c>
      <c r="F2160" s="8">
        <v>99.31302186601134</v>
      </c>
      <c r="G2160" s="8">
        <v>100</v>
      </c>
      <c r="H2160" s="2">
        <f t="shared" si="101"/>
        <v>12600778</v>
      </c>
      <c r="I2160" s="12">
        <f t="shared" si="102"/>
        <v>0.19895833333333332</v>
      </c>
      <c r="J2160" s="12">
        <f t="shared" si="103"/>
        <v>0.21606272290809328</v>
      </c>
    </row>
    <row r="2161" spans="1:10" ht="15" customHeight="1">
      <c r="A2161" s="7">
        <v>44895</v>
      </c>
      <c r="B2161" s="10">
        <v>244</v>
      </c>
      <c r="C2161">
        <v>48437</v>
      </c>
      <c r="D2161" s="5">
        <v>4.08</v>
      </c>
      <c r="F2161" s="8">
        <v>99.144606267296567</v>
      </c>
      <c r="G2161" s="8">
        <v>100</v>
      </c>
      <c r="H2161" s="2">
        <f t="shared" si="101"/>
        <v>12649215</v>
      </c>
      <c r="I2161" s="12">
        <f t="shared" si="102"/>
        <v>0.20182083333333334</v>
      </c>
      <c r="J2161" s="12">
        <f t="shared" si="103"/>
        <v>0.21600435450819672</v>
      </c>
    </row>
    <row r="2162" spans="1:10" ht="15" customHeight="1">
      <c r="A2162" s="7">
        <v>44896</v>
      </c>
      <c r="B2162" s="10">
        <v>245</v>
      </c>
      <c r="C2162">
        <v>48376</v>
      </c>
      <c r="D2162" s="5">
        <v>4.07</v>
      </c>
      <c r="F2162" s="8">
        <v>99.306319262329751</v>
      </c>
      <c r="G2162" s="8">
        <v>100</v>
      </c>
      <c r="H2162" s="2">
        <f t="shared" si="101"/>
        <v>12697591</v>
      </c>
      <c r="I2162" s="12">
        <f t="shared" si="102"/>
        <v>0.20156666666666667</v>
      </c>
      <c r="J2162" s="12">
        <f t="shared" si="103"/>
        <v>0.21594542517006804</v>
      </c>
    </row>
    <row r="2163" spans="1:10" ht="15" customHeight="1">
      <c r="A2163" s="7">
        <v>44897</v>
      </c>
      <c r="B2163" s="10">
        <v>246</v>
      </c>
      <c r="C2163">
        <v>46630</v>
      </c>
      <c r="D2163" s="5">
        <v>3.95</v>
      </c>
      <c r="F2163" s="8">
        <v>99.254447896074566</v>
      </c>
      <c r="G2163" s="8">
        <v>100</v>
      </c>
      <c r="H2163" s="2">
        <f t="shared" si="101"/>
        <v>12744221</v>
      </c>
      <c r="I2163" s="12">
        <f t="shared" si="102"/>
        <v>0.19429166666666667</v>
      </c>
      <c r="J2163" s="12">
        <f t="shared" si="103"/>
        <v>0.2158574017615176</v>
      </c>
    </row>
    <row r="2164" spans="1:10" ht="15" customHeight="1">
      <c r="A2164" s="7">
        <v>44898</v>
      </c>
      <c r="B2164" s="10">
        <v>247</v>
      </c>
      <c r="C2164">
        <v>45508</v>
      </c>
      <c r="D2164" s="5">
        <v>3.83</v>
      </c>
      <c r="F2164" s="8">
        <v>99.221745020609347</v>
      </c>
      <c r="G2164" s="8">
        <v>100</v>
      </c>
      <c r="H2164" s="2">
        <f t="shared" si="101"/>
        <v>12789729</v>
      </c>
      <c r="I2164" s="12">
        <f t="shared" si="102"/>
        <v>0.18961666666666666</v>
      </c>
      <c r="J2164" s="12">
        <f t="shared" si="103"/>
        <v>0.21575116396761135</v>
      </c>
    </row>
    <row r="2165" spans="1:10" ht="15" customHeight="1">
      <c r="A2165" s="7">
        <v>44899</v>
      </c>
      <c r="B2165" s="10">
        <v>248</v>
      </c>
      <c r="C2165">
        <v>45190</v>
      </c>
      <c r="D2165" s="5">
        <v>3.79</v>
      </c>
      <c r="F2165" s="8">
        <v>99.291433838354749</v>
      </c>
      <c r="G2165" s="8">
        <v>100</v>
      </c>
      <c r="H2165" s="2">
        <f t="shared" si="101"/>
        <v>12834919</v>
      </c>
      <c r="I2165" s="12">
        <f t="shared" si="102"/>
        <v>0.18829166666666666</v>
      </c>
      <c r="J2165" s="12">
        <f t="shared" si="103"/>
        <v>0.21564044018817205</v>
      </c>
    </row>
    <row r="2166" spans="1:10" ht="15" customHeight="1">
      <c r="A2166" s="7">
        <v>44900</v>
      </c>
      <c r="B2166" s="10">
        <v>249</v>
      </c>
      <c r="C2166">
        <v>44134</v>
      </c>
      <c r="D2166" s="5">
        <v>3.74</v>
      </c>
      <c r="F2166" s="8">
        <v>99.513114041443274</v>
      </c>
      <c r="G2166" s="8">
        <v>100</v>
      </c>
      <c r="H2166" s="2">
        <f t="shared" si="101"/>
        <v>12879053</v>
      </c>
      <c r="I2166" s="12">
        <f t="shared" si="102"/>
        <v>0.18389166666666668</v>
      </c>
      <c r="J2166" s="12">
        <f t="shared" si="103"/>
        <v>0.21551293507362784</v>
      </c>
    </row>
    <row r="2167" spans="1:10" ht="15" customHeight="1">
      <c r="A2167" s="7">
        <v>44901</v>
      </c>
      <c r="B2167" s="10">
        <v>250</v>
      </c>
      <c r="C2167">
        <v>47468</v>
      </c>
      <c r="D2167" s="5">
        <v>3.9</v>
      </c>
      <c r="F2167" s="8">
        <v>99.327412261791849</v>
      </c>
      <c r="G2167" s="8">
        <v>100</v>
      </c>
      <c r="H2167" s="2">
        <f t="shared" si="101"/>
        <v>12926521</v>
      </c>
      <c r="I2167" s="12">
        <f t="shared" si="102"/>
        <v>0.19778333333333334</v>
      </c>
      <c r="J2167" s="12">
        <f t="shared" si="103"/>
        <v>0.21544201666666668</v>
      </c>
    </row>
    <row r="2168" spans="1:10" ht="15" customHeight="1">
      <c r="A2168" s="7">
        <v>44902</v>
      </c>
      <c r="B2168" s="10">
        <v>251</v>
      </c>
      <c r="C2168">
        <v>48447</v>
      </c>
      <c r="D2168" s="5">
        <v>3.96</v>
      </c>
      <c r="F2168" s="8">
        <v>99.394341418394717</v>
      </c>
      <c r="G2168" s="8">
        <v>100</v>
      </c>
      <c r="H2168" s="2">
        <f t="shared" si="101"/>
        <v>12974968</v>
      </c>
      <c r="I2168" s="12">
        <f t="shared" si="102"/>
        <v>0.2018625</v>
      </c>
      <c r="J2168" s="12">
        <f t="shared" si="103"/>
        <v>0.21538791500664012</v>
      </c>
    </row>
    <row r="2169" spans="1:10" ht="15" customHeight="1">
      <c r="A2169" s="7">
        <v>44903</v>
      </c>
      <c r="B2169" s="10">
        <v>252</v>
      </c>
      <c r="C2169">
        <v>49484</v>
      </c>
      <c r="D2169" s="5">
        <v>4.03</v>
      </c>
      <c r="F2169" s="8">
        <v>99.449588624831577</v>
      </c>
      <c r="G2169" s="8">
        <v>100</v>
      </c>
      <c r="H2169" s="2">
        <f t="shared" si="101"/>
        <v>13024452</v>
      </c>
      <c r="I2169" s="12">
        <f t="shared" si="102"/>
        <v>0.20618333333333333</v>
      </c>
      <c r="J2169" s="12">
        <f t="shared" si="103"/>
        <v>0.21535138888888888</v>
      </c>
    </row>
    <row r="2170" spans="1:10" ht="15" customHeight="1">
      <c r="A2170" s="7">
        <v>44904</v>
      </c>
      <c r="B2170" s="10">
        <v>253</v>
      </c>
      <c r="C2170">
        <v>49230</v>
      </c>
      <c r="D2170" s="5">
        <v>3.97</v>
      </c>
      <c r="F2170" s="8">
        <v>99.534790224851392</v>
      </c>
      <c r="G2170" s="8">
        <v>100</v>
      </c>
      <c r="H2170" s="2">
        <f t="shared" si="101"/>
        <v>13073682</v>
      </c>
      <c r="I2170" s="12">
        <f t="shared" si="102"/>
        <v>0.205125</v>
      </c>
      <c r="J2170" s="12">
        <f t="shared" si="103"/>
        <v>0.21531096837944663</v>
      </c>
    </row>
    <row r="2171" spans="1:10" ht="15" customHeight="1">
      <c r="A2171" s="7">
        <v>44905</v>
      </c>
      <c r="B2171" s="10">
        <v>254</v>
      </c>
      <c r="C2171">
        <v>46307</v>
      </c>
      <c r="D2171" s="5">
        <v>3.98</v>
      </c>
      <c r="F2171" s="8">
        <v>99.519120677810861</v>
      </c>
      <c r="G2171" s="8">
        <v>93.989008472635675</v>
      </c>
      <c r="H2171" s="2">
        <f t="shared" si="101"/>
        <v>13119989</v>
      </c>
      <c r="I2171" s="12">
        <f t="shared" si="102"/>
        <v>0.19294583333333334</v>
      </c>
      <c r="J2171" s="12">
        <f t="shared" si="103"/>
        <v>0.21522291666666668</v>
      </c>
    </row>
    <row r="2172" spans="1:10" ht="15" customHeight="1">
      <c r="A2172" s="7">
        <v>44906</v>
      </c>
      <c r="B2172" s="10">
        <v>255</v>
      </c>
      <c r="C2172">
        <v>46423</v>
      </c>
      <c r="D2172" s="5">
        <v>3.9699999999999998</v>
      </c>
      <c r="F2172" s="8">
        <v>99.535417264123893</v>
      </c>
      <c r="G2172" s="8">
        <v>94.837969601376543</v>
      </c>
      <c r="H2172" s="2">
        <f t="shared" si="101"/>
        <v>13166412</v>
      </c>
      <c r="I2172" s="12">
        <f t="shared" si="102"/>
        <v>0.19342916666666668</v>
      </c>
      <c r="J2172" s="12">
        <f t="shared" si="103"/>
        <v>0.21513745098039216</v>
      </c>
    </row>
    <row r="2173" spans="1:10" ht="15" customHeight="1">
      <c r="A2173" s="7">
        <v>44907</v>
      </c>
      <c r="B2173" s="10">
        <v>256</v>
      </c>
      <c r="C2173">
        <v>47462</v>
      </c>
      <c r="D2173" s="5">
        <v>3.8600000000000003</v>
      </c>
      <c r="F2173" s="8">
        <v>99.572271807009045</v>
      </c>
      <c r="G2173" s="8">
        <v>94.86726168410847</v>
      </c>
      <c r="H2173" s="2">
        <f t="shared" si="101"/>
        <v>13213874</v>
      </c>
      <c r="I2173" s="12">
        <f t="shared" si="102"/>
        <v>0.19775833333333334</v>
      </c>
      <c r="J2173" s="12">
        <f t="shared" si="103"/>
        <v>0.21506956380208334</v>
      </c>
    </row>
    <row r="2174" spans="1:10" ht="15" customHeight="1">
      <c r="A2174" s="7">
        <v>44908</v>
      </c>
      <c r="B2174" s="10">
        <v>257</v>
      </c>
      <c r="C2174">
        <v>49105</v>
      </c>
      <c r="D2174" s="5">
        <v>3.94</v>
      </c>
      <c r="F2174" s="8">
        <v>99.474961892395413</v>
      </c>
      <c r="G2174" s="8">
        <v>94.918986055439504</v>
      </c>
      <c r="H2174" s="2">
        <f t="shared" si="101"/>
        <v>13262979</v>
      </c>
      <c r="I2174" s="12">
        <f t="shared" si="102"/>
        <v>0.20460416666666667</v>
      </c>
      <c r="J2174" s="12">
        <f t="shared" si="103"/>
        <v>0.21502884241245135</v>
      </c>
    </row>
    <row r="2175" spans="1:10" ht="15" customHeight="1">
      <c r="A2175" s="7">
        <v>44909</v>
      </c>
      <c r="B2175" s="10">
        <v>258</v>
      </c>
      <c r="C2175">
        <v>49885</v>
      </c>
      <c r="D2175" s="5">
        <v>4.03</v>
      </c>
      <c r="F2175" s="8">
        <v>99.506956447819562</v>
      </c>
      <c r="G2175" s="8">
        <v>97.449774730101154</v>
      </c>
      <c r="H2175" s="2">
        <f t="shared" ref="H2175:H2238" si="104">H2174+C2175</f>
        <v>13312864</v>
      </c>
      <c r="I2175" s="12">
        <f t="shared" si="102"/>
        <v>0.20785416666666667</v>
      </c>
      <c r="J2175" s="12">
        <f t="shared" si="103"/>
        <v>0.21500103359173126</v>
      </c>
    </row>
    <row r="2176" spans="1:10" ht="15" customHeight="1">
      <c r="A2176" s="7">
        <v>44910</v>
      </c>
      <c r="B2176" s="10">
        <v>259</v>
      </c>
      <c r="C2176">
        <v>48513</v>
      </c>
      <c r="D2176" s="5">
        <v>4.18</v>
      </c>
      <c r="F2176" s="8">
        <v>99.471785988129383</v>
      </c>
      <c r="G2176" s="8">
        <v>93.354726947434187</v>
      </c>
      <c r="H2176" s="2">
        <f t="shared" si="104"/>
        <v>13361377</v>
      </c>
      <c r="I2176" s="12">
        <f t="shared" si="102"/>
        <v>0.2021375</v>
      </c>
      <c r="J2176" s="12">
        <f t="shared" si="103"/>
        <v>0.21495136743886745</v>
      </c>
    </row>
    <row r="2177" spans="1:10" ht="15" customHeight="1">
      <c r="A2177" s="7">
        <v>44911</v>
      </c>
      <c r="B2177" s="10">
        <v>260</v>
      </c>
      <c r="C2177">
        <v>51551</v>
      </c>
      <c r="D2177" s="5">
        <v>4.2300000000000004</v>
      </c>
      <c r="F2177" s="8">
        <v>99.336189044282435</v>
      </c>
      <c r="G2177" s="8">
        <v>93.191682505460832</v>
      </c>
      <c r="H2177" s="2">
        <f t="shared" si="104"/>
        <v>13412928</v>
      </c>
      <c r="I2177" s="12">
        <f t="shared" si="102"/>
        <v>0.21479583333333332</v>
      </c>
      <c r="J2177" s="12">
        <f t="shared" si="103"/>
        <v>0.21495076923076922</v>
      </c>
    </row>
    <row r="2178" spans="1:10" ht="15" customHeight="1">
      <c r="A2178" s="7">
        <v>44912</v>
      </c>
      <c r="B2178" s="10">
        <v>261</v>
      </c>
      <c r="C2178">
        <v>49486</v>
      </c>
      <c r="D2178" s="5">
        <v>4.2</v>
      </c>
      <c r="F2178" s="8">
        <v>99.068189008081447</v>
      </c>
      <c r="G2178" s="8">
        <v>93.097696356158863</v>
      </c>
      <c r="H2178" s="2">
        <f t="shared" si="104"/>
        <v>13462414</v>
      </c>
      <c r="I2178" s="12">
        <f t="shared" si="102"/>
        <v>0.20619166666666666</v>
      </c>
      <c r="J2178" s="12">
        <f t="shared" si="103"/>
        <v>0.21491720945083015</v>
      </c>
    </row>
    <row r="2179" spans="1:10" ht="15" customHeight="1">
      <c r="A2179" s="7">
        <v>44913</v>
      </c>
      <c r="B2179" s="10">
        <v>262</v>
      </c>
      <c r="C2179">
        <v>52023</v>
      </c>
      <c r="D2179" s="5">
        <v>4.25</v>
      </c>
      <c r="F2179" s="8">
        <v>99.295270289626728</v>
      </c>
      <c r="G2179" s="8">
        <v>96.562294095740114</v>
      </c>
      <c r="H2179" s="2">
        <f t="shared" si="104"/>
        <v>13514437</v>
      </c>
      <c r="I2179" s="12">
        <f t="shared" ref="I2179:I2242" si="105">C2179/(10*24*1000)</f>
        <v>0.2167625</v>
      </c>
      <c r="J2179" s="12">
        <f t="shared" si="103"/>
        <v>0.21492425254452927</v>
      </c>
    </row>
    <row r="2180" spans="1:10" ht="15" customHeight="1">
      <c r="A2180" s="7">
        <v>44914</v>
      </c>
      <c r="B2180" s="10">
        <v>263</v>
      </c>
      <c r="C2180">
        <v>48877</v>
      </c>
      <c r="D2180" s="5">
        <v>4.07</v>
      </c>
      <c r="F2180" s="8">
        <v>99.412763752554767</v>
      </c>
      <c r="G2180" s="8">
        <v>98.272834566337536</v>
      </c>
      <c r="H2180" s="2">
        <f t="shared" si="104"/>
        <v>13563314</v>
      </c>
      <c r="I2180" s="12">
        <f t="shared" si="105"/>
        <v>0.20365416666666666</v>
      </c>
      <c r="J2180" s="12">
        <f t="shared" ref="J2180:J2243" si="106">H2180/(24*B2180*10*1000)</f>
        <v>0.21488140050697085</v>
      </c>
    </row>
    <row r="2181" spans="1:10" ht="15" customHeight="1">
      <c r="A2181" s="7">
        <v>44915</v>
      </c>
      <c r="B2181" s="10">
        <v>264</v>
      </c>
      <c r="C2181">
        <v>41078</v>
      </c>
      <c r="D2181" s="5">
        <v>3.55</v>
      </c>
      <c r="F2181" s="8">
        <v>99.570372916308642</v>
      </c>
      <c r="G2181" s="8">
        <v>96.562983330469152</v>
      </c>
      <c r="H2181" s="2">
        <f t="shared" si="104"/>
        <v>13604392</v>
      </c>
      <c r="I2181" s="12">
        <f t="shared" si="105"/>
        <v>0.17115833333333333</v>
      </c>
      <c r="J2181" s="12">
        <f t="shared" si="106"/>
        <v>0.21471578282828283</v>
      </c>
    </row>
    <row r="2182" spans="1:10" ht="15" customHeight="1">
      <c r="A2182" s="7">
        <v>44916</v>
      </c>
      <c r="B2182" s="10">
        <v>265</v>
      </c>
      <c r="C2182">
        <v>48563</v>
      </c>
      <c r="D2182" s="5">
        <v>3.93</v>
      </c>
      <c r="F2182" s="8">
        <v>99.586397058823522</v>
      </c>
      <c r="G2182" s="8">
        <v>98.27665441176471</v>
      </c>
      <c r="H2182" s="2">
        <f t="shared" si="104"/>
        <v>13652955</v>
      </c>
      <c r="I2182" s="12">
        <f t="shared" si="105"/>
        <v>0.20234583333333334</v>
      </c>
      <c r="J2182" s="12">
        <f t="shared" si="106"/>
        <v>0.21466910377358492</v>
      </c>
    </row>
    <row r="2183" spans="1:10" ht="15" customHeight="1">
      <c r="A2183" s="7">
        <v>44917</v>
      </c>
      <c r="B2183" s="10">
        <v>266</v>
      </c>
      <c r="C2183">
        <v>52205</v>
      </c>
      <c r="D2183" s="5">
        <v>4.24</v>
      </c>
      <c r="F2183" s="8">
        <v>99.205298013245041</v>
      </c>
      <c r="G2183" s="8">
        <v>100</v>
      </c>
      <c r="H2183" s="2">
        <f t="shared" si="104"/>
        <v>13705160</v>
      </c>
      <c r="I2183" s="12">
        <f t="shared" si="105"/>
        <v>0.21752083333333333</v>
      </c>
      <c r="J2183" s="12">
        <f t="shared" si="106"/>
        <v>0.2146798245614035</v>
      </c>
    </row>
    <row r="2184" spans="1:10" ht="15" customHeight="1">
      <c r="A2184" s="7">
        <v>44918</v>
      </c>
      <c r="B2184" s="10">
        <v>267</v>
      </c>
      <c r="C2184">
        <v>48380</v>
      </c>
      <c r="D2184" s="5">
        <v>3.89</v>
      </c>
      <c r="F2184" s="8">
        <v>99.496236247828605</v>
      </c>
      <c r="G2184" s="8">
        <v>96.52576722640417</v>
      </c>
      <c r="H2184" s="2">
        <f t="shared" si="104"/>
        <v>13753540</v>
      </c>
      <c r="I2184" s="12">
        <f t="shared" si="105"/>
        <v>0.20158333333333334</v>
      </c>
      <c r="J2184" s="12">
        <f t="shared" si="106"/>
        <v>0.21463077403245942</v>
      </c>
    </row>
    <row r="2185" spans="1:10" ht="15" customHeight="1">
      <c r="A2185" s="7">
        <v>44919</v>
      </c>
      <c r="B2185" s="10">
        <v>268</v>
      </c>
      <c r="C2185">
        <v>48917</v>
      </c>
      <c r="D2185" s="5">
        <v>3.91</v>
      </c>
      <c r="F2185" s="8">
        <v>99.390031369815262</v>
      </c>
      <c r="G2185" s="8">
        <v>94.771697455559419</v>
      </c>
      <c r="H2185" s="2">
        <f t="shared" si="104"/>
        <v>13802457</v>
      </c>
      <c r="I2185" s="12">
        <f t="shared" si="105"/>
        <v>0.20382083333333334</v>
      </c>
      <c r="J2185" s="12">
        <f t="shared" si="106"/>
        <v>0.21459043843283582</v>
      </c>
    </row>
    <row r="2186" spans="1:10" ht="15" customHeight="1">
      <c r="A2186" s="7">
        <v>44920</v>
      </c>
      <c r="B2186" s="10">
        <v>269</v>
      </c>
      <c r="C2186">
        <v>47512</v>
      </c>
      <c r="D2186" s="5">
        <v>3.99</v>
      </c>
      <c r="F2186" s="8">
        <v>99.141731134140997</v>
      </c>
      <c r="G2186" s="8">
        <v>93.869508101007142</v>
      </c>
      <c r="H2186" s="2">
        <f t="shared" si="104"/>
        <v>13849969</v>
      </c>
      <c r="I2186" s="12">
        <f t="shared" si="105"/>
        <v>0.19796666666666668</v>
      </c>
      <c r="J2186" s="12">
        <f t="shared" si="106"/>
        <v>0.21452864002478314</v>
      </c>
    </row>
    <row r="2187" spans="1:10" ht="15" customHeight="1">
      <c r="A2187" s="7">
        <v>44921</v>
      </c>
      <c r="B2187" s="10">
        <v>270</v>
      </c>
      <c r="C2187">
        <v>51151</v>
      </c>
      <c r="D2187" s="5">
        <v>4.07</v>
      </c>
      <c r="F2187" s="8">
        <v>99.040335010323659</v>
      </c>
      <c r="G2187" s="8">
        <v>98.080670020647347</v>
      </c>
      <c r="H2187" s="2">
        <f t="shared" si="104"/>
        <v>13901120</v>
      </c>
      <c r="I2187" s="12">
        <f t="shared" si="105"/>
        <v>0.21312916666666668</v>
      </c>
      <c r="J2187" s="12">
        <f t="shared" si="106"/>
        <v>0.21452345679012347</v>
      </c>
    </row>
    <row r="2188" spans="1:10" ht="15" customHeight="1">
      <c r="A2188" s="7">
        <v>44922</v>
      </c>
      <c r="B2188" s="10">
        <v>271</v>
      </c>
      <c r="C2188">
        <v>44773</v>
      </c>
      <c r="D2188" s="5">
        <v>3.9</v>
      </c>
      <c r="F2188" s="8">
        <v>99.825103480440731</v>
      </c>
      <c r="G2188" s="8">
        <v>89.50620882644435</v>
      </c>
      <c r="H2188" s="2">
        <f t="shared" si="104"/>
        <v>13945893</v>
      </c>
      <c r="I2188" s="12">
        <f t="shared" si="105"/>
        <v>0.18655416666666666</v>
      </c>
      <c r="J2188" s="12">
        <f t="shared" si="106"/>
        <v>0.21442024907749077</v>
      </c>
    </row>
    <row r="2189" spans="1:10" ht="15" customHeight="1">
      <c r="A2189" s="7">
        <v>44923</v>
      </c>
      <c r="B2189" s="10">
        <v>272</v>
      </c>
      <c r="C2189">
        <v>49224</v>
      </c>
      <c r="D2189" s="5">
        <v>3.95</v>
      </c>
      <c r="F2189" s="8">
        <v>99.215800174266633</v>
      </c>
      <c r="G2189" s="8">
        <v>98.08306709265176</v>
      </c>
      <c r="H2189" s="2">
        <f t="shared" si="104"/>
        <v>13995117</v>
      </c>
      <c r="I2189" s="12">
        <f t="shared" si="105"/>
        <v>0.2051</v>
      </c>
      <c r="J2189" s="12">
        <f t="shared" si="106"/>
        <v>0.21438598345588236</v>
      </c>
    </row>
    <row r="2190" spans="1:10" ht="15" customHeight="1">
      <c r="A2190" s="7">
        <v>44924</v>
      </c>
      <c r="B2190" s="10">
        <v>273</v>
      </c>
      <c r="C2190">
        <v>35033</v>
      </c>
      <c r="D2190" s="5">
        <v>3.2</v>
      </c>
      <c r="F2190" s="8">
        <v>99.505154639175259</v>
      </c>
      <c r="G2190" s="8">
        <v>92.047128129602356</v>
      </c>
      <c r="H2190" s="2">
        <f t="shared" si="104"/>
        <v>14030150</v>
      </c>
      <c r="I2190" s="12">
        <f t="shared" si="105"/>
        <v>0.14597083333333333</v>
      </c>
      <c r="J2190" s="12">
        <f t="shared" si="106"/>
        <v>0.2141353785103785</v>
      </c>
    </row>
    <row r="2191" spans="1:10" ht="15" customHeight="1">
      <c r="A2191" s="7">
        <v>44925</v>
      </c>
      <c r="B2191" s="10">
        <v>274</v>
      </c>
      <c r="C2191">
        <v>37793</v>
      </c>
      <c r="D2191" s="5">
        <v>3.26</v>
      </c>
      <c r="F2191" s="8">
        <v>99.558316892906575</v>
      </c>
      <c r="G2191" s="8">
        <v>94.699802714878828</v>
      </c>
      <c r="H2191" s="2">
        <f t="shared" si="104"/>
        <v>14067943</v>
      </c>
      <c r="I2191" s="12">
        <f t="shared" si="105"/>
        <v>0.15747083333333334</v>
      </c>
      <c r="J2191" s="12">
        <f t="shared" si="106"/>
        <v>0.21392857360097323</v>
      </c>
    </row>
    <row r="2192" spans="1:10" ht="15" customHeight="1">
      <c r="A2192" s="7">
        <v>44926</v>
      </c>
      <c r="B2192" s="10">
        <v>275</v>
      </c>
      <c r="C2192">
        <v>41589</v>
      </c>
      <c r="D2192" s="5">
        <v>3.76</v>
      </c>
      <c r="F2192" s="8">
        <v>99.45804195804196</v>
      </c>
      <c r="G2192" s="8">
        <v>90.034965034965026</v>
      </c>
      <c r="H2192" s="2">
        <f t="shared" si="104"/>
        <v>14109532</v>
      </c>
      <c r="I2192" s="12">
        <f t="shared" si="105"/>
        <v>0.17328750000000001</v>
      </c>
      <c r="J2192" s="12">
        <f t="shared" si="106"/>
        <v>0.21378078787878788</v>
      </c>
    </row>
    <row r="2193" spans="1:10" ht="15" customHeight="1">
      <c r="A2193" s="7">
        <v>44927</v>
      </c>
      <c r="B2193" s="10">
        <v>276</v>
      </c>
      <c r="C2193">
        <v>48944</v>
      </c>
      <c r="D2193" s="5">
        <v>4.1500000000000004</v>
      </c>
      <c r="F2193" s="8">
        <v>99.211724862781736</v>
      </c>
      <c r="G2193" s="8">
        <v>90.365526100665647</v>
      </c>
      <c r="H2193" s="2">
        <f t="shared" si="104"/>
        <v>14158476</v>
      </c>
      <c r="I2193" s="12">
        <f t="shared" si="105"/>
        <v>0.20393333333333333</v>
      </c>
      <c r="J2193" s="12">
        <f t="shared" si="106"/>
        <v>0.21374510869565216</v>
      </c>
    </row>
    <row r="2194" spans="1:10" ht="15" customHeight="1">
      <c r="A2194" s="14">
        <v>44928</v>
      </c>
      <c r="B2194" s="10">
        <v>277</v>
      </c>
      <c r="C2194">
        <v>48705</v>
      </c>
      <c r="D2194" s="5">
        <v>4.09</v>
      </c>
      <c r="F2194" s="8">
        <v>99.364461366694343</v>
      </c>
      <c r="G2194" s="8">
        <v>91.411640090464061</v>
      </c>
      <c r="H2194" s="2">
        <f t="shared" si="104"/>
        <v>14207181</v>
      </c>
      <c r="I2194" s="12">
        <f t="shared" si="105"/>
        <v>0.20293749999999999</v>
      </c>
      <c r="J2194" s="12">
        <f t="shared" si="106"/>
        <v>0.21370609205776173</v>
      </c>
    </row>
    <row r="2195" spans="1:10" ht="15" customHeight="1">
      <c r="A2195" s="14">
        <v>44929</v>
      </c>
      <c r="B2195" s="10">
        <v>278</v>
      </c>
      <c r="C2195">
        <v>49022</v>
      </c>
      <c r="D2195" s="5">
        <v>3.94</v>
      </c>
      <c r="F2195" s="8">
        <v>99.400855920114125</v>
      </c>
      <c r="G2195" s="8">
        <v>96.405135520684738</v>
      </c>
      <c r="H2195" s="2">
        <f t="shared" si="104"/>
        <v>14256203</v>
      </c>
      <c r="I2195" s="12">
        <f t="shared" si="105"/>
        <v>0.20425833333333332</v>
      </c>
      <c r="J2195" s="12">
        <f t="shared" si="106"/>
        <v>0.21367210731414868</v>
      </c>
    </row>
    <row r="2196" spans="1:10" ht="15" customHeight="1">
      <c r="A2196" s="14">
        <v>44930</v>
      </c>
      <c r="B2196" s="10">
        <v>279</v>
      </c>
      <c r="C2196">
        <v>47890</v>
      </c>
      <c r="D2196" s="5">
        <v>3.94</v>
      </c>
      <c r="F2196" s="8">
        <v>99.300440779183845</v>
      </c>
      <c r="G2196" s="8">
        <v>94.028152993032847</v>
      </c>
      <c r="H2196" s="2">
        <f t="shared" si="104"/>
        <v>14304093</v>
      </c>
      <c r="I2196" s="12">
        <f t="shared" si="105"/>
        <v>0.19954166666666667</v>
      </c>
      <c r="J2196" s="12">
        <f t="shared" si="106"/>
        <v>0.2136214605734767</v>
      </c>
    </row>
    <row r="2197" spans="1:10" ht="15" customHeight="1">
      <c r="A2197" s="14">
        <v>44931</v>
      </c>
      <c r="B2197" s="10">
        <v>280</v>
      </c>
      <c r="C2197">
        <v>52717</v>
      </c>
      <c r="D2197" s="5">
        <v>4.25</v>
      </c>
      <c r="F2197" s="8">
        <v>99.318704402872797</v>
      </c>
      <c r="G2197" s="8">
        <v>98.296761007181985</v>
      </c>
      <c r="H2197" s="2">
        <f t="shared" si="104"/>
        <v>14356810</v>
      </c>
      <c r="I2197" s="12">
        <f t="shared" si="105"/>
        <v>0.21965416666666668</v>
      </c>
      <c r="J2197" s="12">
        <f t="shared" si="106"/>
        <v>0.21364300595238095</v>
      </c>
    </row>
    <row r="2198" spans="1:10" ht="15" customHeight="1">
      <c r="A2198" s="14">
        <v>44932</v>
      </c>
      <c r="B2198" s="10">
        <v>281</v>
      </c>
      <c r="C2198">
        <v>53069</v>
      </c>
      <c r="D2198" s="5">
        <v>4.2699999999999996</v>
      </c>
      <c r="F2198" s="8">
        <v>99.22894594054317</v>
      </c>
      <c r="G2198" s="8">
        <v>100</v>
      </c>
      <c r="H2198" s="2">
        <f t="shared" si="104"/>
        <v>14409879</v>
      </c>
      <c r="I2198" s="12">
        <f t="shared" si="105"/>
        <v>0.22112083333333332</v>
      </c>
      <c r="J2198" s="12">
        <f t="shared" si="106"/>
        <v>0.21366961743772242</v>
      </c>
    </row>
    <row r="2199" spans="1:10" ht="15" customHeight="1">
      <c r="A2199" s="14">
        <v>44933</v>
      </c>
      <c r="B2199" s="10">
        <v>282</v>
      </c>
      <c r="C2199">
        <v>41816</v>
      </c>
      <c r="D2199" s="5">
        <v>3.54</v>
      </c>
      <c r="F2199" s="8">
        <v>99.330988935586234</v>
      </c>
      <c r="G2199" s="8">
        <v>100</v>
      </c>
      <c r="H2199" s="2">
        <f t="shared" si="104"/>
        <v>14451695</v>
      </c>
      <c r="I2199" s="12">
        <f t="shared" si="105"/>
        <v>0.17423333333333332</v>
      </c>
      <c r="J2199" s="12">
        <f t="shared" si="106"/>
        <v>0.21352977245862884</v>
      </c>
    </row>
    <row r="2200" spans="1:10" ht="15" customHeight="1">
      <c r="A2200" s="14">
        <v>44934</v>
      </c>
      <c r="B2200" s="10">
        <v>283</v>
      </c>
      <c r="C2200">
        <v>44104</v>
      </c>
      <c r="D2200" s="5">
        <v>3.98</v>
      </c>
      <c r="F2200" s="8">
        <v>99.313304721030036</v>
      </c>
      <c r="G2200" s="8">
        <v>84.549356223175963</v>
      </c>
      <c r="H2200" s="2">
        <f t="shared" si="104"/>
        <v>14495799</v>
      </c>
      <c r="I2200" s="12">
        <f t="shared" si="105"/>
        <v>0.18376666666666666</v>
      </c>
      <c r="J2200" s="12">
        <f t="shared" si="106"/>
        <v>0.21342460247349823</v>
      </c>
    </row>
    <row r="2201" spans="1:10" ht="15" customHeight="1">
      <c r="A2201" s="14">
        <v>44935</v>
      </c>
      <c r="B2201" s="10">
        <v>284</v>
      </c>
      <c r="C2201">
        <v>34459</v>
      </c>
      <c r="D2201" s="5">
        <v>3.17</v>
      </c>
      <c r="F2201" s="8">
        <v>100</v>
      </c>
      <c r="G2201" s="8">
        <v>100</v>
      </c>
      <c r="H2201" s="2">
        <f t="shared" si="104"/>
        <v>14530258</v>
      </c>
      <c r="I2201" s="12">
        <f t="shared" si="105"/>
        <v>0.14357916666666667</v>
      </c>
      <c r="J2201" s="12">
        <f t="shared" si="106"/>
        <v>0.21317866784037559</v>
      </c>
    </row>
    <row r="2202" spans="1:10" ht="15" customHeight="1">
      <c r="A2202" s="14">
        <v>44936</v>
      </c>
      <c r="B2202" s="10">
        <v>285</v>
      </c>
      <c r="C2202">
        <v>50658</v>
      </c>
      <c r="D2202" s="5">
        <v>4.17</v>
      </c>
      <c r="F2202" s="8">
        <v>99.42258703651288</v>
      </c>
      <c r="G2202" s="8">
        <v>98.301726577979053</v>
      </c>
      <c r="H2202" s="2">
        <f t="shared" si="104"/>
        <v>14580916</v>
      </c>
      <c r="I2202" s="12">
        <f t="shared" si="105"/>
        <v>0.21107500000000001</v>
      </c>
      <c r="J2202" s="12">
        <f t="shared" si="106"/>
        <v>0.2131712865497076</v>
      </c>
    </row>
    <row r="2203" spans="1:10" ht="15" customHeight="1">
      <c r="A2203" s="14">
        <v>44937</v>
      </c>
      <c r="B2203" s="10">
        <v>286</v>
      </c>
      <c r="C2203">
        <v>41671</v>
      </c>
      <c r="D2203" s="5">
        <v>4.0999999999999996</v>
      </c>
      <c r="F2203" s="8">
        <v>99.307003211448531</v>
      </c>
      <c r="G2203" s="8">
        <v>83.942757338441609</v>
      </c>
      <c r="H2203" s="2">
        <f t="shared" si="104"/>
        <v>14622587</v>
      </c>
      <c r="I2203" s="12">
        <f t="shared" si="105"/>
        <v>0.17362916666666667</v>
      </c>
      <c r="J2203" s="12">
        <f t="shared" si="106"/>
        <v>0.2130330273892774</v>
      </c>
    </row>
    <row r="2204" spans="1:10" ht="15" customHeight="1">
      <c r="A2204" s="14">
        <v>44938</v>
      </c>
      <c r="B2204" s="10">
        <v>287</v>
      </c>
      <c r="C2204">
        <v>46079</v>
      </c>
      <c r="D2204" s="5">
        <v>3.89</v>
      </c>
      <c r="F2204" s="8">
        <v>99.276337933355776</v>
      </c>
      <c r="G2204" s="8">
        <v>100</v>
      </c>
      <c r="H2204" s="2">
        <f t="shared" si="104"/>
        <v>14668666</v>
      </c>
      <c r="I2204" s="12">
        <f t="shared" si="105"/>
        <v>0.19199583333333334</v>
      </c>
      <c r="J2204" s="12">
        <f t="shared" si="106"/>
        <v>0.21295972706155633</v>
      </c>
    </row>
    <row r="2205" spans="1:10" ht="15" customHeight="1">
      <c r="A2205" s="14">
        <v>44939</v>
      </c>
      <c r="B2205" s="10">
        <v>288</v>
      </c>
      <c r="C2205">
        <v>27820</v>
      </c>
      <c r="D2205" s="5">
        <v>2.68</v>
      </c>
      <c r="F2205" s="8">
        <v>100</v>
      </c>
      <c r="G2205" s="8">
        <v>83.706966780315611</v>
      </c>
      <c r="H2205" s="2">
        <f t="shared" si="104"/>
        <v>14696486</v>
      </c>
      <c r="I2205" s="12">
        <f t="shared" si="105"/>
        <v>0.11591666666666667</v>
      </c>
      <c r="J2205" s="12">
        <f t="shared" si="106"/>
        <v>0.21262277199074073</v>
      </c>
    </row>
    <row r="2206" spans="1:10" ht="15" customHeight="1">
      <c r="A2206" s="14">
        <v>44940</v>
      </c>
      <c r="B2206" s="10">
        <v>289</v>
      </c>
      <c r="C2206">
        <v>38909</v>
      </c>
      <c r="D2206" s="5">
        <v>4.21</v>
      </c>
      <c r="F2206" s="8">
        <v>100</v>
      </c>
      <c r="G2206" s="8">
        <v>83.017265779790549</v>
      </c>
      <c r="H2206" s="2">
        <f t="shared" si="104"/>
        <v>14735395</v>
      </c>
      <c r="I2206" s="12">
        <f t="shared" si="105"/>
        <v>0.16212083333333333</v>
      </c>
      <c r="J2206" s="12">
        <f t="shared" si="106"/>
        <v>0.21244802479815456</v>
      </c>
    </row>
    <row r="2207" spans="1:10" ht="15" customHeight="1">
      <c r="A2207" s="14">
        <v>44941</v>
      </c>
      <c r="B2207" s="10">
        <v>290</v>
      </c>
      <c r="C2207">
        <v>56487</v>
      </c>
      <c r="D2207" s="5">
        <v>4.62</v>
      </c>
      <c r="F2207" s="8">
        <v>98.873854945793767</v>
      </c>
      <c r="G2207" s="8">
        <v>96.63837297251871</v>
      </c>
      <c r="H2207" s="2">
        <f t="shared" si="104"/>
        <v>14791882</v>
      </c>
      <c r="I2207" s="12">
        <f t="shared" si="105"/>
        <v>0.2353625</v>
      </c>
      <c r="J2207" s="12">
        <f t="shared" si="106"/>
        <v>0.21252704022988506</v>
      </c>
    </row>
    <row r="2208" spans="1:10" ht="15" customHeight="1">
      <c r="A2208" s="14">
        <v>44942</v>
      </c>
      <c r="B2208" s="10">
        <v>291</v>
      </c>
      <c r="C2208">
        <v>46789</v>
      </c>
      <c r="D2208" s="5">
        <v>4.5600000000000005</v>
      </c>
      <c r="F2208" s="8">
        <v>99.248329621380847</v>
      </c>
      <c r="G2208" s="8">
        <v>84.966592427616931</v>
      </c>
      <c r="H2208" s="2">
        <f t="shared" si="104"/>
        <v>14838671</v>
      </c>
      <c r="I2208" s="12">
        <f t="shared" si="105"/>
        <v>0.19495416666666668</v>
      </c>
      <c r="J2208" s="12">
        <f t="shared" si="106"/>
        <v>0.21246665234822451</v>
      </c>
    </row>
    <row r="2209" spans="1:10" ht="15" customHeight="1">
      <c r="A2209" s="14">
        <v>44943</v>
      </c>
      <c r="B2209" s="10">
        <v>292</v>
      </c>
      <c r="C2209">
        <v>42169</v>
      </c>
      <c r="D2209" s="5">
        <v>4.51</v>
      </c>
      <c r="F2209" s="8">
        <v>99.632823365785811</v>
      </c>
      <c r="G2209" s="8">
        <v>81.641168289290675</v>
      </c>
      <c r="H2209" s="2">
        <f t="shared" si="104"/>
        <v>14880840</v>
      </c>
      <c r="I2209" s="12">
        <f t="shared" si="105"/>
        <v>0.17570416666666666</v>
      </c>
      <c r="J2209" s="12">
        <f t="shared" si="106"/>
        <v>0.21234075342465752</v>
      </c>
    </row>
    <row r="2210" spans="1:10" ht="15" customHeight="1">
      <c r="A2210" s="14">
        <v>44944</v>
      </c>
      <c r="B2210" s="10">
        <v>293</v>
      </c>
      <c r="C2210">
        <v>52384</v>
      </c>
      <c r="D2210" s="5">
        <v>4.34</v>
      </c>
      <c r="F2210" s="8">
        <v>99.534135655260386</v>
      </c>
      <c r="G2210" s="8">
        <v>96.67239753757417</v>
      </c>
      <c r="H2210" s="2">
        <f t="shared" si="104"/>
        <v>14933224</v>
      </c>
      <c r="I2210" s="12">
        <f t="shared" si="105"/>
        <v>0.21826666666666666</v>
      </c>
      <c r="J2210" s="12">
        <f t="shared" si="106"/>
        <v>0.21236097838452786</v>
      </c>
    </row>
    <row r="2211" spans="1:10" ht="15" customHeight="1">
      <c r="A2211" s="14">
        <v>44945</v>
      </c>
      <c r="B2211" s="10">
        <v>294</v>
      </c>
      <c r="C2211">
        <v>36847</v>
      </c>
      <c r="D2211" s="5">
        <v>3.39</v>
      </c>
      <c r="F2211" s="8">
        <v>99.740132243813704</v>
      </c>
      <c r="G2211" s="8">
        <v>100</v>
      </c>
      <c r="H2211" s="2">
        <f t="shared" si="104"/>
        <v>14970071</v>
      </c>
      <c r="I2211" s="12">
        <f t="shared" si="105"/>
        <v>0.15352916666666666</v>
      </c>
      <c r="J2211" s="12">
        <f t="shared" si="106"/>
        <v>0.21216087018140589</v>
      </c>
    </row>
    <row r="2212" spans="1:10" ht="15" customHeight="1">
      <c r="A2212" s="14">
        <v>44946</v>
      </c>
      <c r="B2212" s="10">
        <v>295</v>
      </c>
      <c r="C2212">
        <v>45220</v>
      </c>
      <c r="D2212" s="5">
        <v>3.69</v>
      </c>
      <c r="F2212" s="8">
        <v>99.648034861308972</v>
      </c>
      <c r="G2212" s="8">
        <v>100</v>
      </c>
      <c r="H2212" s="2">
        <f t="shared" si="104"/>
        <v>15015291</v>
      </c>
      <c r="I2212" s="12">
        <f t="shared" si="105"/>
        <v>0.18841666666666668</v>
      </c>
      <c r="J2212" s="12">
        <f t="shared" si="106"/>
        <v>0.21208038135593221</v>
      </c>
    </row>
    <row r="2213" spans="1:10" ht="15" customHeight="1">
      <c r="A2213" s="14">
        <v>44947</v>
      </c>
      <c r="B2213" s="10">
        <v>296</v>
      </c>
      <c r="C2213">
        <v>37769</v>
      </c>
      <c r="D2213" s="5">
        <v>3.38</v>
      </c>
      <c r="F2213" s="8">
        <v>100</v>
      </c>
      <c r="G2213" s="8">
        <v>100</v>
      </c>
      <c r="H2213" s="2">
        <f t="shared" si="104"/>
        <v>15053060</v>
      </c>
      <c r="I2213" s="12">
        <f t="shared" si="105"/>
        <v>0.15737083333333332</v>
      </c>
      <c r="J2213" s="12">
        <f t="shared" si="106"/>
        <v>0.21189555180180181</v>
      </c>
    </row>
    <row r="2214" spans="1:10" ht="15" customHeight="1">
      <c r="A2214" s="14">
        <v>44948</v>
      </c>
      <c r="B2214" s="10">
        <v>297</v>
      </c>
      <c r="C2214">
        <v>36165</v>
      </c>
      <c r="D2214" s="5">
        <v>3.2800000000000002</v>
      </c>
      <c r="F2214" s="8">
        <v>100</v>
      </c>
      <c r="G2214" s="8">
        <v>96.681507701667542</v>
      </c>
      <c r="H2214" s="2">
        <f t="shared" si="104"/>
        <v>15089225</v>
      </c>
      <c r="I2214" s="12">
        <f t="shared" si="105"/>
        <v>0.1506875</v>
      </c>
      <c r="J2214" s="12">
        <f t="shared" si="106"/>
        <v>0.21168946408529743</v>
      </c>
    </row>
    <row r="2215" spans="1:10" ht="15" customHeight="1">
      <c r="A2215" s="14">
        <v>44949</v>
      </c>
      <c r="B2215" s="10">
        <v>298</v>
      </c>
      <c r="C2215">
        <v>36176</v>
      </c>
      <c r="D2215" s="5">
        <v>3.3</v>
      </c>
      <c r="F2215" s="8">
        <v>100</v>
      </c>
      <c r="G2215" s="8">
        <v>100</v>
      </c>
      <c r="H2215" s="2">
        <f t="shared" si="104"/>
        <v>15125401</v>
      </c>
      <c r="I2215" s="12">
        <f t="shared" si="105"/>
        <v>0.15073333333333333</v>
      </c>
      <c r="J2215" s="12">
        <f t="shared" si="106"/>
        <v>0.21148491331096197</v>
      </c>
    </row>
    <row r="2216" spans="1:10" ht="15" customHeight="1">
      <c r="A2216" s="14">
        <v>44950</v>
      </c>
      <c r="B2216" s="10">
        <v>299</v>
      </c>
      <c r="C2216">
        <v>41707</v>
      </c>
      <c r="D2216" s="5">
        <v>3.7</v>
      </c>
      <c r="F2216" s="8">
        <v>99.733688415446082</v>
      </c>
      <c r="G2216" s="8">
        <v>96.671105193075903</v>
      </c>
      <c r="H2216" s="2">
        <f t="shared" si="104"/>
        <v>15167108</v>
      </c>
      <c r="I2216" s="12">
        <f t="shared" si="105"/>
        <v>0.17377916666666668</v>
      </c>
      <c r="J2216" s="12">
        <f t="shared" si="106"/>
        <v>0.21135880713489408</v>
      </c>
    </row>
    <row r="2217" spans="1:10" ht="15" customHeight="1">
      <c r="A2217" s="14">
        <v>44951</v>
      </c>
      <c r="B2217" s="10">
        <v>300</v>
      </c>
      <c r="C2217">
        <v>48708</v>
      </c>
      <c r="D2217" s="5">
        <v>4.68</v>
      </c>
      <c r="F2217" s="8">
        <v>99.468644489954059</v>
      </c>
      <c r="G2217" s="8">
        <v>86.716112248851502</v>
      </c>
      <c r="H2217" s="2">
        <f t="shared" si="104"/>
        <v>15215816</v>
      </c>
      <c r="I2217" s="12">
        <f t="shared" si="105"/>
        <v>0.20294999999999999</v>
      </c>
      <c r="J2217" s="12">
        <f t="shared" si="106"/>
        <v>0.21133077777777778</v>
      </c>
    </row>
    <row r="2218" spans="1:10" ht="15" customHeight="1">
      <c r="A2218" s="14">
        <v>44952</v>
      </c>
      <c r="B2218" s="10">
        <v>301</v>
      </c>
      <c r="C2218">
        <v>50297</v>
      </c>
      <c r="D2218" s="5">
        <v>4.54</v>
      </c>
      <c r="F2218" s="8">
        <v>99.441906273082921</v>
      </c>
      <c r="G2218" s="8">
        <v>90.151287172051539</v>
      </c>
      <c r="H2218" s="2">
        <f t="shared" si="104"/>
        <v>15266113</v>
      </c>
      <c r="I2218" s="12">
        <f>C2218/(10*24*1000)</f>
        <v>0.20957083333333335</v>
      </c>
      <c r="J2218" s="12">
        <f t="shared" si="106"/>
        <v>0.21132493078626799</v>
      </c>
    </row>
    <row r="2219" spans="1:10" ht="15" customHeight="1">
      <c r="A2219" s="14">
        <v>44953</v>
      </c>
      <c r="B2219" s="10">
        <v>302</v>
      </c>
      <c r="C2219">
        <v>45451</v>
      </c>
      <c r="D2219" s="5">
        <v>4.71</v>
      </c>
      <c r="F2219" s="8">
        <v>99.493381271449593</v>
      </c>
      <c r="G2219" s="8">
        <v>86.108841313940189</v>
      </c>
      <c r="H2219" s="2">
        <f t="shared" si="104"/>
        <v>15311564</v>
      </c>
      <c r="I2219" s="12">
        <f t="shared" si="105"/>
        <v>0.18937916666666665</v>
      </c>
      <c r="J2219" s="12">
        <f t="shared" si="106"/>
        <v>0.21125226269315672</v>
      </c>
    </row>
    <row r="2220" spans="1:10" ht="15" customHeight="1">
      <c r="A2220" s="14">
        <v>44954</v>
      </c>
      <c r="B2220" s="10">
        <v>303</v>
      </c>
      <c r="C2220">
        <v>45920</v>
      </c>
      <c r="D2220" s="5">
        <v>4.74</v>
      </c>
      <c r="F2220" s="8">
        <v>99.62429555416405</v>
      </c>
      <c r="G2220" s="8">
        <v>84.481772889384985</v>
      </c>
      <c r="H2220" s="2">
        <f t="shared" si="104"/>
        <v>15357484</v>
      </c>
      <c r="I2220" s="12">
        <f t="shared" si="105"/>
        <v>0.19133333333333333</v>
      </c>
      <c r="J2220" s="12">
        <f t="shared" si="106"/>
        <v>0.21118652365236523</v>
      </c>
    </row>
    <row r="2221" spans="1:10" ht="15" customHeight="1">
      <c r="A2221" s="14">
        <v>44955</v>
      </c>
      <c r="B2221" s="10">
        <v>304</v>
      </c>
      <c r="C2221">
        <v>31195</v>
      </c>
      <c r="D2221" s="5">
        <v>2.92</v>
      </c>
      <c r="F2221" s="8">
        <v>99.461792902393896</v>
      </c>
      <c r="G2221" s="8">
        <v>100</v>
      </c>
      <c r="H2221" s="2">
        <f t="shared" si="104"/>
        <v>15388679</v>
      </c>
      <c r="I2221" s="12">
        <f t="shared" si="105"/>
        <v>0.12997916666666667</v>
      </c>
      <c r="J2221" s="12">
        <f t="shared" si="106"/>
        <v>0.21091939418859648</v>
      </c>
    </row>
    <row r="2222" spans="1:10" ht="15" customHeight="1">
      <c r="A2222" s="14">
        <v>44956</v>
      </c>
      <c r="B2222" s="10">
        <v>305</v>
      </c>
      <c r="C2222">
        <v>39491</v>
      </c>
      <c r="D2222" s="5">
        <v>4.2300000000000004</v>
      </c>
      <c r="F2222" s="8">
        <v>99.476910962371335</v>
      </c>
      <c r="G2222" s="8">
        <v>85.657236065020527</v>
      </c>
      <c r="H2222" s="2">
        <f t="shared" si="104"/>
        <v>15428170</v>
      </c>
      <c r="I2222" s="12">
        <f t="shared" si="105"/>
        <v>0.16454583333333334</v>
      </c>
      <c r="J2222" s="12">
        <f t="shared" si="106"/>
        <v>0.21076734972677597</v>
      </c>
    </row>
    <row r="2223" spans="1:10" ht="15" customHeight="1">
      <c r="A2223" s="14">
        <v>44957</v>
      </c>
      <c r="B2223" s="10">
        <v>306</v>
      </c>
      <c r="C2223">
        <v>49341</v>
      </c>
      <c r="D2223" s="5">
        <v>4.24</v>
      </c>
      <c r="F2223" s="8">
        <v>98.712955122777316</v>
      </c>
      <c r="G2223" s="8">
        <v>100</v>
      </c>
      <c r="H2223" s="2">
        <f t="shared" si="104"/>
        <v>15477511</v>
      </c>
      <c r="I2223" s="12">
        <f t="shared" si="105"/>
        <v>0.20558750000000001</v>
      </c>
      <c r="J2223" s="12">
        <f t="shared" si="106"/>
        <v>0.21075042211328976</v>
      </c>
    </row>
    <row r="2224" spans="1:10" ht="15" customHeight="1">
      <c r="A2224" s="14">
        <v>44958</v>
      </c>
      <c r="B2224" s="10">
        <v>307</v>
      </c>
      <c r="C2224">
        <v>55517</v>
      </c>
      <c r="D2224" s="5">
        <v>4.78</v>
      </c>
      <c r="F2224" s="8">
        <v>98.897550111358584</v>
      </c>
      <c r="G2224" s="8">
        <v>100</v>
      </c>
      <c r="H2224" s="2">
        <f t="shared" si="104"/>
        <v>15533028</v>
      </c>
      <c r="I2224" s="12">
        <f t="shared" si="105"/>
        <v>0.23132083333333334</v>
      </c>
      <c r="J2224" s="12">
        <f t="shared" si="106"/>
        <v>0.21081742671009773</v>
      </c>
    </row>
    <row r="2225" spans="1:10" ht="15" customHeight="1">
      <c r="A2225" s="14">
        <v>44959</v>
      </c>
      <c r="B2225" s="10">
        <v>308</v>
      </c>
      <c r="C2225">
        <v>59283</v>
      </c>
      <c r="D2225" s="5">
        <v>4.97</v>
      </c>
      <c r="F2225" s="8">
        <v>98.812961180622395</v>
      </c>
      <c r="G2225" s="8">
        <v>100</v>
      </c>
      <c r="H2225" s="2">
        <f t="shared" si="104"/>
        <v>15592311</v>
      </c>
      <c r="I2225" s="12">
        <f t="shared" si="105"/>
        <v>0.2470125</v>
      </c>
      <c r="J2225" s="12">
        <f t="shared" si="106"/>
        <v>0.21093494318181819</v>
      </c>
    </row>
    <row r="2226" spans="1:10" ht="15" customHeight="1">
      <c r="A2226" s="14">
        <v>44960</v>
      </c>
      <c r="B2226" s="10">
        <v>309</v>
      </c>
      <c r="C2226">
        <v>53990</v>
      </c>
      <c r="D2226" s="5">
        <v>4.6500000000000004</v>
      </c>
      <c r="F2226" s="8">
        <v>98.701715018432452</v>
      </c>
      <c r="G2226" s="8">
        <v>100</v>
      </c>
      <c r="H2226" s="2">
        <f t="shared" si="104"/>
        <v>15646301</v>
      </c>
      <c r="I2226" s="12">
        <f t="shared" si="105"/>
        <v>0.22495833333333334</v>
      </c>
      <c r="J2226" s="12">
        <f t="shared" si="106"/>
        <v>0.2109803263214671</v>
      </c>
    </row>
    <row r="2227" spans="1:10" ht="15" customHeight="1">
      <c r="A2227" s="14">
        <v>44961</v>
      </c>
      <c r="B2227" s="10">
        <v>310</v>
      </c>
      <c r="C2227">
        <v>53225</v>
      </c>
      <c r="D2227" s="5">
        <v>4.71</v>
      </c>
      <c r="F2227" s="8">
        <v>98.833710557848491</v>
      </c>
      <c r="G2227" s="8">
        <v>100</v>
      </c>
      <c r="H2227" s="2">
        <f t="shared" si="104"/>
        <v>15699526</v>
      </c>
      <c r="I2227" s="12">
        <f t="shared" si="105"/>
        <v>0.22177083333333333</v>
      </c>
      <c r="J2227" s="12">
        <f t="shared" si="106"/>
        <v>0.21101513440860215</v>
      </c>
    </row>
    <row r="2228" spans="1:10" ht="15" customHeight="1">
      <c r="A2228" s="14">
        <v>44962</v>
      </c>
      <c r="B2228" s="10">
        <v>311</v>
      </c>
      <c r="C2228">
        <v>54148</v>
      </c>
      <c r="D2228" s="5">
        <v>4.8</v>
      </c>
      <c r="F2228" s="8">
        <v>98.899784740492706</v>
      </c>
      <c r="G2228" s="8">
        <v>100</v>
      </c>
      <c r="H2228" s="2">
        <f t="shared" si="104"/>
        <v>15753674</v>
      </c>
      <c r="I2228" s="12">
        <f t="shared" si="105"/>
        <v>0.22561666666666666</v>
      </c>
      <c r="J2228" s="12">
        <f t="shared" si="106"/>
        <v>0.21106208467309753</v>
      </c>
    </row>
    <row r="2229" spans="1:10" ht="15" customHeight="1">
      <c r="A2229" s="14">
        <v>44963</v>
      </c>
      <c r="B2229" s="10">
        <v>312</v>
      </c>
      <c r="C2229">
        <v>50981</v>
      </c>
      <c r="D2229" s="5">
        <v>4.6100000000000003</v>
      </c>
      <c r="F2229" s="8">
        <v>99.138274954121115</v>
      </c>
      <c r="G2229" s="8">
        <v>100</v>
      </c>
      <c r="H2229" s="2">
        <f t="shared" si="104"/>
        <v>15804655</v>
      </c>
      <c r="I2229" s="12">
        <f t="shared" si="105"/>
        <v>0.21242083333333334</v>
      </c>
      <c r="J2229" s="12">
        <f t="shared" si="106"/>
        <v>0.21106643963675215</v>
      </c>
    </row>
    <row r="2230" spans="1:10" ht="15" customHeight="1">
      <c r="A2230" s="14">
        <v>44964</v>
      </c>
      <c r="B2230" s="10">
        <v>313</v>
      </c>
      <c r="C2230">
        <v>54341</v>
      </c>
      <c r="D2230" s="5">
        <v>4.8100000000000005</v>
      </c>
      <c r="F2230" s="8">
        <v>99.243915885642281</v>
      </c>
      <c r="G2230" s="8">
        <v>100</v>
      </c>
      <c r="H2230" s="2">
        <f t="shared" si="104"/>
        <v>15858996</v>
      </c>
      <c r="I2230" s="12">
        <f t="shared" si="105"/>
        <v>0.22642083333333332</v>
      </c>
      <c r="J2230" s="12">
        <f t="shared" si="106"/>
        <v>0.21111549520766773</v>
      </c>
    </row>
    <row r="2231" spans="1:10" ht="15" customHeight="1">
      <c r="A2231" s="14">
        <v>44965</v>
      </c>
      <c r="B2231" s="10">
        <v>314</v>
      </c>
      <c r="C2231">
        <v>54894</v>
      </c>
      <c r="D2231" s="5">
        <v>4.82</v>
      </c>
      <c r="F2231" s="8">
        <v>99.154753208807264</v>
      </c>
      <c r="G2231" s="8">
        <v>100</v>
      </c>
      <c r="H2231" s="2">
        <f t="shared" si="104"/>
        <v>15913890</v>
      </c>
      <c r="I2231" s="12">
        <f t="shared" si="105"/>
        <v>0.22872500000000001</v>
      </c>
      <c r="J2231" s="12">
        <f t="shared" si="106"/>
        <v>0.21117157643312101</v>
      </c>
    </row>
    <row r="2232" spans="1:10" ht="15" customHeight="1">
      <c r="A2232" s="14">
        <v>44966</v>
      </c>
      <c r="B2232" s="10">
        <v>315</v>
      </c>
      <c r="C2232">
        <v>54131</v>
      </c>
      <c r="D2232" s="5">
        <v>4.76</v>
      </c>
      <c r="F2232" s="8">
        <v>99.344296419650291</v>
      </c>
      <c r="G2232" s="8">
        <v>100</v>
      </c>
      <c r="H2232" s="2">
        <f t="shared" si="104"/>
        <v>15968021</v>
      </c>
      <c r="I2232" s="12">
        <f t="shared" si="105"/>
        <v>0.22554583333333333</v>
      </c>
      <c r="J2232" s="12">
        <f t="shared" si="106"/>
        <v>0.211217208994709</v>
      </c>
    </row>
    <row r="2233" spans="1:10" ht="15" customHeight="1">
      <c r="A2233" s="14">
        <v>44967</v>
      </c>
      <c r="B2233" s="10">
        <v>316</v>
      </c>
      <c r="C2233">
        <v>50504</v>
      </c>
      <c r="D2233" s="5">
        <v>4.49</v>
      </c>
      <c r="F2233" s="8">
        <v>99.327476996063908</v>
      </c>
      <c r="G2233" s="8">
        <v>100</v>
      </c>
      <c r="H2233" s="2">
        <f t="shared" si="104"/>
        <v>16018525</v>
      </c>
      <c r="I2233" s="12">
        <f t="shared" si="105"/>
        <v>0.21043333333333333</v>
      </c>
      <c r="J2233" s="12">
        <f t="shared" si="106"/>
        <v>0.21121472837552743</v>
      </c>
    </row>
    <row r="2234" spans="1:10" ht="15" customHeight="1">
      <c r="A2234" s="14">
        <v>44968</v>
      </c>
      <c r="B2234" s="10">
        <v>317</v>
      </c>
      <c r="C2234">
        <v>51725</v>
      </c>
      <c r="D2234" s="5">
        <v>4.5199999999999996</v>
      </c>
      <c r="F2234" s="8">
        <v>99.516418376101711</v>
      </c>
      <c r="G2234" s="8">
        <v>100</v>
      </c>
      <c r="H2234" s="2">
        <f t="shared" si="104"/>
        <v>16070250</v>
      </c>
      <c r="I2234" s="12">
        <f t="shared" si="105"/>
        <v>0.21552083333333333</v>
      </c>
      <c r="J2234" s="12">
        <f t="shared" si="106"/>
        <v>0.21122831230283912</v>
      </c>
    </row>
    <row r="2235" spans="1:10" ht="15" customHeight="1">
      <c r="A2235" s="14">
        <v>44969</v>
      </c>
      <c r="B2235" s="10">
        <v>318</v>
      </c>
      <c r="C2235">
        <v>57528</v>
      </c>
      <c r="D2235" s="5">
        <v>5.07</v>
      </c>
      <c r="F2235" s="8">
        <v>98.957793217878248</v>
      </c>
      <c r="G2235" s="8">
        <v>100</v>
      </c>
      <c r="H2235" s="2">
        <f t="shared" si="104"/>
        <v>16127778</v>
      </c>
      <c r="I2235" s="12">
        <f t="shared" si="105"/>
        <v>0.2397</v>
      </c>
      <c r="J2235" s="12">
        <f t="shared" si="106"/>
        <v>0.21131784591194969</v>
      </c>
    </row>
    <row r="2236" spans="1:10" ht="15" customHeight="1">
      <c r="A2236" s="14">
        <v>44970</v>
      </c>
      <c r="B2236" s="10">
        <v>319</v>
      </c>
      <c r="C2236">
        <v>59393</v>
      </c>
      <c r="D2236" s="5">
        <v>5.22</v>
      </c>
      <c r="F2236" s="8">
        <v>98.888002265180575</v>
      </c>
      <c r="G2236" s="8">
        <v>100</v>
      </c>
      <c r="H2236" s="2">
        <f t="shared" si="104"/>
        <v>16187171</v>
      </c>
      <c r="I2236" s="12">
        <f t="shared" si="105"/>
        <v>0.24747083333333333</v>
      </c>
      <c r="J2236" s="12">
        <f t="shared" si="106"/>
        <v>0.21143117816091955</v>
      </c>
    </row>
    <row r="2237" spans="1:10" ht="15" customHeight="1">
      <c r="A2237" s="14">
        <v>44971</v>
      </c>
      <c r="B2237" s="10">
        <v>320</v>
      </c>
      <c r="C2237">
        <v>56367</v>
      </c>
      <c r="D2237" s="5">
        <v>5.01</v>
      </c>
      <c r="F2237" s="8">
        <v>99.039504260263371</v>
      </c>
      <c r="G2237" s="8">
        <v>100</v>
      </c>
      <c r="H2237" s="2">
        <f t="shared" si="104"/>
        <v>16243538</v>
      </c>
      <c r="I2237" s="12">
        <f t="shared" si="105"/>
        <v>0.2348625</v>
      </c>
      <c r="J2237" s="12">
        <f t="shared" si="106"/>
        <v>0.21150440104166668</v>
      </c>
    </row>
    <row r="2238" spans="1:10" ht="15" customHeight="1">
      <c r="A2238" s="14">
        <v>44972</v>
      </c>
      <c r="B2238" s="10">
        <v>321</v>
      </c>
      <c r="C2238">
        <v>56344</v>
      </c>
      <c r="D2238" s="5">
        <v>4.99</v>
      </c>
      <c r="F2238" s="8">
        <v>99.328998699609883</v>
      </c>
      <c r="G2238" s="8">
        <v>100</v>
      </c>
      <c r="H2238" s="2">
        <f t="shared" si="104"/>
        <v>16299882</v>
      </c>
      <c r="I2238" s="12">
        <f t="shared" si="105"/>
        <v>0.23476666666666668</v>
      </c>
      <c r="J2238" s="12">
        <f t="shared" si="106"/>
        <v>0.21157686915887849</v>
      </c>
    </row>
    <row r="2239" spans="1:10" ht="15" customHeight="1">
      <c r="A2239" s="14">
        <v>44973</v>
      </c>
      <c r="B2239" s="10">
        <v>322</v>
      </c>
      <c r="C2239">
        <v>51261</v>
      </c>
      <c r="D2239" s="5">
        <v>4.49</v>
      </c>
      <c r="F2239" s="8">
        <v>99.469385631795248</v>
      </c>
      <c r="G2239" s="8">
        <v>100</v>
      </c>
      <c r="H2239" s="2">
        <f t="shared" ref="H2239:H2282" si="107">H2238+C2239</f>
        <v>16351143</v>
      </c>
      <c r="I2239" s="12">
        <f t="shared" si="105"/>
        <v>0.21358750000000001</v>
      </c>
      <c r="J2239" s="12">
        <f t="shared" si="106"/>
        <v>0.21158311335403726</v>
      </c>
    </row>
    <row r="2240" spans="1:10" ht="15" customHeight="1">
      <c r="A2240" s="14">
        <v>44974</v>
      </c>
      <c r="B2240" s="10">
        <v>323</v>
      </c>
      <c r="C2240">
        <v>53084</v>
      </c>
      <c r="D2240" s="5">
        <v>4.7300000000000004</v>
      </c>
      <c r="F2240" s="8">
        <v>99.235529668729527</v>
      </c>
      <c r="G2240" s="8">
        <v>100</v>
      </c>
      <c r="H2240" s="2">
        <f t="shared" si="107"/>
        <v>16404227</v>
      </c>
      <c r="I2240" s="12">
        <f t="shared" si="105"/>
        <v>0.22118333333333334</v>
      </c>
      <c r="J2240" s="12">
        <f t="shared" si="106"/>
        <v>0.21161283539731682</v>
      </c>
    </row>
    <row r="2241" spans="1:10" ht="15" customHeight="1">
      <c r="A2241" s="14">
        <v>44975</v>
      </c>
      <c r="B2241" s="10">
        <v>324</v>
      </c>
      <c r="C2241">
        <v>54785</v>
      </c>
      <c r="D2241" s="5">
        <v>4.8499999999999996</v>
      </c>
      <c r="F2241" s="8">
        <v>99.302055060100813</v>
      </c>
      <c r="G2241" s="8">
        <v>100</v>
      </c>
      <c r="H2241" s="2">
        <f t="shared" si="107"/>
        <v>16459012</v>
      </c>
      <c r="I2241" s="12">
        <f t="shared" si="105"/>
        <v>0.22827083333333334</v>
      </c>
      <c r="J2241" s="12">
        <f t="shared" si="106"/>
        <v>0.2116642489711934</v>
      </c>
    </row>
    <row r="2242" spans="1:10" ht="15" customHeight="1">
      <c r="A2242" s="14">
        <v>44976</v>
      </c>
      <c r="B2242" s="10">
        <v>325</v>
      </c>
      <c r="C2242">
        <v>56262</v>
      </c>
      <c r="D2242" s="5">
        <v>5.01</v>
      </c>
      <c r="F2242" s="8">
        <v>99.219706242350057</v>
      </c>
      <c r="G2242" s="8">
        <v>100</v>
      </c>
      <c r="H2242" s="2">
        <f t="shared" si="107"/>
        <v>16515274</v>
      </c>
      <c r="I2242" s="12">
        <f t="shared" si="105"/>
        <v>0.23442499999999999</v>
      </c>
      <c r="J2242" s="12">
        <f t="shared" si="106"/>
        <v>0.21173428205128206</v>
      </c>
    </row>
    <row r="2243" spans="1:10" ht="15" customHeight="1">
      <c r="A2243" s="14">
        <v>44977</v>
      </c>
      <c r="B2243" s="10">
        <v>326</v>
      </c>
      <c r="C2243">
        <v>57763</v>
      </c>
      <c r="D2243" s="5">
        <v>5.09</v>
      </c>
      <c r="F2243" s="8">
        <v>99.247620022520223</v>
      </c>
      <c r="G2243" s="8">
        <v>100</v>
      </c>
      <c r="H2243" s="2">
        <f t="shared" si="107"/>
        <v>16573037</v>
      </c>
      <c r="I2243" s="12">
        <f t="shared" ref="I2243:I2306" si="108">C2243/(10*24*1000)</f>
        <v>0.24067916666666667</v>
      </c>
      <c r="J2243" s="12">
        <f t="shared" si="106"/>
        <v>0.21182307004089979</v>
      </c>
    </row>
    <row r="2244" spans="1:10" ht="15" customHeight="1">
      <c r="A2244" s="14">
        <v>44978</v>
      </c>
      <c r="B2244" s="10">
        <v>327</v>
      </c>
      <c r="C2244">
        <v>51610</v>
      </c>
      <c r="D2244" s="5">
        <v>4.54</v>
      </c>
      <c r="F2244" s="8">
        <v>99.568910215288284</v>
      </c>
      <c r="G2244" s="8">
        <v>100</v>
      </c>
      <c r="H2244" s="2">
        <f t="shared" si="107"/>
        <v>16624647</v>
      </c>
      <c r="I2244" s="12">
        <f t="shared" si="108"/>
        <v>0.21504166666666666</v>
      </c>
      <c r="J2244" s="12">
        <f t="shared" ref="J2244:J2307" si="109">H2244/(24*B2244*10*1000)</f>
        <v>0.21183291284403669</v>
      </c>
    </row>
    <row r="2245" spans="1:10" ht="15" customHeight="1">
      <c r="A2245" s="14">
        <v>44979</v>
      </c>
      <c r="B2245" s="10">
        <v>328</v>
      </c>
      <c r="C2245">
        <v>47108</v>
      </c>
      <c r="D2245" s="5">
        <v>4.3600000000000003</v>
      </c>
      <c r="F2245" s="8">
        <v>98.828125</v>
      </c>
      <c r="G2245" s="8">
        <v>100</v>
      </c>
      <c r="H2245" s="2">
        <f t="shared" si="107"/>
        <v>16671755</v>
      </c>
      <c r="I2245" s="12">
        <f t="shared" si="108"/>
        <v>0.19628333333333334</v>
      </c>
      <c r="J2245" s="12">
        <f t="shared" si="109"/>
        <v>0.21178550558943091</v>
      </c>
    </row>
    <row r="2246" spans="1:10" ht="15" customHeight="1">
      <c r="A2246" s="14">
        <v>44980</v>
      </c>
      <c r="B2246" s="10">
        <v>329</v>
      </c>
      <c r="C2246">
        <v>52893</v>
      </c>
      <c r="D2246" s="5">
        <v>4.71</v>
      </c>
      <c r="F2246" s="8">
        <v>99.090231554059258</v>
      </c>
      <c r="G2246" s="8">
        <v>100</v>
      </c>
      <c r="H2246" s="2">
        <f t="shared" si="107"/>
        <v>16724648</v>
      </c>
      <c r="I2246" s="12">
        <f t="shared" si="108"/>
        <v>0.22038749999999999</v>
      </c>
      <c r="J2246" s="12">
        <f t="shared" si="109"/>
        <v>0.21181165146909828</v>
      </c>
    </row>
    <row r="2247" spans="1:10" ht="15" customHeight="1">
      <c r="A2247" s="14">
        <v>44981</v>
      </c>
      <c r="B2247" s="10">
        <v>330</v>
      </c>
      <c r="C2247">
        <v>45624</v>
      </c>
      <c r="D2247" s="5">
        <v>4.18</v>
      </c>
      <c r="F2247" s="8">
        <v>100</v>
      </c>
      <c r="G2247" s="8">
        <v>100</v>
      </c>
      <c r="H2247" s="2">
        <f t="shared" si="107"/>
        <v>16770272</v>
      </c>
      <c r="I2247" s="12">
        <f t="shared" si="108"/>
        <v>0.19009999999999999</v>
      </c>
      <c r="J2247" s="12">
        <f t="shared" si="109"/>
        <v>0.21174585858585859</v>
      </c>
    </row>
    <row r="2248" spans="1:10" ht="15" customHeight="1">
      <c r="A2248" s="14">
        <v>44982</v>
      </c>
      <c r="B2248" s="10">
        <v>331</v>
      </c>
      <c r="C2248">
        <v>52914</v>
      </c>
      <c r="D2248" s="5">
        <v>4.72</v>
      </c>
      <c r="F2248" s="8">
        <v>100</v>
      </c>
      <c r="G2248" s="8">
        <v>100</v>
      </c>
      <c r="H2248" s="2">
        <f t="shared" si="107"/>
        <v>16823186</v>
      </c>
      <c r="I2248" s="12">
        <f t="shared" si="108"/>
        <v>0.220475</v>
      </c>
      <c r="J2248" s="12">
        <f t="shared" si="109"/>
        <v>0.21177223061430009</v>
      </c>
    </row>
    <row r="2249" spans="1:10" ht="15" customHeight="1">
      <c r="A2249" s="14">
        <v>44983</v>
      </c>
      <c r="B2249" s="10">
        <v>332</v>
      </c>
      <c r="C2249">
        <v>46311</v>
      </c>
      <c r="D2249" s="5">
        <v>4.1900000000000004</v>
      </c>
      <c r="F2249" s="8">
        <v>100</v>
      </c>
      <c r="G2249" s="8">
        <v>100</v>
      </c>
      <c r="H2249" s="2">
        <f t="shared" si="107"/>
        <v>16869497</v>
      </c>
      <c r="I2249" s="12">
        <f t="shared" si="108"/>
        <v>0.19296250000000001</v>
      </c>
      <c r="J2249" s="12">
        <f t="shared" si="109"/>
        <v>0.21171557479919678</v>
      </c>
    </row>
    <row r="2250" spans="1:10" ht="15" customHeight="1">
      <c r="A2250" s="14">
        <v>44984</v>
      </c>
      <c r="B2250" s="10">
        <v>333</v>
      </c>
      <c r="C2250">
        <v>56275</v>
      </c>
      <c r="D2250" s="5">
        <v>5.03</v>
      </c>
      <c r="F2250" s="8">
        <v>100</v>
      </c>
      <c r="G2250" s="8">
        <v>100</v>
      </c>
      <c r="H2250" s="2">
        <f t="shared" si="107"/>
        <v>16925772</v>
      </c>
      <c r="I2250" s="12">
        <f t="shared" si="108"/>
        <v>0.23447916666666666</v>
      </c>
      <c r="J2250" s="12">
        <f t="shared" si="109"/>
        <v>0.21178393393393394</v>
      </c>
    </row>
    <row r="2251" spans="1:10" ht="15" customHeight="1">
      <c r="A2251" s="14">
        <v>44985</v>
      </c>
      <c r="B2251" s="10">
        <v>334</v>
      </c>
      <c r="C2251">
        <v>46250</v>
      </c>
      <c r="D2251" s="5">
        <v>4.21</v>
      </c>
      <c r="F2251" s="8">
        <v>100</v>
      </c>
      <c r="G2251" s="8">
        <v>100</v>
      </c>
      <c r="H2251" s="2">
        <f t="shared" si="107"/>
        <v>16972022</v>
      </c>
      <c r="I2251" s="12">
        <f t="shared" si="108"/>
        <v>0.19270833333333334</v>
      </c>
      <c r="J2251" s="12">
        <f t="shared" si="109"/>
        <v>0.21172682135728543</v>
      </c>
    </row>
    <row r="2252" spans="1:10" ht="15" customHeight="1">
      <c r="A2252" s="14">
        <v>44986</v>
      </c>
      <c r="B2252" s="10">
        <v>335</v>
      </c>
      <c r="C2252">
        <v>46250</v>
      </c>
      <c r="D2252" s="5">
        <v>5.18</v>
      </c>
      <c r="F2252" s="8">
        <v>90.724996135415054</v>
      </c>
      <c r="G2252" s="8">
        <v>100</v>
      </c>
      <c r="H2252" s="2">
        <f t="shared" si="107"/>
        <v>17018272</v>
      </c>
      <c r="I2252" s="12">
        <f t="shared" si="108"/>
        <v>0.19270833333333334</v>
      </c>
      <c r="J2252" s="12">
        <f t="shared" si="109"/>
        <v>0.21167004975124379</v>
      </c>
    </row>
    <row r="2253" spans="1:10" ht="15" customHeight="1">
      <c r="A2253" s="14">
        <v>44987</v>
      </c>
      <c r="B2253" s="10">
        <v>336</v>
      </c>
      <c r="C2253">
        <v>51072</v>
      </c>
      <c r="D2253" s="5">
        <v>5.09</v>
      </c>
      <c r="F2253" s="8">
        <v>100</v>
      </c>
      <c r="G2253" s="8">
        <v>100</v>
      </c>
      <c r="H2253" s="2">
        <f t="shared" si="107"/>
        <v>17069344</v>
      </c>
      <c r="I2253" s="12">
        <f t="shared" si="108"/>
        <v>0.21279999999999999</v>
      </c>
      <c r="J2253" s="12">
        <f t="shared" si="109"/>
        <v>0.21167341269841269</v>
      </c>
    </row>
    <row r="2254" spans="1:10" ht="15" customHeight="1">
      <c r="A2254" s="14">
        <v>44988</v>
      </c>
      <c r="B2254" s="10">
        <v>337</v>
      </c>
      <c r="C2254">
        <v>50832</v>
      </c>
      <c r="D2254" s="5">
        <v>5.12</v>
      </c>
      <c r="F2254" s="8">
        <v>100</v>
      </c>
      <c r="G2254" s="8">
        <v>100</v>
      </c>
      <c r="H2254" s="2">
        <f t="shared" si="107"/>
        <v>17120176</v>
      </c>
      <c r="I2254" s="12">
        <f t="shared" si="108"/>
        <v>0.21179999999999999</v>
      </c>
      <c r="J2254" s="12">
        <f t="shared" si="109"/>
        <v>0.21167378832838774</v>
      </c>
    </row>
    <row r="2255" spans="1:10" ht="15" customHeight="1">
      <c r="A2255" s="14">
        <v>44989</v>
      </c>
      <c r="B2255" s="10">
        <v>338</v>
      </c>
      <c r="C2255">
        <v>32378</v>
      </c>
      <c r="D2255" s="5">
        <v>3.21</v>
      </c>
      <c r="F2255" s="8">
        <v>100</v>
      </c>
      <c r="G2255" s="8">
        <v>100</v>
      </c>
      <c r="H2255" s="2">
        <f t="shared" si="107"/>
        <v>17152554</v>
      </c>
      <c r="I2255" s="12">
        <f t="shared" si="108"/>
        <v>0.13490833333333332</v>
      </c>
      <c r="J2255" s="12">
        <f t="shared" si="109"/>
        <v>0.21144667159763314</v>
      </c>
    </row>
    <row r="2256" spans="1:10" ht="15" customHeight="1">
      <c r="A2256" s="14">
        <v>44990</v>
      </c>
      <c r="B2256" s="10">
        <v>339</v>
      </c>
      <c r="C2256">
        <v>62739</v>
      </c>
      <c r="D2256" s="5">
        <v>6.2</v>
      </c>
      <c r="F2256" s="8">
        <v>100</v>
      </c>
      <c r="G2256" s="8">
        <v>100</v>
      </c>
      <c r="H2256" s="2">
        <f t="shared" si="107"/>
        <v>17215293</v>
      </c>
      <c r="I2256" s="12">
        <f t="shared" si="108"/>
        <v>0.26141249999999999</v>
      </c>
      <c r="J2256" s="12">
        <f t="shared" si="109"/>
        <v>0.2115940634218289</v>
      </c>
    </row>
    <row r="2257" spans="1:10" ht="15" customHeight="1">
      <c r="A2257" s="14">
        <v>44991</v>
      </c>
      <c r="B2257" s="10">
        <v>340</v>
      </c>
      <c r="C2257">
        <v>60535</v>
      </c>
      <c r="D2257" s="5">
        <v>6.02</v>
      </c>
      <c r="F2257" s="8">
        <v>100</v>
      </c>
      <c r="G2257" s="8">
        <v>100</v>
      </c>
      <c r="H2257" s="2">
        <f t="shared" si="107"/>
        <v>17275828</v>
      </c>
      <c r="I2257" s="12">
        <f t="shared" si="108"/>
        <v>0.25222916666666667</v>
      </c>
      <c r="J2257" s="12">
        <f t="shared" si="109"/>
        <v>0.21171357843137256</v>
      </c>
    </row>
    <row r="2258" spans="1:10" ht="15" customHeight="1">
      <c r="A2258" s="14">
        <v>44992</v>
      </c>
      <c r="B2258" s="10">
        <v>341</v>
      </c>
      <c r="C2258">
        <v>52387</v>
      </c>
      <c r="D2258" s="5">
        <v>5.25</v>
      </c>
      <c r="F2258" s="8">
        <v>100</v>
      </c>
      <c r="G2258" s="8">
        <v>100</v>
      </c>
      <c r="H2258" s="2">
        <f t="shared" si="107"/>
        <v>17328215</v>
      </c>
      <c r="I2258" s="12">
        <f t="shared" si="108"/>
        <v>0.21827916666666666</v>
      </c>
      <c r="J2258" s="12">
        <f t="shared" si="109"/>
        <v>0.21173283235581622</v>
      </c>
    </row>
    <row r="2259" spans="1:10" ht="15" customHeight="1">
      <c r="A2259" s="14">
        <v>44993</v>
      </c>
      <c r="B2259" s="10">
        <v>342</v>
      </c>
      <c r="C2259">
        <v>60030</v>
      </c>
      <c r="D2259" s="5">
        <v>6.01</v>
      </c>
      <c r="F2259" s="8">
        <v>100</v>
      </c>
      <c r="G2259" s="8">
        <v>100</v>
      </c>
      <c r="H2259" s="2">
        <f t="shared" si="107"/>
        <v>17388245</v>
      </c>
      <c r="I2259" s="12">
        <f t="shared" si="108"/>
        <v>0.25012499999999999</v>
      </c>
      <c r="J2259" s="12">
        <f t="shared" si="109"/>
        <v>0.21184509015594541</v>
      </c>
    </row>
    <row r="2260" spans="1:10" ht="15" customHeight="1">
      <c r="A2260" s="14">
        <v>44994</v>
      </c>
      <c r="B2260" s="10">
        <v>343</v>
      </c>
      <c r="C2260">
        <v>57745</v>
      </c>
      <c r="D2260" s="5">
        <v>6.14</v>
      </c>
      <c r="F2260" s="8">
        <v>100</v>
      </c>
      <c r="G2260" s="8">
        <v>93.081492993758303</v>
      </c>
      <c r="H2260" s="2">
        <f t="shared" si="107"/>
        <v>17445990</v>
      </c>
      <c r="I2260" s="12">
        <f t="shared" si="108"/>
        <v>0.24060416666666667</v>
      </c>
      <c r="J2260" s="12">
        <f t="shared" si="109"/>
        <v>0.21192893586005832</v>
      </c>
    </row>
    <row r="2261" spans="1:10" ht="15" customHeight="1">
      <c r="A2261" s="14">
        <v>44995</v>
      </c>
      <c r="B2261" s="10">
        <v>344</v>
      </c>
      <c r="C2261">
        <v>59479</v>
      </c>
      <c r="D2261" s="5">
        <v>6.03</v>
      </c>
      <c r="F2261" s="8">
        <v>100</v>
      </c>
      <c r="G2261" s="8">
        <v>100</v>
      </c>
      <c r="H2261" s="2">
        <f t="shared" si="107"/>
        <v>17505469</v>
      </c>
      <c r="I2261" s="12">
        <f t="shared" si="108"/>
        <v>0.24782916666666666</v>
      </c>
      <c r="J2261" s="12">
        <f t="shared" si="109"/>
        <v>0.21203329699612403</v>
      </c>
    </row>
    <row r="2262" spans="1:10" ht="15" customHeight="1">
      <c r="A2262" s="14">
        <v>44996</v>
      </c>
      <c r="B2262" s="10">
        <v>345</v>
      </c>
      <c r="C2262">
        <v>60993</v>
      </c>
      <c r="D2262" s="5">
        <v>6.15</v>
      </c>
      <c r="F2262" s="8">
        <v>100</v>
      </c>
      <c r="G2262" s="8">
        <v>100</v>
      </c>
      <c r="H2262" s="2">
        <f t="shared" si="107"/>
        <v>17566462</v>
      </c>
      <c r="I2262" s="12">
        <f t="shared" si="108"/>
        <v>0.25413750000000002</v>
      </c>
      <c r="J2262" s="12">
        <f t="shared" si="109"/>
        <v>0.21215533816425119</v>
      </c>
    </row>
    <row r="2263" spans="1:10" ht="15" customHeight="1">
      <c r="A2263" s="14">
        <v>44997</v>
      </c>
      <c r="B2263" s="10">
        <v>346</v>
      </c>
      <c r="C2263">
        <v>48260</v>
      </c>
      <c r="D2263" s="5">
        <v>4.82</v>
      </c>
      <c r="F2263" s="8">
        <v>100</v>
      </c>
      <c r="G2263" s="8">
        <v>100</v>
      </c>
      <c r="H2263" s="2">
        <f t="shared" si="107"/>
        <v>17614722</v>
      </c>
      <c r="I2263" s="12">
        <f t="shared" si="108"/>
        <v>0.20108333333333334</v>
      </c>
      <c r="J2263" s="12">
        <f t="shared" si="109"/>
        <v>0.21212333815028903</v>
      </c>
    </row>
    <row r="2264" spans="1:10" ht="15" customHeight="1">
      <c r="A2264" s="14">
        <v>44998</v>
      </c>
      <c r="B2264" s="10">
        <v>347</v>
      </c>
      <c r="C2264">
        <v>56054</v>
      </c>
      <c r="D2264" s="5">
        <v>5.71</v>
      </c>
      <c r="F2264" s="8">
        <v>100</v>
      </c>
      <c r="G2264" s="8">
        <v>100</v>
      </c>
      <c r="H2264" s="2">
        <f t="shared" si="107"/>
        <v>17670776</v>
      </c>
      <c r="I2264" s="12">
        <f t="shared" si="108"/>
        <v>0.23355833333333334</v>
      </c>
      <c r="J2264" s="12">
        <f t="shared" si="109"/>
        <v>0.21218511047070124</v>
      </c>
    </row>
    <row r="2265" spans="1:10" ht="15" customHeight="1">
      <c r="A2265" s="14">
        <v>44999</v>
      </c>
      <c r="B2265" s="10">
        <v>348</v>
      </c>
      <c r="C2265">
        <v>57973</v>
      </c>
      <c r="D2265" s="5">
        <v>6.06</v>
      </c>
      <c r="F2265" s="8">
        <v>100</v>
      </c>
      <c r="G2265" s="8">
        <v>100</v>
      </c>
      <c r="H2265" s="2">
        <f t="shared" si="107"/>
        <v>17728749</v>
      </c>
      <c r="I2265" s="12">
        <f t="shared" si="108"/>
        <v>0.24155416666666665</v>
      </c>
      <c r="J2265" s="12">
        <f t="shared" si="109"/>
        <v>0.21226950431034483</v>
      </c>
    </row>
    <row r="2266" spans="1:10" ht="15" customHeight="1">
      <c r="A2266" s="14">
        <v>45000</v>
      </c>
      <c r="B2266" s="10">
        <v>349</v>
      </c>
      <c r="C2266">
        <v>33910</v>
      </c>
      <c r="D2266" s="5">
        <v>3.23</v>
      </c>
      <c r="F2266" s="8">
        <v>100</v>
      </c>
      <c r="G2266" s="8">
        <v>100</v>
      </c>
      <c r="H2266" s="2">
        <f t="shared" si="107"/>
        <v>17762659</v>
      </c>
      <c r="I2266" s="12">
        <f t="shared" si="108"/>
        <v>0.14129166666666668</v>
      </c>
      <c r="J2266" s="12">
        <f t="shared" si="109"/>
        <v>0.21206612941738301</v>
      </c>
    </row>
    <row r="2267" spans="1:10" ht="15" customHeight="1">
      <c r="A2267" s="14">
        <v>45001</v>
      </c>
      <c r="B2267" s="10">
        <v>350</v>
      </c>
      <c r="C2267">
        <v>32673</v>
      </c>
      <c r="D2267" s="5">
        <v>3.25</v>
      </c>
      <c r="F2267" s="8">
        <v>99.56199969793083</v>
      </c>
      <c r="G2267" s="8">
        <v>100</v>
      </c>
      <c r="H2267" s="2">
        <f t="shared" si="107"/>
        <v>17795332</v>
      </c>
      <c r="I2267" s="12">
        <f t="shared" si="108"/>
        <v>0.13613749999999999</v>
      </c>
      <c r="J2267" s="12">
        <f t="shared" si="109"/>
        <v>0.21184919047619047</v>
      </c>
    </row>
    <row r="2268" spans="1:10" ht="15" customHeight="1">
      <c r="A2268" s="14">
        <v>45002</v>
      </c>
      <c r="B2268" s="10">
        <v>351</v>
      </c>
      <c r="C2268">
        <v>22016</v>
      </c>
      <c r="D2268" s="5">
        <v>2.2200000000000002</v>
      </c>
      <c r="F2268" s="8">
        <v>100</v>
      </c>
      <c r="G2268" s="8">
        <v>100</v>
      </c>
      <c r="H2268" s="2">
        <f t="shared" si="107"/>
        <v>17817348</v>
      </c>
      <c r="I2268" s="12">
        <f t="shared" si="108"/>
        <v>9.1733333333333333E-2</v>
      </c>
      <c r="J2268" s="12">
        <f t="shared" si="109"/>
        <v>0.21150698005698007</v>
      </c>
    </row>
    <row r="2269" spans="1:10" ht="15" customHeight="1">
      <c r="A2269" s="14">
        <v>45003</v>
      </c>
      <c r="B2269" s="10">
        <v>352</v>
      </c>
      <c r="C2269">
        <v>53823</v>
      </c>
      <c r="D2269" s="5">
        <v>5.26</v>
      </c>
      <c r="F2269" s="8">
        <v>99.312372315511482</v>
      </c>
      <c r="G2269" s="8">
        <v>100</v>
      </c>
      <c r="H2269" s="2">
        <f t="shared" si="107"/>
        <v>17871171</v>
      </c>
      <c r="I2269" s="12">
        <f t="shared" si="108"/>
        <v>0.2242625</v>
      </c>
      <c r="J2269" s="12">
        <f t="shared" si="109"/>
        <v>0.21154321732954545</v>
      </c>
    </row>
    <row r="2270" spans="1:10" ht="15" customHeight="1">
      <c r="A2270" s="14">
        <v>45004</v>
      </c>
      <c r="B2270" s="10">
        <v>353</v>
      </c>
      <c r="C2270">
        <v>51504</v>
      </c>
      <c r="D2270" s="5">
        <v>5.19</v>
      </c>
      <c r="F2270" s="8">
        <v>99.494386199717454</v>
      </c>
      <c r="G2270" s="8">
        <v>100</v>
      </c>
      <c r="H2270" s="2">
        <f t="shared" si="107"/>
        <v>17922675</v>
      </c>
      <c r="I2270" s="12">
        <f t="shared" si="108"/>
        <v>0.21460000000000001</v>
      </c>
      <c r="J2270" s="12">
        <f t="shared" si="109"/>
        <v>0.21155187677053824</v>
      </c>
    </row>
    <row r="2271" spans="1:10" ht="15" customHeight="1">
      <c r="A2271" s="14">
        <v>45005</v>
      </c>
      <c r="B2271" s="10">
        <v>354</v>
      </c>
      <c r="C2271">
        <v>59201</v>
      </c>
      <c r="D2271" s="5">
        <v>6.06</v>
      </c>
      <c r="F2271" s="8">
        <v>99.294204141649317</v>
      </c>
      <c r="G2271" s="8">
        <v>100</v>
      </c>
      <c r="H2271" s="2">
        <f t="shared" si="107"/>
        <v>17981876</v>
      </c>
      <c r="I2271" s="12">
        <f t="shared" si="108"/>
        <v>0.24667083333333334</v>
      </c>
      <c r="J2271" s="12">
        <f t="shared" si="109"/>
        <v>0.21165108286252354</v>
      </c>
    </row>
    <row r="2272" spans="1:10" ht="15" customHeight="1">
      <c r="A2272" s="14">
        <v>45006</v>
      </c>
      <c r="B2272" s="10">
        <v>355</v>
      </c>
      <c r="C2272">
        <v>65078</v>
      </c>
      <c r="D2272" s="5">
        <v>6.67</v>
      </c>
      <c r="F2272" s="8">
        <v>99.094141138654848</v>
      </c>
      <c r="G2272" s="8">
        <v>100</v>
      </c>
      <c r="H2272" s="2">
        <f t="shared" si="107"/>
        <v>18046954</v>
      </c>
      <c r="I2272" s="12">
        <f t="shared" si="108"/>
        <v>0.27115833333333333</v>
      </c>
      <c r="J2272" s="12">
        <f t="shared" si="109"/>
        <v>0.21181870892018778</v>
      </c>
    </row>
    <row r="2273" spans="1:10" ht="15" customHeight="1">
      <c r="A2273" s="14">
        <v>45007</v>
      </c>
      <c r="B2273" s="10">
        <v>356</v>
      </c>
      <c r="C2273">
        <v>40092</v>
      </c>
      <c r="D2273" s="5">
        <v>4.16</v>
      </c>
      <c r="F2273" s="8">
        <v>100</v>
      </c>
      <c r="G2273" s="8">
        <v>100</v>
      </c>
      <c r="H2273" s="2">
        <f t="shared" si="107"/>
        <v>18087046</v>
      </c>
      <c r="I2273" s="12">
        <f t="shared" si="108"/>
        <v>0.16705</v>
      </c>
      <c r="J2273" s="12">
        <f t="shared" si="109"/>
        <v>0.21169295411985017</v>
      </c>
    </row>
    <row r="2274" spans="1:10" ht="15" customHeight="1">
      <c r="A2274" s="14">
        <v>45008</v>
      </c>
      <c r="B2274" s="10">
        <v>357</v>
      </c>
      <c r="C2274">
        <v>53511</v>
      </c>
      <c r="D2274" s="5">
        <v>5.5600000000000005</v>
      </c>
      <c r="F2274" s="8">
        <v>99.203715992037161</v>
      </c>
      <c r="G2274" s="8">
        <v>100</v>
      </c>
      <c r="H2274" s="2">
        <f t="shared" si="107"/>
        <v>18140557</v>
      </c>
      <c r="I2274" s="12">
        <f t="shared" si="108"/>
        <v>0.22296250000000001</v>
      </c>
      <c r="J2274" s="12">
        <f t="shared" si="109"/>
        <v>0.21172452147525678</v>
      </c>
    </row>
    <row r="2275" spans="1:10" ht="15" customHeight="1">
      <c r="A2275" s="14">
        <v>45009</v>
      </c>
      <c r="B2275" s="10">
        <v>358</v>
      </c>
      <c r="C2275">
        <v>51975</v>
      </c>
      <c r="D2275" s="5">
        <v>5.74</v>
      </c>
      <c r="F2275" s="8">
        <v>99.501149312857635</v>
      </c>
      <c r="G2275" s="8">
        <v>100</v>
      </c>
      <c r="H2275" s="2">
        <f t="shared" si="107"/>
        <v>18192532</v>
      </c>
      <c r="I2275" s="12">
        <f t="shared" si="108"/>
        <v>0.21656249999999999</v>
      </c>
      <c r="J2275" s="12">
        <f t="shared" si="109"/>
        <v>0.21173803538175046</v>
      </c>
    </row>
    <row r="2276" spans="1:10" ht="15" customHeight="1">
      <c r="A2276" s="14">
        <v>45010</v>
      </c>
      <c r="B2276" s="10">
        <v>359</v>
      </c>
      <c r="C2276">
        <v>46894</v>
      </c>
      <c r="D2276" s="5">
        <v>5.51</v>
      </c>
      <c r="F2276" s="8">
        <v>100</v>
      </c>
      <c r="G2276" s="8">
        <v>100</v>
      </c>
      <c r="H2276" s="2">
        <f t="shared" si="107"/>
        <v>18239426</v>
      </c>
      <c r="I2276" s="12">
        <f t="shared" si="108"/>
        <v>0.19539166666666666</v>
      </c>
      <c r="J2276" s="12">
        <f t="shared" si="109"/>
        <v>0.21169250232126277</v>
      </c>
    </row>
    <row r="2277" spans="1:10" ht="15" customHeight="1">
      <c r="A2277" s="14">
        <v>45011</v>
      </c>
      <c r="B2277" s="10">
        <v>360</v>
      </c>
      <c r="C2277">
        <v>56620</v>
      </c>
      <c r="D2277" s="5">
        <v>6.29</v>
      </c>
      <c r="F2277" s="8">
        <v>99.371023184377975</v>
      </c>
      <c r="G2277" s="8">
        <v>100</v>
      </c>
      <c r="H2277" s="2">
        <f t="shared" si="107"/>
        <v>18296046</v>
      </c>
      <c r="I2277" s="12">
        <f t="shared" si="108"/>
        <v>0.23591666666666666</v>
      </c>
      <c r="J2277" s="12">
        <f t="shared" si="109"/>
        <v>0.21175979166666667</v>
      </c>
    </row>
    <row r="2278" spans="1:10" ht="15" customHeight="1">
      <c r="A2278" s="14">
        <v>45012</v>
      </c>
      <c r="B2278" s="10">
        <v>361</v>
      </c>
      <c r="C2278">
        <v>64610</v>
      </c>
      <c r="D2278" s="5">
        <v>6.83</v>
      </c>
      <c r="F2278" s="8">
        <v>99.198426000145744</v>
      </c>
      <c r="G2278" s="8">
        <v>100</v>
      </c>
      <c r="H2278" s="2">
        <f t="shared" si="107"/>
        <v>18360656</v>
      </c>
      <c r="I2278" s="12">
        <f t="shared" si="108"/>
        <v>0.26920833333333333</v>
      </c>
      <c r="J2278" s="12">
        <f t="shared" si="109"/>
        <v>0.21191892890120037</v>
      </c>
    </row>
    <row r="2279" spans="1:10" ht="15" customHeight="1">
      <c r="A2279" s="14">
        <v>45013</v>
      </c>
      <c r="B2279" s="10">
        <v>362</v>
      </c>
      <c r="C2279">
        <v>61320</v>
      </c>
      <c r="D2279" s="5">
        <v>6.65</v>
      </c>
      <c r="F2279" s="8">
        <v>99.301835107027699</v>
      </c>
      <c r="G2279" s="8">
        <v>100</v>
      </c>
      <c r="H2279" s="2">
        <f t="shared" si="107"/>
        <v>18421976</v>
      </c>
      <c r="I2279" s="12">
        <f t="shared" si="108"/>
        <v>0.2555</v>
      </c>
      <c r="J2279" s="12">
        <f t="shared" si="109"/>
        <v>0.21203931860036832</v>
      </c>
    </row>
    <row r="2280" spans="1:10" ht="15" customHeight="1">
      <c r="A2280" s="14">
        <v>45014</v>
      </c>
      <c r="B2280" s="10">
        <v>363</v>
      </c>
      <c r="C2280">
        <v>53907</v>
      </c>
      <c r="D2280" s="5">
        <v>5.92</v>
      </c>
      <c r="F2280" s="8">
        <v>99.496308733117701</v>
      </c>
      <c r="G2280" s="8">
        <v>100</v>
      </c>
      <c r="H2280" s="2">
        <f t="shared" si="107"/>
        <v>18475883</v>
      </c>
      <c r="I2280" s="12">
        <f t="shared" si="108"/>
        <v>0.22461249999999999</v>
      </c>
      <c r="J2280" s="12">
        <f t="shared" si="109"/>
        <v>0.2120739554637282</v>
      </c>
    </row>
    <row r="2281" spans="1:10" ht="15" customHeight="1">
      <c r="A2281" s="14">
        <v>45015</v>
      </c>
      <c r="B2281" s="10">
        <v>364</v>
      </c>
      <c r="C2281">
        <v>27398</v>
      </c>
      <c r="D2281" s="5">
        <v>2.96</v>
      </c>
      <c r="F2281" s="8">
        <v>100</v>
      </c>
      <c r="G2281" s="8">
        <v>100</v>
      </c>
      <c r="H2281" s="2">
        <f t="shared" si="107"/>
        <v>18503281</v>
      </c>
      <c r="I2281" s="12">
        <f t="shared" si="108"/>
        <v>0.11415833333333333</v>
      </c>
      <c r="J2281" s="12">
        <f t="shared" si="109"/>
        <v>0.21180495650183151</v>
      </c>
    </row>
    <row r="2282" spans="1:10" ht="15" customHeight="1">
      <c r="A2282" s="14">
        <v>45016</v>
      </c>
      <c r="B2282" s="10">
        <v>365</v>
      </c>
      <c r="C2282">
        <v>58230</v>
      </c>
      <c r="D2282" s="5">
        <v>6.36</v>
      </c>
      <c r="F2282" s="8">
        <v>99.145625143031495</v>
      </c>
      <c r="G2282" s="8">
        <v>96.948661225112517</v>
      </c>
      <c r="H2282" s="2">
        <f t="shared" si="107"/>
        <v>18561511</v>
      </c>
      <c r="I2282" s="12">
        <f t="shared" si="108"/>
        <v>0.24262500000000001</v>
      </c>
      <c r="J2282" s="12">
        <f t="shared" si="109"/>
        <v>0.21188939497716894</v>
      </c>
    </row>
    <row r="2283" spans="1:10" ht="15" customHeight="1">
      <c r="A2283" s="14">
        <v>45017</v>
      </c>
      <c r="B2283" s="10">
        <v>1</v>
      </c>
      <c r="C2283">
        <v>59338</v>
      </c>
      <c r="D2283" s="5">
        <v>6.32</v>
      </c>
      <c r="F2283" s="8">
        <v>99.143848254483729</v>
      </c>
      <c r="G2283" s="8">
        <v>100</v>
      </c>
      <c r="H2283" s="2">
        <f>C2283</f>
        <v>59338</v>
      </c>
      <c r="I2283" s="12">
        <f t="shared" si="108"/>
        <v>0.24724166666666667</v>
      </c>
      <c r="J2283" s="12">
        <f t="shared" si="109"/>
        <v>0.24724166666666667</v>
      </c>
    </row>
    <row r="2284" spans="1:10" ht="15" customHeight="1">
      <c r="A2284" s="14">
        <v>45018</v>
      </c>
      <c r="B2284" s="10">
        <v>2</v>
      </c>
      <c r="C2284">
        <v>63768</v>
      </c>
      <c r="D2284" s="5">
        <v>7.12</v>
      </c>
      <c r="F2284" s="8">
        <v>99.043859864179069</v>
      </c>
      <c r="G2284" s="8">
        <v>100</v>
      </c>
      <c r="H2284" s="2">
        <f t="shared" ref="H2284:H2347" si="110">C2284+H2283</f>
        <v>123106</v>
      </c>
      <c r="I2284" s="12">
        <f t="shared" si="108"/>
        <v>0.26569999999999999</v>
      </c>
      <c r="J2284" s="12">
        <f t="shared" si="109"/>
        <v>0.25647083333333331</v>
      </c>
    </row>
    <row r="2285" spans="1:10" ht="15" customHeight="1">
      <c r="A2285" s="14">
        <v>45019</v>
      </c>
      <c r="B2285" s="10">
        <v>3</v>
      </c>
      <c r="C2285">
        <v>56744</v>
      </c>
      <c r="D2285" s="5">
        <v>6.01</v>
      </c>
      <c r="F2285" s="8">
        <v>99.631838598041384</v>
      </c>
      <c r="G2285" s="8">
        <v>100</v>
      </c>
      <c r="H2285" s="2">
        <f t="shared" si="110"/>
        <v>179850</v>
      </c>
      <c r="I2285" s="12">
        <f t="shared" si="108"/>
        <v>0.23643333333333333</v>
      </c>
      <c r="J2285" s="12">
        <f t="shared" si="109"/>
        <v>0.24979166666666666</v>
      </c>
    </row>
    <row r="2286" spans="1:10" ht="15" customHeight="1">
      <c r="A2286" s="14">
        <v>45020</v>
      </c>
      <c r="B2286" s="10">
        <v>4</v>
      </c>
      <c r="C2286">
        <v>65449</v>
      </c>
      <c r="D2286" s="5">
        <v>6.96</v>
      </c>
      <c r="F2286" s="8">
        <v>99.172861995962776</v>
      </c>
      <c r="G2286" s="8">
        <v>100</v>
      </c>
      <c r="H2286" s="2">
        <f t="shared" si="110"/>
        <v>245299</v>
      </c>
      <c r="I2286" s="12">
        <f t="shared" si="108"/>
        <v>0.27270416666666669</v>
      </c>
      <c r="J2286" s="12">
        <f t="shared" si="109"/>
        <v>0.25551979166666666</v>
      </c>
    </row>
    <row r="2287" spans="1:10" ht="15" customHeight="1">
      <c r="A2287" s="14">
        <v>45021</v>
      </c>
      <c r="B2287" s="10">
        <v>5</v>
      </c>
      <c r="C2287">
        <v>60392</v>
      </c>
      <c r="D2287" s="5">
        <v>6.73</v>
      </c>
      <c r="F2287" s="8">
        <v>99.098055644545212</v>
      </c>
      <c r="G2287" s="8">
        <v>100</v>
      </c>
      <c r="H2287" s="2">
        <f t="shared" si="110"/>
        <v>305691</v>
      </c>
      <c r="I2287" s="12">
        <f t="shared" si="108"/>
        <v>0.25163333333333332</v>
      </c>
      <c r="J2287" s="12">
        <f t="shared" si="109"/>
        <v>0.25474249999999998</v>
      </c>
    </row>
    <row r="2288" spans="1:10" ht="15" customHeight="1">
      <c r="A2288" s="14">
        <v>45022</v>
      </c>
      <c r="B2288" s="10">
        <v>6</v>
      </c>
      <c r="C2288">
        <v>58388</v>
      </c>
      <c r="D2288" s="5">
        <v>6.7</v>
      </c>
      <c r="F2288" s="8">
        <v>99.056255990562562</v>
      </c>
      <c r="G2288" s="8">
        <v>100</v>
      </c>
      <c r="H2288" s="2">
        <f t="shared" si="110"/>
        <v>364079</v>
      </c>
      <c r="I2288" s="12">
        <f t="shared" si="108"/>
        <v>0.24328333333333332</v>
      </c>
      <c r="J2288" s="12">
        <f t="shared" si="109"/>
        <v>0.25283263888888891</v>
      </c>
    </row>
    <row r="2289" spans="1:10" ht="15" customHeight="1">
      <c r="A2289" s="14">
        <v>45023</v>
      </c>
      <c r="B2289" s="10">
        <v>7</v>
      </c>
      <c r="C2289">
        <v>62550</v>
      </c>
      <c r="D2289" s="5">
        <v>6.81</v>
      </c>
      <c r="F2289" s="8">
        <v>99.144079885877318</v>
      </c>
      <c r="G2289" s="8">
        <v>100</v>
      </c>
      <c r="H2289" s="2">
        <f t="shared" si="110"/>
        <v>426629</v>
      </c>
      <c r="I2289" s="12">
        <f t="shared" si="108"/>
        <v>0.260625</v>
      </c>
      <c r="J2289" s="12">
        <f t="shared" si="109"/>
        <v>0.25394583333333332</v>
      </c>
    </row>
    <row r="2290" spans="1:10" ht="15" customHeight="1">
      <c r="A2290" s="14">
        <v>45024</v>
      </c>
      <c r="B2290" s="10">
        <v>8</v>
      </c>
      <c r="C2290">
        <v>64664</v>
      </c>
      <c r="D2290" s="5">
        <v>7.41</v>
      </c>
      <c r="F2290" s="8">
        <v>99.087340529931296</v>
      </c>
      <c r="G2290" s="8">
        <v>100</v>
      </c>
      <c r="H2290" s="2">
        <f t="shared" si="110"/>
        <v>491293</v>
      </c>
      <c r="I2290" s="12">
        <f t="shared" si="108"/>
        <v>0.26943333333333336</v>
      </c>
      <c r="J2290" s="12">
        <f t="shared" si="109"/>
        <v>0.25588177083333336</v>
      </c>
    </row>
    <row r="2291" spans="1:10" ht="15" customHeight="1">
      <c r="A2291" s="14">
        <v>45025</v>
      </c>
      <c r="B2291" s="10">
        <v>9</v>
      </c>
      <c r="C2291">
        <v>63236</v>
      </c>
      <c r="D2291" s="5">
        <v>7.49</v>
      </c>
      <c r="F2291" s="8">
        <v>99.148936170212764</v>
      </c>
      <c r="G2291" s="8">
        <v>100</v>
      </c>
      <c r="H2291" s="2">
        <f t="shared" si="110"/>
        <v>554529</v>
      </c>
      <c r="I2291" s="12">
        <f t="shared" si="108"/>
        <v>0.26348333333333335</v>
      </c>
      <c r="J2291" s="12">
        <f t="shared" si="109"/>
        <v>0.25672638888888888</v>
      </c>
    </row>
    <row r="2292" spans="1:10" ht="15" customHeight="1">
      <c r="A2292" s="14">
        <v>45026</v>
      </c>
      <c r="B2292" s="10">
        <v>10</v>
      </c>
      <c r="C2292">
        <v>55510</v>
      </c>
      <c r="D2292" s="5">
        <v>6.44</v>
      </c>
      <c r="F2292" s="8">
        <v>99.498623672827364</v>
      </c>
      <c r="G2292" s="8">
        <v>100</v>
      </c>
      <c r="H2292" s="2">
        <f t="shared" si="110"/>
        <v>610039</v>
      </c>
      <c r="I2292" s="12">
        <f t="shared" si="108"/>
        <v>0.23129166666666667</v>
      </c>
      <c r="J2292" s="12">
        <f t="shared" si="109"/>
        <v>0.25418291666666665</v>
      </c>
    </row>
    <row r="2293" spans="1:10" ht="15" customHeight="1">
      <c r="A2293" s="14">
        <v>45027</v>
      </c>
      <c r="B2293" s="10">
        <v>11</v>
      </c>
      <c r="C2293">
        <v>33705</v>
      </c>
      <c r="D2293" s="5">
        <v>4.01</v>
      </c>
      <c r="F2293" s="8">
        <v>100</v>
      </c>
      <c r="G2293" s="8">
        <v>100</v>
      </c>
      <c r="H2293" s="2">
        <f t="shared" si="110"/>
        <v>643744</v>
      </c>
      <c r="I2293" s="12">
        <f t="shared" si="108"/>
        <v>0.14043749999999999</v>
      </c>
      <c r="J2293" s="12">
        <f t="shared" si="109"/>
        <v>0.24384242424242425</v>
      </c>
    </row>
    <row r="2294" spans="1:10" ht="15" customHeight="1">
      <c r="A2294" s="14">
        <v>45028</v>
      </c>
      <c r="B2294" s="10">
        <v>12</v>
      </c>
      <c r="C2294">
        <v>61029</v>
      </c>
      <c r="D2294" s="5">
        <v>7.04</v>
      </c>
      <c r="F2294" s="8">
        <v>99.151764676703294</v>
      </c>
      <c r="G2294" s="8">
        <v>100</v>
      </c>
      <c r="H2294" s="2">
        <f t="shared" si="110"/>
        <v>704773</v>
      </c>
      <c r="I2294" s="12">
        <f t="shared" si="108"/>
        <v>0.2542875</v>
      </c>
      <c r="J2294" s="12">
        <f t="shared" si="109"/>
        <v>0.24471284722222222</v>
      </c>
    </row>
    <row r="2295" spans="1:10" ht="15" customHeight="1">
      <c r="A2295" s="14">
        <v>45029</v>
      </c>
      <c r="B2295" s="10">
        <v>13</v>
      </c>
      <c r="C2295">
        <v>54105</v>
      </c>
      <c r="D2295" s="5">
        <v>6.84</v>
      </c>
      <c r="F2295" s="8">
        <v>99.383697326909441</v>
      </c>
      <c r="G2295" s="8">
        <v>100</v>
      </c>
      <c r="H2295" s="2">
        <f t="shared" si="110"/>
        <v>758878</v>
      </c>
      <c r="I2295" s="12">
        <f t="shared" si="108"/>
        <v>0.22543750000000001</v>
      </c>
      <c r="J2295" s="12">
        <f t="shared" si="109"/>
        <v>0.24323012820512821</v>
      </c>
    </row>
    <row r="2296" spans="1:10" ht="15" customHeight="1">
      <c r="A2296" s="14">
        <v>45030</v>
      </c>
      <c r="B2296" s="10">
        <v>14</v>
      </c>
      <c r="C2296">
        <v>61449</v>
      </c>
      <c r="D2296" s="5">
        <v>7.42</v>
      </c>
      <c r="F2296" s="8">
        <v>99.181266600063353</v>
      </c>
      <c r="G2296" s="8">
        <v>100</v>
      </c>
      <c r="H2296" s="2">
        <f t="shared" si="110"/>
        <v>820327</v>
      </c>
      <c r="I2296" s="12">
        <f t="shared" si="108"/>
        <v>0.25603749999999997</v>
      </c>
      <c r="J2296" s="12">
        <f t="shared" si="109"/>
        <v>0.24414494047619048</v>
      </c>
    </row>
    <row r="2297" spans="1:10" ht="15" customHeight="1">
      <c r="A2297" s="14">
        <v>45031</v>
      </c>
      <c r="B2297" s="10">
        <v>15</v>
      </c>
      <c r="C2297">
        <v>58371</v>
      </c>
      <c r="D2297" s="5">
        <v>7.15</v>
      </c>
      <c r="F2297" s="8">
        <v>99.227292608251929</v>
      </c>
      <c r="G2297" s="8">
        <v>100</v>
      </c>
      <c r="H2297" s="2">
        <f t="shared" si="110"/>
        <v>878698</v>
      </c>
      <c r="I2297" s="12">
        <f t="shared" si="108"/>
        <v>0.2432125</v>
      </c>
      <c r="J2297" s="12">
        <f t="shared" si="109"/>
        <v>0.24408277777777779</v>
      </c>
    </row>
    <row r="2298" spans="1:10" ht="15" customHeight="1">
      <c r="A2298" s="14">
        <v>45032</v>
      </c>
      <c r="B2298" s="10">
        <v>16</v>
      </c>
      <c r="C2298">
        <v>61590</v>
      </c>
      <c r="D2298" s="5">
        <v>7.23</v>
      </c>
      <c r="F2298" s="8">
        <v>99.254658385093165</v>
      </c>
      <c r="G2298" s="8">
        <v>100</v>
      </c>
      <c r="H2298" s="2">
        <f t="shared" si="110"/>
        <v>940288</v>
      </c>
      <c r="I2298" s="12">
        <f t="shared" si="108"/>
        <v>0.25662499999999999</v>
      </c>
      <c r="J2298" s="12">
        <f t="shared" si="109"/>
        <v>0.24486666666666668</v>
      </c>
    </row>
    <row r="2299" spans="1:10" ht="15" customHeight="1">
      <c r="A2299" s="14">
        <v>45033</v>
      </c>
      <c r="B2299" s="10">
        <v>17</v>
      </c>
      <c r="C2299">
        <v>59092</v>
      </c>
      <c r="D2299" s="5">
        <v>7.08</v>
      </c>
      <c r="F2299" s="8">
        <v>99.534353551766785</v>
      </c>
      <c r="G2299" s="8">
        <v>100</v>
      </c>
      <c r="H2299" s="2">
        <f t="shared" si="110"/>
        <v>999380</v>
      </c>
      <c r="I2299" s="12">
        <f t="shared" si="108"/>
        <v>0.24621666666666667</v>
      </c>
      <c r="J2299" s="12">
        <f t="shared" si="109"/>
        <v>0.24494607843137256</v>
      </c>
    </row>
    <row r="2300" spans="1:10" ht="15" customHeight="1">
      <c r="A2300" s="14">
        <v>45034</v>
      </c>
      <c r="B2300" s="10">
        <v>18</v>
      </c>
      <c r="C2300">
        <v>57689</v>
      </c>
      <c r="D2300" s="5">
        <v>7.01</v>
      </c>
      <c r="F2300" s="8">
        <v>99.305471820966076</v>
      </c>
      <c r="G2300" s="8">
        <v>100</v>
      </c>
      <c r="H2300" s="2">
        <f t="shared" si="110"/>
        <v>1057069</v>
      </c>
      <c r="I2300" s="12">
        <f t="shared" si="108"/>
        <v>0.24037083333333334</v>
      </c>
      <c r="J2300" s="12">
        <f t="shared" si="109"/>
        <v>0.24469189814814815</v>
      </c>
    </row>
    <row r="2301" spans="1:10" ht="15" customHeight="1">
      <c r="A2301" s="14">
        <v>45035</v>
      </c>
      <c r="B2301" s="10">
        <v>19</v>
      </c>
      <c r="C2301">
        <v>47815</v>
      </c>
      <c r="D2301" s="5">
        <v>5.84</v>
      </c>
      <c r="F2301" s="8">
        <v>99.779945719944251</v>
      </c>
      <c r="G2301" s="8">
        <v>100</v>
      </c>
      <c r="H2301" s="2">
        <f t="shared" si="110"/>
        <v>1104884</v>
      </c>
      <c r="I2301" s="12">
        <f t="shared" si="108"/>
        <v>0.19922916666666668</v>
      </c>
      <c r="J2301" s="12">
        <f t="shared" si="109"/>
        <v>0.24229912280701754</v>
      </c>
    </row>
    <row r="2302" spans="1:10" ht="15" customHeight="1">
      <c r="A2302" s="14">
        <v>45036</v>
      </c>
      <c r="B2302" s="10">
        <v>20</v>
      </c>
      <c r="C2302">
        <v>55326</v>
      </c>
      <c r="D2302" s="5">
        <v>6.55</v>
      </c>
      <c r="F2302" s="8">
        <v>99.486540013203253</v>
      </c>
      <c r="G2302" s="8">
        <v>100</v>
      </c>
      <c r="H2302" s="2">
        <f t="shared" si="110"/>
        <v>1160210</v>
      </c>
      <c r="I2302" s="12">
        <f t="shared" si="108"/>
        <v>0.23052500000000001</v>
      </c>
      <c r="J2302" s="12">
        <f t="shared" si="109"/>
        <v>0.24171041666666668</v>
      </c>
    </row>
    <row r="2303" spans="1:10" ht="15" customHeight="1">
      <c r="A2303" s="14">
        <v>45037</v>
      </c>
      <c r="B2303" s="10">
        <v>21</v>
      </c>
      <c r="C2303">
        <v>64304</v>
      </c>
      <c r="D2303" s="5">
        <v>7.81</v>
      </c>
      <c r="F2303" s="8">
        <v>99.165747710600755</v>
      </c>
      <c r="G2303" s="8">
        <v>100</v>
      </c>
      <c r="H2303" s="2">
        <f t="shared" si="110"/>
        <v>1224514</v>
      </c>
      <c r="I2303" s="12">
        <f t="shared" si="108"/>
        <v>0.26793333333333336</v>
      </c>
      <c r="J2303" s="12">
        <f t="shared" si="109"/>
        <v>0.24295912698412697</v>
      </c>
    </row>
    <row r="2304" spans="1:10" ht="15" customHeight="1">
      <c r="A2304" s="14">
        <v>45038</v>
      </c>
      <c r="B2304" s="10">
        <v>22</v>
      </c>
      <c r="C2304">
        <v>63450</v>
      </c>
      <c r="D2304" s="5">
        <v>7.69</v>
      </c>
      <c r="F2304" s="8">
        <v>99.193296679551509</v>
      </c>
      <c r="G2304" s="8">
        <v>100</v>
      </c>
      <c r="H2304" s="2">
        <f t="shared" si="110"/>
        <v>1287964</v>
      </c>
      <c r="I2304" s="12">
        <f t="shared" si="108"/>
        <v>0.26437500000000003</v>
      </c>
      <c r="J2304" s="12">
        <f t="shared" si="109"/>
        <v>0.24393257575757576</v>
      </c>
    </row>
    <row r="2305" spans="1:10" ht="15" customHeight="1">
      <c r="A2305" s="14">
        <v>45039</v>
      </c>
      <c r="B2305" s="10">
        <v>23</v>
      </c>
      <c r="C2305">
        <v>65456</v>
      </c>
      <c r="D2305" s="5">
        <v>7.68</v>
      </c>
      <c r="F2305" s="8">
        <v>99.242748964137746</v>
      </c>
      <c r="G2305" s="8">
        <v>100</v>
      </c>
      <c r="H2305" s="2">
        <f t="shared" si="110"/>
        <v>1353420</v>
      </c>
      <c r="I2305" s="12">
        <f t="shared" si="108"/>
        <v>0.27273333333333333</v>
      </c>
      <c r="J2305" s="12">
        <f t="shared" si="109"/>
        <v>0.24518478260869564</v>
      </c>
    </row>
    <row r="2306" spans="1:10" ht="15" customHeight="1">
      <c r="A2306" s="14">
        <v>45040</v>
      </c>
      <c r="B2306" s="10">
        <v>24</v>
      </c>
      <c r="C2306">
        <v>63258</v>
      </c>
      <c r="D2306" s="5">
        <v>7.55</v>
      </c>
      <c r="F2306" s="8">
        <v>99.27346977539294</v>
      </c>
      <c r="G2306" s="8">
        <v>100</v>
      </c>
      <c r="H2306" s="2">
        <f t="shared" si="110"/>
        <v>1416678</v>
      </c>
      <c r="I2306" s="12">
        <f t="shared" si="108"/>
        <v>0.263575</v>
      </c>
      <c r="J2306" s="12">
        <f t="shared" si="109"/>
        <v>0.24595104166666668</v>
      </c>
    </row>
    <row r="2307" spans="1:10" ht="15" customHeight="1">
      <c r="A2307" s="14">
        <v>45041</v>
      </c>
      <c r="B2307" s="10">
        <v>25</v>
      </c>
      <c r="C2307">
        <v>61243</v>
      </c>
      <c r="D2307" s="5">
        <v>7.3</v>
      </c>
      <c r="F2307" s="8">
        <v>99.52710771435396</v>
      </c>
      <c r="G2307" s="8">
        <v>100</v>
      </c>
      <c r="H2307" s="2">
        <f t="shared" si="110"/>
        <v>1477921</v>
      </c>
      <c r="I2307" s="12">
        <f t="shared" ref="I2307:I2370" si="111">C2307/(10*24*1000)</f>
        <v>0.25517916666666668</v>
      </c>
      <c r="J2307" s="12">
        <f t="shared" si="109"/>
        <v>0.24632016666666667</v>
      </c>
    </row>
    <row r="2308" spans="1:10" ht="15" customHeight="1">
      <c r="A2308" s="14">
        <v>45042</v>
      </c>
      <c r="B2308" s="10">
        <v>26</v>
      </c>
      <c r="C2308">
        <v>47864</v>
      </c>
      <c r="D2308" s="5">
        <v>5.53</v>
      </c>
      <c r="F2308" s="8">
        <v>99.782849973459449</v>
      </c>
      <c r="G2308" s="8">
        <v>100</v>
      </c>
      <c r="H2308" s="2">
        <f t="shared" si="110"/>
        <v>1525785</v>
      </c>
      <c r="I2308" s="12">
        <f t="shared" si="111"/>
        <v>0.19943333333333332</v>
      </c>
      <c r="J2308" s="12">
        <f t="shared" ref="J2308:J2371" si="112">H2308/(24*B2308*10*1000)</f>
        <v>0.24451682692307691</v>
      </c>
    </row>
    <row r="2309" spans="1:10" ht="15" customHeight="1">
      <c r="A2309" s="14">
        <v>45043</v>
      </c>
      <c r="B2309" s="10">
        <v>27</v>
      </c>
      <c r="C2309">
        <v>38323</v>
      </c>
      <c r="D2309" s="5">
        <v>4.29</v>
      </c>
      <c r="F2309" s="8">
        <v>99.854223863553543</v>
      </c>
      <c r="G2309" s="8">
        <v>100</v>
      </c>
      <c r="H2309" s="2">
        <f t="shared" si="110"/>
        <v>1564108</v>
      </c>
      <c r="I2309" s="12">
        <f t="shared" si="111"/>
        <v>0.15967916666666668</v>
      </c>
      <c r="J2309" s="12">
        <f t="shared" si="112"/>
        <v>0.2413746913580247</v>
      </c>
    </row>
    <row r="2310" spans="1:10" ht="15" customHeight="1">
      <c r="A2310" s="14">
        <v>45044</v>
      </c>
      <c r="B2310" s="10">
        <v>28</v>
      </c>
      <c r="C2310">
        <v>44048</v>
      </c>
      <c r="D2310" s="5">
        <v>5.37</v>
      </c>
      <c r="F2310" s="8">
        <v>99.604081011116179</v>
      </c>
      <c r="G2310" s="8">
        <v>100</v>
      </c>
      <c r="H2310" s="2">
        <f t="shared" si="110"/>
        <v>1608156</v>
      </c>
      <c r="I2310" s="12">
        <f t="shared" si="111"/>
        <v>0.18353333333333333</v>
      </c>
      <c r="J2310" s="12">
        <f t="shared" si="112"/>
        <v>0.23930892857142858</v>
      </c>
    </row>
    <row r="2311" spans="1:10" ht="15" customHeight="1">
      <c r="A2311" s="14">
        <v>45045</v>
      </c>
      <c r="B2311" s="10">
        <v>29</v>
      </c>
      <c r="C2311">
        <v>53356</v>
      </c>
      <c r="D2311" s="5">
        <v>6.37</v>
      </c>
      <c r="F2311" s="8">
        <v>99.247423242624194</v>
      </c>
      <c r="G2311" s="8">
        <v>100</v>
      </c>
      <c r="H2311" s="2">
        <f t="shared" si="110"/>
        <v>1661512</v>
      </c>
      <c r="I2311" s="12">
        <f t="shared" si="111"/>
        <v>0.22231666666666666</v>
      </c>
      <c r="J2311" s="12">
        <f t="shared" si="112"/>
        <v>0.23872298850574714</v>
      </c>
    </row>
    <row r="2312" spans="1:10" ht="15" customHeight="1">
      <c r="A2312" s="14">
        <v>45046</v>
      </c>
      <c r="B2312" s="10">
        <v>30</v>
      </c>
      <c r="C2312">
        <v>38567</v>
      </c>
      <c r="D2312" s="5">
        <v>4.8899999999999997</v>
      </c>
      <c r="F2312" s="8">
        <v>100</v>
      </c>
      <c r="G2312" s="8">
        <v>100</v>
      </c>
      <c r="H2312" s="2">
        <f t="shared" si="110"/>
        <v>1700079</v>
      </c>
      <c r="I2312" s="12">
        <f t="shared" si="111"/>
        <v>0.16069583333333334</v>
      </c>
      <c r="J2312" s="12">
        <f t="shared" si="112"/>
        <v>0.23612208333333334</v>
      </c>
    </row>
    <row r="2313" spans="1:10" ht="15" customHeight="1">
      <c r="A2313" s="14">
        <v>45047</v>
      </c>
      <c r="B2313" s="10">
        <v>31</v>
      </c>
      <c r="C2313">
        <v>61025</v>
      </c>
      <c r="D2313" s="5">
        <v>7.92</v>
      </c>
      <c r="F2313" s="8">
        <v>98.734974796432724</v>
      </c>
      <c r="G2313" s="8">
        <v>100</v>
      </c>
      <c r="H2313" s="2">
        <f t="shared" si="110"/>
        <v>1761104</v>
      </c>
      <c r="I2313" s="12">
        <f t="shared" si="111"/>
        <v>0.25427083333333333</v>
      </c>
      <c r="J2313" s="12">
        <f t="shared" si="112"/>
        <v>0.23670752688172042</v>
      </c>
    </row>
    <row r="2314" spans="1:10" ht="15" customHeight="1">
      <c r="A2314" s="14">
        <v>45048</v>
      </c>
      <c r="B2314" s="10">
        <v>32</v>
      </c>
      <c r="C2314">
        <v>51341</v>
      </c>
      <c r="D2314" s="5">
        <v>6.27</v>
      </c>
      <c r="F2314" s="8">
        <v>99.355146883209926</v>
      </c>
      <c r="G2314" s="8">
        <v>100</v>
      </c>
      <c r="H2314" s="2">
        <f t="shared" si="110"/>
        <v>1812445</v>
      </c>
      <c r="I2314" s="12">
        <f t="shared" si="111"/>
        <v>0.21392083333333334</v>
      </c>
      <c r="J2314" s="12">
        <f t="shared" si="112"/>
        <v>0.23599544270833334</v>
      </c>
    </row>
    <row r="2315" spans="1:10" ht="15" customHeight="1">
      <c r="A2315" s="14">
        <v>45049</v>
      </c>
      <c r="B2315" s="10">
        <v>33</v>
      </c>
      <c r="C2315">
        <v>61573</v>
      </c>
      <c r="D2315" s="5">
        <v>7.55</v>
      </c>
      <c r="F2315" s="8">
        <v>99.204055526602559</v>
      </c>
      <c r="G2315" s="8">
        <v>100</v>
      </c>
      <c r="H2315" s="2">
        <f t="shared" si="110"/>
        <v>1874018</v>
      </c>
      <c r="I2315" s="12">
        <f t="shared" si="111"/>
        <v>0.25655416666666669</v>
      </c>
      <c r="J2315" s="12">
        <f t="shared" si="112"/>
        <v>0.23661843434343435</v>
      </c>
    </row>
    <row r="2316" spans="1:10" ht="15" customHeight="1">
      <c r="A2316" s="14">
        <v>45050</v>
      </c>
      <c r="B2316" s="10">
        <v>34</v>
      </c>
      <c r="C2316">
        <v>60208</v>
      </c>
      <c r="D2316" s="5">
        <v>7.37</v>
      </c>
      <c r="F2316" s="8">
        <v>99.230294103672733</v>
      </c>
      <c r="G2316" s="8">
        <v>100</v>
      </c>
      <c r="H2316" s="2">
        <f t="shared" si="110"/>
        <v>1934226</v>
      </c>
      <c r="I2316" s="12">
        <f t="shared" si="111"/>
        <v>0.25086666666666668</v>
      </c>
      <c r="J2316" s="12">
        <f t="shared" si="112"/>
        <v>0.23703750000000001</v>
      </c>
    </row>
    <row r="2317" spans="1:10" ht="15" customHeight="1">
      <c r="A2317" s="14">
        <v>45051</v>
      </c>
      <c r="B2317" s="10">
        <v>35</v>
      </c>
      <c r="C2317">
        <v>57564</v>
      </c>
      <c r="D2317" s="5">
        <v>7.23</v>
      </c>
      <c r="F2317" s="8">
        <v>99.186972875733005</v>
      </c>
      <c r="G2317" s="8">
        <v>100</v>
      </c>
      <c r="H2317" s="2">
        <f t="shared" si="110"/>
        <v>1991790</v>
      </c>
      <c r="I2317" s="12">
        <f t="shared" si="111"/>
        <v>0.23985000000000001</v>
      </c>
      <c r="J2317" s="12">
        <f t="shared" si="112"/>
        <v>0.23711785714285713</v>
      </c>
    </row>
    <row r="2318" spans="1:10" ht="15" customHeight="1">
      <c r="A2318" s="14">
        <v>45052</v>
      </c>
      <c r="B2318" s="10">
        <v>36</v>
      </c>
      <c r="C2318">
        <v>51021</v>
      </c>
      <c r="D2318" s="5">
        <v>6.49</v>
      </c>
      <c r="F2318" s="8">
        <v>99.525482077644156</v>
      </c>
      <c r="G2318" s="8">
        <v>100</v>
      </c>
      <c r="H2318" s="2">
        <f t="shared" si="110"/>
        <v>2042811</v>
      </c>
      <c r="I2318" s="12">
        <f t="shared" si="111"/>
        <v>0.21258750000000001</v>
      </c>
      <c r="J2318" s="12">
        <f t="shared" si="112"/>
        <v>0.23643645833333332</v>
      </c>
    </row>
    <row r="2319" spans="1:10" ht="15" customHeight="1">
      <c r="A2319" s="14">
        <v>45053</v>
      </c>
      <c r="B2319" s="10">
        <v>37</v>
      </c>
      <c r="C2319">
        <v>56213</v>
      </c>
      <c r="D2319" s="5">
        <v>7.06</v>
      </c>
      <c r="F2319" s="8">
        <v>99.324435270108609</v>
      </c>
      <c r="G2319" s="8">
        <v>100</v>
      </c>
      <c r="H2319" s="2">
        <f t="shared" si="110"/>
        <v>2099024</v>
      </c>
      <c r="I2319" s="12">
        <f t="shared" si="111"/>
        <v>0.23422083333333332</v>
      </c>
      <c r="J2319" s="12">
        <f t="shared" si="112"/>
        <v>0.23637657657657657</v>
      </c>
    </row>
    <row r="2320" spans="1:10" ht="15" customHeight="1">
      <c r="A2320" s="14">
        <v>45054</v>
      </c>
      <c r="B2320" s="10">
        <v>38</v>
      </c>
      <c r="C2320">
        <v>63192</v>
      </c>
      <c r="D2320" s="5">
        <v>8.14</v>
      </c>
      <c r="F2320" s="8">
        <v>99.242069804435289</v>
      </c>
      <c r="G2320" s="8">
        <v>100</v>
      </c>
      <c r="H2320" s="2">
        <f t="shared" si="110"/>
        <v>2162216</v>
      </c>
      <c r="I2320" s="12">
        <f t="shared" si="111"/>
        <v>0.26329999999999998</v>
      </c>
      <c r="J2320" s="12">
        <f t="shared" si="112"/>
        <v>0.23708508771929823</v>
      </c>
    </row>
    <row r="2321" spans="1:10" ht="15" customHeight="1">
      <c r="A2321" s="14">
        <v>45055</v>
      </c>
      <c r="B2321" s="10">
        <v>39</v>
      </c>
      <c r="C2321">
        <v>62037</v>
      </c>
      <c r="D2321" s="5">
        <v>7.91</v>
      </c>
      <c r="F2321" s="8">
        <v>99.181369089625974</v>
      </c>
      <c r="G2321" s="8">
        <v>100</v>
      </c>
      <c r="H2321" s="2">
        <f t="shared" si="110"/>
        <v>2224253</v>
      </c>
      <c r="I2321" s="12">
        <f t="shared" si="111"/>
        <v>0.25848749999999998</v>
      </c>
      <c r="J2321" s="12">
        <f t="shared" si="112"/>
        <v>0.23763386752136753</v>
      </c>
    </row>
    <row r="2322" spans="1:10" ht="15" customHeight="1">
      <c r="A2322" s="14">
        <v>45056</v>
      </c>
      <c r="B2322" s="10">
        <v>40</v>
      </c>
      <c r="C2322">
        <v>61745</v>
      </c>
      <c r="D2322" s="5">
        <v>7.97</v>
      </c>
      <c r="F2322" s="8">
        <v>99.209355954537969</v>
      </c>
      <c r="G2322" s="8">
        <v>100</v>
      </c>
      <c r="H2322" s="2">
        <f t="shared" si="110"/>
        <v>2285998</v>
      </c>
      <c r="I2322" s="12">
        <f t="shared" si="111"/>
        <v>0.25727083333333334</v>
      </c>
      <c r="J2322" s="12">
        <f t="shared" si="112"/>
        <v>0.23812479166666667</v>
      </c>
    </row>
    <row r="2323" spans="1:10" ht="15" customHeight="1">
      <c r="A2323" s="14">
        <v>45057</v>
      </c>
      <c r="B2323" s="10">
        <v>41</v>
      </c>
      <c r="C2323">
        <v>61225</v>
      </c>
      <c r="D2323" s="5">
        <v>8.09</v>
      </c>
      <c r="F2323" s="8">
        <v>99.216033971861222</v>
      </c>
      <c r="G2323" s="8">
        <v>100</v>
      </c>
      <c r="H2323" s="2">
        <f t="shared" si="110"/>
        <v>2347223</v>
      </c>
      <c r="I2323" s="12">
        <f t="shared" si="111"/>
        <v>0.25510416666666669</v>
      </c>
      <c r="J2323" s="12">
        <f t="shared" si="112"/>
        <v>0.23853892276422764</v>
      </c>
    </row>
    <row r="2324" spans="1:10" ht="15" customHeight="1">
      <c r="A2324" s="14">
        <v>45058</v>
      </c>
      <c r="B2324" s="10">
        <v>42</v>
      </c>
      <c r="C2324">
        <v>60817</v>
      </c>
      <c r="D2324" s="5">
        <v>7.92</v>
      </c>
      <c r="F2324" s="8">
        <v>99.196919175315827</v>
      </c>
      <c r="G2324" s="8">
        <v>100</v>
      </c>
      <c r="H2324" s="2">
        <f t="shared" si="110"/>
        <v>2408040</v>
      </c>
      <c r="I2324" s="12">
        <f t="shared" si="111"/>
        <v>0.25340416666666665</v>
      </c>
      <c r="J2324" s="12">
        <f t="shared" si="112"/>
        <v>0.23889285714285713</v>
      </c>
    </row>
    <row r="2325" spans="1:10" ht="15" customHeight="1">
      <c r="A2325" s="14">
        <v>45059</v>
      </c>
      <c r="B2325" s="10">
        <v>43</v>
      </c>
      <c r="C2325">
        <v>56622</v>
      </c>
      <c r="D2325" s="5">
        <v>7.4</v>
      </c>
      <c r="F2325" s="8">
        <v>99.219126578617562</v>
      </c>
      <c r="G2325" s="8">
        <v>100</v>
      </c>
      <c r="H2325" s="2">
        <f t="shared" si="110"/>
        <v>2464662</v>
      </c>
      <c r="I2325" s="12">
        <f t="shared" si="111"/>
        <v>0.235925</v>
      </c>
      <c r="J2325" s="12">
        <f t="shared" si="112"/>
        <v>0.23882383720930234</v>
      </c>
    </row>
    <row r="2326" spans="1:10" ht="15" customHeight="1">
      <c r="A2326" s="14">
        <v>45060</v>
      </c>
      <c r="B2326" s="10">
        <v>44</v>
      </c>
      <c r="C2326">
        <v>50140</v>
      </c>
      <c r="D2326" s="5">
        <v>6.61</v>
      </c>
      <c r="F2326" s="8">
        <v>99.315784472108717</v>
      </c>
      <c r="G2326" s="8">
        <v>100</v>
      </c>
      <c r="H2326" s="2">
        <f t="shared" si="110"/>
        <v>2514802</v>
      </c>
      <c r="I2326" s="12">
        <f t="shared" si="111"/>
        <v>0.20891666666666667</v>
      </c>
      <c r="J2326" s="12">
        <f t="shared" si="112"/>
        <v>0.2381441287878788</v>
      </c>
    </row>
    <row r="2327" spans="1:10" ht="15" customHeight="1">
      <c r="A2327" s="14">
        <v>45061</v>
      </c>
      <c r="B2327" s="10">
        <v>45</v>
      </c>
      <c r="C2327">
        <v>60196</v>
      </c>
      <c r="D2327" s="5">
        <v>7.26</v>
      </c>
      <c r="F2327" s="8">
        <v>99.199175759846398</v>
      </c>
      <c r="G2327" s="8">
        <v>100</v>
      </c>
      <c r="H2327" s="2">
        <f t="shared" si="110"/>
        <v>2574998</v>
      </c>
      <c r="I2327" s="12">
        <f t="shared" si="111"/>
        <v>0.25081666666666669</v>
      </c>
      <c r="J2327" s="12">
        <f t="shared" si="112"/>
        <v>0.23842574074074074</v>
      </c>
    </row>
    <row r="2328" spans="1:10" ht="15" customHeight="1">
      <c r="A2328" s="14">
        <v>45062</v>
      </c>
      <c r="B2328" s="10">
        <v>46</v>
      </c>
      <c r="C2328">
        <v>54549</v>
      </c>
      <c r="D2328" s="5">
        <v>6.93</v>
      </c>
      <c r="F2328" s="8">
        <v>99.301968448973895</v>
      </c>
      <c r="G2328" s="8">
        <v>100</v>
      </c>
      <c r="H2328" s="2">
        <f t="shared" si="110"/>
        <v>2629547</v>
      </c>
      <c r="I2328" s="12">
        <f t="shared" si="111"/>
        <v>0.2272875</v>
      </c>
      <c r="J2328" s="12">
        <f t="shared" si="112"/>
        <v>0.23818360507246378</v>
      </c>
    </row>
    <row r="2329" spans="1:10" ht="15" customHeight="1">
      <c r="A2329" s="14">
        <v>45063</v>
      </c>
      <c r="B2329" s="10">
        <v>47</v>
      </c>
      <c r="C2329">
        <v>56491</v>
      </c>
      <c r="D2329" s="5">
        <v>7.25</v>
      </c>
      <c r="F2329" s="8">
        <v>99.2940179790088</v>
      </c>
      <c r="G2329" s="8">
        <v>100</v>
      </c>
      <c r="H2329" s="2">
        <f t="shared" si="110"/>
        <v>2686038</v>
      </c>
      <c r="I2329" s="12">
        <f t="shared" si="111"/>
        <v>0.23537916666666667</v>
      </c>
      <c r="J2329" s="12">
        <f t="shared" si="112"/>
        <v>0.23812393617021277</v>
      </c>
    </row>
    <row r="2330" spans="1:10" ht="15" customHeight="1">
      <c r="A2330" s="14">
        <v>45064</v>
      </c>
      <c r="B2330" s="10">
        <v>48</v>
      </c>
      <c r="C2330">
        <v>51666</v>
      </c>
      <c r="D2330" s="5">
        <v>6.7</v>
      </c>
      <c r="F2330" s="8">
        <v>99.417192812044689</v>
      </c>
      <c r="G2330" s="8">
        <v>100</v>
      </c>
      <c r="H2330" s="2">
        <f t="shared" si="110"/>
        <v>2737704</v>
      </c>
      <c r="I2330" s="12">
        <f t="shared" si="111"/>
        <v>0.21527499999999999</v>
      </c>
      <c r="J2330" s="12">
        <f t="shared" si="112"/>
        <v>0.23764791666666665</v>
      </c>
    </row>
    <row r="2331" spans="1:10" ht="15" customHeight="1">
      <c r="A2331" s="14">
        <v>45065</v>
      </c>
      <c r="B2331" s="10">
        <v>49</v>
      </c>
      <c r="C2331">
        <v>56061</v>
      </c>
      <c r="D2331" s="5">
        <v>7.46</v>
      </c>
      <c r="F2331" s="8">
        <v>99.315263908701851</v>
      </c>
      <c r="G2331" s="8">
        <v>100</v>
      </c>
      <c r="H2331" s="2">
        <f t="shared" si="110"/>
        <v>2793765</v>
      </c>
      <c r="I2331" s="12">
        <f t="shared" si="111"/>
        <v>0.2335875</v>
      </c>
      <c r="J2331" s="12">
        <f t="shared" si="112"/>
        <v>0.23756505102040817</v>
      </c>
    </row>
    <row r="2332" spans="1:10" ht="15" customHeight="1">
      <c r="A2332" s="14">
        <v>45066</v>
      </c>
      <c r="B2332" s="10">
        <v>50</v>
      </c>
      <c r="C2332">
        <v>57254</v>
      </c>
      <c r="D2332" s="5">
        <v>7.52</v>
      </c>
      <c r="F2332" s="8">
        <v>99.222182211019089</v>
      </c>
      <c r="G2332" s="8">
        <v>100</v>
      </c>
      <c r="H2332" s="2">
        <f t="shared" si="110"/>
        <v>2851019</v>
      </c>
      <c r="I2332" s="12">
        <f t="shared" si="111"/>
        <v>0.23855833333333334</v>
      </c>
      <c r="J2332" s="12">
        <f t="shared" si="112"/>
        <v>0.23758491666666667</v>
      </c>
    </row>
    <row r="2333" spans="1:10" ht="15" customHeight="1">
      <c r="A2333" s="14">
        <v>45067</v>
      </c>
      <c r="B2333" s="10">
        <v>51</v>
      </c>
      <c r="C2333">
        <v>59070</v>
      </c>
      <c r="D2333" s="5">
        <v>7.71</v>
      </c>
      <c r="F2333" s="8">
        <v>99.203860072376358</v>
      </c>
      <c r="G2333" s="8">
        <v>100</v>
      </c>
      <c r="H2333" s="2">
        <f t="shared" si="110"/>
        <v>2910089</v>
      </c>
      <c r="I2333" s="12">
        <f t="shared" si="111"/>
        <v>0.24612500000000001</v>
      </c>
      <c r="J2333" s="12">
        <f t="shared" si="112"/>
        <v>0.23775236928104576</v>
      </c>
    </row>
    <row r="2334" spans="1:10" ht="15" customHeight="1">
      <c r="A2334" s="14">
        <v>45068</v>
      </c>
      <c r="B2334" s="10">
        <v>52</v>
      </c>
      <c r="C2334">
        <v>59611</v>
      </c>
      <c r="D2334" s="5">
        <v>7.76</v>
      </c>
      <c r="F2334" s="8">
        <v>99.280626278298882</v>
      </c>
      <c r="G2334" s="8">
        <v>100</v>
      </c>
      <c r="H2334" s="2">
        <f t="shared" si="110"/>
        <v>2969700</v>
      </c>
      <c r="I2334" s="12">
        <f t="shared" si="111"/>
        <v>0.24837916666666668</v>
      </c>
      <c r="J2334" s="12">
        <f t="shared" si="112"/>
        <v>0.23795673076923077</v>
      </c>
    </row>
    <row r="2335" spans="1:10" ht="15" customHeight="1">
      <c r="A2335" s="14">
        <v>45069</v>
      </c>
      <c r="B2335" s="10">
        <v>53</v>
      </c>
      <c r="C2335">
        <v>57086</v>
      </c>
      <c r="D2335" s="5">
        <v>7.4</v>
      </c>
      <c r="F2335" s="8">
        <v>99.355639348957098</v>
      </c>
      <c r="G2335" s="8">
        <v>100</v>
      </c>
      <c r="H2335" s="2">
        <f t="shared" si="110"/>
        <v>3026786</v>
      </c>
      <c r="I2335" s="12">
        <f t="shared" si="111"/>
        <v>0.23785833333333334</v>
      </c>
      <c r="J2335" s="12">
        <f t="shared" si="112"/>
        <v>0.23795487421383649</v>
      </c>
    </row>
    <row r="2336" spans="1:10" ht="15" customHeight="1">
      <c r="A2336" s="14">
        <v>45070</v>
      </c>
      <c r="B2336" s="10">
        <v>54</v>
      </c>
      <c r="C2336">
        <v>50932</v>
      </c>
      <c r="D2336" s="5">
        <v>6.62</v>
      </c>
      <c r="F2336" s="8">
        <v>98.980112187659358</v>
      </c>
      <c r="G2336" s="8">
        <v>100</v>
      </c>
      <c r="H2336" s="2">
        <f t="shared" si="110"/>
        <v>3077718</v>
      </c>
      <c r="I2336" s="12">
        <f t="shared" si="111"/>
        <v>0.21221666666666666</v>
      </c>
      <c r="J2336" s="12">
        <f t="shared" si="112"/>
        <v>0.23747824074074075</v>
      </c>
    </row>
    <row r="2337" spans="1:10" ht="15" customHeight="1">
      <c r="A2337" s="14">
        <v>45071</v>
      </c>
      <c r="B2337" s="10">
        <v>55</v>
      </c>
      <c r="C2337">
        <v>55119</v>
      </c>
      <c r="D2337" s="5">
        <v>6.89</v>
      </c>
      <c r="F2337" s="8">
        <v>99.273225917038062</v>
      </c>
      <c r="G2337" s="8">
        <v>100</v>
      </c>
      <c r="H2337" s="2">
        <f t="shared" si="110"/>
        <v>3132837</v>
      </c>
      <c r="I2337" s="12">
        <f t="shared" si="111"/>
        <v>0.22966249999999999</v>
      </c>
      <c r="J2337" s="12">
        <f t="shared" si="112"/>
        <v>0.23733613636363637</v>
      </c>
    </row>
    <row r="2338" spans="1:10" ht="15" customHeight="1">
      <c r="A2338" s="14">
        <v>45072</v>
      </c>
      <c r="B2338" s="10">
        <v>56</v>
      </c>
      <c r="C2338">
        <v>52973</v>
      </c>
      <c r="D2338" s="5">
        <v>6.81</v>
      </c>
      <c r="F2338" s="8">
        <v>99.789842381786343</v>
      </c>
      <c r="G2338" s="8">
        <v>100</v>
      </c>
      <c r="H2338" s="2">
        <f t="shared" si="110"/>
        <v>3185810</v>
      </c>
      <c r="I2338" s="12">
        <f t="shared" si="111"/>
        <v>0.22072083333333334</v>
      </c>
      <c r="J2338" s="12">
        <f t="shared" si="112"/>
        <v>0.23703943452380952</v>
      </c>
    </row>
    <row r="2339" spans="1:10" ht="15" customHeight="1">
      <c r="A2339" s="14">
        <v>45073</v>
      </c>
      <c r="B2339" s="10">
        <v>57</v>
      </c>
      <c r="C2339">
        <v>46268</v>
      </c>
      <c r="D2339" s="5">
        <v>5.99</v>
      </c>
      <c r="F2339" s="8">
        <v>97.413978880827528</v>
      </c>
      <c r="G2339" s="8">
        <v>100</v>
      </c>
      <c r="H2339" s="2">
        <f t="shared" si="110"/>
        <v>3232078</v>
      </c>
      <c r="I2339" s="12">
        <f t="shared" si="111"/>
        <v>0.19278333333333333</v>
      </c>
      <c r="J2339" s="12">
        <f t="shared" si="112"/>
        <v>0.23626301169590644</v>
      </c>
    </row>
    <row r="2340" spans="1:10" ht="15" customHeight="1">
      <c r="A2340" s="14">
        <v>45074</v>
      </c>
      <c r="B2340" s="10">
        <v>58</v>
      </c>
      <c r="C2340">
        <v>22304</v>
      </c>
      <c r="D2340" s="5">
        <v>3.02</v>
      </c>
      <c r="F2340" s="8">
        <v>100</v>
      </c>
      <c r="G2340" s="8">
        <v>100</v>
      </c>
      <c r="H2340" s="2">
        <f t="shared" si="110"/>
        <v>3254382</v>
      </c>
      <c r="I2340" s="12">
        <f t="shared" si="111"/>
        <v>9.293333333333334E-2</v>
      </c>
      <c r="J2340" s="12">
        <f t="shared" si="112"/>
        <v>0.2337918103448276</v>
      </c>
    </row>
    <row r="2341" spans="1:10" ht="15" customHeight="1">
      <c r="A2341" s="14">
        <v>45075</v>
      </c>
      <c r="B2341" s="10">
        <v>59</v>
      </c>
      <c r="C2341">
        <v>54903</v>
      </c>
      <c r="D2341" s="5">
        <v>6.7</v>
      </c>
      <c r="F2341" s="8">
        <v>99.688866844027586</v>
      </c>
      <c r="G2341" s="8">
        <v>100</v>
      </c>
      <c r="H2341" s="2">
        <f t="shared" si="110"/>
        <v>3309285</v>
      </c>
      <c r="I2341" s="12">
        <f t="shared" si="111"/>
        <v>0.22876250000000001</v>
      </c>
      <c r="J2341" s="12">
        <f t="shared" si="112"/>
        <v>0.23370656779661017</v>
      </c>
    </row>
    <row r="2342" spans="1:10" ht="15" customHeight="1">
      <c r="A2342" s="14">
        <v>45076</v>
      </c>
      <c r="B2342" s="10">
        <v>60</v>
      </c>
      <c r="C2342">
        <v>41873</v>
      </c>
      <c r="D2342" s="5">
        <v>5.03</v>
      </c>
      <c r="F2342" s="8">
        <v>99.662268654028011</v>
      </c>
      <c r="G2342" s="8">
        <v>100</v>
      </c>
      <c r="H2342" s="2">
        <f t="shared" si="110"/>
        <v>3351158</v>
      </c>
      <c r="I2342" s="12">
        <f t="shared" si="111"/>
        <v>0.17447083333333332</v>
      </c>
      <c r="J2342" s="12">
        <f t="shared" si="112"/>
        <v>0.23271930555555556</v>
      </c>
    </row>
    <row r="2343" spans="1:10" ht="15" customHeight="1">
      <c r="A2343" s="14">
        <v>45077</v>
      </c>
      <c r="B2343" s="10">
        <v>61</v>
      </c>
      <c r="C2343">
        <v>61425</v>
      </c>
      <c r="D2343" s="5">
        <v>7.69</v>
      </c>
      <c r="F2343" s="8">
        <v>99.680063987202558</v>
      </c>
      <c r="G2343" s="8">
        <v>100</v>
      </c>
      <c r="H2343" s="2">
        <f t="shared" si="110"/>
        <v>3412583</v>
      </c>
      <c r="I2343" s="12">
        <f t="shared" si="111"/>
        <v>0.25593749999999998</v>
      </c>
      <c r="J2343" s="12">
        <f t="shared" si="112"/>
        <v>0.23309993169398907</v>
      </c>
    </row>
    <row r="2344" spans="1:10" ht="15" customHeight="1">
      <c r="A2344" s="14">
        <v>45078</v>
      </c>
      <c r="B2344" s="10">
        <v>62</v>
      </c>
      <c r="C2344">
        <v>53032</v>
      </c>
      <c r="D2344" s="5">
        <v>6.72</v>
      </c>
      <c r="F2344" s="8">
        <v>99.532168953840667</v>
      </c>
      <c r="G2344" s="8">
        <v>100</v>
      </c>
      <c r="H2344" s="2">
        <f t="shared" si="110"/>
        <v>3465615</v>
      </c>
      <c r="I2344" s="12">
        <f t="shared" si="111"/>
        <v>0.22096666666666667</v>
      </c>
      <c r="J2344" s="12">
        <f t="shared" si="112"/>
        <v>0.23290423387096773</v>
      </c>
    </row>
    <row r="2345" spans="1:10" ht="15" customHeight="1">
      <c r="A2345" s="14">
        <v>45079</v>
      </c>
      <c r="B2345" s="10">
        <v>63</v>
      </c>
      <c r="C2345">
        <v>60822</v>
      </c>
      <c r="D2345" s="5">
        <v>7.76</v>
      </c>
      <c r="F2345" s="8">
        <v>99.561082662765173</v>
      </c>
      <c r="G2345" s="8">
        <v>100</v>
      </c>
      <c r="H2345" s="2">
        <f t="shared" si="110"/>
        <v>3526437</v>
      </c>
      <c r="I2345" s="12">
        <f t="shared" si="111"/>
        <v>0.25342500000000001</v>
      </c>
      <c r="J2345" s="12">
        <f t="shared" si="112"/>
        <v>0.23322996031746032</v>
      </c>
    </row>
    <row r="2346" spans="1:10" ht="15" customHeight="1">
      <c r="A2346" s="14">
        <v>45080</v>
      </c>
      <c r="B2346" s="10">
        <v>64</v>
      </c>
      <c r="C2346">
        <v>56141</v>
      </c>
      <c r="D2346" s="5">
        <v>7.38</v>
      </c>
      <c r="F2346" s="8">
        <v>99.636151289192341</v>
      </c>
      <c r="G2346" s="8">
        <v>100</v>
      </c>
      <c r="H2346" s="2">
        <f t="shared" si="110"/>
        <v>3582578</v>
      </c>
      <c r="I2346" s="12">
        <f t="shared" si="111"/>
        <v>0.23392083333333333</v>
      </c>
      <c r="J2346" s="12">
        <f t="shared" si="112"/>
        <v>0.23324075520833334</v>
      </c>
    </row>
    <row r="2347" spans="1:10" ht="15" customHeight="1">
      <c r="A2347" s="14">
        <v>45081</v>
      </c>
      <c r="B2347" s="10">
        <v>65</v>
      </c>
      <c r="C2347">
        <v>47318</v>
      </c>
      <c r="D2347" s="5">
        <v>7.65</v>
      </c>
      <c r="F2347" s="8">
        <v>99.568723466385137</v>
      </c>
      <c r="G2347" s="8">
        <v>82.748938655405567</v>
      </c>
      <c r="H2347" s="2">
        <f t="shared" si="110"/>
        <v>3629896</v>
      </c>
      <c r="I2347" s="12">
        <f t="shared" si="111"/>
        <v>0.19715833333333332</v>
      </c>
      <c r="J2347" s="12">
        <f t="shared" si="112"/>
        <v>0.23268564102564102</v>
      </c>
    </row>
    <row r="2348" spans="1:10" ht="15" customHeight="1">
      <c r="A2348" s="14">
        <v>45082</v>
      </c>
      <c r="B2348" s="10">
        <v>66</v>
      </c>
      <c r="C2348">
        <v>57156</v>
      </c>
      <c r="D2348" s="5">
        <v>7.53</v>
      </c>
      <c r="F2348" s="8">
        <v>99.537577345693961</v>
      </c>
      <c r="G2348" s="8">
        <v>100</v>
      </c>
      <c r="H2348" s="2">
        <f t="shared" ref="H2348:H2411" si="113">C2348+H2347</f>
        <v>3687052</v>
      </c>
      <c r="I2348" s="12">
        <f t="shared" si="111"/>
        <v>0.23815</v>
      </c>
      <c r="J2348" s="12">
        <f t="shared" si="112"/>
        <v>0.23276843434343433</v>
      </c>
    </row>
    <row r="2349" spans="1:10" ht="15" customHeight="1">
      <c r="A2349" s="14">
        <v>45083</v>
      </c>
      <c r="B2349" s="10">
        <v>67</v>
      </c>
      <c r="C2349">
        <v>45314</v>
      </c>
      <c r="D2349" s="5">
        <v>6.32</v>
      </c>
      <c r="F2349" s="8">
        <v>99.578157956409655</v>
      </c>
      <c r="G2349" s="8">
        <v>100</v>
      </c>
      <c r="H2349" s="2">
        <f t="shared" si="113"/>
        <v>3732366</v>
      </c>
      <c r="I2349" s="12">
        <f t="shared" si="111"/>
        <v>0.18880833333333333</v>
      </c>
      <c r="J2349" s="12">
        <f t="shared" si="112"/>
        <v>0.23211231343283581</v>
      </c>
    </row>
    <row r="2350" spans="1:10" ht="15" customHeight="1">
      <c r="A2350" s="14">
        <v>45084</v>
      </c>
      <c r="B2350" s="10">
        <v>68</v>
      </c>
      <c r="C2350">
        <v>58827</v>
      </c>
      <c r="D2350" s="5">
        <v>7.69</v>
      </c>
      <c r="F2350" s="8">
        <v>99.280998758088771</v>
      </c>
      <c r="G2350" s="8">
        <v>100</v>
      </c>
      <c r="H2350" s="2">
        <f t="shared" si="113"/>
        <v>3791193</v>
      </c>
      <c r="I2350" s="12">
        <f t="shared" si="111"/>
        <v>0.24511250000000001</v>
      </c>
      <c r="J2350" s="12">
        <f t="shared" si="112"/>
        <v>0.23230349264705882</v>
      </c>
    </row>
    <row r="2351" spans="1:10" ht="15" customHeight="1">
      <c r="A2351" s="14">
        <v>45085</v>
      </c>
      <c r="B2351" s="10">
        <v>69</v>
      </c>
      <c r="C2351">
        <v>58580</v>
      </c>
      <c r="D2351" s="5">
        <v>7.7</v>
      </c>
      <c r="F2351" s="8">
        <v>99.25538516089</v>
      </c>
      <c r="G2351" s="8">
        <v>100</v>
      </c>
      <c r="H2351" s="2">
        <f t="shared" si="113"/>
        <v>3849773</v>
      </c>
      <c r="I2351" s="12">
        <f t="shared" si="111"/>
        <v>0.24408333333333335</v>
      </c>
      <c r="J2351" s="12">
        <f t="shared" si="112"/>
        <v>0.23247421497584542</v>
      </c>
    </row>
    <row r="2352" spans="1:10" ht="15" customHeight="1">
      <c r="A2352" s="14">
        <v>45086</v>
      </c>
      <c r="B2352" s="10">
        <v>70</v>
      </c>
      <c r="C2352">
        <v>57953</v>
      </c>
      <c r="D2352" s="5">
        <v>7.6</v>
      </c>
      <c r="F2352" s="8">
        <v>99.267821881032148</v>
      </c>
      <c r="G2352" s="8">
        <v>100</v>
      </c>
      <c r="H2352" s="2">
        <f t="shared" si="113"/>
        <v>3907726</v>
      </c>
      <c r="I2352" s="12">
        <f t="shared" si="111"/>
        <v>0.24147083333333333</v>
      </c>
      <c r="J2352" s="12">
        <f t="shared" si="112"/>
        <v>0.2326027380952381</v>
      </c>
    </row>
    <row r="2353" spans="1:10" ht="15" customHeight="1">
      <c r="A2353" s="14">
        <v>45087</v>
      </c>
      <c r="B2353" s="10">
        <v>71</v>
      </c>
      <c r="C2353">
        <v>56631</v>
      </c>
      <c r="D2353" s="5">
        <v>7.32</v>
      </c>
      <c r="F2353" s="8">
        <v>99.478328913619961</v>
      </c>
      <c r="G2353" s="8">
        <v>100</v>
      </c>
      <c r="H2353" s="2">
        <f t="shared" si="113"/>
        <v>3964357</v>
      </c>
      <c r="I2353" s="12">
        <f t="shared" si="111"/>
        <v>0.23596249999999999</v>
      </c>
      <c r="J2353" s="12">
        <f t="shared" si="112"/>
        <v>0.232650058685446</v>
      </c>
    </row>
    <row r="2354" spans="1:10" ht="15" customHeight="1">
      <c r="A2354" s="14">
        <v>45088</v>
      </c>
      <c r="B2354" s="10">
        <v>72</v>
      </c>
      <c r="C2354">
        <v>54749</v>
      </c>
      <c r="D2354" s="5">
        <v>6.9</v>
      </c>
      <c r="F2354" s="8">
        <v>99.437025399319197</v>
      </c>
      <c r="G2354" s="8">
        <v>100</v>
      </c>
      <c r="H2354" s="2">
        <f t="shared" si="113"/>
        <v>4019106</v>
      </c>
      <c r="I2354" s="12">
        <f t="shared" si="111"/>
        <v>0.22812083333333333</v>
      </c>
      <c r="J2354" s="12">
        <f t="shared" si="112"/>
        <v>0.23258715277777778</v>
      </c>
    </row>
    <row r="2355" spans="1:10" ht="15" customHeight="1">
      <c r="A2355" s="14">
        <v>45089</v>
      </c>
      <c r="B2355" s="10">
        <v>73</v>
      </c>
      <c r="C2355">
        <v>58660</v>
      </c>
      <c r="D2355" s="5">
        <v>7.64</v>
      </c>
      <c r="F2355" s="8">
        <v>99.461247016053093</v>
      </c>
      <c r="G2355" s="8">
        <v>100</v>
      </c>
      <c r="H2355" s="2">
        <f t="shared" si="113"/>
        <v>4077766</v>
      </c>
      <c r="I2355" s="12">
        <f t="shared" si="111"/>
        <v>0.24441666666666667</v>
      </c>
      <c r="J2355" s="12">
        <f t="shared" si="112"/>
        <v>0.232749200913242</v>
      </c>
    </row>
    <row r="2356" spans="1:10" ht="15" customHeight="1">
      <c r="A2356" s="14">
        <v>45090</v>
      </c>
      <c r="B2356" s="10">
        <v>74</v>
      </c>
      <c r="C2356">
        <v>58518</v>
      </c>
      <c r="D2356" s="5">
        <v>7.69</v>
      </c>
      <c r="F2356" s="8">
        <v>99.472886604730846</v>
      </c>
      <c r="G2356" s="8">
        <v>100</v>
      </c>
      <c r="H2356" s="2">
        <f t="shared" si="113"/>
        <v>4136284</v>
      </c>
      <c r="I2356" s="12">
        <f t="shared" si="111"/>
        <v>0.24382499999999999</v>
      </c>
      <c r="J2356" s="12">
        <f t="shared" si="112"/>
        <v>0.23289887387387387</v>
      </c>
    </row>
    <row r="2357" spans="1:10" ht="15" customHeight="1">
      <c r="A2357" s="14">
        <v>45091</v>
      </c>
      <c r="B2357" s="10">
        <v>75</v>
      </c>
      <c r="C2357">
        <v>56702</v>
      </c>
      <c r="D2357" s="5">
        <v>7.53</v>
      </c>
      <c r="F2357" s="8">
        <v>99.569630708370454</v>
      </c>
      <c r="G2357" s="8">
        <v>100</v>
      </c>
      <c r="H2357" s="2">
        <f t="shared" si="113"/>
        <v>4192986</v>
      </c>
      <c r="I2357" s="12">
        <f t="shared" si="111"/>
        <v>0.23625833333333332</v>
      </c>
      <c r="J2357" s="12">
        <f t="shared" si="112"/>
        <v>0.23294366666666666</v>
      </c>
    </row>
    <row r="2358" spans="1:10" ht="15" customHeight="1">
      <c r="A2358" s="14">
        <v>45092</v>
      </c>
      <c r="B2358" s="10">
        <v>76</v>
      </c>
      <c r="C2358">
        <v>52624</v>
      </c>
      <c r="D2358" s="5">
        <v>6.99</v>
      </c>
      <c r="F2358" s="8">
        <v>99.542214374468642</v>
      </c>
      <c r="G2358" s="8">
        <v>100</v>
      </c>
      <c r="H2358" s="2">
        <f t="shared" si="113"/>
        <v>4245610</v>
      </c>
      <c r="I2358" s="12">
        <f t="shared" si="111"/>
        <v>0.21926666666666667</v>
      </c>
      <c r="J2358" s="12">
        <f t="shared" si="112"/>
        <v>0.23276370614035088</v>
      </c>
    </row>
    <row r="2359" spans="1:10" ht="15" customHeight="1">
      <c r="A2359" s="14">
        <v>45093</v>
      </c>
      <c r="B2359" s="10">
        <v>77</v>
      </c>
      <c r="C2359">
        <v>40695</v>
      </c>
      <c r="D2359" s="5">
        <v>5.04</v>
      </c>
      <c r="F2359" s="8">
        <v>99.667891777000392</v>
      </c>
      <c r="G2359" s="8">
        <v>100</v>
      </c>
      <c r="H2359" s="2">
        <f t="shared" si="113"/>
        <v>4286305</v>
      </c>
      <c r="I2359" s="12">
        <f t="shared" si="111"/>
        <v>0.1695625</v>
      </c>
      <c r="J2359" s="12">
        <f t="shared" si="112"/>
        <v>0.23194291125541125</v>
      </c>
    </row>
    <row r="2360" spans="1:10" ht="15" customHeight="1">
      <c r="A2360" s="14">
        <v>45094</v>
      </c>
      <c r="B2360" s="10">
        <v>78</v>
      </c>
      <c r="C2360">
        <v>34985</v>
      </c>
      <c r="D2360" s="5">
        <v>4.2</v>
      </c>
      <c r="F2360" s="8">
        <v>99.72535017852239</v>
      </c>
      <c r="G2360" s="8">
        <v>100</v>
      </c>
      <c r="H2360" s="2">
        <f t="shared" si="113"/>
        <v>4321290</v>
      </c>
      <c r="I2360" s="12">
        <f t="shared" si="111"/>
        <v>0.14577083333333332</v>
      </c>
      <c r="J2360" s="12">
        <f t="shared" si="112"/>
        <v>0.23083814102564101</v>
      </c>
    </row>
    <row r="2361" spans="1:10" ht="15" customHeight="1">
      <c r="A2361" s="14">
        <v>45095</v>
      </c>
      <c r="B2361" s="10">
        <v>79</v>
      </c>
      <c r="C2361">
        <v>42236</v>
      </c>
      <c r="D2361" s="5">
        <v>5.12</v>
      </c>
      <c r="F2361" s="8">
        <v>99.624555836145433</v>
      </c>
      <c r="G2361" s="8">
        <v>95.843296757324509</v>
      </c>
      <c r="H2361" s="2">
        <f t="shared" si="113"/>
        <v>4363526</v>
      </c>
      <c r="I2361" s="12">
        <f t="shared" si="111"/>
        <v>0.17598333333333332</v>
      </c>
      <c r="J2361" s="12">
        <f t="shared" si="112"/>
        <v>0.23014377637130801</v>
      </c>
    </row>
    <row r="2362" spans="1:10" ht="15" customHeight="1">
      <c r="A2362" s="14">
        <v>45096</v>
      </c>
      <c r="B2362" s="10">
        <v>80</v>
      </c>
      <c r="C2362">
        <v>55449</v>
      </c>
      <c r="D2362" s="5">
        <v>7.3</v>
      </c>
      <c r="F2362" s="8">
        <v>99.59654824610557</v>
      </c>
      <c r="G2362" s="8">
        <v>100</v>
      </c>
      <c r="H2362" s="2">
        <f t="shared" si="113"/>
        <v>4418975</v>
      </c>
      <c r="I2362" s="12">
        <f t="shared" si="111"/>
        <v>0.23103750000000001</v>
      </c>
      <c r="J2362" s="12">
        <f t="shared" si="112"/>
        <v>0.23015494791666666</v>
      </c>
    </row>
    <row r="2363" spans="1:10" ht="15" customHeight="1">
      <c r="A2363" s="14">
        <v>45097</v>
      </c>
      <c r="B2363" s="10">
        <v>81</v>
      </c>
      <c r="C2363">
        <v>58366</v>
      </c>
      <c r="D2363" s="5">
        <v>7.49</v>
      </c>
      <c r="F2363" s="8">
        <v>99.536403373217368</v>
      </c>
      <c r="G2363" s="8">
        <v>100</v>
      </c>
      <c r="H2363" s="2">
        <f t="shared" si="113"/>
        <v>4477341</v>
      </c>
      <c r="I2363" s="12">
        <f t="shared" si="111"/>
        <v>0.24319166666666667</v>
      </c>
      <c r="J2363" s="12">
        <f t="shared" si="112"/>
        <v>0.23031589506172839</v>
      </c>
    </row>
    <row r="2364" spans="1:10" ht="15" customHeight="1">
      <c r="A2364" s="14">
        <v>45098</v>
      </c>
      <c r="B2364" s="10">
        <v>82</v>
      </c>
      <c r="C2364">
        <v>59922</v>
      </c>
      <c r="D2364" s="5">
        <v>7.78</v>
      </c>
      <c r="F2364" s="8">
        <v>99.571864120915947</v>
      </c>
      <c r="G2364" s="8">
        <v>100</v>
      </c>
      <c r="H2364" s="2">
        <f t="shared" si="113"/>
        <v>4537263</v>
      </c>
      <c r="I2364" s="12">
        <f t="shared" si="111"/>
        <v>0.24967500000000001</v>
      </c>
      <c r="J2364" s="12">
        <f t="shared" si="112"/>
        <v>0.23055198170731708</v>
      </c>
    </row>
    <row r="2365" spans="1:10" ht="15" customHeight="1">
      <c r="A2365" s="14">
        <v>45099</v>
      </c>
      <c r="B2365" s="10">
        <v>83</v>
      </c>
      <c r="C2365">
        <v>60453</v>
      </c>
      <c r="D2365" s="5">
        <v>7.86</v>
      </c>
      <c r="F2365" s="8">
        <v>99.454899415963666</v>
      </c>
      <c r="G2365" s="8">
        <v>100</v>
      </c>
      <c r="H2365" s="2">
        <f t="shared" si="113"/>
        <v>4597716</v>
      </c>
      <c r="I2365" s="12">
        <f t="shared" si="111"/>
        <v>0.25188749999999999</v>
      </c>
      <c r="J2365" s="12">
        <f t="shared" si="112"/>
        <v>0.23080903614457832</v>
      </c>
    </row>
    <row r="2366" spans="1:10" ht="15" customHeight="1">
      <c r="A2366" s="14">
        <v>45100</v>
      </c>
      <c r="B2366" s="10">
        <v>84</v>
      </c>
      <c r="C2366">
        <v>59545</v>
      </c>
      <c r="D2366" s="5">
        <v>7.79</v>
      </c>
      <c r="F2366" s="8">
        <v>99.520476931052357</v>
      </c>
      <c r="G2366" s="8">
        <v>100</v>
      </c>
      <c r="H2366" s="2">
        <f t="shared" si="113"/>
        <v>4657261</v>
      </c>
      <c r="I2366" s="12">
        <f t="shared" si="111"/>
        <v>0.24810416666666665</v>
      </c>
      <c r="J2366" s="12">
        <f t="shared" si="112"/>
        <v>0.23101493055555555</v>
      </c>
    </row>
    <row r="2367" spans="1:10" ht="15" customHeight="1">
      <c r="A2367" s="14">
        <v>45101</v>
      </c>
      <c r="B2367" s="10">
        <v>85</v>
      </c>
      <c r="C2367">
        <v>57776</v>
      </c>
      <c r="D2367" s="5">
        <v>7.5</v>
      </c>
      <c r="F2367" s="8">
        <v>99.676179784983375</v>
      </c>
      <c r="G2367" s="8">
        <v>100</v>
      </c>
      <c r="H2367" s="2">
        <f t="shared" si="113"/>
        <v>4715037</v>
      </c>
      <c r="I2367" s="12">
        <f t="shared" si="111"/>
        <v>0.24073333333333333</v>
      </c>
      <c r="J2367" s="12">
        <f t="shared" si="112"/>
        <v>0.23112926470588235</v>
      </c>
    </row>
    <row r="2368" spans="1:10" ht="15" customHeight="1">
      <c r="A2368" s="14">
        <v>45102</v>
      </c>
      <c r="B2368" s="10">
        <v>86</v>
      </c>
      <c r="C2368">
        <v>53167</v>
      </c>
      <c r="D2368" s="5">
        <v>7</v>
      </c>
      <c r="F2368" s="8">
        <v>99.597280561209018</v>
      </c>
      <c r="G2368" s="8">
        <v>100</v>
      </c>
      <c r="H2368" s="2">
        <f t="shared" si="113"/>
        <v>4768204</v>
      </c>
      <c r="I2368" s="12">
        <f t="shared" si="111"/>
        <v>0.22152916666666667</v>
      </c>
      <c r="J2368" s="12">
        <f t="shared" si="112"/>
        <v>0.23101763565891473</v>
      </c>
    </row>
    <row r="2369" spans="1:10" ht="15" customHeight="1">
      <c r="A2369" s="14">
        <v>45103</v>
      </c>
      <c r="B2369" s="10">
        <v>87</v>
      </c>
      <c r="C2369">
        <v>48652</v>
      </c>
      <c r="D2369" s="5">
        <v>6.26</v>
      </c>
      <c r="F2369" s="8">
        <v>99.856524858155254</v>
      </c>
      <c r="G2369" s="8">
        <v>100</v>
      </c>
      <c r="H2369" s="2">
        <f t="shared" si="113"/>
        <v>4816856</v>
      </c>
      <c r="I2369" s="12">
        <f t="shared" si="111"/>
        <v>0.20271666666666666</v>
      </c>
      <c r="J2369" s="12">
        <f t="shared" si="112"/>
        <v>0.23069233716475096</v>
      </c>
    </row>
    <row r="2370" spans="1:10" ht="15" customHeight="1">
      <c r="A2370" s="14">
        <v>45104</v>
      </c>
      <c r="B2370" s="10">
        <v>88</v>
      </c>
      <c r="C2370">
        <v>55961</v>
      </c>
      <c r="D2370" s="5">
        <v>7.28</v>
      </c>
      <c r="F2370" s="8">
        <v>99.802752695713153</v>
      </c>
      <c r="G2370" s="8">
        <v>100</v>
      </c>
      <c r="H2370" s="2">
        <f t="shared" si="113"/>
        <v>4872817</v>
      </c>
      <c r="I2370" s="12">
        <f t="shared" si="111"/>
        <v>0.23317083333333333</v>
      </c>
      <c r="J2370" s="12">
        <f t="shared" si="112"/>
        <v>0.23072050189393939</v>
      </c>
    </row>
    <row r="2371" spans="1:10" ht="15" customHeight="1">
      <c r="A2371" s="14">
        <v>45105</v>
      </c>
      <c r="B2371" s="10">
        <v>89</v>
      </c>
      <c r="C2371">
        <v>55716</v>
      </c>
      <c r="D2371" s="5">
        <v>7.14</v>
      </c>
      <c r="F2371" s="8">
        <v>99.763313609467446</v>
      </c>
      <c r="G2371" s="8">
        <v>100</v>
      </c>
      <c r="H2371" s="2">
        <f t="shared" si="113"/>
        <v>4928533</v>
      </c>
      <c r="I2371" s="12">
        <f t="shared" ref="I2371:I2434" si="114">C2371/(10*24*1000)</f>
        <v>0.23215</v>
      </c>
      <c r="J2371" s="12">
        <f t="shared" si="112"/>
        <v>0.23073656367041198</v>
      </c>
    </row>
    <row r="2372" spans="1:10" ht="15" customHeight="1">
      <c r="A2372" s="14">
        <v>45106</v>
      </c>
      <c r="B2372" s="10">
        <v>90</v>
      </c>
      <c r="C2372">
        <v>49910</v>
      </c>
      <c r="D2372" s="5">
        <v>6.56</v>
      </c>
      <c r="F2372" s="8">
        <v>99.77595712434379</v>
      </c>
      <c r="G2372" s="8">
        <v>100</v>
      </c>
      <c r="H2372" s="2">
        <f t="shared" si="113"/>
        <v>4978443</v>
      </c>
      <c r="I2372" s="12">
        <f t="shared" si="114"/>
        <v>0.20795833333333333</v>
      </c>
      <c r="J2372" s="12">
        <f t="shared" ref="J2372:J2435" si="115">H2372/(24*B2372*10*1000)</f>
        <v>0.23048347222222224</v>
      </c>
    </row>
    <row r="2373" spans="1:10" ht="15" customHeight="1">
      <c r="A2373" s="14">
        <v>45107</v>
      </c>
      <c r="B2373" s="10">
        <v>91</v>
      </c>
      <c r="C2373">
        <v>47375</v>
      </c>
      <c r="D2373" s="5">
        <v>6.32</v>
      </c>
      <c r="F2373" s="8">
        <v>100</v>
      </c>
      <c r="G2373" s="8">
        <v>100</v>
      </c>
      <c r="H2373" s="2">
        <f t="shared" si="113"/>
        <v>5025818</v>
      </c>
      <c r="I2373" s="12">
        <f t="shared" si="114"/>
        <v>0.19739583333333333</v>
      </c>
      <c r="J2373" s="12">
        <f t="shared" si="115"/>
        <v>0.23011987179487178</v>
      </c>
    </row>
    <row r="2374" spans="1:10" ht="15" customHeight="1">
      <c r="A2374" s="14">
        <v>45108</v>
      </c>
      <c r="B2374" s="10">
        <v>92</v>
      </c>
      <c r="C2374">
        <v>57129</v>
      </c>
      <c r="D2374" s="5">
        <v>7.42</v>
      </c>
      <c r="F2374" s="8">
        <v>99.841462072002642</v>
      </c>
      <c r="G2374" s="8">
        <v>100</v>
      </c>
      <c r="H2374" s="2">
        <f t="shared" si="113"/>
        <v>5082947</v>
      </c>
      <c r="I2374" s="12">
        <f t="shared" si="114"/>
        <v>0.23803750000000001</v>
      </c>
      <c r="J2374" s="12">
        <f t="shared" si="115"/>
        <v>0.23020593297101449</v>
      </c>
    </row>
    <row r="2375" spans="1:10" ht="15" customHeight="1">
      <c r="A2375" s="14">
        <v>45109</v>
      </c>
      <c r="B2375" s="10">
        <v>93</v>
      </c>
      <c r="C2375">
        <v>58175</v>
      </c>
      <c r="D2375" s="5">
        <v>7.56</v>
      </c>
      <c r="F2375" s="8">
        <v>99.59143327841845</v>
      </c>
      <c r="G2375" s="8">
        <v>100</v>
      </c>
      <c r="H2375" s="2">
        <f t="shared" si="113"/>
        <v>5141122</v>
      </c>
      <c r="I2375" s="12">
        <f t="shared" si="114"/>
        <v>0.24239583333333334</v>
      </c>
      <c r="J2375" s="12">
        <f t="shared" si="115"/>
        <v>0.23033700716845878</v>
      </c>
    </row>
    <row r="2376" spans="1:10" ht="15" customHeight="1">
      <c r="A2376" s="14">
        <v>45110</v>
      </c>
      <c r="B2376" s="10">
        <v>94</v>
      </c>
      <c r="C2376">
        <v>56905</v>
      </c>
      <c r="D2376" s="5">
        <v>7.33</v>
      </c>
      <c r="F2376" s="8">
        <v>99.607432609264592</v>
      </c>
      <c r="G2376" s="8">
        <v>100</v>
      </c>
      <c r="H2376" s="2">
        <f t="shared" si="113"/>
        <v>5198027</v>
      </c>
      <c r="I2376" s="12">
        <f t="shared" si="114"/>
        <v>0.23710416666666667</v>
      </c>
      <c r="J2376" s="12">
        <f t="shared" si="115"/>
        <v>0.23040899822695035</v>
      </c>
    </row>
    <row r="2377" spans="1:10" ht="15" customHeight="1">
      <c r="A2377" s="14">
        <v>45111</v>
      </c>
      <c r="B2377" s="10">
        <v>95</v>
      </c>
      <c r="C2377">
        <v>58878</v>
      </c>
      <c r="D2377" s="5">
        <v>7.7</v>
      </c>
      <c r="F2377" s="8">
        <v>99.539766376646426</v>
      </c>
      <c r="G2377" s="8">
        <v>100</v>
      </c>
      <c r="H2377" s="2">
        <f t="shared" si="113"/>
        <v>5256905</v>
      </c>
      <c r="I2377" s="12">
        <f t="shared" si="114"/>
        <v>0.24532499999999999</v>
      </c>
      <c r="J2377" s="12">
        <f t="shared" si="115"/>
        <v>0.23056600877192981</v>
      </c>
    </row>
    <row r="2378" spans="1:10" ht="15" customHeight="1">
      <c r="A2378" s="14">
        <v>45112</v>
      </c>
      <c r="B2378" s="10">
        <v>96</v>
      </c>
      <c r="C2378">
        <v>53272</v>
      </c>
      <c r="D2378" s="5">
        <v>6.88</v>
      </c>
      <c r="F2378" s="8">
        <v>99.552268287865147</v>
      </c>
      <c r="G2378" s="8">
        <v>100</v>
      </c>
      <c r="H2378" s="2">
        <f t="shared" si="113"/>
        <v>5310177</v>
      </c>
      <c r="I2378" s="12">
        <f t="shared" si="114"/>
        <v>0.22196666666666667</v>
      </c>
      <c r="J2378" s="12">
        <f t="shared" si="115"/>
        <v>0.23047643229166667</v>
      </c>
    </row>
    <row r="2379" spans="1:10" ht="15" customHeight="1">
      <c r="A2379" s="14">
        <v>45113</v>
      </c>
      <c r="B2379" s="10">
        <v>97</v>
      </c>
      <c r="C2379">
        <v>50046</v>
      </c>
      <c r="D2379" s="5">
        <v>6.33</v>
      </c>
      <c r="F2379" s="8">
        <v>99.670785505783201</v>
      </c>
      <c r="G2379" s="8">
        <v>100</v>
      </c>
      <c r="H2379" s="2">
        <f t="shared" si="113"/>
        <v>5360223</v>
      </c>
      <c r="I2379" s="12">
        <f t="shared" si="114"/>
        <v>0.20852499999999999</v>
      </c>
      <c r="J2379" s="12">
        <f t="shared" si="115"/>
        <v>0.23025012886597937</v>
      </c>
    </row>
    <row r="2380" spans="1:10" ht="15" customHeight="1">
      <c r="A2380" s="14">
        <v>45114</v>
      </c>
      <c r="B2380" s="10">
        <v>98</v>
      </c>
      <c r="C2380">
        <v>31961</v>
      </c>
      <c r="D2380" s="5">
        <v>4.0999999999999996</v>
      </c>
      <c r="F2380" s="8">
        <v>99.639473076034207</v>
      </c>
      <c r="G2380" s="8">
        <v>100</v>
      </c>
      <c r="H2380" s="2">
        <f t="shared" si="113"/>
        <v>5392184</v>
      </c>
      <c r="I2380" s="12">
        <f t="shared" si="114"/>
        <v>0.13317083333333332</v>
      </c>
      <c r="J2380" s="12">
        <f t="shared" si="115"/>
        <v>0.2292595238095238</v>
      </c>
    </row>
    <row r="2381" spans="1:10" ht="15" customHeight="1">
      <c r="A2381" s="14">
        <v>45115</v>
      </c>
      <c r="B2381" s="10">
        <v>99</v>
      </c>
      <c r="C2381">
        <v>54161</v>
      </c>
      <c r="D2381" s="5">
        <v>6.76</v>
      </c>
      <c r="F2381" s="8">
        <v>99.405809859154928</v>
      </c>
      <c r="G2381" s="8">
        <v>100</v>
      </c>
      <c r="H2381" s="2">
        <f t="shared" si="113"/>
        <v>5446345</v>
      </c>
      <c r="I2381" s="12">
        <f t="shared" si="114"/>
        <v>0.22567083333333332</v>
      </c>
      <c r="J2381" s="12">
        <f t="shared" si="115"/>
        <v>0.22922327441077442</v>
      </c>
    </row>
    <row r="2382" spans="1:10" ht="15" customHeight="1">
      <c r="A2382" s="14">
        <v>45116</v>
      </c>
      <c r="B2382" s="10">
        <v>100</v>
      </c>
      <c r="C2382">
        <v>54819</v>
      </c>
      <c r="D2382" s="5">
        <v>6.78</v>
      </c>
      <c r="F2382" s="8">
        <v>99.328800175477085</v>
      </c>
      <c r="G2382" s="8">
        <v>100</v>
      </c>
      <c r="H2382" s="2">
        <f t="shared" si="113"/>
        <v>5501164</v>
      </c>
      <c r="I2382" s="12">
        <f t="shared" si="114"/>
        <v>0.22841249999999999</v>
      </c>
      <c r="J2382" s="12">
        <f t="shared" si="115"/>
        <v>0.22921516666666666</v>
      </c>
    </row>
    <row r="2383" spans="1:10" ht="15" customHeight="1">
      <c r="A2383" s="14">
        <v>45117</v>
      </c>
      <c r="B2383" s="10">
        <v>101</v>
      </c>
      <c r="C2383">
        <v>48799</v>
      </c>
      <c r="D2383" s="5">
        <v>6.19</v>
      </c>
      <c r="F2383" s="8">
        <v>99.363226319978764</v>
      </c>
      <c r="G2383" s="8">
        <v>100</v>
      </c>
      <c r="H2383" s="2">
        <f t="shared" si="113"/>
        <v>5549963</v>
      </c>
      <c r="I2383" s="12">
        <f t="shared" si="114"/>
        <v>0.20332916666666667</v>
      </c>
      <c r="J2383" s="12">
        <f t="shared" si="115"/>
        <v>0.22895886963696369</v>
      </c>
    </row>
    <row r="2384" spans="1:10" ht="15" customHeight="1">
      <c r="A2384" s="14">
        <v>45118</v>
      </c>
      <c r="B2384" s="10">
        <v>102</v>
      </c>
      <c r="C2384">
        <v>55940</v>
      </c>
      <c r="D2384" s="5">
        <v>7.31</v>
      </c>
      <c r="F2384" s="8">
        <v>99.402628434886495</v>
      </c>
      <c r="G2384" s="8">
        <v>100</v>
      </c>
      <c r="H2384" s="2">
        <f t="shared" si="113"/>
        <v>5605903</v>
      </c>
      <c r="I2384" s="12">
        <f t="shared" si="114"/>
        <v>0.23308333333333334</v>
      </c>
      <c r="J2384" s="12">
        <f t="shared" si="115"/>
        <v>0.22899930555555556</v>
      </c>
    </row>
    <row r="2385" spans="1:10" ht="15" customHeight="1">
      <c r="A2385" s="14">
        <v>45119</v>
      </c>
      <c r="B2385" s="10">
        <v>103</v>
      </c>
      <c r="C2385">
        <v>56643</v>
      </c>
      <c r="D2385" s="5">
        <v>7.41</v>
      </c>
      <c r="F2385" s="8">
        <v>99.485227797698926</v>
      </c>
      <c r="G2385" s="8">
        <v>100</v>
      </c>
      <c r="H2385" s="2">
        <f t="shared" si="113"/>
        <v>5662546</v>
      </c>
      <c r="I2385" s="12">
        <f t="shared" si="114"/>
        <v>0.23601249999999999</v>
      </c>
      <c r="J2385" s="12">
        <f t="shared" si="115"/>
        <v>0.22906739482200647</v>
      </c>
    </row>
    <row r="2386" spans="1:10" ht="15" customHeight="1">
      <c r="A2386" s="14">
        <v>45120</v>
      </c>
      <c r="B2386" s="10">
        <v>104</v>
      </c>
      <c r="C2386">
        <v>57315</v>
      </c>
      <c r="D2386" s="5">
        <v>7.43</v>
      </c>
      <c r="F2386" s="8">
        <v>99.439447268934956</v>
      </c>
      <c r="G2386" s="8">
        <v>100</v>
      </c>
      <c r="H2386" s="2">
        <f t="shared" si="113"/>
        <v>5719861</v>
      </c>
      <c r="I2386" s="12">
        <f t="shared" si="114"/>
        <v>0.23881250000000001</v>
      </c>
      <c r="J2386" s="12">
        <f t="shared" si="115"/>
        <v>0.22916109775641025</v>
      </c>
    </row>
    <row r="2387" spans="1:10" ht="15" customHeight="1">
      <c r="A2387" s="14">
        <v>45121</v>
      </c>
      <c r="B2387" s="10">
        <v>105</v>
      </c>
      <c r="C2387">
        <v>55161</v>
      </c>
      <c r="D2387" s="5">
        <v>7</v>
      </c>
      <c r="F2387" s="8">
        <v>99.416468554138746</v>
      </c>
      <c r="G2387" s="8">
        <v>100</v>
      </c>
      <c r="H2387" s="2">
        <f t="shared" si="113"/>
        <v>5775022</v>
      </c>
      <c r="I2387" s="12">
        <f t="shared" si="114"/>
        <v>0.2298375</v>
      </c>
      <c r="J2387" s="12">
        <f t="shared" si="115"/>
        <v>0.22916753968253969</v>
      </c>
    </row>
    <row r="2388" spans="1:10" ht="15" customHeight="1">
      <c r="A2388" s="14">
        <v>45122</v>
      </c>
      <c r="B2388" s="10">
        <v>106</v>
      </c>
      <c r="C2388">
        <v>57832</v>
      </c>
      <c r="D2388" s="5">
        <v>7.42</v>
      </c>
      <c r="F2388" s="8">
        <v>99.603384452670539</v>
      </c>
      <c r="G2388" s="8">
        <v>100</v>
      </c>
      <c r="H2388" s="2">
        <f t="shared" si="113"/>
        <v>5832854</v>
      </c>
      <c r="I2388" s="12">
        <f t="shared" si="114"/>
        <v>0.24096666666666666</v>
      </c>
      <c r="J2388" s="12">
        <f t="shared" si="115"/>
        <v>0.22927885220125785</v>
      </c>
    </row>
    <row r="2389" spans="1:10" ht="15" customHeight="1">
      <c r="A2389" s="14">
        <v>45123</v>
      </c>
      <c r="B2389" s="10">
        <v>107</v>
      </c>
      <c r="C2389">
        <v>56219</v>
      </c>
      <c r="D2389" s="5">
        <v>7.23</v>
      </c>
      <c r="F2389" s="8">
        <v>99.569957864558447</v>
      </c>
      <c r="G2389" s="8">
        <v>100</v>
      </c>
      <c r="H2389" s="2">
        <f t="shared" si="113"/>
        <v>5889073</v>
      </c>
      <c r="I2389" s="12">
        <f t="shared" si="114"/>
        <v>0.23424583333333332</v>
      </c>
      <c r="J2389" s="12">
        <f t="shared" si="115"/>
        <v>0.22932527258566979</v>
      </c>
    </row>
    <row r="2390" spans="1:10" ht="15" customHeight="1">
      <c r="A2390" s="14">
        <v>45124</v>
      </c>
      <c r="B2390" s="10">
        <v>108</v>
      </c>
      <c r="C2390">
        <v>50397</v>
      </c>
      <c r="D2390" s="5">
        <v>6.67</v>
      </c>
      <c r="F2390" s="8">
        <v>99.607261302146981</v>
      </c>
      <c r="G2390" s="8">
        <v>100</v>
      </c>
      <c r="H2390" s="2">
        <f t="shared" si="113"/>
        <v>5939470</v>
      </c>
      <c r="I2390" s="12">
        <f t="shared" si="114"/>
        <v>0.20998749999999999</v>
      </c>
      <c r="J2390" s="12">
        <f t="shared" si="115"/>
        <v>0.22914621913580246</v>
      </c>
    </row>
    <row r="2391" spans="1:10" ht="15" customHeight="1">
      <c r="A2391" s="14">
        <v>45125</v>
      </c>
      <c r="B2391" s="10">
        <v>109</v>
      </c>
      <c r="C2391">
        <v>46975</v>
      </c>
      <c r="D2391" s="5">
        <v>6.09</v>
      </c>
      <c r="F2391" s="8">
        <v>99.56605593056895</v>
      </c>
      <c r="G2391" s="8">
        <v>100</v>
      </c>
      <c r="H2391" s="2">
        <f t="shared" si="113"/>
        <v>5986445</v>
      </c>
      <c r="I2391" s="12">
        <f t="shared" si="114"/>
        <v>0.19572916666666668</v>
      </c>
      <c r="J2391" s="12">
        <f t="shared" si="115"/>
        <v>0.22883964067278287</v>
      </c>
    </row>
    <row r="2392" spans="1:10" ht="15" customHeight="1">
      <c r="A2392" s="14">
        <v>45126</v>
      </c>
      <c r="B2392" s="10">
        <v>110</v>
      </c>
      <c r="C2392">
        <v>32459</v>
      </c>
      <c r="D2392" s="5">
        <v>4.3099999999999996</v>
      </c>
      <c r="F2392" s="8">
        <v>99.556295063782585</v>
      </c>
      <c r="G2392" s="8">
        <v>100</v>
      </c>
      <c r="H2392" s="2">
        <f t="shared" si="113"/>
        <v>6018904</v>
      </c>
      <c r="I2392" s="12">
        <f t="shared" si="114"/>
        <v>0.13524583333333334</v>
      </c>
      <c r="J2392" s="12">
        <f t="shared" si="115"/>
        <v>0.22798878787878787</v>
      </c>
    </row>
    <row r="2393" spans="1:10" ht="15" customHeight="1">
      <c r="A2393" s="14">
        <v>45127</v>
      </c>
      <c r="B2393" s="10">
        <v>111</v>
      </c>
      <c r="C2393">
        <v>43954</v>
      </c>
      <c r="D2393" s="5">
        <v>5.52</v>
      </c>
      <c r="F2393" s="8">
        <v>99.604916593503063</v>
      </c>
      <c r="G2393" s="8">
        <v>100</v>
      </c>
      <c r="H2393" s="2">
        <f t="shared" si="113"/>
        <v>6062858</v>
      </c>
      <c r="I2393" s="12">
        <f t="shared" si="114"/>
        <v>0.18314166666666667</v>
      </c>
      <c r="J2393" s="12">
        <f t="shared" si="115"/>
        <v>0.22758475975975975</v>
      </c>
    </row>
    <row r="2394" spans="1:10" ht="15" customHeight="1">
      <c r="A2394" s="14">
        <v>45128</v>
      </c>
      <c r="B2394" s="10">
        <v>112</v>
      </c>
      <c r="C2394">
        <v>47128</v>
      </c>
      <c r="D2394" s="5">
        <v>6.31</v>
      </c>
      <c r="F2394" s="8">
        <v>99.539018768521572</v>
      </c>
      <c r="G2394" s="8">
        <v>100</v>
      </c>
      <c r="H2394" s="2">
        <f t="shared" si="113"/>
        <v>6109986</v>
      </c>
      <c r="I2394" s="12">
        <f t="shared" si="114"/>
        <v>0.19636666666666666</v>
      </c>
      <c r="J2394" s="12">
        <f t="shared" si="115"/>
        <v>0.22730602678571429</v>
      </c>
    </row>
    <row r="2395" spans="1:10" ht="15" customHeight="1">
      <c r="A2395" s="14">
        <v>45129</v>
      </c>
      <c r="B2395" s="10">
        <v>113</v>
      </c>
      <c r="C2395">
        <v>35946</v>
      </c>
      <c r="D2395" s="5">
        <v>4.82</v>
      </c>
      <c r="F2395" s="8">
        <v>99.502672047115283</v>
      </c>
      <c r="G2395" s="8">
        <v>100</v>
      </c>
      <c r="H2395" s="2">
        <f t="shared" si="113"/>
        <v>6145932</v>
      </c>
      <c r="I2395" s="12">
        <f t="shared" si="114"/>
        <v>0.14977499999999999</v>
      </c>
      <c r="J2395" s="12">
        <f t="shared" si="115"/>
        <v>0.22661991150442479</v>
      </c>
    </row>
    <row r="2396" spans="1:10" ht="15" customHeight="1">
      <c r="A2396" s="14">
        <v>45130</v>
      </c>
      <c r="B2396" s="10">
        <v>114</v>
      </c>
      <c r="C2396">
        <v>51089</v>
      </c>
      <c r="D2396" s="5">
        <v>6.44</v>
      </c>
      <c r="F2396" s="8">
        <v>99.452530958070824</v>
      </c>
      <c r="G2396" s="8">
        <v>100</v>
      </c>
      <c r="H2396" s="2">
        <f t="shared" si="113"/>
        <v>6197021</v>
      </c>
      <c r="I2396" s="12">
        <f t="shared" si="114"/>
        <v>0.21287083333333334</v>
      </c>
      <c r="J2396" s="12">
        <f t="shared" si="115"/>
        <v>0.22649930555555556</v>
      </c>
    </row>
    <row r="2397" spans="1:10" ht="15" customHeight="1">
      <c r="A2397" s="14">
        <v>45131</v>
      </c>
      <c r="B2397" s="10">
        <v>115</v>
      </c>
      <c r="C2397">
        <v>38588</v>
      </c>
      <c r="D2397" s="5">
        <v>4.8499999999999996</v>
      </c>
      <c r="F2397" s="8">
        <v>99.567893151761169</v>
      </c>
      <c r="G2397" s="8">
        <v>100</v>
      </c>
      <c r="H2397" s="2">
        <f t="shared" si="113"/>
        <v>6235609</v>
      </c>
      <c r="I2397" s="12">
        <f t="shared" si="114"/>
        <v>0.16078333333333333</v>
      </c>
      <c r="J2397" s="12">
        <f t="shared" si="115"/>
        <v>0.22592786231884057</v>
      </c>
    </row>
    <row r="2398" spans="1:10" ht="15" customHeight="1">
      <c r="A2398" s="14">
        <v>45132</v>
      </c>
      <c r="B2398" s="10">
        <v>116</v>
      </c>
      <c r="C2398">
        <v>26700</v>
      </c>
      <c r="D2398" s="5">
        <v>3.53</v>
      </c>
      <c r="F2398" s="8">
        <v>99.601487778958557</v>
      </c>
      <c r="G2398" s="8">
        <v>100</v>
      </c>
      <c r="H2398" s="2">
        <f t="shared" si="113"/>
        <v>6262309</v>
      </c>
      <c r="I2398" s="12">
        <f t="shared" si="114"/>
        <v>0.11125</v>
      </c>
      <c r="J2398" s="12">
        <f t="shared" si="115"/>
        <v>0.22493926005747125</v>
      </c>
    </row>
    <row r="2399" spans="1:10" ht="15" customHeight="1">
      <c r="A2399" s="14">
        <v>45133</v>
      </c>
      <c r="B2399" s="10">
        <v>117</v>
      </c>
      <c r="C2399">
        <v>36329</v>
      </c>
      <c r="D2399" s="5">
        <v>4.57</v>
      </c>
      <c r="F2399" s="8">
        <v>99.538126553324389</v>
      </c>
      <c r="G2399" s="8">
        <v>100</v>
      </c>
      <c r="H2399" s="2">
        <f t="shared" si="113"/>
        <v>6298638</v>
      </c>
      <c r="I2399" s="12">
        <f t="shared" si="114"/>
        <v>0.15137083333333334</v>
      </c>
      <c r="J2399" s="12">
        <f t="shared" si="115"/>
        <v>0.22431047008547009</v>
      </c>
    </row>
    <row r="2400" spans="1:10" ht="15" customHeight="1">
      <c r="A2400" s="14">
        <v>45134</v>
      </c>
      <c r="B2400" s="10">
        <v>118</v>
      </c>
      <c r="C2400">
        <v>12010</v>
      </c>
      <c r="D2400" s="5">
        <v>1.65</v>
      </c>
      <c r="F2400" s="8">
        <v>99.602104425482992</v>
      </c>
      <c r="G2400" s="8">
        <v>100</v>
      </c>
      <c r="H2400" s="2">
        <f t="shared" si="113"/>
        <v>6310648</v>
      </c>
      <c r="I2400" s="12">
        <f t="shared" si="114"/>
        <v>5.0041666666666665E-2</v>
      </c>
      <c r="J2400" s="12">
        <f t="shared" si="115"/>
        <v>0.22283361581920905</v>
      </c>
    </row>
    <row r="2401" spans="1:10" ht="15" customHeight="1">
      <c r="A2401" s="14">
        <v>45135</v>
      </c>
      <c r="B2401" s="10">
        <v>119</v>
      </c>
      <c r="C2401">
        <v>28376</v>
      </c>
      <c r="D2401" s="5">
        <v>3.55</v>
      </c>
      <c r="F2401" s="8">
        <v>99.551894563426686</v>
      </c>
      <c r="G2401" s="8">
        <v>100</v>
      </c>
      <c r="H2401" s="2">
        <f t="shared" si="113"/>
        <v>6339024</v>
      </c>
      <c r="I2401" s="12">
        <f t="shared" si="114"/>
        <v>0.11823333333333333</v>
      </c>
      <c r="J2401" s="12">
        <f t="shared" si="115"/>
        <v>0.22195462184873949</v>
      </c>
    </row>
    <row r="2402" spans="1:10" ht="15" customHeight="1">
      <c r="A2402" s="14">
        <v>45136</v>
      </c>
      <c r="B2402" s="10">
        <v>120</v>
      </c>
      <c r="C2402">
        <v>49683</v>
      </c>
      <c r="D2402" s="5">
        <v>6.26</v>
      </c>
      <c r="F2402" s="8">
        <v>99.555187301033527</v>
      </c>
      <c r="G2402" s="8">
        <v>100</v>
      </c>
      <c r="H2402" s="2">
        <f t="shared" si="113"/>
        <v>6388707</v>
      </c>
      <c r="I2402" s="12">
        <f t="shared" si="114"/>
        <v>0.20701249999999999</v>
      </c>
      <c r="J2402" s="12">
        <f t="shared" si="115"/>
        <v>0.22183010416666665</v>
      </c>
    </row>
    <row r="2403" spans="1:10" ht="15" customHeight="1">
      <c r="A2403" s="14">
        <v>45137</v>
      </c>
      <c r="B2403" s="10">
        <v>121</v>
      </c>
      <c r="C2403">
        <v>54193</v>
      </c>
      <c r="D2403" s="5">
        <v>6.87</v>
      </c>
      <c r="F2403" s="8">
        <v>99.607269871053603</v>
      </c>
      <c r="G2403" s="8">
        <v>100</v>
      </c>
      <c r="H2403" s="2">
        <f t="shared" si="113"/>
        <v>6442900</v>
      </c>
      <c r="I2403" s="12">
        <f t="shared" si="114"/>
        <v>0.22580416666666667</v>
      </c>
      <c r="J2403" s="12">
        <f t="shared" si="115"/>
        <v>0.2218629476584022</v>
      </c>
    </row>
    <row r="2404" spans="1:10" ht="15" customHeight="1">
      <c r="A2404" s="14">
        <v>45138</v>
      </c>
      <c r="B2404" s="10">
        <v>122</v>
      </c>
      <c r="C2404">
        <v>54532</v>
      </c>
      <c r="D2404" s="5">
        <v>7.07</v>
      </c>
      <c r="F2404" s="8">
        <v>99.556274555119018</v>
      </c>
      <c r="G2404" s="8">
        <v>100</v>
      </c>
      <c r="H2404" s="2">
        <f t="shared" si="113"/>
        <v>6497432</v>
      </c>
      <c r="I2404" s="12">
        <f t="shared" si="114"/>
        <v>0.22721666666666668</v>
      </c>
      <c r="J2404" s="12">
        <f t="shared" si="115"/>
        <v>0.2219068306010929</v>
      </c>
    </row>
    <row r="2405" spans="1:10" ht="15" customHeight="1">
      <c r="A2405" s="14">
        <v>45139</v>
      </c>
      <c r="B2405" s="10">
        <v>123</v>
      </c>
      <c r="C2405">
        <v>58214</v>
      </c>
      <c r="D2405" s="5">
        <v>7.2</v>
      </c>
      <c r="F2405" s="8">
        <v>99.473106476399565</v>
      </c>
      <c r="G2405" s="8">
        <v>100</v>
      </c>
      <c r="H2405" s="2">
        <f t="shared" si="113"/>
        <v>6555646</v>
      </c>
      <c r="I2405" s="12">
        <f t="shared" si="114"/>
        <v>0.24255833333333332</v>
      </c>
      <c r="J2405" s="12">
        <f t="shared" si="115"/>
        <v>0.22207472899728997</v>
      </c>
    </row>
    <row r="2406" spans="1:10" ht="15" customHeight="1">
      <c r="A2406" s="14">
        <v>45140</v>
      </c>
      <c r="B2406" s="10">
        <v>124</v>
      </c>
      <c r="C2406">
        <v>44371</v>
      </c>
      <c r="D2406" s="5">
        <v>5.69</v>
      </c>
      <c r="F2406" s="8">
        <v>97.407693155516355</v>
      </c>
      <c r="G2406" s="8">
        <v>100</v>
      </c>
      <c r="H2406" s="2">
        <f t="shared" si="113"/>
        <v>6600017</v>
      </c>
      <c r="I2406" s="12">
        <f t="shared" si="114"/>
        <v>0.18487916666666668</v>
      </c>
      <c r="J2406" s="12">
        <f t="shared" si="115"/>
        <v>0.22177476478494623</v>
      </c>
    </row>
    <row r="2407" spans="1:10" ht="15" customHeight="1">
      <c r="A2407" s="14">
        <v>45141</v>
      </c>
      <c r="B2407" s="10">
        <v>125</v>
      </c>
      <c r="C2407">
        <v>43100</v>
      </c>
      <c r="D2407" s="5">
        <v>5.3</v>
      </c>
      <c r="F2407" s="8">
        <v>99.604916593503063</v>
      </c>
      <c r="G2407" s="8">
        <v>100</v>
      </c>
      <c r="H2407" s="2">
        <f t="shared" si="113"/>
        <v>6643117</v>
      </c>
      <c r="I2407" s="12">
        <f t="shared" si="114"/>
        <v>0.17958333333333334</v>
      </c>
      <c r="J2407" s="12">
        <f t="shared" si="115"/>
        <v>0.22143723333333334</v>
      </c>
    </row>
    <row r="2408" spans="1:10" ht="15" customHeight="1">
      <c r="A2408" s="14">
        <v>45142</v>
      </c>
      <c r="B2408" s="10">
        <v>126</v>
      </c>
      <c r="C2408">
        <v>51376</v>
      </c>
      <c r="D2408" s="5">
        <v>6.37</v>
      </c>
      <c r="F2408" s="8">
        <v>99.49917627677101</v>
      </c>
      <c r="G2408" s="8">
        <v>100</v>
      </c>
      <c r="H2408" s="2">
        <f t="shared" si="113"/>
        <v>6694493</v>
      </c>
      <c r="I2408" s="12">
        <f t="shared" si="114"/>
        <v>0.21406666666666666</v>
      </c>
      <c r="J2408" s="12">
        <f t="shared" si="115"/>
        <v>0.22137873677248676</v>
      </c>
    </row>
    <row r="2409" spans="1:10" ht="15" customHeight="1">
      <c r="A2409" s="14">
        <v>45143</v>
      </c>
      <c r="B2409" s="10">
        <v>127</v>
      </c>
      <c r="C2409">
        <v>51911</v>
      </c>
      <c r="D2409" s="5">
        <v>6.51</v>
      </c>
      <c r="F2409" s="8">
        <v>99.640351656158415</v>
      </c>
      <c r="G2409" s="8">
        <v>100</v>
      </c>
      <c r="H2409" s="2">
        <f t="shared" si="113"/>
        <v>6746404</v>
      </c>
      <c r="I2409" s="12">
        <f t="shared" si="114"/>
        <v>0.21629583333333333</v>
      </c>
      <c r="J2409" s="12">
        <f t="shared" si="115"/>
        <v>0.22133871391076115</v>
      </c>
    </row>
    <row r="2410" spans="1:10" ht="15" customHeight="1">
      <c r="A2410" s="14">
        <v>45144</v>
      </c>
      <c r="B2410" s="10">
        <v>128</v>
      </c>
      <c r="C2410">
        <v>46965</v>
      </c>
      <c r="D2410" s="5">
        <v>5.32</v>
      </c>
      <c r="F2410" s="8">
        <v>99.67025719938448</v>
      </c>
      <c r="G2410" s="8">
        <v>100</v>
      </c>
      <c r="H2410" s="2">
        <f t="shared" si="113"/>
        <v>6793369</v>
      </c>
      <c r="I2410" s="12">
        <f t="shared" si="114"/>
        <v>0.19568749999999999</v>
      </c>
      <c r="J2410" s="12">
        <f t="shared" si="115"/>
        <v>0.22113831380208335</v>
      </c>
    </row>
    <row r="2411" spans="1:10" ht="15" customHeight="1">
      <c r="A2411" s="14">
        <v>45145</v>
      </c>
      <c r="B2411" s="10">
        <v>129</v>
      </c>
      <c r="C2411">
        <v>53263</v>
      </c>
      <c r="D2411" s="5">
        <v>6.7</v>
      </c>
      <c r="F2411" s="8">
        <v>99.709896485791518</v>
      </c>
      <c r="G2411" s="8">
        <v>100</v>
      </c>
      <c r="H2411" s="2">
        <f t="shared" si="113"/>
        <v>6846632</v>
      </c>
      <c r="I2411" s="12">
        <f t="shared" si="114"/>
        <v>0.22192916666666668</v>
      </c>
      <c r="J2411" s="12">
        <f t="shared" si="115"/>
        <v>0.22114444444444445</v>
      </c>
    </row>
    <row r="2412" spans="1:10" ht="15" customHeight="1">
      <c r="A2412" s="14">
        <v>45146</v>
      </c>
      <c r="B2412" s="10">
        <v>130</v>
      </c>
      <c r="C2412">
        <v>51192</v>
      </c>
      <c r="D2412" s="5">
        <v>6.36</v>
      </c>
      <c r="F2412" s="8">
        <v>99.751031907226633</v>
      </c>
      <c r="G2412" s="8">
        <v>100</v>
      </c>
      <c r="H2412" s="2">
        <f t="shared" ref="H2412:H2475" si="116">C2412+H2411</f>
        <v>6897824</v>
      </c>
      <c r="I2412" s="12">
        <f t="shared" si="114"/>
        <v>0.21329999999999999</v>
      </c>
      <c r="J2412" s="12">
        <f t="shared" si="115"/>
        <v>0.22108410256410257</v>
      </c>
    </row>
    <row r="2413" spans="1:10" ht="15" customHeight="1">
      <c r="A2413" s="14">
        <v>45147</v>
      </c>
      <c r="B2413" s="10">
        <v>131</v>
      </c>
      <c r="C2413">
        <v>50892</v>
      </c>
      <c r="D2413" s="5">
        <v>6.29</v>
      </c>
      <c r="F2413" s="8">
        <v>99.762585183556823</v>
      </c>
      <c r="G2413" s="8">
        <v>100</v>
      </c>
      <c r="H2413" s="2">
        <f t="shared" si="116"/>
        <v>6948716</v>
      </c>
      <c r="I2413" s="12">
        <f t="shared" si="114"/>
        <v>0.21204999999999999</v>
      </c>
      <c r="J2413" s="12">
        <f t="shared" si="115"/>
        <v>0.2210151399491094</v>
      </c>
    </row>
    <row r="2414" spans="1:10" ht="15" customHeight="1">
      <c r="A2414" s="14">
        <v>45148</v>
      </c>
      <c r="B2414" s="10">
        <v>132</v>
      </c>
      <c r="C2414">
        <v>48175</v>
      </c>
      <c r="D2414" s="5">
        <v>6.18</v>
      </c>
      <c r="F2414" s="8">
        <v>99.750590706222113</v>
      </c>
      <c r="G2414" s="8">
        <v>100</v>
      </c>
      <c r="H2414" s="2">
        <f t="shared" si="116"/>
        <v>6996891</v>
      </c>
      <c r="I2414" s="12">
        <f t="shared" si="114"/>
        <v>0.20072916666666665</v>
      </c>
      <c r="J2414" s="12">
        <f t="shared" si="115"/>
        <v>0.22086145833333334</v>
      </c>
    </row>
    <row r="2415" spans="1:10" ht="15" customHeight="1">
      <c r="A2415" s="14">
        <v>45149</v>
      </c>
      <c r="B2415" s="10">
        <v>133</v>
      </c>
      <c r="C2415">
        <v>44844</v>
      </c>
      <c r="D2415" s="5">
        <v>5.77</v>
      </c>
      <c r="F2415" s="8">
        <v>99.736205759507584</v>
      </c>
      <c r="G2415" s="8">
        <v>100</v>
      </c>
      <c r="H2415" s="2">
        <f t="shared" si="116"/>
        <v>7041735</v>
      </c>
      <c r="I2415" s="12">
        <f t="shared" si="114"/>
        <v>0.18684999999999999</v>
      </c>
      <c r="J2415" s="12">
        <f t="shared" si="115"/>
        <v>0.22060573308270676</v>
      </c>
    </row>
    <row r="2416" spans="1:10" ht="15" customHeight="1">
      <c r="A2416" s="14">
        <v>45150</v>
      </c>
      <c r="B2416" s="10">
        <v>134</v>
      </c>
      <c r="C2416">
        <v>53733</v>
      </c>
      <c r="D2416" s="5">
        <v>7.07</v>
      </c>
      <c r="F2416" s="8">
        <v>99.592149983554435</v>
      </c>
      <c r="G2416" s="8">
        <v>100</v>
      </c>
      <c r="H2416" s="2">
        <f t="shared" si="116"/>
        <v>7095468</v>
      </c>
      <c r="I2416" s="12">
        <f t="shared" si="114"/>
        <v>0.22388749999999999</v>
      </c>
      <c r="J2416" s="12">
        <f t="shared" si="115"/>
        <v>0.22063022388059703</v>
      </c>
    </row>
    <row r="2417" spans="1:10" ht="15" customHeight="1">
      <c r="A2417" s="14">
        <v>45151</v>
      </c>
      <c r="B2417" s="10">
        <v>135</v>
      </c>
      <c r="C2417">
        <v>54072</v>
      </c>
      <c r="D2417" s="5">
        <v>6.89</v>
      </c>
      <c r="F2417" s="8">
        <v>99.619072638907141</v>
      </c>
      <c r="G2417" s="8">
        <v>100</v>
      </c>
      <c r="H2417" s="2">
        <f t="shared" si="116"/>
        <v>7149540</v>
      </c>
      <c r="I2417" s="12">
        <f t="shared" si="114"/>
        <v>0.2253</v>
      </c>
      <c r="J2417" s="12">
        <f t="shared" si="115"/>
        <v>0.22066481481481481</v>
      </c>
    </row>
    <row r="2418" spans="1:10" ht="15" customHeight="1">
      <c r="A2418" s="14">
        <v>45152</v>
      </c>
      <c r="B2418" s="10">
        <v>136</v>
      </c>
      <c r="C2418">
        <v>41529</v>
      </c>
      <c r="D2418" s="5">
        <v>5.42</v>
      </c>
      <c r="F2418" s="8">
        <v>99.86832287231708</v>
      </c>
      <c r="G2418" s="8">
        <v>100</v>
      </c>
      <c r="H2418" s="2">
        <f t="shared" si="116"/>
        <v>7191069</v>
      </c>
      <c r="I2418" s="12">
        <f t="shared" si="114"/>
        <v>0.17303750000000001</v>
      </c>
      <c r="J2418" s="12">
        <f t="shared" si="115"/>
        <v>0.22031461397058824</v>
      </c>
    </row>
    <row r="2419" spans="1:10" ht="15" customHeight="1">
      <c r="A2419" s="14">
        <v>45153</v>
      </c>
      <c r="B2419" s="10">
        <v>137</v>
      </c>
      <c r="C2419">
        <v>42519</v>
      </c>
      <c r="D2419" s="5">
        <v>5.45</v>
      </c>
      <c r="F2419" s="8">
        <v>99.815518415215337</v>
      </c>
      <c r="G2419" s="8">
        <v>100</v>
      </c>
      <c r="H2419" s="2">
        <f t="shared" si="116"/>
        <v>7233588</v>
      </c>
      <c r="I2419" s="12">
        <f t="shared" si="114"/>
        <v>0.1771625</v>
      </c>
      <c r="J2419" s="12">
        <f t="shared" si="115"/>
        <v>0.21999963503649636</v>
      </c>
    </row>
    <row r="2420" spans="1:10" ht="15" customHeight="1">
      <c r="A2420" s="14">
        <v>45154</v>
      </c>
      <c r="B2420" s="10">
        <v>138</v>
      </c>
      <c r="C2420">
        <v>49724</v>
      </c>
      <c r="D2420" s="5">
        <v>6.57</v>
      </c>
      <c r="F2420" s="8">
        <v>99.722979509277991</v>
      </c>
      <c r="G2420" s="8">
        <v>100</v>
      </c>
      <c r="H2420" s="2">
        <f t="shared" si="116"/>
        <v>7283312</v>
      </c>
      <c r="I2420" s="12">
        <f t="shared" si="114"/>
        <v>0.20718333333333333</v>
      </c>
      <c r="J2420" s="12">
        <f t="shared" si="115"/>
        <v>0.21990676328502415</v>
      </c>
    </row>
    <row r="2421" spans="1:10" ht="15" customHeight="1">
      <c r="A2421" s="14">
        <v>45155</v>
      </c>
      <c r="B2421" s="10">
        <v>139</v>
      </c>
      <c r="C2421">
        <v>51464</v>
      </c>
      <c r="D2421" s="5">
        <v>6.52</v>
      </c>
      <c r="F2421" s="8">
        <v>99.673167011657043</v>
      </c>
      <c r="G2421" s="8">
        <v>100</v>
      </c>
      <c r="H2421" s="2">
        <f t="shared" si="116"/>
        <v>7334776</v>
      </c>
      <c r="I2421" s="12">
        <f t="shared" si="114"/>
        <v>0.21443333333333334</v>
      </c>
      <c r="J2421" s="12">
        <f t="shared" si="115"/>
        <v>0.2198673860911271</v>
      </c>
    </row>
    <row r="2422" spans="1:10" ht="15" customHeight="1">
      <c r="A2422" s="14">
        <v>45156</v>
      </c>
      <c r="B2422" s="10">
        <v>140</v>
      </c>
      <c r="C2422">
        <v>51845</v>
      </c>
      <c r="D2422" s="5">
        <v>6.63</v>
      </c>
      <c r="F2422" s="8">
        <v>99.723271545286835</v>
      </c>
      <c r="G2422" s="8">
        <v>100</v>
      </c>
      <c r="H2422" s="2">
        <f t="shared" si="116"/>
        <v>7386621</v>
      </c>
      <c r="I2422" s="12">
        <f t="shared" si="114"/>
        <v>0.21602083333333333</v>
      </c>
      <c r="J2422" s="12">
        <f t="shared" si="115"/>
        <v>0.21983991071428571</v>
      </c>
    </row>
    <row r="2423" spans="1:10" ht="15" customHeight="1">
      <c r="A2423" s="14">
        <v>45157</v>
      </c>
      <c r="B2423" s="10">
        <v>141</v>
      </c>
      <c r="C2423">
        <v>50204</v>
      </c>
      <c r="D2423" s="5">
        <v>6.54</v>
      </c>
      <c r="F2423" s="8">
        <v>99.776011243357203</v>
      </c>
      <c r="G2423" s="8">
        <v>100</v>
      </c>
      <c r="H2423" s="2">
        <f t="shared" si="116"/>
        <v>7436825</v>
      </c>
      <c r="I2423" s="12">
        <f t="shared" si="114"/>
        <v>0.20918333333333333</v>
      </c>
      <c r="J2423" s="12">
        <f t="shared" si="115"/>
        <v>0.21976433215130023</v>
      </c>
    </row>
    <row r="2424" spans="1:10" ht="15" customHeight="1">
      <c r="A2424" s="14">
        <v>45158</v>
      </c>
      <c r="B2424" s="10">
        <v>142</v>
      </c>
      <c r="C2424">
        <v>43607</v>
      </c>
      <c r="D2424" s="5">
        <v>5.65</v>
      </c>
      <c r="F2424" s="8">
        <v>100</v>
      </c>
      <c r="G2424" s="8">
        <v>100</v>
      </c>
      <c r="H2424" s="2">
        <f t="shared" si="116"/>
        <v>7480432</v>
      </c>
      <c r="I2424" s="12">
        <f t="shared" si="114"/>
        <v>0.18169583333333333</v>
      </c>
      <c r="J2424" s="12">
        <f t="shared" si="115"/>
        <v>0.21949624413145541</v>
      </c>
    </row>
    <row r="2425" spans="1:10" ht="15" customHeight="1">
      <c r="A2425" s="14">
        <v>45159</v>
      </c>
      <c r="B2425" s="10">
        <v>143</v>
      </c>
      <c r="C2425">
        <v>56962</v>
      </c>
      <c r="D2425" s="5">
        <v>7.06</v>
      </c>
      <c r="F2425" s="8">
        <v>99.405443495111427</v>
      </c>
      <c r="G2425" s="8">
        <v>98.282392319210771</v>
      </c>
      <c r="H2425" s="2">
        <f t="shared" si="116"/>
        <v>7537394</v>
      </c>
      <c r="I2425" s="12">
        <f t="shared" si="114"/>
        <v>0.23734166666666667</v>
      </c>
      <c r="J2425" s="12">
        <f t="shared" si="115"/>
        <v>0.2196210372960373</v>
      </c>
    </row>
    <row r="2426" spans="1:10" ht="15" customHeight="1">
      <c r="A2426" s="14">
        <v>45160</v>
      </c>
      <c r="B2426" s="10">
        <v>144</v>
      </c>
      <c r="C2426">
        <v>59031</v>
      </c>
      <c r="D2426" s="5">
        <v>7.11</v>
      </c>
      <c r="F2426" s="8">
        <v>99.539534271806346</v>
      </c>
      <c r="G2426" s="8">
        <v>100</v>
      </c>
      <c r="H2426" s="2">
        <f t="shared" si="116"/>
        <v>7596425</v>
      </c>
      <c r="I2426" s="12">
        <f t="shared" si="114"/>
        <v>0.2459625</v>
      </c>
      <c r="J2426" s="12">
        <f t="shared" si="115"/>
        <v>0.21980396412037037</v>
      </c>
    </row>
    <row r="2427" spans="1:10" ht="15" customHeight="1">
      <c r="A2427" s="14">
        <v>45161</v>
      </c>
      <c r="B2427" s="10">
        <v>145</v>
      </c>
      <c r="C2427">
        <v>58037</v>
      </c>
      <c r="D2427" s="5">
        <v>6.71</v>
      </c>
      <c r="F2427" s="8">
        <v>99.25745856353592</v>
      </c>
      <c r="G2427" s="8">
        <v>100</v>
      </c>
      <c r="H2427" s="2">
        <f t="shared" si="116"/>
        <v>7654462</v>
      </c>
      <c r="I2427" s="12">
        <f t="shared" si="114"/>
        <v>0.24182083333333335</v>
      </c>
      <c r="J2427" s="12">
        <f t="shared" si="115"/>
        <v>0.21995580459770114</v>
      </c>
    </row>
    <row r="2428" spans="1:10" ht="15" customHeight="1">
      <c r="A2428" s="14">
        <v>45162</v>
      </c>
      <c r="B2428" s="10">
        <v>146</v>
      </c>
      <c r="C2428">
        <v>55458</v>
      </c>
      <c r="D2428" s="5">
        <v>6.64</v>
      </c>
      <c r="F2428" s="8">
        <v>98.932977659219745</v>
      </c>
      <c r="G2428" s="8">
        <v>100</v>
      </c>
      <c r="H2428" s="2">
        <f t="shared" si="116"/>
        <v>7709920</v>
      </c>
      <c r="I2428" s="12">
        <f t="shared" si="114"/>
        <v>0.231075</v>
      </c>
      <c r="J2428" s="12">
        <f t="shared" si="115"/>
        <v>0.22003196347031964</v>
      </c>
    </row>
    <row r="2429" spans="1:10" ht="15" customHeight="1">
      <c r="A2429" s="14">
        <v>45163</v>
      </c>
      <c r="B2429" s="10">
        <v>147</v>
      </c>
      <c r="C2429">
        <v>48816</v>
      </c>
      <c r="D2429" s="5">
        <v>5.7</v>
      </c>
      <c r="F2429" s="8">
        <v>99.379059782010344</v>
      </c>
      <c r="G2429" s="8">
        <v>100</v>
      </c>
      <c r="H2429" s="2">
        <f t="shared" si="116"/>
        <v>7758736</v>
      </c>
      <c r="I2429" s="12">
        <f t="shared" si="114"/>
        <v>0.2034</v>
      </c>
      <c r="J2429" s="12">
        <f t="shared" si="115"/>
        <v>0.21991882086167799</v>
      </c>
    </row>
    <row r="2430" spans="1:10" ht="15" customHeight="1">
      <c r="A2430" s="14">
        <v>45164</v>
      </c>
      <c r="B2430" s="10">
        <v>148</v>
      </c>
      <c r="C2430">
        <v>48873</v>
      </c>
      <c r="D2430" s="5">
        <v>6.12</v>
      </c>
      <c r="F2430" s="8">
        <v>97.145787417897751</v>
      </c>
      <c r="G2430" s="8">
        <v>100</v>
      </c>
      <c r="H2430" s="2">
        <f t="shared" si="116"/>
        <v>7807609</v>
      </c>
      <c r="I2430" s="12">
        <f t="shared" si="114"/>
        <v>0.2036375</v>
      </c>
      <c r="J2430" s="12">
        <f t="shared" si="115"/>
        <v>0.21980881193693694</v>
      </c>
    </row>
    <row r="2431" spans="1:10" ht="15" customHeight="1">
      <c r="A2431" s="14">
        <v>45165</v>
      </c>
      <c r="B2431" s="10">
        <v>149</v>
      </c>
      <c r="C2431">
        <v>50847</v>
      </c>
      <c r="D2431" s="5">
        <v>6.13</v>
      </c>
      <c r="F2431" s="8">
        <v>98.637566137566139</v>
      </c>
      <c r="G2431" s="8">
        <v>100</v>
      </c>
      <c r="H2431" s="2">
        <f t="shared" si="116"/>
        <v>7858456</v>
      </c>
      <c r="I2431" s="12">
        <f t="shared" si="114"/>
        <v>0.21186250000000001</v>
      </c>
      <c r="J2431" s="12">
        <f t="shared" si="115"/>
        <v>0.21975548098434006</v>
      </c>
    </row>
    <row r="2432" spans="1:10" ht="15" customHeight="1">
      <c r="A2432" s="14">
        <v>45166</v>
      </c>
      <c r="B2432" s="10">
        <v>150</v>
      </c>
      <c r="C2432">
        <v>55033</v>
      </c>
      <c r="D2432" s="5">
        <v>6.58</v>
      </c>
      <c r="F2432" s="8">
        <v>98.905398276771578</v>
      </c>
      <c r="G2432" s="8">
        <v>100</v>
      </c>
      <c r="H2432" s="2">
        <f t="shared" si="116"/>
        <v>7913489</v>
      </c>
      <c r="I2432" s="12">
        <f t="shared" si="114"/>
        <v>0.22930416666666667</v>
      </c>
      <c r="J2432" s="12">
        <f t="shared" si="115"/>
        <v>0.21981913888888888</v>
      </c>
    </row>
    <row r="2433" spans="1:10" ht="15" customHeight="1">
      <c r="A2433" s="14">
        <v>45167</v>
      </c>
      <c r="B2433" s="10">
        <v>151</v>
      </c>
      <c r="C2433">
        <v>52469</v>
      </c>
      <c r="D2433" s="5">
        <v>6.28</v>
      </c>
      <c r="F2433" s="8">
        <v>99.051487539795801</v>
      </c>
      <c r="G2433" s="8">
        <v>100</v>
      </c>
      <c r="H2433" s="2">
        <f t="shared" si="116"/>
        <v>7965958</v>
      </c>
      <c r="I2433" s="12">
        <f t="shared" si="114"/>
        <v>0.21862083333333332</v>
      </c>
      <c r="J2433" s="12">
        <f t="shared" si="115"/>
        <v>0.21981120309050772</v>
      </c>
    </row>
    <row r="2434" spans="1:10" ht="15" customHeight="1">
      <c r="A2434" s="14">
        <v>45168</v>
      </c>
      <c r="B2434" s="10">
        <v>152</v>
      </c>
      <c r="C2434">
        <v>54815</v>
      </c>
      <c r="D2434" s="5">
        <v>6.71</v>
      </c>
      <c r="F2434" s="8">
        <v>99.097449313276655</v>
      </c>
      <c r="G2434" s="8">
        <v>100</v>
      </c>
      <c r="H2434" s="2">
        <f t="shared" si="116"/>
        <v>8020773</v>
      </c>
      <c r="I2434" s="12">
        <f t="shared" si="114"/>
        <v>0.22839583333333333</v>
      </c>
      <c r="J2434" s="12">
        <f t="shared" si="115"/>
        <v>0.21986768092105263</v>
      </c>
    </row>
    <row r="2435" spans="1:10" ht="15" customHeight="1">
      <c r="A2435" s="14">
        <v>45169</v>
      </c>
      <c r="B2435" s="10">
        <v>153</v>
      </c>
      <c r="C2435">
        <v>56759</v>
      </c>
      <c r="D2435" s="5">
        <v>6.93</v>
      </c>
      <c r="F2435" s="8">
        <v>99.157710024128093</v>
      </c>
      <c r="G2435" s="8">
        <v>100</v>
      </c>
      <c r="H2435" s="2">
        <f t="shared" si="116"/>
        <v>8077532</v>
      </c>
      <c r="I2435" s="12">
        <f t="shared" ref="I2435:I2498" si="117">C2435/(10*24*1000)</f>
        <v>0.23649583333333332</v>
      </c>
      <c r="J2435" s="12">
        <f t="shared" si="115"/>
        <v>0.21997636165577342</v>
      </c>
    </row>
    <row r="2436" spans="1:10" ht="15" customHeight="1">
      <c r="A2436" s="14">
        <v>45170</v>
      </c>
      <c r="B2436" s="10">
        <v>154</v>
      </c>
      <c r="C2436">
        <v>57091</v>
      </c>
      <c r="D2436" s="5">
        <v>6.92</v>
      </c>
      <c r="F2436" s="8">
        <v>98.577231309693715</v>
      </c>
      <c r="G2436" s="8">
        <v>100</v>
      </c>
      <c r="H2436" s="2">
        <f t="shared" si="116"/>
        <v>8134623</v>
      </c>
      <c r="I2436" s="12">
        <f t="shared" si="117"/>
        <v>0.23787916666666667</v>
      </c>
      <c r="J2436" s="12">
        <f t="shared" ref="J2436:J2499" si="118">H2436/(24*B2436*10*1000)</f>
        <v>0.22009261363636365</v>
      </c>
    </row>
    <row r="2437" spans="1:10" ht="15" customHeight="1">
      <c r="A2437" s="14">
        <v>45171</v>
      </c>
      <c r="B2437" s="10">
        <v>155</v>
      </c>
      <c r="C2437">
        <v>58752</v>
      </c>
      <c r="D2437" s="5">
        <v>7.12</v>
      </c>
      <c r="F2437" s="8">
        <v>98.470195181994029</v>
      </c>
      <c r="G2437" s="8">
        <v>100</v>
      </c>
      <c r="H2437" s="2">
        <f t="shared" si="116"/>
        <v>8193375</v>
      </c>
      <c r="I2437" s="12">
        <f t="shared" si="117"/>
        <v>0.24479999999999999</v>
      </c>
      <c r="J2437" s="12">
        <f t="shared" si="118"/>
        <v>0.22025201612903225</v>
      </c>
    </row>
    <row r="2438" spans="1:10" ht="15" customHeight="1">
      <c r="A2438" s="14">
        <v>45172</v>
      </c>
      <c r="B2438" s="10">
        <v>156</v>
      </c>
      <c r="C2438">
        <v>58269</v>
      </c>
      <c r="D2438" s="5">
        <v>7.1</v>
      </c>
      <c r="F2438" s="8">
        <v>98.367418590362504</v>
      </c>
      <c r="G2438" s="8">
        <v>100</v>
      </c>
      <c r="H2438" s="2">
        <f t="shared" si="116"/>
        <v>8251644</v>
      </c>
      <c r="I2438" s="12">
        <f t="shared" si="117"/>
        <v>0.24278749999999999</v>
      </c>
      <c r="J2438" s="12">
        <f t="shared" si="118"/>
        <v>0.22039647435897436</v>
      </c>
    </row>
    <row r="2439" spans="1:10" ht="15" customHeight="1">
      <c r="A2439" s="14">
        <v>45173</v>
      </c>
      <c r="B2439" s="10">
        <v>157</v>
      </c>
      <c r="C2439">
        <v>57263</v>
      </c>
      <c r="D2439" s="5">
        <v>6.97</v>
      </c>
      <c r="F2439" s="8">
        <v>98.790561118292757</v>
      </c>
      <c r="G2439" s="8">
        <v>100</v>
      </c>
      <c r="H2439" s="2">
        <f t="shared" si="116"/>
        <v>8308907</v>
      </c>
      <c r="I2439" s="12">
        <f t="shared" si="117"/>
        <v>0.23859583333333334</v>
      </c>
      <c r="J2439" s="12">
        <f t="shared" si="118"/>
        <v>0.22051239384288748</v>
      </c>
    </row>
    <row r="2440" spans="1:10" ht="15" customHeight="1">
      <c r="A2440" s="14">
        <v>45174</v>
      </c>
      <c r="B2440" s="10">
        <v>158</v>
      </c>
      <c r="C2440">
        <v>55191</v>
      </c>
      <c r="D2440" s="5">
        <v>6.77</v>
      </c>
      <c r="F2440" s="8">
        <v>99.005524861878456</v>
      </c>
      <c r="G2440" s="8">
        <v>100</v>
      </c>
      <c r="H2440" s="2">
        <f t="shared" si="116"/>
        <v>8364098</v>
      </c>
      <c r="I2440" s="12">
        <f t="shared" si="117"/>
        <v>0.22996249999999999</v>
      </c>
      <c r="J2440" s="12">
        <f t="shared" si="118"/>
        <v>0.22057220464135022</v>
      </c>
    </row>
    <row r="2441" spans="1:10" ht="15" customHeight="1">
      <c r="A2441" s="14">
        <v>45175</v>
      </c>
      <c r="B2441" s="10">
        <v>159</v>
      </c>
      <c r="C2441">
        <v>54618</v>
      </c>
      <c r="D2441" s="5">
        <v>6.75</v>
      </c>
      <c r="F2441" s="8">
        <v>99.26306092906961</v>
      </c>
      <c r="G2441" s="8">
        <v>100</v>
      </c>
      <c r="H2441" s="2">
        <f t="shared" si="116"/>
        <v>8418716</v>
      </c>
      <c r="I2441" s="12">
        <f t="shared" si="117"/>
        <v>0.227575</v>
      </c>
      <c r="J2441" s="12">
        <f t="shared" si="118"/>
        <v>0.22061624737945493</v>
      </c>
    </row>
    <row r="2442" spans="1:10" ht="15" customHeight="1">
      <c r="A2442" s="14">
        <v>45176</v>
      </c>
      <c r="B2442" s="10">
        <v>160</v>
      </c>
      <c r="C2442">
        <v>54704</v>
      </c>
      <c r="D2442" s="5">
        <v>6.76</v>
      </c>
      <c r="F2442" s="8">
        <v>98.722619726965462</v>
      </c>
      <c r="G2442" s="8">
        <v>100</v>
      </c>
      <c r="H2442" s="2">
        <f t="shared" si="116"/>
        <v>8473420</v>
      </c>
      <c r="I2442" s="12">
        <f t="shared" si="117"/>
        <v>0.22793333333333332</v>
      </c>
      <c r="J2442" s="12">
        <f t="shared" si="118"/>
        <v>0.22066197916666666</v>
      </c>
    </row>
    <row r="2443" spans="1:10" ht="15" customHeight="1">
      <c r="A2443" s="14">
        <v>45177</v>
      </c>
      <c r="B2443" s="10">
        <v>161</v>
      </c>
      <c r="C2443">
        <v>54135</v>
      </c>
      <c r="D2443" s="5">
        <v>6.7</v>
      </c>
      <c r="F2443" s="8">
        <v>98.88994119331322</v>
      </c>
      <c r="G2443" s="8">
        <v>100</v>
      </c>
      <c r="H2443" s="2">
        <f t="shared" si="116"/>
        <v>8527555</v>
      </c>
      <c r="I2443" s="12">
        <f t="shared" si="117"/>
        <v>0.2255625</v>
      </c>
      <c r="J2443" s="12">
        <f t="shared" si="118"/>
        <v>0.22069241718426502</v>
      </c>
    </row>
    <row r="2444" spans="1:10" ht="15" customHeight="1">
      <c r="A2444" s="14">
        <v>45178</v>
      </c>
      <c r="B2444" s="10">
        <v>162</v>
      </c>
      <c r="C2444">
        <v>52809</v>
      </c>
      <c r="D2444" s="5">
        <v>6.79</v>
      </c>
      <c r="F2444" s="8">
        <v>99.259226597292653</v>
      </c>
      <c r="G2444" s="8">
        <v>100</v>
      </c>
      <c r="H2444" s="2">
        <f t="shared" si="116"/>
        <v>8580364</v>
      </c>
      <c r="I2444" s="12">
        <f t="shared" si="117"/>
        <v>0.2200375</v>
      </c>
      <c r="J2444" s="12">
        <f t="shared" si="118"/>
        <v>0.22068837448559669</v>
      </c>
    </row>
    <row r="2445" spans="1:10" ht="15" customHeight="1">
      <c r="A2445" s="14">
        <v>45179</v>
      </c>
      <c r="B2445" s="10">
        <v>163</v>
      </c>
      <c r="C2445">
        <v>50932</v>
      </c>
      <c r="D2445" s="5">
        <v>6.33</v>
      </c>
      <c r="F2445" s="8">
        <v>99.407933688573124</v>
      </c>
      <c r="G2445" s="8">
        <v>100</v>
      </c>
      <c r="H2445" s="2">
        <f t="shared" si="116"/>
        <v>8631296</v>
      </c>
      <c r="I2445" s="12">
        <f t="shared" si="117"/>
        <v>0.21221666666666666</v>
      </c>
      <c r="J2445" s="12">
        <f t="shared" si="118"/>
        <v>0.2206364008179959</v>
      </c>
    </row>
    <row r="2446" spans="1:10" ht="15" customHeight="1">
      <c r="A2446" s="14">
        <v>45180</v>
      </c>
      <c r="B2446" s="10">
        <v>164</v>
      </c>
      <c r="C2446">
        <v>53002</v>
      </c>
      <c r="D2446" s="5">
        <v>6.41</v>
      </c>
      <c r="F2446" s="8">
        <v>99.444970596656617</v>
      </c>
      <c r="G2446" s="8">
        <v>100</v>
      </c>
      <c r="H2446" s="2">
        <f t="shared" si="116"/>
        <v>8684298</v>
      </c>
      <c r="I2446" s="12">
        <f t="shared" si="117"/>
        <v>0.22084166666666666</v>
      </c>
      <c r="J2446" s="12">
        <f t="shared" si="118"/>
        <v>0.22063765243902439</v>
      </c>
    </row>
    <row r="2447" spans="1:10" ht="15" customHeight="1">
      <c r="A2447" s="14">
        <v>45181</v>
      </c>
      <c r="B2447" s="10">
        <v>165</v>
      </c>
      <c r="C2447">
        <v>52560</v>
      </c>
      <c r="D2447" s="5">
        <v>6.33</v>
      </c>
      <c r="F2447" s="8">
        <v>98.859739181720869</v>
      </c>
      <c r="G2447" s="8">
        <v>100</v>
      </c>
      <c r="H2447" s="2">
        <f t="shared" si="116"/>
        <v>8736858</v>
      </c>
      <c r="I2447" s="12">
        <f t="shared" si="117"/>
        <v>0.219</v>
      </c>
      <c r="J2447" s="12">
        <f t="shared" si="118"/>
        <v>0.22062772727272728</v>
      </c>
    </row>
    <row r="2448" spans="1:10" ht="15" customHeight="1">
      <c r="A2448" s="14">
        <v>45182</v>
      </c>
      <c r="B2448" s="10">
        <v>166</v>
      </c>
      <c r="C2448">
        <v>49478</v>
      </c>
      <c r="D2448" s="5">
        <v>6.01</v>
      </c>
      <c r="F2448" s="8">
        <v>98.947599210699408</v>
      </c>
      <c r="G2448" s="8">
        <v>100</v>
      </c>
      <c r="H2448" s="2">
        <f t="shared" si="116"/>
        <v>8786336</v>
      </c>
      <c r="I2448" s="12">
        <f t="shared" si="117"/>
        <v>0.20615833333333333</v>
      </c>
      <c r="J2448" s="12">
        <f t="shared" si="118"/>
        <v>0.22054056224899599</v>
      </c>
    </row>
    <row r="2449" spans="1:10" ht="15" customHeight="1">
      <c r="A2449" s="14">
        <v>45183</v>
      </c>
      <c r="B2449" s="10">
        <v>167</v>
      </c>
      <c r="C2449">
        <v>37865</v>
      </c>
      <c r="D2449" s="5">
        <v>4.46</v>
      </c>
      <c r="F2449" s="8">
        <v>99.471958812787392</v>
      </c>
      <c r="G2449" s="8">
        <v>100</v>
      </c>
      <c r="H2449" s="2">
        <f t="shared" si="116"/>
        <v>8824201</v>
      </c>
      <c r="I2449" s="12">
        <f t="shared" si="117"/>
        <v>0.15777083333333333</v>
      </c>
      <c r="J2449" s="12">
        <f t="shared" si="118"/>
        <v>0.22016469560878243</v>
      </c>
    </row>
    <row r="2450" spans="1:10" ht="15" customHeight="1">
      <c r="A2450" s="14">
        <v>45184</v>
      </c>
      <c r="B2450" s="10">
        <v>168</v>
      </c>
      <c r="C2450">
        <v>40746</v>
      </c>
      <c r="D2450" s="5">
        <v>4.6900000000000004</v>
      </c>
      <c r="F2450" s="8">
        <v>99.260872434501422</v>
      </c>
      <c r="G2450" s="8">
        <v>100</v>
      </c>
      <c r="H2450" s="2">
        <f t="shared" si="116"/>
        <v>8864947</v>
      </c>
      <c r="I2450" s="12">
        <f t="shared" si="117"/>
        <v>0.16977500000000001</v>
      </c>
      <c r="J2450" s="12">
        <f t="shared" si="118"/>
        <v>0.21986475694444443</v>
      </c>
    </row>
    <row r="2451" spans="1:10" ht="15" customHeight="1">
      <c r="A2451" s="14">
        <v>45185</v>
      </c>
      <c r="B2451" s="10">
        <v>169</v>
      </c>
      <c r="C2451">
        <v>50587</v>
      </c>
      <c r="D2451" s="5">
        <v>5.65</v>
      </c>
      <c r="F2451" s="8">
        <v>98.608649996718512</v>
      </c>
      <c r="G2451" s="8">
        <v>100</v>
      </c>
      <c r="H2451" s="2">
        <f t="shared" si="116"/>
        <v>8915534</v>
      </c>
      <c r="I2451" s="12">
        <f t="shared" si="117"/>
        <v>0.21077916666666666</v>
      </c>
      <c r="J2451" s="12">
        <f t="shared" si="118"/>
        <v>0.21981099605522683</v>
      </c>
    </row>
    <row r="2452" spans="1:10" ht="15" customHeight="1">
      <c r="A2452" s="14">
        <v>45186</v>
      </c>
      <c r="B2452" s="10">
        <v>170</v>
      </c>
      <c r="C2452">
        <v>50745</v>
      </c>
      <c r="D2452" s="5">
        <v>5.66</v>
      </c>
      <c r="F2452" s="8">
        <v>98.818665091553456</v>
      </c>
      <c r="G2452" s="8">
        <v>100</v>
      </c>
      <c r="H2452" s="2">
        <f t="shared" si="116"/>
        <v>8966279</v>
      </c>
      <c r="I2452" s="12">
        <f t="shared" si="117"/>
        <v>0.2114375</v>
      </c>
      <c r="J2452" s="12">
        <f t="shared" si="118"/>
        <v>0.21976174019607844</v>
      </c>
    </row>
    <row r="2453" spans="1:10" ht="15" customHeight="1">
      <c r="A2453" s="14">
        <v>45187</v>
      </c>
      <c r="B2453" s="10">
        <v>171</v>
      </c>
      <c r="C2453">
        <v>25843</v>
      </c>
      <c r="D2453" s="5">
        <v>2.79</v>
      </c>
      <c r="F2453" s="8">
        <v>99.614438609319947</v>
      </c>
      <c r="G2453" s="8">
        <v>100</v>
      </c>
      <c r="H2453" s="2">
        <f t="shared" si="116"/>
        <v>8992122</v>
      </c>
      <c r="I2453" s="12">
        <f t="shared" si="117"/>
        <v>0.10767916666666667</v>
      </c>
      <c r="J2453" s="12">
        <f t="shared" si="118"/>
        <v>0.2191062865497076</v>
      </c>
    </row>
    <row r="2454" spans="1:10" ht="15" customHeight="1">
      <c r="A2454" s="14">
        <v>45188</v>
      </c>
      <c r="B2454" s="10">
        <v>172</v>
      </c>
      <c r="C2454">
        <v>38899</v>
      </c>
      <c r="D2454" s="5">
        <v>4.5199999999999996</v>
      </c>
      <c r="F2454" s="8">
        <v>98.802946593001835</v>
      </c>
      <c r="G2454" s="8">
        <v>100</v>
      </c>
      <c r="H2454" s="2">
        <f t="shared" si="116"/>
        <v>9031021</v>
      </c>
      <c r="I2454" s="12">
        <f t="shared" si="117"/>
        <v>0.16207916666666666</v>
      </c>
      <c r="J2454" s="12">
        <f t="shared" si="118"/>
        <v>0.21877473352713178</v>
      </c>
    </row>
    <row r="2455" spans="1:10" ht="15" customHeight="1">
      <c r="A2455" s="14">
        <v>45189</v>
      </c>
      <c r="B2455" s="10">
        <v>173</v>
      </c>
      <c r="C2455">
        <v>47230</v>
      </c>
      <c r="D2455" s="5">
        <v>5.38</v>
      </c>
      <c r="F2455" s="8">
        <v>97.896167079397785</v>
      </c>
      <c r="G2455" s="8">
        <v>100</v>
      </c>
      <c r="H2455" s="2">
        <f t="shared" si="116"/>
        <v>9078251</v>
      </c>
      <c r="I2455" s="12">
        <f t="shared" si="117"/>
        <v>0.19679166666666667</v>
      </c>
      <c r="J2455" s="12">
        <f t="shared" si="118"/>
        <v>0.21864766377649325</v>
      </c>
    </row>
    <row r="2456" spans="1:10" ht="15" customHeight="1">
      <c r="A2456" s="14">
        <v>45190</v>
      </c>
      <c r="B2456" s="10">
        <v>174</v>
      </c>
      <c r="C2456">
        <v>49366</v>
      </c>
      <c r="D2456" s="5">
        <v>5.5</v>
      </c>
      <c r="F2456" s="8">
        <v>98.382004735595899</v>
      </c>
      <c r="G2456" s="8">
        <v>100</v>
      </c>
      <c r="H2456" s="2">
        <f t="shared" si="116"/>
        <v>9127617</v>
      </c>
      <c r="I2456" s="12">
        <f t="shared" si="117"/>
        <v>0.20569166666666666</v>
      </c>
      <c r="J2456" s="12">
        <f t="shared" si="118"/>
        <v>0.21857320402298849</v>
      </c>
    </row>
    <row r="2457" spans="1:10" ht="15" customHeight="1">
      <c r="A2457" s="14">
        <v>45191</v>
      </c>
      <c r="B2457" s="10">
        <v>175</v>
      </c>
      <c r="C2457">
        <v>55476</v>
      </c>
      <c r="D2457" s="5">
        <v>6.45</v>
      </c>
      <c r="F2457" s="8">
        <v>98.224151539068657</v>
      </c>
      <c r="G2457" s="8">
        <v>100</v>
      </c>
      <c r="H2457" s="2">
        <f t="shared" si="116"/>
        <v>9183093</v>
      </c>
      <c r="I2457" s="12">
        <f t="shared" si="117"/>
        <v>0.23114999999999999</v>
      </c>
      <c r="J2457" s="12">
        <f t="shared" si="118"/>
        <v>0.21864507142857142</v>
      </c>
    </row>
    <row r="2458" spans="1:10" ht="15" customHeight="1">
      <c r="A2458" s="14">
        <v>45192</v>
      </c>
      <c r="B2458" s="10">
        <v>176</v>
      </c>
      <c r="C2458">
        <v>51240</v>
      </c>
      <c r="D2458" s="5">
        <v>5.91</v>
      </c>
      <c r="F2458" s="8">
        <v>98.354433157074837</v>
      </c>
      <c r="G2458" s="8">
        <v>100</v>
      </c>
      <c r="H2458" s="2">
        <f t="shared" si="116"/>
        <v>9234333</v>
      </c>
      <c r="I2458" s="12">
        <f t="shared" si="117"/>
        <v>0.2135</v>
      </c>
      <c r="J2458" s="12">
        <f t="shared" si="118"/>
        <v>0.21861583806818183</v>
      </c>
    </row>
    <row r="2459" spans="1:10" ht="15" customHeight="1">
      <c r="A2459" s="14">
        <v>45193</v>
      </c>
      <c r="B2459" s="10">
        <v>177</v>
      </c>
      <c r="C2459">
        <v>55234</v>
      </c>
      <c r="D2459" s="5">
        <v>6.23</v>
      </c>
      <c r="F2459" s="8">
        <v>97.837200157294532</v>
      </c>
      <c r="G2459" s="8">
        <v>100</v>
      </c>
      <c r="H2459" s="2">
        <f t="shared" si="116"/>
        <v>9289567</v>
      </c>
      <c r="I2459" s="12">
        <f t="shared" si="117"/>
        <v>0.23014166666666666</v>
      </c>
      <c r="J2459" s="12">
        <f t="shared" si="118"/>
        <v>0.21868095574387947</v>
      </c>
    </row>
    <row r="2460" spans="1:10" ht="15" customHeight="1">
      <c r="A2460" s="14">
        <v>45194</v>
      </c>
      <c r="B2460" s="10">
        <v>178</v>
      </c>
      <c r="C2460">
        <v>53716</v>
      </c>
      <c r="D2460" s="5">
        <v>6.01</v>
      </c>
      <c r="F2460" s="8">
        <v>98.135290616941091</v>
      </c>
      <c r="G2460" s="8">
        <v>100</v>
      </c>
      <c r="H2460" s="2">
        <f t="shared" si="116"/>
        <v>9343283</v>
      </c>
      <c r="I2460" s="12">
        <f t="shared" si="117"/>
        <v>0.22381666666666666</v>
      </c>
      <c r="J2460" s="12">
        <f t="shared" si="118"/>
        <v>0.21870980805243445</v>
      </c>
    </row>
    <row r="2461" spans="1:10" ht="15" customHeight="1">
      <c r="A2461" s="14">
        <v>45195</v>
      </c>
      <c r="B2461" s="10">
        <v>179</v>
      </c>
      <c r="C2461">
        <v>53950</v>
      </c>
      <c r="D2461" s="5">
        <v>6.02</v>
      </c>
      <c r="F2461" s="8">
        <v>98.009646232077003</v>
      </c>
      <c r="G2461" s="8">
        <v>100</v>
      </c>
      <c r="H2461" s="2">
        <f t="shared" si="116"/>
        <v>9397233</v>
      </c>
      <c r="I2461" s="12">
        <f t="shared" si="117"/>
        <v>0.22479166666666667</v>
      </c>
      <c r="J2461" s="12">
        <f t="shared" si="118"/>
        <v>0.21874378491620111</v>
      </c>
    </row>
    <row r="2462" spans="1:10" ht="15" customHeight="1">
      <c r="A2462" s="14">
        <v>45196</v>
      </c>
      <c r="B2462" s="10">
        <v>180</v>
      </c>
      <c r="C2462">
        <v>45645</v>
      </c>
      <c r="D2462" s="5">
        <v>5.22</v>
      </c>
      <c r="F2462" s="8">
        <v>99.026144937708366</v>
      </c>
      <c r="G2462" s="8">
        <v>100</v>
      </c>
      <c r="H2462" s="2">
        <f t="shared" si="116"/>
        <v>9442878</v>
      </c>
      <c r="I2462" s="12">
        <f t="shared" si="117"/>
        <v>0.19018750000000001</v>
      </c>
      <c r="J2462" s="12">
        <f t="shared" si="118"/>
        <v>0.21858513888888889</v>
      </c>
    </row>
    <row r="2463" spans="1:10" ht="15" customHeight="1">
      <c r="A2463" s="14">
        <v>45197</v>
      </c>
      <c r="B2463" s="10">
        <v>181</v>
      </c>
      <c r="C2463">
        <v>53626</v>
      </c>
      <c r="D2463" s="5">
        <v>5.99</v>
      </c>
      <c r="F2463" s="8">
        <v>98.557820706845902</v>
      </c>
      <c r="G2463" s="8">
        <v>100</v>
      </c>
      <c r="H2463" s="2">
        <f t="shared" si="116"/>
        <v>9496504</v>
      </c>
      <c r="I2463" s="12">
        <f t="shared" si="117"/>
        <v>0.22344166666666668</v>
      </c>
      <c r="J2463" s="12">
        <f t="shared" si="118"/>
        <v>0.21861197053406997</v>
      </c>
    </row>
    <row r="2464" spans="1:10" ht="15" customHeight="1">
      <c r="A2464" s="14">
        <v>45198</v>
      </c>
      <c r="B2464" s="10">
        <v>182</v>
      </c>
      <c r="C2464">
        <v>51645</v>
      </c>
      <c r="D2464" s="5">
        <v>5.85</v>
      </c>
      <c r="F2464" s="8">
        <v>98.860977440289616</v>
      </c>
      <c r="G2464" s="8">
        <v>100</v>
      </c>
      <c r="H2464" s="2">
        <f t="shared" si="116"/>
        <v>9548149</v>
      </c>
      <c r="I2464" s="12">
        <f t="shared" si="117"/>
        <v>0.2151875</v>
      </c>
      <c r="J2464" s="12">
        <f t="shared" si="118"/>
        <v>0.21859315476190477</v>
      </c>
    </row>
    <row r="2465" spans="1:10" ht="15" customHeight="1">
      <c r="A2465" s="14">
        <v>45199</v>
      </c>
      <c r="B2465" s="10">
        <v>183</v>
      </c>
      <c r="C2465">
        <v>53984</v>
      </c>
      <c r="D2465" s="5">
        <v>5.96</v>
      </c>
      <c r="F2465" s="8">
        <v>98.893329234552724</v>
      </c>
      <c r="G2465" s="8">
        <v>100</v>
      </c>
      <c r="H2465" s="2">
        <f t="shared" si="116"/>
        <v>9602133</v>
      </c>
      <c r="I2465" s="12">
        <f t="shared" si="117"/>
        <v>0.22493333333333335</v>
      </c>
      <c r="J2465" s="12">
        <f t="shared" si="118"/>
        <v>0.21862780054644809</v>
      </c>
    </row>
    <row r="2466" spans="1:10" ht="15" customHeight="1">
      <c r="A2466" s="14">
        <v>45200</v>
      </c>
      <c r="B2466" s="10">
        <v>184</v>
      </c>
      <c r="C2466">
        <v>50260</v>
      </c>
      <c r="D2466" s="5">
        <v>5.44</v>
      </c>
      <c r="F2466" s="8">
        <v>99.013092089177363</v>
      </c>
      <c r="G2466" s="8">
        <v>100</v>
      </c>
      <c r="H2466" s="2">
        <f t="shared" si="116"/>
        <v>9652393</v>
      </c>
      <c r="I2466" s="12">
        <f t="shared" si="117"/>
        <v>0.20941666666666667</v>
      </c>
      <c r="J2466" s="12">
        <f t="shared" si="118"/>
        <v>0.21857774003623187</v>
      </c>
    </row>
    <row r="2467" spans="1:10" ht="15" customHeight="1">
      <c r="A2467" s="14">
        <v>45201</v>
      </c>
      <c r="B2467" s="10">
        <v>185</v>
      </c>
      <c r="C2467">
        <v>54358</v>
      </c>
      <c r="D2467" s="5">
        <v>5.85</v>
      </c>
      <c r="F2467" s="8">
        <v>98.543202726482974</v>
      </c>
      <c r="G2467" s="8">
        <v>100</v>
      </c>
      <c r="H2467" s="2">
        <f t="shared" si="116"/>
        <v>9706751</v>
      </c>
      <c r="I2467" s="12">
        <f t="shared" si="117"/>
        <v>0.22649166666666667</v>
      </c>
      <c r="J2467" s="12">
        <f t="shared" si="118"/>
        <v>0.21862051801801802</v>
      </c>
    </row>
    <row r="2468" spans="1:10" ht="15" customHeight="1">
      <c r="A2468" s="14">
        <v>45202</v>
      </c>
      <c r="B2468" s="10">
        <v>186</v>
      </c>
      <c r="C2468">
        <v>57270</v>
      </c>
      <c r="D2468" s="5">
        <v>6.17</v>
      </c>
      <c r="F2468" s="8">
        <v>98.610957998015664</v>
      </c>
      <c r="G2468" s="8">
        <v>100</v>
      </c>
      <c r="H2468" s="2">
        <f t="shared" si="116"/>
        <v>9764021</v>
      </c>
      <c r="I2468" s="12">
        <f t="shared" si="117"/>
        <v>0.238625</v>
      </c>
      <c r="J2468" s="12">
        <f t="shared" si="118"/>
        <v>0.21872806899641578</v>
      </c>
    </row>
    <row r="2469" spans="1:10" ht="15" customHeight="1">
      <c r="A2469" s="14">
        <v>45203</v>
      </c>
      <c r="B2469" s="10">
        <v>187</v>
      </c>
      <c r="C2469">
        <v>56876</v>
      </c>
      <c r="D2469" s="5">
        <v>6.1</v>
      </c>
      <c r="F2469" s="8">
        <v>98.234650123163945</v>
      </c>
      <c r="G2469" s="8">
        <v>100</v>
      </c>
      <c r="H2469" s="2">
        <f t="shared" si="116"/>
        <v>9820897</v>
      </c>
      <c r="I2469" s="12">
        <f t="shared" si="117"/>
        <v>0.23698333333333332</v>
      </c>
      <c r="J2469" s="12">
        <f t="shared" si="118"/>
        <v>0.2188256907308378</v>
      </c>
    </row>
    <row r="2470" spans="1:10" ht="15" customHeight="1">
      <c r="A2470" s="14">
        <v>45204</v>
      </c>
      <c r="B2470" s="10">
        <v>188</v>
      </c>
      <c r="C2470">
        <v>56524</v>
      </c>
      <c r="D2470" s="5">
        <v>5.98</v>
      </c>
      <c r="F2470" s="8">
        <v>98.75537901357167</v>
      </c>
      <c r="G2470" s="8">
        <v>100</v>
      </c>
      <c r="H2470" s="2">
        <f t="shared" si="116"/>
        <v>9877421</v>
      </c>
      <c r="I2470" s="12">
        <f t="shared" si="117"/>
        <v>0.23551666666666668</v>
      </c>
      <c r="J2470" s="12">
        <f t="shared" si="118"/>
        <v>0.2189144725177305</v>
      </c>
    </row>
    <row r="2471" spans="1:10" ht="15" customHeight="1">
      <c r="A2471" s="14">
        <v>45205</v>
      </c>
      <c r="B2471" s="10">
        <v>189</v>
      </c>
      <c r="C2471">
        <v>56926</v>
      </c>
      <c r="D2471" s="5">
        <v>5.99</v>
      </c>
      <c r="F2471" s="8">
        <v>98.569295567490485</v>
      </c>
      <c r="G2471" s="8">
        <v>100</v>
      </c>
      <c r="H2471" s="2">
        <f t="shared" si="116"/>
        <v>9934347</v>
      </c>
      <c r="I2471" s="12">
        <f t="shared" si="117"/>
        <v>0.23719166666666666</v>
      </c>
      <c r="J2471" s="12">
        <f t="shared" si="118"/>
        <v>0.21901117724867725</v>
      </c>
    </row>
    <row r="2472" spans="1:10" ht="15" customHeight="1">
      <c r="A2472" s="14">
        <v>45206</v>
      </c>
      <c r="B2472" s="10">
        <v>190</v>
      </c>
      <c r="C2472">
        <v>55953</v>
      </c>
      <c r="D2472" s="5">
        <v>5.85</v>
      </c>
      <c r="F2472" s="8">
        <v>98.754325259515568</v>
      </c>
      <c r="G2472" s="8">
        <v>100</v>
      </c>
      <c r="H2472" s="2">
        <f t="shared" si="116"/>
        <v>9990300</v>
      </c>
      <c r="I2472" s="12">
        <f t="shared" si="117"/>
        <v>0.2331375</v>
      </c>
      <c r="J2472" s="12">
        <f t="shared" si="118"/>
        <v>0.21908552631578948</v>
      </c>
    </row>
    <row r="2473" spans="1:10" ht="15" customHeight="1">
      <c r="A2473" s="14">
        <v>45207</v>
      </c>
      <c r="B2473" s="10">
        <v>191</v>
      </c>
      <c r="C2473">
        <v>53418</v>
      </c>
      <c r="D2473" s="5">
        <v>5.57</v>
      </c>
      <c r="F2473" s="8">
        <v>98.868008837474861</v>
      </c>
      <c r="G2473" s="8">
        <v>100</v>
      </c>
      <c r="H2473" s="2">
        <f t="shared" si="116"/>
        <v>10043718</v>
      </c>
      <c r="I2473" s="12">
        <f t="shared" si="117"/>
        <v>0.222575</v>
      </c>
      <c r="J2473" s="12">
        <f t="shared" si="118"/>
        <v>0.21910379581151831</v>
      </c>
    </row>
    <row r="2474" spans="1:10" ht="15" customHeight="1">
      <c r="A2474" s="14">
        <v>45208</v>
      </c>
      <c r="B2474" s="10">
        <v>192</v>
      </c>
      <c r="C2474">
        <v>53770</v>
      </c>
      <c r="D2474" s="5">
        <v>5.63</v>
      </c>
      <c r="F2474" s="8">
        <v>98.702751062402143</v>
      </c>
      <c r="G2474" s="8">
        <v>100</v>
      </c>
      <c r="H2474" s="2">
        <f t="shared" si="116"/>
        <v>10097488</v>
      </c>
      <c r="I2474" s="12">
        <f t="shared" si="117"/>
        <v>0.22404166666666667</v>
      </c>
      <c r="J2474" s="12">
        <f t="shared" si="118"/>
        <v>0.21912951388888888</v>
      </c>
    </row>
    <row r="2475" spans="1:10" ht="15" customHeight="1">
      <c r="A2475" s="14">
        <v>45209</v>
      </c>
      <c r="B2475" s="10">
        <v>193</v>
      </c>
      <c r="C2475">
        <v>52578</v>
      </c>
      <c r="D2475" s="5">
        <v>5.61</v>
      </c>
      <c r="F2475" s="8">
        <v>98.477801268498951</v>
      </c>
      <c r="G2475" s="8">
        <v>100</v>
      </c>
      <c r="H2475" s="2">
        <f t="shared" si="116"/>
        <v>10150066</v>
      </c>
      <c r="I2475" s="12">
        <f t="shared" si="117"/>
        <v>0.21907499999999999</v>
      </c>
      <c r="J2475" s="12">
        <f t="shared" si="118"/>
        <v>0.21912923143350604</v>
      </c>
    </row>
    <row r="2476" spans="1:10" ht="15" customHeight="1">
      <c r="A2476" s="14">
        <v>45210</v>
      </c>
      <c r="B2476" s="10">
        <v>194</v>
      </c>
      <c r="C2476">
        <v>52830</v>
      </c>
      <c r="D2476" s="5">
        <v>5.6</v>
      </c>
      <c r="F2476" s="8">
        <v>98.679306635983892</v>
      </c>
      <c r="G2476" s="8">
        <v>100</v>
      </c>
      <c r="H2476" s="2">
        <f t="shared" ref="H2476:H2539" si="119">C2476+H2475</f>
        <v>10202896</v>
      </c>
      <c r="I2476" s="12">
        <f t="shared" si="117"/>
        <v>0.22012499999999999</v>
      </c>
      <c r="J2476" s="12">
        <f t="shared" si="118"/>
        <v>0.21913436426116839</v>
      </c>
    </row>
    <row r="2477" spans="1:10" ht="15" customHeight="1">
      <c r="A2477" s="14">
        <v>45211</v>
      </c>
      <c r="B2477" s="10">
        <v>195</v>
      </c>
      <c r="C2477">
        <v>50896</v>
      </c>
      <c r="D2477" s="5">
        <v>5.41</v>
      </c>
      <c r="F2477" s="8">
        <v>98.825625454819203</v>
      </c>
      <c r="G2477" s="8">
        <v>100</v>
      </c>
      <c r="H2477" s="2">
        <f t="shared" si="119"/>
        <v>10253792</v>
      </c>
      <c r="I2477" s="12">
        <f t="shared" si="117"/>
        <v>0.21206666666666665</v>
      </c>
      <c r="J2477" s="12">
        <f t="shared" si="118"/>
        <v>0.21909811965811965</v>
      </c>
    </row>
    <row r="2478" spans="1:10" ht="15" customHeight="1">
      <c r="A2478" s="14">
        <v>45212</v>
      </c>
      <c r="B2478" s="10">
        <v>196</v>
      </c>
      <c r="C2478">
        <v>53635</v>
      </c>
      <c r="D2478" s="5">
        <v>5.57</v>
      </c>
      <c r="F2478" s="8">
        <v>98.695619580699173</v>
      </c>
      <c r="G2478" s="8">
        <v>100</v>
      </c>
      <c r="H2478" s="2">
        <f t="shared" si="119"/>
        <v>10307427</v>
      </c>
      <c r="I2478" s="12">
        <f t="shared" si="117"/>
        <v>0.22347916666666667</v>
      </c>
      <c r="J2478" s="12">
        <f t="shared" si="118"/>
        <v>0.21912047193877551</v>
      </c>
    </row>
    <row r="2479" spans="1:10" ht="15" customHeight="1">
      <c r="A2479" s="14">
        <v>45213</v>
      </c>
      <c r="B2479" s="10">
        <v>197</v>
      </c>
      <c r="C2479">
        <v>52625</v>
      </c>
      <c r="D2479" s="5">
        <v>5.47</v>
      </c>
      <c r="F2479" s="8">
        <v>98.85005295808746</v>
      </c>
      <c r="G2479" s="8">
        <v>100</v>
      </c>
      <c r="H2479" s="2">
        <f t="shared" si="119"/>
        <v>10360052</v>
      </c>
      <c r="I2479" s="12">
        <f t="shared" si="117"/>
        <v>0.21927083333333333</v>
      </c>
      <c r="J2479" s="12">
        <f t="shared" si="118"/>
        <v>0.21912123519458546</v>
      </c>
    </row>
    <row r="2480" spans="1:10" ht="15" customHeight="1">
      <c r="A2480" s="14">
        <v>45214</v>
      </c>
      <c r="B2480" s="10">
        <v>198</v>
      </c>
      <c r="C2480">
        <v>51014</v>
      </c>
      <c r="D2480" s="5">
        <v>5.27</v>
      </c>
      <c r="F2480" s="8">
        <v>99.026168597682783</v>
      </c>
      <c r="G2480" s="8">
        <v>100</v>
      </c>
      <c r="H2480" s="2">
        <f t="shared" si="119"/>
        <v>10411066</v>
      </c>
      <c r="I2480" s="12">
        <f t="shared" si="117"/>
        <v>0.21255833333333332</v>
      </c>
      <c r="J2480" s="12">
        <f t="shared" si="118"/>
        <v>0.21908808922558923</v>
      </c>
    </row>
    <row r="2481" spans="1:10" ht="15" customHeight="1">
      <c r="A2481" s="14">
        <v>45215</v>
      </c>
      <c r="B2481" s="10">
        <v>199</v>
      </c>
      <c r="C2481">
        <v>29529</v>
      </c>
      <c r="D2481" s="5">
        <v>3.22</v>
      </c>
      <c r="F2481" s="8">
        <v>98.303941908713682</v>
      </c>
      <c r="G2481" s="8">
        <v>100</v>
      </c>
      <c r="H2481" s="2">
        <f t="shared" si="119"/>
        <v>10440595</v>
      </c>
      <c r="I2481" s="12">
        <f t="shared" si="117"/>
        <v>0.12303749999999999</v>
      </c>
      <c r="J2481" s="12">
        <f t="shared" si="118"/>
        <v>0.2186054229480737</v>
      </c>
    </row>
    <row r="2482" spans="1:10" ht="15" customHeight="1">
      <c r="A2482" s="14">
        <v>45216</v>
      </c>
      <c r="B2482" s="10">
        <v>200</v>
      </c>
      <c r="C2482">
        <v>41331</v>
      </c>
      <c r="D2482" s="5">
        <v>3.99</v>
      </c>
      <c r="F2482" s="8">
        <v>98.480850723594784</v>
      </c>
      <c r="G2482" s="8">
        <v>100</v>
      </c>
      <c r="H2482" s="2">
        <f t="shared" si="119"/>
        <v>10481926</v>
      </c>
      <c r="I2482" s="12">
        <f t="shared" si="117"/>
        <v>0.17221249999999999</v>
      </c>
      <c r="J2482" s="12">
        <f t="shared" si="118"/>
        <v>0.21837345833333333</v>
      </c>
    </row>
    <row r="2483" spans="1:10" ht="15" customHeight="1">
      <c r="A2483" s="14">
        <v>45217</v>
      </c>
      <c r="B2483" s="10">
        <v>201</v>
      </c>
      <c r="C2483">
        <v>52943</v>
      </c>
      <c r="D2483" s="5">
        <v>5.16</v>
      </c>
      <c r="F2483" s="8">
        <v>98.85311421691533</v>
      </c>
      <c r="G2483" s="8">
        <v>100</v>
      </c>
      <c r="H2483" s="2">
        <f t="shared" si="119"/>
        <v>10534869</v>
      </c>
      <c r="I2483" s="12">
        <f t="shared" si="117"/>
        <v>0.22059583333333332</v>
      </c>
      <c r="J2483" s="12">
        <f t="shared" si="118"/>
        <v>0.21838451492537314</v>
      </c>
    </row>
    <row r="2484" spans="1:10" ht="15" customHeight="1">
      <c r="A2484" s="14">
        <v>45218</v>
      </c>
      <c r="B2484" s="10">
        <v>202</v>
      </c>
      <c r="C2484">
        <v>51825</v>
      </c>
      <c r="D2484" s="5">
        <v>5.1100000000000003</v>
      </c>
      <c r="F2484" s="8">
        <v>99.040239940014999</v>
      </c>
      <c r="G2484" s="8">
        <v>100</v>
      </c>
      <c r="H2484" s="2">
        <f t="shared" si="119"/>
        <v>10586694</v>
      </c>
      <c r="I2484" s="12">
        <f t="shared" si="117"/>
        <v>0.2159375</v>
      </c>
      <c r="J2484" s="12">
        <f t="shared" si="118"/>
        <v>0.218372400990099</v>
      </c>
    </row>
    <row r="2485" spans="1:10" ht="15" customHeight="1">
      <c r="A2485" s="14">
        <v>45219</v>
      </c>
      <c r="B2485" s="10">
        <v>203</v>
      </c>
      <c r="C2485">
        <v>52094</v>
      </c>
      <c r="D2485" s="5">
        <v>5.16</v>
      </c>
      <c r="F2485" s="8">
        <v>98.834775151958425</v>
      </c>
      <c r="G2485" s="8">
        <v>100</v>
      </c>
      <c r="H2485" s="2">
        <f t="shared" si="119"/>
        <v>10638788</v>
      </c>
      <c r="I2485" s="12">
        <f t="shared" si="117"/>
        <v>0.21705833333333333</v>
      </c>
      <c r="J2485" s="12">
        <f t="shared" si="118"/>
        <v>0.2183659277504105</v>
      </c>
    </row>
    <row r="2486" spans="1:10" ht="15" customHeight="1">
      <c r="A2486" s="14">
        <v>45220</v>
      </c>
      <c r="B2486" s="10">
        <v>204</v>
      </c>
      <c r="C2486">
        <v>50031</v>
      </c>
      <c r="D2486" s="5">
        <v>5</v>
      </c>
      <c r="F2486" s="8">
        <v>99.017551041293558</v>
      </c>
      <c r="G2486" s="8">
        <v>100</v>
      </c>
      <c r="H2486" s="2">
        <f t="shared" si="119"/>
        <v>10688819</v>
      </c>
      <c r="I2486" s="12">
        <f t="shared" si="117"/>
        <v>0.2084625</v>
      </c>
      <c r="J2486" s="12">
        <f t="shared" si="118"/>
        <v>0.21831738153594771</v>
      </c>
    </row>
    <row r="2487" spans="1:10" ht="15" customHeight="1">
      <c r="A2487" s="14">
        <v>45221</v>
      </c>
      <c r="B2487" s="10">
        <v>205</v>
      </c>
      <c r="C2487">
        <v>47317</v>
      </c>
      <c r="D2487" s="5">
        <v>4.7</v>
      </c>
      <c r="F2487" s="8">
        <v>98.870660053414724</v>
      </c>
      <c r="G2487" s="8">
        <v>100</v>
      </c>
      <c r="H2487" s="2">
        <f t="shared" si="119"/>
        <v>10736136</v>
      </c>
      <c r="I2487" s="12">
        <f t="shared" si="117"/>
        <v>0.19715416666666666</v>
      </c>
      <c r="J2487" s="12">
        <f t="shared" si="118"/>
        <v>0.21821414634146341</v>
      </c>
    </row>
    <row r="2488" spans="1:10" ht="15" customHeight="1">
      <c r="A2488" s="14">
        <v>45222</v>
      </c>
      <c r="B2488" s="10">
        <v>206</v>
      </c>
      <c r="C2488">
        <v>52066</v>
      </c>
      <c r="D2488" s="5">
        <v>5.08</v>
      </c>
      <c r="F2488" s="8">
        <v>99.029749223542694</v>
      </c>
      <c r="G2488" s="8">
        <v>100</v>
      </c>
      <c r="H2488" s="2">
        <f t="shared" si="119"/>
        <v>10788202</v>
      </c>
      <c r="I2488" s="12">
        <f t="shared" si="117"/>
        <v>0.21694166666666667</v>
      </c>
      <c r="J2488" s="12">
        <f t="shared" si="118"/>
        <v>0.21820796925566344</v>
      </c>
    </row>
    <row r="2489" spans="1:10" ht="15" customHeight="1">
      <c r="A2489" s="14">
        <v>45223</v>
      </c>
      <c r="B2489" s="10">
        <v>207</v>
      </c>
      <c r="C2489">
        <v>47540</v>
      </c>
      <c r="D2489" s="5">
        <v>4.8499999999999996</v>
      </c>
      <c r="F2489" s="8">
        <v>99.164259182831202</v>
      </c>
      <c r="G2489" s="8">
        <v>100</v>
      </c>
      <c r="H2489" s="2">
        <f t="shared" si="119"/>
        <v>10835742</v>
      </c>
      <c r="I2489" s="12">
        <f t="shared" si="117"/>
        <v>0.19808333333333333</v>
      </c>
      <c r="J2489" s="12">
        <f t="shared" si="118"/>
        <v>0.21811074879227052</v>
      </c>
    </row>
    <row r="2490" spans="1:10" ht="15" customHeight="1">
      <c r="A2490" s="14">
        <v>45224</v>
      </c>
      <c r="B2490" s="10">
        <v>208</v>
      </c>
      <c r="C2490">
        <v>51459</v>
      </c>
      <c r="D2490" s="5">
        <v>4.99</v>
      </c>
      <c r="F2490" s="8">
        <v>99.019506121601992</v>
      </c>
      <c r="G2490" s="8">
        <v>100</v>
      </c>
      <c r="H2490" s="2">
        <f t="shared" si="119"/>
        <v>10887201</v>
      </c>
      <c r="I2490" s="12">
        <f t="shared" si="117"/>
        <v>0.21441250000000001</v>
      </c>
      <c r="J2490" s="12">
        <f t="shared" si="118"/>
        <v>0.21809296875</v>
      </c>
    </row>
    <row r="2491" spans="1:10" ht="15" customHeight="1">
      <c r="A2491" s="14">
        <v>45225</v>
      </c>
      <c r="B2491" s="10">
        <v>209</v>
      </c>
      <c r="C2491">
        <v>52552</v>
      </c>
      <c r="D2491" s="5">
        <v>5.05</v>
      </c>
      <c r="F2491" s="8">
        <v>99.037989086865451</v>
      </c>
      <c r="G2491" s="8">
        <v>100</v>
      </c>
      <c r="H2491" s="2">
        <f t="shared" si="119"/>
        <v>10939753</v>
      </c>
      <c r="I2491" s="12">
        <f t="shared" si="117"/>
        <v>0.21896666666666667</v>
      </c>
      <c r="J2491" s="12">
        <f t="shared" si="118"/>
        <v>0.218097149122807</v>
      </c>
    </row>
    <row r="2492" spans="1:10" ht="15" customHeight="1">
      <c r="A2492" s="14">
        <v>45226</v>
      </c>
      <c r="B2492" s="10">
        <v>210</v>
      </c>
      <c r="C2492">
        <v>49585</v>
      </c>
      <c r="D2492" s="5">
        <v>5</v>
      </c>
      <c r="F2492" s="8">
        <v>94.990047307602822</v>
      </c>
      <c r="G2492" s="8">
        <v>100</v>
      </c>
      <c r="H2492" s="2">
        <f t="shared" si="119"/>
        <v>10989338</v>
      </c>
      <c r="I2492" s="12">
        <f t="shared" si="117"/>
        <v>0.20660416666666667</v>
      </c>
      <c r="J2492" s="12">
        <f t="shared" si="118"/>
        <v>0.21804242063492063</v>
      </c>
    </row>
    <row r="2493" spans="1:10" ht="15" customHeight="1">
      <c r="A2493" s="14">
        <v>45227</v>
      </c>
      <c r="B2493" s="10">
        <v>211</v>
      </c>
      <c r="C2493">
        <v>42790</v>
      </c>
      <c r="D2493" s="5">
        <v>4.3099999999999996</v>
      </c>
      <c r="F2493" s="8">
        <v>98.273084946264959</v>
      </c>
      <c r="G2493" s="8">
        <v>100</v>
      </c>
      <c r="H2493" s="2">
        <f t="shared" si="119"/>
        <v>11032128</v>
      </c>
      <c r="I2493" s="12">
        <f t="shared" si="117"/>
        <v>0.17829166666666665</v>
      </c>
      <c r="J2493" s="12">
        <f t="shared" si="118"/>
        <v>0.21785402843601895</v>
      </c>
    </row>
    <row r="2494" spans="1:10" ht="15" customHeight="1">
      <c r="A2494" s="14">
        <v>45228</v>
      </c>
      <c r="B2494" s="10">
        <v>212</v>
      </c>
      <c r="C2494">
        <v>50644</v>
      </c>
      <c r="D2494" s="5">
        <v>4.8099999999999996</v>
      </c>
      <c r="F2494" s="8">
        <v>98.611797124808277</v>
      </c>
      <c r="G2494" s="8">
        <v>100</v>
      </c>
      <c r="H2494" s="2">
        <f t="shared" si="119"/>
        <v>11082772</v>
      </c>
      <c r="I2494" s="12">
        <f t="shared" si="117"/>
        <v>0.21101666666666666</v>
      </c>
      <c r="J2494" s="12">
        <f t="shared" si="118"/>
        <v>0.21782177672955974</v>
      </c>
    </row>
    <row r="2495" spans="1:10" ht="15" customHeight="1">
      <c r="A2495" s="14">
        <v>45229</v>
      </c>
      <c r="B2495" s="10">
        <v>213</v>
      </c>
      <c r="C2495">
        <v>48035</v>
      </c>
      <c r="D2495" s="5">
        <v>4.68</v>
      </c>
      <c r="F2495" s="8">
        <v>98.203638393423489</v>
      </c>
      <c r="G2495" s="8">
        <v>100</v>
      </c>
      <c r="H2495" s="2">
        <f t="shared" si="119"/>
        <v>11130807</v>
      </c>
      <c r="I2495" s="12">
        <f t="shared" si="117"/>
        <v>0.20014583333333333</v>
      </c>
      <c r="J2495" s="12">
        <f t="shared" si="118"/>
        <v>0.2177387910798122</v>
      </c>
    </row>
    <row r="2496" spans="1:10" ht="15" customHeight="1">
      <c r="A2496" s="14">
        <v>45230</v>
      </c>
      <c r="B2496" s="10">
        <v>214</v>
      </c>
      <c r="C2496">
        <v>42144</v>
      </c>
      <c r="D2496" s="5">
        <v>4.1100000000000003</v>
      </c>
      <c r="F2496" s="8">
        <v>98.660714285714278</v>
      </c>
      <c r="G2496" s="8">
        <v>100</v>
      </c>
      <c r="H2496" s="2">
        <f t="shared" si="119"/>
        <v>11172951</v>
      </c>
      <c r="I2496" s="12">
        <f t="shared" si="117"/>
        <v>0.17560000000000001</v>
      </c>
      <c r="J2496" s="12">
        <f t="shared" si="118"/>
        <v>0.2175418808411215</v>
      </c>
    </row>
    <row r="2497" spans="1:10" ht="15" customHeight="1">
      <c r="A2497" s="14">
        <v>45231</v>
      </c>
      <c r="B2497" s="10">
        <v>215</v>
      </c>
      <c r="C2497">
        <v>40082</v>
      </c>
      <c r="D2497" s="5">
        <v>3.98</v>
      </c>
      <c r="F2497" s="8">
        <v>98.880825838103021</v>
      </c>
      <c r="G2497" s="8">
        <v>100</v>
      </c>
      <c r="H2497" s="2">
        <f t="shared" si="119"/>
        <v>11213033</v>
      </c>
      <c r="I2497" s="12">
        <f t="shared" si="117"/>
        <v>0.16700833333333334</v>
      </c>
      <c r="J2497" s="12">
        <f t="shared" si="118"/>
        <v>0.21730684108527132</v>
      </c>
    </row>
    <row r="2498" spans="1:10" ht="15" customHeight="1">
      <c r="A2498" s="14">
        <v>45232</v>
      </c>
      <c r="B2498" s="10">
        <v>216</v>
      </c>
      <c r="C2498">
        <v>42478</v>
      </c>
      <c r="D2498" s="5">
        <v>4.3499999999999996</v>
      </c>
      <c r="F2498" s="8">
        <v>99.125210527638814</v>
      </c>
      <c r="G2498" s="8">
        <v>100</v>
      </c>
      <c r="H2498" s="2">
        <f t="shared" si="119"/>
        <v>11255511</v>
      </c>
      <c r="I2498" s="12">
        <f t="shared" si="117"/>
        <v>0.17699166666666666</v>
      </c>
      <c r="J2498" s="12">
        <f t="shared" si="118"/>
        <v>0.21712019675925925</v>
      </c>
    </row>
    <row r="2499" spans="1:10" ht="15" customHeight="1">
      <c r="A2499" s="14">
        <v>45233</v>
      </c>
      <c r="B2499" s="10">
        <v>217</v>
      </c>
      <c r="C2499">
        <v>42879</v>
      </c>
      <c r="D2499" s="5">
        <v>4.32</v>
      </c>
      <c r="F2499" s="8">
        <v>99.01699774728651</v>
      </c>
      <c r="G2499" s="8">
        <v>100</v>
      </c>
      <c r="H2499" s="2">
        <f t="shared" si="119"/>
        <v>11298390</v>
      </c>
      <c r="I2499" s="12">
        <f t="shared" ref="I2499:I2562" si="120">C2499/(10*24*1000)</f>
        <v>0.1786625</v>
      </c>
      <c r="J2499" s="12">
        <f t="shared" si="118"/>
        <v>0.21694297235023041</v>
      </c>
    </row>
    <row r="2500" spans="1:10" ht="15" customHeight="1">
      <c r="A2500" s="14">
        <v>45234</v>
      </c>
      <c r="B2500" s="10">
        <v>218</v>
      </c>
      <c r="C2500">
        <v>42542</v>
      </c>
      <c r="D2500" s="5">
        <v>4.74</v>
      </c>
      <c r="F2500" s="8">
        <v>99.068746822232328</v>
      </c>
      <c r="G2500" s="8">
        <v>100</v>
      </c>
      <c r="H2500" s="2">
        <f t="shared" si="119"/>
        <v>11340932</v>
      </c>
      <c r="I2500" s="12">
        <f t="shared" si="120"/>
        <v>0.17725833333333332</v>
      </c>
      <c r="J2500" s="12">
        <f t="shared" ref="J2500:J2563" si="121">H2500/(24*B2500*10*1000)</f>
        <v>0.21676093272171254</v>
      </c>
    </row>
    <row r="2501" spans="1:10" ht="15" customHeight="1">
      <c r="A2501" s="14">
        <v>45235</v>
      </c>
      <c r="B2501" s="10">
        <v>219</v>
      </c>
      <c r="C2501">
        <v>44636</v>
      </c>
      <c r="D2501" s="5">
        <v>5.24</v>
      </c>
      <c r="F2501" s="8">
        <v>99.227494876241522</v>
      </c>
      <c r="G2501" s="8">
        <v>100</v>
      </c>
      <c r="H2501" s="2">
        <f t="shared" si="119"/>
        <v>11385568</v>
      </c>
      <c r="I2501" s="12">
        <f t="shared" si="120"/>
        <v>0.18598333333333333</v>
      </c>
      <c r="J2501" s="12">
        <f t="shared" si="121"/>
        <v>0.21662039573820396</v>
      </c>
    </row>
    <row r="2502" spans="1:10" ht="15" customHeight="1">
      <c r="A2502" s="14">
        <v>45236</v>
      </c>
      <c r="B2502" s="10">
        <v>220</v>
      </c>
      <c r="C2502">
        <v>43868</v>
      </c>
      <c r="D2502" s="5">
        <v>5.0999999999999996</v>
      </c>
      <c r="F2502" s="8">
        <v>99.222357229647628</v>
      </c>
      <c r="G2502" s="8">
        <v>100</v>
      </c>
      <c r="H2502" s="2">
        <f t="shared" si="119"/>
        <v>11429436</v>
      </c>
      <c r="I2502" s="12">
        <f t="shared" si="120"/>
        <v>0.18278333333333333</v>
      </c>
      <c r="J2502" s="12">
        <f t="shared" si="121"/>
        <v>0.2164665909090909</v>
      </c>
    </row>
    <row r="2503" spans="1:10" ht="15" customHeight="1">
      <c r="A2503" s="14">
        <v>45237</v>
      </c>
      <c r="B2503" s="10">
        <v>221</v>
      </c>
      <c r="C2503">
        <v>42507</v>
      </c>
      <c r="D2503" s="5">
        <v>4.34</v>
      </c>
      <c r="F2503" s="8">
        <v>99.297274275979547</v>
      </c>
      <c r="G2503" s="8">
        <v>100</v>
      </c>
      <c r="H2503" s="2">
        <f t="shared" si="119"/>
        <v>11471943</v>
      </c>
      <c r="I2503" s="12">
        <f t="shared" si="120"/>
        <v>0.17711250000000001</v>
      </c>
      <c r="J2503" s="12">
        <f t="shared" si="121"/>
        <v>0.21628851809954752</v>
      </c>
    </row>
    <row r="2504" spans="1:10" ht="15" customHeight="1">
      <c r="A2504" s="14">
        <v>45238</v>
      </c>
      <c r="B2504" s="10">
        <v>222</v>
      </c>
      <c r="C2504">
        <v>33217</v>
      </c>
      <c r="D2504" s="5">
        <v>3.4</v>
      </c>
      <c r="F2504" s="8">
        <v>99.4009713977334</v>
      </c>
      <c r="G2504" s="8">
        <v>100</v>
      </c>
      <c r="H2504" s="2">
        <f t="shared" si="119"/>
        <v>11505160</v>
      </c>
      <c r="I2504" s="12">
        <f t="shared" si="120"/>
        <v>0.13840416666666666</v>
      </c>
      <c r="J2504" s="12">
        <f t="shared" si="121"/>
        <v>0.21593768768768767</v>
      </c>
    </row>
    <row r="2505" spans="1:10" ht="15" customHeight="1">
      <c r="A2505" s="14">
        <v>45239</v>
      </c>
      <c r="B2505" s="10">
        <v>223</v>
      </c>
      <c r="C2505">
        <v>29301</v>
      </c>
      <c r="D2505" s="5">
        <v>3.09</v>
      </c>
      <c r="F2505" s="8">
        <v>99.483371004197608</v>
      </c>
      <c r="G2505" s="8">
        <v>100</v>
      </c>
      <c r="H2505" s="2">
        <f t="shared" si="119"/>
        <v>11534461</v>
      </c>
      <c r="I2505" s="12">
        <f t="shared" si="120"/>
        <v>0.1220875</v>
      </c>
      <c r="J2505" s="12">
        <f t="shared" si="121"/>
        <v>0.21551683482810163</v>
      </c>
    </row>
    <row r="2506" spans="1:10" ht="15" customHeight="1">
      <c r="A2506" s="14">
        <v>45240</v>
      </c>
      <c r="B2506" s="10">
        <v>224</v>
      </c>
      <c r="C2506">
        <v>49265</v>
      </c>
      <c r="D2506" s="5">
        <v>4.55</v>
      </c>
      <c r="F2506" s="8">
        <v>98.730617819554908</v>
      </c>
      <c r="G2506" s="8">
        <v>100</v>
      </c>
      <c r="H2506" s="2">
        <f t="shared" si="119"/>
        <v>11583726</v>
      </c>
      <c r="I2506" s="12">
        <f t="shared" si="120"/>
        <v>0.20527083333333335</v>
      </c>
      <c r="J2506" s="12">
        <f t="shared" si="121"/>
        <v>0.21547109375000001</v>
      </c>
    </row>
    <row r="2507" spans="1:10" ht="15" customHeight="1">
      <c r="A2507" s="14">
        <v>45241</v>
      </c>
      <c r="B2507" s="10">
        <v>225</v>
      </c>
      <c r="C2507">
        <v>41562</v>
      </c>
      <c r="D2507" s="5">
        <v>3.84</v>
      </c>
      <c r="F2507" s="8">
        <v>98.236350770235703</v>
      </c>
      <c r="G2507" s="8">
        <v>100</v>
      </c>
      <c r="H2507" s="2">
        <f t="shared" si="119"/>
        <v>11625288</v>
      </c>
      <c r="I2507" s="12">
        <f t="shared" si="120"/>
        <v>0.173175</v>
      </c>
      <c r="J2507" s="12">
        <f t="shared" si="121"/>
        <v>0.21528311111111112</v>
      </c>
    </row>
    <row r="2508" spans="1:10" ht="15" customHeight="1">
      <c r="A2508" s="14">
        <v>45242</v>
      </c>
      <c r="B2508" s="10">
        <v>226</v>
      </c>
      <c r="C2508">
        <v>45027</v>
      </c>
      <c r="D2508" s="5">
        <v>4.57</v>
      </c>
      <c r="F2508" s="8">
        <v>95.451075367889018</v>
      </c>
      <c r="G2508" s="8">
        <v>100</v>
      </c>
      <c r="H2508" s="2">
        <f t="shared" si="119"/>
        <v>11670315</v>
      </c>
      <c r="I2508" s="12">
        <f t="shared" si="120"/>
        <v>0.18761249999999999</v>
      </c>
      <c r="J2508" s="12">
        <f t="shared" si="121"/>
        <v>0.21516067477876105</v>
      </c>
    </row>
    <row r="2509" spans="1:10" ht="15" customHeight="1">
      <c r="A2509" s="14">
        <v>45243</v>
      </c>
      <c r="B2509" s="10">
        <v>227</v>
      </c>
      <c r="C2509">
        <v>41569</v>
      </c>
      <c r="D2509" s="5">
        <v>4.2</v>
      </c>
      <c r="F2509" s="8">
        <v>98.67439040819076</v>
      </c>
      <c r="G2509" s="8">
        <v>100</v>
      </c>
      <c r="H2509" s="2">
        <f t="shared" si="119"/>
        <v>11711884</v>
      </c>
      <c r="I2509" s="12">
        <f t="shared" si="120"/>
        <v>0.17320416666666666</v>
      </c>
      <c r="J2509" s="12">
        <f t="shared" si="121"/>
        <v>0.21497584434654921</v>
      </c>
    </row>
    <row r="2510" spans="1:10" ht="15" customHeight="1">
      <c r="A2510" s="14">
        <v>45244</v>
      </c>
      <c r="B2510" s="10">
        <v>228</v>
      </c>
      <c r="C2510">
        <v>43179</v>
      </c>
      <c r="D2510" s="5">
        <v>4.3499999999999996</v>
      </c>
      <c r="F2510" s="8">
        <v>98.888525661981035</v>
      </c>
      <c r="G2510" s="8">
        <v>100</v>
      </c>
      <c r="H2510" s="2">
        <f t="shared" si="119"/>
        <v>11755063</v>
      </c>
      <c r="I2510" s="12">
        <f t="shared" si="120"/>
        <v>0.1799125</v>
      </c>
      <c r="J2510" s="12">
        <f t="shared" si="121"/>
        <v>0.21482205774853802</v>
      </c>
    </row>
    <row r="2511" spans="1:10" ht="15" customHeight="1">
      <c r="A2511" s="14">
        <v>45245</v>
      </c>
      <c r="B2511" s="10">
        <v>229</v>
      </c>
      <c r="C2511">
        <v>39285</v>
      </c>
      <c r="D2511" s="5">
        <v>4.0999999999999996</v>
      </c>
      <c r="F2511" s="8">
        <v>99.011504983662363</v>
      </c>
      <c r="G2511" s="8">
        <v>100</v>
      </c>
      <c r="H2511" s="2">
        <f t="shared" si="119"/>
        <v>11794348</v>
      </c>
      <c r="I2511" s="12">
        <f t="shared" si="120"/>
        <v>0.16368750000000001</v>
      </c>
      <c r="J2511" s="12">
        <f t="shared" si="121"/>
        <v>0.21459876273653566</v>
      </c>
    </row>
    <row r="2512" spans="1:10" ht="15" customHeight="1">
      <c r="A2512" s="14">
        <v>45246</v>
      </c>
      <c r="B2512" s="10">
        <v>230</v>
      </c>
      <c r="C2512">
        <v>43934</v>
      </c>
      <c r="D2512" s="5">
        <v>4.45</v>
      </c>
      <c r="F2512" s="8">
        <v>99.173530951265874</v>
      </c>
      <c r="G2512" s="8">
        <v>100</v>
      </c>
      <c r="H2512" s="2">
        <f t="shared" si="119"/>
        <v>11838282</v>
      </c>
      <c r="I2512" s="12">
        <f t="shared" si="120"/>
        <v>0.18305833333333332</v>
      </c>
      <c r="J2512" s="12">
        <f t="shared" si="121"/>
        <v>0.21446163043478261</v>
      </c>
    </row>
    <row r="2513" spans="1:10" ht="15" customHeight="1">
      <c r="A2513" s="14">
        <v>45247</v>
      </c>
      <c r="B2513" s="10">
        <v>231</v>
      </c>
      <c r="C2513">
        <v>35086</v>
      </c>
      <c r="D2513" s="5">
        <v>3.52</v>
      </c>
      <c r="F2513" s="8">
        <v>99.324780553679943</v>
      </c>
      <c r="G2513" s="8">
        <v>100</v>
      </c>
      <c r="H2513" s="2">
        <f t="shared" si="119"/>
        <v>11873368</v>
      </c>
      <c r="I2513" s="12">
        <f t="shared" si="120"/>
        <v>0.14619166666666666</v>
      </c>
      <c r="J2513" s="12">
        <f t="shared" si="121"/>
        <v>0.21416608946608948</v>
      </c>
    </row>
    <row r="2514" spans="1:10" ht="15" customHeight="1">
      <c r="A2514" s="14">
        <v>45248</v>
      </c>
      <c r="B2514" s="10">
        <v>232</v>
      </c>
      <c r="C2514">
        <v>34588</v>
      </c>
      <c r="D2514" s="5">
        <v>3.44</v>
      </c>
      <c r="F2514" s="8">
        <v>99.57503470549905</v>
      </c>
      <c r="G2514" s="8">
        <v>100</v>
      </c>
      <c r="H2514" s="2">
        <f t="shared" si="119"/>
        <v>11907956</v>
      </c>
      <c r="I2514" s="12">
        <f t="shared" si="120"/>
        <v>0.14411666666666667</v>
      </c>
      <c r="J2514" s="12">
        <f t="shared" si="121"/>
        <v>0.21386415229885058</v>
      </c>
    </row>
    <row r="2515" spans="1:10" ht="15" customHeight="1">
      <c r="A2515" s="14">
        <v>45249</v>
      </c>
      <c r="B2515" s="10">
        <v>233</v>
      </c>
      <c r="C2515">
        <v>37345</v>
      </c>
      <c r="D2515" s="5">
        <v>3.59</v>
      </c>
      <c r="F2515" s="8">
        <v>98.652829878699919</v>
      </c>
      <c r="G2515" s="8">
        <v>100</v>
      </c>
      <c r="H2515" s="2">
        <f t="shared" si="119"/>
        <v>11945301</v>
      </c>
      <c r="I2515" s="12">
        <f t="shared" si="120"/>
        <v>0.15560416666666665</v>
      </c>
      <c r="J2515" s="12">
        <f t="shared" si="121"/>
        <v>0.21361410944206008</v>
      </c>
    </row>
    <row r="2516" spans="1:10" ht="15" customHeight="1">
      <c r="A2516" s="14">
        <v>45250</v>
      </c>
      <c r="B2516" s="10">
        <v>234</v>
      </c>
      <c r="C2516">
        <v>38878</v>
      </c>
      <c r="D2516" s="5">
        <v>3.65</v>
      </c>
      <c r="F2516" s="8">
        <v>98.610884131394016</v>
      </c>
      <c r="G2516" s="8">
        <v>100</v>
      </c>
      <c r="H2516" s="2">
        <f t="shared" si="119"/>
        <v>11984179</v>
      </c>
      <c r="I2516" s="12">
        <f t="shared" si="120"/>
        <v>0.16199166666666667</v>
      </c>
      <c r="J2516" s="12">
        <f t="shared" si="121"/>
        <v>0.21339350071225072</v>
      </c>
    </row>
    <row r="2517" spans="1:10" ht="15" customHeight="1">
      <c r="A2517" s="14">
        <v>45251</v>
      </c>
      <c r="B2517" s="10">
        <v>235</v>
      </c>
      <c r="C2517">
        <v>37396</v>
      </c>
      <c r="D2517" s="5">
        <v>3.61</v>
      </c>
      <c r="F2517" s="8">
        <v>98.731879149166772</v>
      </c>
      <c r="G2517" s="8">
        <v>100</v>
      </c>
      <c r="H2517" s="2">
        <f t="shared" si="119"/>
        <v>12021575</v>
      </c>
      <c r="I2517" s="12">
        <f t="shared" si="120"/>
        <v>0.15581666666666666</v>
      </c>
      <c r="J2517" s="12">
        <f t="shared" si="121"/>
        <v>0.21314849290780141</v>
      </c>
    </row>
    <row r="2518" spans="1:10" ht="15" customHeight="1">
      <c r="A2518" s="14">
        <v>45252</v>
      </c>
      <c r="B2518" s="10">
        <v>236</v>
      </c>
      <c r="C2518">
        <v>44874</v>
      </c>
      <c r="D2518" s="5">
        <v>4.08</v>
      </c>
      <c r="F2518" s="8">
        <v>98.819407008086259</v>
      </c>
      <c r="G2518" s="8">
        <v>100</v>
      </c>
      <c r="H2518" s="2">
        <f t="shared" si="119"/>
        <v>12066449</v>
      </c>
      <c r="I2518" s="12">
        <f t="shared" si="120"/>
        <v>0.186975</v>
      </c>
      <c r="J2518" s="12">
        <f t="shared" si="121"/>
        <v>0.21303758827683617</v>
      </c>
    </row>
    <row r="2519" spans="1:10" ht="15" customHeight="1">
      <c r="A2519" s="14">
        <v>45253</v>
      </c>
      <c r="B2519" s="10">
        <v>237</v>
      </c>
      <c r="C2519">
        <v>43687</v>
      </c>
      <c r="D2519" s="5">
        <v>3.95</v>
      </c>
      <c r="F2519" s="8">
        <v>98.659827928524152</v>
      </c>
      <c r="G2519" s="8">
        <v>100</v>
      </c>
      <c r="H2519" s="2">
        <f t="shared" si="119"/>
        <v>12110136</v>
      </c>
      <c r="I2519" s="12">
        <f t="shared" si="120"/>
        <v>0.18202916666666666</v>
      </c>
      <c r="J2519" s="12">
        <f t="shared" si="121"/>
        <v>0.21290675105485232</v>
      </c>
    </row>
    <row r="2520" spans="1:10" ht="15" customHeight="1">
      <c r="A2520" s="14">
        <v>45254</v>
      </c>
      <c r="B2520" s="10">
        <v>238</v>
      </c>
      <c r="C2520">
        <v>41768</v>
      </c>
      <c r="D2520" s="5">
        <v>3.83</v>
      </c>
      <c r="F2520" s="8">
        <v>99.02936180538704</v>
      </c>
      <c r="G2520" s="8">
        <v>100</v>
      </c>
      <c r="H2520" s="2">
        <f t="shared" si="119"/>
        <v>12151904</v>
      </c>
      <c r="I2520" s="12">
        <f t="shared" si="120"/>
        <v>0.17403333333333335</v>
      </c>
      <c r="J2520" s="12">
        <f t="shared" si="121"/>
        <v>0.21274341736694677</v>
      </c>
    </row>
    <row r="2521" spans="1:10" ht="15" customHeight="1">
      <c r="A2521" s="14">
        <v>45255</v>
      </c>
      <c r="B2521" s="10">
        <v>239</v>
      </c>
      <c r="C2521">
        <v>34214</v>
      </c>
      <c r="D2521" s="5">
        <v>3.33</v>
      </c>
      <c r="F2521" s="8">
        <v>99.253256630804543</v>
      </c>
      <c r="G2521" s="8">
        <v>100</v>
      </c>
      <c r="H2521" s="2">
        <f t="shared" si="119"/>
        <v>12186118</v>
      </c>
      <c r="I2521" s="12">
        <f t="shared" si="120"/>
        <v>0.14255833333333334</v>
      </c>
      <c r="J2521" s="12">
        <f t="shared" si="121"/>
        <v>0.21244975592747559</v>
      </c>
    </row>
    <row r="2522" spans="1:10" ht="15" customHeight="1">
      <c r="A2522" s="14">
        <v>45256</v>
      </c>
      <c r="B2522" s="10">
        <v>240</v>
      </c>
      <c r="C2522">
        <v>6496</v>
      </c>
      <c r="D2522" s="5">
        <v>0.8</v>
      </c>
      <c r="F2522" s="8">
        <v>97.07093821510297</v>
      </c>
      <c r="G2522" s="8">
        <v>100</v>
      </c>
      <c r="H2522" s="2">
        <f t="shared" si="119"/>
        <v>12192614</v>
      </c>
      <c r="I2522" s="12">
        <f t="shared" si="120"/>
        <v>2.7066666666666666E-2</v>
      </c>
      <c r="J2522" s="12">
        <f t="shared" si="121"/>
        <v>0.21167732638888889</v>
      </c>
    </row>
    <row r="2523" spans="1:10" ht="15" customHeight="1">
      <c r="A2523" s="14">
        <v>45257</v>
      </c>
      <c r="B2523" s="10">
        <v>241</v>
      </c>
      <c r="C2523">
        <v>14055</v>
      </c>
      <c r="D2523" s="5">
        <v>1.47</v>
      </c>
      <c r="F2523" s="8">
        <v>97.53582960403331</v>
      </c>
      <c r="G2523" s="8">
        <v>100</v>
      </c>
      <c r="H2523" s="2">
        <f t="shared" si="119"/>
        <v>12206669</v>
      </c>
      <c r="I2523" s="12">
        <f t="shared" si="120"/>
        <v>5.8562500000000003E-2</v>
      </c>
      <c r="J2523" s="12">
        <f t="shared" si="121"/>
        <v>0.21104199515905947</v>
      </c>
    </row>
    <row r="2524" spans="1:10" ht="15" customHeight="1">
      <c r="A2524" s="14">
        <v>45258</v>
      </c>
      <c r="B2524" s="10">
        <v>242</v>
      </c>
      <c r="C2524">
        <v>28539</v>
      </c>
      <c r="D2524" s="5">
        <v>2.89</v>
      </c>
      <c r="F2524" s="8">
        <v>91.757269279393185</v>
      </c>
      <c r="G2524" s="8">
        <v>100</v>
      </c>
      <c r="H2524" s="2">
        <f t="shared" si="119"/>
        <v>12235208</v>
      </c>
      <c r="I2524" s="12">
        <f t="shared" si="120"/>
        <v>0.1189125</v>
      </c>
      <c r="J2524" s="12">
        <f t="shared" si="121"/>
        <v>0.21066129476584022</v>
      </c>
    </row>
    <row r="2525" spans="1:10" ht="15" customHeight="1">
      <c r="A2525" s="14">
        <v>45259</v>
      </c>
      <c r="B2525" s="10">
        <v>243</v>
      </c>
      <c r="C2525">
        <v>30816</v>
      </c>
      <c r="D2525" s="5">
        <v>2.98</v>
      </c>
      <c r="F2525" s="8">
        <v>96.428571428571416</v>
      </c>
      <c r="G2525" s="8">
        <v>100</v>
      </c>
      <c r="H2525" s="2">
        <f t="shared" si="119"/>
        <v>12266024</v>
      </c>
      <c r="I2525" s="12">
        <f t="shared" si="120"/>
        <v>0.12839999999999999</v>
      </c>
      <c r="J2525" s="12">
        <f t="shared" si="121"/>
        <v>0.2103227709190672</v>
      </c>
    </row>
    <row r="2526" spans="1:10" ht="15" customHeight="1">
      <c r="A2526" s="14">
        <v>45260</v>
      </c>
      <c r="B2526" s="10">
        <v>244</v>
      </c>
      <c r="C2526">
        <v>36543</v>
      </c>
      <c r="D2526" s="5">
        <v>3.4</v>
      </c>
      <c r="F2526" s="8">
        <v>96.398223781590914</v>
      </c>
      <c r="G2526" s="8">
        <v>100</v>
      </c>
      <c r="H2526" s="2">
        <f t="shared" si="119"/>
        <v>12302567</v>
      </c>
      <c r="I2526" s="12">
        <f t="shared" si="120"/>
        <v>0.1522625</v>
      </c>
      <c r="J2526" s="12">
        <f t="shared" si="121"/>
        <v>0.21008481898907103</v>
      </c>
    </row>
    <row r="2527" spans="1:10" ht="15" customHeight="1">
      <c r="A2527" s="14">
        <v>45261</v>
      </c>
      <c r="B2527" s="10">
        <v>245</v>
      </c>
      <c r="C2527">
        <v>37475</v>
      </c>
      <c r="D2527" s="5">
        <v>3.36</v>
      </c>
      <c r="F2527" s="8">
        <v>99.548079337183026</v>
      </c>
      <c r="G2527" s="8">
        <v>100</v>
      </c>
      <c r="H2527" s="2">
        <f t="shared" si="119"/>
        <v>12340042</v>
      </c>
      <c r="I2527" s="12">
        <f t="shared" si="120"/>
        <v>0.15614583333333334</v>
      </c>
      <c r="J2527" s="12">
        <f t="shared" si="121"/>
        <v>0.20986465986394559</v>
      </c>
    </row>
    <row r="2528" spans="1:10" ht="15" customHeight="1">
      <c r="A2528" s="14">
        <v>45262</v>
      </c>
      <c r="B2528" s="10">
        <v>246</v>
      </c>
      <c r="C2528">
        <v>44966</v>
      </c>
      <c r="D2528" s="5">
        <v>3.77</v>
      </c>
      <c r="F2528" s="8">
        <v>98.89351476710722</v>
      </c>
      <c r="G2528" s="8">
        <v>100</v>
      </c>
      <c r="H2528" s="2">
        <f t="shared" si="119"/>
        <v>12385008</v>
      </c>
      <c r="I2528" s="12">
        <f t="shared" si="120"/>
        <v>0.18735833333333332</v>
      </c>
      <c r="J2528" s="12">
        <f t="shared" si="121"/>
        <v>0.20977317073170731</v>
      </c>
    </row>
    <row r="2529" spans="1:10" ht="15" customHeight="1">
      <c r="A2529" s="14">
        <v>45263</v>
      </c>
      <c r="B2529" s="10">
        <v>247</v>
      </c>
      <c r="C2529">
        <v>42135</v>
      </c>
      <c r="D2529" s="5">
        <v>3.96</v>
      </c>
      <c r="F2529" s="8">
        <v>89.818626905530223</v>
      </c>
      <c r="G2529" s="8">
        <v>100</v>
      </c>
      <c r="H2529" s="2">
        <f t="shared" si="119"/>
        <v>12427143</v>
      </c>
      <c r="I2529" s="12">
        <f t="shared" si="120"/>
        <v>0.17556250000000001</v>
      </c>
      <c r="J2529" s="12">
        <f t="shared" si="121"/>
        <v>0.20963466599190284</v>
      </c>
    </row>
    <row r="2530" spans="1:10" ht="15" customHeight="1">
      <c r="A2530" s="14">
        <v>45264</v>
      </c>
      <c r="B2530" s="10">
        <v>248</v>
      </c>
      <c r="C2530">
        <v>45964</v>
      </c>
      <c r="D2530" s="5">
        <v>4</v>
      </c>
      <c r="F2530" s="8">
        <v>95.317613493328849</v>
      </c>
      <c r="G2530" s="8">
        <v>100</v>
      </c>
      <c r="H2530" s="2">
        <f t="shared" si="119"/>
        <v>12473107</v>
      </c>
      <c r="I2530" s="12">
        <f t="shared" si="120"/>
        <v>0.19151666666666667</v>
      </c>
      <c r="J2530" s="12">
        <f t="shared" si="121"/>
        <v>0.20956160954301076</v>
      </c>
    </row>
    <row r="2531" spans="1:10" ht="15" customHeight="1">
      <c r="A2531" s="14">
        <v>45265</v>
      </c>
      <c r="B2531" s="10">
        <v>249</v>
      </c>
      <c r="C2531">
        <v>46736</v>
      </c>
      <c r="D2531" s="5">
        <v>4.0599999999999996</v>
      </c>
      <c r="F2531" s="8">
        <v>94.522600516107559</v>
      </c>
      <c r="G2531" s="8">
        <v>100</v>
      </c>
      <c r="H2531" s="2">
        <f t="shared" si="119"/>
        <v>12519843</v>
      </c>
      <c r="I2531" s="12">
        <f t="shared" si="120"/>
        <v>0.19473333333333334</v>
      </c>
      <c r="J2531" s="12">
        <f t="shared" si="121"/>
        <v>0.20950205823293172</v>
      </c>
    </row>
    <row r="2532" spans="1:10" ht="15" customHeight="1">
      <c r="A2532" s="14">
        <v>45266</v>
      </c>
      <c r="B2532" s="10">
        <v>250</v>
      </c>
      <c r="C2532">
        <v>44155</v>
      </c>
      <c r="D2532" s="5">
        <v>3.87</v>
      </c>
      <c r="F2532" s="8">
        <v>94.422201502769695</v>
      </c>
      <c r="G2532" s="8">
        <v>100</v>
      </c>
      <c r="H2532" s="2">
        <f t="shared" si="119"/>
        <v>12563998</v>
      </c>
      <c r="I2532" s="12">
        <f t="shared" si="120"/>
        <v>0.18397916666666667</v>
      </c>
      <c r="J2532" s="12">
        <f t="shared" si="121"/>
        <v>0.20939996666666666</v>
      </c>
    </row>
    <row r="2533" spans="1:10" ht="15" customHeight="1">
      <c r="A2533" s="14">
        <v>45267</v>
      </c>
      <c r="B2533" s="10">
        <v>251</v>
      </c>
      <c r="C2533">
        <v>44694</v>
      </c>
      <c r="D2533" s="5">
        <v>3.88</v>
      </c>
      <c r="F2533" s="8">
        <v>94.738453829236377</v>
      </c>
      <c r="G2533" s="8">
        <v>100</v>
      </c>
      <c r="H2533" s="2">
        <f t="shared" si="119"/>
        <v>12608692</v>
      </c>
      <c r="I2533" s="12">
        <f t="shared" si="120"/>
        <v>0.186225</v>
      </c>
      <c r="J2533" s="12">
        <f t="shared" si="121"/>
        <v>0.20930763612217795</v>
      </c>
    </row>
    <row r="2534" spans="1:10" ht="15" customHeight="1">
      <c r="A2534" s="14">
        <v>45268</v>
      </c>
      <c r="B2534" s="10">
        <v>252</v>
      </c>
      <c r="C2534">
        <v>47333</v>
      </c>
      <c r="D2534" s="5">
        <v>3.99</v>
      </c>
      <c r="F2534" s="8">
        <v>98.564792924095343</v>
      </c>
      <c r="G2534" s="8">
        <v>100</v>
      </c>
      <c r="H2534" s="2">
        <f t="shared" si="119"/>
        <v>12656025</v>
      </c>
      <c r="I2534" s="12">
        <f t="shared" si="120"/>
        <v>0.19722083333333335</v>
      </c>
      <c r="J2534" s="12">
        <f t="shared" si="121"/>
        <v>0.20925967261904763</v>
      </c>
    </row>
    <row r="2535" spans="1:10" ht="15" customHeight="1">
      <c r="A2535" s="14">
        <v>45269</v>
      </c>
      <c r="B2535" s="10">
        <v>253</v>
      </c>
      <c r="C2535">
        <v>47277</v>
      </c>
      <c r="D2535" s="5">
        <v>3.97</v>
      </c>
      <c r="F2535" s="8">
        <v>98.476684814804372</v>
      </c>
      <c r="G2535" s="8">
        <v>100</v>
      </c>
      <c r="H2535" s="2">
        <f t="shared" si="119"/>
        <v>12703302</v>
      </c>
      <c r="I2535" s="12">
        <f t="shared" si="120"/>
        <v>0.19698750000000001</v>
      </c>
      <c r="J2535" s="12">
        <f t="shared" si="121"/>
        <v>0.20921116600790512</v>
      </c>
    </row>
    <row r="2536" spans="1:10" ht="15" customHeight="1">
      <c r="A2536" s="14">
        <v>45270</v>
      </c>
      <c r="B2536" s="10">
        <v>254</v>
      </c>
      <c r="C2536">
        <v>46417</v>
      </c>
      <c r="D2536" s="5">
        <v>3.92</v>
      </c>
      <c r="F2536" s="8">
        <v>99.330188942535784</v>
      </c>
      <c r="G2536" s="8">
        <v>100</v>
      </c>
      <c r="H2536" s="2">
        <f t="shared" si="119"/>
        <v>12749719</v>
      </c>
      <c r="I2536" s="12">
        <f t="shared" si="120"/>
        <v>0.19340416666666665</v>
      </c>
      <c r="J2536" s="12">
        <f t="shared" si="121"/>
        <v>0.20914893372703411</v>
      </c>
    </row>
    <row r="2537" spans="1:10" ht="15" customHeight="1">
      <c r="A2537" s="14">
        <v>45271</v>
      </c>
      <c r="B2537" s="10">
        <v>255</v>
      </c>
      <c r="C2537">
        <v>48198</v>
      </c>
      <c r="D2537" s="5">
        <v>4.05</v>
      </c>
      <c r="F2537" s="8">
        <v>98.474562065208289</v>
      </c>
      <c r="G2537" s="8">
        <v>100</v>
      </c>
      <c r="H2537" s="2">
        <f t="shared" si="119"/>
        <v>12797917</v>
      </c>
      <c r="I2537" s="12">
        <f t="shared" si="120"/>
        <v>0.200825</v>
      </c>
      <c r="J2537" s="12">
        <f t="shared" si="121"/>
        <v>0.2091162908496732</v>
      </c>
    </row>
    <row r="2538" spans="1:10" ht="15" customHeight="1">
      <c r="A2538" s="14">
        <v>45272</v>
      </c>
      <c r="B2538" s="10">
        <v>256</v>
      </c>
      <c r="C2538">
        <v>45896</v>
      </c>
      <c r="D2538" s="5">
        <v>3.93</v>
      </c>
      <c r="F2538" s="8">
        <v>97.422475106685638</v>
      </c>
      <c r="G2538" s="8">
        <v>100</v>
      </c>
      <c r="H2538" s="2">
        <f t="shared" si="119"/>
        <v>12843813</v>
      </c>
      <c r="I2538" s="12">
        <f t="shared" si="120"/>
        <v>0.19123333333333334</v>
      </c>
      <c r="J2538" s="12">
        <f t="shared" si="121"/>
        <v>0.20904643554687499</v>
      </c>
    </row>
    <row r="2539" spans="1:10" ht="15" customHeight="1">
      <c r="A2539" s="14">
        <v>45273</v>
      </c>
      <c r="B2539" s="10">
        <v>257</v>
      </c>
      <c r="C2539">
        <v>45285</v>
      </c>
      <c r="D2539" s="5">
        <v>3.81</v>
      </c>
      <c r="F2539" s="8">
        <v>99.320704699839851</v>
      </c>
      <c r="G2539" s="8">
        <v>100</v>
      </c>
      <c r="H2539" s="2">
        <f t="shared" si="119"/>
        <v>12889098</v>
      </c>
      <c r="I2539" s="12">
        <f t="shared" si="120"/>
        <v>0.18868750000000001</v>
      </c>
      <c r="J2539" s="12">
        <f t="shared" si="121"/>
        <v>0.20896721789883269</v>
      </c>
    </row>
    <row r="2540" spans="1:10" ht="15" customHeight="1">
      <c r="A2540" s="14">
        <v>45274</v>
      </c>
      <c r="B2540" s="10">
        <v>258</v>
      </c>
      <c r="C2540">
        <v>47148</v>
      </c>
      <c r="D2540" s="5">
        <v>3.99</v>
      </c>
      <c r="F2540" s="8">
        <v>98.723297029425765</v>
      </c>
      <c r="G2540" s="8">
        <v>100</v>
      </c>
      <c r="H2540" s="2">
        <f t="shared" ref="H2540:H2603" si="122">C2540+H2539</f>
        <v>12936246</v>
      </c>
      <c r="I2540" s="12">
        <f t="shared" si="120"/>
        <v>0.19645000000000001</v>
      </c>
      <c r="J2540" s="12">
        <f t="shared" si="121"/>
        <v>0.20891870155038761</v>
      </c>
    </row>
    <row r="2541" spans="1:10" ht="15" customHeight="1">
      <c r="A2541" s="14">
        <v>45275</v>
      </c>
      <c r="B2541" s="10">
        <v>259</v>
      </c>
      <c r="C2541">
        <v>44927</v>
      </c>
      <c r="D2541" s="5">
        <v>3.88</v>
      </c>
      <c r="F2541" s="8">
        <v>98.823858863063563</v>
      </c>
      <c r="G2541" s="8">
        <v>100</v>
      </c>
      <c r="H2541" s="2">
        <f t="shared" si="122"/>
        <v>12981173</v>
      </c>
      <c r="I2541" s="12">
        <f t="shared" si="120"/>
        <v>0.18719583333333334</v>
      </c>
      <c r="J2541" s="12">
        <f t="shared" si="121"/>
        <v>0.20883482947232948</v>
      </c>
    </row>
    <row r="2542" spans="1:10" ht="15" customHeight="1">
      <c r="A2542" s="14">
        <v>45276</v>
      </c>
      <c r="B2542" s="10">
        <v>260</v>
      </c>
      <c r="C2542">
        <v>44775</v>
      </c>
      <c r="D2542" s="5">
        <v>3.76</v>
      </c>
      <c r="F2542" s="8">
        <v>98.671040457565823</v>
      </c>
      <c r="G2542" s="8">
        <v>100</v>
      </c>
      <c r="H2542" s="2">
        <f t="shared" si="122"/>
        <v>13025948</v>
      </c>
      <c r="I2542" s="12">
        <f t="shared" si="120"/>
        <v>0.18656249999999999</v>
      </c>
      <c r="J2542" s="12">
        <f t="shared" si="121"/>
        <v>0.20874916666666668</v>
      </c>
    </row>
    <row r="2543" spans="1:10" ht="15" customHeight="1">
      <c r="A2543" s="14">
        <v>45277</v>
      </c>
      <c r="B2543" s="10">
        <v>261</v>
      </c>
      <c r="C2543">
        <v>42863</v>
      </c>
      <c r="D2543" s="5">
        <v>3.64</v>
      </c>
      <c r="F2543" s="8">
        <v>98.393325252980802</v>
      </c>
      <c r="G2543" s="8">
        <v>100</v>
      </c>
      <c r="H2543" s="2">
        <f t="shared" si="122"/>
        <v>13068811</v>
      </c>
      <c r="I2543" s="12">
        <f t="shared" si="120"/>
        <v>0.17859583333333334</v>
      </c>
      <c r="J2543" s="12">
        <f t="shared" si="121"/>
        <v>0.20863363665389528</v>
      </c>
    </row>
    <row r="2544" spans="1:10" ht="15" customHeight="1">
      <c r="A2544" s="14">
        <v>45278</v>
      </c>
      <c r="B2544" s="10">
        <v>262</v>
      </c>
      <c r="C2544">
        <v>44909</v>
      </c>
      <c r="D2544" s="5">
        <v>3.8</v>
      </c>
      <c r="F2544" s="8">
        <v>96.253989585083161</v>
      </c>
      <c r="G2544" s="8">
        <v>100</v>
      </c>
      <c r="H2544" s="2">
        <f t="shared" si="122"/>
        <v>13113720</v>
      </c>
      <c r="I2544" s="12">
        <f t="shared" si="120"/>
        <v>0.18712083333333332</v>
      </c>
      <c r="J2544" s="12">
        <f t="shared" si="121"/>
        <v>0.20855152671755725</v>
      </c>
    </row>
    <row r="2545" spans="1:10" ht="15" customHeight="1">
      <c r="A2545" s="14">
        <v>45279</v>
      </c>
      <c r="B2545" s="10">
        <v>263</v>
      </c>
      <c r="C2545">
        <v>42788</v>
      </c>
      <c r="D2545" s="5">
        <v>3.77</v>
      </c>
      <c r="F2545" s="8">
        <v>98.17068006662339</v>
      </c>
      <c r="G2545" s="8">
        <v>100</v>
      </c>
      <c r="H2545" s="2">
        <f t="shared" si="122"/>
        <v>13156508</v>
      </c>
      <c r="I2545" s="12">
        <f t="shared" si="120"/>
        <v>0.17828333333333332</v>
      </c>
      <c r="J2545" s="12">
        <f t="shared" si="121"/>
        <v>0.20843643852978455</v>
      </c>
    </row>
    <row r="2546" spans="1:10" ht="15" customHeight="1">
      <c r="A2546" s="14">
        <v>45280</v>
      </c>
      <c r="B2546" s="10">
        <v>264</v>
      </c>
      <c r="C2546">
        <v>42109</v>
      </c>
      <c r="D2546" s="5">
        <v>3.66</v>
      </c>
      <c r="F2546" s="8">
        <v>98.271763751782771</v>
      </c>
      <c r="G2546" s="8">
        <v>100</v>
      </c>
      <c r="H2546" s="2">
        <f t="shared" si="122"/>
        <v>13198617</v>
      </c>
      <c r="I2546" s="12">
        <f t="shared" si="120"/>
        <v>0.17545416666666666</v>
      </c>
      <c r="J2546" s="12">
        <f t="shared" si="121"/>
        <v>0.20831150568181819</v>
      </c>
    </row>
    <row r="2547" spans="1:10" ht="15" customHeight="1">
      <c r="A2547" s="14">
        <v>45281</v>
      </c>
      <c r="B2547" s="10">
        <v>265</v>
      </c>
      <c r="C2547">
        <v>48563</v>
      </c>
      <c r="D2547" s="5">
        <v>4.0999999999999996</v>
      </c>
      <c r="F2547" s="8">
        <v>96.665474454562968</v>
      </c>
      <c r="G2547" s="8">
        <v>100</v>
      </c>
      <c r="H2547" s="2">
        <f t="shared" si="122"/>
        <v>13247180</v>
      </c>
      <c r="I2547" s="12">
        <f t="shared" si="120"/>
        <v>0.20234583333333334</v>
      </c>
      <c r="J2547" s="12">
        <f t="shared" si="121"/>
        <v>0.20828899371069182</v>
      </c>
    </row>
    <row r="2548" spans="1:10" ht="15" customHeight="1">
      <c r="A2548" s="14">
        <v>45282</v>
      </c>
      <c r="B2548" s="10">
        <v>266</v>
      </c>
      <c r="C2548">
        <v>41468</v>
      </c>
      <c r="D2548" s="5">
        <v>3.71</v>
      </c>
      <c r="F2548" s="8">
        <v>97.327581377107961</v>
      </c>
      <c r="G2548" s="8">
        <v>100</v>
      </c>
      <c r="H2548" s="2">
        <f t="shared" si="122"/>
        <v>13288648</v>
      </c>
      <c r="I2548" s="12">
        <f t="shared" si="120"/>
        <v>0.17278333333333334</v>
      </c>
      <c r="J2548" s="12">
        <f t="shared" si="121"/>
        <v>0.20815551378446115</v>
      </c>
    </row>
    <row r="2549" spans="1:10" ht="15" customHeight="1">
      <c r="A2549" s="14">
        <v>45283</v>
      </c>
      <c r="B2549" s="10">
        <v>267</v>
      </c>
      <c r="C2549">
        <v>46151</v>
      </c>
      <c r="D2549" s="5">
        <v>3.81</v>
      </c>
      <c r="F2549" s="8">
        <v>98.154315064627198</v>
      </c>
      <c r="G2549" s="8">
        <v>100</v>
      </c>
      <c r="H2549" s="2">
        <f t="shared" si="122"/>
        <v>13334799</v>
      </c>
      <c r="I2549" s="12">
        <f t="shared" si="120"/>
        <v>0.19229583333333333</v>
      </c>
      <c r="J2549" s="12">
        <f t="shared" si="121"/>
        <v>0.20809611423220975</v>
      </c>
    </row>
    <row r="2550" spans="1:10" ht="15" customHeight="1">
      <c r="A2550" s="14">
        <v>45284</v>
      </c>
      <c r="B2550" s="10">
        <v>268</v>
      </c>
      <c r="C2550">
        <v>37852</v>
      </c>
      <c r="D2550" s="5">
        <v>3.32</v>
      </c>
      <c r="F2550" s="8">
        <v>99.275525103897564</v>
      </c>
      <c r="G2550" s="8">
        <v>100</v>
      </c>
      <c r="H2550" s="2">
        <f t="shared" si="122"/>
        <v>13372651</v>
      </c>
      <c r="I2550" s="12">
        <f t="shared" si="120"/>
        <v>0.15771666666666667</v>
      </c>
      <c r="J2550" s="12">
        <f t="shared" si="121"/>
        <v>0.20790813121890547</v>
      </c>
    </row>
    <row r="2551" spans="1:10" ht="15" customHeight="1">
      <c r="A2551" s="14">
        <v>45285</v>
      </c>
      <c r="B2551" s="10">
        <v>269</v>
      </c>
      <c r="C2551">
        <v>41314</v>
      </c>
      <c r="D2551" s="5">
        <v>3.53</v>
      </c>
      <c r="F2551" s="8">
        <v>99.144055944055935</v>
      </c>
      <c r="G2551" s="8">
        <v>100</v>
      </c>
      <c r="H2551" s="2">
        <f t="shared" si="122"/>
        <v>13413965</v>
      </c>
      <c r="I2551" s="12">
        <f t="shared" si="120"/>
        <v>0.17214166666666667</v>
      </c>
      <c r="J2551" s="12">
        <f t="shared" si="121"/>
        <v>0.20777517038413879</v>
      </c>
    </row>
    <row r="2552" spans="1:10" ht="15" customHeight="1">
      <c r="A2552" s="14">
        <v>45286</v>
      </c>
      <c r="B2552" s="10">
        <v>270</v>
      </c>
      <c r="C2552">
        <v>40202</v>
      </c>
      <c r="D2552" s="5">
        <v>3.49</v>
      </c>
      <c r="F2552" s="8">
        <v>99.156141415255632</v>
      </c>
      <c r="G2552" s="8">
        <v>100</v>
      </c>
      <c r="H2552" s="2">
        <f t="shared" si="122"/>
        <v>13454167</v>
      </c>
      <c r="I2552" s="12">
        <f t="shared" si="120"/>
        <v>0.16750833333333334</v>
      </c>
      <c r="J2552" s="12">
        <f t="shared" si="121"/>
        <v>0.20762603395061729</v>
      </c>
    </row>
    <row r="2553" spans="1:10" ht="15" customHeight="1">
      <c r="A2553" s="14">
        <v>45287</v>
      </c>
      <c r="B2553" s="10">
        <v>271</v>
      </c>
      <c r="C2553">
        <v>40566</v>
      </c>
      <c r="D2553" s="5">
        <v>3.49</v>
      </c>
      <c r="F2553" s="8">
        <v>99.190461767216448</v>
      </c>
      <c r="G2553" s="8">
        <v>100</v>
      </c>
      <c r="H2553" s="2">
        <f t="shared" si="122"/>
        <v>13494733</v>
      </c>
      <c r="I2553" s="12">
        <f t="shared" si="120"/>
        <v>0.16902500000000001</v>
      </c>
      <c r="J2553" s="12">
        <f t="shared" si="121"/>
        <v>0.2074835947109471</v>
      </c>
    </row>
    <row r="2554" spans="1:10" ht="15" customHeight="1">
      <c r="A2554" s="14">
        <v>45288</v>
      </c>
      <c r="B2554" s="10">
        <v>272</v>
      </c>
      <c r="C2554">
        <v>49497</v>
      </c>
      <c r="D2554" s="5">
        <v>4.1100000000000003</v>
      </c>
      <c r="F2554" s="8">
        <v>97.23571787569108</v>
      </c>
      <c r="G2554" s="8">
        <v>100</v>
      </c>
      <c r="H2554" s="2">
        <f t="shared" si="122"/>
        <v>13544230</v>
      </c>
      <c r="I2554" s="12">
        <f t="shared" si="120"/>
        <v>0.20623749999999999</v>
      </c>
      <c r="J2554" s="12">
        <f t="shared" si="121"/>
        <v>0.20747901348039216</v>
      </c>
    </row>
    <row r="2555" spans="1:10" ht="15" customHeight="1">
      <c r="A2555" s="14">
        <v>45289</v>
      </c>
      <c r="B2555" s="10">
        <v>273</v>
      </c>
      <c r="C2555">
        <v>46136</v>
      </c>
      <c r="D2555" s="5">
        <v>3.92</v>
      </c>
      <c r="F2555" s="8">
        <v>98.323927765237016</v>
      </c>
      <c r="G2555" s="8">
        <v>100</v>
      </c>
      <c r="H2555" s="2">
        <f t="shared" si="122"/>
        <v>13590366</v>
      </c>
      <c r="I2555" s="12">
        <f t="shared" si="120"/>
        <v>0.19223333333333334</v>
      </c>
      <c r="J2555" s="12">
        <f t="shared" si="121"/>
        <v>0.2074231684981685</v>
      </c>
    </row>
    <row r="2556" spans="1:10" ht="15" customHeight="1">
      <c r="A2556" s="14">
        <v>45290</v>
      </c>
      <c r="B2556" s="10">
        <v>274</v>
      </c>
      <c r="C2556">
        <v>33525</v>
      </c>
      <c r="D2556" s="5">
        <v>2.87</v>
      </c>
      <c r="F2556" s="8">
        <v>97.5959367945824</v>
      </c>
      <c r="G2556" s="8">
        <v>100</v>
      </c>
      <c r="H2556" s="2">
        <f t="shared" si="122"/>
        <v>13623891</v>
      </c>
      <c r="I2556" s="12">
        <f t="shared" si="120"/>
        <v>0.13968749999999999</v>
      </c>
      <c r="J2556" s="12">
        <f t="shared" si="121"/>
        <v>0.20717595802919708</v>
      </c>
    </row>
    <row r="2557" spans="1:10" ht="15" customHeight="1">
      <c r="A2557" s="14">
        <v>45291</v>
      </c>
      <c r="B2557" s="10">
        <v>275</v>
      </c>
      <c r="C2557">
        <v>38001</v>
      </c>
      <c r="D2557" s="5">
        <v>3.78</v>
      </c>
      <c r="F2557" s="8">
        <v>100</v>
      </c>
      <c r="G2557" s="8">
        <v>90.260890095620354</v>
      </c>
      <c r="H2557" s="2">
        <f t="shared" si="122"/>
        <v>13661892</v>
      </c>
      <c r="I2557" s="12">
        <f t="shared" si="120"/>
        <v>0.15833749999999999</v>
      </c>
      <c r="J2557" s="12">
        <f t="shared" si="121"/>
        <v>0.20699836363636365</v>
      </c>
    </row>
    <row r="2558" spans="1:10" ht="15" customHeight="1">
      <c r="A2558" s="14">
        <v>45292</v>
      </c>
      <c r="B2558" s="10">
        <v>276</v>
      </c>
      <c r="C2558">
        <v>31980</v>
      </c>
      <c r="D2558" s="5">
        <v>2.59</v>
      </c>
      <c r="F2558" s="8">
        <v>98.290001744896188</v>
      </c>
      <c r="G2558" s="8">
        <v>100</v>
      </c>
      <c r="H2558" s="2">
        <f t="shared" si="122"/>
        <v>13693872</v>
      </c>
      <c r="I2558" s="12">
        <f t="shared" si="120"/>
        <v>0.13325000000000001</v>
      </c>
      <c r="J2558" s="12">
        <f t="shared" si="121"/>
        <v>0.20673115942028986</v>
      </c>
    </row>
    <row r="2559" spans="1:10" ht="15" customHeight="1">
      <c r="A2559" s="14">
        <v>45293</v>
      </c>
      <c r="B2559" s="10">
        <v>277</v>
      </c>
      <c r="C2559">
        <v>21630</v>
      </c>
      <c r="D2559" s="5">
        <v>3.29</v>
      </c>
      <c r="F2559" s="8">
        <v>100</v>
      </c>
      <c r="G2559" s="8">
        <v>51.128030006157928</v>
      </c>
      <c r="H2559" s="2">
        <f t="shared" si="122"/>
        <v>13715502</v>
      </c>
      <c r="I2559" s="12">
        <f t="shared" si="120"/>
        <v>9.0124999999999997E-2</v>
      </c>
      <c r="J2559" s="12">
        <f t="shared" si="121"/>
        <v>0.20631019855595667</v>
      </c>
    </row>
    <row r="2560" spans="1:10" ht="15" customHeight="1">
      <c r="A2560" s="14">
        <v>45294</v>
      </c>
      <c r="B2560" s="10">
        <v>278</v>
      </c>
      <c r="C2560">
        <v>42360</v>
      </c>
      <c r="D2560" s="5">
        <v>3.55</v>
      </c>
      <c r="F2560" s="8">
        <v>97.942993143310474</v>
      </c>
      <c r="G2560" s="8">
        <v>100</v>
      </c>
      <c r="H2560" s="2">
        <f t="shared" si="122"/>
        <v>13757862</v>
      </c>
      <c r="I2560" s="12">
        <f t="shared" si="120"/>
        <v>0.17649999999999999</v>
      </c>
      <c r="J2560" s="12">
        <f t="shared" si="121"/>
        <v>0.20620296762589929</v>
      </c>
    </row>
    <row r="2561" spans="1:10" ht="15" customHeight="1">
      <c r="A2561" s="14">
        <v>45295</v>
      </c>
      <c r="B2561" s="10">
        <v>279</v>
      </c>
      <c r="C2561">
        <v>34789</v>
      </c>
      <c r="D2561" s="5">
        <v>2.83</v>
      </c>
      <c r="F2561" s="8">
        <v>98.692773470658153</v>
      </c>
      <c r="G2561" s="8">
        <v>100</v>
      </c>
      <c r="H2561" s="2">
        <f t="shared" si="122"/>
        <v>13792651</v>
      </c>
      <c r="I2561" s="12">
        <f t="shared" si="120"/>
        <v>0.14495416666666666</v>
      </c>
      <c r="J2561" s="12">
        <f t="shared" si="121"/>
        <v>0.20598343787335724</v>
      </c>
    </row>
    <row r="2562" spans="1:10" ht="15" customHeight="1">
      <c r="A2562" s="14">
        <v>45296</v>
      </c>
      <c r="B2562" s="10">
        <v>280</v>
      </c>
      <c r="C2562">
        <v>44136</v>
      </c>
      <c r="D2562" s="5">
        <v>3.71</v>
      </c>
      <c r="F2562" s="8">
        <v>97.976475834773396</v>
      </c>
      <c r="G2562" s="8">
        <v>100</v>
      </c>
      <c r="H2562" s="2">
        <f t="shared" si="122"/>
        <v>13836787</v>
      </c>
      <c r="I2562" s="12">
        <f t="shared" si="120"/>
        <v>0.18390000000000001</v>
      </c>
      <c r="J2562" s="12">
        <f t="shared" si="121"/>
        <v>0.20590456845238095</v>
      </c>
    </row>
    <row r="2563" spans="1:10" ht="15" customHeight="1">
      <c r="A2563" s="14">
        <v>45297</v>
      </c>
      <c r="B2563" s="10">
        <v>281</v>
      </c>
      <c r="C2563">
        <v>47056</v>
      </c>
      <c r="D2563" s="5">
        <v>4.0999999999999996</v>
      </c>
      <c r="F2563" s="8">
        <v>97.777406417112303</v>
      </c>
      <c r="G2563" s="8">
        <v>100</v>
      </c>
      <c r="H2563" s="2">
        <f t="shared" si="122"/>
        <v>13883843</v>
      </c>
      <c r="I2563" s="12">
        <f t="shared" ref="I2563:I2626" si="123">C2563/(10*24*1000)</f>
        <v>0.19606666666666667</v>
      </c>
      <c r="J2563" s="12">
        <f t="shared" si="121"/>
        <v>0.2058695581257414</v>
      </c>
    </row>
    <row r="2564" spans="1:10" ht="15" customHeight="1">
      <c r="A2564" s="14">
        <v>45298</v>
      </c>
      <c r="B2564" s="10">
        <v>282</v>
      </c>
      <c r="C2564">
        <v>29561</v>
      </c>
      <c r="D2564" s="5">
        <v>2.57</v>
      </c>
      <c r="F2564" s="8">
        <v>97.673167831969891</v>
      </c>
      <c r="G2564" s="8">
        <v>100</v>
      </c>
      <c r="H2564" s="2">
        <f t="shared" si="122"/>
        <v>13913404</v>
      </c>
      <c r="I2564" s="12">
        <f t="shared" si="123"/>
        <v>0.12317083333333333</v>
      </c>
      <c r="J2564" s="12">
        <f t="shared" ref="J2564:J2627" si="124">H2564/(24*B2564*10*1000)</f>
        <v>0.20557630023640661</v>
      </c>
    </row>
    <row r="2565" spans="1:10" ht="15" customHeight="1">
      <c r="A2565" s="14">
        <v>45299</v>
      </c>
      <c r="B2565" s="10">
        <v>283</v>
      </c>
      <c r="C2565">
        <v>35005</v>
      </c>
      <c r="D2565" s="5">
        <v>2.99</v>
      </c>
      <c r="F2565" s="8">
        <v>98.573608828363461</v>
      </c>
      <c r="G2565" s="8">
        <v>100</v>
      </c>
      <c r="H2565" s="2">
        <f t="shared" si="122"/>
        <v>13948409</v>
      </c>
      <c r="I2565" s="12">
        <f t="shared" si="123"/>
        <v>0.14585416666666667</v>
      </c>
      <c r="J2565" s="12">
        <f t="shared" si="124"/>
        <v>0.20536526796230861</v>
      </c>
    </row>
    <row r="2566" spans="1:10" ht="15" customHeight="1">
      <c r="A2566" s="14">
        <v>45300</v>
      </c>
      <c r="B2566" s="10">
        <v>284</v>
      </c>
      <c r="C2566">
        <v>23255</v>
      </c>
      <c r="D2566" s="5">
        <v>2.06</v>
      </c>
      <c r="F2566" s="8">
        <v>98.317018718873427</v>
      </c>
      <c r="G2566" s="8">
        <v>100</v>
      </c>
      <c r="H2566" s="2">
        <f t="shared" si="122"/>
        <v>13971664</v>
      </c>
      <c r="I2566" s="12">
        <f t="shared" si="123"/>
        <v>9.6895833333333334E-2</v>
      </c>
      <c r="J2566" s="12">
        <f t="shared" si="124"/>
        <v>0.20498333333333332</v>
      </c>
    </row>
    <row r="2567" spans="1:10" ht="15" customHeight="1">
      <c r="A2567" s="14">
        <v>45301</v>
      </c>
      <c r="B2567" s="10">
        <v>285</v>
      </c>
      <c r="C2567">
        <v>39468</v>
      </c>
      <c r="D2567" s="5">
        <v>3.4</v>
      </c>
      <c r="F2567" s="8">
        <v>97.773499623336406</v>
      </c>
      <c r="G2567" s="8">
        <v>100</v>
      </c>
      <c r="H2567" s="2">
        <f t="shared" si="122"/>
        <v>14011132</v>
      </c>
      <c r="I2567" s="12">
        <f t="shared" si="123"/>
        <v>0.16445000000000001</v>
      </c>
      <c r="J2567" s="12">
        <f t="shared" si="124"/>
        <v>0.20484111111111111</v>
      </c>
    </row>
    <row r="2568" spans="1:10" ht="15" customHeight="1">
      <c r="A2568" s="14">
        <v>45302</v>
      </c>
      <c r="B2568" s="10">
        <v>286</v>
      </c>
      <c r="C2568">
        <v>52086</v>
      </c>
      <c r="D2568" s="5">
        <v>4.3899999999999997</v>
      </c>
      <c r="F2568" s="8">
        <v>97.135084115262899</v>
      </c>
      <c r="G2568" s="8">
        <v>100</v>
      </c>
      <c r="H2568" s="2">
        <f t="shared" si="122"/>
        <v>14063218</v>
      </c>
      <c r="I2568" s="12">
        <f t="shared" si="123"/>
        <v>0.217025</v>
      </c>
      <c r="J2568" s="12">
        <f t="shared" si="124"/>
        <v>0.20488371212121212</v>
      </c>
    </row>
    <row r="2569" spans="1:10" ht="15" customHeight="1">
      <c r="A2569" s="14">
        <v>45303</v>
      </c>
      <c r="B2569" s="10">
        <v>287</v>
      </c>
      <c r="C2569">
        <v>50995</v>
      </c>
      <c r="D2569" s="5">
        <v>4.3499999999999996</v>
      </c>
      <c r="F2569" s="8">
        <v>97.253744278633917</v>
      </c>
      <c r="G2569" s="8">
        <v>100</v>
      </c>
      <c r="H2569" s="2">
        <f t="shared" si="122"/>
        <v>14114213</v>
      </c>
      <c r="I2569" s="12">
        <f t="shared" si="123"/>
        <v>0.21247916666666666</v>
      </c>
      <c r="J2569" s="12">
        <f t="shared" si="124"/>
        <v>0.20491017711962833</v>
      </c>
    </row>
    <row r="2570" spans="1:10" ht="15" customHeight="1">
      <c r="A2570" s="14">
        <v>45304</v>
      </c>
      <c r="B2570" s="10">
        <v>288</v>
      </c>
      <c r="C2570">
        <v>43673</v>
      </c>
      <c r="D2570" s="5">
        <v>4.03</v>
      </c>
      <c r="F2570" s="8">
        <v>96.891276485506268</v>
      </c>
      <c r="G2570" s="8">
        <v>100</v>
      </c>
      <c r="H2570" s="2">
        <f t="shared" si="122"/>
        <v>14157886</v>
      </c>
      <c r="I2570" s="12">
        <f t="shared" si="123"/>
        <v>0.18197083333333333</v>
      </c>
      <c r="J2570" s="12">
        <f t="shared" si="124"/>
        <v>0.20483052662037038</v>
      </c>
    </row>
    <row r="2571" spans="1:10" ht="15" customHeight="1">
      <c r="A2571" s="14">
        <v>45305</v>
      </c>
      <c r="B2571" s="10">
        <v>289</v>
      </c>
      <c r="C2571">
        <v>45335</v>
      </c>
      <c r="D2571" s="5">
        <v>3.88</v>
      </c>
      <c r="F2571" s="8">
        <v>98.247614809045643</v>
      </c>
      <c r="G2571" s="8">
        <v>100</v>
      </c>
      <c r="H2571" s="2">
        <f t="shared" si="122"/>
        <v>14203221</v>
      </c>
      <c r="I2571" s="12">
        <f t="shared" si="123"/>
        <v>0.18889583333333335</v>
      </c>
      <c r="J2571" s="12">
        <f t="shared" si="124"/>
        <v>0.2047753892733564</v>
      </c>
    </row>
    <row r="2572" spans="1:10" ht="15" customHeight="1">
      <c r="A2572" s="14">
        <v>45306</v>
      </c>
      <c r="B2572" s="10">
        <v>290</v>
      </c>
      <c r="C2572">
        <v>49122</v>
      </c>
      <c r="D2572" s="5">
        <v>4.29</v>
      </c>
      <c r="F2572" s="8">
        <v>97.235322816718167</v>
      </c>
      <c r="G2572" s="8">
        <v>100</v>
      </c>
      <c r="H2572" s="2">
        <f t="shared" si="122"/>
        <v>14252343</v>
      </c>
      <c r="I2572" s="12">
        <f t="shared" si="123"/>
        <v>0.204675</v>
      </c>
      <c r="J2572" s="12">
        <f t="shared" si="124"/>
        <v>0.20477504310344827</v>
      </c>
    </row>
    <row r="2573" spans="1:10" ht="15" customHeight="1">
      <c r="A2573" s="14">
        <v>45307</v>
      </c>
      <c r="B2573" s="10">
        <v>291</v>
      </c>
      <c r="C2573">
        <v>45832</v>
      </c>
      <c r="D2573" s="5">
        <v>4.1500000000000004</v>
      </c>
      <c r="F2573" s="8">
        <v>97.620490223079045</v>
      </c>
      <c r="G2573" s="8">
        <v>100</v>
      </c>
      <c r="H2573" s="2">
        <f t="shared" si="122"/>
        <v>14298175</v>
      </c>
      <c r="I2573" s="12">
        <f t="shared" si="123"/>
        <v>0.19096666666666667</v>
      </c>
      <c r="J2573" s="12">
        <f t="shared" si="124"/>
        <v>0.20472759163802978</v>
      </c>
    </row>
    <row r="2574" spans="1:10" ht="15" customHeight="1">
      <c r="A2574" s="14">
        <v>45308</v>
      </c>
      <c r="B2574" s="10">
        <v>292</v>
      </c>
      <c r="C2574">
        <v>39132</v>
      </c>
      <c r="D2574" s="5">
        <v>3.37</v>
      </c>
      <c r="F2574" s="8">
        <v>98.582222832806707</v>
      </c>
      <c r="G2574" s="8">
        <v>100</v>
      </c>
      <c r="H2574" s="2">
        <f t="shared" si="122"/>
        <v>14337307</v>
      </c>
      <c r="I2574" s="12">
        <f t="shared" si="123"/>
        <v>0.16305</v>
      </c>
      <c r="J2574" s="12">
        <f t="shared" si="124"/>
        <v>0.20458486015981736</v>
      </c>
    </row>
    <row r="2575" spans="1:10" ht="15" customHeight="1">
      <c r="A2575" s="14">
        <v>45309</v>
      </c>
      <c r="B2575" s="10">
        <v>293</v>
      </c>
      <c r="C2575">
        <v>39240</v>
      </c>
      <c r="D2575" s="5">
        <v>3.33</v>
      </c>
      <c r="F2575" s="8">
        <v>96.666666666666671</v>
      </c>
      <c r="G2575" s="8">
        <v>100</v>
      </c>
      <c r="H2575" s="2">
        <f t="shared" si="122"/>
        <v>14376547</v>
      </c>
      <c r="I2575" s="12">
        <f t="shared" si="123"/>
        <v>0.16350000000000001</v>
      </c>
      <c r="J2575" s="12">
        <f t="shared" si="124"/>
        <v>0.2044446387940842</v>
      </c>
    </row>
    <row r="2576" spans="1:10" ht="15" customHeight="1">
      <c r="A2576" s="14">
        <v>45310</v>
      </c>
      <c r="B2576" s="10">
        <v>294</v>
      </c>
      <c r="C2576">
        <v>48372</v>
      </c>
      <c r="D2576" s="5">
        <v>4.17</v>
      </c>
      <c r="F2576" s="8">
        <v>97.119657650737906</v>
      </c>
      <c r="G2576" s="8">
        <v>100</v>
      </c>
      <c r="H2576" s="2">
        <f t="shared" si="122"/>
        <v>14424919</v>
      </c>
      <c r="I2576" s="12">
        <f t="shared" si="123"/>
        <v>0.20155000000000001</v>
      </c>
      <c r="J2576" s="12">
        <f t="shared" si="124"/>
        <v>0.20443479308390022</v>
      </c>
    </row>
    <row r="2577" spans="1:10" ht="15" customHeight="1">
      <c r="A2577" s="14">
        <v>45311</v>
      </c>
      <c r="B2577" s="10">
        <v>295</v>
      </c>
      <c r="C2577">
        <v>48657</v>
      </c>
      <c r="D2577" s="5">
        <v>4.16</v>
      </c>
      <c r="F2577" s="8">
        <v>97.47671973565636</v>
      </c>
      <c r="G2577" s="8">
        <v>100</v>
      </c>
      <c r="H2577" s="2">
        <f t="shared" si="122"/>
        <v>14473576</v>
      </c>
      <c r="I2577" s="12">
        <f t="shared" si="123"/>
        <v>0.20273749999999999</v>
      </c>
      <c r="J2577" s="12">
        <f t="shared" si="124"/>
        <v>0.20442903954802261</v>
      </c>
    </row>
    <row r="2578" spans="1:10" ht="15" customHeight="1">
      <c r="A2578" s="14">
        <v>45312</v>
      </c>
      <c r="B2578" s="10">
        <v>296</v>
      </c>
      <c r="C2578">
        <v>38064</v>
      </c>
      <c r="D2578" s="5">
        <v>3.38</v>
      </c>
      <c r="F2578" s="8">
        <v>97.245535965752268</v>
      </c>
      <c r="G2578" s="8">
        <v>100</v>
      </c>
      <c r="H2578" s="2">
        <f t="shared" si="122"/>
        <v>14511640</v>
      </c>
      <c r="I2578" s="12">
        <f t="shared" si="123"/>
        <v>0.15859999999999999</v>
      </c>
      <c r="J2578" s="12">
        <f t="shared" si="124"/>
        <v>0.2042742117117117</v>
      </c>
    </row>
    <row r="2579" spans="1:10" ht="15" customHeight="1">
      <c r="A2579" s="14">
        <v>45313</v>
      </c>
      <c r="B2579" s="10">
        <v>297</v>
      </c>
      <c r="C2579">
        <v>46258</v>
      </c>
      <c r="D2579" s="5">
        <v>4.07</v>
      </c>
      <c r="F2579" s="8">
        <v>98.178121187474588</v>
      </c>
      <c r="G2579" s="8">
        <v>100</v>
      </c>
      <c r="H2579" s="2">
        <f t="shared" si="122"/>
        <v>14557898</v>
      </c>
      <c r="I2579" s="12">
        <f t="shared" si="123"/>
        <v>0.19274166666666667</v>
      </c>
      <c r="J2579" s="12">
        <f t="shared" si="124"/>
        <v>0.20423538159371493</v>
      </c>
    </row>
    <row r="2580" spans="1:10" ht="15" customHeight="1">
      <c r="A2580" s="14">
        <v>45314</v>
      </c>
      <c r="B2580" s="10">
        <v>298</v>
      </c>
      <c r="C2580">
        <v>29104</v>
      </c>
      <c r="D2580" s="5">
        <v>2.6</v>
      </c>
      <c r="F2580" s="8">
        <v>99.131789848619761</v>
      </c>
      <c r="G2580" s="8">
        <v>100</v>
      </c>
      <c r="H2580" s="2">
        <f t="shared" si="122"/>
        <v>14587002</v>
      </c>
      <c r="I2580" s="12">
        <f t="shared" si="123"/>
        <v>0.12126666666666666</v>
      </c>
      <c r="J2580" s="12">
        <f t="shared" si="124"/>
        <v>0.20395696308724831</v>
      </c>
    </row>
    <row r="2581" spans="1:10" ht="15" customHeight="1">
      <c r="A2581" s="14">
        <v>45315</v>
      </c>
      <c r="B2581" s="10">
        <v>299</v>
      </c>
      <c r="C2581">
        <v>37493</v>
      </c>
      <c r="D2581" s="5">
        <v>3.32</v>
      </c>
      <c r="F2581" s="8">
        <v>97.142857142857139</v>
      </c>
      <c r="G2581" s="8">
        <v>100</v>
      </c>
      <c r="H2581" s="2">
        <f t="shared" si="122"/>
        <v>14624495</v>
      </c>
      <c r="I2581" s="12">
        <f t="shared" si="123"/>
        <v>0.15622083333333334</v>
      </c>
      <c r="J2581" s="12">
        <f t="shared" si="124"/>
        <v>0.20379731047937569</v>
      </c>
    </row>
    <row r="2582" spans="1:10" ht="15" customHeight="1">
      <c r="A2582" s="14">
        <v>45316</v>
      </c>
      <c r="B2582" s="10">
        <v>300</v>
      </c>
      <c r="C2582">
        <v>44908</v>
      </c>
      <c r="D2582" s="5">
        <v>3.98</v>
      </c>
      <c r="F2582" s="8">
        <v>98.846470749794008</v>
      </c>
      <c r="G2582" s="8">
        <v>100</v>
      </c>
      <c r="H2582" s="2">
        <f t="shared" si="122"/>
        <v>14669403</v>
      </c>
      <c r="I2582" s="12">
        <f t="shared" si="123"/>
        <v>0.18711666666666665</v>
      </c>
      <c r="J2582" s="12">
        <f t="shared" si="124"/>
        <v>0.20374170833333333</v>
      </c>
    </row>
    <row r="2583" spans="1:10" ht="15" customHeight="1">
      <c r="A2583" s="14">
        <v>45317</v>
      </c>
      <c r="B2583" s="10">
        <v>301</v>
      </c>
      <c r="C2583">
        <v>39700</v>
      </c>
      <c r="D2583" s="5">
        <v>3.55</v>
      </c>
      <c r="F2583" s="8">
        <v>98.05470793374019</v>
      </c>
      <c r="G2583" s="8">
        <v>100</v>
      </c>
      <c r="H2583" s="2">
        <f t="shared" si="122"/>
        <v>14709103</v>
      </c>
      <c r="I2583" s="12">
        <f t="shared" si="123"/>
        <v>0.16541666666666666</v>
      </c>
      <c r="J2583" s="12">
        <f t="shared" si="124"/>
        <v>0.20361438261351053</v>
      </c>
    </row>
    <row r="2584" spans="1:10" ht="15" customHeight="1">
      <c r="A2584" s="14">
        <v>45318</v>
      </c>
      <c r="B2584" s="10">
        <v>302</v>
      </c>
      <c r="C2584">
        <v>31864</v>
      </c>
      <c r="D2584" s="5">
        <v>3.13</v>
      </c>
      <c r="F2584" s="8">
        <v>97.578269881095238</v>
      </c>
      <c r="G2584" s="8">
        <v>100</v>
      </c>
      <c r="H2584" s="2">
        <f t="shared" si="122"/>
        <v>14740967</v>
      </c>
      <c r="I2584" s="12">
        <f t="shared" si="123"/>
        <v>0.13276666666666667</v>
      </c>
      <c r="J2584" s="12">
        <f t="shared" si="124"/>
        <v>0.20337978752759381</v>
      </c>
    </row>
    <row r="2585" spans="1:10" ht="15" customHeight="1">
      <c r="A2585" s="14">
        <v>45319</v>
      </c>
      <c r="B2585" s="10">
        <v>303</v>
      </c>
      <c r="C2585">
        <v>31702</v>
      </c>
      <c r="D2585" s="5">
        <v>3.18</v>
      </c>
      <c r="F2585" s="8">
        <v>98.547575165735978</v>
      </c>
      <c r="G2585" s="8">
        <v>100</v>
      </c>
      <c r="H2585" s="2">
        <f t="shared" si="122"/>
        <v>14772669</v>
      </c>
      <c r="I2585" s="12">
        <f t="shared" si="123"/>
        <v>0.13209166666666666</v>
      </c>
      <c r="J2585" s="12">
        <f t="shared" si="124"/>
        <v>0.20314451320132013</v>
      </c>
    </row>
    <row r="2586" spans="1:10" ht="15" customHeight="1">
      <c r="A2586" s="14">
        <v>45320</v>
      </c>
      <c r="B2586" s="10">
        <v>304</v>
      </c>
      <c r="C2586">
        <v>41212</v>
      </c>
      <c r="D2586" s="5">
        <v>3.72</v>
      </c>
      <c r="F2586" s="8">
        <v>98.854243391439553</v>
      </c>
      <c r="G2586" s="8">
        <v>100</v>
      </c>
      <c r="H2586" s="2">
        <f t="shared" si="122"/>
        <v>14813881</v>
      </c>
      <c r="I2586" s="12">
        <f t="shared" si="123"/>
        <v>0.17171666666666666</v>
      </c>
      <c r="J2586" s="12">
        <f t="shared" si="124"/>
        <v>0.20304113212719299</v>
      </c>
    </row>
    <row r="2587" spans="1:10" ht="15" customHeight="1">
      <c r="A2587" s="14">
        <v>45321</v>
      </c>
      <c r="B2587" s="10">
        <v>305</v>
      </c>
      <c r="C2587">
        <v>25303</v>
      </c>
      <c r="D2587" s="5">
        <v>2.58</v>
      </c>
      <c r="F2587" s="8">
        <v>100</v>
      </c>
      <c r="G2587" s="8">
        <v>100</v>
      </c>
      <c r="H2587" s="2">
        <f t="shared" si="122"/>
        <v>14839184</v>
      </c>
      <c r="I2587" s="12">
        <f t="shared" si="123"/>
        <v>0.10542916666666667</v>
      </c>
      <c r="J2587" s="12">
        <f t="shared" si="124"/>
        <v>0.20272109289617488</v>
      </c>
    </row>
    <row r="2588" spans="1:10" ht="15" customHeight="1">
      <c r="A2588" s="14">
        <v>45322</v>
      </c>
      <c r="B2588" s="10">
        <v>306</v>
      </c>
      <c r="C2588">
        <v>41586</v>
      </c>
      <c r="D2588" s="5">
        <v>4</v>
      </c>
      <c r="F2588" s="8">
        <v>98.075471698113219</v>
      </c>
      <c r="G2588" s="8">
        <v>100</v>
      </c>
      <c r="H2588" s="2">
        <f t="shared" si="122"/>
        <v>14880770</v>
      </c>
      <c r="I2588" s="12">
        <f t="shared" si="123"/>
        <v>0.17327500000000001</v>
      </c>
      <c r="J2588" s="12">
        <f t="shared" si="124"/>
        <v>0.20262486383442266</v>
      </c>
    </row>
    <row r="2589" spans="1:10" ht="15" customHeight="1">
      <c r="A2589" s="14">
        <v>45323</v>
      </c>
      <c r="B2589" s="10">
        <v>307</v>
      </c>
      <c r="C2589">
        <v>51818</v>
      </c>
      <c r="D2589" s="5">
        <v>4.6100000000000003</v>
      </c>
      <c r="F2589" s="8">
        <v>97.100679694137639</v>
      </c>
      <c r="G2589" s="8">
        <v>100</v>
      </c>
      <c r="H2589" s="2">
        <f t="shared" si="122"/>
        <v>14932588</v>
      </c>
      <c r="I2589" s="12">
        <f t="shared" si="123"/>
        <v>0.21590833333333334</v>
      </c>
      <c r="J2589" s="12">
        <f t="shared" si="124"/>
        <v>0.20266813246471227</v>
      </c>
    </row>
    <row r="2590" spans="1:10" ht="15" customHeight="1">
      <c r="A2590" s="14">
        <v>45324</v>
      </c>
      <c r="B2590" s="10">
        <v>308</v>
      </c>
      <c r="C2590">
        <v>36521</v>
      </c>
      <c r="D2590" s="5">
        <v>3.54</v>
      </c>
      <c r="F2590" s="8">
        <v>98.14296005763228</v>
      </c>
      <c r="G2590" s="8">
        <v>100</v>
      </c>
      <c r="H2590" s="2">
        <f t="shared" si="122"/>
        <v>14969109</v>
      </c>
      <c r="I2590" s="12">
        <f t="shared" si="123"/>
        <v>0.15217083333333334</v>
      </c>
      <c r="J2590" s="12">
        <f t="shared" si="124"/>
        <v>0.20250418019480521</v>
      </c>
    </row>
    <row r="2591" spans="1:10" ht="15" customHeight="1">
      <c r="A2591" s="14">
        <v>45325</v>
      </c>
      <c r="B2591" s="10">
        <v>309</v>
      </c>
      <c r="C2591">
        <v>18899</v>
      </c>
      <c r="D2591" s="5">
        <v>1.92</v>
      </c>
      <c r="F2591" s="8">
        <v>100</v>
      </c>
      <c r="G2591" s="8">
        <v>100</v>
      </c>
      <c r="H2591" s="2">
        <f t="shared" si="122"/>
        <v>14988008</v>
      </c>
      <c r="I2591" s="12">
        <f t="shared" si="123"/>
        <v>7.8745833333333334E-2</v>
      </c>
      <c r="J2591" s="12">
        <f t="shared" si="124"/>
        <v>0.20210366774541533</v>
      </c>
    </row>
    <row r="2592" spans="1:10" ht="15" customHeight="1">
      <c r="A2592" s="14">
        <v>45326</v>
      </c>
      <c r="B2592" s="10">
        <v>310</v>
      </c>
      <c r="C2592">
        <v>30823</v>
      </c>
      <c r="D2592" s="5">
        <v>3.26</v>
      </c>
      <c r="F2592" s="8">
        <v>98.123520793418237</v>
      </c>
      <c r="G2592" s="8">
        <v>100</v>
      </c>
      <c r="H2592" s="2">
        <f t="shared" si="122"/>
        <v>15018831</v>
      </c>
      <c r="I2592" s="12">
        <f t="shared" si="123"/>
        <v>0.12842916666666668</v>
      </c>
      <c r="J2592" s="12">
        <f t="shared" si="124"/>
        <v>0.20186600806451613</v>
      </c>
    </row>
    <row r="2593" spans="1:10" ht="15" customHeight="1">
      <c r="A2593" s="14">
        <v>45327</v>
      </c>
      <c r="B2593" s="10">
        <v>311</v>
      </c>
      <c r="C2593">
        <v>51306</v>
      </c>
      <c r="D2593" s="5">
        <v>4.6500000000000004</v>
      </c>
      <c r="F2593" s="8">
        <v>96.71555788370874</v>
      </c>
      <c r="G2593" s="8">
        <v>100</v>
      </c>
      <c r="H2593" s="2">
        <f t="shared" si="122"/>
        <v>15070137</v>
      </c>
      <c r="I2593" s="12">
        <f t="shared" si="123"/>
        <v>0.21377499999999999</v>
      </c>
      <c r="J2593" s="12">
        <f t="shared" si="124"/>
        <v>0.20190430064308681</v>
      </c>
    </row>
    <row r="2594" spans="1:10" ht="15" customHeight="1">
      <c r="A2594" s="14">
        <v>45328</v>
      </c>
      <c r="B2594" s="10">
        <v>312</v>
      </c>
      <c r="C2594">
        <v>46499</v>
      </c>
      <c r="D2594" s="5">
        <v>4.3499999999999996</v>
      </c>
      <c r="F2594" s="8">
        <v>95.697553979762574</v>
      </c>
      <c r="G2594" s="8">
        <v>100</v>
      </c>
      <c r="H2594" s="2">
        <f t="shared" si="122"/>
        <v>15116636</v>
      </c>
      <c r="I2594" s="12">
        <f t="shared" si="123"/>
        <v>0.19374583333333334</v>
      </c>
      <c r="J2594" s="12">
        <f t="shared" si="124"/>
        <v>0.20187815170940171</v>
      </c>
    </row>
    <row r="2595" spans="1:10" ht="15" customHeight="1">
      <c r="A2595" s="14">
        <v>45329</v>
      </c>
      <c r="B2595" s="10">
        <v>313</v>
      </c>
      <c r="C2595">
        <v>40095</v>
      </c>
      <c r="D2595" s="5">
        <v>3.6</v>
      </c>
      <c r="F2595" s="8">
        <v>93.028036315879632</v>
      </c>
      <c r="G2595" s="8">
        <v>100</v>
      </c>
      <c r="H2595" s="2">
        <f t="shared" si="122"/>
        <v>15156731</v>
      </c>
      <c r="I2595" s="12">
        <f t="shared" si="123"/>
        <v>0.1670625</v>
      </c>
      <c r="J2595" s="12">
        <f t="shared" si="124"/>
        <v>0.20176691959531418</v>
      </c>
    </row>
    <row r="2596" spans="1:10" ht="15" customHeight="1">
      <c r="A2596" s="14">
        <v>45330</v>
      </c>
      <c r="B2596" s="10">
        <v>314</v>
      </c>
      <c r="C2596">
        <v>48790</v>
      </c>
      <c r="D2596" s="5">
        <v>4.4000000000000004</v>
      </c>
      <c r="F2596" s="8">
        <v>91.215456613244783</v>
      </c>
      <c r="G2596" s="8">
        <v>100</v>
      </c>
      <c r="H2596" s="2">
        <f t="shared" si="122"/>
        <v>15205521</v>
      </c>
      <c r="I2596" s="12">
        <f t="shared" si="123"/>
        <v>0.20329166666666668</v>
      </c>
      <c r="J2596" s="12">
        <f t="shared" si="124"/>
        <v>0.201771775477707</v>
      </c>
    </row>
    <row r="2597" spans="1:10" ht="15" customHeight="1">
      <c r="A2597" s="14">
        <v>45331</v>
      </c>
      <c r="B2597" s="10">
        <v>315</v>
      </c>
      <c r="C2597">
        <v>56590</v>
      </c>
      <c r="D2597" s="5">
        <v>5.37</v>
      </c>
      <c r="F2597" s="8">
        <v>93.828788438208761</v>
      </c>
      <c r="G2597" s="8">
        <v>100</v>
      </c>
      <c r="H2597" s="2">
        <f t="shared" si="122"/>
        <v>15262111</v>
      </c>
      <c r="I2597" s="12">
        <f t="shared" si="123"/>
        <v>0.23579166666666668</v>
      </c>
      <c r="J2597" s="12">
        <f t="shared" si="124"/>
        <v>0.20187977513227512</v>
      </c>
    </row>
    <row r="2598" spans="1:10" ht="15" customHeight="1">
      <c r="A2598" s="14">
        <v>45332</v>
      </c>
      <c r="B2598" s="10">
        <v>316</v>
      </c>
      <c r="C2598">
        <v>57979</v>
      </c>
      <c r="D2598" s="5">
        <v>5.36</v>
      </c>
      <c r="F2598" s="8">
        <v>97.419354838709666</v>
      </c>
      <c r="G2598" s="8">
        <v>100</v>
      </c>
      <c r="H2598" s="2">
        <f t="shared" si="122"/>
        <v>15320090</v>
      </c>
      <c r="I2598" s="12">
        <f t="shared" si="123"/>
        <v>0.24157916666666668</v>
      </c>
      <c r="J2598" s="12">
        <f t="shared" si="124"/>
        <v>0.20200540611814347</v>
      </c>
    </row>
    <row r="2599" spans="1:10" ht="15" customHeight="1">
      <c r="A2599" s="14">
        <v>45333</v>
      </c>
      <c r="B2599" s="10">
        <v>317</v>
      </c>
      <c r="C2599">
        <v>57943</v>
      </c>
      <c r="D2599" s="5">
        <v>5.36</v>
      </c>
      <c r="F2599" s="8">
        <v>97.150494381439273</v>
      </c>
      <c r="G2599" s="8">
        <v>100</v>
      </c>
      <c r="H2599" s="2">
        <f t="shared" si="122"/>
        <v>15378033</v>
      </c>
      <c r="I2599" s="12">
        <f t="shared" si="123"/>
        <v>0.24142916666666667</v>
      </c>
      <c r="J2599" s="12">
        <f t="shared" si="124"/>
        <v>0.20212977129337539</v>
      </c>
    </row>
    <row r="2600" spans="1:10" ht="15" customHeight="1">
      <c r="A2600" s="14">
        <v>45334</v>
      </c>
      <c r="B2600" s="10">
        <v>318</v>
      </c>
      <c r="C2600">
        <v>36790</v>
      </c>
      <c r="D2600" s="5">
        <v>3.21</v>
      </c>
      <c r="F2600" s="8">
        <v>98.379837983798382</v>
      </c>
      <c r="G2600" s="8">
        <v>100</v>
      </c>
      <c r="H2600" s="2">
        <f t="shared" si="122"/>
        <v>15414823</v>
      </c>
      <c r="I2600" s="12">
        <f t="shared" si="123"/>
        <v>0.15329166666666666</v>
      </c>
      <c r="J2600" s="12">
        <f t="shared" si="124"/>
        <v>0.2019761923480084</v>
      </c>
    </row>
    <row r="2601" spans="1:10" ht="15" customHeight="1">
      <c r="A2601" s="14">
        <v>45335</v>
      </c>
      <c r="B2601" s="10">
        <v>319</v>
      </c>
      <c r="C2601">
        <v>39816</v>
      </c>
      <c r="D2601" s="5">
        <v>3.98</v>
      </c>
      <c r="F2601" s="8">
        <v>99.370029136152453</v>
      </c>
      <c r="G2601" s="8">
        <v>100</v>
      </c>
      <c r="H2601" s="2">
        <f t="shared" si="122"/>
        <v>15454639</v>
      </c>
      <c r="I2601" s="12">
        <f t="shared" si="123"/>
        <v>0.16589999999999999</v>
      </c>
      <c r="J2601" s="12">
        <f t="shared" si="124"/>
        <v>0.20186310083594566</v>
      </c>
    </row>
    <row r="2602" spans="1:10" ht="15" customHeight="1">
      <c r="A2602" s="14">
        <v>45336</v>
      </c>
      <c r="B2602" s="10">
        <v>320</v>
      </c>
      <c r="C2602">
        <v>54252</v>
      </c>
      <c r="D2602" s="5">
        <v>5</v>
      </c>
      <c r="F2602" s="8">
        <v>96.668482914299062</v>
      </c>
      <c r="G2602" s="8">
        <v>100</v>
      </c>
      <c r="H2602" s="2">
        <f t="shared" si="122"/>
        <v>15508891</v>
      </c>
      <c r="I2602" s="12">
        <f t="shared" si="123"/>
        <v>0.22605</v>
      </c>
      <c r="J2602" s="12">
        <f t="shared" si="124"/>
        <v>0.20193868489583333</v>
      </c>
    </row>
    <row r="2603" spans="1:10" ht="15" customHeight="1">
      <c r="A2603" s="14">
        <v>45337</v>
      </c>
      <c r="B2603" s="10">
        <v>321</v>
      </c>
      <c r="C2603">
        <v>55177</v>
      </c>
      <c r="D2603" s="5">
        <v>5.28</v>
      </c>
      <c r="F2603" s="8">
        <v>97.963677815487443</v>
      </c>
      <c r="G2603" s="8">
        <v>100</v>
      </c>
      <c r="H2603" s="2">
        <f t="shared" si="122"/>
        <v>15564068</v>
      </c>
      <c r="I2603" s="12">
        <f t="shared" si="123"/>
        <v>0.22990416666666666</v>
      </c>
      <c r="J2603" s="12">
        <f t="shared" si="124"/>
        <v>0.20202580477673934</v>
      </c>
    </row>
    <row r="2604" spans="1:10" ht="15" customHeight="1">
      <c r="A2604" s="14">
        <v>45338</v>
      </c>
      <c r="B2604" s="10">
        <v>322</v>
      </c>
      <c r="C2604">
        <v>52774</v>
      </c>
      <c r="D2604" s="5">
        <v>5.0199999999999996</v>
      </c>
      <c r="F2604" s="8">
        <v>97.742077807479689</v>
      </c>
      <c r="G2604" s="8">
        <v>100</v>
      </c>
      <c r="H2604" s="2">
        <f t="shared" ref="H2604:H2648" si="125">C2604+H2603</f>
        <v>15616842</v>
      </c>
      <c r="I2604" s="12">
        <f t="shared" si="123"/>
        <v>0.21989166666666668</v>
      </c>
      <c r="J2604" s="12">
        <f t="shared" si="124"/>
        <v>0.20208128881987578</v>
      </c>
    </row>
    <row r="2605" spans="1:10" ht="15" customHeight="1">
      <c r="A2605" s="14">
        <v>45339</v>
      </c>
      <c r="B2605" s="10">
        <v>323</v>
      </c>
      <c r="C2605">
        <v>55805</v>
      </c>
      <c r="D2605" s="5">
        <v>5.15</v>
      </c>
      <c r="F2605" s="8">
        <v>96.962298578808046</v>
      </c>
      <c r="G2605" s="8">
        <v>100</v>
      </c>
      <c r="H2605" s="2">
        <f t="shared" si="125"/>
        <v>15672647</v>
      </c>
      <c r="I2605" s="12">
        <f t="shared" si="123"/>
        <v>0.23252083333333334</v>
      </c>
      <c r="J2605" s="12">
        <f t="shared" si="124"/>
        <v>0.20217552889576884</v>
      </c>
    </row>
    <row r="2606" spans="1:10" ht="15" customHeight="1">
      <c r="A2606" s="14">
        <v>45340</v>
      </c>
      <c r="B2606" s="10">
        <v>324</v>
      </c>
      <c r="C2606">
        <v>47227</v>
      </c>
      <c r="D2606" s="5">
        <v>4.2699999999999996</v>
      </c>
      <c r="F2606" s="8">
        <v>98.090764451852422</v>
      </c>
      <c r="G2606" s="8">
        <v>100</v>
      </c>
      <c r="H2606" s="2">
        <f t="shared" si="125"/>
        <v>15719874</v>
      </c>
      <c r="I2606" s="12">
        <f t="shared" si="123"/>
        <v>0.19677916666666667</v>
      </c>
      <c r="J2606" s="12">
        <f t="shared" si="124"/>
        <v>0.20215887345679012</v>
      </c>
    </row>
    <row r="2607" spans="1:10" ht="15" customHeight="1">
      <c r="A2607" s="14">
        <v>45341</v>
      </c>
      <c r="B2607" s="10">
        <v>325</v>
      </c>
      <c r="C2607">
        <v>43946</v>
      </c>
      <c r="D2607" s="5">
        <v>4.03</v>
      </c>
      <c r="F2607" s="8">
        <v>97.270786745273412</v>
      </c>
      <c r="G2607" s="8">
        <v>100</v>
      </c>
      <c r="H2607" s="2">
        <f t="shared" si="125"/>
        <v>15763820</v>
      </c>
      <c r="I2607" s="12">
        <f t="shared" si="123"/>
        <v>0.18310833333333335</v>
      </c>
      <c r="J2607" s="12">
        <f t="shared" si="124"/>
        <v>0.20210025641025642</v>
      </c>
    </row>
    <row r="2608" spans="1:10" ht="15" customHeight="1">
      <c r="A2608" s="14">
        <v>45342</v>
      </c>
      <c r="B2608" s="10">
        <v>326</v>
      </c>
      <c r="C2608">
        <v>51415</v>
      </c>
      <c r="D2608" s="5">
        <v>4.84</v>
      </c>
      <c r="F2608" s="8">
        <v>97.667505145209233</v>
      </c>
      <c r="G2608" s="8">
        <v>100</v>
      </c>
      <c r="H2608" s="2">
        <f t="shared" si="125"/>
        <v>15815235</v>
      </c>
      <c r="I2608" s="12">
        <f t="shared" si="123"/>
        <v>0.21422916666666666</v>
      </c>
      <c r="J2608" s="12">
        <f t="shared" si="124"/>
        <v>0.20213746165644172</v>
      </c>
    </row>
    <row r="2609" spans="1:10" ht="15" customHeight="1">
      <c r="A2609" s="14">
        <v>45343</v>
      </c>
      <c r="B2609" s="10">
        <v>327</v>
      </c>
      <c r="C2609">
        <v>52066</v>
      </c>
      <c r="D2609" s="5">
        <v>4.8499999999999996</v>
      </c>
      <c r="F2609" s="8">
        <v>96.545164773019394</v>
      </c>
      <c r="G2609" s="8">
        <v>100</v>
      </c>
      <c r="H2609" s="2">
        <f t="shared" si="125"/>
        <v>15867301</v>
      </c>
      <c r="I2609" s="12">
        <f t="shared" si="123"/>
        <v>0.21694166666666667</v>
      </c>
      <c r="J2609" s="12">
        <f t="shared" si="124"/>
        <v>0.20218273445463814</v>
      </c>
    </row>
    <row r="2610" spans="1:10" ht="15" customHeight="1">
      <c r="A2610" s="14">
        <v>45344</v>
      </c>
      <c r="B2610" s="10">
        <v>328</v>
      </c>
      <c r="C2610">
        <v>43431</v>
      </c>
      <c r="D2610" s="5">
        <v>5.2</v>
      </c>
      <c r="F2610" s="8">
        <v>97.245941995538118</v>
      </c>
      <c r="G2610" s="8">
        <v>88.460650819293789</v>
      </c>
      <c r="H2610" s="2">
        <f t="shared" si="125"/>
        <v>15910732</v>
      </c>
      <c r="I2610" s="12">
        <f t="shared" si="123"/>
        <v>0.1809625</v>
      </c>
      <c r="J2610" s="12">
        <f t="shared" si="124"/>
        <v>0.20211803861788619</v>
      </c>
    </row>
    <row r="2611" spans="1:10" ht="15" customHeight="1">
      <c r="A2611" s="14">
        <v>45345</v>
      </c>
      <c r="B2611" s="10">
        <v>329</v>
      </c>
      <c r="C2611">
        <v>55415</v>
      </c>
      <c r="D2611" s="5">
        <v>5.23</v>
      </c>
      <c r="F2611" s="8">
        <v>96.942268198068007</v>
      </c>
      <c r="G2611" s="8">
        <v>98.630866357343876</v>
      </c>
      <c r="H2611" s="2">
        <f t="shared" si="125"/>
        <v>15966147</v>
      </c>
      <c r="I2611" s="12">
        <f t="shared" si="123"/>
        <v>0.23089583333333333</v>
      </c>
      <c r="J2611" s="12">
        <f t="shared" si="124"/>
        <v>0.20220550911854104</v>
      </c>
    </row>
    <row r="2612" spans="1:10" ht="15" customHeight="1">
      <c r="A2612" s="14">
        <v>45346</v>
      </c>
      <c r="B2612" s="10">
        <v>330</v>
      </c>
      <c r="C2612">
        <v>57133</v>
      </c>
      <c r="D2612" s="5">
        <v>5.3</v>
      </c>
      <c r="F2612" s="8">
        <v>96.859995427177807</v>
      </c>
      <c r="G2612" s="8">
        <v>100</v>
      </c>
      <c r="H2612" s="2">
        <f t="shared" si="125"/>
        <v>16023280</v>
      </c>
      <c r="I2612" s="12">
        <f t="shared" si="123"/>
        <v>0.23805416666666668</v>
      </c>
      <c r="J2612" s="12">
        <f t="shared" si="124"/>
        <v>0.20231414141414142</v>
      </c>
    </row>
    <row r="2613" spans="1:10" ht="15" customHeight="1">
      <c r="A2613" s="14">
        <v>45347</v>
      </c>
      <c r="B2613" s="10">
        <v>331</v>
      </c>
      <c r="C2613">
        <v>51577</v>
      </c>
      <c r="D2613" s="5">
        <v>4.84</v>
      </c>
      <c r="F2613" s="8">
        <v>97.684036393713811</v>
      </c>
      <c r="G2613" s="8">
        <v>100</v>
      </c>
      <c r="H2613" s="2">
        <f t="shared" si="125"/>
        <v>16074857</v>
      </c>
      <c r="I2613" s="12">
        <f t="shared" si="123"/>
        <v>0.21490416666666667</v>
      </c>
      <c r="J2613" s="12">
        <f t="shared" si="124"/>
        <v>0.20235217774420947</v>
      </c>
    </row>
    <row r="2614" spans="1:10" ht="15" customHeight="1">
      <c r="A2614" s="14">
        <v>45348</v>
      </c>
      <c r="B2614" s="10">
        <v>332</v>
      </c>
      <c r="C2614">
        <v>29823</v>
      </c>
      <c r="D2614" s="5">
        <v>3.16</v>
      </c>
      <c r="F2614" s="8">
        <v>99.394168875425976</v>
      </c>
      <c r="G2614" s="8">
        <v>100</v>
      </c>
      <c r="H2614" s="2">
        <f t="shared" si="125"/>
        <v>16104680</v>
      </c>
      <c r="I2614" s="12">
        <f t="shared" si="123"/>
        <v>0.1242625</v>
      </c>
      <c r="J2614" s="12">
        <f t="shared" si="124"/>
        <v>0.20211696787148595</v>
      </c>
    </row>
    <row r="2615" spans="1:10" ht="15" customHeight="1">
      <c r="A2615" s="14">
        <v>45349</v>
      </c>
      <c r="B2615" s="10">
        <v>333</v>
      </c>
      <c r="C2615">
        <v>55113</v>
      </c>
      <c r="D2615" s="5">
        <v>5.16</v>
      </c>
      <c r="F2615" s="8">
        <v>97.465152166763644</v>
      </c>
      <c r="G2615" s="8">
        <v>100</v>
      </c>
      <c r="H2615" s="2">
        <f t="shared" si="125"/>
        <v>16159793</v>
      </c>
      <c r="I2615" s="12">
        <f t="shared" si="123"/>
        <v>0.22963749999999999</v>
      </c>
      <c r="J2615" s="12">
        <f t="shared" si="124"/>
        <v>0.20219961211211213</v>
      </c>
    </row>
    <row r="2616" spans="1:10" ht="15" customHeight="1">
      <c r="A2616" s="14">
        <v>45350</v>
      </c>
      <c r="B2616" s="10">
        <v>334</v>
      </c>
      <c r="C2616">
        <v>57545</v>
      </c>
      <c r="D2616" s="5">
        <v>5.69</v>
      </c>
      <c r="F2616" s="8">
        <v>97.64845959220122</v>
      </c>
      <c r="G2616" s="8">
        <v>100</v>
      </c>
      <c r="H2616" s="2">
        <f t="shared" si="125"/>
        <v>16217338</v>
      </c>
      <c r="I2616" s="12">
        <f t="shared" si="123"/>
        <v>0.23977083333333332</v>
      </c>
      <c r="J2616" s="12">
        <f t="shared" si="124"/>
        <v>0.2023121007984032</v>
      </c>
    </row>
    <row r="2617" spans="1:10" ht="15" customHeight="1">
      <c r="A2617" s="14">
        <v>45351</v>
      </c>
      <c r="B2617" s="10">
        <v>335</v>
      </c>
      <c r="C2617">
        <v>55634</v>
      </c>
      <c r="D2617" s="5">
        <v>5.66</v>
      </c>
      <c r="F2617" s="8">
        <v>96.44322845417237</v>
      </c>
      <c r="G2617" s="8">
        <v>100</v>
      </c>
      <c r="H2617" s="2">
        <f t="shared" si="125"/>
        <v>16272972</v>
      </c>
      <c r="I2617" s="12">
        <f t="shared" si="123"/>
        <v>0.23180833333333334</v>
      </c>
      <c r="J2617" s="12">
        <f t="shared" si="124"/>
        <v>0.20240014925373134</v>
      </c>
    </row>
    <row r="2618" spans="1:10" ht="15" customHeight="1">
      <c r="A2618" s="14">
        <v>45352</v>
      </c>
      <c r="B2618" s="10">
        <v>336</v>
      </c>
      <c r="C2618">
        <v>28893</v>
      </c>
      <c r="D2618" s="5">
        <v>3.15</v>
      </c>
      <c r="F2618" s="8">
        <v>99.302829993802931</v>
      </c>
      <c r="G2618" s="8">
        <v>100</v>
      </c>
      <c r="H2618" s="2">
        <f t="shared" si="125"/>
        <v>16301865</v>
      </c>
      <c r="I2618" s="12">
        <f t="shared" si="123"/>
        <v>0.12038749999999999</v>
      </c>
      <c r="J2618" s="12">
        <f t="shared" si="124"/>
        <v>0.20215606398809524</v>
      </c>
    </row>
    <row r="2619" spans="1:10" ht="15" customHeight="1">
      <c r="A2619" s="14">
        <v>45353</v>
      </c>
      <c r="B2619" s="10">
        <v>337</v>
      </c>
      <c r="C2619">
        <v>45067</v>
      </c>
      <c r="D2619" s="5">
        <v>4.97</v>
      </c>
      <c r="F2619" s="8">
        <v>95.637864125362285</v>
      </c>
      <c r="G2619" s="8">
        <v>100</v>
      </c>
      <c r="H2619" s="2">
        <f t="shared" si="125"/>
        <v>16346932</v>
      </c>
      <c r="I2619" s="12">
        <f t="shared" si="123"/>
        <v>0.18777916666666666</v>
      </c>
      <c r="J2619" s="12">
        <f t="shared" si="124"/>
        <v>0.20211340257171118</v>
      </c>
    </row>
    <row r="2620" spans="1:10" ht="15" customHeight="1">
      <c r="A2620" s="14">
        <v>45354</v>
      </c>
      <c r="B2620" s="10">
        <v>338</v>
      </c>
      <c r="C2620">
        <v>61932</v>
      </c>
      <c r="D2620" s="5">
        <v>6.46</v>
      </c>
      <c r="F2620" s="8">
        <v>94.903770620581298</v>
      </c>
      <c r="G2620" s="8">
        <v>100</v>
      </c>
      <c r="H2620" s="2">
        <f t="shared" si="125"/>
        <v>16408864</v>
      </c>
      <c r="I2620" s="12">
        <f t="shared" si="123"/>
        <v>0.25805</v>
      </c>
      <c r="J2620" s="12">
        <f t="shared" si="124"/>
        <v>0.20227889546351085</v>
      </c>
    </row>
    <row r="2621" spans="1:10" ht="15" customHeight="1">
      <c r="A2621" s="14">
        <v>45355</v>
      </c>
      <c r="B2621" s="10">
        <v>339</v>
      </c>
      <c r="C2621">
        <v>62289</v>
      </c>
      <c r="D2621" s="5">
        <v>6.39</v>
      </c>
      <c r="F2621" s="8">
        <v>94.186738031519482</v>
      </c>
      <c r="G2621" s="8">
        <v>100</v>
      </c>
      <c r="H2621" s="2">
        <f t="shared" si="125"/>
        <v>16471153</v>
      </c>
      <c r="I2621" s="12">
        <f t="shared" si="123"/>
        <v>0.25953749999999998</v>
      </c>
      <c r="J2621" s="12">
        <f t="shared" si="124"/>
        <v>0.20244779990167158</v>
      </c>
    </row>
    <row r="2622" spans="1:10" ht="15" customHeight="1">
      <c r="A2622" s="14">
        <v>45356</v>
      </c>
      <c r="B2622" s="10">
        <v>340</v>
      </c>
      <c r="C2622">
        <v>51298</v>
      </c>
      <c r="D2622" s="5">
        <v>5.6</v>
      </c>
      <c r="F2622" s="8">
        <v>95.384498978536655</v>
      </c>
      <c r="G2622" s="8">
        <v>100</v>
      </c>
      <c r="H2622" s="2">
        <f t="shared" si="125"/>
        <v>16522451</v>
      </c>
      <c r="I2622" s="12">
        <f t="shared" si="123"/>
        <v>0.21374166666666666</v>
      </c>
      <c r="J2622" s="12">
        <f t="shared" si="124"/>
        <v>0.20248101715686276</v>
      </c>
    </row>
    <row r="2623" spans="1:10" ht="15" customHeight="1">
      <c r="A2623" s="14">
        <v>45357</v>
      </c>
      <c r="B2623" s="10">
        <v>341</v>
      </c>
      <c r="C2623">
        <v>47800</v>
      </c>
      <c r="D2623" s="5">
        <v>5.03</v>
      </c>
      <c r="F2623" s="8">
        <v>97.569657542653729</v>
      </c>
      <c r="G2623" s="8">
        <v>100</v>
      </c>
      <c r="H2623" s="2">
        <f t="shared" si="125"/>
        <v>16570251</v>
      </c>
      <c r="I2623" s="12">
        <f t="shared" si="123"/>
        <v>0.19916666666666666</v>
      </c>
      <c r="J2623" s="12">
        <f t="shared" si="124"/>
        <v>0.20247129765395894</v>
      </c>
    </row>
    <row r="2624" spans="1:10" ht="15" customHeight="1">
      <c r="A2624" s="14">
        <v>45358</v>
      </c>
      <c r="B2624" s="10">
        <v>342</v>
      </c>
      <c r="C2624">
        <v>58367</v>
      </c>
      <c r="D2624" s="5">
        <v>6</v>
      </c>
      <c r="F2624" s="8">
        <v>96.96714406065712</v>
      </c>
      <c r="G2624" s="8">
        <v>100</v>
      </c>
      <c r="H2624" s="2">
        <f t="shared" si="125"/>
        <v>16628618</v>
      </c>
      <c r="I2624" s="12">
        <f t="shared" si="123"/>
        <v>0.24319583333333333</v>
      </c>
      <c r="J2624" s="12">
        <f t="shared" si="124"/>
        <v>0.20259037524366472</v>
      </c>
    </row>
    <row r="2625" spans="1:10" ht="15" customHeight="1">
      <c r="A2625" s="14">
        <v>45359</v>
      </c>
      <c r="B2625" s="10">
        <v>343</v>
      </c>
      <c r="C2625">
        <v>61000</v>
      </c>
      <c r="D2625" s="5">
        <v>6.31</v>
      </c>
      <c r="F2625" s="8">
        <v>96.844511071244256</v>
      </c>
      <c r="G2625" s="8">
        <v>100</v>
      </c>
      <c r="H2625" s="2">
        <f t="shared" si="125"/>
        <v>16689618</v>
      </c>
      <c r="I2625" s="12">
        <f t="shared" si="123"/>
        <v>0.25416666666666665</v>
      </c>
      <c r="J2625" s="12">
        <f t="shared" si="124"/>
        <v>0.20274074344023324</v>
      </c>
    </row>
    <row r="2626" spans="1:10" ht="15" customHeight="1">
      <c r="A2626" s="14">
        <v>45360</v>
      </c>
      <c r="B2626" s="10">
        <v>344</v>
      </c>
      <c r="C2626">
        <v>58198</v>
      </c>
      <c r="D2626" s="5">
        <v>5.56</v>
      </c>
      <c r="F2626" s="8">
        <v>98.68767049224644</v>
      </c>
      <c r="G2626" s="8">
        <v>100</v>
      </c>
      <c r="H2626" s="2">
        <f t="shared" si="125"/>
        <v>16747816</v>
      </c>
      <c r="I2626" s="12">
        <f t="shared" si="123"/>
        <v>0.24249166666666666</v>
      </c>
      <c r="J2626" s="12">
        <f t="shared" si="124"/>
        <v>0.20285629844961239</v>
      </c>
    </row>
    <row r="2627" spans="1:10" ht="15" customHeight="1">
      <c r="A2627" s="14">
        <v>45361</v>
      </c>
      <c r="B2627" s="10">
        <v>345</v>
      </c>
      <c r="C2627">
        <v>48227</v>
      </c>
      <c r="D2627" s="5">
        <v>5.14</v>
      </c>
      <c r="F2627" s="8">
        <v>98.068528228264853</v>
      </c>
      <c r="G2627" s="8">
        <v>100</v>
      </c>
      <c r="H2627" s="2">
        <f t="shared" si="125"/>
        <v>16796043</v>
      </c>
      <c r="I2627" s="12">
        <f t="shared" ref="I2627:I2690" si="126">C2627/(10*24*1000)</f>
        <v>0.20094583333333332</v>
      </c>
      <c r="J2627" s="12">
        <f t="shared" si="124"/>
        <v>0.20285076086956522</v>
      </c>
    </row>
    <row r="2628" spans="1:10" ht="15" customHeight="1">
      <c r="A2628" s="14">
        <v>45362</v>
      </c>
      <c r="B2628" s="10">
        <v>346</v>
      </c>
      <c r="C2628">
        <v>58542</v>
      </c>
      <c r="D2628" s="5">
        <v>5.78</v>
      </c>
      <c r="F2628" s="8">
        <v>97.973760932944614</v>
      </c>
      <c r="G2628" s="8">
        <v>100</v>
      </c>
      <c r="H2628" s="2">
        <f t="shared" si="125"/>
        <v>16854585</v>
      </c>
      <c r="I2628" s="12">
        <f t="shared" si="126"/>
        <v>0.243925</v>
      </c>
      <c r="J2628" s="12">
        <f t="shared" ref="J2628:J2691" si="127">H2628/(24*B2628*10*1000)</f>
        <v>0.2029694725433526</v>
      </c>
    </row>
    <row r="2629" spans="1:10" ht="15" customHeight="1">
      <c r="A2629" s="14">
        <v>45363</v>
      </c>
      <c r="B2629" s="10">
        <v>347</v>
      </c>
      <c r="C2629">
        <v>57791</v>
      </c>
      <c r="D2629" s="5">
        <v>6.08</v>
      </c>
      <c r="F2629" s="8">
        <v>97.667638483965007</v>
      </c>
      <c r="G2629" s="8">
        <v>100</v>
      </c>
      <c r="H2629" s="2">
        <f t="shared" si="125"/>
        <v>16912376</v>
      </c>
      <c r="I2629" s="12">
        <f t="shared" si="126"/>
        <v>0.24079583333333332</v>
      </c>
      <c r="J2629" s="12">
        <f t="shared" si="127"/>
        <v>0.20307848222862632</v>
      </c>
    </row>
    <row r="2630" spans="1:10" ht="15" customHeight="1">
      <c r="A2630" s="14">
        <v>45364</v>
      </c>
      <c r="B2630" s="10">
        <v>348</v>
      </c>
      <c r="C2630">
        <v>54299</v>
      </c>
      <c r="D2630" s="5">
        <v>5.81</v>
      </c>
      <c r="F2630" s="8">
        <v>96.342299779013942</v>
      </c>
      <c r="G2630" s="8">
        <v>100</v>
      </c>
      <c r="H2630" s="2">
        <f t="shared" si="125"/>
        <v>16966675</v>
      </c>
      <c r="I2630" s="12">
        <f t="shared" si="126"/>
        <v>0.22624583333333334</v>
      </c>
      <c r="J2630" s="12">
        <f t="shared" si="127"/>
        <v>0.20314505507662836</v>
      </c>
    </row>
    <row r="2631" spans="1:10" ht="15" customHeight="1">
      <c r="A2631" s="14">
        <v>45365</v>
      </c>
      <c r="B2631" s="10">
        <v>349</v>
      </c>
      <c r="C2631">
        <v>59757</v>
      </c>
      <c r="D2631" s="5">
        <v>6.24</v>
      </c>
      <c r="F2631" s="8">
        <v>98.747603213514239</v>
      </c>
      <c r="G2631" s="8">
        <v>100</v>
      </c>
      <c r="H2631" s="2">
        <f t="shared" si="125"/>
        <v>17026432</v>
      </c>
      <c r="I2631" s="12">
        <f t="shared" si="126"/>
        <v>0.2489875</v>
      </c>
      <c r="J2631" s="12">
        <f t="shared" si="127"/>
        <v>0.2032764087870105</v>
      </c>
    </row>
    <row r="2632" spans="1:10" ht="15" customHeight="1">
      <c r="A2632" s="14">
        <v>45366</v>
      </c>
      <c r="B2632" s="10">
        <v>350</v>
      </c>
      <c r="C2632">
        <v>60712</v>
      </c>
      <c r="D2632" s="5">
        <v>6.27</v>
      </c>
      <c r="F2632" s="8">
        <v>97.793057024713917</v>
      </c>
      <c r="G2632" s="8">
        <v>100</v>
      </c>
      <c r="H2632" s="2">
        <f t="shared" si="125"/>
        <v>17087144</v>
      </c>
      <c r="I2632" s="12">
        <f t="shared" si="126"/>
        <v>0.25296666666666667</v>
      </c>
      <c r="J2632" s="12">
        <f t="shared" si="127"/>
        <v>0.20341838095238096</v>
      </c>
    </row>
    <row r="2633" spans="1:10" ht="15" customHeight="1">
      <c r="A2633" s="14">
        <v>45367</v>
      </c>
      <c r="B2633" s="10">
        <v>351</v>
      </c>
      <c r="C2633">
        <v>62782</v>
      </c>
      <c r="D2633" s="5">
        <v>6.77</v>
      </c>
      <c r="F2633" s="8">
        <v>97.5503657440035</v>
      </c>
      <c r="G2633" s="8">
        <v>100</v>
      </c>
      <c r="H2633" s="2">
        <f t="shared" si="125"/>
        <v>17149926</v>
      </c>
      <c r="I2633" s="12">
        <f t="shared" si="126"/>
        <v>0.26159166666666667</v>
      </c>
      <c r="J2633" s="12">
        <f t="shared" si="127"/>
        <v>0.20358411680911681</v>
      </c>
    </row>
    <row r="2634" spans="1:10" ht="15" customHeight="1">
      <c r="A2634" s="14">
        <v>45368</v>
      </c>
      <c r="B2634" s="10">
        <v>352</v>
      </c>
      <c r="C2634">
        <v>54032</v>
      </c>
      <c r="D2634" s="5">
        <v>5.75</v>
      </c>
      <c r="F2634" s="8">
        <v>97.225863342787008</v>
      </c>
      <c r="G2634" s="8">
        <v>100</v>
      </c>
      <c r="H2634" s="2">
        <f t="shared" si="125"/>
        <v>17203958</v>
      </c>
      <c r="I2634" s="12">
        <f t="shared" si="126"/>
        <v>0.22513333333333332</v>
      </c>
      <c r="J2634" s="12">
        <f t="shared" si="127"/>
        <v>0.20364533617424244</v>
      </c>
    </row>
    <row r="2635" spans="1:10" ht="15" customHeight="1">
      <c r="A2635" s="14">
        <v>45369</v>
      </c>
      <c r="B2635" s="10">
        <v>353</v>
      </c>
      <c r="C2635">
        <v>58723</v>
      </c>
      <c r="D2635" s="5">
        <v>6.31</v>
      </c>
      <c r="F2635" s="8">
        <v>95.931916095769481</v>
      </c>
      <c r="G2635" s="8">
        <v>100</v>
      </c>
      <c r="H2635" s="2">
        <f t="shared" si="125"/>
        <v>17262681</v>
      </c>
      <c r="I2635" s="12">
        <f t="shared" si="126"/>
        <v>0.24467916666666667</v>
      </c>
      <c r="J2635" s="12">
        <f t="shared" si="127"/>
        <v>0.20376157932011332</v>
      </c>
    </row>
    <row r="2636" spans="1:10" ht="15" customHeight="1">
      <c r="A2636" s="14">
        <v>45370</v>
      </c>
      <c r="B2636" s="10">
        <v>354</v>
      </c>
      <c r="C2636">
        <v>59572</v>
      </c>
      <c r="D2636" s="5">
        <v>6.22</v>
      </c>
      <c r="F2636" s="8">
        <v>97.944664031620547</v>
      </c>
      <c r="G2636" s="8">
        <v>100</v>
      </c>
      <c r="H2636" s="2">
        <f t="shared" si="125"/>
        <v>17322253</v>
      </c>
      <c r="I2636" s="12">
        <f t="shared" si="126"/>
        <v>0.24821666666666667</v>
      </c>
      <c r="J2636" s="12">
        <f t="shared" si="127"/>
        <v>0.20388715866290019</v>
      </c>
    </row>
    <row r="2637" spans="1:10" ht="15" customHeight="1">
      <c r="A2637" s="14">
        <v>45371</v>
      </c>
      <c r="B2637" s="10">
        <v>355</v>
      </c>
      <c r="C2637">
        <v>58655</v>
      </c>
      <c r="D2637" s="5">
        <v>6.38</v>
      </c>
      <c r="F2637" s="8">
        <v>96.964420180722882</v>
      </c>
      <c r="G2637" s="8">
        <v>100</v>
      </c>
      <c r="H2637" s="2">
        <f t="shared" si="125"/>
        <v>17380908</v>
      </c>
      <c r="I2637" s="12">
        <f t="shared" si="126"/>
        <v>0.24439583333333334</v>
      </c>
      <c r="J2637" s="12">
        <f t="shared" si="127"/>
        <v>0.20400126760563381</v>
      </c>
    </row>
    <row r="2638" spans="1:10" ht="15" customHeight="1">
      <c r="A2638" s="14">
        <v>45372</v>
      </c>
      <c r="B2638" s="10">
        <v>356</v>
      </c>
      <c r="C2638">
        <v>55361</v>
      </c>
      <c r="D2638" s="5">
        <v>6.02</v>
      </c>
      <c r="F2638" s="8">
        <v>96.841131690658571</v>
      </c>
      <c r="G2638" s="8">
        <v>100</v>
      </c>
      <c r="H2638" s="2">
        <f t="shared" si="125"/>
        <v>17436269</v>
      </c>
      <c r="I2638" s="12">
        <f t="shared" si="126"/>
        <v>0.23067083333333332</v>
      </c>
      <c r="J2638" s="12">
        <f t="shared" si="127"/>
        <v>0.20407618211610487</v>
      </c>
    </row>
    <row r="2639" spans="1:10" ht="15" customHeight="1">
      <c r="A2639" s="14">
        <v>45373</v>
      </c>
      <c r="B2639" s="10">
        <v>357</v>
      </c>
      <c r="C2639">
        <v>58669</v>
      </c>
      <c r="D2639" s="5">
        <v>6.65</v>
      </c>
      <c r="F2639" s="8">
        <v>98.594310303609845</v>
      </c>
      <c r="G2639" s="8">
        <v>100</v>
      </c>
      <c r="H2639" s="2">
        <f t="shared" si="125"/>
        <v>17494938</v>
      </c>
      <c r="I2639" s="12">
        <f t="shared" si="126"/>
        <v>0.24445416666666667</v>
      </c>
      <c r="J2639" s="12">
        <f t="shared" si="127"/>
        <v>0.20418928571428571</v>
      </c>
    </row>
    <row r="2640" spans="1:10" ht="15" customHeight="1">
      <c r="A2640" s="14">
        <v>45374</v>
      </c>
      <c r="B2640" s="10">
        <v>358</v>
      </c>
      <c r="C2640">
        <v>53657</v>
      </c>
      <c r="D2640" s="5">
        <v>6.12</v>
      </c>
      <c r="F2640" s="8">
        <v>98.41307662981319</v>
      </c>
      <c r="G2640" s="8">
        <v>100</v>
      </c>
      <c r="H2640" s="2">
        <f t="shared" si="125"/>
        <v>17548595</v>
      </c>
      <c r="I2640" s="12">
        <f t="shared" si="126"/>
        <v>0.22357083333333333</v>
      </c>
      <c r="J2640" s="12">
        <f t="shared" si="127"/>
        <v>0.20424342411545623</v>
      </c>
    </row>
    <row r="2641" spans="1:10" ht="15" customHeight="1">
      <c r="A2641" s="14">
        <v>45375</v>
      </c>
      <c r="B2641" s="10">
        <v>359</v>
      </c>
      <c r="C2641">
        <v>51614</v>
      </c>
      <c r="D2641" s="5">
        <v>5.64</v>
      </c>
      <c r="F2641" s="8">
        <v>98.864147282235734</v>
      </c>
      <c r="G2641" s="8">
        <v>100</v>
      </c>
      <c r="H2641" s="2">
        <f t="shared" si="125"/>
        <v>17600209</v>
      </c>
      <c r="I2641" s="12">
        <f t="shared" si="126"/>
        <v>0.21505833333333332</v>
      </c>
      <c r="J2641" s="12">
        <f t="shared" si="127"/>
        <v>0.20427354921077065</v>
      </c>
    </row>
    <row r="2642" spans="1:10" ht="15" customHeight="1">
      <c r="A2642" s="14">
        <v>45376</v>
      </c>
      <c r="B2642" s="10">
        <v>360</v>
      </c>
      <c r="C2642">
        <v>50255</v>
      </c>
      <c r="D2642" s="5">
        <v>5.84</v>
      </c>
      <c r="F2642" s="8">
        <v>98.835469086147228</v>
      </c>
      <c r="G2642" s="8">
        <v>100</v>
      </c>
      <c r="H2642" s="2">
        <f t="shared" si="125"/>
        <v>17650464</v>
      </c>
      <c r="I2642" s="12">
        <f t="shared" si="126"/>
        <v>0.20939583333333334</v>
      </c>
      <c r="J2642" s="12">
        <f t="shared" si="127"/>
        <v>0.20428777777777779</v>
      </c>
    </row>
    <row r="2643" spans="1:10" ht="15" customHeight="1">
      <c r="A2643" s="14">
        <v>45377</v>
      </c>
      <c r="B2643" s="10">
        <v>361</v>
      </c>
      <c r="C2643">
        <v>52113</v>
      </c>
      <c r="D2643" s="5">
        <v>5.98</v>
      </c>
      <c r="F2643" s="8">
        <v>98.249857712009103</v>
      </c>
      <c r="G2643" s="8">
        <v>100</v>
      </c>
      <c r="H2643" s="2">
        <f t="shared" si="125"/>
        <v>17702577</v>
      </c>
      <c r="I2643" s="12">
        <f t="shared" si="126"/>
        <v>0.21713750000000001</v>
      </c>
      <c r="J2643" s="12">
        <f t="shared" si="127"/>
        <v>0.20432337257617728</v>
      </c>
    </row>
    <row r="2644" spans="1:10" ht="15" customHeight="1">
      <c r="A2644" s="14">
        <v>45378</v>
      </c>
      <c r="B2644" s="10">
        <v>362</v>
      </c>
      <c r="C2644">
        <v>55447</v>
      </c>
      <c r="D2644" s="5">
        <v>6.41</v>
      </c>
      <c r="F2644" s="8">
        <v>99.176097353094377</v>
      </c>
      <c r="G2644" s="8">
        <v>100</v>
      </c>
      <c r="H2644" s="2">
        <f t="shared" si="125"/>
        <v>17758024</v>
      </c>
      <c r="I2644" s="12">
        <f t="shared" si="126"/>
        <v>0.23102916666666667</v>
      </c>
      <c r="J2644" s="12">
        <f t="shared" si="127"/>
        <v>0.20439714548802945</v>
      </c>
    </row>
    <row r="2645" spans="1:10" ht="15" customHeight="1">
      <c r="A2645" s="14">
        <v>45379</v>
      </c>
      <c r="B2645" s="10">
        <v>363</v>
      </c>
      <c r="C2645">
        <v>55013</v>
      </c>
      <c r="D2645" s="5">
        <v>6.26</v>
      </c>
      <c r="F2645" s="8">
        <v>99.246731097214322</v>
      </c>
      <c r="G2645" s="8">
        <v>100</v>
      </c>
      <c r="H2645" s="2">
        <f t="shared" si="125"/>
        <v>17813037</v>
      </c>
      <c r="I2645" s="12">
        <f t="shared" si="126"/>
        <v>0.22922083333333335</v>
      </c>
      <c r="J2645" s="12">
        <f t="shared" si="127"/>
        <v>0.2044655303030303</v>
      </c>
    </row>
    <row r="2646" spans="1:10" ht="15" customHeight="1">
      <c r="A2646" s="14">
        <v>45380</v>
      </c>
      <c r="B2646" s="10">
        <v>364</v>
      </c>
      <c r="C2646">
        <v>53519</v>
      </c>
      <c r="D2646" s="5">
        <v>6.26</v>
      </c>
      <c r="F2646" s="8">
        <v>99.155682724330404</v>
      </c>
      <c r="G2646" s="8">
        <v>100</v>
      </c>
      <c r="H2646" s="2">
        <f t="shared" si="125"/>
        <v>17866556</v>
      </c>
      <c r="I2646" s="12">
        <f t="shared" si="126"/>
        <v>0.22299583333333334</v>
      </c>
      <c r="J2646" s="12">
        <f t="shared" si="127"/>
        <v>0.20451643772893774</v>
      </c>
    </row>
    <row r="2647" spans="1:10" ht="15" customHeight="1">
      <c r="A2647" s="14">
        <v>45381</v>
      </c>
      <c r="B2647" s="10">
        <v>365</v>
      </c>
      <c r="C2647">
        <v>63939</v>
      </c>
      <c r="D2647" s="5">
        <v>7.26</v>
      </c>
      <c r="F2647" s="8">
        <v>98.465580173435939</v>
      </c>
      <c r="G2647" s="8">
        <v>100</v>
      </c>
      <c r="H2647" s="2">
        <f t="shared" si="125"/>
        <v>17930495</v>
      </c>
      <c r="I2647" s="12">
        <f t="shared" si="126"/>
        <v>0.2664125</v>
      </c>
      <c r="J2647" s="12">
        <f t="shared" si="127"/>
        <v>0.20468601598173516</v>
      </c>
    </row>
    <row r="2648" spans="1:10" ht="15" customHeight="1">
      <c r="A2648" s="14">
        <v>45382</v>
      </c>
      <c r="B2648" s="10">
        <v>366</v>
      </c>
      <c r="C2648">
        <v>57187</v>
      </c>
      <c r="D2648" s="5">
        <v>6.55</v>
      </c>
      <c r="F2648" s="8">
        <v>99.026741437641931</v>
      </c>
      <c r="G2648" s="8">
        <v>100</v>
      </c>
      <c r="H2648" s="2">
        <f t="shared" si="125"/>
        <v>17987682</v>
      </c>
      <c r="I2648" s="12">
        <f t="shared" si="126"/>
        <v>0.23827916666666665</v>
      </c>
      <c r="J2648" s="12">
        <f t="shared" si="127"/>
        <v>0.20477780054644809</v>
      </c>
    </row>
    <row r="2649" spans="1:10" ht="15" customHeight="1">
      <c r="A2649" s="14">
        <v>45383</v>
      </c>
      <c r="B2649" s="10">
        <v>1</v>
      </c>
      <c r="C2649" s="4">
        <v>56681</v>
      </c>
      <c r="D2649" s="3">
        <v>6.43</v>
      </c>
      <c r="E2649" s="3"/>
      <c r="F2649" s="9">
        <v>99.263925260103335</v>
      </c>
      <c r="G2649" s="9">
        <v>100</v>
      </c>
      <c r="H2649" s="2">
        <f>C2649</f>
        <v>56681</v>
      </c>
      <c r="I2649" s="12">
        <f t="shared" si="126"/>
        <v>0.23617083333333333</v>
      </c>
      <c r="J2649" s="12">
        <f t="shared" si="127"/>
        <v>0.23617083333333333</v>
      </c>
    </row>
    <row r="2650" spans="1:10" ht="15" customHeight="1">
      <c r="A2650" s="14">
        <v>45384</v>
      </c>
      <c r="B2650" s="10">
        <v>2</v>
      </c>
      <c r="C2650" s="4">
        <v>54088</v>
      </c>
      <c r="D2650" s="3">
        <v>6.12</v>
      </c>
      <c r="E2650" s="3"/>
      <c r="F2650" s="9">
        <v>99.417834153729643</v>
      </c>
      <c r="G2650" s="9">
        <v>100</v>
      </c>
      <c r="H2650" s="2">
        <f t="shared" ref="H2650:H2713" si="128">C2650+H2649</f>
        <v>110769</v>
      </c>
      <c r="I2650" s="12">
        <f t="shared" si="126"/>
        <v>0.22536666666666666</v>
      </c>
      <c r="J2650" s="12">
        <f t="shared" si="127"/>
        <v>0.23076874999999999</v>
      </c>
    </row>
    <row r="2651" spans="1:10" ht="15" customHeight="1">
      <c r="A2651" s="14">
        <v>45385</v>
      </c>
      <c r="B2651" s="10">
        <v>3</v>
      </c>
      <c r="C2651" s="4">
        <v>50921</v>
      </c>
      <c r="D2651" s="3">
        <v>5.62</v>
      </c>
      <c r="E2651" s="3"/>
      <c r="F2651" s="9">
        <v>99.703989099281117</v>
      </c>
      <c r="G2651" s="9">
        <v>100</v>
      </c>
      <c r="H2651" s="2">
        <f t="shared" si="128"/>
        <v>161690</v>
      </c>
      <c r="I2651" s="12">
        <f t="shared" si="126"/>
        <v>0.21217083333333334</v>
      </c>
      <c r="J2651" s="12">
        <f t="shared" si="127"/>
        <v>0.22456944444444443</v>
      </c>
    </row>
    <row r="2652" spans="1:10" ht="15" customHeight="1">
      <c r="A2652" s="14">
        <v>45386</v>
      </c>
      <c r="B2652" s="10">
        <v>4</v>
      </c>
      <c r="C2652" s="4">
        <v>55625</v>
      </c>
      <c r="D2652" s="3">
        <v>6.41</v>
      </c>
      <c r="E2652" s="3"/>
      <c r="F2652" s="9">
        <v>99.367829548115196</v>
      </c>
      <c r="G2652" s="9">
        <v>100</v>
      </c>
      <c r="H2652" s="2">
        <f t="shared" si="128"/>
        <v>217315</v>
      </c>
      <c r="I2652" s="12">
        <f t="shared" si="126"/>
        <v>0.23177083333333334</v>
      </c>
      <c r="J2652" s="12">
        <f t="shared" si="127"/>
        <v>0.22636979166666665</v>
      </c>
    </row>
    <row r="2653" spans="1:10" ht="15" customHeight="1">
      <c r="A2653" s="14">
        <v>45387</v>
      </c>
      <c r="B2653" s="10">
        <v>5</v>
      </c>
      <c r="C2653" s="4">
        <v>31440</v>
      </c>
      <c r="D2653" s="3">
        <v>3.42</v>
      </c>
      <c r="E2653" s="3"/>
      <c r="F2653" s="9">
        <v>100</v>
      </c>
      <c r="G2653" s="9">
        <v>100</v>
      </c>
      <c r="H2653" s="2">
        <f t="shared" si="128"/>
        <v>248755</v>
      </c>
      <c r="I2653" s="12">
        <f t="shared" si="126"/>
        <v>0.13100000000000001</v>
      </c>
      <c r="J2653" s="12">
        <f t="shared" si="127"/>
        <v>0.20729583333333335</v>
      </c>
    </row>
    <row r="2654" spans="1:10" ht="15" customHeight="1">
      <c r="A2654" s="14">
        <v>45388</v>
      </c>
      <c r="B2654" s="10">
        <v>6</v>
      </c>
      <c r="C2654" s="4">
        <v>58417</v>
      </c>
      <c r="D2654" s="3">
        <v>6.82</v>
      </c>
      <c r="E2654" s="3"/>
      <c r="F2654" s="9">
        <v>100</v>
      </c>
      <c r="G2654" s="9">
        <v>100</v>
      </c>
      <c r="H2654" s="2">
        <f t="shared" si="128"/>
        <v>307172</v>
      </c>
      <c r="I2654" s="12">
        <f t="shared" si="126"/>
        <v>0.24340416666666667</v>
      </c>
      <c r="J2654" s="12">
        <f t="shared" si="127"/>
        <v>0.21331388888888889</v>
      </c>
    </row>
    <row r="2655" spans="1:10" ht="15" customHeight="1">
      <c r="A2655" s="14">
        <v>45389</v>
      </c>
      <c r="B2655" s="10">
        <v>7</v>
      </c>
      <c r="C2655" s="4">
        <v>55906</v>
      </c>
      <c r="D2655" s="3">
        <v>6.63</v>
      </c>
      <c r="E2655" s="3"/>
      <c r="F2655" s="9">
        <v>100</v>
      </c>
      <c r="G2655" s="9">
        <v>100</v>
      </c>
      <c r="H2655" s="2">
        <f t="shared" si="128"/>
        <v>363078</v>
      </c>
      <c r="I2655" s="12">
        <f t="shared" si="126"/>
        <v>0.23294166666666666</v>
      </c>
      <c r="J2655" s="12">
        <f t="shared" si="127"/>
        <v>0.21611785714285714</v>
      </c>
    </row>
    <row r="2656" spans="1:10" ht="15" customHeight="1">
      <c r="A2656" s="14">
        <v>45390</v>
      </c>
      <c r="B2656" s="10">
        <v>8</v>
      </c>
      <c r="C2656" s="4">
        <v>60076</v>
      </c>
      <c r="D2656" s="3">
        <v>7.22</v>
      </c>
      <c r="E2656" s="3"/>
      <c r="F2656" s="9">
        <v>99.006394038364235</v>
      </c>
      <c r="G2656" s="9">
        <v>98.61999171995032</v>
      </c>
      <c r="H2656" s="2">
        <f t="shared" si="128"/>
        <v>423154</v>
      </c>
      <c r="I2656" s="12">
        <f t="shared" si="126"/>
        <v>0.25031666666666669</v>
      </c>
      <c r="J2656" s="12">
        <f t="shared" si="127"/>
        <v>0.22039270833333333</v>
      </c>
    </row>
    <row r="2657" spans="1:10" ht="15" customHeight="1">
      <c r="A2657" s="14">
        <v>45391</v>
      </c>
      <c r="B2657" s="10">
        <v>9</v>
      </c>
      <c r="C2657" s="4">
        <v>43364</v>
      </c>
      <c r="D2657" s="3">
        <v>5.28</v>
      </c>
      <c r="E2657" s="3"/>
      <c r="F2657" s="9">
        <v>99.309265058021737</v>
      </c>
      <c r="G2657" s="9">
        <v>100</v>
      </c>
      <c r="H2657" s="2">
        <f t="shared" si="128"/>
        <v>466518</v>
      </c>
      <c r="I2657" s="12">
        <f t="shared" si="126"/>
        <v>0.18068333333333333</v>
      </c>
      <c r="J2657" s="12">
        <f t="shared" si="127"/>
        <v>0.21598055555555556</v>
      </c>
    </row>
    <row r="2658" spans="1:10" ht="15" customHeight="1">
      <c r="A2658" s="14">
        <v>45392</v>
      </c>
      <c r="B2658" s="10">
        <v>10</v>
      </c>
      <c r="C2658" s="4">
        <v>47117</v>
      </c>
      <c r="D2658" s="3">
        <v>5.78</v>
      </c>
      <c r="E2658" s="3"/>
      <c r="F2658" s="9">
        <v>98.937402084326678</v>
      </c>
      <c r="G2658" s="9">
        <v>100</v>
      </c>
      <c r="H2658" s="2">
        <f t="shared" si="128"/>
        <v>513635</v>
      </c>
      <c r="I2658" s="12">
        <f t="shared" si="126"/>
        <v>0.19632083333333333</v>
      </c>
      <c r="J2658" s="12">
        <f t="shared" si="127"/>
        <v>0.21401458333333334</v>
      </c>
    </row>
    <row r="2659" spans="1:10" ht="15" customHeight="1">
      <c r="A2659" s="14">
        <v>45393</v>
      </c>
      <c r="B2659" s="10">
        <v>11</v>
      </c>
      <c r="C2659" s="4">
        <v>53087</v>
      </c>
      <c r="D2659" s="3">
        <v>6.56</v>
      </c>
      <c r="E2659" s="3"/>
      <c r="F2659" s="9">
        <v>99.054288351984866</v>
      </c>
      <c r="G2659" s="9">
        <v>100</v>
      </c>
      <c r="H2659" s="2">
        <f t="shared" si="128"/>
        <v>566722</v>
      </c>
      <c r="I2659" s="12">
        <f t="shared" si="126"/>
        <v>0.22119583333333334</v>
      </c>
      <c r="J2659" s="12">
        <f t="shared" si="127"/>
        <v>0.21466742424242424</v>
      </c>
    </row>
    <row r="2660" spans="1:10" ht="15" customHeight="1">
      <c r="A2660" s="14">
        <v>45394</v>
      </c>
      <c r="B2660" s="10">
        <v>12</v>
      </c>
      <c r="C2660" s="4">
        <v>43780</v>
      </c>
      <c r="D2660" s="3">
        <v>5.42</v>
      </c>
      <c r="E2660" s="3"/>
      <c r="F2660" s="9">
        <v>98.970868951780233</v>
      </c>
      <c r="G2660" s="9">
        <v>100</v>
      </c>
      <c r="H2660" s="2">
        <f t="shared" si="128"/>
        <v>610502</v>
      </c>
      <c r="I2660" s="12">
        <f t="shared" si="126"/>
        <v>0.18241666666666667</v>
      </c>
      <c r="J2660" s="12">
        <f t="shared" si="127"/>
        <v>0.21197986111111111</v>
      </c>
    </row>
    <row r="2661" spans="1:10" ht="15" customHeight="1">
      <c r="A2661" s="14">
        <v>45395</v>
      </c>
      <c r="B2661" s="10">
        <v>13</v>
      </c>
      <c r="C2661" s="4">
        <v>45017</v>
      </c>
      <c r="D2661" s="3">
        <v>5.05</v>
      </c>
      <c r="E2661" s="3"/>
      <c r="F2661" s="9">
        <v>99.336512544059715</v>
      </c>
      <c r="G2661" s="9">
        <v>100</v>
      </c>
      <c r="H2661" s="2">
        <f t="shared" si="128"/>
        <v>655519</v>
      </c>
      <c r="I2661" s="12">
        <f t="shared" si="126"/>
        <v>0.18757083333333333</v>
      </c>
      <c r="J2661" s="12">
        <f t="shared" si="127"/>
        <v>0.21010224358974358</v>
      </c>
    </row>
    <row r="2662" spans="1:10" ht="15" customHeight="1">
      <c r="A2662" s="14">
        <v>45396</v>
      </c>
      <c r="B2662" s="10">
        <v>14</v>
      </c>
      <c r="C2662" s="4">
        <v>47209</v>
      </c>
      <c r="D2662" s="3">
        <v>5.64</v>
      </c>
      <c r="E2662" s="3"/>
      <c r="F2662" s="9">
        <v>99.155456076793499</v>
      </c>
      <c r="G2662" s="9">
        <v>100</v>
      </c>
      <c r="H2662" s="2">
        <f t="shared" si="128"/>
        <v>702728</v>
      </c>
      <c r="I2662" s="12">
        <f t="shared" si="126"/>
        <v>0.19670416666666668</v>
      </c>
      <c r="J2662" s="12">
        <f t="shared" si="127"/>
        <v>0.20914523809523811</v>
      </c>
    </row>
    <row r="2663" spans="1:10" ht="15" customHeight="1">
      <c r="A2663" s="14">
        <v>45397</v>
      </c>
      <c r="B2663" s="10">
        <v>15</v>
      </c>
      <c r="C2663" s="4">
        <v>47719</v>
      </c>
      <c r="D2663" s="3">
        <v>5.43</v>
      </c>
      <c r="E2663" s="3"/>
      <c r="F2663" s="9">
        <v>99.178607283015424</v>
      </c>
      <c r="G2663" s="9">
        <v>100</v>
      </c>
      <c r="H2663" s="2">
        <f t="shared" si="128"/>
        <v>750447</v>
      </c>
      <c r="I2663" s="12">
        <f t="shared" si="126"/>
        <v>0.19882916666666667</v>
      </c>
      <c r="J2663" s="12">
        <f t="shared" si="127"/>
        <v>0.20845749999999999</v>
      </c>
    </row>
    <row r="2664" spans="1:10" ht="15" customHeight="1">
      <c r="A2664" s="14">
        <v>45398</v>
      </c>
      <c r="B2664" s="10">
        <v>16</v>
      </c>
      <c r="C2664" s="4">
        <v>60305</v>
      </c>
      <c r="D2664" s="3">
        <v>7.23</v>
      </c>
      <c r="E2664" s="3"/>
      <c r="F2664" s="9">
        <v>98.815228966986155</v>
      </c>
      <c r="G2664" s="9">
        <v>100</v>
      </c>
      <c r="H2664" s="2">
        <f t="shared" si="128"/>
        <v>810752</v>
      </c>
      <c r="I2664" s="12">
        <f t="shared" si="126"/>
        <v>0.25127083333333333</v>
      </c>
      <c r="J2664" s="12">
        <f t="shared" si="127"/>
        <v>0.21113333333333334</v>
      </c>
    </row>
    <row r="2665" spans="1:10" ht="15" customHeight="1">
      <c r="A2665" s="14">
        <v>45399</v>
      </c>
      <c r="B2665" s="10">
        <v>17</v>
      </c>
      <c r="C2665" s="4">
        <v>48496</v>
      </c>
      <c r="D2665" s="3">
        <v>6</v>
      </c>
      <c r="E2665" s="3"/>
      <c r="F2665" s="9">
        <v>99.338361783776634</v>
      </c>
      <c r="G2665" s="9">
        <v>100</v>
      </c>
      <c r="H2665" s="2">
        <f t="shared" si="128"/>
        <v>859248</v>
      </c>
      <c r="I2665" s="12">
        <f t="shared" si="126"/>
        <v>0.20206666666666667</v>
      </c>
      <c r="J2665" s="12">
        <f t="shared" si="127"/>
        <v>0.21060000000000001</v>
      </c>
    </row>
    <row r="2666" spans="1:10" ht="15" customHeight="1">
      <c r="A2666" s="14">
        <v>45400</v>
      </c>
      <c r="B2666" s="10">
        <v>18</v>
      </c>
      <c r="C2666" s="4">
        <v>37862</v>
      </c>
      <c r="D2666" s="3">
        <v>4.59</v>
      </c>
      <c r="E2666" s="3"/>
      <c r="F2666" s="9">
        <v>99.608240459304284</v>
      </c>
      <c r="G2666" s="9">
        <v>100</v>
      </c>
      <c r="H2666" s="2">
        <f t="shared" si="128"/>
        <v>897110</v>
      </c>
      <c r="I2666" s="12">
        <f t="shared" si="126"/>
        <v>0.15775833333333333</v>
      </c>
      <c r="J2666" s="12">
        <f t="shared" si="127"/>
        <v>0.20766435185185186</v>
      </c>
    </row>
    <row r="2667" spans="1:10" ht="15" customHeight="1">
      <c r="A2667" s="14">
        <v>45401</v>
      </c>
      <c r="B2667" s="10">
        <v>19</v>
      </c>
      <c r="C2667" s="4">
        <v>62373</v>
      </c>
      <c r="D2667" s="3">
        <v>7.46</v>
      </c>
      <c r="E2667" s="3"/>
      <c r="F2667" s="9">
        <v>98.882111567040027</v>
      </c>
      <c r="G2667" s="9">
        <v>100</v>
      </c>
      <c r="H2667" s="2">
        <f t="shared" si="128"/>
        <v>959483</v>
      </c>
      <c r="I2667" s="12">
        <f t="shared" si="126"/>
        <v>0.25988749999999999</v>
      </c>
      <c r="J2667" s="12">
        <f t="shared" si="127"/>
        <v>0.21041293859649124</v>
      </c>
    </row>
    <row r="2668" spans="1:10" ht="15" customHeight="1">
      <c r="A2668" s="14">
        <v>45402</v>
      </c>
      <c r="B2668" s="10">
        <v>20</v>
      </c>
      <c r="C2668" s="4">
        <v>50081</v>
      </c>
      <c r="D2668" s="3">
        <v>6.36</v>
      </c>
      <c r="E2668" s="3"/>
      <c r="F2668" s="9">
        <v>98.377731483533523</v>
      </c>
      <c r="G2668" s="9">
        <v>100</v>
      </c>
      <c r="H2668" s="2">
        <f t="shared" si="128"/>
        <v>1009564</v>
      </c>
      <c r="I2668" s="12">
        <f t="shared" si="126"/>
        <v>0.20867083333333333</v>
      </c>
      <c r="J2668" s="12">
        <f t="shared" si="127"/>
        <v>0.21032583333333332</v>
      </c>
    </row>
    <row r="2669" spans="1:10" ht="15" customHeight="1">
      <c r="A2669" s="14">
        <v>45403</v>
      </c>
      <c r="B2669" s="10">
        <v>21</v>
      </c>
      <c r="C2669" s="4">
        <v>46851</v>
      </c>
      <c r="D2669" s="3">
        <v>5.91</v>
      </c>
      <c r="E2669" s="3"/>
      <c r="F2669" s="9">
        <v>99.006841756786585</v>
      </c>
      <c r="G2669" s="9">
        <v>100</v>
      </c>
      <c r="H2669" s="2">
        <f t="shared" si="128"/>
        <v>1056415</v>
      </c>
      <c r="I2669" s="12">
        <f t="shared" si="126"/>
        <v>0.19521250000000001</v>
      </c>
      <c r="J2669" s="12">
        <f t="shared" si="127"/>
        <v>0.2096061507936508</v>
      </c>
    </row>
    <row r="2670" spans="1:10" ht="15" customHeight="1">
      <c r="A2670" s="14">
        <v>45404</v>
      </c>
      <c r="B2670" s="10">
        <v>22</v>
      </c>
      <c r="C2670" s="4">
        <v>60152</v>
      </c>
      <c r="D2670" s="3">
        <v>7.47</v>
      </c>
      <c r="E2670" s="3"/>
      <c r="F2670" s="9">
        <v>98.76717776501259</v>
      </c>
      <c r="G2670" s="9">
        <v>100</v>
      </c>
      <c r="H2670" s="2">
        <f t="shared" si="128"/>
        <v>1116567</v>
      </c>
      <c r="I2670" s="12">
        <f t="shared" si="126"/>
        <v>0.25063333333333332</v>
      </c>
      <c r="J2670" s="12">
        <f t="shared" si="127"/>
        <v>0.21147102272727272</v>
      </c>
    </row>
    <row r="2671" spans="1:10" ht="15" customHeight="1">
      <c r="A2671" s="14">
        <v>45405</v>
      </c>
      <c r="B2671" s="10">
        <v>23</v>
      </c>
      <c r="C2671" s="4">
        <v>57828</v>
      </c>
      <c r="D2671" s="3">
        <v>7.26</v>
      </c>
      <c r="E2671" s="3"/>
      <c r="F2671" s="9">
        <v>98.945309925073062</v>
      </c>
      <c r="G2671" s="9">
        <v>100</v>
      </c>
      <c r="H2671" s="2">
        <f t="shared" si="128"/>
        <v>1174395</v>
      </c>
      <c r="I2671" s="12">
        <f t="shared" si="126"/>
        <v>0.24095</v>
      </c>
      <c r="J2671" s="12">
        <f t="shared" si="127"/>
        <v>0.21275271739130436</v>
      </c>
    </row>
    <row r="2672" spans="1:10" ht="15" customHeight="1">
      <c r="A2672" s="14">
        <v>45406</v>
      </c>
      <c r="B2672" s="10">
        <v>24</v>
      </c>
      <c r="C2672" s="4">
        <v>55238</v>
      </c>
      <c r="D2672" s="3">
        <v>7.16</v>
      </c>
      <c r="E2672" s="3"/>
      <c r="F2672" s="9">
        <v>99.04367653244195</v>
      </c>
      <c r="G2672" s="9">
        <v>100</v>
      </c>
      <c r="H2672" s="2">
        <f t="shared" si="128"/>
        <v>1229633</v>
      </c>
      <c r="I2672" s="12">
        <f t="shared" si="126"/>
        <v>0.23015833333333333</v>
      </c>
      <c r="J2672" s="12">
        <f t="shared" si="127"/>
        <v>0.21347795138888889</v>
      </c>
    </row>
    <row r="2673" spans="1:10" ht="15" customHeight="1">
      <c r="A2673" s="14">
        <v>45407</v>
      </c>
      <c r="B2673" s="10">
        <v>25</v>
      </c>
      <c r="C2673" s="4">
        <v>54508</v>
      </c>
      <c r="D2673" s="3">
        <v>6.94</v>
      </c>
      <c r="E2673" s="3"/>
      <c r="F2673" s="9">
        <v>99.006951340615686</v>
      </c>
      <c r="G2673" s="9">
        <v>100</v>
      </c>
      <c r="H2673" s="2">
        <f t="shared" si="128"/>
        <v>1284141</v>
      </c>
      <c r="I2673" s="12">
        <f t="shared" si="126"/>
        <v>0.22711666666666666</v>
      </c>
      <c r="J2673" s="12">
        <f t="shared" si="127"/>
        <v>0.21402350000000001</v>
      </c>
    </row>
    <row r="2674" spans="1:10" ht="15" customHeight="1">
      <c r="A2674" s="14">
        <v>45408</v>
      </c>
      <c r="B2674" s="10">
        <v>26</v>
      </c>
      <c r="C2674" s="4">
        <v>59324</v>
      </c>
      <c r="D2674" s="3">
        <v>7.4</v>
      </c>
      <c r="E2674" s="3"/>
      <c r="F2674" s="9">
        <v>98.765459412818871</v>
      </c>
      <c r="G2674" s="9">
        <v>100</v>
      </c>
      <c r="H2674" s="2">
        <f t="shared" si="128"/>
        <v>1343465</v>
      </c>
      <c r="I2674" s="12">
        <f t="shared" si="126"/>
        <v>0.24718333333333334</v>
      </c>
      <c r="J2674" s="12">
        <f t="shared" si="127"/>
        <v>0.21529887820512819</v>
      </c>
    </row>
    <row r="2675" spans="1:10" ht="15" customHeight="1">
      <c r="A2675" s="14">
        <v>45409</v>
      </c>
      <c r="B2675" s="10">
        <v>27</v>
      </c>
      <c r="C2675" s="4">
        <v>54640</v>
      </c>
      <c r="D2675" s="3">
        <v>6.64</v>
      </c>
      <c r="E2675" s="3"/>
      <c r="F2675" s="9">
        <v>99.295618659460416</v>
      </c>
      <c r="G2675" s="9">
        <v>100</v>
      </c>
      <c r="H2675" s="2">
        <f t="shared" si="128"/>
        <v>1398105</v>
      </c>
      <c r="I2675" s="12">
        <f t="shared" si="126"/>
        <v>0.22766666666666666</v>
      </c>
      <c r="J2675" s="12">
        <f t="shared" si="127"/>
        <v>0.21575694444444443</v>
      </c>
    </row>
    <row r="2676" spans="1:10" ht="15" customHeight="1">
      <c r="A2676" s="14">
        <v>45410</v>
      </c>
      <c r="B2676" s="10">
        <v>28</v>
      </c>
      <c r="C2676" s="4">
        <v>51660</v>
      </c>
      <c r="D2676" s="3">
        <v>6.38</v>
      </c>
      <c r="E2676" s="3"/>
      <c r="F2676" s="9">
        <v>99.056836810311921</v>
      </c>
      <c r="G2676" s="9">
        <v>100</v>
      </c>
      <c r="H2676" s="2">
        <f t="shared" si="128"/>
        <v>1449765</v>
      </c>
      <c r="I2676" s="12">
        <f t="shared" si="126"/>
        <v>0.21525</v>
      </c>
      <c r="J2676" s="12">
        <f t="shared" si="127"/>
        <v>0.21573883928571427</v>
      </c>
    </row>
    <row r="2677" spans="1:10" ht="15" customHeight="1">
      <c r="A2677" s="14">
        <v>45411</v>
      </c>
      <c r="B2677" s="10">
        <v>29</v>
      </c>
      <c r="C2677" s="4">
        <v>58128</v>
      </c>
      <c r="D2677" s="3">
        <v>7.19</v>
      </c>
      <c r="E2677" s="3"/>
      <c r="F2677" s="9">
        <v>98.968026460859988</v>
      </c>
      <c r="G2677" s="9">
        <v>100</v>
      </c>
      <c r="H2677" s="2">
        <f t="shared" si="128"/>
        <v>1507893</v>
      </c>
      <c r="I2677" s="12">
        <f t="shared" si="126"/>
        <v>0.2422</v>
      </c>
      <c r="J2677" s="12">
        <f t="shared" si="127"/>
        <v>0.21665129310344827</v>
      </c>
    </row>
    <row r="2678" spans="1:10" ht="15" customHeight="1">
      <c r="A2678" s="14">
        <v>45412</v>
      </c>
      <c r="B2678" s="10">
        <v>30</v>
      </c>
      <c r="C2678" s="4">
        <v>61113</v>
      </c>
      <c r="D2678" s="3">
        <v>7.46</v>
      </c>
      <c r="E2678" s="3"/>
      <c r="F2678" s="9">
        <v>98.7145083102493</v>
      </c>
      <c r="G2678" s="9">
        <v>100</v>
      </c>
      <c r="H2678" s="2">
        <f t="shared" si="128"/>
        <v>1569006</v>
      </c>
      <c r="I2678" s="12">
        <f t="shared" si="126"/>
        <v>0.25463750000000002</v>
      </c>
      <c r="J2678" s="12">
        <f t="shared" si="127"/>
        <v>0.21791749999999999</v>
      </c>
    </row>
    <row r="2679" spans="1:10" ht="15" customHeight="1">
      <c r="A2679" s="14">
        <v>45413</v>
      </c>
      <c r="B2679" s="10">
        <v>31</v>
      </c>
      <c r="C2679" s="4">
        <v>59317</v>
      </c>
      <c r="D2679" s="3">
        <v>7.38</v>
      </c>
      <c r="E2679" s="3"/>
      <c r="F2679" s="9">
        <v>98.948711847541588</v>
      </c>
      <c r="G2679" s="9">
        <v>100</v>
      </c>
      <c r="H2679" s="2">
        <f t="shared" si="128"/>
        <v>1628323</v>
      </c>
      <c r="I2679" s="12">
        <f t="shared" si="126"/>
        <v>0.24715416666666667</v>
      </c>
      <c r="J2679" s="12">
        <f t="shared" si="127"/>
        <v>0.2188606182795699</v>
      </c>
    </row>
    <row r="2680" spans="1:10" ht="15" customHeight="1">
      <c r="A2680" s="14">
        <v>45414</v>
      </c>
      <c r="B2680" s="10">
        <v>32</v>
      </c>
      <c r="C2680" s="4">
        <v>57485</v>
      </c>
      <c r="D2680" s="3">
        <v>7.16</v>
      </c>
      <c r="E2680" s="3"/>
      <c r="F2680" s="9">
        <v>99.134683685989202</v>
      </c>
      <c r="G2680" s="9">
        <v>100</v>
      </c>
      <c r="H2680" s="2">
        <f t="shared" si="128"/>
        <v>1685808</v>
      </c>
      <c r="I2680" s="12">
        <f t="shared" si="126"/>
        <v>0.23952083333333332</v>
      </c>
      <c r="J2680" s="12">
        <f t="shared" si="127"/>
        <v>0.21950625000000001</v>
      </c>
    </row>
    <row r="2681" spans="1:10" ht="15" customHeight="1">
      <c r="A2681" s="14">
        <v>45415</v>
      </c>
      <c r="B2681" s="10">
        <v>33</v>
      </c>
      <c r="C2681" s="4">
        <v>47913</v>
      </c>
      <c r="D2681" s="3">
        <v>6.05</v>
      </c>
      <c r="E2681" s="3"/>
      <c r="F2681" s="9">
        <v>99.152875824557341</v>
      </c>
      <c r="G2681" s="9">
        <v>100</v>
      </c>
      <c r="H2681" s="2">
        <f t="shared" si="128"/>
        <v>1733721</v>
      </c>
      <c r="I2681" s="12">
        <f t="shared" si="126"/>
        <v>0.1996375</v>
      </c>
      <c r="J2681" s="12">
        <f t="shared" si="127"/>
        <v>0.21890416666666668</v>
      </c>
    </row>
    <row r="2682" spans="1:10" ht="15" customHeight="1">
      <c r="A2682" s="14">
        <v>45416</v>
      </c>
      <c r="B2682" s="10">
        <v>34</v>
      </c>
      <c r="C2682" s="4">
        <v>57244</v>
      </c>
      <c r="D2682" s="3">
        <v>7.21</v>
      </c>
      <c r="E2682" s="3"/>
      <c r="F2682" s="9">
        <v>97.777875755037257</v>
      </c>
      <c r="G2682" s="9">
        <v>100</v>
      </c>
      <c r="H2682" s="2">
        <f t="shared" si="128"/>
        <v>1790965</v>
      </c>
      <c r="I2682" s="12">
        <f t="shared" si="126"/>
        <v>0.23851666666666665</v>
      </c>
      <c r="J2682" s="12">
        <f t="shared" si="127"/>
        <v>0.21948100490196079</v>
      </c>
    </row>
    <row r="2683" spans="1:10" ht="15" customHeight="1">
      <c r="A2683" s="14">
        <v>45417</v>
      </c>
      <c r="B2683" s="10">
        <v>35</v>
      </c>
      <c r="C2683" s="4">
        <v>53851</v>
      </c>
      <c r="D2683" s="3">
        <v>6.4</v>
      </c>
      <c r="E2683" s="3"/>
      <c r="F2683" s="9">
        <v>96.26083581317117</v>
      </c>
      <c r="G2683" s="9">
        <v>100</v>
      </c>
      <c r="H2683" s="2">
        <f t="shared" si="128"/>
        <v>1844816</v>
      </c>
      <c r="I2683" s="12">
        <f t="shared" si="126"/>
        <v>0.22437916666666666</v>
      </c>
      <c r="J2683" s="12">
        <f t="shared" si="127"/>
        <v>0.21962095238095239</v>
      </c>
    </row>
    <row r="2684" spans="1:10" ht="15" customHeight="1">
      <c r="A2684" s="14">
        <v>45418</v>
      </c>
      <c r="B2684" s="10">
        <v>36</v>
      </c>
      <c r="C2684" s="4">
        <v>48628</v>
      </c>
      <c r="D2684" s="3">
        <v>6.18</v>
      </c>
      <c r="E2684" s="3"/>
      <c r="F2684" s="9">
        <v>99.40187239944521</v>
      </c>
      <c r="G2684" s="9">
        <v>100</v>
      </c>
      <c r="H2684" s="2">
        <f t="shared" si="128"/>
        <v>1893444</v>
      </c>
      <c r="I2684" s="12">
        <f t="shared" si="126"/>
        <v>0.20261666666666667</v>
      </c>
      <c r="J2684" s="12">
        <f t="shared" si="127"/>
        <v>0.21914861111111111</v>
      </c>
    </row>
    <row r="2685" spans="1:10" ht="15" customHeight="1">
      <c r="A2685" s="14">
        <v>45419</v>
      </c>
      <c r="B2685" s="10">
        <v>37</v>
      </c>
      <c r="C2685" s="4">
        <v>48856</v>
      </c>
      <c r="D2685" s="3">
        <v>6.1</v>
      </c>
      <c r="E2685" s="3"/>
      <c r="F2685" s="9">
        <v>99.027216325471798</v>
      </c>
      <c r="G2685" s="9">
        <v>100</v>
      </c>
      <c r="H2685" s="2">
        <f t="shared" si="128"/>
        <v>1942300</v>
      </c>
      <c r="I2685" s="12">
        <f t="shared" si="126"/>
        <v>0.20356666666666667</v>
      </c>
      <c r="J2685" s="12">
        <f t="shared" si="127"/>
        <v>0.21872747747747748</v>
      </c>
    </row>
    <row r="2686" spans="1:10" ht="15" customHeight="1">
      <c r="A2686" s="14">
        <v>45420</v>
      </c>
      <c r="B2686" s="10">
        <v>38</v>
      </c>
      <c r="C2686" s="4">
        <v>55891</v>
      </c>
      <c r="D2686" s="3">
        <v>7.23</v>
      </c>
      <c r="E2686" s="3"/>
      <c r="F2686" s="9">
        <v>99.558728098637246</v>
      </c>
      <c r="G2686" s="9">
        <v>100</v>
      </c>
      <c r="H2686" s="2">
        <f t="shared" si="128"/>
        <v>1998191</v>
      </c>
      <c r="I2686" s="12">
        <f t="shared" si="126"/>
        <v>0.23287916666666666</v>
      </c>
      <c r="J2686" s="12">
        <f t="shared" si="127"/>
        <v>0.21909989035087718</v>
      </c>
    </row>
    <row r="2687" spans="1:10" ht="15" customHeight="1">
      <c r="A2687" s="14">
        <v>45421</v>
      </c>
      <c r="B2687" s="10">
        <v>39</v>
      </c>
      <c r="C2687" s="4">
        <v>54281</v>
      </c>
      <c r="D2687" s="3">
        <v>6.75</v>
      </c>
      <c r="E2687" s="3"/>
      <c r="F2687" s="9">
        <v>99.04324778589438</v>
      </c>
      <c r="G2687" s="9">
        <v>100</v>
      </c>
      <c r="H2687" s="2">
        <f t="shared" si="128"/>
        <v>2052472</v>
      </c>
      <c r="I2687" s="12">
        <f t="shared" si="126"/>
        <v>0.22617083333333332</v>
      </c>
      <c r="J2687" s="12">
        <f t="shared" si="127"/>
        <v>0.21928119658119657</v>
      </c>
    </row>
    <row r="2688" spans="1:10" ht="15" customHeight="1">
      <c r="A2688" s="14">
        <v>45422</v>
      </c>
      <c r="B2688" s="10">
        <v>40</v>
      </c>
      <c r="C2688" s="4">
        <v>56375</v>
      </c>
      <c r="D2688" s="3">
        <v>7</v>
      </c>
      <c r="E2688" s="3"/>
      <c r="F2688" s="9">
        <v>99.033110590662005</v>
      </c>
      <c r="G2688" s="9">
        <v>100</v>
      </c>
      <c r="H2688" s="2">
        <f t="shared" si="128"/>
        <v>2108847</v>
      </c>
      <c r="I2688" s="12">
        <f t="shared" si="126"/>
        <v>0.23489583333333333</v>
      </c>
      <c r="J2688" s="12">
        <f t="shared" si="127"/>
        <v>0.2196715625</v>
      </c>
    </row>
    <row r="2689" spans="1:10" ht="15" customHeight="1">
      <c r="A2689" s="14">
        <v>45423</v>
      </c>
      <c r="B2689" s="10">
        <v>41</v>
      </c>
      <c r="C2689" s="4">
        <v>48309</v>
      </c>
      <c r="D2689" s="3">
        <v>6.25</v>
      </c>
      <c r="E2689" s="3"/>
      <c r="F2689" s="9">
        <v>98.357338412093796</v>
      </c>
      <c r="G2689" s="9">
        <v>100</v>
      </c>
      <c r="H2689" s="2">
        <f t="shared" si="128"/>
        <v>2157156</v>
      </c>
      <c r="I2689" s="12">
        <f t="shared" si="126"/>
        <v>0.20128750000000001</v>
      </c>
      <c r="J2689" s="12">
        <f t="shared" si="127"/>
        <v>0.21922317073170733</v>
      </c>
    </row>
    <row r="2690" spans="1:10" ht="15" customHeight="1">
      <c r="A2690" s="14">
        <v>45424</v>
      </c>
      <c r="B2690" s="10">
        <v>42</v>
      </c>
      <c r="C2690" s="4">
        <v>58364</v>
      </c>
      <c r="D2690" s="3">
        <v>7.54</v>
      </c>
      <c r="E2690" s="3"/>
      <c r="F2690" s="9">
        <v>98.107860476017976</v>
      </c>
      <c r="G2690" s="9">
        <v>100</v>
      </c>
      <c r="H2690" s="2">
        <f t="shared" si="128"/>
        <v>2215520</v>
      </c>
      <c r="I2690" s="12">
        <f t="shared" si="126"/>
        <v>0.24318333333333333</v>
      </c>
      <c r="J2690" s="12">
        <f t="shared" si="127"/>
        <v>0.21979365079365079</v>
      </c>
    </row>
    <row r="2691" spans="1:10" ht="15" customHeight="1">
      <c r="A2691" s="14">
        <v>45425</v>
      </c>
      <c r="B2691" s="10">
        <v>43</v>
      </c>
      <c r="C2691" s="4">
        <v>51876</v>
      </c>
      <c r="D2691" s="3">
        <v>6.66</v>
      </c>
      <c r="E2691" s="3"/>
      <c r="F2691" s="9">
        <v>97.664164497881401</v>
      </c>
      <c r="G2691" s="9">
        <v>100</v>
      </c>
      <c r="H2691" s="2">
        <f t="shared" si="128"/>
        <v>2267396</v>
      </c>
      <c r="I2691" s="12">
        <f t="shared" ref="I2691:I2754" si="129">C2691/(10*24*1000)</f>
        <v>0.21615000000000001</v>
      </c>
      <c r="J2691" s="12">
        <f t="shared" si="127"/>
        <v>0.21970891472868218</v>
      </c>
    </row>
    <row r="2692" spans="1:10" ht="15" customHeight="1">
      <c r="A2692" s="14">
        <v>45426</v>
      </c>
      <c r="B2692" s="10">
        <v>44</v>
      </c>
      <c r="C2692" s="4">
        <v>49136</v>
      </c>
      <c r="D2692" s="3">
        <v>6.34</v>
      </c>
      <c r="E2692" s="3"/>
      <c r="F2692" s="9">
        <v>97.235970945555053</v>
      </c>
      <c r="G2692" s="9">
        <v>100</v>
      </c>
      <c r="H2692" s="2">
        <f t="shared" si="128"/>
        <v>2316532</v>
      </c>
      <c r="I2692" s="12">
        <f t="shared" si="129"/>
        <v>0.20473333333333332</v>
      </c>
      <c r="J2692" s="12">
        <f t="shared" ref="J2692:J2755" si="130">H2692/(24*B2692*10*1000)</f>
        <v>0.21936856060606061</v>
      </c>
    </row>
    <row r="2693" spans="1:10" ht="15" customHeight="1">
      <c r="A2693" s="14">
        <v>45427</v>
      </c>
      <c r="B2693" s="10">
        <v>45</v>
      </c>
      <c r="C2693" s="4">
        <v>57128</v>
      </c>
      <c r="D2693" s="3">
        <v>7.46</v>
      </c>
      <c r="E2693" s="3"/>
      <c r="F2693" s="9">
        <v>99.458029550293574</v>
      </c>
      <c r="G2693" s="9">
        <v>100</v>
      </c>
      <c r="H2693" s="2">
        <f t="shared" si="128"/>
        <v>2373660</v>
      </c>
      <c r="I2693" s="12">
        <f t="shared" si="129"/>
        <v>0.23803333333333335</v>
      </c>
      <c r="J2693" s="12">
        <f t="shared" si="130"/>
        <v>0.21978333333333333</v>
      </c>
    </row>
    <row r="2694" spans="1:10" ht="15" customHeight="1">
      <c r="A2694" s="14">
        <v>45428</v>
      </c>
      <c r="B2694" s="10">
        <v>46</v>
      </c>
      <c r="C2694" s="4">
        <v>51018</v>
      </c>
      <c r="D2694" s="3">
        <v>6.66</v>
      </c>
      <c r="E2694" s="3"/>
      <c r="F2694" s="9">
        <v>100</v>
      </c>
      <c r="G2694" s="9">
        <v>100</v>
      </c>
      <c r="H2694" s="2">
        <f t="shared" si="128"/>
        <v>2424678</v>
      </c>
      <c r="I2694" s="12">
        <f t="shared" si="129"/>
        <v>0.21257499999999999</v>
      </c>
      <c r="J2694" s="12">
        <f t="shared" si="130"/>
        <v>0.21962663043478262</v>
      </c>
    </row>
    <row r="2695" spans="1:10" ht="15" customHeight="1">
      <c r="A2695" s="14">
        <v>45429</v>
      </c>
      <c r="B2695" s="10">
        <v>47</v>
      </c>
      <c r="C2695" s="4">
        <v>56481</v>
      </c>
      <c r="D2695" s="3">
        <v>7.51</v>
      </c>
      <c r="E2695" s="3"/>
      <c r="F2695" s="9">
        <v>100</v>
      </c>
      <c r="G2695" s="9">
        <v>100</v>
      </c>
      <c r="H2695" s="2">
        <f t="shared" si="128"/>
        <v>2481159</v>
      </c>
      <c r="I2695" s="12">
        <f t="shared" si="129"/>
        <v>0.23533750000000001</v>
      </c>
      <c r="J2695" s="12">
        <f t="shared" si="130"/>
        <v>0.21996090425531914</v>
      </c>
    </row>
    <row r="2696" spans="1:10" ht="15" customHeight="1">
      <c r="A2696" s="14">
        <v>45430</v>
      </c>
      <c r="B2696" s="10">
        <v>48</v>
      </c>
      <c r="C2696" s="4">
        <v>56605</v>
      </c>
      <c r="D2696" s="3">
        <v>7.54</v>
      </c>
      <c r="E2696" s="3"/>
      <c r="F2696" s="9">
        <v>100</v>
      </c>
      <c r="G2696" s="9">
        <v>100</v>
      </c>
      <c r="H2696" s="2">
        <f t="shared" si="128"/>
        <v>2537764</v>
      </c>
      <c r="I2696" s="12">
        <f t="shared" si="129"/>
        <v>0.23585416666666667</v>
      </c>
      <c r="J2696" s="12">
        <f t="shared" si="130"/>
        <v>0.22029201388888889</v>
      </c>
    </row>
    <row r="2697" spans="1:10" ht="15" customHeight="1">
      <c r="A2697" s="14">
        <v>45431</v>
      </c>
      <c r="B2697" s="10">
        <v>49</v>
      </c>
      <c r="C2697" s="4">
        <v>52832</v>
      </c>
      <c r="D2697" s="3">
        <v>7.07</v>
      </c>
      <c r="E2697" s="3"/>
      <c r="F2697" s="9">
        <v>100</v>
      </c>
      <c r="G2697" s="9">
        <v>100</v>
      </c>
      <c r="H2697" s="2">
        <f t="shared" si="128"/>
        <v>2590596</v>
      </c>
      <c r="I2697" s="12">
        <f t="shared" si="129"/>
        <v>0.22013333333333332</v>
      </c>
      <c r="J2697" s="12">
        <f t="shared" si="130"/>
        <v>0.22028877551020409</v>
      </c>
    </row>
    <row r="2698" spans="1:10" ht="15" customHeight="1">
      <c r="A2698" s="14">
        <v>45432</v>
      </c>
      <c r="B2698" s="10">
        <v>50</v>
      </c>
      <c r="C2698" s="4">
        <v>54348</v>
      </c>
      <c r="D2698" s="3">
        <v>7.23</v>
      </c>
      <c r="E2698" s="3"/>
      <c r="F2698" s="9">
        <v>100</v>
      </c>
      <c r="G2698" s="9">
        <v>100</v>
      </c>
      <c r="H2698" s="2">
        <f t="shared" si="128"/>
        <v>2644944</v>
      </c>
      <c r="I2698" s="12">
        <f t="shared" si="129"/>
        <v>0.22645000000000001</v>
      </c>
      <c r="J2698" s="12">
        <f t="shared" si="130"/>
        <v>0.220412</v>
      </c>
    </row>
    <row r="2699" spans="1:10" ht="15" customHeight="1">
      <c r="A2699" s="14">
        <v>45433</v>
      </c>
      <c r="B2699" s="10">
        <v>51</v>
      </c>
      <c r="C2699" s="4">
        <v>57863</v>
      </c>
      <c r="D2699" s="3">
        <v>7.74</v>
      </c>
      <c r="E2699" s="3"/>
      <c r="F2699" s="9">
        <v>100</v>
      </c>
      <c r="G2699" s="9">
        <v>100</v>
      </c>
      <c r="H2699" s="2">
        <f t="shared" si="128"/>
        <v>2702807</v>
      </c>
      <c r="I2699" s="12">
        <f t="shared" si="129"/>
        <v>0.24109583333333334</v>
      </c>
      <c r="J2699" s="12">
        <f t="shared" si="130"/>
        <v>0.22081756535947714</v>
      </c>
    </row>
    <row r="2700" spans="1:10" ht="15" customHeight="1">
      <c r="A2700" s="14">
        <v>45434</v>
      </c>
      <c r="B2700" s="10">
        <v>52</v>
      </c>
      <c r="C2700" s="4">
        <v>55721</v>
      </c>
      <c r="D2700" s="3">
        <v>7.53</v>
      </c>
      <c r="E2700" s="3"/>
      <c r="F2700" s="9">
        <v>100</v>
      </c>
      <c r="G2700" s="9">
        <v>100</v>
      </c>
      <c r="H2700" s="2">
        <f t="shared" si="128"/>
        <v>2758528</v>
      </c>
      <c r="I2700" s="12">
        <f t="shared" si="129"/>
        <v>0.23217083333333333</v>
      </c>
      <c r="J2700" s="12">
        <f t="shared" si="130"/>
        <v>0.22103589743589744</v>
      </c>
    </row>
    <row r="2701" spans="1:10" ht="15" customHeight="1">
      <c r="A2701" s="14">
        <v>45435</v>
      </c>
      <c r="B2701" s="10">
        <v>53</v>
      </c>
      <c r="C2701" s="4">
        <v>57228</v>
      </c>
      <c r="D2701" s="3">
        <v>7.7</v>
      </c>
      <c r="E2701" s="3"/>
      <c r="F2701" s="9">
        <v>100</v>
      </c>
      <c r="G2701" s="9">
        <v>100</v>
      </c>
      <c r="H2701" s="2">
        <f t="shared" si="128"/>
        <v>2815756</v>
      </c>
      <c r="I2701" s="12">
        <f t="shared" si="129"/>
        <v>0.23845</v>
      </c>
      <c r="J2701" s="12">
        <f t="shared" si="130"/>
        <v>0.22136446540880503</v>
      </c>
    </row>
    <row r="2702" spans="1:10" ht="15" customHeight="1">
      <c r="A2702" s="14">
        <v>45436</v>
      </c>
      <c r="B2702" s="10">
        <v>54</v>
      </c>
      <c r="C2702" s="4">
        <v>54985</v>
      </c>
      <c r="D2702" s="3">
        <v>7.38</v>
      </c>
      <c r="E2702" s="3"/>
      <c r="F2702" s="9">
        <v>100</v>
      </c>
      <c r="G2702" s="9">
        <v>100</v>
      </c>
      <c r="H2702" s="2">
        <f t="shared" si="128"/>
        <v>2870741</v>
      </c>
      <c r="I2702" s="12">
        <f t="shared" si="129"/>
        <v>0.22910416666666666</v>
      </c>
      <c r="J2702" s="12">
        <f t="shared" si="130"/>
        <v>0.22150779320987654</v>
      </c>
    </row>
    <row r="2703" spans="1:10" ht="15" customHeight="1">
      <c r="A2703" s="14">
        <v>45437</v>
      </c>
      <c r="B2703" s="10">
        <v>55</v>
      </c>
      <c r="C2703" s="4">
        <v>54216</v>
      </c>
      <c r="D2703" s="3">
        <v>7.29</v>
      </c>
      <c r="E2703" s="3"/>
      <c r="F2703" s="9">
        <v>100</v>
      </c>
      <c r="G2703" s="9">
        <v>100</v>
      </c>
      <c r="H2703" s="2">
        <f t="shared" si="128"/>
        <v>2924957</v>
      </c>
      <c r="I2703" s="12">
        <f t="shared" si="129"/>
        <v>0.22589999999999999</v>
      </c>
      <c r="J2703" s="12">
        <f t="shared" si="130"/>
        <v>0.2215876515151515</v>
      </c>
    </row>
    <row r="2704" spans="1:10" ht="15" customHeight="1">
      <c r="A2704" s="14">
        <v>45438</v>
      </c>
      <c r="B2704" s="10">
        <v>56</v>
      </c>
      <c r="C2704" s="4">
        <v>54642</v>
      </c>
      <c r="D2704" s="3">
        <v>7.4</v>
      </c>
      <c r="E2704" s="3"/>
      <c r="F2704" s="9">
        <v>100</v>
      </c>
      <c r="G2704" s="9">
        <v>100</v>
      </c>
      <c r="H2704" s="2">
        <f t="shared" si="128"/>
        <v>2979599</v>
      </c>
      <c r="I2704" s="12">
        <f t="shared" si="129"/>
        <v>0.22767499999999999</v>
      </c>
      <c r="J2704" s="12">
        <f t="shared" si="130"/>
        <v>0.22169635416666666</v>
      </c>
    </row>
    <row r="2705" spans="1:10" ht="15" customHeight="1">
      <c r="A2705" s="14">
        <v>45439</v>
      </c>
      <c r="B2705" s="10">
        <v>57</v>
      </c>
      <c r="C2705" s="4">
        <v>56597</v>
      </c>
      <c r="D2705" s="3">
        <v>7.81</v>
      </c>
      <c r="E2705" s="3"/>
      <c r="F2705" s="9">
        <v>100</v>
      </c>
      <c r="G2705" s="9">
        <v>100</v>
      </c>
      <c r="H2705" s="2">
        <f t="shared" si="128"/>
        <v>3036196</v>
      </c>
      <c r="I2705" s="12">
        <f t="shared" si="129"/>
        <v>0.23582083333333334</v>
      </c>
      <c r="J2705" s="12">
        <f t="shared" si="130"/>
        <v>0.22194415204678364</v>
      </c>
    </row>
    <row r="2706" spans="1:10" ht="15" customHeight="1">
      <c r="A2706" s="14">
        <v>45440</v>
      </c>
      <c r="B2706" s="10">
        <v>58</v>
      </c>
      <c r="C2706" s="4">
        <v>55426</v>
      </c>
      <c r="D2706" s="3">
        <v>7.55</v>
      </c>
      <c r="E2706" s="3"/>
      <c r="F2706" s="9">
        <v>100</v>
      </c>
      <c r="G2706" s="9">
        <v>100</v>
      </c>
      <c r="H2706" s="2">
        <f t="shared" si="128"/>
        <v>3091622</v>
      </c>
      <c r="I2706" s="12">
        <f t="shared" si="129"/>
        <v>0.23094166666666666</v>
      </c>
      <c r="J2706" s="12">
        <f t="shared" si="130"/>
        <v>0.2220992816091954</v>
      </c>
    </row>
    <row r="2707" spans="1:10" ht="15" customHeight="1">
      <c r="A2707" s="14">
        <v>45441</v>
      </c>
      <c r="B2707" s="10">
        <v>59</v>
      </c>
      <c r="C2707" s="4">
        <v>58693</v>
      </c>
      <c r="D2707" s="3">
        <v>7.81</v>
      </c>
      <c r="E2707" s="3"/>
      <c r="F2707" s="9">
        <v>100</v>
      </c>
      <c r="G2707" s="9">
        <v>100</v>
      </c>
      <c r="H2707" s="2">
        <f t="shared" si="128"/>
        <v>3150315</v>
      </c>
      <c r="I2707" s="12">
        <f t="shared" si="129"/>
        <v>0.24455416666666666</v>
      </c>
      <c r="J2707" s="12">
        <f t="shared" si="130"/>
        <v>0.22247987288135593</v>
      </c>
    </row>
    <row r="2708" spans="1:10" ht="15" customHeight="1">
      <c r="A2708" s="14">
        <v>45442</v>
      </c>
      <c r="B2708" s="10">
        <v>60</v>
      </c>
      <c r="C2708" s="4">
        <v>58538</v>
      </c>
      <c r="D2708" s="3">
        <v>7.88</v>
      </c>
      <c r="E2708" s="3"/>
      <c r="F2708" s="9">
        <v>100</v>
      </c>
      <c r="G2708" s="9">
        <v>100</v>
      </c>
      <c r="H2708" s="2">
        <f t="shared" si="128"/>
        <v>3208853</v>
      </c>
      <c r="I2708" s="12">
        <f t="shared" si="129"/>
        <v>0.24390833333333334</v>
      </c>
      <c r="J2708" s="12">
        <f t="shared" si="130"/>
        <v>0.22283701388888888</v>
      </c>
    </row>
    <row r="2709" spans="1:10" ht="15" customHeight="1">
      <c r="A2709" s="14">
        <v>45443</v>
      </c>
      <c r="B2709" s="10">
        <v>61</v>
      </c>
      <c r="C2709" s="4">
        <v>57981</v>
      </c>
      <c r="D2709" s="3">
        <v>7.73</v>
      </c>
      <c r="E2709" s="3"/>
      <c r="F2709" s="9">
        <v>100</v>
      </c>
      <c r="G2709" s="9">
        <v>100</v>
      </c>
      <c r="H2709" s="2">
        <f t="shared" si="128"/>
        <v>3266834</v>
      </c>
      <c r="I2709" s="12">
        <f t="shared" si="129"/>
        <v>0.24158750000000001</v>
      </c>
      <c r="J2709" s="12">
        <f t="shared" si="130"/>
        <v>0.22314439890710383</v>
      </c>
    </row>
    <row r="2710" spans="1:10" ht="15" customHeight="1">
      <c r="A2710" s="14">
        <v>45444</v>
      </c>
      <c r="B2710" s="10">
        <v>62</v>
      </c>
      <c r="C2710" s="4">
        <v>57910</v>
      </c>
      <c r="D2710" s="3">
        <v>7.82</v>
      </c>
      <c r="E2710" s="3"/>
      <c r="F2710" s="9">
        <v>100</v>
      </c>
      <c r="G2710" s="9">
        <v>100</v>
      </c>
      <c r="H2710" s="2">
        <f t="shared" si="128"/>
        <v>3324744</v>
      </c>
      <c r="I2710" s="12">
        <f t="shared" si="129"/>
        <v>0.24129166666666665</v>
      </c>
      <c r="J2710" s="12">
        <f t="shared" si="130"/>
        <v>0.22343709677419354</v>
      </c>
    </row>
    <row r="2711" spans="1:10" ht="15" customHeight="1">
      <c r="A2711" s="14">
        <v>45445</v>
      </c>
      <c r="B2711" s="10">
        <v>63</v>
      </c>
      <c r="C2711" s="4">
        <v>56227</v>
      </c>
      <c r="D2711" s="3">
        <v>7.55</v>
      </c>
      <c r="E2711" s="3"/>
      <c r="F2711" s="9">
        <v>100</v>
      </c>
      <c r="G2711" s="9">
        <v>100</v>
      </c>
      <c r="H2711" s="2">
        <f t="shared" si="128"/>
        <v>3380971</v>
      </c>
      <c r="I2711" s="12">
        <f t="shared" si="129"/>
        <v>0.23427916666666668</v>
      </c>
      <c r="J2711" s="12">
        <f t="shared" si="130"/>
        <v>0.22360919312169311</v>
      </c>
    </row>
    <row r="2712" spans="1:10" ht="15" customHeight="1">
      <c r="A2712" s="14">
        <v>45446</v>
      </c>
      <c r="B2712" s="10">
        <v>64</v>
      </c>
      <c r="C2712" s="4">
        <v>55997</v>
      </c>
      <c r="D2712" s="3">
        <v>7.55</v>
      </c>
      <c r="E2712" s="3"/>
      <c r="F2712" s="9">
        <v>100</v>
      </c>
      <c r="G2712" s="9">
        <v>100</v>
      </c>
      <c r="H2712" s="2">
        <f t="shared" si="128"/>
        <v>3436968</v>
      </c>
      <c r="I2712" s="12">
        <f t="shared" si="129"/>
        <v>0.23332083333333334</v>
      </c>
      <c r="J2712" s="12">
        <f t="shared" si="130"/>
        <v>0.22376093750000001</v>
      </c>
    </row>
    <row r="2713" spans="1:10" ht="15" customHeight="1">
      <c r="A2713" s="14">
        <v>45447</v>
      </c>
      <c r="B2713" s="10">
        <v>65</v>
      </c>
      <c r="C2713" s="4">
        <v>57634</v>
      </c>
      <c r="D2713" s="3">
        <v>7.74</v>
      </c>
      <c r="E2713" s="3"/>
      <c r="F2713" s="9">
        <v>100</v>
      </c>
      <c r="G2713" s="9">
        <v>100</v>
      </c>
      <c r="H2713" s="2">
        <f t="shared" si="128"/>
        <v>3494602</v>
      </c>
      <c r="I2713" s="12">
        <f t="shared" si="129"/>
        <v>0.24014166666666667</v>
      </c>
      <c r="J2713" s="12">
        <f t="shared" si="130"/>
        <v>0.22401294871794872</v>
      </c>
    </row>
    <row r="2714" spans="1:10" ht="15" customHeight="1">
      <c r="A2714" s="14">
        <v>45448</v>
      </c>
      <c r="B2714" s="10">
        <v>66</v>
      </c>
      <c r="C2714" s="4">
        <v>58019</v>
      </c>
      <c r="D2714" s="3">
        <v>7.73</v>
      </c>
      <c r="E2714" s="3"/>
      <c r="F2714" s="9">
        <v>100</v>
      </c>
      <c r="G2714" s="9">
        <v>100</v>
      </c>
      <c r="H2714" s="2">
        <f t="shared" ref="H2714:H2777" si="131">C2714+H2713</f>
        <v>3552621</v>
      </c>
      <c r="I2714" s="12">
        <f t="shared" si="129"/>
        <v>0.24174583333333333</v>
      </c>
      <c r="J2714" s="12">
        <f t="shared" si="130"/>
        <v>0.2242816287878788</v>
      </c>
    </row>
    <row r="2715" spans="1:10" ht="15" customHeight="1">
      <c r="A2715" s="14">
        <v>45449</v>
      </c>
      <c r="B2715" s="10">
        <v>67</v>
      </c>
      <c r="C2715" s="4">
        <v>56603</v>
      </c>
      <c r="D2715" s="3">
        <v>7.61</v>
      </c>
      <c r="E2715" s="3"/>
      <c r="F2715" s="9">
        <v>100</v>
      </c>
      <c r="G2715" s="9">
        <v>100</v>
      </c>
      <c r="H2715" s="2">
        <f t="shared" si="131"/>
        <v>3609224</v>
      </c>
      <c r="I2715" s="12">
        <f t="shared" si="129"/>
        <v>0.23584583333333334</v>
      </c>
      <c r="J2715" s="12">
        <f t="shared" si="130"/>
        <v>0.22445422885572139</v>
      </c>
    </row>
    <row r="2716" spans="1:10" ht="15" customHeight="1">
      <c r="A2716" s="14">
        <v>45450</v>
      </c>
      <c r="B2716" s="10">
        <v>68</v>
      </c>
      <c r="C2716" s="4">
        <v>52149</v>
      </c>
      <c r="D2716" s="3">
        <v>6.75</v>
      </c>
      <c r="E2716" s="3"/>
      <c r="F2716" s="9">
        <v>100</v>
      </c>
      <c r="G2716" s="9">
        <v>100</v>
      </c>
      <c r="H2716" s="2">
        <f t="shared" si="131"/>
        <v>3661373</v>
      </c>
      <c r="I2716" s="12">
        <f t="shared" si="129"/>
        <v>0.21728749999999999</v>
      </c>
      <c r="J2716" s="12">
        <f t="shared" si="130"/>
        <v>0.22434883578431372</v>
      </c>
    </row>
    <row r="2717" spans="1:10" ht="15" customHeight="1">
      <c r="A2717" s="14">
        <v>45451</v>
      </c>
      <c r="B2717" s="10">
        <v>69</v>
      </c>
      <c r="C2717" s="4">
        <v>52595</v>
      </c>
      <c r="D2717" s="3">
        <v>6.5</v>
      </c>
      <c r="E2717" s="3"/>
      <c r="F2717" s="9">
        <v>100</v>
      </c>
      <c r="G2717" s="9">
        <v>100</v>
      </c>
      <c r="H2717" s="2">
        <f t="shared" si="131"/>
        <v>3713968</v>
      </c>
      <c r="I2717" s="12">
        <f t="shared" si="129"/>
        <v>0.21914583333333335</v>
      </c>
      <c r="J2717" s="12">
        <f t="shared" si="130"/>
        <v>0.22427342995169083</v>
      </c>
    </row>
    <row r="2718" spans="1:10" ht="15" customHeight="1">
      <c r="A2718" s="14">
        <v>45452</v>
      </c>
      <c r="B2718" s="10">
        <v>70</v>
      </c>
      <c r="C2718" s="4">
        <v>55018</v>
      </c>
      <c r="D2718" s="3">
        <v>7.51</v>
      </c>
      <c r="E2718" s="3"/>
      <c r="F2718" s="9">
        <v>100</v>
      </c>
      <c r="G2718" s="9">
        <v>100</v>
      </c>
      <c r="H2718" s="2">
        <f t="shared" si="131"/>
        <v>3768986</v>
      </c>
      <c r="I2718" s="12">
        <f t="shared" si="129"/>
        <v>0.22924166666666668</v>
      </c>
      <c r="J2718" s="12">
        <f t="shared" si="130"/>
        <v>0.22434440476190476</v>
      </c>
    </row>
    <row r="2719" spans="1:10" ht="15" customHeight="1">
      <c r="A2719" s="14">
        <v>45453</v>
      </c>
      <c r="B2719" s="10">
        <v>71</v>
      </c>
      <c r="C2719" s="4">
        <v>56007</v>
      </c>
      <c r="D2719" s="3">
        <v>7.7</v>
      </c>
      <c r="E2719" s="3"/>
      <c r="F2719" s="9">
        <v>98.656763259755195</v>
      </c>
      <c r="G2719" s="9">
        <v>100</v>
      </c>
      <c r="H2719" s="2">
        <f t="shared" si="131"/>
        <v>3824993</v>
      </c>
      <c r="I2719" s="12">
        <f t="shared" si="129"/>
        <v>0.2333625</v>
      </c>
      <c r="J2719" s="12">
        <f t="shared" si="130"/>
        <v>0.22447142018779342</v>
      </c>
    </row>
    <row r="2720" spans="1:10" ht="15" customHeight="1">
      <c r="A2720" s="14">
        <v>45454</v>
      </c>
      <c r="B2720" s="10">
        <v>72</v>
      </c>
      <c r="C2720" s="4">
        <v>55901</v>
      </c>
      <c r="D2720" s="3">
        <v>7.71</v>
      </c>
      <c r="E2720" s="3"/>
      <c r="F2720" s="9">
        <v>99.009455200360193</v>
      </c>
      <c r="G2720" s="9">
        <v>100</v>
      </c>
      <c r="H2720" s="2">
        <f t="shared" si="131"/>
        <v>3880894</v>
      </c>
      <c r="I2720" s="12">
        <f t="shared" si="129"/>
        <v>0.23292083333333333</v>
      </c>
      <c r="J2720" s="12">
        <f t="shared" si="130"/>
        <v>0.22458877314814815</v>
      </c>
    </row>
    <row r="2721" spans="1:10" ht="15" customHeight="1">
      <c r="A2721" s="14">
        <v>45455</v>
      </c>
      <c r="B2721" s="10">
        <v>73</v>
      </c>
      <c r="C2721" s="4">
        <v>57808</v>
      </c>
      <c r="D2721" s="3">
        <v>7.88</v>
      </c>
      <c r="E2721" s="3"/>
      <c r="F2721" s="9">
        <v>98.914938965316807</v>
      </c>
      <c r="G2721" s="9">
        <v>100</v>
      </c>
      <c r="H2721" s="2">
        <f t="shared" si="131"/>
        <v>3938702</v>
      </c>
      <c r="I2721" s="12">
        <f t="shared" si="129"/>
        <v>0.24086666666666667</v>
      </c>
      <c r="J2721" s="12">
        <f t="shared" si="130"/>
        <v>0.22481175799086758</v>
      </c>
    </row>
    <row r="2722" spans="1:10" ht="15" customHeight="1">
      <c r="A2722" s="14">
        <v>45456</v>
      </c>
      <c r="B2722" s="10">
        <v>74</v>
      </c>
      <c r="C2722" s="4">
        <v>56223</v>
      </c>
      <c r="D2722" s="3">
        <v>7.56</v>
      </c>
      <c r="E2722" s="3"/>
      <c r="F2722" s="9">
        <v>98.922935626617686</v>
      </c>
      <c r="G2722" s="9">
        <v>100</v>
      </c>
      <c r="H2722" s="2">
        <f t="shared" si="131"/>
        <v>3994925</v>
      </c>
      <c r="I2722" s="12">
        <f t="shared" si="129"/>
        <v>0.23426250000000001</v>
      </c>
      <c r="J2722" s="12">
        <f t="shared" si="130"/>
        <v>0.22493947072072071</v>
      </c>
    </row>
    <row r="2723" spans="1:10" ht="15" customHeight="1">
      <c r="A2723" s="14">
        <v>45457</v>
      </c>
      <c r="B2723" s="10">
        <v>75</v>
      </c>
      <c r="C2723" s="4">
        <v>58497</v>
      </c>
      <c r="D2723" s="3">
        <v>7.88</v>
      </c>
      <c r="E2723" s="3"/>
      <c r="F2723" s="9">
        <v>98.837500000000006</v>
      </c>
      <c r="G2723" s="9">
        <v>100</v>
      </c>
      <c r="H2723" s="2">
        <f t="shared" si="131"/>
        <v>4053422</v>
      </c>
      <c r="I2723" s="12">
        <f t="shared" si="129"/>
        <v>0.2437375</v>
      </c>
      <c r="J2723" s="12">
        <f t="shared" si="130"/>
        <v>0.22519011111111112</v>
      </c>
    </row>
    <row r="2724" spans="1:10" ht="15" customHeight="1">
      <c r="A2724" s="14">
        <v>45458</v>
      </c>
      <c r="B2724" s="10">
        <v>76</v>
      </c>
      <c r="C2724" s="4">
        <v>57929</v>
      </c>
      <c r="D2724" s="3">
        <v>7.89</v>
      </c>
      <c r="E2724" s="3"/>
      <c r="F2724" s="9">
        <v>98.915369750867498</v>
      </c>
      <c r="G2724" s="9">
        <v>100</v>
      </c>
      <c r="H2724" s="2">
        <f t="shared" si="131"/>
        <v>4111351</v>
      </c>
      <c r="I2724" s="12">
        <f t="shared" si="129"/>
        <v>0.24137083333333334</v>
      </c>
      <c r="J2724" s="12">
        <f t="shared" si="130"/>
        <v>0.2254030153508772</v>
      </c>
    </row>
    <row r="2725" spans="1:10" ht="15" customHeight="1">
      <c r="A2725" s="14">
        <v>45459</v>
      </c>
      <c r="B2725" s="10">
        <v>77</v>
      </c>
      <c r="C2725" s="4">
        <v>54190</v>
      </c>
      <c r="D2725" s="3">
        <v>7.5</v>
      </c>
      <c r="E2725" s="3"/>
      <c r="F2725" s="9">
        <v>98.8210209456917</v>
      </c>
      <c r="G2725" s="9">
        <v>100</v>
      </c>
      <c r="H2725" s="2">
        <f t="shared" si="131"/>
        <v>4165541</v>
      </c>
      <c r="I2725" s="12">
        <f t="shared" si="129"/>
        <v>0.22579166666666667</v>
      </c>
      <c r="J2725" s="12">
        <f t="shared" si="130"/>
        <v>0.22540806277056277</v>
      </c>
    </row>
    <row r="2726" spans="1:10" ht="15" customHeight="1">
      <c r="A2726" s="14">
        <v>45460</v>
      </c>
      <c r="B2726" s="10">
        <v>78</v>
      </c>
      <c r="C2726" s="4">
        <v>56834</v>
      </c>
      <c r="D2726" s="3">
        <v>7.6</v>
      </c>
      <c r="E2726" s="3"/>
      <c r="F2726" s="9">
        <v>100</v>
      </c>
      <c r="G2726" s="9">
        <v>100</v>
      </c>
      <c r="H2726" s="2">
        <f t="shared" si="131"/>
        <v>4222375</v>
      </c>
      <c r="I2726" s="12">
        <f t="shared" si="129"/>
        <v>0.23680833333333334</v>
      </c>
      <c r="J2726" s="12">
        <f t="shared" si="130"/>
        <v>0.22555422008547008</v>
      </c>
    </row>
    <row r="2727" spans="1:10" ht="15" customHeight="1">
      <c r="A2727" s="14">
        <v>45461</v>
      </c>
      <c r="B2727" s="10">
        <v>79</v>
      </c>
      <c r="C2727" s="4">
        <v>57963</v>
      </c>
      <c r="D2727" s="3">
        <v>7.62</v>
      </c>
      <c r="E2727" s="3"/>
      <c r="F2727" s="9">
        <v>100</v>
      </c>
      <c r="G2727" s="9">
        <v>100</v>
      </c>
      <c r="H2727" s="2">
        <f t="shared" si="131"/>
        <v>4280338</v>
      </c>
      <c r="I2727" s="12">
        <f t="shared" si="129"/>
        <v>0.24151249999999999</v>
      </c>
      <c r="J2727" s="12">
        <f t="shared" si="130"/>
        <v>0.22575622362869199</v>
      </c>
    </row>
    <row r="2728" spans="1:10" ht="15" customHeight="1">
      <c r="A2728" s="14">
        <v>45462</v>
      </c>
      <c r="B2728" s="10">
        <v>80</v>
      </c>
      <c r="C2728" s="4">
        <v>57711</v>
      </c>
      <c r="D2728" s="3">
        <v>7.52</v>
      </c>
      <c r="E2728" s="3"/>
      <c r="F2728" s="9">
        <v>100</v>
      </c>
      <c r="G2728" s="9">
        <v>100</v>
      </c>
      <c r="H2728" s="2">
        <f t="shared" si="131"/>
        <v>4338049</v>
      </c>
      <c r="I2728" s="12">
        <f t="shared" si="129"/>
        <v>0.2404625</v>
      </c>
      <c r="J2728" s="12">
        <f t="shared" si="130"/>
        <v>0.22594005208333334</v>
      </c>
    </row>
    <row r="2729" spans="1:10" ht="15" customHeight="1">
      <c r="A2729" s="14">
        <v>45463</v>
      </c>
      <c r="B2729" s="10">
        <v>81</v>
      </c>
      <c r="C2729" s="4">
        <v>56227</v>
      </c>
      <c r="D2729" s="3">
        <v>7.39</v>
      </c>
      <c r="E2729" s="3"/>
      <c r="F2729" s="9">
        <v>100</v>
      </c>
      <c r="G2729" s="9">
        <v>100</v>
      </c>
      <c r="H2729" s="2">
        <f t="shared" si="131"/>
        <v>4394276</v>
      </c>
      <c r="I2729" s="12">
        <f t="shared" si="129"/>
        <v>0.23427916666666668</v>
      </c>
      <c r="J2729" s="12">
        <f t="shared" si="130"/>
        <v>0.22604300411522635</v>
      </c>
    </row>
    <row r="2730" spans="1:10" ht="15" customHeight="1">
      <c r="A2730" s="14">
        <v>45464</v>
      </c>
      <c r="B2730" s="10">
        <v>82</v>
      </c>
      <c r="C2730" s="4">
        <v>41827</v>
      </c>
      <c r="D2730" s="3">
        <v>5.21</v>
      </c>
      <c r="E2730" s="3"/>
      <c r="F2730" s="9">
        <v>100</v>
      </c>
      <c r="G2730" s="9">
        <v>100</v>
      </c>
      <c r="H2730" s="2">
        <f t="shared" si="131"/>
        <v>4436103</v>
      </c>
      <c r="I2730" s="12">
        <f t="shared" si="129"/>
        <v>0.17427916666666668</v>
      </c>
      <c r="J2730" s="12">
        <f t="shared" si="130"/>
        <v>0.22541173780487805</v>
      </c>
    </row>
    <row r="2731" spans="1:10" ht="15" customHeight="1">
      <c r="A2731" s="14">
        <v>45465</v>
      </c>
      <c r="B2731" s="10">
        <v>83</v>
      </c>
      <c r="C2731" s="4">
        <v>55517</v>
      </c>
      <c r="D2731" s="3">
        <v>7.12</v>
      </c>
      <c r="E2731" s="3"/>
      <c r="F2731" s="9">
        <v>100</v>
      </c>
      <c r="G2731" s="9">
        <v>100</v>
      </c>
      <c r="H2731" s="2">
        <f t="shared" si="131"/>
        <v>4491620</v>
      </c>
      <c r="I2731" s="12">
        <f t="shared" si="129"/>
        <v>0.23132083333333334</v>
      </c>
      <c r="J2731" s="12">
        <f t="shared" si="130"/>
        <v>0.22548293172690764</v>
      </c>
    </row>
    <row r="2732" spans="1:10" ht="15" customHeight="1">
      <c r="A2732" s="14">
        <v>45466</v>
      </c>
      <c r="B2732" s="10">
        <v>84</v>
      </c>
      <c r="C2732" s="4">
        <v>54844</v>
      </c>
      <c r="D2732" s="3">
        <v>7.25</v>
      </c>
      <c r="E2732" s="3"/>
      <c r="F2732" s="9">
        <v>100</v>
      </c>
      <c r="G2732" s="9">
        <v>100</v>
      </c>
      <c r="H2732" s="2">
        <f t="shared" si="131"/>
        <v>4546464</v>
      </c>
      <c r="I2732" s="12">
        <f t="shared" si="129"/>
        <v>0.22851666666666667</v>
      </c>
      <c r="J2732" s="12">
        <f t="shared" si="130"/>
        <v>0.22551904761904762</v>
      </c>
    </row>
    <row r="2733" spans="1:10" ht="15" customHeight="1">
      <c r="A2733" s="14">
        <v>45467</v>
      </c>
      <c r="B2733" s="10">
        <v>85</v>
      </c>
      <c r="C2733" s="4">
        <v>52147</v>
      </c>
      <c r="D2733" s="3">
        <v>7.05</v>
      </c>
      <c r="E2733" s="3"/>
      <c r="F2733" s="9">
        <v>100</v>
      </c>
      <c r="G2733" s="9">
        <v>100</v>
      </c>
      <c r="H2733" s="2">
        <f t="shared" si="131"/>
        <v>4598611</v>
      </c>
      <c r="I2733" s="12">
        <f t="shared" si="129"/>
        <v>0.21727916666666666</v>
      </c>
      <c r="J2733" s="12">
        <f t="shared" si="130"/>
        <v>0.22542210784313726</v>
      </c>
    </row>
    <row r="2734" spans="1:10" ht="15" customHeight="1">
      <c r="A2734" s="14">
        <v>45468</v>
      </c>
      <c r="B2734" s="10">
        <v>86</v>
      </c>
      <c r="C2734" s="4">
        <v>48815</v>
      </c>
      <c r="D2734" s="3">
        <v>6.48</v>
      </c>
      <c r="E2734" s="3"/>
      <c r="F2734" s="9">
        <v>100</v>
      </c>
      <c r="G2734" s="9">
        <v>100</v>
      </c>
      <c r="H2734" s="2">
        <f t="shared" si="131"/>
        <v>4647426</v>
      </c>
      <c r="I2734" s="12">
        <f t="shared" si="129"/>
        <v>0.20339583333333333</v>
      </c>
      <c r="J2734" s="12">
        <f t="shared" si="130"/>
        <v>0.22516598837209303</v>
      </c>
    </row>
    <row r="2735" spans="1:10" ht="15" customHeight="1">
      <c r="A2735" s="14">
        <v>45469</v>
      </c>
      <c r="B2735" s="10">
        <v>87</v>
      </c>
      <c r="C2735" s="4">
        <v>41276</v>
      </c>
      <c r="D2735" s="3">
        <v>5.34</v>
      </c>
      <c r="E2735" s="3"/>
      <c r="F2735" s="9">
        <v>100</v>
      </c>
      <c r="G2735" s="9">
        <v>100</v>
      </c>
      <c r="H2735" s="2">
        <f t="shared" si="131"/>
        <v>4688702</v>
      </c>
      <c r="I2735" s="12">
        <f t="shared" si="129"/>
        <v>0.17198333333333332</v>
      </c>
      <c r="J2735" s="12">
        <f t="shared" si="130"/>
        <v>0.22455469348659005</v>
      </c>
    </row>
    <row r="2736" spans="1:10" ht="15" customHeight="1">
      <c r="A2736" s="14">
        <v>45470</v>
      </c>
      <c r="B2736" s="10">
        <v>88</v>
      </c>
      <c r="C2736" s="4">
        <v>42200</v>
      </c>
      <c r="D2736" s="3">
        <v>5.46</v>
      </c>
      <c r="E2736" s="3"/>
      <c r="F2736" s="9">
        <v>100</v>
      </c>
      <c r="G2736" s="9">
        <v>100</v>
      </c>
      <c r="H2736" s="2">
        <f t="shared" si="131"/>
        <v>4730902</v>
      </c>
      <c r="I2736" s="12">
        <f t="shared" si="129"/>
        <v>0.17583333333333334</v>
      </c>
      <c r="J2736" s="12">
        <f t="shared" si="130"/>
        <v>0.22400104166666668</v>
      </c>
    </row>
    <row r="2737" spans="1:10" ht="15" customHeight="1">
      <c r="A2737" s="14">
        <v>45471</v>
      </c>
      <c r="B2737" s="10">
        <v>89</v>
      </c>
      <c r="C2737" s="4">
        <v>46376</v>
      </c>
      <c r="D2737" s="3">
        <v>6.13</v>
      </c>
      <c r="E2737" s="3"/>
      <c r="F2737" s="9">
        <v>100</v>
      </c>
      <c r="G2737" s="9">
        <v>100</v>
      </c>
      <c r="H2737" s="2">
        <f t="shared" si="131"/>
        <v>4777278</v>
      </c>
      <c r="I2737" s="12">
        <f t="shared" si="129"/>
        <v>0.19323333333333334</v>
      </c>
      <c r="J2737" s="12">
        <f t="shared" si="130"/>
        <v>0.22365533707865168</v>
      </c>
    </row>
    <row r="2738" spans="1:10" ht="15" customHeight="1">
      <c r="A2738" s="14">
        <v>45472</v>
      </c>
      <c r="B2738" s="10">
        <v>90</v>
      </c>
      <c r="C2738" s="4">
        <v>21395</v>
      </c>
      <c r="D2738" s="3">
        <v>2.87</v>
      </c>
      <c r="E2738" s="3"/>
      <c r="F2738" s="9">
        <v>100</v>
      </c>
      <c r="G2738" s="9">
        <v>100</v>
      </c>
      <c r="H2738" s="2">
        <f t="shared" si="131"/>
        <v>4798673</v>
      </c>
      <c r="I2738" s="12">
        <f t="shared" si="129"/>
        <v>8.9145833333333327E-2</v>
      </c>
      <c r="J2738" s="12">
        <f t="shared" si="130"/>
        <v>0.22216078703703704</v>
      </c>
    </row>
    <row r="2739" spans="1:10" ht="15" customHeight="1">
      <c r="A2739" s="14">
        <v>45473</v>
      </c>
      <c r="B2739" s="10">
        <v>91</v>
      </c>
      <c r="C2739" s="4">
        <v>57342</v>
      </c>
      <c r="D2739" s="3">
        <v>7.61</v>
      </c>
      <c r="E2739" s="3"/>
      <c r="F2739" s="9">
        <v>100</v>
      </c>
      <c r="G2739" s="9">
        <v>100</v>
      </c>
      <c r="H2739" s="2">
        <f t="shared" si="131"/>
        <v>4856015</v>
      </c>
      <c r="I2739" s="12">
        <f t="shared" si="129"/>
        <v>0.238925</v>
      </c>
      <c r="J2739" s="12">
        <f t="shared" si="130"/>
        <v>0.22234500915750915</v>
      </c>
    </row>
    <row r="2740" spans="1:10" ht="15" customHeight="1">
      <c r="A2740" s="14">
        <v>45474</v>
      </c>
      <c r="B2740" s="10">
        <v>92</v>
      </c>
      <c r="C2740" s="4">
        <v>56468</v>
      </c>
      <c r="D2740" s="3">
        <v>7.37</v>
      </c>
      <c r="E2740" s="3"/>
      <c r="F2740" s="9">
        <v>100</v>
      </c>
      <c r="G2740" s="9">
        <v>100</v>
      </c>
      <c r="H2740" s="2">
        <f t="shared" si="131"/>
        <v>4912483</v>
      </c>
      <c r="I2740" s="12">
        <f t="shared" si="129"/>
        <v>0.23528333333333334</v>
      </c>
      <c r="J2740" s="12">
        <f t="shared" si="130"/>
        <v>0.22248564311594202</v>
      </c>
    </row>
    <row r="2741" spans="1:10" ht="15" customHeight="1">
      <c r="A2741" s="14">
        <v>45475</v>
      </c>
      <c r="B2741" s="10">
        <v>93</v>
      </c>
      <c r="C2741" s="4">
        <v>52838</v>
      </c>
      <c r="D2741" s="3">
        <v>7.26</v>
      </c>
      <c r="E2741" s="3"/>
      <c r="F2741" s="9">
        <v>100</v>
      </c>
      <c r="G2741" s="9">
        <v>100</v>
      </c>
      <c r="H2741" s="2">
        <f t="shared" si="131"/>
        <v>4965321</v>
      </c>
      <c r="I2741" s="12">
        <f t="shared" si="129"/>
        <v>0.22015833333333334</v>
      </c>
      <c r="J2741" s="12">
        <f t="shared" si="130"/>
        <v>0.22246061827956989</v>
      </c>
    </row>
    <row r="2742" spans="1:10" ht="15" customHeight="1">
      <c r="A2742" s="14">
        <v>45476</v>
      </c>
      <c r="B2742" s="10">
        <v>94</v>
      </c>
      <c r="C2742" s="4">
        <v>50496</v>
      </c>
      <c r="D2742" s="3">
        <v>7.3</v>
      </c>
      <c r="E2742" s="3"/>
      <c r="F2742" s="9">
        <v>100</v>
      </c>
      <c r="G2742" s="9">
        <v>94.053016723254387</v>
      </c>
      <c r="H2742" s="2">
        <f t="shared" si="131"/>
        <v>5015817</v>
      </c>
      <c r="I2742" s="12">
        <f t="shared" si="129"/>
        <v>0.2104</v>
      </c>
      <c r="J2742" s="12">
        <f t="shared" si="130"/>
        <v>0.22233231382978724</v>
      </c>
    </row>
    <row r="2743" spans="1:10" ht="15" customHeight="1">
      <c r="A2743" s="14">
        <v>45477</v>
      </c>
      <c r="B2743" s="10">
        <v>95</v>
      </c>
      <c r="C2743" s="4">
        <v>47344</v>
      </c>
      <c r="D2743" s="3">
        <v>6.33</v>
      </c>
      <c r="E2743" s="3"/>
      <c r="F2743" s="9">
        <v>100</v>
      </c>
      <c r="G2743" s="9">
        <v>100</v>
      </c>
      <c r="H2743" s="2">
        <f t="shared" si="131"/>
        <v>5063161</v>
      </c>
      <c r="I2743" s="12">
        <f t="shared" si="129"/>
        <v>0.19726666666666667</v>
      </c>
      <c r="J2743" s="12">
        <f t="shared" si="130"/>
        <v>0.22206846491228069</v>
      </c>
    </row>
    <row r="2744" spans="1:10" ht="15" customHeight="1">
      <c r="A2744" s="14">
        <v>45478</v>
      </c>
      <c r="B2744" s="10">
        <v>96</v>
      </c>
      <c r="C2744" s="4">
        <v>50416</v>
      </c>
      <c r="D2744" s="3">
        <v>6.58</v>
      </c>
      <c r="E2744" s="3"/>
      <c r="F2744" s="9">
        <v>100</v>
      </c>
      <c r="G2744" s="9">
        <v>100</v>
      </c>
      <c r="H2744" s="2">
        <f t="shared" si="131"/>
        <v>5113577</v>
      </c>
      <c r="I2744" s="12">
        <f t="shared" si="129"/>
        <v>0.21006666666666668</v>
      </c>
      <c r="J2744" s="12">
        <f t="shared" si="130"/>
        <v>0.22194344618055556</v>
      </c>
    </row>
    <row r="2745" spans="1:10" ht="15" customHeight="1">
      <c r="A2745" s="14">
        <v>45479</v>
      </c>
      <c r="B2745" s="10">
        <v>97</v>
      </c>
      <c r="C2745" s="4">
        <v>52047</v>
      </c>
      <c r="D2745" s="3">
        <v>6.55</v>
      </c>
      <c r="E2745" s="3"/>
      <c r="F2745" s="9">
        <v>100</v>
      </c>
      <c r="G2745" s="9">
        <v>100</v>
      </c>
      <c r="H2745" s="2">
        <f t="shared" si="131"/>
        <v>5165624</v>
      </c>
      <c r="I2745" s="12">
        <f t="shared" si="129"/>
        <v>0.21686250000000001</v>
      </c>
      <c r="J2745" s="12">
        <f t="shared" si="130"/>
        <v>0.22189106529209621</v>
      </c>
    </row>
    <row r="2746" spans="1:10" ht="15" customHeight="1">
      <c r="A2746" s="14">
        <v>45480</v>
      </c>
      <c r="B2746" s="10">
        <v>98</v>
      </c>
      <c r="C2746" s="4">
        <v>38854</v>
      </c>
      <c r="D2746" s="3">
        <v>4.9000000000000004</v>
      </c>
      <c r="E2746" s="3"/>
      <c r="F2746" s="9">
        <v>100</v>
      </c>
      <c r="G2746" s="9">
        <v>100</v>
      </c>
      <c r="H2746" s="2">
        <f t="shared" si="131"/>
        <v>5204478</v>
      </c>
      <c r="I2746" s="12">
        <f t="shared" si="129"/>
        <v>0.16189166666666666</v>
      </c>
      <c r="J2746" s="12">
        <f t="shared" si="130"/>
        <v>0.22127882653061223</v>
      </c>
    </row>
    <row r="2747" spans="1:10" ht="15" customHeight="1">
      <c r="A2747" s="14">
        <v>45481</v>
      </c>
      <c r="B2747" s="10">
        <v>99</v>
      </c>
      <c r="C2747" s="4">
        <v>40127</v>
      </c>
      <c r="D2747" s="3">
        <v>5.19</v>
      </c>
      <c r="E2747" s="3"/>
      <c r="F2747" s="9">
        <v>100</v>
      </c>
      <c r="G2747" s="9">
        <v>100</v>
      </c>
      <c r="H2747" s="2">
        <f t="shared" si="131"/>
        <v>5244605</v>
      </c>
      <c r="I2747" s="12">
        <f t="shared" si="129"/>
        <v>0.16719583333333332</v>
      </c>
      <c r="J2747" s="12">
        <f t="shared" si="130"/>
        <v>0.22073253367003368</v>
      </c>
    </row>
    <row r="2748" spans="1:10" ht="15" customHeight="1">
      <c r="A2748" s="14">
        <v>45482</v>
      </c>
      <c r="B2748" s="10">
        <v>100</v>
      </c>
      <c r="C2748" s="4">
        <v>48628</v>
      </c>
      <c r="D2748" s="3">
        <v>6.68</v>
      </c>
      <c r="E2748" s="3"/>
      <c r="F2748" s="9">
        <v>100</v>
      </c>
      <c r="G2748" s="9">
        <v>100</v>
      </c>
      <c r="H2748" s="2">
        <f t="shared" si="131"/>
        <v>5293233</v>
      </c>
      <c r="I2748" s="12">
        <f t="shared" si="129"/>
        <v>0.20261666666666667</v>
      </c>
      <c r="J2748" s="12">
        <f t="shared" si="130"/>
        <v>0.22055137499999999</v>
      </c>
    </row>
    <row r="2749" spans="1:10" ht="15" customHeight="1">
      <c r="A2749" s="14">
        <v>45483</v>
      </c>
      <c r="B2749" s="10">
        <v>101</v>
      </c>
      <c r="C2749" s="4">
        <v>52448</v>
      </c>
      <c r="D2749" s="3">
        <v>7</v>
      </c>
      <c r="E2749" s="3"/>
      <c r="F2749" s="9">
        <v>100</v>
      </c>
      <c r="G2749" s="9">
        <v>100</v>
      </c>
      <c r="H2749" s="2">
        <f t="shared" si="131"/>
        <v>5345681</v>
      </c>
      <c r="I2749" s="12">
        <f t="shared" si="129"/>
        <v>0.21853333333333333</v>
      </c>
      <c r="J2749" s="12">
        <f t="shared" si="130"/>
        <v>0.22053139438943895</v>
      </c>
    </row>
    <row r="2750" spans="1:10" ht="15" customHeight="1">
      <c r="A2750" s="14">
        <v>45484</v>
      </c>
      <c r="B2750" s="10">
        <v>102</v>
      </c>
      <c r="C2750" s="4">
        <v>52848</v>
      </c>
      <c r="D2750" s="3">
        <v>7</v>
      </c>
      <c r="E2750" s="3"/>
      <c r="F2750" s="9">
        <v>100</v>
      </c>
      <c r="G2750" s="9">
        <v>100</v>
      </c>
      <c r="H2750" s="2">
        <f t="shared" si="131"/>
        <v>5398529</v>
      </c>
      <c r="I2750" s="12">
        <f t="shared" si="129"/>
        <v>0.22020000000000001</v>
      </c>
      <c r="J2750" s="12">
        <f t="shared" si="130"/>
        <v>0.22052814542483659</v>
      </c>
    </row>
    <row r="2751" spans="1:10" ht="15" customHeight="1">
      <c r="A2751" s="14">
        <v>45485</v>
      </c>
      <c r="B2751" s="10">
        <v>103</v>
      </c>
      <c r="C2751" s="4">
        <v>53605</v>
      </c>
      <c r="D2751" s="3">
        <v>6.9</v>
      </c>
      <c r="E2751" s="3"/>
      <c r="F2751" s="9">
        <v>100</v>
      </c>
      <c r="G2751" s="9">
        <v>100</v>
      </c>
      <c r="H2751" s="2">
        <f t="shared" si="131"/>
        <v>5452134</v>
      </c>
      <c r="I2751" s="12">
        <f t="shared" si="129"/>
        <v>0.22335416666666666</v>
      </c>
      <c r="J2751" s="12">
        <f t="shared" si="130"/>
        <v>0.22055558252427185</v>
      </c>
    </row>
    <row r="2752" spans="1:10" ht="15" customHeight="1">
      <c r="A2752" s="14">
        <v>45486</v>
      </c>
      <c r="B2752" s="10">
        <v>104</v>
      </c>
      <c r="C2752" s="4">
        <v>49036</v>
      </c>
      <c r="D2752" s="3">
        <v>6.35</v>
      </c>
      <c r="E2752" s="3"/>
      <c r="F2752" s="9">
        <v>100</v>
      </c>
      <c r="G2752" s="9">
        <v>100</v>
      </c>
      <c r="H2752" s="2">
        <f t="shared" si="131"/>
        <v>5501170</v>
      </c>
      <c r="I2752" s="12">
        <f t="shared" si="129"/>
        <v>0.20431666666666667</v>
      </c>
      <c r="J2752" s="12">
        <f t="shared" si="130"/>
        <v>0.2203994391025641</v>
      </c>
    </row>
    <row r="2753" spans="1:10" ht="15" customHeight="1">
      <c r="A2753" s="14">
        <v>45487</v>
      </c>
      <c r="B2753" s="10">
        <v>105</v>
      </c>
      <c r="C2753" s="4">
        <v>42364</v>
      </c>
      <c r="D2753" s="3">
        <v>5.58</v>
      </c>
      <c r="E2753" s="3"/>
      <c r="F2753" s="9">
        <v>100</v>
      </c>
      <c r="G2753" s="9">
        <v>100</v>
      </c>
      <c r="H2753" s="2">
        <f t="shared" si="131"/>
        <v>5543534</v>
      </c>
      <c r="I2753" s="12">
        <f t="shared" si="129"/>
        <v>0.17651666666666666</v>
      </c>
      <c r="J2753" s="12">
        <f t="shared" si="130"/>
        <v>0.21998150793650795</v>
      </c>
    </row>
    <row r="2754" spans="1:10" ht="15" customHeight="1">
      <c r="A2754" s="14">
        <v>45488</v>
      </c>
      <c r="B2754" s="10">
        <v>106</v>
      </c>
      <c r="C2754" s="4">
        <v>53577</v>
      </c>
      <c r="D2754" s="3">
        <v>7.09</v>
      </c>
      <c r="E2754" s="3"/>
      <c r="F2754" s="9">
        <v>100</v>
      </c>
      <c r="G2754" s="9">
        <v>100</v>
      </c>
      <c r="H2754" s="2">
        <f t="shared" si="131"/>
        <v>5597111</v>
      </c>
      <c r="I2754" s="12">
        <f t="shared" si="129"/>
        <v>0.22323750000000001</v>
      </c>
      <c r="J2754" s="12">
        <f t="shared" si="130"/>
        <v>0.22001222484276731</v>
      </c>
    </row>
    <row r="2755" spans="1:10" ht="15" customHeight="1">
      <c r="A2755" s="14">
        <v>45489</v>
      </c>
      <c r="B2755" s="10">
        <v>107</v>
      </c>
      <c r="C2755" s="4">
        <v>51013</v>
      </c>
      <c r="D2755" s="3">
        <v>6.61</v>
      </c>
      <c r="E2755" s="3"/>
      <c r="F2755" s="9">
        <v>100</v>
      </c>
      <c r="G2755" s="9">
        <v>100</v>
      </c>
      <c r="H2755" s="2">
        <f t="shared" si="131"/>
        <v>5648124</v>
      </c>
      <c r="I2755" s="12">
        <f t="shared" ref="I2755:I2818" si="132">C2755/(10*24*1000)</f>
        <v>0.21255416666666666</v>
      </c>
      <c r="J2755" s="12">
        <f t="shared" si="130"/>
        <v>0.21994252336448597</v>
      </c>
    </row>
    <row r="2756" spans="1:10" ht="15" customHeight="1">
      <c r="A2756" s="14">
        <v>45490</v>
      </c>
      <c r="B2756" s="10">
        <v>108</v>
      </c>
      <c r="C2756" s="4">
        <v>48890</v>
      </c>
      <c r="D2756" s="3">
        <v>6.35</v>
      </c>
      <c r="E2756" s="3"/>
      <c r="F2756" s="9">
        <v>100</v>
      </c>
      <c r="G2756" s="9">
        <v>100</v>
      </c>
      <c r="H2756" s="2">
        <f t="shared" si="131"/>
        <v>5697014</v>
      </c>
      <c r="I2756" s="12">
        <f t="shared" si="132"/>
        <v>0.20370833333333332</v>
      </c>
      <c r="J2756" s="12">
        <f t="shared" ref="J2756:J2819" si="133">H2756/(24*B2756*10*1000)</f>
        <v>0.21979220679012346</v>
      </c>
    </row>
    <row r="2757" spans="1:10" ht="15" customHeight="1">
      <c r="A2757" s="14">
        <v>45491</v>
      </c>
      <c r="B2757" s="10">
        <v>109</v>
      </c>
      <c r="C2757" s="4">
        <v>38771</v>
      </c>
      <c r="D2757" s="3">
        <v>5.04</v>
      </c>
      <c r="E2757" s="3"/>
      <c r="F2757" s="9">
        <v>100</v>
      </c>
      <c r="G2757" s="9">
        <v>100</v>
      </c>
      <c r="H2757" s="2">
        <f t="shared" si="131"/>
        <v>5735785</v>
      </c>
      <c r="I2757" s="12">
        <f t="shared" si="132"/>
        <v>0.16154583333333333</v>
      </c>
      <c r="J2757" s="12">
        <f t="shared" si="133"/>
        <v>0.21925783639143731</v>
      </c>
    </row>
    <row r="2758" spans="1:10" ht="15" customHeight="1">
      <c r="A2758" s="14">
        <v>45492</v>
      </c>
      <c r="B2758" s="10">
        <v>110</v>
      </c>
      <c r="C2758" s="4">
        <v>48708</v>
      </c>
      <c r="D2758" s="3">
        <v>6.07</v>
      </c>
      <c r="E2758" s="3"/>
      <c r="F2758" s="9">
        <v>100</v>
      </c>
      <c r="G2758" s="9">
        <v>100</v>
      </c>
      <c r="H2758" s="2">
        <f t="shared" si="131"/>
        <v>5784493</v>
      </c>
      <c r="I2758" s="12">
        <f t="shared" si="132"/>
        <v>0.20294999999999999</v>
      </c>
      <c r="J2758" s="12">
        <f t="shared" si="133"/>
        <v>0.21910958333333333</v>
      </c>
    </row>
    <row r="2759" spans="1:10" ht="15" customHeight="1">
      <c r="A2759" s="14">
        <v>45493</v>
      </c>
      <c r="B2759" s="10">
        <v>111</v>
      </c>
      <c r="C2759" s="4">
        <v>41549</v>
      </c>
      <c r="D2759" s="3">
        <v>5.37</v>
      </c>
      <c r="E2759" s="3"/>
      <c r="F2759" s="9">
        <v>100</v>
      </c>
      <c r="G2759" s="9">
        <v>100</v>
      </c>
      <c r="H2759" s="2">
        <f t="shared" si="131"/>
        <v>5826042</v>
      </c>
      <c r="I2759" s="12">
        <f t="shared" si="132"/>
        <v>0.17312083333333333</v>
      </c>
      <c r="J2759" s="12">
        <f t="shared" si="133"/>
        <v>0.21869527027027028</v>
      </c>
    </row>
    <row r="2760" spans="1:10" ht="15" customHeight="1">
      <c r="A2760" s="14">
        <v>45494</v>
      </c>
      <c r="B2760" s="10">
        <v>112</v>
      </c>
      <c r="C2760" s="4">
        <v>54249</v>
      </c>
      <c r="D2760" s="3">
        <v>6.89</v>
      </c>
      <c r="E2760" s="3"/>
      <c r="F2760" s="9">
        <v>100</v>
      </c>
      <c r="G2760" s="9">
        <v>100</v>
      </c>
      <c r="H2760" s="2">
        <f t="shared" si="131"/>
        <v>5880291</v>
      </c>
      <c r="I2760" s="12">
        <f t="shared" si="132"/>
        <v>0.2260375</v>
      </c>
      <c r="J2760" s="12">
        <f t="shared" si="133"/>
        <v>0.21876082589285714</v>
      </c>
    </row>
    <row r="2761" spans="1:10" ht="15" customHeight="1">
      <c r="A2761" s="14">
        <v>45495</v>
      </c>
      <c r="B2761" s="10">
        <v>113</v>
      </c>
      <c r="C2761" s="4">
        <v>50618</v>
      </c>
      <c r="D2761" s="3">
        <v>6.54</v>
      </c>
      <c r="E2761" s="3"/>
      <c r="F2761" s="9">
        <v>100</v>
      </c>
      <c r="G2761" s="9">
        <v>100</v>
      </c>
      <c r="H2761" s="2">
        <f t="shared" si="131"/>
        <v>5930909</v>
      </c>
      <c r="I2761" s="12">
        <f t="shared" si="132"/>
        <v>0.21090833333333334</v>
      </c>
      <c r="J2761" s="12">
        <f t="shared" si="133"/>
        <v>0.21869133480825959</v>
      </c>
    </row>
    <row r="2762" spans="1:10" ht="15" customHeight="1">
      <c r="A2762" s="14">
        <v>45496</v>
      </c>
      <c r="B2762" s="10">
        <v>114</v>
      </c>
      <c r="C2762" s="4">
        <v>45232</v>
      </c>
      <c r="D2762" s="3">
        <v>5.78</v>
      </c>
      <c r="E2762" s="3"/>
      <c r="F2762" s="9">
        <v>100</v>
      </c>
      <c r="G2762" s="9">
        <v>100</v>
      </c>
      <c r="H2762" s="2">
        <f t="shared" si="131"/>
        <v>5976141</v>
      </c>
      <c r="I2762" s="12">
        <f t="shared" si="132"/>
        <v>0.18846666666666667</v>
      </c>
      <c r="J2762" s="12">
        <f t="shared" si="133"/>
        <v>0.21842620614035088</v>
      </c>
    </row>
    <row r="2763" spans="1:10" ht="15" customHeight="1">
      <c r="A2763" s="14">
        <v>45497</v>
      </c>
      <c r="B2763" s="10">
        <v>115</v>
      </c>
      <c r="C2763" s="4">
        <v>50633</v>
      </c>
      <c r="D2763" s="3">
        <v>6.58</v>
      </c>
      <c r="E2763" s="3"/>
      <c r="F2763" s="9">
        <v>100</v>
      </c>
      <c r="G2763" s="9">
        <v>100</v>
      </c>
      <c r="H2763" s="2">
        <f t="shared" si="131"/>
        <v>6026774</v>
      </c>
      <c r="I2763" s="12">
        <f t="shared" si="132"/>
        <v>0.21097083333333333</v>
      </c>
      <c r="J2763" s="12">
        <f t="shared" si="133"/>
        <v>0.2183613768115942</v>
      </c>
    </row>
    <row r="2764" spans="1:10" ht="15" customHeight="1">
      <c r="A2764" s="14">
        <v>45498</v>
      </c>
      <c r="B2764" s="10">
        <v>116</v>
      </c>
      <c r="C2764" s="4">
        <v>50109</v>
      </c>
      <c r="D2764" s="3">
        <v>6.55</v>
      </c>
      <c r="E2764" s="3"/>
      <c r="F2764" s="9">
        <v>100</v>
      </c>
      <c r="G2764" s="9">
        <v>96.459675706294689</v>
      </c>
      <c r="H2764" s="2">
        <f t="shared" si="131"/>
        <v>6076883</v>
      </c>
      <c r="I2764" s="12">
        <f t="shared" si="132"/>
        <v>0.20878749999999999</v>
      </c>
      <c r="J2764" s="12">
        <f t="shared" si="133"/>
        <v>0.21827884339080461</v>
      </c>
    </row>
    <row r="2765" spans="1:10" ht="15" customHeight="1">
      <c r="A2765" s="14">
        <v>45499</v>
      </c>
      <c r="B2765" s="10">
        <v>117</v>
      </c>
      <c r="C2765" s="4">
        <v>52473</v>
      </c>
      <c r="D2765" s="3">
        <v>6.79</v>
      </c>
      <c r="E2765" s="3"/>
      <c r="F2765" s="9">
        <v>100</v>
      </c>
      <c r="G2765" s="9">
        <v>100</v>
      </c>
      <c r="H2765" s="2">
        <f t="shared" si="131"/>
        <v>6129356</v>
      </c>
      <c r="I2765" s="12">
        <f t="shared" si="132"/>
        <v>0.21863750000000001</v>
      </c>
      <c r="J2765" s="12">
        <f t="shared" si="133"/>
        <v>0.21828190883190884</v>
      </c>
    </row>
    <row r="2766" spans="1:10" ht="15" customHeight="1">
      <c r="A2766" s="14">
        <v>45500</v>
      </c>
      <c r="B2766" s="10">
        <v>118</v>
      </c>
      <c r="C2766" s="4">
        <v>52217</v>
      </c>
      <c r="D2766" s="3">
        <v>6.77</v>
      </c>
      <c r="E2766" s="3"/>
      <c r="F2766" s="9">
        <v>100</v>
      </c>
      <c r="G2766" s="9">
        <v>100</v>
      </c>
      <c r="H2766" s="2">
        <f t="shared" si="131"/>
        <v>6181573</v>
      </c>
      <c r="I2766" s="12">
        <f t="shared" si="132"/>
        <v>0.21757083333333332</v>
      </c>
      <c r="J2766" s="12">
        <f t="shared" si="133"/>
        <v>0.21827588276836157</v>
      </c>
    </row>
    <row r="2767" spans="1:10" ht="15" customHeight="1">
      <c r="A2767" s="14">
        <v>45501</v>
      </c>
      <c r="B2767" s="10">
        <v>119</v>
      </c>
      <c r="C2767" s="4">
        <v>46986</v>
      </c>
      <c r="D2767" s="3">
        <v>6.08</v>
      </c>
      <c r="E2767" s="3"/>
      <c r="F2767" s="9">
        <v>100</v>
      </c>
      <c r="G2767" s="9">
        <v>100</v>
      </c>
      <c r="H2767" s="2">
        <f t="shared" si="131"/>
        <v>6228559</v>
      </c>
      <c r="I2767" s="12">
        <f t="shared" si="132"/>
        <v>0.195775</v>
      </c>
      <c r="J2767" s="12">
        <f t="shared" si="133"/>
        <v>0.21808679971988795</v>
      </c>
    </row>
    <row r="2768" spans="1:10" ht="15" customHeight="1">
      <c r="A2768" s="14">
        <v>45502</v>
      </c>
      <c r="B2768" s="10">
        <v>120</v>
      </c>
      <c r="C2768" s="4">
        <v>48354</v>
      </c>
      <c r="D2768" s="3">
        <v>6.11</v>
      </c>
      <c r="E2768" s="3"/>
      <c r="F2768" s="9">
        <v>100</v>
      </c>
      <c r="G2768" s="9">
        <v>100</v>
      </c>
      <c r="H2768" s="2">
        <f t="shared" si="131"/>
        <v>6276913</v>
      </c>
      <c r="I2768" s="12">
        <f t="shared" si="132"/>
        <v>0.20147499999999999</v>
      </c>
      <c r="J2768" s="12">
        <f t="shared" si="133"/>
        <v>0.21794836805555556</v>
      </c>
    </row>
    <row r="2769" spans="1:10" ht="15" customHeight="1">
      <c r="A2769" s="14">
        <v>45503</v>
      </c>
      <c r="B2769" s="10">
        <v>121</v>
      </c>
      <c r="C2769" s="4">
        <v>43976</v>
      </c>
      <c r="D2769" s="3">
        <v>5.75</v>
      </c>
      <c r="E2769" s="3"/>
      <c r="F2769" s="9">
        <v>100</v>
      </c>
      <c r="G2769" s="9">
        <v>100</v>
      </c>
      <c r="H2769" s="2">
        <f t="shared" si="131"/>
        <v>6320889</v>
      </c>
      <c r="I2769" s="12">
        <f t="shared" si="132"/>
        <v>0.18323333333333333</v>
      </c>
      <c r="J2769" s="12">
        <f t="shared" si="133"/>
        <v>0.21766146694214877</v>
      </c>
    </row>
    <row r="2770" spans="1:10" ht="15" customHeight="1">
      <c r="A2770" s="14">
        <v>45504</v>
      </c>
      <c r="B2770" s="10">
        <v>122</v>
      </c>
      <c r="C2770" s="4">
        <v>51665</v>
      </c>
      <c r="D2770" s="3">
        <v>6.65</v>
      </c>
      <c r="E2770" s="3"/>
      <c r="F2770" s="9">
        <v>100</v>
      </c>
      <c r="G2770" s="9">
        <v>100</v>
      </c>
      <c r="H2770" s="2">
        <f t="shared" si="131"/>
        <v>6372554</v>
      </c>
      <c r="I2770" s="12">
        <f t="shared" si="132"/>
        <v>0.21527083333333333</v>
      </c>
      <c r="J2770" s="12">
        <f t="shared" si="133"/>
        <v>0.21764187158469944</v>
      </c>
    </row>
    <row r="2771" spans="1:10" ht="15" customHeight="1">
      <c r="A2771" s="14">
        <v>45505</v>
      </c>
      <c r="B2771" s="10">
        <v>123</v>
      </c>
      <c r="C2771" s="4">
        <v>25796</v>
      </c>
      <c r="D2771" s="3">
        <v>3.1</v>
      </c>
      <c r="E2771" s="3"/>
      <c r="F2771" s="9">
        <v>100</v>
      </c>
      <c r="G2771" s="9">
        <v>100</v>
      </c>
      <c r="H2771" s="2">
        <f t="shared" si="131"/>
        <v>6398350</v>
      </c>
      <c r="I2771" s="12">
        <f t="shared" si="132"/>
        <v>0.10748333333333333</v>
      </c>
      <c r="J2771" s="12">
        <f t="shared" si="133"/>
        <v>0.21674627371273714</v>
      </c>
    </row>
    <row r="2772" spans="1:10" ht="15" customHeight="1">
      <c r="A2772" s="14">
        <v>45506</v>
      </c>
      <c r="B2772" s="10">
        <v>124</v>
      </c>
      <c r="C2772" s="4">
        <v>6427</v>
      </c>
      <c r="D2772" s="3">
        <v>0.85</v>
      </c>
      <c r="E2772" s="3"/>
      <c r="F2772" s="9">
        <v>100</v>
      </c>
      <c r="G2772" s="9">
        <v>100</v>
      </c>
      <c r="H2772" s="2">
        <f t="shared" si="131"/>
        <v>6404777</v>
      </c>
      <c r="I2772" s="12">
        <f t="shared" si="132"/>
        <v>2.6779166666666666E-2</v>
      </c>
      <c r="J2772" s="12">
        <f t="shared" si="133"/>
        <v>0.21521428091397848</v>
      </c>
    </row>
    <row r="2773" spans="1:10" ht="15" customHeight="1">
      <c r="A2773" s="14">
        <v>45507</v>
      </c>
      <c r="B2773" s="10">
        <v>125</v>
      </c>
      <c r="C2773" s="4">
        <v>45156</v>
      </c>
      <c r="D2773" s="3">
        <v>5.63</v>
      </c>
      <c r="E2773" s="3"/>
      <c r="F2773" s="9">
        <v>96.655965757089362</v>
      </c>
      <c r="G2773" s="9">
        <v>100</v>
      </c>
      <c r="H2773" s="2">
        <f t="shared" si="131"/>
        <v>6449933</v>
      </c>
      <c r="I2773" s="12">
        <f t="shared" si="132"/>
        <v>0.18815000000000001</v>
      </c>
      <c r="J2773" s="12">
        <f t="shared" si="133"/>
        <v>0.21499776666666667</v>
      </c>
    </row>
    <row r="2774" spans="1:10" ht="15" customHeight="1">
      <c r="A2774" s="14">
        <v>45508</v>
      </c>
      <c r="B2774" s="10">
        <v>126</v>
      </c>
      <c r="C2774" s="4">
        <v>49964</v>
      </c>
      <c r="D2774" s="3">
        <v>6.25</v>
      </c>
      <c r="E2774" s="3"/>
      <c r="F2774" s="9">
        <v>98.412484864792148</v>
      </c>
      <c r="G2774" s="9">
        <v>100</v>
      </c>
      <c r="H2774" s="2">
        <f t="shared" si="131"/>
        <v>6499897</v>
      </c>
      <c r="I2774" s="12">
        <f t="shared" si="132"/>
        <v>0.20818333333333333</v>
      </c>
      <c r="J2774" s="12">
        <f t="shared" si="133"/>
        <v>0.21494368386243387</v>
      </c>
    </row>
    <row r="2775" spans="1:10" ht="15" customHeight="1">
      <c r="A2775" s="14">
        <v>45509</v>
      </c>
      <c r="B2775" s="10">
        <v>127</v>
      </c>
      <c r="C2775" s="4">
        <v>21200</v>
      </c>
      <c r="D2775" s="3">
        <v>2.87</v>
      </c>
      <c r="E2775" s="3"/>
      <c r="F2775" s="9">
        <v>99.262962433938</v>
      </c>
      <c r="G2775" s="9">
        <v>100</v>
      </c>
      <c r="H2775" s="2">
        <f t="shared" si="131"/>
        <v>6521097</v>
      </c>
      <c r="I2775" s="12">
        <f t="shared" si="132"/>
        <v>8.8333333333333333E-2</v>
      </c>
      <c r="J2775" s="12">
        <f t="shared" si="133"/>
        <v>0.21394675196850393</v>
      </c>
    </row>
    <row r="2776" spans="1:10" ht="15" customHeight="1">
      <c r="A2776" s="14">
        <v>45510</v>
      </c>
      <c r="B2776" s="10">
        <v>128</v>
      </c>
      <c r="C2776" s="4">
        <v>11915</v>
      </c>
      <c r="D2776" s="3">
        <v>1.7</v>
      </c>
      <c r="E2776" s="3"/>
      <c r="F2776" s="9">
        <v>100</v>
      </c>
      <c r="G2776" s="9">
        <v>100</v>
      </c>
      <c r="H2776" s="2">
        <f t="shared" si="131"/>
        <v>6533012</v>
      </c>
      <c r="I2776" s="12">
        <f t="shared" si="132"/>
        <v>4.9645833333333333E-2</v>
      </c>
      <c r="J2776" s="12">
        <f t="shared" si="133"/>
        <v>0.21266315104166666</v>
      </c>
    </row>
    <row r="2777" spans="1:10" ht="15" customHeight="1">
      <c r="A2777" s="14">
        <v>45511</v>
      </c>
      <c r="B2777" s="10">
        <v>129</v>
      </c>
      <c r="C2777" s="4">
        <v>38940</v>
      </c>
      <c r="D2777" s="3">
        <v>5.2</v>
      </c>
      <c r="E2777" s="3"/>
      <c r="F2777" s="9">
        <v>98.764217223150325</v>
      </c>
      <c r="G2777" s="9">
        <v>80.639403162688524</v>
      </c>
      <c r="H2777" s="2">
        <f t="shared" si="131"/>
        <v>6571952</v>
      </c>
      <c r="I2777" s="12">
        <f t="shared" si="132"/>
        <v>0.16225000000000001</v>
      </c>
      <c r="J2777" s="12">
        <f t="shared" si="133"/>
        <v>0.21227235142118864</v>
      </c>
    </row>
    <row r="2778" spans="1:10" ht="15" customHeight="1">
      <c r="A2778" s="14">
        <v>45512</v>
      </c>
      <c r="B2778" s="10">
        <v>130</v>
      </c>
      <c r="C2778" s="4">
        <v>42765</v>
      </c>
      <c r="D2778" s="3">
        <v>5.48</v>
      </c>
      <c r="E2778" s="3"/>
      <c r="F2778" s="9">
        <v>98.973401773215116</v>
      </c>
      <c r="G2778" s="9">
        <v>100</v>
      </c>
      <c r="H2778" s="2">
        <f t="shared" ref="H2778:H2841" si="134">C2778+H2777</f>
        <v>6614717</v>
      </c>
      <c r="I2778" s="12">
        <f t="shared" si="132"/>
        <v>0.1781875</v>
      </c>
      <c r="J2778" s="12">
        <f t="shared" si="133"/>
        <v>0.21201016025641026</v>
      </c>
    </row>
    <row r="2779" spans="1:10" ht="15" customHeight="1">
      <c r="A2779" s="14">
        <v>45513</v>
      </c>
      <c r="B2779" s="10">
        <v>131</v>
      </c>
      <c r="C2779" s="4">
        <v>42327</v>
      </c>
      <c r="D2779" s="3">
        <v>5.42</v>
      </c>
      <c r="E2779" s="3"/>
      <c r="F2779" s="9">
        <v>99.163338139018222</v>
      </c>
      <c r="G2779" s="9">
        <v>100</v>
      </c>
      <c r="H2779" s="2">
        <f t="shared" si="134"/>
        <v>6657044</v>
      </c>
      <c r="I2779" s="12">
        <f t="shared" si="132"/>
        <v>0.17636250000000001</v>
      </c>
      <c r="J2779" s="12">
        <f t="shared" si="133"/>
        <v>0.21173804071246818</v>
      </c>
    </row>
    <row r="2780" spans="1:10" ht="15" customHeight="1">
      <c r="A2780" s="14">
        <v>45514</v>
      </c>
      <c r="B2780" s="10">
        <v>132</v>
      </c>
      <c r="C2780" s="4">
        <v>44967</v>
      </c>
      <c r="D2780" s="3">
        <v>5.55</v>
      </c>
      <c r="E2780" s="3"/>
      <c r="F2780" s="9">
        <v>99.037433155080208</v>
      </c>
      <c r="G2780" s="9">
        <v>100</v>
      </c>
      <c r="H2780" s="2">
        <f t="shared" si="134"/>
        <v>6702011</v>
      </c>
      <c r="I2780" s="12">
        <f t="shared" si="132"/>
        <v>0.18736249999999999</v>
      </c>
      <c r="J2780" s="12">
        <f t="shared" si="133"/>
        <v>0.21155337752525252</v>
      </c>
    </row>
    <row r="2781" spans="1:10" ht="15" customHeight="1">
      <c r="A2781" s="14">
        <v>45515</v>
      </c>
      <c r="B2781" s="10">
        <v>133</v>
      </c>
      <c r="C2781" s="4">
        <v>53823</v>
      </c>
      <c r="D2781" s="3">
        <v>6.87</v>
      </c>
      <c r="E2781" s="3"/>
      <c r="F2781" s="9">
        <v>98.502282236591867</v>
      </c>
      <c r="G2781" s="9">
        <v>100</v>
      </c>
      <c r="H2781" s="2">
        <f t="shared" si="134"/>
        <v>6755834</v>
      </c>
      <c r="I2781" s="12">
        <f t="shared" si="132"/>
        <v>0.2242625</v>
      </c>
      <c r="J2781" s="12">
        <f t="shared" si="133"/>
        <v>0.21164893483709274</v>
      </c>
    </row>
    <row r="2782" spans="1:10" ht="15" customHeight="1">
      <c r="A2782" s="14">
        <v>45516</v>
      </c>
      <c r="B2782" s="10">
        <v>134</v>
      </c>
      <c r="C2782" s="4">
        <v>54970</v>
      </c>
      <c r="D2782" s="3">
        <v>6.98</v>
      </c>
      <c r="E2782" s="3"/>
      <c r="F2782" s="9">
        <v>98.863742635368936</v>
      </c>
      <c r="G2782" s="9">
        <v>100</v>
      </c>
      <c r="H2782" s="2">
        <f t="shared" si="134"/>
        <v>6810804</v>
      </c>
      <c r="I2782" s="12">
        <f t="shared" si="132"/>
        <v>0.22904166666666667</v>
      </c>
      <c r="J2782" s="12">
        <f t="shared" si="133"/>
        <v>0.21177873134328359</v>
      </c>
    </row>
    <row r="2783" spans="1:10" ht="15" customHeight="1">
      <c r="A2783" s="14">
        <v>45517</v>
      </c>
      <c r="B2783" s="10">
        <v>135</v>
      </c>
      <c r="C2783" s="4">
        <v>21454</v>
      </c>
      <c r="D2783" s="3">
        <v>2.88</v>
      </c>
      <c r="E2783" s="3"/>
      <c r="F2783" s="9">
        <v>99.277610557999537</v>
      </c>
      <c r="G2783" s="9">
        <v>100</v>
      </c>
      <c r="H2783" s="2">
        <f t="shared" si="134"/>
        <v>6832258</v>
      </c>
      <c r="I2783" s="12">
        <f t="shared" si="132"/>
        <v>8.9391666666666661E-2</v>
      </c>
      <c r="J2783" s="12">
        <f t="shared" si="133"/>
        <v>0.21087216049382715</v>
      </c>
    </row>
    <row r="2784" spans="1:10" ht="15" customHeight="1">
      <c r="A2784" s="14">
        <v>45518</v>
      </c>
      <c r="B2784" s="10">
        <v>136</v>
      </c>
      <c r="C2784" s="4">
        <v>17193</v>
      </c>
      <c r="D2784" s="3">
        <v>2.34</v>
      </c>
      <c r="E2784" s="3"/>
      <c r="F2784" s="9">
        <v>99.44310376833117</v>
      </c>
      <c r="G2784" s="9">
        <v>100</v>
      </c>
      <c r="H2784" s="2">
        <f t="shared" si="134"/>
        <v>6849451</v>
      </c>
      <c r="I2784" s="12">
        <f t="shared" si="132"/>
        <v>7.1637500000000007E-2</v>
      </c>
      <c r="J2784" s="12">
        <f t="shared" si="133"/>
        <v>0.20984837622549019</v>
      </c>
    </row>
    <row r="2785" spans="1:10" ht="15" customHeight="1">
      <c r="A2785" s="14">
        <v>45519</v>
      </c>
      <c r="B2785" s="10">
        <v>137</v>
      </c>
      <c r="C2785" s="4">
        <v>23829</v>
      </c>
      <c r="D2785" s="3">
        <v>3.22</v>
      </c>
      <c r="E2785" s="3"/>
      <c r="F2785" s="9">
        <v>100</v>
      </c>
      <c r="G2785" s="9">
        <v>100</v>
      </c>
      <c r="H2785" s="2">
        <f t="shared" si="134"/>
        <v>6873280</v>
      </c>
      <c r="I2785" s="12">
        <f t="shared" si="132"/>
        <v>9.9287500000000001E-2</v>
      </c>
      <c r="J2785" s="12">
        <f t="shared" si="133"/>
        <v>0.20904136253041364</v>
      </c>
    </row>
    <row r="2786" spans="1:10" ht="15" customHeight="1">
      <c r="A2786" s="14">
        <v>45520</v>
      </c>
      <c r="B2786" s="10">
        <v>138</v>
      </c>
      <c r="C2786" s="4">
        <v>11119</v>
      </c>
      <c r="D2786" s="3">
        <v>1.65</v>
      </c>
      <c r="E2786" s="3"/>
      <c r="F2786" s="9">
        <v>100</v>
      </c>
      <c r="G2786" s="9">
        <v>100</v>
      </c>
      <c r="H2786" s="2">
        <f t="shared" si="134"/>
        <v>6884399</v>
      </c>
      <c r="I2786" s="12">
        <f t="shared" si="132"/>
        <v>4.6329166666666664E-2</v>
      </c>
      <c r="J2786" s="12">
        <f t="shared" si="133"/>
        <v>0.20786228864734299</v>
      </c>
    </row>
    <row r="2787" spans="1:10" ht="15" customHeight="1">
      <c r="A2787" s="14">
        <v>45521</v>
      </c>
      <c r="B2787" s="10">
        <v>139</v>
      </c>
      <c r="C2787" s="4">
        <v>29568</v>
      </c>
      <c r="D2787" s="3">
        <v>3.8</v>
      </c>
      <c r="E2787" s="3"/>
      <c r="F2787" s="9">
        <v>98.575905613420588</v>
      </c>
      <c r="G2787" s="9">
        <v>100</v>
      </c>
      <c r="H2787" s="2">
        <f t="shared" si="134"/>
        <v>6913967</v>
      </c>
      <c r="I2787" s="12">
        <f t="shared" si="132"/>
        <v>0.1232</v>
      </c>
      <c r="J2787" s="12">
        <f t="shared" si="133"/>
        <v>0.20725320743405276</v>
      </c>
    </row>
    <row r="2788" spans="1:10" ht="15" customHeight="1">
      <c r="A2788" s="14">
        <v>45522</v>
      </c>
      <c r="B2788" s="10">
        <v>140</v>
      </c>
      <c r="C2788" s="4">
        <v>48195</v>
      </c>
      <c r="D2788" s="3">
        <v>6.15</v>
      </c>
      <c r="E2788" s="3"/>
      <c r="F2788" s="9">
        <v>98.477627746889056</v>
      </c>
      <c r="G2788" s="9">
        <v>100</v>
      </c>
      <c r="H2788" s="2">
        <f t="shared" si="134"/>
        <v>6962162</v>
      </c>
      <c r="I2788" s="12">
        <f t="shared" si="132"/>
        <v>0.2008125</v>
      </c>
      <c r="J2788" s="12">
        <f t="shared" si="133"/>
        <v>0.20720720238095239</v>
      </c>
    </row>
    <row r="2789" spans="1:10" ht="15" customHeight="1">
      <c r="A2789" s="14">
        <v>45523</v>
      </c>
      <c r="B2789" s="10">
        <v>141</v>
      </c>
      <c r="C2789" s="4">
        <v>55892</v>
      </c>
      <c r="D2789" s="3">
        <v>6.97</v>
      </c>
      <c r="E2789" s="3"/>
      <c r="F2789" s="9">
        <v>100</v>
      </c>
      <c r="G2789" s="9">
        <v>100</v>
      </c>
      <c r="H2789" s="2">
        <f t="shared" si="134"/>
        <v>7018054</v>
      </c>
      <c r="I2789" s="12">
        <f t="shared" si="132"/>
        <v>0.23288333333333333</v>
      </c>
      <c r="J2789" s="12">
        <f t="shared" si="133"/>
        <v>0.20738930260047281</v>
      </c>
    </row>
    <row r="2790" spans="1:10" ht="15" customHeight="1">
      <c r="A2790" s="14">
        <v>45524</v>
      </c>
      <c r="B2790" s="10">
        <v>142</v>
      </c>
      <c r="C2790" s="4">
        <v>56869</v>
      </c>
      <c r="D2790" s="3">
        <v>7.1</v>
      </c>
      <c r="E2790" s="3"/>
      <c r="F2790" s="9">
        <v>100</v>
      </c>
      <c r="G2790" s="9">
        <v>100</v>
      </c>
      <c r="H2790" s="2">
        <f t="shared" si="134"/>
        <v>7074923</v>
      </c>
      <c r="I2790" s="12">
        <f t="shared" si="132"/>
        <v>0.23695416666666666</v>
      </c>
      <c r="J2790" s="12">
        <f t="shared" si="133"/>
        <v>0.20759750586854461</v>
      </c>
    </row>
    <row r="2791" spans="1:10" ht="15" customHeight="1">
      <c r="A2791" s="14">
        <v>45525</v>
      </c>
      <c r="B2791" s="10">
        <v>143</v>
      </c>
      <c r="C2791" s="4">
        <v>54096</v>
      </c>
      <c r="D2791" s="3">
        <v>6.71</v>
      </c>
      <c r="E2791" s="3"/>
      <c r="F2791" s="9">
        <v>100</v>
      </c>
      <c r="G2791" s="9">
        <v>100</v>
      </c>
      <c r="H2791" s="2">
        <f t="shared" si="134"/>
        <v>7129019</v>
      </c>
      <c r="I2791" s="12">
        <f t="shared" si="132"/>
        <v>0.22539999999999999</v>
      </c>
      <c r="J2791" s="12">
        <f t="shared" si="133"/>
        <v>0.20772199883449882</v>
      </c>
    </row>
    <row r="2792" spans="1:10" ht="15" customHeight="1">
      <c r="A2792" s="14">
        <v>45526</v>
      </c>
      <c r="B2792" s="10">
        <v>144</v>
      </c>
      <c r="C2792" s="4">
        <v>52712</v>
      </c>
      <c r="D2792" s="3">
        <v>6.5584420245006703</v>
      </c>
      <c r="E2792" s="3"/>
      <c r="F2792" s="9">
        <v>100</v>
      </c>
      <c r="G2792" s="9">
        <v>100</v>
      </c>
      <c r="H2792" s="2">
        <f t="shared" si="134"/>
        <v>7181731</v>
      </c>
      <c r="I2792" s="12">
        <f t="shared" si="132"/>
        <v>0.21963333333333335</v>
      </c>
      <c r="J2792" s="12">
        <f t="shared" si="133"/>
        <v>0.20780471643518519</v>
      </c>
    </row>
    <row r="2793" spans="1:10" ht="15" customHeight="1">
      <c r="A2793" s="14">
        <v>45527</v>
      </c>
      <c r="B2793" s="10">
        <v>145</v>
      </c>
      <c r="C2793" s="4">
        <v>38422</v>
      </c>
      <c r="D2793" s="3">
        <v>4.8439274738773701</v>
      </c>
      <c r="E2793" s="3"/>
      <c r="F2793" s="9">
        <v>100</v>
      </c>
      <c r="G2793" s="9">
        <v>100</v>
      </c>
      <c r="H2793" s="2">
        <f t="shared" si="134"/>
        <v>7220153</v>
      </c>
      <c r="I2793" s="12">
        <f t="shared" si="132"/>
        <v>0.16009166666666666</v>
      </c>
      <c r="J2793" s="12">
        <f t="shared" si="133"/>
        <v>0.20747566091954023</v>
      </c>
    </row>
    <row r="2794" spans="1:10" ht="15" customHeight="1">
      <c r="A2794" s="14">
        <v>45528</v>
      </c>
      <c r="B2794" s="10">
        <v>146</v>
      </c>
      <c r="C2794" s="4">
        <v>57392</v>
      </c>
      <c r="D2794" s="3">
        <v>6.94</v>
      </c>
      <c r="E2794" s="3"/>
      <c r="F2794" s="9">
        <v>100</v>
      </c>
      <c r="G2794" s="9">
        <v>100</v>
      </c>
      <c r="H2794" s="2">
        <f t="shared" si="134"/>
        <v>7277545</v>
      </c>
      <c r="I2794" s="12">
        <f t="shared" si="132"/>
        <v>0.23913333333333334</v>
      </c>
      <c r="J2794" s="12">
        <f t="shared" si="133"/>
        <v>0.20769249429223743</v>
      </c>
    </row>
    <row r="2795" spans="1:10" ht="15" customHeight="1">
      <c r="A2795" s="14">
        <v>45529</v>
      </c>
      <c r="B2795" s="10">
        <v>147</v>
      </c>
      <c r="C2795" s="4">
        <v>39227</v>
      </c>
      <c r="D2795" s="3">
        <v>4.67</v>
      </c>
      <c r="E2795" s="3"/>
      <c r="F2795" s="9">
        <v>100</v>
      </c>
      <c r="G2795" s="9">
        <v>100</v>
      </c>
      <c r="H2795" s="2">
        <f t="shared" si="134"/>
        <v>7316772</v>
      </c>
      <c r="I2795" s="12">
        <f t="shared" si="132"/>
        <v>0.16344583333333335</v>
      </c>
      <c r="J2795" s="12">
        <f t="shared" si="133"/>
        <v>0.20739149659863945</v>
      </c>
    </row>
    <row r="2796" spans="1:10" ht="15" customHeight="1">
      <c r="A2796" s="14">
        <v>45530</v>
      </c>
      <c r="B2796" s="10">
        <v>148</v>
      </c>
      <c r="C2796" s="4">
        <v>38077</v>
      </c>
      <c r="D2796" s="3">
        <v>4.84</v>
      </c>
      <c r="E2796" s="3"/>
      <c r="F2796" s="9">
        <v>100</v>
      </c>
      <c r="G2796" s="9">
        <v>100</v>
      </c>
      <c r="H2796" s="2">
        <f t="shared" si="134"/>
        <v>7354849</v>
      </c>
      <c r="I2796" s="12">
        <f t="shared" si="132"/>
        <v>0.15865416666666668</v>
      </c>
      <c r="J2796" s="12">
        <f t="shared" si="133"/>
        <v>0.20706219031531531</v>
      </c>
    </row>
    <row r="2797" spans="1:10" ht="15" customHeight="1">
      <c r="A2797" s="14">
        <v>45531</v>
      </c>
      <c r="B2797" s="10">
        <v>149</v>
      </c>
      <c r="C2797" s="4">
        <v>30226</v>
      </c>
      <c r="D2797" s="3">
        <v>3.71</v>
      </c>
      <c r="E2797" s="3"/>
      <c r="F2797" s="9">
        <v>97.858312113495813</v>
      </c>
      <c r="G2797" s="9">
        <v>100</v>
      </c>
      <c r="H2797" s="2">
        <f t="shared" si="134"/>
        <v>7385075</v>
      </c>
      <c r="I2797" s="12">
        <f t="shared" si="132"/>
        <v>0.12594166666666667</v>
      </c>
      <c r="J2797" s="12">
        <f t="shared" si="133"/>
        <v>0.20651775727069352</v>
      </c>
    </row>
    <row r="2798" spans="1:10" ht="15" customHeight="1">
      <c r="A2798" s="14">
        <v>45532</v>
      </c>
      <c r="B2798" s="10">
        <v>150</v>
      </c>
      <c r="C2798" s="4">
        <v>46543</v>
      </c>
      <c r="D2798" s="3">
        <v>5.69</v>
      </c>
      <c r="E2798" s="3"/>
      <c r="F2798" s="9">
        <v>99.201443717572744</v>
      </c>
      <c r="G2798" s="9">
        <v>100</v>
      </c>
      <c r="H2798" s="2">
        <f t="shared" si="134"/>
        <v>7431618</v>
      </c>
      <c r="I2798" s="12">
        <f t="shared" si="132"/>
        <v>0.19392916666666668</v>
      </c>
      <c r="J2798" s="12">
        <f t="shared" si="133"/>
        <v>0.20643383333333334</v>
      </c>
    </row>
    <row r="2799" spans="1:10" ht="15" customHeight="1">
      <c r="A2799" s="14">
        <v>45533</v>
      </c>
      <c r="B2799" s="10">
        <v>151</v>
      </c>
      <c r="C2799" s="4">
        <v>43757</v>
      </c>
      <c r="D2799" s="3">
        <v>5.7</v>
      </c>
      <c r="E2799" s="3"/>
      <c r="F2799" s="9">
        <v>98.946720470556045</v>
      </c>
      <c r="G2799" s="9">
        <v>100</v>
      </c>
      <c r="H2799" s="2">
        <f t="shared" si="134"/>
        <v>7475375</v>
      </c>
      <c r="I2799" s="12">
        <f t="shared" si="132"/>
        <v>0.18232083333333332</v>
      </c>
      <c r="J2799" s="12">
        <f t="shared" si="133"/>
        <v>0.20627414459161147</v>
      </c>
    </row>
    <row r="2800" spans="1:10" ht="15" customHeight="1">
      <c r="A2800" s="14">
        <v>45534</v>
      </c>
      <c r="B2800" s="10">
        <v>152</v>
      </c>
      <c r="C2800" s="4">
        <v>41376</v>
      </c>
      <c r="D2800" s="3">
        <v>5.0199999999999996</v>
      </c>
      <c r="E2800" s="3"/>
      <c r="F2800" s="9">
        <v>99.755207506969796</v>
      </c>
      <c r="G2800" s="9">
        <v>100</v>
      </c>
      <c r="H2800" s="2">
        <f t="shared" si="134"/>
        <v>7516751</v>
      </c>
      <c r="I2800" s="12">
        <f t="shared" si="132"/>
        <v>0.1724</v>
      </c>
      <c r="J2800" s="12">
        <f t="shared" si="133"/>
        <v>0.20605128837719297</v>
      </c>
    </row>
    <row r="2801" spans="1:10" ht="15" customHeight="1">
      <c r="A2801" s="14">
        <v>45535</v>
      </c>
      <c r="B2801" s="10">
        <v>153</v>
      </c>
      <c r="C2801" s="4">
        <v>51344</v>
      </c>
      <c r="D2801" s="3">
        <v>6.44</v>
      </c>
      <c r="E2801" s="3"/>
      <c r="F2801" s="9">
        <v>98.202257316001706</v>
      </c>
      <c r="G2801" s="9">
        <v>100</v>
      </c>
      <c r="H2801" s="2">
        <f t="shared" si="134"/>
        <v>7568095</v>
      </c>
      <c r="I2801" s="12">
        <f t="shared" si="132"/>
        <v>0.21393333333333334</v>
      </c>
      <c r="J2801" s="12">
        <f t="shared" si="133"/>
        <v>0.20610280501089326</v>
      </c>
    </row>
    <row r="2802" spans="1:10" ht="15" customHeight="1">
      <c r="A2802" s="14">
        <v>45536</v>
      </c>
      <c r="B2802" s="10">
        <v>154</v>
      </c>
      <c r="C2802" s="4">
        <v>57937</v>
      </c>
      <c r="D2802" s="3">
        <v>7.0927132698362101</v>
      </c>
      <c r="E2802" s="3"/>
      <c r="F2802" s="9">
        <v>98.691326700941445</v>
      </c>
      <c r="G2802" s="9">
        <v>100</v>
      </c>
      <c r="H2802" s="2">
        <f t="shared" si="134"/>
        <v>7626032</v>
      </c>
      <c r="I2802" s="12">
        <f t="shared" si="132"/>
        <v>0.24140416666666667</v>
      </c>
      <c r="J2802" s="12">
        <f t="shared" si="133"/>
        <v>0.20633203463203464</v>
      </c>
    </row>
    <row r="2803" spans="1:10" ht="15" customHeight="1">
      <c r="A2803" s="14">
        <v>45537</v>
      </c>
      <c r="B2803" s="10">
        <v>155</v>
      </c>
      <c r="C2803" s="4">
        <v>42816</v>
      </c>
      <c r="D2803" s="3">
        <v>5.1100000000000003</v>
      </c>
      <c r="E2803" s="3"/>
      <c r="F2803" s="9">
        <v>98.994041280558264</v>
      </c>
      <c r="G2803" s="9">
        <v>100</v>
      </c>
      <c r="H2803" s="2">
        <f t="shared" si="134"/>
        <v>7668848</v>
      </c>
      <c r="I2803" s="12">
        <f t="shared" si="132"/>
        <v>0.1784</v>
      </c>
      <c r="J2803" s="12">
        <f t="shared" si="133"/>
        <v>0.20615182795698925</v>
      </c>
    </row>
    <row r="2804" spans="1:10" ht="15" customHeight="1">
      <c r="A2804" s="14">
        <v>45538</v>
      </c>
      <c r="B2804" s="10">
        <v>156</v>
      </c>
      <c r="C2804" s="4">
        <v>33266</v>
      </c>
      <c r="D2804" s="3">
        <v>4.05</v>
      </c>
      <c r="E2804" s="3"/>
      <c r="F2804" s="9">
        <v>100</v>
      </c>
      <c r="G2804" s="9">
        <v>100</v>
      </c>
      <c r="H2804" s="2">
        <f t="shared" si="134"/>
        <v>7702114</v>
      </c>
      <c r="I2804" s="12">
        <f t="shared" si="132"/>
        <v>0.13860833333333333</v>
      </c>
      <c r="J2804" s="12">
        <f t="shared" si="133"/>
        <v>0.20571885683760685</v>
      </c>
    </row>
    <row r="2805" spans="1:10" ht="15" customHeight="1">
      <c r="A2805" s="14">
        <v>45539</v>
      </c>
      <c r="B2805" s="10">
        <v>157</v>
      </c>
      <c r="C2805" s="4">
        <v>37606</v>
      </c>
      <c r="D2805" s="3">
        <v>4.22</v>
      </c>
      <c r="E2805" s="3"/>
      <c r="F2805" s="9">
        <v>100</v>
      </c>
      <c r="G2805" s="9">
        <v>100</v>
      </c>
      <c r="H2805" s="2">
        <f t="shared" si="134"/>
        <v>7739720</v>
      </c>
      <c r="I2805" s="12">
        <f t="shared" si="132"/>
        <v>0.15669166666666667</v>
      </c>
      <c r="J2805" s="12">
        <f t="shared" si="133"/>
        <v>0.20540658174097665</v>
      </c>
    </row>
    <row r="2806" spans="1:10" ht="15" customHeight="1">
      <c r="A2806" s="14">
        <v>45540</v>
      </c>
      <c r="B2806" s="10">
        <v>158</v>
      </c>
      <c r="C2806" s="4">
        <v>50454</v>
      </c>
      <c r="D2806" s="3">
        <v>5.77</v>
      </c>
      <c r="E2806" s="3"/>
      <c r="F2806" s="9">
        <v>100</v>
      </c>
      <c r="G2806" s="9">
        <v>100</v>
      </c>
      <c r="H2806" s="2">
        <f t="shared" si="134"/>
        <v>7790174</v>
      </c>
      <c r="I2806" s="12">
        <f t="shared" si="132"/>
        <v>0.210225</v>
      </c>
      <c r="J2806" s="12">
        <f t="shared" si="133"/>
        <v>0.20543707805907174</v>
      </c>
    </row>
    <row r="2807" spans="1:10" ht="15" customHeight="1">
      <c r="A2807" s="14">
        <v>45541</v>
      </c>
      <c r="B2807" s="10">
        <v>159</v>
      </c>
      <c r="C2807" s="4">
        <v>44475</v>
      </c>
      <c r="D2807" s="3">
        <v>5.39</v>
      </c>
      <c r="E2807" s="3"/>
      <c r="F2807" s="9">
        <v>100</v>
      </c>
      <c r="G2807" s="9">
        <v>100</v>
      </c>
      <c r="H2807" s="2">
        <f t="shared" si="134"/>
        <v>7834649</v>
      </c>
      <c r="I2807" s="12">
        <f t="shared" si="132"/>
        <v>0.18531249999999999</v>
      </c>
      <c r="J2807" s="12">
        <f t="shared" si="133"/>
        <v>0.20531050838574424</v>
      </c>
    </row>
    <row r="2808" spans="1:10" ht="15" customHeight="1">
      <c r="A2808" s="14">
        <v>45542</v>
      </c>
      <c r="B2808" s="10">
        <v>160</v>
      </c>
      <c r="C2808" s="4">
        <v>52345</v>
      </c>
      <c r="D2808" s="3">
        <v>6.4</v>
      </c>
      <c r="E2808" s="3"/>
      <c r="F2808" s="9">
        <v>100</v>
      </c>
      <c r="G2808" s="9">
        <v>100</v>
      </c>
      <c r="H2808" s="2">
        <f t="shared" si="134"/>
        <v>7886994</v>
      </c>
      <c r="I2808" s="12">
        <f t="shared" si="132"/>
        <v>0.21810416666666665</v>
      </c>
      <c r="J2808" s="12">
        <f t="shared" si="133"/>
        <v>0.20539046875</v>
      </c>
    </row>
    <row r="2809" spans="1:10" ht="15" customHeight="1">
      <c r="A2809" s="14">
        <v>45543</v>
      </c>
      <c r="B2809" s="10">
        <v>161</v>
      </c>
      <c r="C2809" s="4">
        <v>52914</v>
      </c>
      <c r="D2809" s="3">
        <v>6.23</v>
      </c>
      <c r="E2809" s="3"/>
      <c r="F2809" s="9">
        <v>100</v>
      </c>
      <c r="G2809" s="9">
        <v>100</v>
      </c>
      <c r="H2809" s="2">
        <f t="shared" si="134"/>
        <v>7939908</v>
      </c>
      <c r="I2809" s="12">
        <f t="shared" si="132"/>
        <v>0.220475</v>
      </c>
      <c r="J2809" s="12">
        <f t="shared" si="133"/>
        <v>0.20548416149068324</v>
      </c>
    </row>
    <row r="2810" spans="1:10" ht="15" customHeight="1">
      <c r="A2810" s="14">
        <v>45544</v>
      </c>
      <c r="B2810" s="10">
        <v>162</v>
      </c>
      <c r="C2810" s="4">
        <v>54453</v>
      </c>
      <c r="D2810" s="3">
        <v>6.48</v>
      </c>
      <c r="E2810" s="3"/>
      <c r="F2810" s="9">
        <v>100</v>
      </c>
      <c r="G2810" s="9">
        <v>100</v>
      </c>
      <c r="H2810" s="2">
        <f t="shared" si="134"/>
        <v>7994361</v>
      </c>
      <c r="I2810" s="12">
        <f t="shared" si="132"/>
        <v>0.22688749999999999</v>
      </c>
      <c r="J2810" s="12">
        <f t="shared" si="133"/>
        <v>0.20561628086419753</v>
      </c>
    </row>
    <row r="2811" spans="1:10" ht="15" customHeight="1">
      <c r="A2811" s="14">
        <v>45545</v>
      </c>
      <c r="B2811" s="10">
        <v>163</v>
      </c>
      <c r="C2811" s="4">
        <v>52302</v>
      </c>
      <c r="D2811" s="3">
        <v>6.2</v>
      </c>
      <c r="E2811" s="3"/>
      <c r="F2811" s="9">
        <v>100</v>
      </c>
      <c r="G2811" s="9">
        <v>100</v>
      </c>
      <c r="H2811" s="2">
        <f t="shared" si="134"/>
        <v>8046663</v>
      </c>
      <c r="I2811" s="12">
        <f t="shared" si="132"/>
        <v>0.21792500000000001</v>
      </c>
      <c r="J2811" s="12">
        <f t="shared" si="133"/>
        <v>0.20569179447852762</v>
      </c>
    </row>
    <row r="2812" spans="1:10" ht="15" customHeight="1">
      <c r="A2812" s="14">
        <v>45546</v>
      </c>
      <c r="B2812" s="10">
        <v>164</v>
      </c>
      <c r="C2812" s="4">
        <v>50982</v>
      </c>
      <c r="D2812" s="3">
        <v>5.8</v>
      </c>
      <c r="E2812" s="3"/>
      <c r="F2812" s="9">
        <v>100</v>
      </c>
      <c r="G2812" s="9">
        <v>100</v>
      </c>
      <c r="H2812" s="2">
        <f t="shared" si="134"/>
        <v>8097645</v>
      </c>
      <c r="I2812" s="12">
        <f t="shared" si="132"/>
        <v>0.212425</v>
      </c>
      <c r="J2812" s="12">
        <f t="shared" si="133"/>
        <v>0.2057328506097561</v>
      </c>
    </row>
    <row r="2813" spans="1:10" ht="15" customHeight="1">
      <c r="A2813" s="14">
        <v>45547</v>
      </c>
      <c r="B2813" s="10">
        <v>165</v>
      </c>
      <c r="C2813" s="4">
        <v>55632</v>
      </c>
      <c r="D2813" s="3">
        <v>6.35</v>
      </c>
      <c r="E2813" s="3"/>
      <c r="F2813" s="9">
        <v>100</v>
      </c>
      <c r="G2813" s="9">
        <v>100</v>
      </c>
      <c r="H2813" s="2">
        <f t="shared" si="134"/>
        <v>8153277</v>
      </c>
      <c r="I2813" s="12">
        <f t="shared" si="132"/>
        <v>0.23180000000000001</v>
      </c>
      <c r="J2813" s="12">
        <f t="shared" si="133"/>
        <v>0.20589083333333333</v>
      </c>
    </row>
    <row r="2814" spans="1:10" ht="15" customHeight="1">
      <c r="A2814" s="14">
        <v>45548</v>
      </c>
      <c r="B2814" s="10">
        <v>166</v>
      </c>
      <c r="C2814" s="4">
        <v>57625</v>
      </c>
      <c r="D2814" s="3">
        <v>6.4</v>
      </c>
      <c r="E2814" s="3"/>
      <c r="F2814" s="9">
        <v>100</v>
      </c>
      <c r="G2814" s="9">
        <v>100</v>
      </c>
      <c r="H2814" s="2">
        <f t="shared" si="134"/>
        <v>8210902</v>
      </c>
      <c r="I2814" s="12">
        <f t="shared" si="132"/>
        <v>0.24010416666666667</v>
      </c>
      <c r="J2814" s="12">
        <f t="shared" si="133"/>
        <v>0.20609693775100402</v>
      </c>
    </row>
    <row r="2815" spans="1:10" ht="15" customHeight="1">
      <c r="A2815" s="14">
        <v>45549</v>
      </c>
      <c r="B2815" s="10">
        <v>167</v>
      </c>
      <c r="C2815" s="4">
        <v>59823</v>
      </c>
      <c r="D2815" s="3">
        <v>6.79</v>
      </c>
      <c r="E2815" s="3"/>
      <c r="F2815" s="9">
        <v>100</v>
      </c>
      <c r="G2815" s="9">
        <v>100</v>
      </c>
      <c r="H2815" s="2">
        <f t="shared" si="134"/>
        <v>8270725</v>
      </c>
      <c r="I2815" s="12">
        <f t="shared" si="132"/>
        <v>0.2492625</v>
      </c>
      <c r="J2815" s="12">
        <f t="shared" si="133"/>
        <v>0.20635541417165668</v>
      </c>
    </row>
    <row r="2816" spans="1:10" ht="15" customHeight="1">
      <c r="A2816" s="14">
        <v>45550</v>
      </c>
      <c r="B2816" s="10">
        <v>168</v>
      </c>
      <c r="C2816" s="4">
        <v>57932</v>
      </c>
      <c r="D2816" s="3">
        <v>6.57</v>
      </c>
      <c r="E2816" s="3"/>
      <c r="F2816" s="9">
        <v>100</v>
      </c>
      <c r="G2816" s="9">
        <v>100</v>
      </c>
      <c r="H2816" s="2">
        <f t="shared" si="134"/>
        <v>8328657</v>
      </c>
      <c r="I2816" s="12">
        <f t="shared" si="132"/>
        <v>0.24138333333333334</v>
      </c>
      <c r="J2816" s="12">
        <f t="shared" si="133"/>
        <v>0.20656391369047619</v>
      </c>
    </row>
    <row r="2817" spans="1:10" ht="15" customHeight="1">
      <c r="A2817" s="14">
        <v>45551</v>
      </c>
      <c r="B2817" s="10">
        <v>169</v>
      </c>
      <c r="C2817" s="4">
        <v>58006</v>
      </c>
      <c r="D2817" s="3">
        <v>6.54</v>
      </c>
      <c r="E2817" s="3"/>
      <c r="F2817" s="9">
        <v>100</v>
      </c>
      <c r="G2817" s="9">
        <v>100</v>
      </c>
      <c r="H2817" s="2">
        <f t="shared" si="134"/>
        <v>8386663</v>
      </c>
      <c r="I2817" s="12">
        <f t="shared" si="132"/>
        <v>0.24169166666666667</v>
      </c>
      <c r="J2817" s="12">
        <f t="shared" si="133"/>
        <v>0.20677177021696252</v>
      </c>
    </row>
    <row r="2818" spans="1:10" ht="15" customHeight="1">
      <c r="A2818" s="14">
        <v>45552</v>
      </c>
      <c r="B2818" s="10">
        <v>170</v>
      </c>
      <c r="C2818" s="4">
        <v>56662</v>
      </c>
      <c r="D2818" s="3">
        <v>6.45</v>
      </c>
      <c r="E2818" s="3"/>
      <c r="F2818" s="9">
        <v>100</v>
      </c>
      <c r="G2818" s="9">
        <v>100</v>
      </c>
      <c r="H2818" s="2">
        <f t="shared" si="134"/>
        <v>8443325</v>
      </c>
      <c r="I2818" s="12">
        <f t="shared" si="132"/>
        <v>0.23609166666666667</v>
      </c>
      <c r="J2818" s="12">
        <f t="shared" si="133"/>
        <v>0.20694424019607843</v>
      </c>
    </row>
    <row r="2819" spans="1:10" ht="15" customHeight="1">
      <c r="A2819" s="14">
        <v>45553</v>
      </c>
      <c r="B2819" s="10">
        <v>171</v>
      </c>
      <c r="C2819" s="4">
        <v>52405</v>
      </c>
      <c r="D2819" s="3">
        <v>6.12</v>
      </c>
      <c r="E2819" s="3"/>
      <c r="F2819" s="9">
        <v>100</v>
      </c>
      <c r="G2819" s="9">
        <v>100</v>
      </c>
      <c r="H2819" s="2">
        <f t="shared" si="134"/>
        <v>8495730</v>
      </c>
      <c r="I2819" s="12">
        <f t="shared" ref="I2819:I2882" si="135">C2819/(10*24*1000)</f>
        <v>0.21835416666666665</v>
      </c>
      <c r="J2819" s="12">
        <f t="shared" si="133"/>
        <v>0.20701096491228071</v>
      </c>
    </row>
    <row r="2820" spans="1:10" ht="15" customHeight="1">
      <c r="A2820" s="14">
        <v>45554</v>
      </c>
      <c r="B2820" s="10">
        <v>172</v>
      </c>
      <c r="C2820" s="4">
        <v>52025</v>
      </c>
      <c r="D2820" s="3">
        <v>5.92</v>
      </c>
      <c r="E2820" s="3"/>
      <c r="F2820" s="9">
        <v>100</v>
      </c>
      <c r="G2820" s="9">
        <v>100</v>
      </c>
      <c r="H2820" s="2">
        <f t="shared" si="134"/>
        <v>8547755</v>
      </c>
      <c r="I2820" s="12">
        <f t="shared" si="135"/>
        <v>0.21677083333333333</v>
      </c>
      <c r="J2820" s="12">
        <f t="shared" ref="J2820:J2883" si="136">H2820/(24*B2820*10*1000)</f>
        <v>0.20706770833333332</v>
      </c>
    </row>
    <row r="2821" spans="1:10" ht="15" customHeight="1">
      <c r="A2821" s="14">
        <v>45555</v>
      </c>
      <c r="B2821" s="10">
        <v>173</v>
      </c>
      <c r="C2821" s="4">
        <v>50903</v>
      </c>
      <c r="D2821" s="3">
        <v>5.88</v>
      </c>
      <c r="E2821" s="3"/>
      <c r="F2821" s="9">
        <v>100</v>
      </c>
      <c r="G2821" s="9">
        <v>100</v>
      </c>
      <c r="H2821" s="2">
        <f t="shared" si="134"/>
        <v>8598658</v>
      </c>
      <c r="I2821" s="12">
        <f t="shared" si="135"/>
        <v>0.21209583333333334</v>
      </c>
      <c r="J2821" s="12">
        <f t="shared" si="136"/>
        <v>0.20709677263969173</v>
      </c>
    </row>
    <row r="2822" spans="1:10" ht="15" customHeight="1">
      <c r="A2822" s="14">
        <v>45556</v>
      </c>
      <c r="B2822" s="10">
        <v>174</v>
      </c>
      <c r="C2822" s="4">
        <v>48069</v>
      </c>
      <c r="D2822" s="3">
        <v>5.81</v>
      </c>
      <c r="E2822" s="3"/>
      <c r="F2822" s="9">
        <v>100</v>
      </c>
      <c r="G2822" s="9">
        <v>100</v>
      </c>
      <c r="H2822" s="2">
        <f t="shared" si="134"/>
        <v>8646727</v>
      </c>
      <c r="I2822" s="12">
        <f t="shared" si="135"/>
        <v>0.20028750000000001</v>
      </c>
      <c r="J2822" s="12">
        <f t="shared" si="136"/>
        <v>0.2070576388888889</v>
      </c>
    </row>
    <row r="2823" spans="1:10" ht="15" customHeight="1">
      <c r="A2823" s="14">
        <v>45557</v>
      </c>
      <c r="B2823" s="10">
        <v>175</v>
      </c>
      <c r="C2823" s="4">
        <v>51963</v>
      </c>
      <c r="D2823" s="3">
        <v>6.02</v>
      </c>
      <c r="E2823" s="3"/>
      <c r="F2823" s="9">
        <v>100</v>
      </c>
      <c r="G2823" s="9">
        <v>100</v>
      </c>
      <c r="H2823" s="2">
        <f t="shared" si="134"/>
        <v>8698690</v>
      </c>
      <c r="I2823" s="12">
        <f t="shared" si="135"/>
        <v>0.2165125</v>
      </c>
      <c r="J2823" s="12">
        <f t="shared" si="136"/>
        <v>0.20711166666666667</v>
      </c>
    </row>
    <row r="2824" spans="1:10" ht="15" customHeight="1">
      <c r="A2824" s="14">
        <v>45558</v>
      </c>
      <c r="B2824" s="10">
        <v>176</v>
      </c>
      <c r="C2824" s="4">
        <v>52063</v>
      </c>
      <c r="D2824" s="3">
        <v>6.1</v>
      </c>
      <c r="E2824" s="3"/>
      <c r="F2824" s="9">
        <v>100</v>
      </c>
      <c r="G2824" s="9">
        <v>100</v>
      </c>
      <c r="H2824" s="2">
        <f t="shared" si="134"/>
        <v>8750753</v>
      </c>
      <c r="I2824" s="12">
        <f t="shared" si="135"/>
        <v>0.21692916666666667</v>
      </c>
      <c r="J2824" s="12">
        <f t="shared" si="136"/>
        <v>0.20716744791666666</v>
      </c>
    </row>
    <row r="2825" spans="1:10" ht="15" customHeight="1">
      <c r="A2825" s="14">
        <v>45559</v>
      </c>
      <c r="B2825" s="10">
        <v>177</v>
      </c>
      <c r="C2825" s="4">
        <v>37865</v>
      </c>
      <c r="D2825" s="3">
        <v>5.92</v>
      </c>
      <c r="E2825" s="3"/>
      <c r="F2825" s="9">
        <v>100</v>
      </c>
      <c r="G2825" s="9">
        <v>83.014365261335456</v>
      </c>
      <c r="H2825" s="2">
        <f t="shared" si="134"/>
        <v>8788618</v>
      </c>
      <c r="I2825" s="12">
        <f t="shared" si="135"/>
        <v>0.15777083333333333</v>
      </c>
      <c r="J2825" s="12">
        <f t="shared" si="136"/>
        <v>0.20688837099811677</v>
      </c>
    </row>
    <row r="2826" spans="1:10" ht="15" customHeight="1">
      <c r="A2826" s="14">
        <v>45560</v>
      </c>
      <c r="B2826" s="10">
        <v>178</v>
      </c>
      <c r="C2826" s="4">
        <v>51770</v>
      </c>
      <c r="D2826" s="3">
        <v>5.86</v>
      </c>
      <c r="E2826" s="3"/>
      <c r="F2826" s="9">
        <v>100</v>
      </c>
      <c r="G2826" s="9">
        <v>100</v>
      </c>
      <c r="H2826" s="2">
        <f t="shared" si="134"/>
        <v>8840388</v>
      </c>
      <c r="I2826" s="12">
        <f t="shared" si="135"/>
        <v>0.21570833333333334</v>
      </c>
      <c r="J2826" s="12">
        <f t="shared" si="136"/>
        <v>0.2069379213483146</v>
      </c>
    </row>
    <row r="2827" spans="1:10" ht="15" customHeight="1">
      <c r="A2827" s="14">
        <v>45561</v>
      </c>
      <c r="B2827" s="10">
        <v>179</v>
      </c>
      <c r="C2827" s="4">
        <v>52219</v>
      </c>
      <c r="D2827" s="3">
        <v>5.86</v>
      </c>
      <c r="E2827" s="3"/>
      <c r="F2827" s="9">
        <v>100</v>
      </c>
      <c r="G2827" s="9">
        <v>98.144138570986698</v>
      </c>
      <c r="H2827" s="2">
        <f t="shared" si="134"/>
        <v>8892607</v>
      </c>
      <c r="I2827" s="12">
        <f t="shared" si="135"/>
        <v>0.21757916666666666</v>
      </c>
      <c r="J2827" s="12">
        <f t="shared" si="136"/>
        <v>0.20699736964618248</v>
      </c>
    </row>
    <row r="2828" spans="1:10" ht="15" customHeight="1">
      <c r="A2828" s="14">
        <v>45562</v>
      </c>
      <c r="B2828" s="10">
        <v>180</v>
      </c>
      <c r="C2828" s="4">
        <v>49096</v>
      </c>
      <c r="D2828" s="3">
        <v>5.33</v>
      </c>
      <c r="E2828" s="3"/>
      <c r="F2828" s="9">
        <v>100</v>
      </c>
      <c r="G2828" s="9">
        <v>100</v>
      </c>
      <c r="H2828" s="2">
        <f t="shared" si="134"/>
        <v>8941703</v>
      </c>
      <c r="I2828" s="12">
        <f t="shared" si="135"/>
        <v>0.20456666666666667</v>
      </c>
      <c r="J2828" s="12">
        <f t="shared" si="136"/>
        <v>0.20698386574074074</v>
      </c>
    </row>
    <row r="2829" spans="1:10" ht="15" customHeight="1">
      <c r="A2829" s="14">
        <v>45563</v>
      </c>
      <c r="B2829" s="10">
        <v>181</v>
      </c>
      <c r="C2829" s="4">
        <v>45452</v>
      </c>
      <c r="D2829" s="3">
        <v>5.21</v>
      </c>
      <c r="E2829" s="3"/>
      <c r="F2829" s="9">
        <v>100</v>
      </c>
      <c r="G2829" s="9">
        <v>100</v>
      </c>
      <c r="H2829" s="2">
        <f t="shared" si="134"/>
        <v>8987155</v>
      </c>
      <c r="I2829" s="12">
        <f t="shared" si="135"/>
        <v>0.18938333333333332</v>
      </c>
      <c r="J2829" s="12">
        <f t="shared" si="136"/>
        <v>0.20688662523020257</v>
      </c>
    </row>
    <row r="2830" spans="1:10" ht="15" customHeight="1">
      <c r="A2830" s="14">
        <v>45564</v>
      </c>
      <c r="B2830" s="10">
        <v>182</v>
      </c>
      <c r="C2830" s="4">
        <v>53172</v>
      </c>
      <c r="D2830" s="3">
        <v>5.6764977180925502</v>
      </c>
      <c r="E2830" s="3"/>
      <c r="F2830" s="9">
        <v>100</v>
      </c>
      <c r="G2830" s="9">
        <v>100</v>
      </c>
      <c r="H2830" s="2">
        <f t="shared" si="134"/>
        <v>9040327</v>
      </c>
      <c r="I2830" s="12">
        <f t="shared" si="135"/>
        <v>0.22155</v>
      </c>
      <c r="J2830" s="12">
        <f t="shared" si="136"/>
        <v>0.20696719322344323</v>
      </c>
    </row>
    <row r="2831" spans="1:10" ht="15" customHeight="1">
      <c r="A2831" s="14">
        <v>45565</v>
      </c>
      <c r="B2831" s="10">
        <v>183</v>
      </c>
      <c r="C2831" s="4">
        <v>47627</v>
      </c>
      <c r="D2831" s="3">
        <v>5.52</v>
      </c>
      <c r="E2831" s="3"/>
      <c r="F2831" s="9">
        <v>100</v>
      </c>
      <c r="G2831" s="9">
        <v>100</v>
      </c>
      <c r="H2831" s="2">
        <f t="shared" si="134"/>
        <v>9087954</v>
      </c>
      <c r="I2831" s="12">
        <f t="shared" si="135"/>
        <v>0.19844583333333332</v>
      </c>
      <c r="J2831" s="12">
        <f t="shared" si="136"/>
        <v>0.20692062841530054</v>
      </c>
    </row>
    <row r="2832" spans="1:10" ht="15" customHeight="1">
      <c r="A2832" s="14">
        <v>45566</v>
      </c>
      <c r="B2832" s="10">
        <v>184</v>
      </c>
      <c r="C2832" s="4">
        <v>53635</v>
      </c>
      <c r="D2832" s="3">
        <v>5.67</v>
      </c>
      <c r="E2832" s="3"/>
      <c r="F2832" s="9">
        <v>100</v>
      </c>
      <c r="G2832" s="9">
        <v>100</v>
      </c>
      <c r="H2832" s="2">
        <f t="shared" si="134"/>
        <v>9141589</v>
      </c>
      <c r="I2832" s="12">
        <f t="shared" si="135"/>
        <v>0.22347916666666667</v>
      </c>
      <c r="J2832" s="12">
        <f t="shared" si="136"/>
        <v>0.20701062047101448</v>
      </c>
    </row>
    <row r="2833" spans="1:10" ht="15" customHeight="1">
      <c r="A2833" s="14">
        <v>45567</v>
      </c>
      <c r="B2833" s="10">
        <v>185</v>
      </c>
      <c r="C2833" s="4">
        <v>56257</v>
      </c>
      <c r="D2833" s="3">
        <v>5.91</v>
      </c>
      <c r="E2833" s="3"/>
      <c r="F2833" s="9">
        <v>100</v>
      </c>
      <c r="G2833" s="9">
        <v>100</v>
      </c>
      <c r="H2833" s="2">
        <f t="shared" si="134"/>
        <v>9197846</v>
      </c>
      <c r="I2833" s="12">
        <f t="shared" si="135"/>
        <v>0.23440416666666666</v>
      </c>
      <c r="J2833" s="12">
        <f t="shared" si="136"/>
        <v>0.20715869369369369</v>
      </c>
    </row>
    <row r="2834" spans="1:10" ht="15" customHeight="1">
      <c r="A2834" s="14">
        <v>45568</v>
      </c>
      <c r="B2834" s="10">
        <v>186</v>
      </c>
      <c r="C2834" s="4">
        <v>56843</v>
      </c>
      <c r="D2834" s="3">
        <v>5.95</v>
      </c>
      <c r="E2834" s="3"/>
      <c r="F2834" s="9">
        <v>100</v>
      </c>
      <c r="G2834" s="9">
        <v>100</v>
      </c>
      <c r="H2834" s="2">
        <f t="shared" si="134"/>
        <v>9254689</v>
      </c>
      <c r="I2834" s="12">
        <f t="shared" si="135"/>
        <v>0.23684583333333334</v>
      </c>
      <c r="J2834" s="12">
        <f t="shared" si="136"/>
        <v>0.20731830197132617</v>
      </c>
    </row>
    <row r="2835" spans="1:10" ht="15" customHeight="1">
      <c r="A2835" s="14">
        <v>45569</v>
      </c>
      <c r="B2835" s="10">
        <v>187</v>
      </c>
      <c r="C2835" s="4">
        <v>57350</v>
      </c>
      <c r="D2835" s="3">
        <v>5.86</v>
      </c>
      <c r="E2835" s="3"/>
      <c r="F2835" s="9">
        <v>100</v>
      </c>
      <c r="G2835" s="9">
        <v>100</v>
      </c>
      <c r="H2835" s="2">
        <f t="shared" si="134"/>
        <v>9312039</v>
      </c>
      <c r="I2835" s="12">
        <f t="shared" si="135"/>
        <v>0.23895833333333333</v>
      </c>
      <c r="J2835" s="12">
        <f t="shared" si="136"/>
        <v>0.20748749999999999</v>
      </c>
    </row>
    <row r="2836" spans="1:10" ht="15" customHeight="1">
      <c r="A2836" s="14">
        <v>45570</v>
      </c>
      <c r="B2836" s="10">
        <v>188</v>
      </c>
      <c r="C2836" s="4">
        <v>57589</v>
      </c>
      <c r="D2836" s="3">
        <v>5.95</v>
      </c>
      <c r="E2836" s="3"/>
      <c r="F2836" s="9">
        <v>100</v>
      </c>
      <c r="G2836" s="9">
        <v>100</v>
      </c>
      <c r="H2836" s="2">
        <f t="shared" si="134"/>
        <v>9369628</v>
      </c>
      <c r="I2836" s="12">
        <f t="shared" si="135"/>
        <v>0.23995416666666666</v>
      </c>
      <c r="J2836" s="12">
        <f t="shared" si="136"/>
        <v>0.20766019503546099</v>
      </c>
    </row>
    <row r="2837" spans="1:10" ht="15" customHeight="1">
      <c r="A2837" s="14">
        <v>45571</v>
      </c>
      <c r="B2837" s="10">
        <v>189</v>
      </c>
      <c r="C2837" s="4">
        <v>51984</v>
      </c>
      <c r="D2837" s="3">
        <v>5.71</v>
      </c>
      <c r="E2837" s="3"/>
      <c r="F2837" s="9">
        <v>100</v>
      </c>
      <c r="G2837" s="9">
        <v>100</v>
      </c>
      <c r="H2837" s="2">
        <f t="shared" si="134"/>
        <v>9421612</v>
      </c>
      <c r="I2837" s="12">
        <f t="shared" si="135"/>
        <v>0.21659999999999999</v>
      </c>
      <c r="J2837" s="12">
        <f t="shared" si="136"/>
        <v>0.20770749559082893</v>
      </c>
    </row>
    <row r="2838" spans="1:10" ht="15" customHeight="1">
      <c r="A2838" s="14">
        <v>45572</v>
      </c>
      <c r="B2838" s="10">
        <v>190</v>
      </c>
      <c r="C2838" s="4">
        <v>47350</v>
      </c>
      <c r="D2838" s="3">
        <v>5.1100000000000003</v>
      </c>
      <c r="E2838" s="3"/>
      <c r="F2838" s="9">
        <v>100</v>
      </c>
      <c r="G2838" s="9">
        <v>100</v>
      </c>
      <c r="H2838" s="2">
        <f t="shared" si="134"/>
        <v>9468962</v>
      </c>
      <c r="I2838" s="12">
        <f t="shared" si="135"/>
        <v>0.19729166666666667</v>
      </c>
      <c r="J2838" s="12">
        <f t="shared" si="136"/>
        <v>0.2076526754385965</v>
      </c>
    </row>
    <row r="2839" spans="1:10" ht="15" customHeight="1">
      <c r="A2839" s="14">
        <v>45573</v>
      </c>
      <c r="B2839" s="10">
        <v>191</v>
      </c>
      <c r="C2839" s="4">
        <v>49188</v>
      </c>
      <c r="D2839" s="3">
        <v>5.2423315137625401</v>
      </c>
      <c r="E2839" s="3"/>
      <c r="F2839" s="9">
        <v>100</v>
      </c>
      <c r="G2839" s="9">
        <v>100</v>
      </c>
      <c r="H2839" s="2">
        <f t="shared" si="134"/>
        <v>9518150</v>
      </c>
      <c r="I2839" s="12">
        <f t="shared" si="135"/>
        <v>0.20494999999999999</v>
      </c>
      <c r="J2839" s="12">
        <f t="shared" si="136"/>
        <v>0.20763852530541013</v>
      </c>
    </row>
    <row r="2840" spans="1:10" ht="15" customHeight="1">
      <c r="A2840" s="14">
        <v>45574</v>
      </c>
      <c r="B2840" s="10">
        <v>192</v>
      </c>
      <c r="C2840" s="4">
        <v>51046</v>
      </c>
      <c r="D2840" s="3">
        <v>5.24</v>
      </c>
      <c r="E2840" s="3"/>
      <c r="F2840" s="9">
        <v>100</v>
      </c>
      <c r="G2840" s="9">
        <v>100</v>
      </c>
      <c r="H2840" s="2">
        <f t="shared" si="134"/>
        <v>9569196</v>
      </c>
      <c r="I2840" s="12">
        <f t="shared" si="135"/>
        <v>0.21269166666666667</v>
      </c>
      <c r="J2840" s="12">
        <f t="shared" si="136"/>
        <v>0.20766484374999999</v>
      </c>
    </row>
    <row r="2841" spans="1:10" ht="15" customHeight="1">
      <c r="A2841" s="14">
        <v>45575</v>
      </c>
      <c r="B2841" s="10">
        <v>193</v>
      </c>
      <c r="C2841" s="4">
        <v>55530</v>
      </c>
      <c r="D2841" s="3">
        <v>5.59</v>
      </c>
      <c r="E2841" s="3"/>
      <c r="F2841" s="9">
        <v>100</v>
      </c>
      <c r="G2841" s="9">
        <v>100</v>
      </c>
      <c r="H2841" s="2">
        <f t="shared" si="134"/>
        <v>9624726</v>
      </c>
      <c r="I2841" s="12">
        <f t="shared" si="135"/>
        <v>0.231375</v>
      </c>
      <c r="J2841" s="12">
        <f t="shared" si="136"/>
        <v>0.20778769430051813</v>
      </c>
    </row>
    <row r="2842" spans="1:10" ht="15" customHeight="1">
      <c r="A2842" s="14">
        <v>45576</v>
      </c>
      <c r="B2842" s="10">
        <v>194</v>
      </c>
      <c r="C2842" s="4">
        <v>57793</v>
      </c>
      <c r="D2842" s="3">
        <v>5.8</v>
      </c>
      <c r="E2842" s="3"/>
      <c r="F2842" s="9">
        <v>100</v>
      </c>
      <c r="G2842" s="9">
        <v>100</v>
      </c>
      <c r="H2842" s="2">
        <f t="shared" ref="H2842:H2905" si="137">C2842+H2841</f>
        <v>9682519</v>
      </c>
      <c r="I2842" s="12">
        <f t="shared" si="135"/>
        <v>0.24080416666666668</v>
      </c>
      <c r="J2842" s="12">
        <f t="shared" si="136"/>
        <v>0.2079578823024055</v>
      </c>
    </row>
    <row r="2843" spans="1:10" ht="15" customHeight="1">
      <c r="A2843" s="14">
        <v>45577</v>
      </c>
      <c r="B2843" s="10">
        <v>195</v>
      </c>
      <c r="C2843" s="4">
        <v>55926</v>
      </c>
      <c r="D2843" s="3">
        <v>5.68</v>
      </c>
      <c r="E2843" s="3"/>
      <c r="F2843" s="9">
        <v>100</v>
      </c>
      <c r="G2843" s="9">
        <v>100</v>
      </c>
      <c r="H2843" s="2">
        <f t="shared" si="137"/>
        <v>9738445</v>
      </c>
      <c r="I2843" s="12">
        <f t="shared" si="135"/>
        <v>0.23302500000000001</v>
      </c>
      <c r="J2843" s="12">
        <f t="shared" si="136"/>
        <v>0.20808643162393162</v>
      </c>
    </row>
    <row r="2844" spans="1:10" ht="15" customHeight="1">
      <c r="A2844" s="14">
        <v>45578</v>
      </c>
      <c r="B2844" s="10">
        <v>196</v>
      </c>
      <c r="C2844" s="4">
        <v>40609</v>
      </c>
      <c r="D2844" s="3">
        <v>4.5</v>
      </c>
      <c r="E2844" s="3"/>
      <c r="F2844" s="9">
        <v>100</v>
      </c>
      <c r="G2844" s="9">
        <v>100</v>
      </c>
      <c r="H2844" s="2">
        <f t="shared" si="137"/>
        <v>9779054</v>
      </c>
      <c r="I2844" s="12">
        <f t="shared" si="135"/>
        <v>0.16920416666666666</v>
      </c>
      <c r="J2844" s="12">
        <f t="shared" si="136"/>
        <v>0.20788805272108843</v>
      </c>
    </row>
    <row r="2845" spans="1:10" ht="15" customHeight="1">
      <c r="A2845" s="14">
        <v>45579</v>
      </c>
      <c r="B2845" s="10">
        <v>197</v>
      </c>
      <c r="C2845" s="4">
        <v>46846</v>
      </c>
      <c r="D2845" s="3">
        <v>4.79</v>
      </c>
      <c r="E2845" s="3"/>
      <c r="F2845" s="9">
        <v>100</v>
      </c>
      <c r="G2845" s="9">
        <v>100</v>
      </c>
      <c r="H2845" s="2">
        <f t="shared" si="137"/>
        <v>9825900</v>
      </c>
      <c r="I2845" s="12">
        <f t="shared" si="135"/>
        <v>0.19519166666666668</v>
      </c>
      <c r="J2845" s="12">
        <f t="shared" si="136"/>
        <v>0.20782360406091371</v>
      </c>
    </row>
    <row r="2846" spans="1:10" ht="15" customHeight="1">
      <c r="A2846" s="14">
        <v>45580</v>
      </c>
      <c r="B2846" s="10">
        <v>198</v>
      </c>
      <c r="C2846" s="4">
        <v>54395</v>
      </c>
      <c r="D2846" s="3">
        <v>5.44</v>
      </c>
      <c r="E2846" s="3"/>
      <c r="F2846" s="9">
        <v>100</v>
      </c>
      <c r="G2846" s="9">
        <v>100</v>
      </c>
      <c r="H2846" s="2">
        <f t="shared" si="137"/>
        <v>9880295</v>
      </c>
      <c r="I2846" s="12">
        <f t="shared" si="135"/>
        <v>0.22664583333333332</v>
      </c>
      <c r="J2846" s="12">
        <f t="shared" si="136"/>
        <v>0.20791866582491583</v>
      </c>
    </row>
    <row r="2847" spans="1:10" ht="15" customHeight="1">
      <c r="A2847" s="14">
        <v>45581</v>
      </c>
      <c r="B2847" s="10">
        <v>199</v>
      </c>
      <c r="C2847" s="4">
        <v>34580</v>
      </c>
      <c r="D2847" s="3">
        <v>3.86</v>
      </c>
      <c r="E2847" s="3"/>
      <c r="F2847" s="9">
        <v>100</v>
      </c>
      <c r="G2847" s="9">
        <v>100</v>
      </c>
      <c r="H2847" s="2">
        <f t="shared" si="137"/>
        <v>9914875</v>
      </c>
      <c r="I2847" s="12">
        <f t="shared" si="135"/>
        <v>0.14408333333333334</v>
      </c>
      <c r="J2847" s="12">
        <f t="shared" si="136"/>
        <v>0.20759788525963149</v>
      </c>
    </row>
    <row r="2848" spans="1:10" ht="15" customHeight="1">
      <c r="A2848" s="14">
        <v>45582</v>
      </c>
      <c r="B2848" s="10">
        <v>200</v>
      </c>
      <c r="C2848" s="4">
        <v>40520</v>
      </c>
      <c r="D2848" s="3">
        <v>4.3</v>
      </c>
      <c r="E2848" s="3"/>
      <c r="F2848" s="9">
        <v>100</v>
      </c>
      <c r="G2848" s="9">
        <v>100</v>
      </c>
      <c r="H2848" s="2">
        <f t="shared" si="137"/>
        <v>9955395</v>
      </c>
      <c r="I2848" s="12">
        <f t="shared" si="135"/>
        <v>0.16883333333333334</v>
      </c>
      <c r="J2848" s="12">
        <f t="shared" si="136"/>
        <v>0.20740406250000001</v>
      </c>
    </row>
    <row r="2849" spans="1:10" ht="15" customHeight="1">
      <c r="A2849" s="14">
        <v>45583</v>
      </c>
      <c r="B2849" s="10">
        <v>201</v>
      </c>
      <c r="C2849" s="4">
        <v>50828</v>
      </c>
      <c r="D2849" s="3">
        <v>5.1100000000000003</v>
      </c>
      <c r="E2849" s="3"/>
      <c r="F2849" s="9">
        <v>100</v>
      </c>
      <c r="G2849" s="9">
        <v>100</v>
      </c>
      <c r="H2849" s="2">
        <f t="shared" si="137"/>
        <v>10006223</v>
      </c>
      <c r="I2849" s="12">
        <f t="shared" si="135"/>
        <v>0.21178333333333332</v>
      </c>
      <c r="J2849" s="12">
        <f t="shared" si="136"/>
        <v>0.20742584991708127</v>
      </c>
    </row>
    <row r="2850" spans="1:10" ht="15" customHeight="1">
      <c r="A2850" s="14">
        <v>45584</v>
      </c>
      <c r="B2850" s="10">
        <v>202</v>
      </c>
      <c r="C2850" s="4">
        <v>51213</v>
      </c>
      <c r="D2850" s="3">
        <v>5.05</v>
      </c>
      <c r="E2850" s="3"/>
      <c r="F2850" s="9">
        <v>100</v>
      </c>
      <c r="G2850" s="9">
        <v>100</v>
      </c>
      <c r="H2850" s="2">
        <f t="shared" si="137"/>
        <v>10057436</v>
      </c>
      <c r="I2850" s="12">
        <f t="shared" si="135"/>
        <v>0.21338750000000001</v>
      </c>
      <c r="J2850" s="12">
        <f t="shared" si="136"/>
        <v>0.20745536303630363</v>
      </c>
    </row>
    <row r="2851" spans="1:10" ht="15" customHeight="1">
      <c r="A2851" s="14">
        <v>45585</v>
      </c>
      <c r="B2851" s="10">
        <v>203</v>
      </c>
      <c r="C2851" s="4">
        <v>44339</v>
      </c>
      <c r="D2851" s="3">
        <v>4.51</v>
      </c>
      <c r="E2851" s="3"/>
      <c r="F2851" s="9">
        <v>100</v>
      </c>
      <c r="G2851" s="9">
        <v>93.341286796326614</v>
      </c>
      <c r="H2851" s="2">
        <f t="shared" si="137"/>
        <v>10101775</v>
      </c>
      <c r="I2851" s="12">
        <f t="shared" si="135"/>
        <v>0.18474583333333333</v>
      </c>
      <c r="J2851" s="12">
        <f t="shared" si="136"/>
        <v>0.20734349343185551</v>
      </c>
    </row>
    <row r="2852" spans="1:10" ht="15" customHeight="1">
      <c r="A2852" s="14">
        <v>45586</v>
      </c>
      <c r="B2852" s="10">
        <v>204</v>
      </c>
      <c r="C2852" s="4">
        <v>41010</v>
      </c>
      <c r="D2852" s="3">
        <v>4.25</v>
      </c>
      <c r="E2852" s="3"/>
      <c r="F2852" s="9">
        <v>100</v>
      </c>
      <c r="G2852" s="9">
        <v>100</v>
      </c>
      <c r="H2852" s="2">
        <f t="shared" si="137"/>
        <v>10142785</v>
      </c>
      <c r="I2852" s="12">
        <f t="shared" si="135"/>
        <v>0.170875</v>
      </c>
      <c r="J2852" s="12">
        <f t="shared" si="136"/>
        <v>0.20716472630718955</v>
      </c>
    </row>
    <row r="2853" spans="1:10" ht="15" customHeight="1">
      <c r="A2853" s="14">
        <v>45587</v>
      </c>
      <c r="B2853" s="10">
        <v>205</v>
      </c>
      <c r="C2853" s="4">
        <v>48853</v>
      </c>
      <c r="D2853" s="3">
        <v>4.79</v>
      </c>
      <c r="E2853" s="3"/>
      <c r="F2853" s="9">
        <v>100</v>
      </c>
      <c r="G2853" s="9">
        <v>100</v>
      </c>
      <c r="H2853" s="2">
        <f t="shared" si="137"/>
        <v>10191638</v>
      </c>
      <c r="I2853" s="12">
        <f t="shared" si="135"/>
        <v>0.20355416666666667</v>
      </c>
      <c r="J2853" s="12">
        <f t="shared" si="136"/>
        <v>0.20714711382113821</v>
      </c>
    </row>
    <row r="2854" spans="1:10" ht="15" customHeight="1">
      <c r="A2854" s="14">
        <v>45588</v>
      </c>
      <c r="B2854" s="10">
        <v>206</v>
      </c>
      <c r="C2854" s="4">
        <v>48798</v>
      </c>
      <c r="D2854" s="3">
        <v>4.7555063576425098</v>
      </c>
      <c r="E2854" s="3"/>
      <c r="F2854" s="9">
        <v>100</v>
      </c>
      <c r="G2854" s="9">
        <v>100</v>
      </c>
      <c r="H2854" s="2">
        <f t="shared" si="137"/>
        <v>10240436</v>
      </c>
      <c r="I2854" s="12">
        <f t="shared" si="135"/>
        <v>0.20332500000000001</v>
      </c>
      <c r="J2854" s="12">
        <f t="shared" si="136"/>
        <v>0.20712855987055015</v>
      </c>
    </row>
    <row r="2855" spans="1:10" ht="15" customHeight="1">
      <c r="A2855" s="14">
        <v>45589</v>
      </c>
      <c r="B2855" s="10">
        <v>207</v>
      </c>
      <c r="C2855" s="4">
        <v>50052</v>
      </c>
      <c r="D2855" s="3">
        <v>4.8600000000000003</v>
      </c>
      <c r="E2855" s="3"/>
      <c r="F2855" s="9">
        <v>100</v>
      </c>
      <c r="G2855" s="9">
        <v>100</v>
      </c>
      <c r="H2855" s="2">
        <f t="shared" si="137"/>
        <v>10290488</v>
      </c>
      <c r="I2855" s="12">
        <f t="shared" si="135"/>
        <v>0.20855000000000001</v>
      </c>
      <c r="J2855" s="12">
        <f t="shared" si="136"/>
        <v>0.2071354267310789</v>
      </c>
    </row>
    <row r="2856" spans="1:10" ht="15" customHeight="1">
      <c r="A2856" s="14">
        <v>45590</v>
      </c>
      <c r="B2856" s="10">
        <v>208</v>
      </c>
      <c r="C2856" s="4">
        <v>48887</v>
      </c>
      <c r="D2856" s="3">
        <v>4.8</v>
      </c>
      <c r="E2856" s="3"/>
      <c r="F2856" s="9">
        <v>100</v>
      </c>
      <c r="G2856" s="9">
        <v>100</v>
      </c>
      <c r="H2856" s="2">
        <f t="shared" si="137"/>
        <v>10339375</v>
      </c>
      <c r="I2856" s="12">
        <f t="shared" si="135"/>
        <v>0.20369583333333333</v>
      </c>
      <c r="J2856" s="12">
        <f t="shared" si="136"/>
        <v>0.20711889022435898</v>
      </c>
    </row>
    <row r="2857" spans="1:10" ht="15" customHeight="1">
      <c r="A2857" s="14">
        <v>45591</v>
      </c>
      <c r="B2857" s="10">
        <v>209</v>
      </c>
      <c r="C2857" s="4">
        <v>49932</v>
      </c>
      <c r="D2857" s="3">
        <v>4.92</v>
      </c>
      <c r="E2857" s="3"/>
      <c r="F2857" s="9">
        <v>100</v>
      </c>
      <c r="G2857" s="9">
        <v>100</v>
      </c>
      <c r="H2857" s="2">
        <f t="shared" si="137"/>
        <v>10389307</v>
      </c>
      <c r="I2857" s="12">
        <f t="shared" si="135"/>
        <v>0.20805000000000001</v>
      </c>
      <c r="J2857" s="12">
        <f t="shared" si="136"/>
        <v>0.20712334529505583</v>
      </c>
    </row>
    <row r="2858" spans="1:10" ht="15" customHeight="1">
      <c r="A2858" s="14">
        <v>45592</v>
      </c>
      <c r="B2858" s="10">
        <v>210</v>
      </c>
      <c r="C2858" s="4">
        <v>49916</v>
      </c>
      <c r="D2858" s="3">
        <v>4.17</v>
      </c>
      <c r="E2858" s="3"/>
      <c r="F2858" s="9">
        <v>100</v>
      </c>
      <c r="G2858" s="9">
        <v>100</v>
      </c>
      <c r="H2858" s="2">
        <f t="shared" si="137"/>
        <v>10439223</v>
      </c>
      <c r="I2858" s="12">
        <f t="shared" si="135"/>
        <v>0.20798333333333333</v>
      </c>
      <c r="J2858" s="12">
        <f t="shared" si="136"/>
        <v>0.20712744047619047</v>
      </c>
    </row>
    <row r="2859" spans="1:10" ht="15" customHeight="1">
      <c r="A2859" s="14">
        <v>45593</v>
      </c>
      <c r="B2859" s="10">
        <v>211</v>
      </c>
      <c r="C2859" s="4">
        <v>49686</v>
      </c>
      <c r="D2859" s="3">
        <v>4.8899999999999997</v>
      </c>
      <c r="E2859" s="3"/>
      <c r="F2859" s="9">
        <v>100</v>
      </c>
      <c r="G2859" s="9">
        <v>100</v>
      </c>
      <c r="H2859" s="2">
        <f t="shared" si="137"/>
        <v>10488909</v>
      </c>
      <c r="I2859" s="12">
        <f t="shared" si="135"/>
        <v>0.20702499999999999</v>
      </c>
      <c r="J2859" s="12">
        <f t="shared" si="136"/>
        <v>0.20712695497630332</v>
      </c>
    </row>
    <row r="2860" spans="1:10" ht="15" customHeight="1">
      <c r="A2860" s="14">
        <v>45594</v>
      </c>
      <c r="B2860" s="10">
        <v>212</v>
      </c>
      <c r="C2860" s="4">
        <v>49018</v>
      </c>
      <c r="D2860" s="3">
        <v>4.82</v>
      </c>
      <c r="E2860" s="3"/>
      <c r="F2860" s="9">
        <v>100</v>
      </c>
      <c r="G2860" s="9">
        <v>100</v>
      </c>
      <c r="H2860" s="2">
        <f t="shared" si="137"/>
        <v>10537927</v>
      </c>
      <c r="I2860" s="12">
        <f t="shared" si="135"/>
        <v>0.20424166666666665</v>
      </c>
      <c r="J2860" s="12">
        <f t="shared" si="136"/>
        <v>0.20711334512578616</v>
      </c>
    </row>
    <row r="2861" spans="1:10" ht="15" customHeight="1">
      <c r="A2861" s="14">
        <v>45595</v>
      </c>
      <c r="B2861" s="10">
        <v>213</v>
      </c>
      <c r="C2861" s="4">
        <v>49432</v>
      </c>
      <c r="D2861" s="3">
        <v>4.12</v>
      </c>
      <c r="E2861" s="3"/>
      <c r="F2861" s="9">
        <v>100</v>
      </c>
      <c r="G2861" s="9">
        <v>100</v>
      </c>
      <c r="H2861" s="2">
        <f t="shared" si="137"/>
        <v>10587359</v>
      </c>
      <c r="I2861" s="12">
        <f t="shared" si="135"/>
        <v>0.20596666666666666</v>
      </c>
      <c r="J2861" s="12">
        <f t="shared" si="136"/>
        <v>0.20710796165884193</v>
      </c>
    </row>
    <row r="2862" spans="1:10" ht="15" customHeight="1">
      <c r="A2862" s="14">
        <v>45596</v>
      </c>
      <c r="B2862" s="10">
        <v>214</v>
      </c>
      <c r="C2862" s="4">
        <v>49384</v>
      </c>
      <c r="D2862" s="3">
        <v>4.8099999999999996</v>
      </c>
      <c r="E2862" s="3"/>
      <c r="F2862" s="9">
        <v>100</v>
      </c>
      <c r="G2862" s="9">
        <v>100</v>
      </c>
      <c r="H2862" s="2">
        <f t="shared" si="137"/>
        <v>10636743</v>
      </c>
      <c r="I2862" s="12">
        <f t="shared" si="135"/>
        <v>0.20576666666666665</v>
      </c>
      <c r="J2862" s="12">
        <f t="shared" si="136"/>
        <v>0.20710169392523364</v>
      </c>
    </row>
    <row r="2863" spans="1:10" ht="15" customHeight="1">
      <c r="A2863" s="14">
        <v>45597</v>
      </c>
      <c r="B2863" s="10">
        <v>215</v>
      </c>
      <c r="C2863" s="4">
        <v>44497</v>
      </c>
      <c r="D2863" s="3">
        <v>4.38</v>
      </c>
      <c r="E2863" s="3"/>
      <c r="F2863" s="9">
        <v>100</v>
      </c>
      <c r="G2863" s="9">
        <v>100</v>
      </c>
      <c r="H2863" s="2">
        <f t="shared" si="137"/>
        <v>10681240</v>
      </c>
      <c r="I2863" s="12">
        <f t="shared" si="135"/>
        <v>0.18540416666666668</v>
      </c>
      <c r="J2863" s="12">
        <f t="shared" si="136"/>
        <v>0.20700077519379845</v>
      </c>
    </row>
    <row r="2864" spans="1:10" ht="15" customHeight="1">
      <c r="A2864" s="14">
        <v>45598</v>
      </c>
      <c r="B2864" s="10">
        <v>216</v>
      </c>
      <c r="C2864" s="4">
        <v>47545</v>
      </c>
      <c r="D2864" s="3">
        <v>4.59</v>
      </c>
      <c r="E2864" s="3"/>
      <c r="F2864" s="9">
        <v>100</v>
      </c>
      <c r="G2864" s="9">
        <v>100</v>
      </c>
      <c r="H2864" s="2">
        <f t="shared" si="137"/>
        <v>10728785</v>
      </c>
      <c r="I2864" s="12">
        <f t="shared" si="135"/>
        <v>0.19810416666666666</v>
      </c>
      <c r="J2864" s="12">
        <f t="shared" si="136"/>
        <v>0.20695958719135801</v>
      </c>
    </row>
    <row r="2865" spans="1:10" ht="15" customHeight="1">
      <c r="A2865" s="14">
        <v>45599</v>
      </c>
      <c r="B2865" s="10">
        <v>217</v>
      </c>
      <c r="C2865" s="4">
        <v>48422</v>
      </c>
      <c r="D2865" s="3">
        <v>4.6569456901534103</v>
      </c>
      <c r="E2865" s="3"/>
      <c r="F2865" s="9">
        <v>100</v>
      </c>
      <c r="G2865" s="9">
        <v>100</v>
      </c>
      <c r="H2865" s="2">
        <f t="shared" si="137"/>
        <v>10777207</v>
      </c>
      <c r="I2865" s="12">
        <f t="shared" si="135"/>
        <v>0.20175833333333335</v>
      </c>
      <c r="J2865" s="12">
        <f t="shared" si="136"/>
        <v>0.20693561827956988</v>
      </c>
    </row>
    <row r="2866" spans="1:10" ht="15" customHeight="1">
      <c r="A2866" s="14">
        <v>45600</v>
      </c>
      <c r="B2866" s="10">
        <v>218</v>
      </c>
      <c r="C2866" s="4">
        <v>47548</v>
      </c>
      <c r="D2866" s="3">
        <v>4.5657648072569899</v>
      </c>
      <c r="E2866" s="3"/>
      <c r="F2866" s="9">
        <v>100</v>
      </c>
      <c r="G2866" s="9">
        <v>100</v>
      </c>
      <c r="H2866" s="2">
        <f t="shared" si="137"/>
        <v>10824755</v>
      </c>
      <c r="I2866" s="12">
        <f t="shared" si="135"/>
        <v>0.19811666666666666</v>
      </c>
      <c r="J2866" s="12">
        <f t="shared" si="136"/>
        <v>0.20689516437308869</v>
      </c>
    </row>
    <row r="2867" spans="1:10" ht="15" customHeight="1">
      <c r="A2867" s="14">
        <v>45601</v>
      </c>
      <c r="B2867" s="10">
        <v>219</v>
      </c>
      <c r="C2867" s="4">
        <v>47602</v>
      </c>
      <c r="D2867" s="3">
        <v>4.57</v>
      </c>
      <c r="E2867" s="3"/>
      <c r="F2867" s="9">
        <v>100</v>
      </c>
      <c r="G2867" s="9">
        <v>100</v>
      </c>
      <c r="H2867" s="2">
        <f t="shared" si="137"/>
        <v>10872357</v>
      </c>
      <c r="I2867" s="12">
        <f t="shared" si="135"/>
        <v>0.19834166666666667</v>
      </c>
      <c r="J2867" s="12">
        <f t="shared" si="136"/>
        <v>0.20685610730593607</v>
      </c>
    </row>
    <row r="2868" spans="1:10" ht="15" customHeight="1">
      <c r="A2868" s="14">
        <v>45602</v>
      </c>
      <c r="B2868" s="10">
        <v>220</v>
      </c>
      <c r="C2868" s="4">
        <v>46237</v>
      </c>
      <c r="D2868" s="3">
        <v>4.4400000000000004</v>
      </c>
      <c r="E2868" s="3"/>
      <c r="F2868" s="9">
        <v>100</v>
      </c>
      <c r="G2868" s="9">
        <v>100</v>
      </c>
      <c r="H2868" s="2">
        <f t="shared" si="137"/>
        <v>10918594</v>
      </c>
      <c r="I2868" s="12">
        <f t="shared" si="135"/>
        <v>0.19265416666666665</v>
      </c>
      <c r="J2868" s="12">
        <f t="shared" si="136"/>
        <v>0.20679155303030303</v>
      </c>
    </row>
    <row r="2869" spans="1:10" ht="15" customHeight="1">
      <c r="A2869" s="14">
        <v>45603</v>
      </c>
      <c r="B2869" s="10">
        <v>221</v>
      </c>
      <c r="C2869" s="4">
        <v>48150</v>
      </c>
      <c r="D2869" s="3">
        <v>4.58</v>
      </c>
      <c r="E2869" s="3"/>
      <c r="F2869" s="9">
        <v>100</v>
      </c>
      <c r="G2869" s="9">
        <v>100</v>
      </c>
      <c r="H2869" s="2">
        <f t="shared" si="137"/>
        <v>10966744</v>
      </c>
      <c r="I2869" s="12">
        <f t="shared" si="135"/>
        <v>0.200625</v>
      </c>
      <c r="J2869" s="12">
        <f t="shared" si="136"/>
        <v>0.20676365007541478</v>
      </c>
    </row>
    <row r="2870" spans="1:10" ht="15" customHeight="1">
      <c r="A2870" s="14">
        <v>45604</v>
      </c>
      <c r="B2870" s="10">
        <v>222</v>
      </c>
      <c r="C2870" s="4">
        <v>48223</v>
      </c>
      <c r="D2870" s="3">
        <v>4.53</v>
      </c>
      <c r="E2870" s="3"/>
      <c r="F2870" s="9">
        <v>100</v>
      </c>
      <c r="G2870" s="9">
        <v>100</v>
      </c>
      <c r="H2870" s="2">
        <f t="shared" si="137"/>
        <v>11014967</v>
      </c>
      <c r="I2870" s="12">
        <f t="shared" si="135"/>
        <v>0.20092916666666666</v>
      </c>
      <c r="J2870" s="12">
        <f t="shared" si="136"/>
        <v>0.20673736861861861</v>
      </c>
    </row>
    <row r="2871" spans="1:10" ht="15" customHeight="1">
      <c r="A2871" s="14">
        <v>45605</v>
      </c>
      <c r="B2871" s="10">
        <v>223</v>
      </c>
      <c r="C2871" s="4">
        <v>45110</v>
      </c>
      <c r="D2871" s="3">
        <v>4.24</v>
      </c>
      <c r="E2871" s="3"/>
      <c r="F2871" s="9">
        <v>100</v>
      </c>
      <c r="G2871" s="9">
        <v>100</v>
      </c>
      <c r="H2871" s="2">
        <f t="shared" si="137"/>
        <v>11060077</v>
      </c>
      <c r="I2871" s="12">
        <f t="shared" si="135"/>
        <v>0.18795833333333334</v>
      </c>
      <c r="J2871" s="12">
        <f t="shared" si="136"/>
        <v>0.20665315769805681</v>
      </c>
    </row>
    <row r="2872" spans="1:10" ht="15" customHeight="1">
      <c r="A2872" s="14">
        <v>45606</v>
      </c>
      <c r="B2872" s="10">
        <v>224</v>
      </c>
      <c r="C2872" s="4">
        <v>46113</v>
      </c>
      <c r="D2872" s="3">
        <v>4.33</v>
      </c>
      <c r="E2872" s="3"/>
      <c r="F2872" s="9">
        <v>100</v>
      </c>
      <c r="G2872" s="9">
        <v>100</v>
      </c>
      <c r="H2872" s="2">
        <f t="shared" si="137"/>
        <v>11106190</v>
      </c>
      <c r="I2872" s="12">
        <f t="shared" si="135"/>
        <v>0.19213749999999999</v>
      </c>
      <c r="J2872" s="12">
        <f t="shared" si="136"/>
        <v>0.20658835565476191</v>
      </c>
    </row>
    <row r="2873" spans="1:10" ht="15" customHeight="1">
      <c r="A2873" s="14">
        <v>45607</v>
      </c>
      <c r="B2873" s="10">
        <v>225</v>
      </c>
      <c r="C2873" s="4">
        <v>46586</v>
      </c>
      <c r="D2873" s="3">
        <v>4.4000000000000004</v>
      </c>
      <c r="E2873" s="3"/>
      <c r="F2873" s="9">
        <v>100</v>
      </c>
      <c r="G2873" s="9">
        <v>97.935470209893865</v>
      </c>
      <c r="H2873" s="2">
        <f t="shared" si="137"/>
        <v>11152776</v>
      </c>
      <c r="I2873" s="12">
        <f t="shared" si="135"/>
        <v>0.19410833333333333</v>
      </c>
      <c r="J2873" s="12">
        <f t="shared" si="136"/>
        <v>0.20653288888888888</v>
      </c>
    </row>
    <row r="2874" spans="1:10" ht="15" customHeight="1">
      <c r="A2874" s="14">
        <v>45608</v>
      </c>
      <c r="B2874" s="10">
        <v>226</v>
      </c>
      <c r="C2874" s="4">
        <v>44690</v>
      </c>
      <c r="D2874" s="3">
        <v>4.26</v>
      </c>
      <c r="E2874" s="3"/>
      <c r="F2874" s="9">
        <v>100</v>
      </c>
      <c r="G2874" s="9">
        <v>97.295434056318612</v>
      </c>
      <c r="H2874" s="2">
        <f t="shared" si="137"/>
        <v>11197466</v>
      </c>
      <c r="I2874" s="12">
        <f t="shared" si="135"/>
        <v>0.18620833333333334</v>
      </c>
      <c r="J2874" s="12">
        <f t="shared" si="136"/>
        <v>0.20644295722713865</v>
      </c>
    </row>
    <row r="2875" spans="1:10" ht="15" customHeight="1">
      <c r="A2875" s="14">
        <v>45609</v>
      </c>
      <c r="B2875" s="10">
        <v>227</v>
      </c>
      <c r="C2875" s="4">
        <v>46607</v>
      </c>
      <c r="D2875" s="3">
        <v>4.3099999999999996</v>
      </c>
      <c r="E2875" s="3"/>
      <c r="F2875" s="9">
        <v>100</v>
      </c>
      <c r="G2875" s="9">
        <v>100</v>
      </c>
      <c r="H2875" s="2">
        <f t="shared" si="137"/>
        <v>11244073</v>
      </c>
      <c r="I2875" s="12">
        <f t="shared" si="135"/>
        <v>0.19419583333333335</v>
      </c>
      <c r="J2875" s="12">
        <f t="shared" si="136"/>
        <v>0.20638900513950073</v>
      </c>
    </row>
    <row r="2876" spans="1:10" ht="15" customHeight="1">
      <c r="A2876" s="14">
        <v>45610</v>
      </c>
      <c r="B2876" s="10">
        <v>228</v>
      </c>
      <c r="C2876" s="4">
        <v>44116</v>
      </c>
      <c r="D2876" s="3">
        <v>3.88</v>
      </c>
      <c r="E2876" s="3"/>
      <c r="F2876" s="9">
        <v>100</v>
      </c>
      <c r="G2876" s="9">
        <v>100</v>
      </c>
      <c r="H2876" s="2">
        <f t="shared" si="137"/>
        <v>11288189</v>
      </c>
      <c r="I2876" s="12">
        <f t="shared" si="135"/>
        <v>0.18381666666666666</v>
      </c>
      <c r="J2876" s="12">
        <f t="shared" si="136"/>
        <v>0.20629000365497077</v>
      </c>
    </row>
    <row r="2877" spans="1:10" ht="15" customHeight="1">
      <c r="A2877" s="14">
        <v>45611</v>
      </c>
      <c r="B2877" s="10">
        <v>229</v>
      </c>
      <c r="C2877" s="4">
        <v>35472</v>
      </c>
      <c r="D2877" s="3">
        <v>3.4</v>
      </c>
      <c r="E2877" s="3"/>
      <c r="F2877" s="9">
        <v>100</v>
      </c>
      <c r="G2877" s="9">
        <v>100</v>
      </c>
      <c r="H2877" s="2">
        <f t="shared" si="137"/>
        <v>11323661</v>
      </c>
      <c r="I2877" s="12">
        <f t="shared" si="135"/>
        <v>0.14779999999999999</v>
      </c>
      <c r="J2877" s="12">
        <f t="shared" si="136"/>
        <v>0.20603458879184861</v>
      </c>
    </row>
    <row r="2878" spans="1:10" ht="15" customHeight="1">
      <c r="A2878" s="14">
        <v>45612</v>
      </c>
      <c r="B2878" s="10">
        <v>230</v>
      </c>
      <c r="C2878" s="4">
        <v>39496</v>
      </c>
      <c r="D2878" s="3">
        <v>3.7</v>
      </c>
      <c r="E2878" s="3"/>
      <c r="F2878" s="9">
        <v>100</v>
      </c>
      <c r="G2878" s="9">
        <v>100</v>
      </c>
      <c r="H2878" s="2">
        <f t="shared" si="137"/>
        <v>11363157</v>
      </c>
      <c r="I2878" s="12">
        <f t="shared" si="135"/>
        <v>0.16456666666666667</v>
      </c>
      <c r="J2878" s="12">
        <f t="shared" si="136"/>
        <v>0.20585429347826087</v>
      </c>
    </row>
    <row r="2879" spans="1:10" ht="15" customHeight="1">
      <c r="A2879" s="14">
        <v>45613</v>
      </c>
      <c r="B2879" s="10">
        <v>231</v>
      </c>
      <c r="C2879" s="4">
        <v>39007</v>
      </c>
      <c r="D2879" s="3">
        <v>3.75</v>
      </c>
      <c r="E2879" s="3"/>
      <c r="F2879" s="9">
        <v>100</v>
      </c>
      <c r="G2879" s="9">
        <v>100</v>
      </c>
      <c r="H2879" s="2">
        <f t="shared" si="137"/>
        <v>11402164</v>
      </c>
      <c r="I2879" s="12">
        <f t="shared" si="135"/>
        <v>0.16252916666666667</v>
      </c>
      <c r="J2879" s="12">
        <f t="shared" si="136"/>
        <v>0.2056667388167388</v>
      </c>
    </row>
    <row r="2880" spans="1:10" ht="15" customHeight="1">
      <c r="A2880" s="14">
        <v>45614</v>
      </c>
      <c r="B2880" s="10">
        <v>232</v>
      </c>
      <c r="C2880" s="4">
        <v>45218</v>
      </c>
      <c r="D2880" s="3">
        <v>4.07</v>
      </c>
      <c r="E2880" s="3"/>
      <c r="F2880" s="9">
        <v>100</v>
      </c>
      <c r="G2880" s="9">
        <v>100</v>
      </c>
      <c r="H2880" s="2">
        <f t="shared" si="137"/>
        <v>11447382</v>
      </c>
      <c r="I2880" s="12">
        <f t="shared" si="135"/>
        <v>0.18840833333333334</v>
      </c>
      <c r="J2880" s="12">
        <f t="shared" si="136"/>
        <v>0.20559234913793104</v>
      </c>
    </row>
    <row r="2881" spans="1:10" ht="15" customHeight="1">
      <c r="A2881" s="14">
        <v>45615</v>
      </c>
      <c r="B2881" s="10">
        <v>233</v>
      </c>
      <c r="C2881" s="4">
        <v>45198</v>
      </c>
      <c r="D2881" s="3">
        <v>4.1399999999999997</v>
      </c>
      <c r="E2881" s="3"/>
      <c r="F2881" s="9">
        <v>100</v>
      </c>
      <c r="G2881" s="9">
        <v>100</v>
      </c>
      <c r="H2881" s="2">
        <f t="shared" si="137"/>
        <v>11492580</v>
      </c>
      <c r="I2881" s="12">
        <f t="shared" si="135"/>
        <v>0.18832499999999999</v>
      </c>
      <c r="J2881" s="12">
        <f t="shared" si="136"/>
        <v>0.20551824034334765</v>
      </c>
    </row>
    <row r="2882" spans="1:10" ht="15" customHeight="1">
      <c r="A2882" s="14">
        <v>45616</v>
      </c>
      <c r="B2882" s="10">
        <v>234</v>
      </c>
      <c r="C2882" s="4">
        <v>44705</v>
      </c>
      <c r="D2882" s="3">
        <v>4.13</v>
      </c>
      <c r="E2882" s="3"/>
      <c r="F2882" s="9">
        <v>100</v>
      </c>
      <c r="G2882" s="9">
        <v>100</v>
      </c>
      <c r="H2882" s="2">
        <f t="shared" si="137"/>
        <v>11537285</v>
      </c>
      <c r="I2882" s="12">
        <f t="shared" si="135"/>
        <v>0.18627083333333333</v>
      </c>
      <c r="J2882" s="12">
        <f t="shared" si="136"/>
        <v>0.20543598646723646</v>
      </c>
    </row>
    <row r="2883" spans="1:10" ht="15" customHeight="1">
      <c r="A2883" s="14">
        <v>45617</v>
      </c>
      <c r="B2883" s="10">
        <v>235</v>
      </c>
      <c r="C2883" s="4">
        <v>46548</v>
      </c>
      <c r="D2883" s="3">
        <v>4.16</v>
      </c>
      <c r="E2883" s="3"/>
      <c r="F2883" s="9">
        <v>100</v>
      </c>
      <c r="G2883" s="9">
        <v>100</v>
      </c>
      <c r="H2883" s="2">
        <f t="shared" si="137"/>
        <v>11583833</v>
      </c>
      <c r="I2883" s="12">
        <f t="shared" ref="I2883:I2946" si="138">C2883/(10*24*1000)</f>
        <v>0.19395000000000001</v>
      </c>
      <c r="J2883" s="12">
        <f t="shared" si="136"/>
        <v>0.20538710992907802</v>
      </c>
    </row>
    <row r="2884" spans="1:10" ht="15" customHeight="1">
      <c r="A2884" s="14">
        <v>45618</v>
      </c>
      <c r="B2884" s="10">
        <v>236</v>
      </c>
      <c r="C2884" s="4">
        <v>46868</v>
      </c>
      <c r="D2884" s="3">
        <v>4.1500000000000004</v>
      </c>
      <c r="E2884" s="3"/>
      <c r="F2884" s="9">
        <v>100</v>
      </c>
      <c r="G2884" s="9">
        <v>100</v>
      </c>
      <c r="H2884" s="2">
        <f t="shared" si="137"/>
        <v>11630701</v>
      </c>
      <c r="I2884" s="12">
        <f t="shared" si="138"/>
        <v>0.19528333333333334</v>
      </c>
      <c r="J2884" s="12">
        <f t="shared" ref="J2884:J2947" si="139">H2884/(24*B2884*10*1000)</f>
        <v>0.20534429731638418</v>
      </c>
    </row>
    <row r="2885" spans="1:10" ht="15" customHeight="1">
      <c r="A2885" s="14">
        <v>45619</v>
      </c>
      <c r="B2885" s="10">
        <v>237</v>
      </c>
      <c r="C2885" s="4">
        <v>44260</v>
      </c>
      <c r="D2885" s="3">
        <v>3.91</v>
      </c>
      <c r="E2885" s="3"/>
      <c r="F2885" s="9">
        <v>100</v>
      </c>
      <c r="G2885" s="9">
        <v>100</v>
      </c>
      <c r="H2885" s="2">
        <f t="shared" si="137"/>
        <v>11674961</v>
      </c>
      <c r="I2885" s="12">
        <f t="shared" si="138"/>
        <v>0.18441666666666667</v>
      </c>
      <c r="J2885" s="12">
        <f t="shared" si="139"/>
        <v>0.20525599507735584</v>
      </c>
    </row>
    <row r="2886" spans="1:10" ht="15" customHeight="1">
      <c r="A2886" s="14">
        <v>45620</v>
      </c>
      <c r="B2886" s="10">
        <v>238</v>
      </c>
      <c r="C2886" s="4">
        <v>42698</v>
      </c>
      <c r="D2886" s="3">
        <v>3.8</v>
      </c>
      <c r="E2886" s="3"/>
      <c r="F2886" s="9">
        <v>100</v>
      </c>
      <c r="G2886" s="9">
        <v>100</v>
      </c>
      <c r="H2886" s="2">
        <f t="shared" si="137"/>
        <v>11717659</v>
      </c>
      <c r="I2886" s="12">
        <f t="shared" si="138"/>
        <v>0.17790833333333333</v>
      </c>
      <c r="J2886" s="12">
        <f t="shared" si="139"/>
        <v>0.20514108893557423</v>
      </c>
    </row>
    <row r="2887" spans="1:10" ht="15" customHeight="1">
      <c r="A2887" s="14">
        <v>45621</v>
      </c>
      <c r="B2887" s="10">
        <v>239</v>
      </c>
      <c r="C2887" s="4">
        <v>43229</v>
      </c>
      <c r="D2887" s="3">
        <v>3.82</v>
      </c>
      <c r="E2887" s="3"/>
      <c r="F2887" s="9">
        <v>100</v>
      </c>
      <c r="G2887" s="9">
        <v>100</v>
      </c>
      <c r="H2887" s="2">
        <f t="shared" si="137"/>
        <v>11760888</v>
      </c>
      <c r="I2887" s="12">
        <f t="shared" si="138"/>
        <v>0.18012083333333334</v>
      </c>
      <c r="J2887" s="12">
        <f t="shared" si="139"/>
        <v>0.20503640167364018</v>
      </c>
    </row>
    <row r="2888" spans="1:10" ht="15" customHeight="1">
      <c r="A2888" s="14">
        <v>45622</v>
      </c>
      <c r="B2888" s="10">
        <v>240</v>
      </c>
      <c r="C2888" s="4">
        <v>42337</v>
      </c>
      <c r="D2888" s="3">
        <v>3.72</v>
      </c>
      <c r="E2888" s="3"/>
      <c r="F2888" s="9">
        <v>100</v>
      </c>
      <c r="G2888" s="9">
        <v>100</v>
      </c>
      <c r="H2888" s="2">
        <f t="shared" si="137"/>
        <v>11803225</v>
      </c>
      <c r="I2888" s="12">
        <f t="shared" si="138"/>
        <v>0.17640416666666667</v>
      </c>
      <c r="J2888" s="12">
        <f t="shared" si="139"/>
        <v>0.20491710069444444</v>
      </c>
    </row>
    <row r="2889" spans="1:10" ht="15" customHeight="1">
      <c r="A2889" s="14">
        <v>45623</v>
      </c>
      <c r="B2889" s="10">
        <v>241</v>
      </c>
      <c r="C2889" s="4">
        <v>43421</v>
      </c>
      <c r="D2889" s="3">
        <v>3.78</v>
      </c>
      <c r="E2889" s="3"/>
      <c r="F2889" s="9">
        <v>100</v>
      </c>
      <c r="G2889" s="9">
        <v>100</v>
      </c>
      <c r="H2889" s="2">
        <f t="shared" si="137"/>
        <v>11846646</v>
      </c>
      <c r="I2889" s="12">
        <f t="shared" si="138"/>
        <v>0.18092083333333334</v>
      </c>
      <c r="J2889" s="12">
        <f t="shared" si="139"/>
        <v>0.20481753112033196</v>
      </c>
    </row>
    <row r="2890" spans="1:10" ht="15" customHeight="1">
      <c r="A2890" s="14">
        <v>45624</v>
      </c>
      <c r="B2890" s="10">
        <v>242</v>
      </c>
      <c r="C2890" s="4">
        <v>48638</v>
      </c>
      <c r="D2890" s="3">
        <v>4.2</v>
      </c>
      <c r="E2890" s="3"/>
      <c r="F2890" s="9">
        <v>100</v>
      </c>
      <c r="G2890" s="9">
        <v>99.025129982668986</v>
      </c>
      <c r="H2890" s="2">
        <f t="shared" si="137"/>
        <v>11895284</v>
      </c>
      <c r="I2890" s="12">
        <f t="shared" si="138"/>
        <v>0.20265833333333333</v>
      </c>
      <c r="J2890" s="12">
        <f t="shared" si="139"/>
        <v>0.20480860881542701</v>
      </c>
    </row>
    <row r="2891" spans="1:10" ht="15" customHeight="1">
      <c r="A2891" s="14">
        <v>45625</v>
      </c>
      <c r="B2891" s="10">
        <v>243</v>
      </c>
      <c r="C2891" s="4">
        <v>45800</v>
      </c>
      <c r="D2891" s="3">
        <v>3.98</v>
      </c>
      <c r="E2891" s="3"/>
      <c r="F2891" s="9">
        <v>100</v>
      </c>
      <c r="G2891" s="9">
        <v>98.371335504885991</v>
      </c>
      <c r="H2891" s="2">
        <f t="shared" si="137"/>
        <v>11941084</v>
      </c>
      <c r="I2891" s="12">
        <f t="shared" si="138"/>
        <v>0.19083333333333333</v>
      </c>
      <c r="J2891" s="12">
        <f t="shared" si="139"/>
        <v>0.20475109739368999</v>
      </c>
    </row>
    <row r="2892" spans="1:10" ht="15" customHeight="1">
      <c r="A2892" s="14">
        <v>45626</v>
      </c>
      <c r="B2892" s="10">
        <v>244</v>
      </c>
      <c r="C2892" s="4">
        <v>41441</v>
      </c>
      <c r="D2892" s="3">
        <v>3.63</v>
      </c>
      <c r="E2892" s="3"/>
      <c r="F2892" s="9">
        <v>100</v>
      </c>
      <c r="G2892" s="9">
        <v>99.013157894736835</v>
      </c>
      <c r="H2892" s="2">
        <f t="shared" si="137"/>
        <v>11982525</v>
      </c>
      <c r="I2892" s="12">
        <f t="shared" si="138"/>
        <v>0.17267083333333333</v>
      </c>
      <c r="J2892" s="12">
        <f t="shared" si="139"/>
        <v>0.20461962090163935</v>
      </c>
    </row>
    <row r="2893" spans="1:10" ht="15" customHeight="1">
      <c r="A2893" s="14">
        <v>45627</v>
      </c>
      <c r="B2893" s="10">
        <v>245</v>
      </c>
      <c r="C2893" s="4">
        <v>40195</v>
      </c>
      <c r="D2893" s="3">
        <v>3.57</v>
      </c>
      <c r="E2893" s="3"/>
      <c r="F2893" s="9">
        <v>100</v>
      </c>
      <c r="G2893" s="9">
        <v>100</v>
      </c>
      <c r="H2893" s="2">
        <f t="shared" si="137"/>
        <v>12022720</v>
      </c>
      <c r="I2893" s="12">
        <f t="shared" si="138"/>
        <v>0.16747916666666668</v>
      </c>
      <c r="J2893" s="12">
        <f t="shared" si="139"/>
        <v>0.20446802721088436</v>
      </c>
    </row>
    <row r="2894" spans="1:10" ht="15" customHeight="1">
      <c r="A2894" s="14">
        <v>45628</v>
      </c>
      <c r="B2894" s="10">
        <v>246</v>
      </c>
      <c r="C2894" s="4">
        <v>41260</v>
      </c>
      <c r="D2894" s="3">
        <v>3.6</v>
      </c>
      <c r="E2894" s="3"/>
      <c r="F2894" s="9">
        <v>100</v>
      </c>
      <c r="G2894" s="9">
        <v>100</v>
      </c>
      <c r="H2894" s="2">
        <f t="shared" si="137"/>
        <v>12063980</v>
      </c>
      <c r="I2894" s="12">
        <f t="shared" si="138"/>
        <v>0.17191666666666666</v>
      </c>
      <c r="J2894" s="12">
        <f t="shared" si="139"/>
        <v>0.20433570460704606</v>
      </c>
    </row>
    <row r="2895" spans="1:10" ht="15" customHeight="1">
      <c r="A2895" s="14">
        <v>45629</v>
      </c>
      <c r="B2895" s="10">
        <v>247</v>
      </c>
      <c r="C2895" s="4">
        <v>43022</v>
      </c>
      <c r="D2895" s="3">
        <v>3.68</v>
      </c>
      <c r="E2895" s="3"/>
      <c r="F2895" s="9">
        <v>100</v>
      </c>
      <c r="G2895" s="9">
        <v>100</v>
      </c>
      <c r="H2895" s="2">
        <f t="shared" si="137"/>
        <v>12107002</v>
      </c>
      <c r="I2895" s="12">
        <f t="shared" si="138"/>
        <v>0.17925833333333333</v>
      </c>
      <c r="J2895" s="12">
        <f t="shared" si="139"/>
        <v>0.20423417678812417</v>
      </c>
    </row>
    <row r="2896" spans="1:10" ht="15" customHeight="1">
      <c r="A2896" s="14">
        <v>45630</v>
      </c>
      <c r="B2896" s="10">
        <v>248</v>
      </c>
      <c r="C2896" s="4">
        <v>43959</v>
      </c>
      <c r="D2896" s="3">
        <v>3.7588934708913202</v>
      </c>
      <c r="E2896" s="3"/>
      <c r="F2896" s="9">
        <v>100</v>
      </c>
      <c r="G2896" s="9">
        <v>100</v>
      </c>
      <c r="H2896" s="2">
        <f t="shared" si="137"/>
        <v>12150961</v>
      </c>
      <c r="I2896" s="12">
        <f t="shared" si="138"/>
        <v>0.18316250000000001</v>
      </c>
      <c r="J2896" s="12">
        <f t="shared" si="139"/>
        <v>0.20414921034946237</v>
      </c>
    </row>
    <row r="2897" spans="1:10" ht="15" customHeight="1">
      <c r="A2897" s="14">
        <v>45631</v>
      </c>
      <c r="B2897" s="10">
        <v>249</v>
      </c>
      <c r="C2897" s="4">
        <v>45522</v>
      </c>
      <c r="D2897" s="3">
        <v>3.88</v>
      </c>
      <c r="E2897" s="3"/>
      <c r="F2897" s="9">
        <v>100</v>
      </c>
      <c r="G2897" s="9">
        <v>100</v>
      </c>
      <c r="H2897" s="2">
        <f t="shared" si="137"/>
        <v>12196483</v>
      </c>
      <c r="I2897" s="12">
        <f t="shared" si="138"/>
        <v>0.18967500000000001</v>
      </c>
      <c r="J2897" s="12">
        <f t="shared" si="139"/>
        <v>0.20409108099062917</v>
      </c>
    </row>
    <row r="2898" spans="1:10" ht="15" customHeight="1">
      <c r="A2898" s="14">
        <v>45632</v>
      </c>
      <c r="B2898" s="10">
        <v>250</v>
      </c>
      <c r="C2898" s="4">
        <v>45671</v>
      </c>
      <c r="D2898" s="3">
        <v>3.94</v>
      </c>
      <c r="E2898" s="3"/>
      <c r="F2898" s="9">
        <v>100</v>
      </c>
      <c r="G2898" s="9">
        <v>100</v>
      </c>
      <c r="H2898" s="2">
        <f t="shared" si="137"/>
        <v>12242154</v>
      </c>
      <c r="I2898" s="12">
        <f t="shared" si="138"/>
        <v>0.19029583333333333</v>
      </c>
      <c r="J2898" s="12">
        <f t="shared" si="139"/>
        <v>0.20403589999999999</v>
      </c>
    </row>
    <row r="2899" spans="1:10" ht="15" customHeight="1">
      <c r="A2899" s="14">
        <v>45633</v>
      </c>
      <c r="B2899" s="10">
        <v>251</v>
      </c>
      <c r="C2899" s="4">
        <v>41542</v>
      </c>
      <c r="D2899" s="3">
        <v>4.18</v>
      </c>
      <c r="E2899" s="3"/>
      <c r="F2899" s="9">
        <v>96.744186046511629</v>
      </c>
      <c r="G2899" s="9">
        <v>100</v>
      </c>
      <c r="H2899" s="2">
        <f t="shared" si="137"/>
        <v>12283696</v>
      </c>
      <c r="I2899" s="12">
        <f t="shared" si="138"/>
        <v>0.17309166666666667</v>
      </c>
      <c r="J2899" s="12">
        <f t="shared" si="139"/>
        <v>0.20391261620185924</v>
      </c>
    </row>
    <row r="2900" spans="1:10" ht="15" customHeight="1">
      <c r="A2900" s="14">
        <v>45634</v>
      </c>
      <c r="B2900" s="10">
        <v>252</v>
      </c>
      <c r="C2900" s="4">
        <v>50462</v>
      </c>
      <c r="D2900" s="3">
        <v>4.21</v>
      </c>
      <c r="E2900" s="3"/>
      <c r="F2900" s="9">
        <v>100</v>
      </c>
      <c r="G2900" s="9">
        <v>100</v>
      </c>
      <c r="H2900" s="2">
        <f t="shared" si="137"/>
        <v>12334158</v>
      </c>
      <c r="I2900" s="12">
        <f t="shared" si="138"/>
        <v>0.21025833333333332</v>
      </c>
      <c r="J2900" s="12">
        <f t="shared" si="139"/>
        <v>0.20393779761904762</v>
      </c>
    </row>
    <row r="2901" spans="1:10" ht="15" customHeight="1">
      <c r="A2901" s="14">
        <v>45635</v>
      </c>
      <c r="B2901" s="10">
        <v>253</v>
      </c>
      <c r="C2901" s="4">
        <v>40675</v>
      </c>
      <c r="D2901" s="3">
        <v>3.55</v>
      </c>
      <c r="E2901" s="3"/>
      <c r="F2901" s="9">
        <v>100</v>
      </c>
      <c r="G2901" s="9">
        <v>100</v>
      </c>
      <c r="H2901" s="2">
        <f t="shared" si="137"/>
        <v>12374833</v>
      </c>
      <c r="I2901" s="12">
        <f t="shared" si="138"/>
        <v>0.16947916666666665</v>
      </c>
      <c r="J2901" s="12">
        <f t="shared" si="139"/>
        <v>0.2038015974967062</v>
      </c>
    </row>
    <row r="2902" spans="1:10" ht="15" customHeight="1">
      <c r="A2902" s="14">
        <v>45636</v>
      </c>
      <c r="B2902" s="10">
        <v>254</v>
      </c>
      <c r="C2902" s="4">
        <v>43565</v>
      </c>
      <c r="D2902" s="3">
        <v>3.85</v>
      </c>
      <c r="E2902" s="3"/>
      <c r="F2902" s="9">
        <v>100</v>
      </c>
      <c r="G2902" s="9">
        <v>100</v>
      </c>
      <c r="H2902" s="2">
        <f t="shared" si="137"/>
        <v>12418398</v>
      </c>
      <c r="I2902" s="12">
        <f t="shared" si="138"/>
        <v>0.18152083333333333</v>
      </c>
      <c r="J2902" s="12">
        <f t="shared" si="139"/>
        <v>0.20371387795275592</v>
      </c>
    </row>
    <row r="2903" spans="1:10" ht="15" customHeight="1">
      <c r="A2903" s="14">
        <v>45637</v>
      </c>
      <c r="B2903" s="10">
        <v>255</v>
      </c>
      <c r="C2903" s="4">
        <v>44681</v>
      </c>
      <c r="D2903" s="3">
        <v>3.94</v>
      </c>
      <c r="E2903" s="3"/>
      <c r="F2903" s="9">
        <v>97.603993344425959</v>
      </c>
      <c r="G2903" s="9">
        <v>100</v>
      </c>
      <c r="H2903" s="2">
        <f t="shared" si="137"/>
        <v>12463079</v>
      </c>
      <c r="I2903" s="12">
        <f t="shared" si="138"/>
        <v>0.18617083333333334</v>
      </c>
      <c r="J2903" s="12">
        <f t="shared" si="139"/>
        <v>0.20364508169934639</v>
      </c>
    </row>
    <row r="2904" spans="1:10" ht="15" customHeight="1">
      <c r="A2904" s="14">
        <v>45638</v>
      </c>
      <c r="B2904" s="10">
        <v>256</v>
      </c>
      <c r="C2904" s="4">
        <v>47070</v>
      </c>
      <c r="D2904" s="3">
        <v>3.96</v>
      </c>
      <c r="E2904" s="3"/>
      <c r="F2904" s="9">
        <v>100</v>
      </c>
      <c r="G2904" s="9">
        <v>100</v>
      </c>
      <c r="H2904" s="2">
        <f t="shared" si="137"/>
        <v>12510149</v>
      </c>
      <c r="I2904" s="12">
        <f t="shared" si="138"/>
        <v>0.19612499999999999</v>
      </c>
      <c r="J2904" s="12">
        <f t="shared" si="139"/>
        <v>0.20361570638020834</v>
      </c>
    </row>
    <row r="2905" spans="1:10" ht="15" customHeight="1">
      <c r="A2905" s="14">
        <v>45639</v>
      </c>
      <c r="B2905" s="10">
        <v>257</v>
      </c>
      <c r="C2905" s="4">
        <v>46788</v>
      </c>
      <c r="D2905" s="3">
        <v>3.96</v>
      </c>
      <c r="E2905" s="3"/>
      <c r="F2905" s="9">
        <v>100</v>
      </c>
      <c r="G2905" s="9">
        <v>100</v>
      </c>
      <c r="H2905" s="2">
        <f t="shared" si="137"/>
        <v>12556937</v>
      </c>
      <c r="I2905" s="12">
        <f t="shared" si="138"/>
        <v>0.19495000000000001</v>
      </c>
      <c r="J2905" s="12">
        <f t="shared" si="139"/>
        <v>0.20358198767833982</v>
      </c>
    </row>
    <row r="2906" spans="1:10" ht="15" customHeight="1">
      <c r="A2906" s="14">
        <v>45640</v>
      </c>
      <c r="B2906" s="10">
        <v>258</v>
      </c>
      <c r="C2906" s="4">
        <v>50760</v>
      </c>
      <c r="D2906" s="3">
        <v>4.2</v>
      </c>
      <c r="E2906" s="3"/>
      <c r="F2906" s="9">
        <v>100</v>
      </c>
      <c r="G2906" s="9">
        <v>100</v>
      </c>
      <c r="H2906" s="2">
        <f t="shared" ref="H2906:H2969" si="140">C2906+H2905</f>
        <v>12607697</v>
      </c>
      <c r="I2906" s="12">
        <f t="shared" si="138"/>
        <v>0.21149999999999999</v>
      </c>
      <c r="J2906" s="12">
        <f t="shared" si="139"/>
        <v>0.20361267764857882</v>
      </c>
    </row>
    <row r="2907" spans="1:10" ht="15" customHeight="1">
      <c r="A2907" s="14">
        <v>45641</v>
      </c>
      <c r="B2907" s="10">
        <v>259</v>
      </c>
      <c r="C2907" s="4">
        <v>50856</v>
      </c>
      <c r="D2907" s="3">
        <v>4.2300000000000004</v>
      </c>
      <c r="E2907" s="3"/>
      <c r="F2907" s="9">
        <v>100</v>
      </c>
      <c r="G2907" s="9">
        <v>100</v>
      </c>
      <c r="H2907" s="2">
        <f t="shared" si="140"/>
        <v>12658553</v>
      </c>
      <c r="I2907" s="12">
        <f t="shared" si="138"/>
        <v>0.21190000000000001</v>
      </c>
      <c r="J2907" s="12">
        <f t="shared" si="139"/>
        <v>0.20364467503217504</v>
      </c>
    </row>
    <row r="2908" spans="1:10" ht="15" customHeight="1">
      <c r="A2908" s="14">
        <v>45642</v>
      </c>
      <c r="B2908" s="10">
        <v>260</v>
      </c>
      <c r="C2908" s="4">
        <v>46445</v>
      </c>
      <c r="D2908" s="3">
        <v>4.03</v>
      </c>
      <c r="E2908" s="3"/>
      <c r="F2908" s="9">
        <v>98.016528925619838</v>
      </c>
      <c r="G2908" s="9">
        <v>100</v>
      </c>
      <c r="H2908" s="2">
        <f t="shared" si="140"/>
        <v>12704998</v>
      </c>
      <c r="I2908" s="12">
        <f t="shared" si="138"/>
        <v>0.19352083333333334</v>
      </c>
      <c r="J2908" s="12">
        <f t="shared" si="139"/>
        <v>0.20360573717948718</v>
      </c>
    </row>
    <row r="2909" spans="1:10" ht="15" customHeight="1">
      <c r="A2909" s="14">
        <v>45643</v>
      </c>
      <c r="B2909" s="10">
        <v>261</v>
      </c>
      <c r="C2909" s="4">
        <v>45842</v>
      </c>
      <c r="D2909" s="3">
        <v>3.91</v>
      </c>
      <c r="E2909" s="3"/>
      <c r="F2909" s="9">
        <v>100</v>
      </c>
      <c r="G2909" s="9">
        <v>100</v>
      </c>
      <c r="H2909" s="2">
        <f t="shared" si="140"/>
        <v>12750840</v>
      </c>
      <c r="I2909" s="12">
        <f t="shared" si="138"/>
        <v>0.19100833333333334</v>
      </c>
      <c r="J2909" s="12">
        <f t="shared" si="139"/>
        <v>0.20355747126436782</v>
      </c>
    </row>
    <row r="2910" spans="1:10" ht="15" customHeight="1">
      <c r="A2910" s="14">
        <v>45644</v>
      </c>
      <c r="B2910" s="10">
        <v>262</v>
      </c>
      <c r="C2910" s="4">
        <v>44880</v>
      </c>
      <c r="D2910" s="3">
        <v>3.8608143333333329</v>
      </c>
      <c r="E2910" s="3"/>
      <c r="F2910" s="9">
        <v>100</v>
      </c>
      <c r="G2910" s="9">
        <v>100</v>
      </c>
      <c r="H2910" s="2">
        <f t="shared" si="140"/>
        <v>12795720</v>
      </c>
      <c r="I2910" s="12">
        <f t="shared" si="138"/>
        <v>0.187</v>
      </c>
      <c r="J2910" s="12">
        <f t="shared" si="139"/>
        <v>0.2034942748091603</v>
      </c>
    </row>
    <row r="2911" spans="1:10" ht="15" customHeight="1">
      <c r="A2911" s="14">
        <v>45645</v>
      </c>
      <c r="B2911" s="10">
        <v>263</v>
      </c>
      <c r="C2911" s="4">
        <v>44116</v>
      </c>
      <c r="D2911" s="3">
        <v>3.92</v>
      </c>
      <c r="E2911" s="3"/>
      <c r="F2911" s="9">
        <v>100</v>
      </c>
      <c r="G2911" s="9">
        <v>100</v>
      </c>
      <c r="H2911" s="2">
        <f t="shared" si="140"/>
        <v>12839836</v>
      </c>
      <c r="I2911" s="12">
        <f t="shared" si="138"/>
        <v>0.18381666666666666</v>
      </c>
      <c r="J2911" s="12">
        <f t="shared" si="139"/>
        <v>0.20341945500633712</v>
      </c>
    </row>
    <row r="2912" spans="1:10" ht="15" customHeight="1">
      <c r="A2912" s="14">
        <v>45646</v>
      </c>
      <c r="B2912" s="10">
        <v>264</v>
      </c>
      <c r="C2912" s="4">
        <v>33876</v>
      </c>
      <c r="D2912" s="3">
        <v>3.1</v>
      </c>
      <c r="E2912" s="3"/>
      <c r="F2912" s="9">
        <v>98.924914675767923</v>
      </c>
      <c r="G2912" s="9">
        <v>100</v>
      </c>
      <c r="H2912" s="2">
        <f t="shared" si="140"/>
        <v>12873712</v>
      </c>
      <c r="I2912" s="12">
        <f t="shared" si="138"/>
        <v>0.14115</v>
      </c>
      <c r="J2912" s="12">
        <f t="shared" si="139"/>
        <v>0.20318358585858587</v>
      </c>
    </row>
    <row r="2913" spans="1:10" ht="15" customHeight="1">
      <c r="A2913" s="14">
        <v>45647</v>
      </c>
      <c r="B2913" s="10">
        <v>265</v>
      </c>
      <c r="C2913" s="4">
        <v>31131</v>
      </c>
      <c r="D2913" s="3">
        <v>2.89</v>
      </c>
      <c r="E2913" s="3"/>
      <c r="F2913" s="9">
        <v>100</v>
      </c>
      <c r="G2913" s="9">
        <v>100</v>
      </c>
      <c r="H2913" s="2">
        <f t="shared" si="140"/>
        <v>12904843</v>
      </c>
      <c r="I2913" s="12">
        <f t="shared" si="138"/>
        <v>0.12971250000000001</v>
      </c>
      <c r="J2913" s="12">
        <f t="shared" si="139"/>
        <v>0.20290633647798742</v>
      </c>
    </row>
    <row r="2914" spans="1:10" ht="15" customHeight="1">
      <c r="A2914" s="14">
        <v>45648</v>
      </c>
      <c r="B2914" s="10">
        <v>266</v>
      </c>
      <c r="C2914" s="4">
        <v>25125</v>
      </c>
      <c r="D2914" s="3">
        <v>2.4700000000000002</v>
      </c>
      <c r="E2914" s="3"/>
      <c r="F2914" s="9">
        <v>100</v>
      </c>
      <c r="G2914" s="9">
        <v>100</v>
      </c>
      <c r="H2914" s="2">
        <f t="shared" si="140"/>
        <v>12929968</v>
      </c>
      <c r="I2914" s="12">
        <f t="shared" si="138"/>
        <v>0.1046875</v>
      </c>
      <c r="J2914" s="12">
        <f t="shared" si="139"/>
        <v>0.20253709273182957</v>
      </c>
    </row>
    <row r="2915" spans="1:10" ht="15" customHeight="1">
      <c r="A2915" s="14">
        <v>45649</v>
      </c>
      <c r="B2915" s="10">
        <v>267</v>
      </c>
      <c r="C2915" s="4">
        <v>25398</v>
      </c>
      <c r="D2915" s="3">
        <v>2.56</v>
      </c>
      <c r="E2915" s="3"/>
      <c r="F2915" s="9">
        <v>100</v>
      </c>
      <c r="G2915" s="9">
        <v>100</v>
      </c>
      <c r="H2915" s="2">
        <f t="shared" si="140"/>
        <v>12955366</v>
      </c>
      <c r="I2915" s="12">
        <f t="shared" si="138"/>
        <v>0.105825</v>
      </c>
      <c r="J2915" s="12">
        <f t="shared" si="139"/>
        <v>0.20217487515605492</v>
      </c>
    </row>
    <row r="2916" spans="1:10" ht="15" customHeight="1">
      <c r="A2916" s="14">
        <v>45650</v>
      </c>
      <c r="B2916" s="10">
        <v>268</v>
      </c>
      <c r="C2916" s="4">
        <v>34565</v>
      </c>
      <c r="D2916" s="3">
        <v>3.05</v>
      </c>
      <c r="E2916" s="3"/>
      <c r="F2916" s="9">
        <v>100</v>
      </c>
      <c r="G2916" s="9">
        <v>100</v>
      </c>
      <c r="H2916" s="2">
        <f t="shared" si="140"/>
        <v>12989931</v>
      </c>
      <c r="I2916" s="12">
        <f t="shared" si="138"/>
        <v>0.14402083333333332</v>
      </c>
      <c r="J2916" s="12">
        <f t="shared" si="139"/>
        <v>0.20195788246268656</v>
      </c>
    </row>
    <row r="2917" spans="1:10" ht="15" customHeight="1">
      <c r="A2917" s="14">
        <v>45651</v>
      </c>
      <c r="B2917" s="10">
        <v>269</v>
      </c>
      <c r="C2917" s="4">
        <v>36720</v>
      </c>
      <c r="D2917" s="3">
        <v>3.18</v>
      </c>
      <c r="E2917" s="3"/>
      <c r="F2917" s="9">
        <v>100</v>
      </c>
      <c r="G2917" s="9">
        <v>100</v>
      </c>
      <c r="H2917" s="2">
        <f t="shared" si="140"/>
        <v>13026651</v>
      </c>
      <c r="I2917" s="12">
        <f t="shared" si="138"/>
        <v>0.153</v>
      </c>
      <c r="J2917" s="12">
        <f t="shared" si="139"/>
        <v>0.20177588289962825</v>
      </c>
    </row>
    <row r="2918" spans="1:10" ht="15" customHeight="1">
      <c r="A2918" s="14">
        <v>45652</v>
      </c>
      <c r="B2918" s="10">
        <v>270</v>
      </c>
      <c r="C2918" s="4">
        <v>22211</v>
      </c>
      <c r="D2918" s="3">
        <v>2.35</v>
      </c>
      <c r="E2918" s="3"/>
      <c r="F2918" s="9">
        <v>100</v>
      </c>
      <c r="G2918" s="9">
        <v>100</v>
      </c>
      <c r="H2918" s="2">
        <f t="shared" si="140"/>
        <v>13048862</v>
      </c>
      <c r="I2918" s="12">
        <f t="shared" si="138"/>
        <v>9.2545833333333327E-2</v>
      </c>
      <c r="J2918" s="12">
        <f t="shared" si="139"/>
        <v>0.20137132716049383</v>
      </c>
    </row>
    <row r="2919" spans="1:10" ht="15" customHeight="1">
      <c r="A2919" s="14">
        <v>45653</v>
      </c>
      <c r="B2919" s="10">
        <v>271</v>
      </c>
      <c r="C2919" s="4">
        <v>15436</v>
      </c>
      <c r="D2919" s="3">
        <v>1.85</v>
      </c>
      <c r="E2919" s="3"/>
      <c r="F2919" s="9">
        <v>98.34482758620689</v>
      </c>
      <c r="G2919" s="9">
        <v>100</v>
      </c>
      <c r="H2919" s="2">
        <f t="shared" si="140"/>
        <v>13064298</v>
      </c>
      <c r="I2919" s="12">
        <f t="shared" si="138"/>
        <v>6.4316666666666661E-2</v>
      </c>
      <c r="J2919" s="12">
        <f t="shared" si="139"/>
        <v>0.20086559040590407</v>
      </c>
    </row>
    <row r="2920" spans="1:10" ht="15" customHeight="1">
      <c r="A2920" s="14">
        <v>45654</v>
      </c>
      <c r="B2920" s="10">
        <v>272</v>
      </c>
      <c r="C2920" s="4">
        <v>39960</v>
      </c>
      <c r="D2920" s="3">
        <v>3.5</v>
      </c>
      <c r="E2920" s="3">
        <v>7278</v>
      </c>
      <c r="F2920" s="9">
        <v>99.187817258883243</v>
      </c>
      <c r="G2920" s="9">
        <v>100</v>
      </c>
      <c r="H2920" s="2">
        <f t="shared" si="140"/>
        <v>13104258</v>
      </c>
      <c r="I2920" s="12">
        <f t="shared" si="138"/>
        <v>0.16650000000000001</v>
      </c>
      <c r="J2920" s="12">
        <f t="shared" si="139"/>
        <v>0.20073924632352941</v>
      </c>
    </row>
    <row r="2921" spans="1:10" ht="15" customHeight="1">
      <c r="A2921" s="14">
        <v>45655</v>
      </c>
      <c r="B2921" s="10">
        <v>273</v>
      </c>
      <c r="C2921" s="4">
        <v>46980</v>
      </c>
      <c r="D2921" s="3">
        <v>3.7</v>
      </c>
      <c r="E2921" s="3">
        <v>7790</v>
      </c>
      <c r="F2921" s="9">
        <v>100</v>
      </c>
      <c r="G2921" s="9">
        <v>100</v>
      </c>
      <c r="H2921" s="2">
        <f t="shared" si="140"/>
        <v>13151238</v>
      </c>
      <c r="I2921" s="12">
        <f t="shared" si="138"/>
        <v>0.19575000000000001</v>
      </c>
      <c r="J2921" s="12">
        <f t="shared" si="139"/>
        <v>0.2007209706959707</v>
      </c>
    </row>
    <row r="2922" spans="1:10" ht="15" customHeight="1">
      <c r="A2922" s="14">
        <v>45656</v>
      </c>
      <c r="B2922" s="10">
        <v>274</v>
      </c>
      <c r="C2922" s="4">
        <v>42620</v>
      </c>
      <c r="D2922" s="3">
        <v>3.52</v>
      </c>
      <c r="E2922" s="3">
        <v>8296</v>
      </c>
      <c r="F2922" s="9">
        <v>100</v>
      </c>
      <c r="G2922" s="9">
        <v>100</v>
      </c>
      <c r="H2922" s="2">
        <f t="shared" si="140"/>
        <v>13193858</v>
      </c>
      <c r="I2922" s="12">
        <f t="shared" si="138"/>
        <v>0.17758333333333334</v>
      </c>
      <c r="J2922" s="12">
        <f t="shared" si="139"/>
        <v>0.20063652676399027</v>
      </c>
    </row>
    <row r="2923" spans="1:10" ht="15" customHeight="1">
      <c r="A2923" s="14">
        <v>45657</v>
      </c>
      <c r="B2923" s="10">
        <v>275</v>
      </c>
      <c r="C2923" s="4">
        <v>32417</v>
      </c>
      <c r="D2923" s="3">
        <v>3.41</v>
      </c>
      <c r="E2923" s="3">
        <v>6879</v>
      </c>
      <c r="F2923" s="9">
        <v>80</v>
      </c>
      <c r="G2923" s="9">
        <v>100</v>
      </c>
      <c r="H2923" s="2">
        <f t="shared" si="140"/>
        <v>13226275</v>
      </c>
      <c r="I2923" s="12">
        <f t="shared" si="138"/>
        <v>0.13507083333333333</v>
      </c>
      <c r="J2923" s="12">
        <f t="shared" si="139"/>
        <v>0.20039810606060607</v>
      </c>
    </row>
    <row r="2924" spans="1:10" ht="15" customHeight="1">
      <c r="A2924" s="14">
        <v>45658</v>
      </c>
      <c r="B2924" s="10">
        <v>276</v>
      </c>
      <c r="C2924" s="4">
        <v>48847</v>
      </c>
      <c r="D2924" s="3">
        <v>3.82</v>
      </c>
      <c r="E2924" s="3">
        <v>8142</v>
      </c>
      <c r="F2924" s="9">
        <v>100</v>
      </c>
      <c r="G2924" s="9">
        <v>100</v>
      </c>
      <c r="H2924" s="2">
        <f t="shared" si="140"/>
        <v>13275122</v>
      </c>
      <c r="I2924" s="12">
        <f t="shared" si="138"/>
        <v>0.20352916666666668</v>
      </c>
      <c r="J2924" s="12">
        <f t="shared" si="139"/>
        <v>0.20040945048309178</v>
      </c>
    </row>
    <row r="2925" spans="1:10" ht="15" customHeight="1">
      <c r="A2925" s="14">
        <v>45659</v>
      </c>
      <c r="B2925" s="10">
        <v>277</v>
      </c>
      <c r="C2925" s="4">
        <v>38380</v>
      </c>
      <c r="D2925" s="3">
        <v>3.23</v>
      </c>
      <c r="E2925" s="3">
        <v>8459</v>
      </c>
      <c r="F2925" s="9">
        <v>100</v>
      </c>
      <c r="G2925" s="9">
        <v>100</v>
      </c>
      <c r="H2925" s="2">
        <f t="shared" si="140"/>
        <v>13313502</v>
      </c>
      <c r="I2925" s="12">
        <f t="shared" si="138"/>
        <v>0.15991666666666668</v>
      </c>
      <c r="J2925" s="12">
        <f t="shared" si="139"/>
        <v>0.20026326714801443</v>
      </c>
    </row>
    <row r="2926" spans="1:10" ht="15" customHeight="1">
      <c r="A2926" s="14">
        <v>45660</v>
      </c>
      <c r="B2926" s="10">
        <v>278</v>
      </c>
      <c r="C2926" s="4">
        <v>46942</v>
      </c>
      <c r="D2926" s="3">
        <v>3.82</v>
      </c>
      <c r="E2926" s="3">
        <v>7809</v>
      </c>
      <c r="F2926" s="9">
        <v>100</v>
      </c>
      <c r="G2926" s="9">
        <v>100</v>
      </c>
      <c r="H2926" s="2">
        <f t="shared" si="140"/>
        <v>13360444</v>
      </c>
      <c r="I2926" s="12">
        <f t="shared" si="138"/>
        <v>0.19559166666666666</v>
      </c>
      <c r="J2926" s="12">
        <f t="shared" si="139"/>
        <v>0.20024646282973621</v>
      </c>
    </row>
    <row r="2927" spans="1:10" ht="15" customHeight="1">
      <c r="A2927" s="14">
        <v>45661</v>
      </c>
      <c r="B2927" s="10">
        <v>279</v>
      </c>
      <c r="C2927" s="4">
        <v>43136</v>
      </c>
      <c r="D2927" s="3">
        <v>3.66</v>
      </c>
      <c r="E2927" s="3">
        <v>7798</v>
      </c>
      <c r="F2927" s="9">
        <v>98.609271523178805</v>
      </c>
      <c r="G2927" s="9">
        <v>100</v>
      </c>
      <c r="H2927" s="2">
        <f t="shared" si="140"/>
        <v>13403580</v>
      </c>
      <c r="I2927" s="12">
        <f t="shared" si="138"/>
        <v>0.17973333333333333</v>
      </c>
      <c r="J2927" s="12">
        <f t="shared" si="139"/>
        <v>0.20017293906810035</v>
      </c>
    </row>
    <row r="2928" spans="1:10" ht="15" customHeight="1">
      <c r="A2928" s="14">
        <v>45662</v>
      </c>
      <c r="B2928" s="10">
        <v>280</v>
      </c>
      <c r="C2928" s="4">
        <v>36971</v>
      </c>
      <c r="D2928" s="3">
        <v>3.21</v>
      </c>
      <c r="E2928" s="3">
        <v>7016</v>
      </c>
      <c r="F2928" s="9">
        <v>99.393939393939391</v>
      </c>
      <c r="G2928" s="9">
        <v>100</v>
      </c>
      <c r="H2928" s="2">
        <f t="shared" si="140"/>
        <v>13440551</v>
      </c>
      <c r="I2928" s="12">
        <f t="shared" si="138"/>
        <v>0.15404583333333333</v>
      </c>
      <c r="J2928" s="12">
        <f t="shared" si="139"/>
        <v>0.20000819940476192</v>
      </c>
    </row>
    <row r="2929" spans="1:10" ht="15" customHeight="1">
      <c r="A2929" s="14">
        <v>45663</v>
      </c>
      <c r="B2929" s="10">
        <v>281</v>
      </c>
      <c r="C2929" s="4">
        <v>41489</v>
      </c>
      <c r="D2929" s="3">
        <v>3.86</v>
      </c>
      <c r="E2929" s="3">
        <v>7313</v>
      </c>
      <c r="F2929" s="9">
        <v>88.98989898989899</v>
      </c>
      <c r="G2929" s="9">
        <v>100</v>
      </c>
      <c r="H2929" s="2">
        <f t="shared" si="140"/>
        <v>13482040</v>
      </c>
      <c r="I2929" s="12">
        <f t="shared" si="138"/>
        <v>0.17287083333333333</v>
      </c>
      <c r="J2929" s="12">
        <f t="shared" si="139"/>
        <v>0.19991162514827995</v>
      </c>
    </row>
    <row r="2930" spans="1:10" ht="15" customHeight="1">
      <c r="A2930" s="14">
        <v>45664</v>
      </c>
      <c r="B2930" s="10">
        <v>282</v>
      </c>
      <c r="C2930" s="4">
        <v>49919</v>
      </c>
      <c r="D2930" s="3">
        <v>3.98</v>
      </c>
      <c r="E2930" s="3">
        <v>8023</v>
      </c>
      <c r="F2930" s="9">
        <v>96.563011456628473</v>
      </c>
      <c r="G2930" s="9">
        <v>100</v>
      </c>
      <c r="H2930" s="2">
        <f t="shared" si="140"/>
        <v>13531959</v>
      </c>
      <c r="I2930" s="12">
        <f t="shared" si="138"/>
        <v>0.20799583333333332</v>
      </c>
      <c r="J2930" s="12">
        <f t="shared" si="139"/>
        <v>0.19994029255319148</v>
      </c>
    </row>
    <row r="2931" spans="1:10" ht="15" customHeight="1">
      <c r="A2931" s="14">
        <v>45665</v>
      </c>
      <c r="B2931" s="10">
        <v>283</v>
      </c>
      <c r="C2931" s="4">
        <v>48419</v>
      </c>
      <c r="D2931" s="3">
        <v>4.07</v>
      </c>
      <c r="E2931" s="3">
        <v>7745</v>
      </c>
      <c r="F2931" s="9">
        <v>93.057851239669418</v>
      </c>
      <c r="G2931" s="9">
        <v>100</v>
      </c>
      <c r="H2931" s="2">
        <f t="shared" si="140"/>
        <v>13580378</v>
      </c>
      <c r="I2931" s="12">
        <f t="shared" si="138"/>
        <v>0.20174583333333335</v>
      </c>
      <c r="J2931" s="12">
        <f t="shared" si="139"/>
        <v>0.19994667255594817</v>
      </c>
    </row>
    <row r="2932" spans="1:10" ht="15" customHeight="1">
      <c r="A2932" s="14">
        <v>45666</v>
      </c>
      <c r="B2932" s="10">
        <v>284</v>
      </c>
      <c r="C2932" s="4">
        <v>45476</v>
      </c>
      <c r="D2932" s="3">
        <v>4.09</v>
      </c>
      <c r="E2932" s="3">
        <v>8150</v>
      </c>
      <c r="F2932" s="9">
        <v>94.893617021276597</v>
      </c>
      <c r="G2932" s="9">
        <v>97.545008183306052</v>
      </c>
      <c r="H2932" s="2">
        <f t="shared" si="140"/>
        <v>13625854</v>
      </c>
      <c r="I2932" s="12">
        <f t="shared" si="138"/>
        <v>0.18948333333333334</v>
      </c>
      <c r="J2932" s="12">
        <f t="shared" si="139"/>
        <v>0.19990982981220656</v>
      </c>
    </row>
    <row r="2933" spans="1:10" ht="15" customHeight="1">
      <c r="A2933" s="14">
        <v>45667</v>
      </c>
      <c r="B2933" s="10">
        <v>285</v>
      </c>
      <c r="C2933" s="4">
        <v>45844</v>
      </c>
      <c r="D2933" s="3">
        <v>3.9987254887754702</v>
      </c>
      <c r="E2933" s="3">
        <v>7531</v>
      </c>
      <c r="F2933" s="9">
        <v>97.763157894736835</v>
      </c>
      <c r="G2933" s="9">
        <v>100</v>
      </c>
      <c r="H2933" s="2">
        <f t="shared" si="140"/>
        <v>13671698</v>
      </c>
      <c r="I2933" s="12">
        <f t="shared" si="138"/>
        <v>0.19101666666666667</v>
      </c>
      <c r="J2933" s="12">
        <f t="shared" si="139"/>
        <v>0.19987862573099416</v>
      </c>
    </row>
    <row r="2934" spans="1:10" ht="15" customHeight="1">
      <c r="A2934" s="14">
        <v>45668</v>
      </c>
      <c r="B2934" s="10">
        <v>286</v>
      </c>
      <c r="C2934" s="4">
        <v>43510</v>
      </c>
      <c r="D2934" s="3">
        <v>3.63</v>
      </c>
      <c r="E2934" s="3">
        <v>7455</v>
      </c>
      <c r="F2934" s="9">
        <v>100</v>
      </c>
      <c r="G2934" s="9">
        <v>100</v>
      </c>
      <c r="H2934" s="2">
        <f t="shared" si="140"/>
        <v>13715208</v>
      </c>
      <c r="I2934" s="12">
        <f t="shared" si="138"/>
        <v>0.18129166666666666</v>
      </c>
      <c r="J2934" s="12">
        <f t="shared" si="139"/>
        <v>0.19981363636363636</v>
      </c>
    </row>
    <row r="2935" spans="1:10" ht="15" customHeight="1">
      <c r="A2935" s="14">
        <v>45669</v>
      </c>
      <c r="B2935" s="10">
        <v>287</v>
      </c>
      <c r="C2935" s="4">
        <v>37998</v>
      </c>
      <c r="D2935" s="3">
        <v>3.32</v>
      </c>
      <c r="E2935" s="3">
        <v>7061</v>
      </c>
      <c r="F2935" s="9">
        <v>100</v>
      </c>
      <c r="G2935" s="9">
        <v>100</v>
      </c>
      <c r="H2935" s="2">
        <f t="shared" si="140"/>
        <v>13753206</v>
      </c>
      <c r="I2935" s="12">
        <f t="shared" si="138"/>
        <v>0.15832499999999999</v>
      </c>
      <c r="J2935" s="12">
        <f t="shared" si="139"/>
        <v>0.19966907665505226</v>
      </c>
    </row>
    <row r="2936" spans="1:10" ht="15" customHeight="1">
      <c r="A2936" s="14">
        <v>45670</v>
      </c>
      <c r="B2936" s="10">
        <v>288</v>
      </c>
      <c r="C2936" s="4">
        <v>28425</v>
      </c>
      <c r="D2936" s="3">
        <v>2.7</v>
      </c>
      <c r="E2936" s="3">
        <v>7971</v>
      </c>
      <c r="F2936" s="9">
        <v>100</v>
      </c>
      <c r="G2936" s="9">
        <v>100</v>
      </c>
      <c r="H2936" s="2">
        <f t="shared" si="140"/>
        <v>13781631</v>
      </c>
      <c r="I2936" s="12">
        <f t="shared" si="138"/>
        <v>0.1184375</v>
      </c>
      <c r="J2936" s="12">
        <f t="shared" si="139"/>
        <v>0.19938702256944443</v>
      </c>
    </row>
    <row r="2937" spans="1:10" ht="15" customHeight="1">
      <c r="A2937" s="14">
        <v>45671</v>
      </c>
      <c r="B2937" s="10">
        <v>289</v>
      </c>
      <c r="C2937" s="4">
        <v>45532</v>
      </c>
      <c r="D2937" s="3">
        <v>3.86</v>
      </c>
      <c r="E2937" s="3">
        <v>7853</v>
      </c>
      <c r="F2937" s="9">
        <v>100</v>
      </c>
      <c r="G2937" s="9">
        <v>100</v>
      </c>
      <c r="H2937" s="2">
        <f t="shared" si="140"/>
        <v>13827163</v>
      </c>
      <c r="I2937" s="12">
        <f t="shared" si="138"/>
        <v>0.18971666666666667</v>
      </c>
      <c r="J2937" s="12">
        <f t="shared" si="139"/>
        <v>0.19935356113033448</v>
      </c>
    </row>
    <row r="2938" spans="1:10" ht="15" customHeight="1">
      <c r="A2938" s="14">
        <v>45672</v>
      </c>
      <c r="B2938" s="10">
        <v>290</v>
      </c>
      <c r="C2938" s="4">
        <v>46199</v>
      </c>
      <c r="D2938" s="3">
        <v>3.86</v>
      </c>
      <c r="E2938" s="3">
        <v>7990</v>
      </c>
      <c r="F2938" s="9">
        <v>100</v>
      </c>
      <c r="G2938" s="9">
        <v>100</v>
      </c>
      <c r="H2938" s="2">
        <f t="shared" si="140"/>
        <v>13873362</v>
      </c>
      <c r="I2938" s="12">
        <f t="shared" si="138"/>
        <v>0.19249583333333334</v>
      </c>
      <c r="J2938" s="12">
        <f t="shared" si="139"/>
        <v>0.19932991379310344</v>
      </c>
    </row>
    <row r="2939" spans="1:10" ht="15" customHeight="1">
      <c r="A2939" s="14">
        <v>45673</v>
      </c>
      <c r="B2939" s="10">
        <v>291</v>
      </c>
      <c r="C2939" s="4">
        <v>47133</v>
      </c>
      <c r="D2939" s="3">
        <v>3.99</v>
      </c>
      <c r="E2939" s="3">
        <v>8034</v>
      </c>
      <c r="F2939" s="9">
        <v>100</v>
      </c>
      <c r="G2939" s="9">
        <v>100</v>
      </c>
      <c r="H2939" s="2">
        <f t="shared" si="140"/>
        <v>13920495</v>
      </c>
      <c r="I2939" s="12">
        <f t="shared" si="138"/>
        <v>0.19638749999999999</v>
      </c>
      <c r="J2939" s="12">
        <f t="shared" si="139"/>
        <v>0.19931980240549829</v>
      </c>
    </row>
    <row r="2940" spans="1:10" ht="15" customHeight="1">
      <c r="A2940" s="14">
        <v>45674</v>
      </c>
      <c r="B2940" s="10">
        <v>292</v>
      </c>
      <c r="C2940" s="4">
        <v>44381</v>
      </c>
      <c r="D2940" s="3">
        <v>3.83</v>
      </c>
      <c r="E2940" s="3">
        <v>8919</v>
      </c>
      <c r="F2940" s="9">
        <v>100</v>
      </c>
      <c r="G2940" s="9">
        <v>100</v>
      </c>
      <c r="H2940" s="2">
        <f t="shared" si="140"/>
        <v>13964876</v>
      </c>
      <c r="I2940" s="12">
        <f t="shared" si="138"/>
        <v>0.18492083333333334</v>
      </c>
      <c r="J2940" s="12">
        <f t="shared" si="139"/>
        <v>0.19927049086757992</v>
      </c>
    </row>
    <row r="2941" spans="1:10" ht="15" customHeight="1">
      <c r="A2941" s="14">
        <v>45675</v>
      </c>
      <c r="B2941" s="10">
        <v>293</v>
      </c>
      <c r="C2941" s="4">
        <v>47135</v>
      </c>
      <c r="D2941" s="3">
        <v>4.0999999999999996</v>
      </c>
      <c r="E2941" s="3">
        <v>8042</v>
      </c>
      <c r="F2941" s="9">
        <v>100</v>
      </c>
      <c r="G2941" s="9">
        <v>100</v>
      </c>
      <c r="H2941" s="2">
        <f t="shared" si="140"/>
        <v>14012011</v>
      </c>
      <c r="I2941" s="12">
        <f t="shared" si="138"/>
        <v>0.19639583333333333</v>
      </c>
      <c r="J2941" s="12">
        <f t="shared" si="139"/>
        <v>0.19926067974971559</v>
      </c>
    </row>
    <row r="2942" spans="1:10" ht="15" customHeight="1">
      <c r="A2942" s="14">
        <v>45676</v>
      </c>
      <c r="B2942" s="10">
        <v>294</v>
      </c>
      <c r="C2942" s="4">
        <v>43149</v>
      </c>
      <c r="D2942" s="3">
        <v>3.8</v>
      </c>
      <c r="E2942" s="3">
        <v>7693</v>
      </c>
      <c r="F2942" s="9">
        <v>100</v>
      </c>
      <c r="G2942" s="9">
        <v>100</v>
      </c>
      <c r="H2942" s="2">
        <f t="shared" si="140"/>
        <v>14055160</v>
      </c>
      <c r="I2942" s="12">
        <f t="shared" si="138"/>
        <v>0.17978749999999999</v>
      </c>
      <c r="J2942" s="12">
        <f t="shared" si="139"/>
        <v>0.19919444444444445</v>
      </c>
    </row>
    <row r="2943" spans="1:10" ht="15" customHeight="1">
      <c r="A2943" s="14">
        <v>45677</v>
      </c>
      <c r="B2943" s="10">
        <v>295</v>
      </c>
      <c r="C2943" s="4">
        <v>28573</v>
      </c>
      <c r="D2943" s="3">
        <v>2.73</v>
      </c>
      <c r="E2943" s="3">
        <v>7335</v>
      </c>
      <c r="F2943" s="9">
        <v>96.989966555183955</v>
      </c>
      <c r="G2943" s="9">
        <v>100</v>
      </c>
      <c r="H2943" s="2">
        <f t="shared" si="140"/>
        <v>14083733</v>
      </c>
      <c r="I2943" s="12">
        <f t="shared" si="138"/>
        <v>0.11905416666666667</v>
      </c>
      <c r="J2943" s="12">
        <f t="shared" si="139"/>
        <v>0.19892278248587569</v>
      </c>
    </row>
    <row r="2944" spans="1:10" ht="15" customHeight="1">
      <c r="A2944" s="14">
        <v>45678</v>
      </c>
      <c r="B2944" s="10">
        <v>296</v>
      </c>
      <c r="C2944" s="4">
        <v>47587</v>
      </c>
      <c r="D2944" s="3">
        <v>4.13</v>
      </c>
      <c r="E2944" s="3">
        <v>7656</v>
      </c>
      <c r="F2944" s="9">
        <v>96.883116883116884</v>
      </c>
      <c r="G2944" s="9">
        <v>100</v>
      </c>
      <c r="H2944" s="2">
        <f t="shared" si="140"/>
        <v>14131320</v>
      </c>
      <c r="I2944" s="12">
        <f t="shared" si="138"/>
        <v>0.19827916666666667</v>
      </c>
      <c r="J2944" s="12">
        <f t="shared" si="139"/>
        <v>0.1989206081081081</v>
      </c>
    </row>
    <row r="2945" spans="1:10" ht="15" customHeight="1">
      <c r="A2945" s="14">
        <v>45679</v>
      </c>
      <c r="B2945" s="10">
        <v>297</v>
      </c>
      <c r="C2945" s="4">
        <v>42973</v>
      </c>
      <c r="D2945" s="3">
        <v>4.03</v>
      </c>
      <c r="E2945" s="3">
        <v>7260</v>
      </c>
      <c r="F2945" s="9">
        <v>97.110754414125196</v>
      </c>
      <c r="G2945" s="9">
        <v>100</v>
      </c>
      <c r="H2945" s="2">
        <f t="shared" si="140"/>
        <v>14174293</v>
      </c>
      <c r="I2945" s="12">
        <f t="shared" si="138"/>
        <v>0.17905416666666665</v>
      </c>
      <c r="J2945" s="12">
        <f t="shared" si="139"/>
        <v>0.19885371773288441</v>
      </c>
    </row>
    <row r="2946" spans="1:10" ht="15" customHeight="1">
      <c r="A2946" s="14">
        <v>45680</v>
      </c>
      <c r="B2946" s="10">
        <v>298</v>
      </c>
      <c r="C2946" s="4">
        <v>50534</v>
      </c>
      <c r="D2946" s="3">
        <v>4.3099999999999996</v>
      </c>
      <c r="E2946" s="3">
        <v>7138</v>
      </c>
      <c r="F2946" s="9">
        <v>98.805970149253724</v>
      </c>
      <c r="G2946" s="9">
        <v>100</v>
      </c>
      <c r="H2946" s="2">
        <f t="shared" si="140"/>
        <v>14224827</v>
      </c>
      <c r="I2946" s="12">
        <f t="shared" si="138"/>
        <v>0.21055833333333332</v>
      </c>
      <c r="J2946" s="12">
        <f t="shared" si="139"/>
        <v>0.19889299496644294</v>
      </c>
    </row>
    <row r="2947" spans="1:10" ht="15" customHeight="1">
      <c r="A2947" s="14">
        <v>45681</v>
      </c>
      <c r="B2947" s="10">
        <v>299</v>
      </c>
      <c r="C2947" s="4">
        <v>54106</v>
      </c>
      <c r="D2947" s="3">
        <v>4.62</v>
      </c>
      <c r="E2947" s="3">
        <v>7610</v>
      </c>
      <c r="F2947" s="9">
        <v>99.021207177814034</v>
      </c>
      <c r="G2947" s="9">
        <v>100</v>
      </c>
      <c r="H2947" s="2">
        <f t="shared" si="140"/>
        <v>14278933</v>
      </c>
      <c r="I2947" s="12">
        <f t="shared" ref="I2947:I3010" si="141">C2947/(10*24*1000)</f>
        <v>0.22544166666666668</v>
      </c>
      <c r="J2947" s="12">
        <f t="shared" si="139"/>
        <v>0.19898178651059087</v>
      </c>
    </row>
    <row r="2948" spans="1:10" ht="15" customHeight="1">
      <c r="A2948" s="14">
        <v>45682</v>
      </c>
      <c r="B2948" s="10">
        <v>300</v>
      </c>
      <c r="C2948" s="4">
        <v>56705</v>
      </c>
      <c r="D2948" s="3">
        <v>4.8</v>
      </c>
      <c r="E2948" s="3">
        <v>8034</v>
      </c>
      <c r="F2948" s="9">
        <v>100</v>
      </c>
      <c r="G2948" s="9">
        <v>100</v>
      </c>
      <c r="H2948" s="2">
        <f t="shared" si="140"/>
        <v>14335638</v>
      </c>
      <c r="I2948" s="12">
        <f t="shared" si="141"/>
        <v>0.23627083333333335</v>
      </c>
      <c r="J2948" s="12">
        <f t="shared" ref="J2948:J3011" si="142">H2948/(24*B2948*10*1000)</f>
        <v>0.19910608333333332</v>
      </c>
    </row>
    <row r="2949" spans="1:10" ht="15" customHeight="1">
      <c r="A2949" s="14">
        <v>45683</v>
      </c>
      <c r="B2949" s="10">
        <v>301</v>
      </c>
      <c r="C2949" s="4">
        <v>53710</v>
      </c>
      <c r="D2949" s="3">
        <v>4.83</v>
      </c>
      <c r="E2949" s="3">
        <v>8135</v>
      </c>
      <c r="F2949" s="9">
        <v>98.459069020866778</v>
      </c>
      <c r="G2949" s="9">
        <v>100</v>
      </c>
      <c r="H2949" s="2">
        <f t="shared" si="140"/>
        <v>14389348</v>
      </c>
      <c r="I2949" s="12">
        <f t="shared" si="141"/>
        <v>0.22379166666666667</v>
      </c>
      <c r="J2949" s="12">
        <f t="shared" si="142"/>
        <v>0.19918809523809525</v>
      </c>
    </row>
    <row r="2950" spans="1:10" ht="15" customHeight="1">
      <c r="A2950" s="14">
        <v>45684</v>
      </c>
      <c r="B2950" s="10">
        <v>302</v>
      </c>
      <c r="C2950" s="4">
        <v>54595</v>
      </c>
      <c r="D2950" s="3">
        <v>4.88</v>
      </c>
      <c r="E2950" s="3">
        <v>8146</v>
      </c>
      <c r="F2950" s="9">
        <v>95.584000000000003</v>
      </c>
      <c r="G2950" s="9">
        <v>100</v>
      </c>
      <c r="H2950" s="2">
        <f t="shared" si="140"/>
        <v>14443943</v>
      </c>
      <c r="I2950" s="12">
        <f t="shared" si="141"/>
        <v>0.22747916666666668</v>
      </c>
      <c r="J2950" s="12">
        <f t="shared" si="142"/>
        <v>0.19928177428256072</v>
      </c>
    </row>
    <row r="2951" spans="1:10" ht="15" customHeight="1">
      <c r="A2951" s="14">
        <v>45685</v>
      </c>
      <c r="B2951" s="10">
        <v>303</v>
      </c>
      <c r="C2951" s="4">
        <v>54743</v>
      </c>
      <c r="D2951" s="3">
        <v>4.83</v>
      </c>
      <c r="E2951" s="3">
        <v>8058</v>
      </c>
      <c r="F2951" s="9">
        <v>98.466453674121396</v>
      </c>
      <c r="G2951" s="9">
        <v>100</v>
      </c>
      <c r="H2951" s="2">
        <f t="shared" si="140"/>
        <v>14498686</v>
      </c>
      <c r="I2951" s="12">
        <f t="shared" si="141"/>
        <v>0.22809583333333333</v>
      </c>
      <c r="J2951" s="12">
        <f t="shared" si="142"/>
        <v>0.19937687018701869</v>
      </c>
    </row>
    <row r="2952" spans="1:10" ht="15" customHeight="1">
      <c r="A2952" s="14">
        <v>45686</v>
      </c>
      <c r="B2952" s="10">
        <v>304</v>
      </c>
      <c r="C2952" s="4">
        <v>52278</v>
      </c>
      <c r="D2952" s="3">
        <v>4.6100000000000003</v>
      </c>
      <c r="E2952" s="3">
        <v>7696</v>
      </c>
      <c r="F2952" s="9">
        <v>98.980891719745216</v>
      </c>
      <c r="G2952" s="9">
        <v>100</v>
      </c>
      <c r="H2952" s="2">
        <f t="shared" si="140"/>
        <v>14550964</v>
      </c>
      <c r="I2952" s="12">
        <f t="shared" si="141"/>
        <v>0.21782499999999999</v>
      </c>
      <c r="J2952" s="12">
        <f t="shared" si="142"/>
        <v>0.19943755482456141</v>
      </c>
    </row>
    <row r="2953" spans="1:10" ht="15" customHeight="1">
      <c r="A2953" s="14">
        <v>45687</v>
      </c>
      <c r="B2953" s="10">
        <v>305</v>
      </c>
      <c r="C2953" s="4">
        <v>46607</v>
      </c>
      <c r="D2953" s="3">
        <v>4.1500000000000004</v>
      </c>
      <c r="E2953" s="3">
        <v>7488</v>
      </c>
      <c r="F2953" s="9">
        <v>99.16264090177134</v>
      </c>
      <c r="G2953" s="9">
        <v>100</v>
      </c>
      <c r="H2953" s="2">
        <f t="shared" si="140"/>
        <v>14597571</v>
      </c>
      <c r="I2953" s="12">
        <f t="shared" si="141"/>
        <v>0.19419583333333335</v>
      </c>
      <c r="J2953" s="12">
        <f t="shared" si="142"/>
        <v>0.19942036885245901</v>
      </c>
    </row>
    <row r="2954" spans="1:10" ht="15" customHeight="1">
      <c r="A2954" s="14">
        <v>45688</v>
      </c>
      <c r="B2954" s="10">
        <v>306</v>
      </c>
      <c r="C2954" s="4">
        <v>41075</v>
      </c>
      <c r="D2954" s="3">
        <v>4.03</v>
      </c>
      <c r="E2954" s="3">
        <v>7341</v>
      </c>
      <c r="F2954" s="9">
        <v>96.821086261980824</v>
      </c>
      <c r="G2954" s="9">
        <v>100</v>
      </c>
      <c r="H2954" s="2">
        <f t="shared" si="140"/>
        <v>14638646</v>
      </c>
      <c r="I2954" s="12">
        <f t="shared" si="141"/>
        <v>0.17114583333333333</v>
      </c>
      <c r="J2954" s="12">
        <f t="shared" si="142"/>
        <v>0.19932796840958605</v>
      </c>
    </row>
    <row r="2955" spans="1:10" ht="15" customHeight="1">
      <c r="A2955" s="14">
        <v>45689</v>
      </c>
      <c r="B2955" s="10">
        <v>307</v>
      </c>
      <c r="C2955" s="4">
        <v>41543</v>
      </c>
      <c r="D2955" s="3">
        <v>3.93</v>
      </c>
      <c r="E2955" s="3">
        <v>6974</v>
      </c>
      <c r="F2955" s="9">
        <v>99.224555735056541</v>
      </c>
      <c r="G2955" s="9">
        <v>100</v>
      </c>
      <c r="H2955" s="2">
        <f t="shared" si="140"/>
        <v>14680189</v>
      </c>
      <c r="I2955" s="12">
        <f t="shared" si="141"/>
        <v>0.17309583333333334</v>
      </c>
      <c r="J2955" s="12">
        <f t="shared" si="142"/>
        <v>0.19924252171552659</v>
      </c>
    </row>
    <row r="2956" spans="1:10" ht="15" customHeight="1">
      <c r="A2956" s="14">
        <v>45690</v>
      </c>
      <c r="B2956" s="10">
        <v>308</v>
      </c>
      <c r="C2956" s="4">
        <v>52752</v>
      </c>
      <c r="D2956" s="3">
        <v>4.78</v>
      </c>
      <c r="E2956" s="3">
        <v>8473</v>
      </c>
      <c r="F2956" s="9">
        <v>99.056603773584911</v>
      </c>
      <c r="G2956" s="9">
        <v>100</v>
      </c>
      <c r="H2956" s="2">
        <f t="shared" si="140"/>
        <v>14732941</v>
      </c>
      <c r="I2956" s="12">
        <f t="shared" si="141"/>
        <v>0.2198</v>
      </c>
      <c r="J2956" s="12">
        <f t="shared" si="142"/>
        <v>0.19930926677489177</v>
      </c>
    </row>
    <row r="2957" spans="1:10" ht="15" customHeight="1">
      <c r="A2957" s="14">
        <v>45691</v>
      </c>
      <c r="B2957" s="10">
        <v>309</v>
      </c>
      <c r="C2957" s="4">
        <v>44989</v>
      </c>
      <c r="D2957" s="3">
        <v>4.2300000000000004</v>
      </c>
      <c r="E2957" s="3">
        <v>7215</v>
      </c>
      <c r="F2957" s="9">
        <v>99.241706161137444</v>
      </c>
      <c r="G2957" s="9">
        <v>100</v>
      </c>
      <c r="H2957" s="2">
        <f t="shared" si="140"/>
        <v>14777930</v>
      </c>
      <c r="I2957" s="12">
        <f t="shared" si="141"/>
        <v>0.18745416666666667</v>
      </c>
      <c r="J2957" s="12">
        <f t="shared" si="142"/>
        <v>0.19927090075512405</v>
      </c>
    </row>
    <row r="2958" spans="1:10" ht="15" customHeight="1">
      <c r="A2958" s="14">
        <v>45692</v>
      </c>
      <c r="B2958" s="10">
        <v>310</v>
      </c>
      <c r="C2958" s="4">
        <v>53314</v>
      </c>
      <c r="D2958" s="3">
        <v>4.88</v>
      </c>
      <c r="E2958" s="3">
        <v>8048</v>
      </c>
      <c r="F2958" s="9">
        <v>98.293460925039881</v>
      </c>
      <c r="G2958" s="9">
        <v>100</v>
      </c>
      <c r="H2958" s="2">
        <f t="shared" si="140"/>
        <v>14831244</v>
      </c>
      <c r="I2958" s="12">
        <f t="shared" si="141"/>
        <v>0.22214166666666665</v>
      </c>
      <c r="J2958" s="12">
        <f t="shared" si="142"/>
        <v>0.19934467741935483</v>
      </c>
    </row>
    <row r="2959" spans="1:10" ht="15" customHeight="1">
      <c r="A2959" s="14">
        <v>45693</v>
      </c>
      <c r="B2959" s="10">
        <v>311</v>
      </c>
      <c r="C2959" s="4">
        <v>52287</v>
      </c>
      <c r="D2959" s="3">
        <v>4.78</v>
      </c>
      <c r="E2959" s="3">
        <v>7873</v>
      </c>
      <c r="F2959" s="9">
        <v>98.490566037735846</v>
      </c>
      <c r="G2959" s="9">
        <v>100</v>
      </c>
      <c r="H2959" s="2">
        <f t="shared" si="140"/>
        <v>14883531</v>
      </c>
      <c r="I2959" s="12">
        <f t="shared" si="141"/>
        <v>0.21786249999999999</v>
      </c>
      <c r="J2959" s="12">
        <f t="shared" si="142"/>
        <v>0.19940422025723473</v>
      </c>
    </row>
    <row r="2960" spans="1:10" ht="15" customHeight="1">
      <c r="A2960" s="14">
        <v>45694</v>
      </c>
      <c r="B2960" s="10">
        <v>312</v>
      </c>
      <c r="C2960" s="4">
        <v>55649</v>
      </c>
      <c r="D2960" s="3">
        <v>5.21</v>
      </c>
      <c r="E2960" s="3">
        <v>8351</v>
      </c>
      <c r="F2960" s="9">
        <v>96.314960629921259</v>
      </c>
      <c r="G2960" s="9">
        <v>100</v>
      </c>
      <c r="H2960" s="2">
        <f t="shared" si="140"/>
        <v>14939180</v>
      </c>
      <c r="I2960" s="12">
        <f t="shared" si="141"/>
        <v>0.23187083333333333</v>
      </c>
      <c r="J2960" s="12">
        <f t="shared" si="142"/>
        <v>0.19950827991452991</v>
      </c>
    </row>
    <row r="2961" spans="1:10" ht="15" customHeight="1">
      <c r="A2961" s="14">
        <v>45695</v>
      </c>
      <c r="B2961" s="10">
        <v>313</v>
      </c>
      <c r="C2961" s="4">
        <v>46901</v>
      </c>
      <c r="D2961" s="3">
        <v>4.83</v>
      </c>
      <c r="E2961" s="3">
        <v>8436</v>
      </c>
      <c r="F2961" s="9">
        <v>90</v>
      </c>
      <c r="G2961" s="9">
        <v>100</v>
      </c>
      <c r="H2961" s="2">
        <f t="shared" si="140"/>
        <v>14986081</v>
      </c>
      <c r="I2961" s="12">
        <f t="shared" si="141"/>
        <v>0.19542083333333332</v>
      </c>
      <c r="J2961" s="12">
        <f t="shared" si="142"/>
        <v>0.19949522097976571</v>
      </c>
    </row>
    <row r="2962" spans="1:10" ht="15" customHeight="1">
      <c r="A2962" s="14">
        <v>45696</v>
      </c>
      <c r="B2962" s="10">
        <v>314</v>
      </c>
      <c r="C2962" s="4">
        <v>49769</v>
      </c>
      <c r="D2962" s="3">
        <v>5.15</v>
      </c>
      <c r="E2962" s="3">
        <v>8215</v>
      </c>
      <c r="F2962" s="9">
        <v>90</v>
      </c>
      <c r="G2962" s="9">
        <v>100</v>
      </c>
      <c r="H2962" s="2">
        <f t="shared" si="140"/>
        <v>15035850</v>
      </c>
      <c r="I2962" s="12">
        <f t="shared" si="141"/>
        <v>0.20737083333333334</v>
      </c>
      <c r="J2962" s="12">
        <f t="shared" si="142"/>
        <v>0.1995203025477707</v>
      </c>
    </row>
    <row r="2963" spans="1:10" ht="15" customHeight="1">
      <c r="A2963" s="14">
        <v>45697</v>
      </c>
      <c r="B2963" s="10">
        <v>315</v>
      </c>
      <c r="C2963" s="4">
        <v>46756</v>
      </c>
      <c r="D2963" s="3">
        <v>4.8899999999999997</v>
      </c>
      <c r="E2963" s="3">
        <v>8806</v>
      </c>
      <c r="F2963" s="9">
        <v>90</v>
      </c>
      <c r="G2963" s="9">
        <v>100</v>
      </c>
      <c r="H2963" s="2">
        <f t="shared" si="140"/>
        <v>15082606</v>
      </c>
      <c r="I2963" s="12">
        <f t="shared" si="141"/>
        <v>0.19481666666666667</v>
      </c>
      <c r="J2963" s="12">
        <f t="shared" si="142"/>
        <v>0.19950537037037036</v>
      </c>
    </row>
    <row r="2964" spans="1:10" ht="15" customHeight="1">
      <c r="A2964" s="14">
        <v>45698</v>
      </c>
      <c r="B2964" s="10">
        <v>316</v>
      </c>
      <c r="C2964" s="4">
        <v>39817</v>
      </c>
      <c r="D2964" s="3">
        <v>4.18</v>
      </c>
      <c r="E2964" s="3">
        <v>7592</v>
      </c>
      <c r="F2964" s="9">
        <v>90</v>
      </c>
      <c r="G2964" s="9">
        <v>100</v>
      </c>
      <c r="H2964" s="2">
        <f t="shared" si="140"/>
        <v>15122423</v>
      </c>
      <c r="I2964" s="12">
        <f t="shared" si="141"/>
        <v>0.16590416666666666</v>
      </c>
      <c r="J2964" s="12">
        <f t="shared" si="142"/>
        <v>0.19939903744725737</v>
      </c>
    </row>
    <row r="2965" spans="1:10" ht="15" customHeight="1">
      <c r="A2965" s="14">
        <v>45699</v>
      </c>
      <c r="B2965" s="10">
        <v>317</v>
      </c>
      <c r="C2965" s="4">
        <v>48009</v>
      </c>
      <c r="D2965" s="3">
        <v>4.9400000000000004</v>
      </c>
      <c r="E2965" s="3">
        <v>7115</v>
      </c>
      <c r="F2965" s="9">
        <v>90</v>
      </c>
      <c r="G2965" s="9">
        <v>100</v>
      </c>
      <c r="H2965" s="2">
        <f t="shared" si="140"/>
        <v>15170432</v>
      </c>
      <c r="I2965" s="12">
        <f t="shared" si="141"/>
        <v>0.20003750000000001</v>
      </c>
      <c r="J2965" s="12">
        <f t="shared" si="142"/>
        <v>0.19940105152471083</v>
      </c>
    </row>
    <row r="2966" spans="1:10" ht="15" customHeight="1">
      <c r="A2966" s="14">
        <v>45700</v>
      </c>
      <c r="B2966" s="10">
        <v>318</v>
      </c>
      <c r="C2966" s="4">
        <v>48254</v>
      </c>
      <c r="D2966" s="3">
        <v>4.8499999999999996</v>
      </c>
      <c r="E2966" s="3">
        <v>7338</v>
      </c>
      <c r="F2966" s="9">
        <v>92.990654205607484</v>
      </c>
      <c r="G2966" s="9">
        <v>100</v>
      </c>
      <c r="H2966" s="2">
        <f t="shared" si="140"/>
        <v>15218686</v>
      </c>
      <c r="I2966" s="12">
        <f t="shared" si="141"/>
        <v>0.20105833333333334</v>
      </c>
      <c r="J2966" s="12">
        <f t="shared" si="142"/>
        <v>0.19940626310272536</v>
      </c>
    </row>
    <row r="2967" spans="1:10" ht="15" customHeight="1">
      <c r="A2967" s="14">
        <v>45701</v>
      </c>
      <c r="B2967" s="10">
        <v>319</v>
      </c>
      <c r="C2967" s="4">
        <v>53489</v>
      </c>
      <c r="D2967" s="3">
        <v>5.09</v>
      </c>
      <c r="E2967" s="3">
        <v>8187</v>
      </c>
      <c r="F2967" s="9">
        <v>96.754250386398766</v>
      </c>
      <c r="G2967" s="9">
        <v>100</v>
      </c>
      <c r="H2967" s="2">
        <f t="shared" si="140"/>
        <v>15272175</v>
      </c>
      <c r="I2967" s="12">
        <f t="shared" si="141"/>
        <v>0.22287083333333332</v>
      </c>
      <c r="J2967" s="12">
        <f t="shared" si="142"/>
        <v>0.1994798197492163</v>
      </c>
    </row>
    <row r="2968" spans="1:10" ht="15" customHeight="1">
      <c r="A2968" s="14">
        <v>45702</v>
      </c>
      <c r="B2968" s="10">
        <v>320</v>
      </c>
      <c r="C2968" s="4">
        <v>51231</v>
      </c>
      <c r="D2968" s="3">
        <v>4.8600000000000003</v>
      </c>
      <c r="E2968" s="3">
        <v>8263</v>
      </c>
      <c r="F2968" s="9">
        <v>100</v>
      </c>
      <c r="G2968" s="9">
        <v>100</v>
      </c>
      <c r="H2968" s="2">
        <f t="shared" si="140"/>
        <v>15323406</v>
      </c>
      <c r="I2968" s="12">
        <f t="shared" si="141"/>
        <v>0.2134625</v>
      </c>
      <c r="J2968" s="12">
        <f t="shared" si="142"/>
        <v>0.19952351562500001</v>
      </c>
    </row>
    <row r="2969" spans="1:10" ht="15" customHeight="1">
      <c r="A2969" s="14">
        <v>45703</v>
      </c>
      <c r="B2969" s="10">
        <v>321</v>
      </c>
      <c r="C2969" s="4">
        <v>54189</v>
      </c>
      <c r="D2969" s="3">
        <v>5.18</v>
      </c>
      <c r="E2969" s="3">
        <v>8434</v>
      </c>
      <c r="F2969" s="9">
        <v>100</v>
      </c>
      <c r="G2969" s="9">
        <v>95.054095826893359</v>
      </c>
      <c r="H2969" s="2">
        <f t="shared" si="140"/>
        <v>15377595</v>
      </c>
      <c r="I2969" s="12">
        <f t="shared" si="141"/>
        <v>0.2257875</v>
      </c>
      <c r="J2969" s="12">
        <f t="shared" si="142"/>
        <v>0.19960533489096574</v>
      </c>
    </row>
    <row r="2970" spans="1:10" ht="15" customHeight="1">
      <c r="A2970" s="14">
        <v>45704</v>
      </c>
      <c r="B2970" s="10">
        <v>322</v>
      </c>
      <c r="C2970" s="4">
        <v>46571</v>
      </c>
      <c r="D2970" s="3">
        <v>4.66</v>
      </c>
      <c r="E2970" s="3">
        <v>8902</v>
      </c>
      <c r="F2970" s="9">
        <v>100</v>
      </c>
      <c r="G2970" s="9">
        <v>100</v>
      </c>
      <c r="H2970" s="2">
        <f t="shared" ref="H2970:H3013" si="143">C2970+H2969</f>
        <v>15424166</v>
      </c>
      <c r="I2970" s="12">
        <f t="shared" si="141"/>
        <v>0.19404583333333333</v>
      </c>
      <c r="J2970" s="12">
        <f t="shared" si="142"/>
        <v>0.19958806935817805</v>
      </c>
    </row>
    <row r="2971" spans="1:10" ht="15" customHeight="1">
      <c r="A2971" s="14">
        <v>45705</v>
      </c>
      <c r="B2971" s="10">
        <v>323</v>
      </c>
      <c r="C2971" s="4">
        <v>54505</v>
      </c>
      <c r="D2971" s="3">
        <v>5.1100000000000003</v>
      </c>
      <c r="E2971" s="3">
        <v>8269</v>
      </c>
      <c r="F2971" s="9">
        <v>100</v>
      </c>
      <c r="G2971" s="9">
        <v>100</v>
      </c>
      <c r="H2971" s="2">
        <f t="shared" si="143"/>
        <v>15478671</v>
      </c>
      <c r="I2971" s="12">
        <f t="shared" si="141"/>
        <v>0.22710416666666666</v>
      </c>
      <c r="J2971" s="12">
        <f t="shared" si="142"/>
        <v>0.19967325851393189</v>
      </c>
    </row>
    <row r="2972" spans="1:10" ht="15" customHeight="1">
      <c r="A2972" s="14">
        <v>45706</v>
      </c>
      <c r="B2972" s="10">
        <v>324</v>
      </c>
      <c r="C2972" s="4">
        <v>48732</v>
      </c>
      <c r="D2972" s="3">
        <v>4.8099999999999996</v>
      </c>
      <c r="E2972" s="3">
        <v>7838</v>
      </c>
      <c r="F2972" s="9">
        <v>95.322085889570545</v>
      </c>
      <c r="G2972" s="9">
        <v>100</v>
      </c>
      <c r="H2972" s="2">
        <f t="shared" si="143"/>
        <v>15527403</v>
      </c>
      <c r="I2972" s="12">
        <f t="shared" si="141"/>
        <v>0.20305000000000001</v>
      </c>
      <c r="J2972" s="12">
        <f t="shared" si="142"/>
        <v>0.19968368055555555</v>
      </c>
    </row>
    <row r="2973" spans="1:10" ht="15" customHeight="1">
      <c r="A2973" s="14">
        <v>45707</v>
      </c>
      <c r="B2973" s="10">
        <v>325</v>
      </c>
      <c r="C2973" s="4">
        <v>36033</v>
      </c>
      <c r="D2973" s="3">
        <v>3.66</v>
      </c>
      <c r="E2973" s="3">
        <v>9655</v>
      </c>
      <c r="F2973" s="9">
        <v>100</v>
      </c>
      <c r="G2973" s="9">
        <v>100</v>
      </c>
      <c r="H2973" s="2">
        <f t="shared" si="143"/>
        <v>15563436</v>
      </c>
      <c r="I2973" s="12">
        <f t="shared" si="141"/>
        <v>0.15013750000000001</v>
      </c>
      <c r="J2973" s="12">
        <f t="shared" si="142"/>
        <v>0.19953123076923077</v>
      </c>
    </row>
    <row r="2974" spans="1:10" ht="15" customHeight="1">
      <c r="A2974" s="14">
        <v>45708</v>
      </c>
      <c r="B2974" s="10">
        <v>326</v>
      </c>
      <c r="C2974" s="4">
        <v>54027</v>
      </c>
      <c r="D2974" s="3">
        <v>5.43</v>
      </c>
      <c r="E2974" s="3">
        <v>8379</v>
      </c>
      <c r="F2974" s="9">
        <v>94.454545454545453</v>
      </c>
      <c r="G2974" s="9">
        <v>100</v>
      </c>
      <c r="H2974" s="2">
        <f t="shared" si="143"/>
        <v>15617463</v>
      </c>
      <c r="I2974" s="12">
        <f t="shared" si="141"/>
        <v>0.22511249999999999</v>
      </c>
      <c r="J2974" s="12">
        <f t="shared" si="142"/>
        <v>0.19960970092024541</v>
      </c>
    </row>
    <row r="2975" spans="1:10" ht="15" customHeight="1">
      <c r="A2975" s="14">
        <v>45709</v>
      </c>
      <c r="B2975" s="10">
        <v>327</v>
      </c>
      <c r="C2975" s="4">
        <v>53173</v>
      </c>
      <c r="D2975" s="3">
        <v>5.36</v>
      </c>
      <c r="E2975" s="3">
        <v>8628</v>
      </c>
      <c r="F2975" s="9">
        <v>94.379671150971603</v>
      </c>
      <c r="G2975" s="9">
        <v>100</v>
      </c>
      <c r="H2975" s="2">
        <f t="shared" si="143"/>
        <v>15670636</v>
      </c>
      <c r="I2975" s="12">
        <f t="shared" si="141"/>
        <v>0.22155416666666666</v>
      </c>
      <c r="J2975" s="12">
        <f t="shared" si="142"/>
        <v>0.19967680937818552</v>
      </c>
    </row>
    <row r="2976" spans="1:10" ht="15" customHeight="1">
      <c r="A2976" s="14">
        <v>45710</v>
      </c>
      <c r="B2976" s="10">
        <v>328</v>
      </c>
      <c r="C2976" s="4">
        <v>50066</v>
      </c>
      <c r="D2976" s="3">
        <v>5.36</v>
      </c>
      <c r="E2976" s="3">
        <v>7187</v>
      </c>
      <c r="F2976" s="9">
        <v>90</v>
      </c>
      <c r="G2976" s="9">
        <v>100</v>
      </c>
      <c r="H2976" s="2">
        <f t="shared" si="143"/>
        <v>15720702</v>
      </c>
      <c r="I2976" s="12">
        <f t="shared" si="141"/>
        <v>0.20860833333333334</v>
      </c>
      <c r="J2976" s="12">
        <f t="shared" si="142"/>
        <v>0.19970403963414635</v>
      </c>
    </row>
    <row r="2977" spans="1:10" ht="15" customHeight="1">
      <c r="A2977" s="14">
        <v>45711</v>
      </c>
      <c r="B2977" s="10">
        <v>329</v>
      </c>
      <c r="C2977" s="4">
        <v>54201</v>
      </c>
      <c r="D2977" s="3">
        <v>5.61</v>
      </c>
      <c r="E2977" s="3">
        <v>8181</v>
      </c>
      <c r="F2977" s="9">
        <v>95.57228915662651</v>
      </c>
      <c r="G2977" s="9">
        <v>100</v>
      </c>
      <c r="H2977" s="2">
        <f t="shared" si="143"/>
        <v>15774903</v>
      </c>
      <c r="I2977" s="12">
        <f t="shared" si="141"/>
        <v>0.2258375</v>
      </c>
      <c r="J2977" s="12">
        <f t="shared" si="142"/>
        <v>0.1997834726443769</v>
      </c>
    </row>
    <row r="2978" spans="1:10" ht="15" customHeight="1">
      <c r="A2978" s="14">
        <v>45712</v>
      </c>
      <c r="B2978" s="10">
        <v>330</v>
      </c>
      <c r="C2978" s="4">
        <v>54812</v>
      </c>
      <c r="D2978" s="3">
        <v>5.49</v>
      </c>
      <c r="E2978" s="3">
        <v>7980</v>
      </c>
      <c r="F2978" s="9">
        <v>100</v>
      </c>
      <c r="G2978" s="9">
        <v>100</v>
      </c>
      <c r="H2978" s="2">
        <f t="shared" si="143"/>
        <v>15829715</v>
      </c>
      <c r="I2978" s="12">
        <f t="shared" si="141"/>
        <v>0.22838333333333333</v>
      </c>
      <c r="J2978" s="12">
        <f t="shared" si="142"/>
        <v>0.19987013888888888</v>
      </c>
    </row>
    <row r="2979" spans="1:10" ht="15" customHeight="1">
      <c r="A2979" s="14">
        <v>45713</v>
      </c>
      <c r="B2979" s="10">
        <v>331</v>
      </c>
      <c r="C2979" s="4">
        <v>31565</v>
      </c>
      <c r="D2979" s="3">
        <v>3.49</v>
      </c>
      <c r="E2979" s="3">
        <v>5458</v>
      </c>
      <c r="F2979" s="9">
        <v>100</v>
      </c>
      <c r="G2979" s="9">
        <v>100</v>
      </c>
      <c r="H2979" s="2">
        <f t="shared" si="143"/>
        <v>15861280</v>
      </c>
      <c r="I2979" s="12">
        <f t="shared" si="141"/>
        <v>0.13152083333333334</v>
      </c>
      <c r="J2979" s="12">
        <f t="shared" si="142"/>
        <v>0.19966364551863042</v>
      </c>
    </row>
    <row r="2980" spans="1:10" ht="15" customHeight="1">
      <c r="A2980" s="14">
        <v>45714</v>
      </c>
      <c r="B2980" s="10">
        <v>332</v>
      </c>
      <c r="C2980" s="4">
        <v>35497</v>
      </c>
      <c r="D2980" s="3">
        <v>3.82</v>
      </c>
      <c r="E2980" s="3">
        <v>9482</v>
      </c>
      <c r="F2980" s="9">
        <v>100</v>
      </c>
      <c r="G2980" s="9">
        <v>100</v>
      </c>
      <c r="H2980" s="2">
        <f t="shared" si="143"/>
        <v>15896777</v>
      </c>
      <c r="I2980" s="12">
        <f t="shared" si="141"/>
        <v>0.14790416666666667</v>
      </c>
      <c r="J2980" s="12">
        <f t="shared" si="142"/>
        <v>0.19950774347389558</v>
      </c>
    </row>
    <row r="2981" spans="1:10" ht="15" customHeight="1">
      <c r="A2981" s="14">
        <v>45715</v>
      </c>
      <c r="B2981" s="10">
        <v>333</v>
      </c>
      <c r="C2981" s="4">
        <v>22333</v>
      </c>
      <c r="D2981" s="3">
        <v>2.4500000000000002</v>
      </c>
      <c r="E2981" s="3">
        <v>7238</v>
      </c>
      <c r="F2981" s="9">
        <v>100</v>
      </c>
      <c r="G2981" s="9">
        <v>100</v>
      </c>
      <c r="H2981" s="2">
        <f t="shared" si="143"/>
        <v>15919110</v>
      </c>
      <c r="I2981" s="12">
        <f t="shared" si="141"/>
        <v>9.305416666666666E-2</v>
      </c>
      <c r="J2981" s="12">
        <f t="shared" si="142"/>
        <v>0.19918806306306305</v>
      </c>
    </row>
    <row r="2982" spans="1:10" ht="15" customHeight="1">
      <c r="A2982" s="14">
        <v>45716</v>
      </c>
      <c r="B2982" s="10">
        <v>334</v>
      </c>
      <c r="C2982" s="4">
        <v>45883</v>
      </c>
      <c r="D2982" s="3">
        <v>4.63</v>
      </c>
      <c r="E2982" s="3">
        <v>9454</v>
      </c>
      <c r="F2982" s="9">
        <v>100</v>
      </c>
      <c r="G2982" s="9">
        <v>100</v>
      </c>
      <c r="H2982" s="2">
        <f t="shared" si="143"/>
        <v>15964993</v>
      </c>
      <c r="I2982" s="12">
        <f t="shared" si="141"/>
        <v>0.19117916666666668</v>
      </c>
      <c r="J2982" s="12">
        <f t="shared" si="142"/>
        <v>0.19916408433133734</v>
      </c>
    </row>
    <row r="2983" spans="1:10" ht="15" customHeight="1">
      <c r="A2983" s="14">
        <v>45717</v>
      </c>
      <c r="B2983" s="10">
        <v>335</v>
      </c>
      <c r="C2983" s="4">
        <v>54853</v>
      </c>
      <c r="D2983" s="3">
        <v>5.41</v>
      </c>
      <c r="E2983" s="3">
        <v>9199</v>
      </c>
      <c r="F2983" s="9">
        <v>100</v>
      </c>
      <c r="G2983" s="9">
        <v>100</v>
      </c>
      <c r="H2983" s="2">
        <f t="shared" si="143"/>
        <v>16019846</v>
      </c>
      <c r="I2983" s="12">
        <f t="shared" si="141"/>
        <v>0.22855416666666667</v>
      </c>
      <c r="J2983" s="12">
        <f t="shared" si="142"/>
        <v>0.19925181592039801</v>
      </c>
    </row>
    <row r="2984" spans="1:10" ht="15" customHeight="1">
      <c r="A2984" s="14">
        <v>45718</v>
      </c>
      <c r="B2984" s="10">
        <v>336</v>
      </c>
      <c r="C2984" s="4">
        <v>60912</v>
      </c>
      <c r="D2984" s="3">
        <v>6.04</v>
      </c>
      <c r="E2984" s="3">
        <v>8681</v>
      </c>
      <c r="F2984" s="9">
        <v>100</v>
      </c>
      <c r="G2984" s="9">
        <v>100</v>
      </c>
      <c r="H2984" s="2">
        <f t="shared" si="143"/>
        <v>16080758</v>
      </c>
      <c r="I2984" s="12">
        <f t="shared" si="141"/>
        <v>0.25380000000000003</v>
      </c>
      <c r="J2984" s="12">
        <f t="shared" si="142"/>
        <v>0.19941416170634921</v>
      </c>
    </row>
    <row r="2985" spans="1:10" ht="15" customHeight="1">
      <c r="A2985" s="14">
        <v>45719</v>
      </c>
      <c r="B2985" s="10">
        <v>337</v>
      </c>
      <c r="C2985" s="4">
        <v>56250</v>
      </c>
      <c r="D2985" s="3">
        <v>5.68</v>
      </c>
      <c r="E2985" s="3">
        <v>8641</v>
      </c>
      <c r="F2985" s="9">
        <v>100</v>
      </c>
      <c r="G2985" s="9">
        <v>100</v>
      </c>
      <c r="H2985" s="2">
        <f t="shared" si="143"/>
        <v>16137008</v>
      </c>
      <c r="I2985" s="12">
        <f t="shared" si="141"/>
        <v>0.234375</v>
      </c>
      <c r="J2985" s="12">
        <f t="shared" si="142"/>
        <v>0.19951790306627101</v>
      </c>
    </row>
    <row r="2986" spans="1:10" ht="15" customHeight="1">
      <c r="A2986" s="14">
        <v>45720</v>
      </c>
      <c r="B2986" s="10">
        <v>338</v>
      </c>
      <c r="C2986" s="4">
        <v>63454</v>
      </c>
      <c r="D2986" s="3">
        <v>6.28</v>
      </c>
      <c r="E2986" s="3">
        <v>9257</v>
      </c>
      <c r="F2986" s="9">
        <v>100</v>
      </c>
      <c r="G2986" s="9">
        <v>100</v>
      </c>
      <c r="H2986" s="2">
        <f t="shared" si="143"/>
        <v>16200462</v>
      </c>
      <c r="I2986" s="12">
        <f t="shared" si="141"/>
        <v>0.26439166666666669</v>
      </c>
      <c r="J2986" s="12">
        <f t="shared" si="142"/>
        <v>0.19970983727810651</v>
      </c>
    </row>
    <row r="2987" spans="1:10" ht="15" customHeight="1">
      <c r="A2987" s="14">
        <v>45721</v>
      </c>
      <c r="B2987" s="10">
        <v>339</v>
      </c>
      <c r="C2987" s="4">
        <v>64409</v>
      </c>
      <c r="D2987" s="3">
        <v>6.49</v>
      </c>
      <c r="E2987" s="3">
        <v>9038</v>
      </c>
      <c r="F2987" s="9">
        <v>100</v>
      </c>
      <c r="G2987" s="9">
        <v>100</v>
      </c>
      <c r="H2987" s="2">
        <f t="shared" si="143"/>
        <v>16264871</v>
      </c>
      <c r="I2987" s="12">
        <f t="shared" si="141"/>
        <v>0.26837083333333334</v>
      </c>
      <c r="J2987" s="12">
        <f t="shared" si="142"/>
        <v>0.19991237708947887</v>
      </c>
    </row>
    <row r="2988" spans="1:10" ht="15" customHeight="1">
      <c r="A2988" s="14">
        <v>45722</v>
      </c>
      <c r="B2988" s="10">
        <v>340</v>
      </c>
      <c r="C2988" s="4">
        <v>62229</v>
      </c>
      <c r="D2988" s="3">
        <v>6.28</v>
      </c>
      <c r="E2988" s="3">
        <v>8908</v>
      </c>
      <c r="F2988" s="9">
        <v>100</v>
      </c>
      <c r="G2988" s="9">
        <v>100</v>
      </c>
      <c r="H2988" s="2">
        <f t="shared" si="143"/>
        <v>16327100</v>
      </c>
      <c r="I2988" s="12">
        <f t="shared" si="141"/>
        <v>0.2592875</v>
      </c>
      <c r="J2988" s="12">
        <f t="shared" si="142"/>
        <v>0.20008700980392158</v>
      </c>
    </row>
    <row r="2989" spans="1:10" ht="15" customHeight="1">
      <c r="A2989" s="14">
        <v>45723</v>
      </c>
      <c r="B2989" s="10">
        <v>341</v>
      </c>
      <c r="C2989" s="4">
        <v>60200</v>
      </c>
      <c r="D2989" s="3">
        <v>6.14</v>
      </c>
      <c r="E2989" s="3">
        <v>8544</v>
      </c>
      <c r="F2989" s="9">
        <v>100</v>
      </c>
      <c r="G2989" s="9">
        <v>100</v>
      </c>
      <c r="H2989" s="2">
        <f t="shared" si="143"/>
        <v>16387300</v>
      </c>
      <c r="I2989" s="12">
        <f t="shared" si="141"/>
        <v>0.25083333333333335</v>
      </c>
      <c r="J2989" s="12">
        <f t="shared" si="142"/>
        <v>0.20023582600195503</v>
      </c>
    </row>
    <row r="2990" spans="1:10" ht="15" customHeight="1">
      <c r="A2990" s="14">
        <v>45724</v>
      </c>
      <c r="B2990" s="10">
        <v>342</v>
      </c>
      <c r="C2990" s="4">
        <v>57534</v>
      </c>
      <c r="D2990" s="3">
        <v>6.19</v>
      </c>
      <c r="E2990" s="3">
        <v>8412</v>
      </c>
      <c r="F2990" s="9">
        <v>97.944199706314237</v>
      </c>
      <c r="G2990" s="9">
        <v>100</v>
      </c>
      <c r="H2990" s="2">
        <f t="shared" si="143"/>
        <v>16444834</v>
      </c>
      <c r="I2990" s="12">
        <f t="shared" si="141"/>
        <v>0.23972499999999999</v>
      </c>
      <c r="J2990" s="12">
        <f t="shared" si="142"/>
        <v>0.20035129142300195</v>
      </c>
    </row>
    <row r="2991" spans="1:10" ht="15" customHeight="1">
      <c r="A2991" s="14">
        <v>45725</v>
      </c>
      <c r="B2991" s="10">
        <v>343</v>
      </c>
      <c r="C2991" s="4">
        <v>57020</v>
      </c>
      <c r="D2991" s="3">
        <v>6.16</v>
      </c>
      <c r="E2991" s="3">
        <v>8098</v>
      </c>
      <c r="F2991" s="9">
        <v>98.192419825072889</v>
      </c>
      <c r="G2991" s="9">
        <v>100</v>
      </c>
      <c r="H2991" s="2">
        <f t="shared" si="143"/>
        <v>16501854</v>
      </c>
      <c r="I2991" s="12">
        <f t="shared" si="141"/>
        <v>0.23758333333333334</v>
      </c>
      <c r="J2991" s="12">
        <f t="shared" si="142"/>
        <v>0.20045983965014577</v>
      </c>
    </row>
    <row r="2992" spans="1:10" ht="15" customHeight="1">
      <c r="A2992" s="14">
        <v>45726</v>
      </c>
      <c r="B2992" s="10">
        <v>344</v>
      </c>
      <c r="C2992" s="4">
        <v>54070</v>
      </c>
      <c r="D2992" s="3">
        <v>6.04</v>
      </c>
      <c r="E2992" s="3">
        <v>8851</v>
      </c>
      <c r="F2992" s="9">
        <v>98.794835007173603</v>
      </c>
      <c r="G2992" s="9">
        <v>100</v>
      </c>
      <c r="H2992" s="2">
        <f t="shared" si="143"/>
        <v>16555924</v>
      </c>
      <c r="I2992" s="12">
        <f t="shared" si="141"/>
        <v>0.22529166666666667</v>
      </c>
      <c r="J2992" s="12">
        <f t="shared" si="142"/>
        <v>0.20053202519379845</v>
      </c>
    </row>
    <row r="2993" spans="1:10" ht="15" customHeight="1">
      <c r="A2993" s="14">
        <v>45727</v>
      </c>
      <c r="B2993" s="10">
        <v>345</v>
      </c>
      <c r="C2993" s="4">
        <v>42471</v>
      </c>
      <c r="D2993" s="3">
        <v>4.76</v>
      </c>
      <c r="E2993" s="3">
        <v>8533</v>
      </c>
      <c r="F2993" s="9">
        <v>96.898079763663219</v>
      </c>
      <c r="G2993" s="9">
        <v>100</v>
      </c>
      <c r="H2993" s="2">
        <f t="shared" si="143"/>
        <v>16598395</v>
      </c>
      <c r="I2993" s="12">
        <f t="shared" si="141"/>
        <v>0.17696249999999999</v>
      </c>
      <c r="J2993" s="12">
        <f t="shared" si="142"/>
        <v>0.20046370772946859</v>
      </c>
    </row>
    <row r="2994" spans="1:10" ht="15" customHeight="1">
      <c r="A2994" s="14">
        <v>45728</v>
      </c>
      <c r="B2994" s="10">
        <v>346</v>
      </c>
      <c r="C2994" s="4">
        <v>51638</v>
      </c>
      <c r="D2994" s="3">
        <v>5.52</v>
      </c>
      <c r="E2994" s="3">
        <v>8398</v>
      </c>
      <c r="F2994" s="9">
        <v>100</v>
      </c>
      <c r="G2994" s="9">
        <v>100</v>
      </c>
      <c r="H2994" s="2">
        <f t="shared" si="143"/>
        <v>16650033</v>
      </c>
      <c r="I2994" s="12">
        <f t="shared" si="141"/>
        <v>0.21515833333333334</v>
      </c>
      <c r="J2994" s="12">
        <f t="shared" si="142"/>
        <v>0.20050617774566473</v>
      </c>
    </row>
    <row r="2995" spans="1:10" ht="15" customHeight="1">
      <c r="A2995" s="14">
        <v>45729</v>
      </c>
      <c r="B2995" s="10">
        <v>347</v>
      </c>
      <c r="C2995" s="4">
        <v>53789</v>
      </c>
      <c r="D2995" s="3">
        <v>5.76</v>
      </c>
      <c r="E2995" s="3">
        <v>8447</v>
      </c>
      <c r="F2995" s="9">
        <v>100</v>
      </c>
      <c r="G2995" s="9">
        <v>100</v>
      </c>
      <c r="H2995" s="2">
        <f t="shared" si="143"/>
        <v>16703822</v>
      </c>
      <c r="I2995" s="12">
        <f t="shared" si="141"/>
        <v>0.22412083333333332</v>
      </c>
      <c r="J2995" s="12">
        <f t="shared" si="142"/>
        <v>0.20057423150816522</v>
      </c>
    </row>
    <row r="2996" spans="1:10" ht="15" customHeight="1">
      <c r="A2996" s="14">
        <v>45730</v>
      </c>
      <c r="B2996" s="10">
        <v>348</v>
      </c>
      <c r="C2996" s="4">
        <v>46455</v>
      </c>
      <c r="D2996" s="3">
        <v>5.24</v>
      </c>
      <c r="E2996" s="3">
        <v>9229</v>
      </c>
      <c r="F2996" s="9">
        <v>100</v>
      </c>
      <c r="G2996" s="9">
        <v>100</v>
      </c>
      <c r="H2996" s="2">
        <f t="shared" si="143"/>
        <v>16750277</v>
      </c>
      <c r="I2996" s="12">
        <f t="shared" si="141"/>
        <v>0.1935625</v>
      </c>
      <c r="J2996" s="12">
        <f t="shared" si="142"/>
        <v>0.20055408285440612</v>
      </c>
    </row>
    <row r="2997" spans="1:10" ht="15" customHeight="1">
      <c r="A2997" s="14">
        <v>45731</v>
      </c>
      <c r="B2997" s="10">
        <v>349</v>
      </c>
      <c r="C2997" s="4">
        <v>59581</v>
      </c>
      <c r="D2997" s="3">
        <v>6.2</v>
      </c>
      <c r="E2997" s="3">
        <v>8475</v>
      </c>
      <c r="F2997" s="9">
        <v>100</v>
      </c>
      <c r="G2997" s="9">
        <v>100</v>
      </c>
      <c r="H2997" s="2">
        <f t="shared" si="143"/>
        <v>16809858</v>
      </c>
      <c r="I2997" s="12">
        <f t="shared" si="141"/>
        <v>0.24825416666666666</v>
      </c>
      <c r="J2997" s="12">
        <f t="shared" si="142"/>
        <v>0.20069075931232092</v>
      </c>
    </row>
    <row r="2998" spans="1:10" ht="15" customHeight="1">
      <c r="A2998" s="14">
        <v>45732</v>
      </c>
      <c r="B2998" s="10">
        <v>350</v>
      </c>
      <c r="C2998" s="4">
        <v>49589</v>
      </c>
      <c r="D2998" s="3">
        <v>5.46</v>
      </c>
      <c r="E2998" s="3">
        <v>9634</v>
      </c>
      <c r="F2998" s="9">
        <v>100</v>
      </c>
      <c r="G2998" s="9">
        <v>100</v>
      </c>
      <c r="H2998" s="2">
        <f t="shared" si="143"/>
        <v>16859447</v>
      </c>
      <c r="I2998" s="12">
        <f t="shared" si="141"/>
        <v>0.20662083333333334</v>
      </c>
      <c r="J2998" s="12">
        <f t="shared" si="142"/>
        <v>0.20070770238095237</v>
      </c>
    </row>
    <row r="2999" spans="1:10" ht="15" customHeight="1">
      <c r="A2999" s="14">
        <v>45733</v>
      </c>
      <c r="B2999" s="10">
        <v>351</v>
      </c>
      <c r="C2999" s="4">
        <v>62594</v>
      </c>
      <c r="D2999" s="3">
        <v>6.7</v>
      </c>
      <c r="E2999" s="3">
        <v>8709</v>
      </c>
      <c r="F2999" s="9">
        <v>100</v>
      </c>
      <c r="G2999" s="9">
        <v>100</v>
      </c>
      <c r="H2999" s="2">
        <f t="shared" si="143"/>
        <v>16922041</v>
      </c>
      <c r="I2999" s="12">
        <f t="shared" si="141"/>
        <v>0.26080833333333331</v>
      </c>
      <c r="J2999" s="12">
        <f t="shared" si="142"/>
        <v>0.20087892924976258</v>
      </c>
    </row>
    <row r="3000" spans="1:10" ht="15" customHeight="1">
      <c r="A3000" s="14">
        <v>45734</v>
      </c>
      <c r="B3000" s="10">
        <v>352</v>
      </c>
      <c r="C3000" s="4">
        <v>61270</v>
      </c>
      <c r="D3000" s="3">
        <v>6.7</v>
      </c>
      <c r="E3000" s="3">
        <v>8727</v>
      </c>
      <c r="F3000" s="9">
        <v>100</v>
      </c>
      <c r="G3000" s="9">
        <v>100</v>
      </c>
      <c r="H3000" s="2">
        <f t="shared" si="143"/>
        <v>16983311</v>
      </c>
      <c r="I3000" s="12">
        <f t="shared" si="141"/>
        <v>0.25529166666666664</v>
      </c>
      <c r="J3000" s="12">
        <f t="shared" si="142"/>
        <v>0.20103351089015151</v>
      </c>
    </row>
    <row r="3001" spans="1:10" ht="15" customHeight="1">
      <c r="A3001" s="14">
        <v>45735</v>
      </c>
      <c r="B3001" s="10">
        <v>353</v>
      </c>
      <c r="C3001" s="4">
        <v>58404</v>
      </c>
      <c r="D3001" s="3">
        <v>6.46</v>
      </c>
      <c r="E3001" s="3">
        <v>8346</v>
      </c>
      <c r="F3001" s="9">
        <v>100</v>
      </c>
      <c r="G3001" s="9">
        <v>100</v>
      </c>
      <c r="H3001" s="2">
        <f t="shared" si="143"/>
        <v>17041715</v>
      </c>
      <c r="I3001" s="12">
        <f t="shared" si="141"/>
        <v>0.24335000000000001</v>
      </c>
      <c r="J3001" s="12">
        <f t="shared" si="142"/>
        <v>0.20115338762983948</v>
      </c>
    </row>
    <row r="3002" spans="1:10" ht="15" customHeight="1">
      <c r="A3002" s="14">
        <v>45736</v>
      </c>
      <c r="B3002" s="10">
        <v>354</v>
      </c>
      <c r="C3002" s="4">
        <v>47813</v>
      </c>
      <c r="D3002" s="3">
        <v>5.5</v>
      </c>
      <c r="E3002" s="3">
        <v>8859</v>
      </c>
      <c r="F3002" s="9">
        <v>98.394160583941598</v>
      </c>
      <c r="G3002" s="9">
        <v>100</v>
      </c>
      <c r="H3002" s="2">
        <f t="shared" si="143"/>
        <v>17089528</v>
      </c>
      <c r="I3002" s="12">
        <f t="shared" si="141"/>
        <v>0.19922083333333335</v>
      </c>
      <c r="J3002" s="12">
        <f t="shared" si="142"/>
        <v>0.20114792843691148</v>
      </c>
    </row>
    <row r="3003" spans="1:10" ht="15" customHeight="1">
      <c r="A3003" s="14">
        <v>45737</v>
      </c>
      <c r="B3003" s="10">
        <v>355</v>
      </c>
      <c r="C3003" s="4">
        <v>58271</v>
      </c>
      <c r="D3003" s="3">
        <v>6.42</v>
      </c>
      <c r="E3003" s="3">
        <v>8151</v>
      </c>
      <c r="F3003" s="9">
        <v>98.895184135977331</v>
      </c>
      <c r="G3003" s="9">
        <v>100</v>
      </c>
      <c r="H3003" s="2">
        <f t="shared" si="143"/>
        <v>17147799</v>
      </c>
      <c r="I3003" s="12">
        <f t="shared" si="141"/>
        <v>0.24279583333333332</v>
      </c>
      <c r="J3003" s="12">
        <f t="shared" si="142"/>
        <v>0.20126524647887323</v>
      </c>
    </row>
    <row r="3004" spans="1:10" ht="15" customHeight="1">
      <c r="A3004" s="14">
        <v>45738</v>
      </c>
      <c r="B3004" s="10">
        <v>356</v>
      </c>
      <c r="C3004" s="4">
        <v>60654</v>
      </c>
      <c r="D3004" s="3">
        <v>6.74</v>
      </c>
      <c r="E3004" s="3">
        <v>8344</v>
      </c>
      <c r="F3004" s="9">
        <v>98.632478632478637</v>
      </c>
      <c r="G3004" s="9">
        <v>100</v>
      </c>
      <c r="H3004" s="2">
        <f t="shared" si="143"/>
        <v>17208453</v>
      </c>
      <c r="I3004" s="12">
        <f t="shared" si="141"/>
        <v>0.25272499999999998</v>
      </c>
      <c r="J3004" s="12">
        <f t="shared" si="142"/>
        <v>0.2014097963483146</v>
      </c>
    </row>
    <row r="3005" spans="1:10" ht="15" customHeight="1">
      <c r="A3005" s="14">
        <v>45739</v>
      </c>
      <c r="B3005" s="10">
        <v>357</v>
      </c>
      <c r="C3005" s="4">
        <v>59206</v>
      </c>
      <c r="D3005" s="3">
        <v>6.68</v>
      </c>
      <c r="E3005" s="3">
        <v>8084</v>
      </c>
      <c r="F3005" s="9">
        <v>98.290598290598282</v>
      </c>
      <c r="G3005" s="9">
        <v>99.145299145299148</v>
      </c>
      <c r="H3005" s="2">
        <f t="shared" si="143"/>
        <v>17267659</v>
      </c>
      <c r="I3005" s="12">
        <f t="shared" si="141"/>
        <v>0.24669166666666667</v>
      </c>
      <c r="J3005" s="12">
        <f t="shared" si="142"/>
        <v>0.20153663632119515</v>
      </c>
    </row>
    <row r="3006" spans="1:10" ht="15" customHeight="1">
      <c r="A3006" s="14">
        <v>45740</v>
      </c>
      <c r="B3006" s="10">
        <v>358</v>
      </c>
      <c r="C3006" s="4">
        <v>59474</v>
      </c>
      <c r="D3006" s="3">
        <v>6.71</v>
      </c>
      <c r="E3006" s="3">
        <v>8135</v>
      </c>
      <c r="F3006" s="9">
        <v>98.483146067415731</v>
      </c>
      <c r="G3006" s="9">
        <v>100</v>
      </c>
      <c r="H3006" s="2">
        <f t="shared" si="143"/>
        <v>17327133</v>
      </c>
      <c r="I3006" s="12">
        <f t="shared" si="141"/>
        <v>0.24780833333333332</v>
      </c>
      <c r="J3006" s="12">
        <f t="shared" si="142"/>
        <v>0.20166588687150838</v>
      </c>
    </row>
    <row r="3007" spans="1:10" ht="15" customHeight="1">
      <c r="A3007" s="14">
        <v>45741</v>
      </c>
      <c r="B3007" s="10">
        <v>359</v>
      </c>
      <c r="C3007" s="4">
        <v>58503</v>
      </c>
      <c r="D3007" s="3">
        <v>6.63</v>
      </c>
      <c r="E3007" s="3">
        <v>8269</v>
      </c>
      <c r="F3007" s="9">
        <v>98.545454545454547</v>
      </c>
      <c r="G3007" s="9">
        <v>100</v>
      </c>
      <c r="H3007" s="2">
        <f t="shared" si="143"/>
        <v>17385636</v>
      </c>
      <c r="I3007" s="12">
        <f t="shared" si="141"/>
        <v>0.24376249999999999</v>
      </c>
      <c r="J3007" s="12">
        <f t="shared" si="142"/>
        <v>0.20178314763231198</v>
      </c>
    </row>
    <row r="3008" spans="1:10" ht="15" customHeight="1">
      <c r="A3008" s="14">
        <v>45742</v>
      </c>
      <c r="B3008" s="10">
        <v>360</v>
      </c>
      <c r="C3008" s="4">
        <v>58460</v>
      </c>
      <c r="D3008" s="3">
        <v>6.52</v>
      </c>
      <c r="E3008" s="3">
        <v>8300</v>
      </c>
      <c r="F3008" s="9">
        <v>98.825174825174827</v>
      </c>
      <c r="G3008" s="9">
        <v>100</v>
      </c>
      <c r="H3008" s="2">
        <f t="shared" si="143"/>
        <v>17444096</v>
      </c>
      <c r="I3008" s="12">
        <f t="shared" si="141"/>
        <v>0.24358333333333335</v>
      </c>
      <c r="J3008" s="12">
        <f t="shared" si="142"/>
        <v>0.20189925925925925</v>
      </c>
    </row>
    <row r="3009" spans="1:10" ht="15" customHeight="1">
      <c r="A3009" s="14">
        <v>45743</v>
      </c>
      <c r="B3009" s="10">
        <v>361</v>
      </c>
      <c r="C3009" s="4">
        <v>63310</v>
      </c>
      <c r="D3009" s="3">
        <v>7.01</v>
      </c>
      <c r="E3009" s="3">
        <v>8896</v>
      </c>
      <c r="F3009" s="9">
        <v>100</v>
      </c>
      <c r="G3009" s="9">
        <v>100</v>
      </c>
      <c r="H3009" s="2">
        <f t="shared" si="143"/>
        <v>17507406</v>
      </c>
      <c r="I3009" s="12">
        <f t="shared" si="141"/>
        <v>0.26379166666666665</v>
      </c>
      <c r="J3009" s="12">
        <f t="shared" si="142"/>
        <v>0.20207070637119112</v>
      </c>
    </row>
    <row r="3010" spans="1:10" ht="15" customHeight="1">
      <c r="A3010" s="14">
        <v>45744</v>
      </c>
      <c r="B3010" s="10">
        <v>362</v>
      </c>
      <c r="C3010" s="4">
        <v>62541</v>
      </c>
      <c r="D3010" s="3">
        <v>7.31</v>
      </c>
      <c r="E3010" s="3">
        <v>8778</v>
      </c>
      <c r="F3010" s="9">
        <v>98.196948682385582</v>
      </c>
      <c r="G3010" s="9">
        <v>100</v>
      </c>
      <c r="H3010" s="2">
        <f t="shared" si="143"/>
        <v>17569947</v>
      </c>
      <c r="I3010" s="12">
        <f t="shared" si="141"/>
        <v>0.26058750000000003</v>
      </c>
      <c r="J3010" s="12">
        <f t="shared" si="142"/>
        <v>0.20223235497237568</v>
      </c>
    </row>
    <row r="3011" spans="1:10" ht="15" customHeight="1">
      <c r="A3011" s="14">
        <v>45745</v>
      </c>
      <c r="B3011" s="10">
        <v>363</v>
      </c>
      <c r="C3011" s="4">
        <v>60940</v>
      </c>
      <c r="D3011" s="3">
        <v>6.73</v>
      </c>
      <c r="E3011" s="3">
        <v>9433</v>
      </c>
      <c r="F3011" s="9">
        <v>98.512396694214871</v>
      </c>
      <c r="G3011" s="9">
        <v>100</v>
      </c>
      <c r="H3011" s="2">
        <f t="shared" si="143"/>
        <v>17630887</v>
      </c>
      <c r="I3011" s="12">
        <f t="shared" ref="I3011:I3074" si="144">C3011/(10*24*1000)</f>
        <v>0.25391666666666668</v>
      </c>
      <c r="J3011" s="12">
        <f t="shared" si="142"/>
        <v>0.20237473599632691</v>
      </c>
    </row>
    <row r="3012" spans="1:10" ht="15" customHeight="1">
      <c r="A3012" s="14">
        <v>45746</v>
      </c>
      <c r="B3012" s="10">
        <v>364</v>
      </c>
      <c r="C3012" s="4">
        <v>62800</v>
      </c>
      <c r="D3012" s="3">
        <v>7.32</v>
      </c>
      <c r="E3012" s="3">
        <v>8394</v>
      </c>
      <c r="F3012" s="9">
        <v>98.0528511821975</v>
      </c>
      <c r="G3012" s="9">
        <v>100</v>
      </c>
      <c r="H3012" s="2">
        <f t="shared" si="143"/>
        <v>17693687</v>
      </c>
      <c r="I3012" s="12">
        <f t="shared" si="144"/>
        <v>0.26166666666666666</v>
      </c>
      <c r="J3012" s="12">
        <f t="shared" ref="J3012:J3013" si="145">H3012/(24*B3012*10*1000)</f>
        <v>0.20253762591575092</v>
      </c>
    </row>
    <row r="3013" spans="1:10" ht="15" customHeight="1">
      <c r="A3013" s="14">
        <v>45747</v>
      </c>
      <c r="B3013" s="10">
        <v>365</v>
      </c>
      <c r="C3013" s="4">
        <v>62227</v>
      </c>
      <c r="D3013" s="3">
        <v>7.2</v>
      </c>
      <c r="E3013" s="3">
        <v>8359</v>
      </c>
      <c r="F3013" s="9">
        <v>98.437935843793582</v>
      </c>
      <c r="G3013" s="9">
        <v>100</v>
      </c>
      <c r="H3013" s="2">
        <f t="shared" si="143"/>
        <v>17755914</v>
      </c>
      <c r="I3013" s="12">
        <f t="shared" si="144"/>
        <v>0.25927916666666667</v>
      </c>
      <c r="J3013" s="12">
        <f t="shared" si="145"/>
        <v>0.20269308219178081</v>
      </c>
    </row>
    <row r="3014" spans="1:10" ht="15" customHeight="1">
      <c r="A3014" s="14">
        <v>45748</v>
      </c>
      <c r="B3014" s="11">
        <v>1</v>
      </c>
      <c r="C3014">
        <v>61846</v>
      </c>
      <c r="D3014" s="58">
        <v>7.16</v>
      </c>
      <c r="E3014" s="5">
        <v>8359</v>
      </c>
      <c r="F3014" s="39">
        <v>0.99497907949790798</v>
      </c>
      <c r="G3014" s="39">
        <v>1</v>
      </c>
      <c r="H3014" s="2">
        <f>C3014</f>
        <v>61846</v>
      </c>
      <c r="I3014" s="12">
        <f t="shared" si="144"/>
        <v>0.25769166666666665</v>
      </c>
      <c r="J3014" s="12">
        <f>H3014/(24*B3014*10*1000)</f>
        <v>0.25769166666666665</v>
      </c>
    </row>
    <row r="3015" spans="1:10" ht="15" customHeight="1">
      <c r="A3015" s="14">
        <v>45749</v>
      </c>
      <c r="B3015" s="11">
        <v>2</v>
      </c>
      <c r="C3015">
        <v>62418</v>
      </c>
      <c r="D3015" s="58">
        <v>7.15</v>
      </c>
      <c r="E3015" s="5">
        <v>8556</v>
      </c>
      <c r="F3015" s="39">
        <v>1</v>
      </c>
      <c r="G3015" s="39">
        <v>1</v>
      </c>
      <c r="H3015" s="2">
        <f>H3014+C3015</f>
        <v>124264</v>
      </c>
      <c r="I3015" s="12">
        <f t="shared" si="144"/>
        <v>0.260075</v>
      </c>
      <c r="J3015" s="12">
        <f t="shared" ref="J3015:J3078" si="146">H3015/(24*B3015*10*1000)</f>
        <v>0.25888333333333335</v>
      </c>
    </row>
    <row r="3016" spans="1:10" ht="15" customHeight="1">
      <c r="A3016" s="14">
        <v>45750</v>
      </c>
      <c r="B3016" s="11">
        <v>3</v>
      </c>
      <c r="C3016">
        <v>61313</v>
      </c>
      <c r="D3016" s="58">
        <v>7.02</v>
      </c>
      <c r="E3016" s="5">
        <v>8402</v>
      </c>
      <c r="F3016" s="39">
        <v>1</v>
      </c>
      <c r="G3016" s="39">
        <v>1</v>
      </c>
      <c r="H3016" s="2">
        <f t="shared" ref="H3016:H3079" si="147">H3015+C3016</f>
        <v>185577</v>
      </c>
      <c r="I3016" s="12">
        <f t="shared" si="144"/>
        <v>0.25547083333333331</v>
      </c>
      <c r="J3016" s="12">
        <f t="shared" si="146"/>
        <v>0.25774583333333334</v>
      </c>
    </row>
    <row r="3017" spans="1:10" ht="15" customHeight="1">
      <c r="A3017" s="14">
        <v>45751</v>
      </c>
      <c r="B3017" s="11">
        <v>4</v>
      </c>
      <c r="C3017">
        <v>60662</v>
      </c>
      <c r="D3017" s="58">
        <v>6.75</v>
      </c>
      <c r="E3017" s="5">
        <v>8329</v>
      </c>
      <c r="F3017" s="39">
        <v>1</v>
      </c>
      <c r="G3017" s="39">
        <v>1</v>
      </c>
      <c r="H3017" s="2">
        <f t="shared" si="147"/>
        <v>246239</v>
      </c>
      <c r="I3017" s="12">
        <f t="shared" si="144"/>
        <v>0.25275833333333331</v>
      </c>
      <c r="J3017" s="12">
        <f t="shared" si="146"/>
        <v>0.25649895833333336</v>
      </c>
    </row>
    <row r="3018" spans="1:10" ht="15" customHeight="1">
      <c r="A3018" s="14">
        <v>45752</v>
      </c>
      <c r="B3018" s="11">
        <v>5</v>
      </c>
      <c r="C3018">
        <v>58380</v>
      </c>
      <c r="D3018" s="58">
        <v>6.7</v>
      </c>
      <c r="E3018" s="5">
        <v>7986</v>
      </c>
      <c r="F3018" s="39">
        <v>1</v>
      </c>
      <c r="G3018" s="39">
        <v>1</v>
      </c>
      <c r="H3018" s="2">
        <f t="shared" si="147"/>
        <v>304619</v>
      </c>
      <c r="I3018" s="12">
        <f t="shared" si="144"/>
        <v>0.24324999999999999</v>
      </c>
      <c r="J3018" s="12">
        <f t="shared" si="146"/>
        <v>0.25384916666666668</v>
      </c>
    </row>
    <row r="3019" spans="1:10" ht="15" customHeight="1">
      <c r="A3019" s="14">
        <v>45753</v>
      </c>
      <c r="B3019" s="11">
        <v>6</v>
      </c>
      <c r="C3019">
        <v>60235</v>
      </c>
      <c r="D3019" s="58">
        <v>8.07</v>
      </c>
      <c r="E3019" s="5">
        <v>8205</v>
      </c>
      <c r="F3019" s="39">
        <v>1</v>
      </c>
      <c r="G3019" s="39">
        <v>1</v>
      </c>
      <c r="H3019" s="2">
        <f t="shared" si="147"/>
        <v>364854</v>
      </c>
      <c r="I3019" s="12">
        <f t="shared" si="144"/>
        <v>0.25097916666666664</v>
      </c>
      <c r="J3019" s="12">
        <f t="shared" si="146"/>
        <v>0.25337083333333332</v>
      </c>
    </row>
    <row r="3020" spans="1:10" ht="15" customHeight="1">
      <c r="A3020" s="14">
        <v>45754</v>
      </c>
      <c r="B3020" s="11">
        <v>7</v>
      </c>
      <c r="C3020">
        <v>52546</v>
      </c>
      <c r="D3020" s="58">
        <v>6.83</v>
      </c>
      <c r="E3020" s="5">
        <v>7825</v>
      </c>
      <c r="F3020" s="39">
        <v>0.86493860845839021</v>
      </c>
      <c r="G3020" s="39">
        <v>1</v>
      </c>
      <c r="H3020" s="2">
        <f t="shared" si="147"/>
        <v>417400</v>
      </c>
      <c r="I3020" s="12">
        <f t="shared" si="144"/>
        <v>0.21894166666666667</v>
      </c>
      <c r="J3020" s="12">
        <f t="shared" si="146"/>
        <v>0.24845238095238095</v>
      </c>
    </row>
    <row r="3021" spans="1:10" ht="15" customHeight="1">
      <c r="A3021" s="14">
        <v>45755</v>
      </c>
      <c r="B3021" s="11">
        <v>8</v>
      </c>
      <c r="C3021">
        <v>58115</v>
      </c>
      <c r="D3021" s="58">
        <v>6.91</v>
      </c>
      <c r="E3021" s="5">
        <v>8153</v>
      </c>
      <c r="F3021" s="39">
        <v>1</v>
      </c>
      <c r="G3021" s="39">
        <v>1</v>
      </c>
      <c r="H3021" s="2">
        <f t="shared" si="147"/>
        <v>475515</v>
      </c>
      <c r="I3021" s="12">
        <f t="shared" si="144"/>
        <v>0.24214583333333334</v>
      </c>
      <c r="J3021" s="12">
        <f t="shared" si="146"/>
        <v>0.2476640625</v>
      </c>
    </row>
    <row r="3022" spans="1:10" ht="15" customHeight="1">
      <c r="A3022" s="14">
        <v>45756</v>
      </c>
      <c r="B3022" s="11">
        <v>9</v>
      </c>
      <c r="C3022">
        <v>53760</v>
      </c>
      <c r="D3022" s="58">
        <v>6.41</v>
      </c>
      <c r="E3022" s="5">
        <v>8019</v>
      </c>
      <c r="F3022" s="39">
        <v>1</v>
      </c>
      <c r="G3022" s="39">
        <v>1</v>
      </c>
      <c r="H3022" s="2">
        <f t="shared" si="147"/>
        <v>529275</v>
      </c>
      <c r="I3022" s="12">
        <f t="shared" si="144"/>
        <v>0.224</v>
      </c>
      <c r="J3022" s="12">
        <f t="shared" si="146"/>
        <v>0.24503472222222222</v>
      </c>
    </row>
    <row r="3023" spans="1:10" ht="15" customHeight="1">
      <c r="A3023" s="14">
        <v>45757</v>
      </c>
      <c r="B3023" s="11">
        <v>10</v>
      </c>
      <c r="C3023">
        <v>60457</v>
      </c>
      <c r="D3023" s="58">
        <v>6.99</v>
      </c>
      <c r="E3023" s="5">
        <v>8376</v>
      </c>
      <c r="F3023" s="39">
        <v>1</v>
      </c>
      <c r="G3023" s="39">
        <v>1</v>
      </c>
      <c r="H3023" s="2">
        <f t="shared" si="147"/>
        <v>589732</v>
      </c>
      <c r="I3023" s="12">
        <f t="shared" si="144"/>
        <v>0.25190416666666665</v>
      </c>
      <c r="J3023" s="12">
        <f t="shared" si="146"/>
        <v>0.24572166666666667</v>
      </c>
    </row>
    <row r="3024" spans="1:10" ht="15" customHeight="1">
      <c r="A3024" s="14">
        <v>45758</v>
      </c>
      <c r="B3024" s="11">
        <v>11</v>
      </c>
      <c r="C3024">
        <v>54010</v>
      </c>
      <c r="D3024" s="58">
        <v>6.33</v>
      </c>
      <c r="E3024" s="5">
        <v>7934</v>
      </c>
      <c r="F3024" s="39">
        <v>1</v>
      </c>
      <c r="G3024" s="39">
        <v>1</v>
      </c>
      <c r="H3024" s="2">
        <f t="shared" si="147"/>
        <v>643742</v>
      </c>
      <c r="I3024" s="12">
        <f t="shared" si="144"/>
        <v>0.22504166666666667</v>
      </c>
      <c r="J3024" s="12">
        <f t="shared" si="146"/>
        <v>0.24384166666666668</v>
      </c>
    </row>
    <row r="3025" spans="1:10" ht="15" customHeight="1">
      <c r="A3025" s="14">
        <v>45759</v>
      </c>
      <c r="B3025" s="11">
        <v>12</v>
      </c>
      <c r="C3025">
        <v>57075</v>
      </c>
      <c r="D3025" s="58">
        <v>6.39</v>
      </c>
      <c r="E3025" s="5">
        <v>7942</v>
      </c>
      <c r="F3025" s="39">
        <v>1</v>
      </c>
      <c r="G3025" s="39">
        <v>1</v>
      </c>
      <c r="H3025" s="2">
        <f t="shared" si="147"/>
        <v>700817</v>
      </c>
      <c r="I3025" s="12">
        <f t="shared" si="144"/>
        <v>0.23781250000000001</v>
      </c>
      <c r="J3025" s="12">
        <f t="shared" si="146"/>
        <v>0.24333923611111111</v>
      </c>
    </row>
    <row r="3026" spans="1:10" ht="15" customHeight="1">
      <c r="A3026" s="14">
        <v>45760</v>
      </c>
      <c r="B3026" s="11">
        <v>13</v>
      </c>
      <c r="C3026">
        <v>56944</v>
      </c>
      <c r="D3026" s="58">
        <v>6.74</v>
      </c>
      <c r="E3026" s="5">
        <v>7830</v>
      </c>
      <c r="F3026" s="39">
        <v>1</v>
      </c>
      <c r="G3026" s="39">
        <v>1</v>
      </c>
      <c r="H3026" s="2">
        <f t="shared" si="147"/>
        <v>757761</v>
      </c>
      <c r="I3026" s="12">
        <f t="shared" si="144"/>
        <v>0.23726666666666665</v>
      </c>
      <c r="J3026" s="12">
        <f t="shared" si="146"/>
        <v>0.24287211538461539</v>
      </c>
    </row>
    <row r="3027" spans="1:10" ht="15" customHeight="1">
      <c r="A3027" s="14">
        <v>45761</v>
      </c>
      <c r="B3027" s="11">
        <v>14</v>
      </c>
      <c r="C3027">
        <v>55693</v>
      </c>
      <c r="D3027" s="58">
        <v>6.12</v>
      </c>
      <c r="E3027" s="5">
        <v>7706</v>
      </c>
      <c r="F3027" s="39">
        <v>1</v>
      </c>
      <c r="G3027" s="39">
        <v>1</v>
      </c>
      <c r="H3027" s="2">
        <f t="shared" si="147"/>
        <v>813454</v>
      </c>
      <c r="I3027" s="12">
        <f t="shared" si="144"/>
        <v>0.23205416666666667</v>
      </c>
      <c r="J3027" s="12">
        <f t="shared" si="146"/>
        <v>0.24209940476190475</v>
      </c>
    </row>
    <row r="3028" spans="1:10" ht="15" customHeight="1">
      <c r="A3028" s="14">
        <v>45762</v>
      </c>
      <c r="B3028" s="11">
        <v>15</v>
      </c>
      <c r="C3028">
        <v>59281</v>
      </c>
      <c r="D3028" s="58">
        <v>7.24</v>
      </c>
      <c r="E3028" s="5">
        <v>8133</v>
      </c>
      <c r="F3028" s="39">
        <v>1</v>
      </c>
      <c r="G3028" s="39">
        <v>1</v>
      </c>
      <c r="H3028" s="2">
        <f t="shared" si="147"/>
        <v>872735</v>
      </c>
      <c r="I3028" s="12">
        <f t="shared" si="144"/>
        <v>0.24700416666666666</v>
      </c>
      <c r="J3028" s="12">
        <f t="shared" si="146"/>
        <v>0.2424263888888889</v>
      </c>
    </row>
    <row r="3029" spans="1:10" ht="15" customHeight="1">
      <c r="A3029" s="14">
        <v>45763</v>
      </c>
      <c r="B3029" s="11">
        <v>16</v>
      </c>
      <c r="C3029">
        <v>54977</v>
      </c>
      <c r="D3029" s="58">
        <v>6.82</v>
      </c>
      <c r="E3029" s="5">
        <v>7649</v>
      </c>
      <c r="F3029" s="39">
        <v>1</v>
      </c>
      <c r="G3029" s="39">
        <v>1</v>
      </c>
      <c r="H3029" s="2">
        <f t="shared" si="147"/>
        <v>927712</v>
      </c>
      <c r="I3029" s="12">
        <f t="shared" si="144"/>
        <v>0.22907083333333333</v>
      </c>
      <c r="J3029" s="12">
        <f t="shared" si="146"/>
        <v>0.24159166666666668</v>
      </c>
    </row>
    <row r="3030" spans="1:10" ht="15" customHeight="1">
      <c r="A3030" s="14">
        <v>45764</v>
      </c>
      <c r="B3030" s="11">
        <v>17</v>
      </c>
      <c r="C3030">
        <v>57538</v>
      </c>
      <c r="D3030" s="58">
        <v>7.02</v>
      </c>
      <c r="E3030" s="5">
        <v>7912</v>
      </c>
      <c r="F3030" s="39">
        <v>1</v>
      </c>
      <c r="G3030" s="39">
        <v>1</v>
      </c>
      <c r="H3030" s="2">
        <f t="shared" si="147"/>
        <v>985250</v>
      </c>
      <c r="I3030" s="12">
        <f t="shared" si="144"/>
        <v>0.23974166666666666</v>
      </c>
      <c r="J3030" s="12">
        <f t="shared" si="146"/>
        <v>0.2414828431372549</v>
      </c>
    </row>
    <row r="3031" spans="1:10" ht="15" customHeight="1">
      <c r="A3031" s="14">
        <v>45765</v>
      </c>
      <c r="B3031" s="11">
        <v>18</v>
      </c>
      <c r="C3031">
        <v>55116</v>
      </c>
      <c r="D3031" s="58">
        <v>6.45</v>
      </c>
      <c r="E3031" s="5">
        <v>8142</v>
      </c>
      <c r="F3031" s="39">
        <v>1</v>
      </c>
      <c r="G3031" s="39">
        <v>1</v>
      </c>
      <c r="H3031" s="2">
        <f t="shared" si="147"/>
        <v>1040366</v>
      </c>
      <c r="I3031" s="12">
        <f t="shared" si="144"/>
        <v>0.22964999999999999</v>
      </c>
      <c r="J3031" s="12">
        <f t="shared" si="146"/>
        <v>0.24082546296296295</v>
      </c>
    </row>
    <row r="3032" spans="1:10" ht="15" customHeight="1">
      <c r="A3032" s="14">
        <v>45766</v>
      </c>
      <c r="B3032" s="11">
        <v>19</v>
      </c>
      <c r="C3032">
        <v>57444</v>
      </c>
      <c r="D3032" s="58">
        <v>6.97</v>
      </c>
      <c r="E3032" s="5">
        <v>7944</v>
      </c>
      <c r="F3032" s="39">
        <v>1</v>
      </c>
      <c r="G3032" s="39">
        <v>1</v>
      </c>
      <c r="H3032" s="2">
        <f t="shared" si="147"/>
        <v>1097810</v>
      </c>
      <c r="I3032" s="12">
        <f t="shared" si="144"/>
        <v>0.23935000000000001</v>
      </c>
      <c r="J3032" s="12">
        <f t="shared" si="146"/>
        <v>0.24074780701754386</v>
      </c>
    </row>
    <row r="3033" spans="1:10" ht="15" customHeight="1">
      <c r="A3033" s="14">
        <v>45767</v>
      </c>
      <c r="B3033" s="11">
        <v>20</v>
      </c>
      <c r="C3033">
        <v>60015</v>
      </c>
      <c r="D3033" s="58">
        <v>7.15</v>
      </c>
      <c r="E3033" s="5">
        <v>8039</v>
      </c>
      <c r="F3033" s="39">
        <v>1</v>
      </c>
      <c r="G3033" s="39">
        <v>1</v>
      </c>
      <c r="H3033" s="2">
        <f t="shared" si="147"/>
        <v>1157825</v>
      </c>
      <c r="I3033" s="12">
        <f t="shared" si="144"/>
        <v>0.25006250000000002</v>
      </c>
      <c r="J3033" s="12">
        <f t="shared" si="146"/>
        <v>0.24121354166666667</v>
      </c>
    </row>
    <row r="3034" spans="1:10" ht="15" customHeight="1">
      <c r="A3034" s="14">
        <v>45768</v>
      </c>
      <c r="B3034" s="11">
        <v>21</v>
      </c>
      <c r="C3034">
        <v>53836</v>
      </c>
      <c r="D3034" s="58">
        <v>5.84</v>
      </c>
      <c r="E3034" s="5">
        <v>8712</v>
      </c>
      <c r="F3034" s="39">
        <v>0.9</v>
      </c>
      <c r="G3034" s="39">
        <v>1</v>
      </c>
      <c r="H3034" s="2">
        <f t="shared" si="147"/>
        <v>1211661</v>
      </c>
      <c r="I3034" s="12">
        <f t="shared" si="144"/>
        <v>0.22431666666666666</v>
      </c>
      <c r="J3034" s="12">
        <f t="shared" si="146"/>
        <v>0.24040892857142857</v>
      </c>
    </row>
    <row r="3035" spans="1:10" ht="15" customHeight="1">
      <c r="A3035" s="14">
        <v>45769</v>
      </c>
      <c r="B3035" s="11">
        <v>22</v>
      </c>
      <c r="C3035">
        <v>58340</v>
      </c>
      <c r="D3035" s="58">
        <v>7.11</v>
      </c>
      <c r="E3035" s="5">
        <v>7814</v>
      </c>
      <c r="F3035" s="39">
        <v>0.9</v>
      </c>
      <c r="G3035" s="39">
        <v>1</v>
      </c>
      <c r="H3035" s="2">
        <f t="shared" si="147"/>
        <v>1270001</v>
      </c>
      <c r="I3035" s="12">
        <f t="shared" si="144"/>
        <v>0.24308333333333335</v>
      </c>
      <c r="J3035" s="12">
        <f t="shared" si="146"/>
        <v>0.24053049242424243</v>
      </c>
    </row>
    <row r="3036" spans="1:10" ht="15" customHeight="1">
      <c r="A3036" s="14">
        <v>45770</v>
      </c>
      <c r="B3036" s="11">
        <v>23</v>
      </c>
      <c r="C3036">
        <v>56895</v>
      </c>
      <c r="D3036" s="58">
        <v>7.05</v>
      </c>
      <c r="E3036" s="5">
        <v>7688</v>
      </c>
      <c r="F3036" s="39">
        <v>0.9</v>
      </c>
      <c r="G3036" s="39">
        <v>1</v>
      </c>
      <c r="H3036" s="2">
        <f t="shared" si="147"/>
        <v>1326896</v>
      </c>
      <c r="I3036" s="12">
        <f t="shared" si="144"/>
        <v>0.23706250000000001</v>
      </c>
      <c r="J3036" s="12">
        <f t="shared" si="146"/>
        <v>0.24037971014492754</v>
      </c>
    </row>
    <row r="3037" spans="1:10" ht="15" customHeight="1">
      <c r="A3037" s="14">
        <v>45771</v>
      </c>
      <c r="B3037" s="11">
        <v>24</v>
      </c>
      <c r="C3037">
        <v>55346</v>
      </c>
      <c r="D3037" s="58">
        <v>7.15</v>
      </c>
      <c r="E3037" s="5">
        <v>7448</v>
      </c>
      <c r="F3037" s="39">
        <v>0.9</v>
      </c>
      <c r="G3037" s="39">
        <v>1</v>
      </c>
      <c r="H3037" s="2">
        <f t="shared" si="147"/>
        <v>1382242</v>
      </c>
      <c r="I3037" s="12">
        <f t="shared" si="144"/>
        <v>0.23060833333333333</v>
      </c>
      <c r="J3037" s="12">
        <f t="shared" si="146"/>
        <v>0.23997256944444445</v>
      </c>
    </row>
    <row r="3038" spans="1:10" ht="15" customHeight="1">
      <c r="A3038" s="14">
        <v>45772</v>
      </c>
      <c r="B3038" s="11">
        <v>25</v>
      </c>
      <c r="C3038">
        <v>50213</v>
      </c>
      <c r="D3038" s="58">
        <v>6.98</v>
      </c>
      <c r="E3038" s="5">
        <v>8052</v>
      </c>
      <c r="F3038" s="39">
        <v>0.9</v>
      </c>
      <c r="G3038" s="39">
        <v>1</v>
      </c>
      <c r="H3038" s="2">
        <f t="shared" si="147"/>
        <v>1432455</v>
      </c>
      <c r="I3038" s="12">
        <f t="shared" si="144"/>
        <v>0.20922083333333333</v>
      </c>
      <c r="J3038" s="12">
        <f t="shared" si="146"/>
        <v>0.2387425</v>
      </c>
    </row>
    <row r="3039" spans="1:10" ht="15" customHeight="1">
      <c r="A3039" s="14">
        <v>45773</v>
      </c>
      <c r="B3039" s="11">
        <v>26</v>
      </c>
      <c r="C3039">
        <v>54675</v>
      </c>
      <c r="D3039" s="58">
        <v>6.42</v>
      </c>
      <c r="E3039" s="5">
        <v>7443</v>
      </c>
      <c r="F3039" s="39">
        <v>0.93005319148936172</v>
      </c>
      <c r="G3039" s="39">
        <v>1</v>
      </c>
      <c r="H3039" s="2">
        <f t="shared" si="147"/>
        <v>1487130</v>
      </c>
      <c r="I3039" s="12">
        <f t="shared" si="144"/>
        <v>0.2278125</v>
      </c>
      <c r="J3039" s="12">
        <f t="shared" si="146"/>
        <v>0.2383221153846154</v>
      </c>
    </row>
    <row r="3040" spans="1:10" ht="15" customHeight="1">
      <c r="A3040" s="14">
        <v>45774</v>
      </c>
      <c r="B3040" s="11">
        <v>27</v>
      </c>
      <c r="C3040">
        <v>52122</v>
      </c>
      <c r="D3040" s="58">
        <v>7.13</v>
      </c>
      <c r="E3040" s="5">
        <v>7060</v>
      </c>
      <c r="F3040" s="39">
        <v>0.9</v>
      </c>
      <c r="G3040" s="39">
        <v>1</v>
      </c>
      <c r="H3040" s="2">
        <f t="shared" si="147"/>
        <v>1539252</v>
      </c>
      <c r="I3040" s="12">
        <f t="shared" si="144"/>
        <v>0.21717500000000001</v>
      </c>
      <c r="J3040" s="12">
        <f t="shared" si="146"/>
        <v>0.23753888888888888</v>
      </c>
    </row>
    <row r="3041" spans="1:10" ht="15" customHeight="1">
      <c r="A3041" s="14">
        <v>45775</v>
      </c>
      <c r="B3041" s="11">
        <v>28</v>
      </c>
      <c r="C3041">
        <v>51768</v>
      </c>
      <c r="D3041" s="58">
        <v>7.09</v>
      </c>
      <c r="E3041" s="5">
        <v>6843</v>
      </c>
      <c r="F3041" s="39">
        <v>0.9</v>
      </c>
      <c r="G3041" s="39">
        <v>1</v>
      </c>
      <c r="H3041" s="2">
        <f t="shared" si="147"/>
        <v>1591020</v>
      </c>
      <c r="I3041" s="12">
        <f t="shared" si="144"/>
        <v>0.2157</v>
      </c>
      <c r="J3041" s="12">
        <f t="shared" si="146"/>
        <v>0.23675892857142858</v>
      </c>
    </row>
    <row r="3042" spans="1:10" ht="15" customHeight="1">
      <c r="A3042" s="14">
        <v>45776</v>
      </c>
      <c r="B3042" s="11">
        <v>29</v>
      </c>
      <c r="C3042">
        <v>50835</v>
      </c>
      <c r="D3042" s="58">
        <v>6</v>
      </c>
      <c r="E3042" s="5">
        <v>6797</v>
      </c>
      <c r="F3042" s="39">
        <v>0.9</v>
      </c>
      <c r="G3042" s="39">
        <v>1</v>
      </c>
      <c r="H3042" s="2">
        <f t="shared" si="147"/>
        <v>1641855</v>
      </c>
      <c r="I3042" s="12">
        <f t="shared" si="144"/>
        <v>0.21181249999999999</v>
      </c>
      <c r="J3042" s="12">
        <f t="shared" si="146"/>
        <v>0.23589870689655174</v>
      </c>
    </row>
    <row r="3043" spans="1:10" ht="15" customHeight="1">
      <c r="A3043" s="14">
        <v>45777</v>
      </c>
      <c r="B3043" s="11">
        <v>30</v>
      </c>
      <c r="C3043">
        <v>51742</v>
      </c>
      <c r="D3043" s="58">
        <v>5.96</v>
      </c>
      <c r="E3043" s="5">
        <v>6864</v>
      </c>
      <c r="F3043" s="39">
        <v>0.96261682242990654</v>
      </c>
      <c r="G3043" s="39">
        <v>1</v>
      </c>
      <c r="H3043" s="2">
        <f t="shared" si="147"/>
        <v>1693597</v>
      </c>
      <c r="I3043" s="12">
        <f t="shared" si="144"/>
        <v>0.21559166666666665</v>
      </c>
      <c r="J3043" s="12">
        <f t="shared" si="146"/>
        <v>0.23522180555555555</v>
      </c>
    </row>
    <row r="3044" spans="1:10" ht="15" customHeight="1">
      <c r="A3044" s="14">
        <v>45778</v>
      </c>
      <c r="B3044" s="11">
        <v>31</v>
      </c>
      <c r="C3044">
        <v>50560</v>
      </c>
      <c r="D3044" s="5">
        <v>6.76</v>
      </c>
      <c r="E3044" s="5">
        <v>6887</v>
      </c>
      <c r="F3044" s="39">
        <v>0.9690348525469169</v>
      </c>
      <c r="G3044" s="39">
        <v>1</v>
      </c>
      <c r="H3044" s="2">
        <f t="shared" si="147"/>
        <v>1744157</v>
      </c>
      <c r="I3044" s="12">
        <f t="shared" si="144"/>
        <v>0.21066666666666667</v>
      </c>
      <c r="J3044" s="12">
        <f t="shared" si="146"/>
        <v>0.23442970430107526</v>
      </c>
    </row>
    <row r="3045" spans="1:10" ht="15" customHeight="1">
      <c r="A3045" s="14">
        <v>45779</v>
      </c>
      <c r="B3045" s="11">
        <v>32</v>
      </c>
      <c r="C3045">
        <v>40621</v>
      </c>
      <c r="D3045" s="5">
        <v>5.5</v>
      </c>
      <c r="E3045" s="5">
        <v>6158</v>
      </c>
      <c r="F3045" s="39">
        <v>0.9</v>
      </c>
      <c r="G3045" s="39">
        <v>1</v>
      </c>
      <c r="H3045" s="2">
        <f t="shared" si="147"/>
        <v>1784778</v>
      </c>
      <c r="I3045" s="12">
        <f t="shared" si="144"/>
        <v>0.16925416666666668</v>
      </c>
      <c r="J3045" s="12">
        <f t="shared" si="146"/>
        <v>0.23239296875000001</v>
      </c>
    </row>
    <row r="3046" spans="1:10" ht="15" customHeight="1">
      <c r="A3046" s="14">
        <v>45780</v>
      </c>
      <c r="B3046" s="11">
        <v>33</v>
      </c>
      <c r="C3046">
        <v>46075</v>
      </c>
      <c r="D3046" s="5">
        <v>6.01</v>
      </c>
      <c r="E3046" s="5">
        <v>6362</v>
      </c>
      <c r="F3046" s="39">
        <v>0.98229166666666667</v>
      </c>
      <c r="G3046" s="39">
        <v>1</v>
      </c>
      <c r="H3046" s="2">
        <f t="shared" si="147"/>
        <v>1830853</v>
      </c>
      <c r="I3046" s="12">
        <f t="shared" si="144"/>
        <v>0.19197916666666667</v>
      </c>
      <c r="J3046" s="12">
        <f t="shared" si="146"/>
        <v>0.23116830808080807</v>
      </c>
    </row>
    <row r="3047" spans="1:10" ht="15" customHeight="1">
      <c r="A3047" s="14">
        <v>45781</v>
      </c>
      <c r="B3047" s="11">
        <v>34</v>
      </c>
      <c r="C3047">
        <v>54631</v>
      </c>
      <c r="D3047" s="5">
        <v>6.47</v>
      </c>
      <c r="E3047" s="5">
        <v>8717</v>
      </c>
      <c r="F3047" s="39">
        <v>0.97932960893854748</v>
      </c>
      <c r="G3047" s="39">
        <v>1</v>
      </c>
      <c r="H3047" s="2">
        <f t="shared" si="147"/>
        <v>1885484</v>
      </c>
      <c r="I3047" s="12">
        <f t="shared" si="144"/>
        <v>0.22762916666666666</v>
      </c>
      <c r="J3047" s="12">
        <f t="shared" si="146"/>
        <v>0.2310642156862745</v>
      </c>
    </row>
    <row r="3048" spans="1:10" ht="15" customHeight="1">
      <c r="A3048" s="14">
        <v>45782</v>
      </c>
      <c r="B3048" s="11">
        <v>35</v>
      </c>
      <c r="C3048">
        <v>37425</v>
      </c>
      <c r="D3048" s="5">
        <v>4.38</v>
      </c>
      <c r="E3048" s="5">
        <v>8928</v>
      </c>
      <c r="F3048" s="39">
        <v>0.99213630406290954</v>
      </c>
      <c r="G3048" s="39">
        <v>1</v>
      </c>
      <c r="H3048" s="2">
        <f t="shared" si="147"/>
        <v>1922909</v>
      </c>
      <c r="I3048" s="12">
        <f t="shared" si="144"/>
        <v>0.15593750000000001</v>
      </c>
      <c r="J3048" s="12">
        <f t="shared" si="146"/>
        <v>0.2289177380952381</v>
      </c>
    </row>
    <row r="3049" spans="1:10" ht="15" customHeight="1">
      <c r="A3049" s="14">
        <v>45783</v>
      </c>
      <c r="B3049" s="11">
        <v>36</v>
      </c>
      <c r="C3049">
        <v>55728</v>
      </c>
      <c r="D3049" s="5">
        <v>7.09</v>
      </c>
      <c r="E3049" s="5">
        <v>7925</v>
      </c>
      <c r="F3049" s="39">
        <v>0.96675358539765321</v>
      </c>
      <c r="G3049" s="39">
        <v>1</v>
      </c>
      <c r="H3049" s="2">
        <f t="shared" si="147"/>
        <v>1978637</v>
      </c>
      <c r="I3049" s="12">
        <f t="shared" si="144"/>
        <v>0.23219999999999999</v>
      </c>
      <c r="J3049" s="12">
        <f t="shared" si="146"/>
        <v>0.22900891203703705</v>
      </c>
    </row>
    <row r="3050" spans="1:10" ht="15" customHeight="1">
      <c r="A3050" s="14">
        <v>45784</v>
      </c>
      <c r="B3050" s="11">
        <v>37</v>
      </c>
      <c r="C3050">
        <v>55494</v>
      </c>
      <c r="D3050" s="5">
        <v>7.21</v>
      </c>
      <c r="E3050" s="5">
        <v>8083</v>
      </c>
      <c r="F3050" s="39">
        <v>0.98293963254593175</v>
      </c>
      <c r="G3050" s="39">
        <v>0.99475065616797897</v>
      </c>
      <c r="H3050" s="2">
        <f t="shared" si="147"/>
        <v>2034131</v>
      </c>
      <c r="I3050" s="12">
        <f t="shared" si="144"/>
        <v>0.23122500000000001</v>
      </c>
      <c r="J3050" s="12">
        <f t="shared" si="146"/>
        <v>0.2290688063063063</v>
      </c>
    </row>
    <row r="3051" spans="1:10" ht="15" customHeight="1">
      <c r="A3051" s="14">
        <v>45785</v>
      </c>
      <c r="B3051" s="11">
        <v>38</v>
      </c>
      <c r="C3051">
        <v>56111</v>
      </c>
      <c r="D3051" s="5">
        <v>7.12</v>
      </c>
      <c r="E3051" s="5">
        <v>7830</v>
      </c>
      <c r="F3051" s="39">
        <v>1</v>
      </c>
      <c r="G3051" s="39">
        <v>1</v>
      </c>
      <c r="H3051" s="2">
        <f t="shared" si="147"/>
        <v>2090242</v>
      </c>
      <c r="I3051" s="12">
        <f t="shared" si="144"/>
        <v>0.23379583333333334</v>
      </c>
      <c r="J3051" s="12">
        <f t="shared" si="146"/>
        <v>0.22919320175438596</v>
      </c>
    </row>
    <row r="3052" spans="1:10" ht="15" customHeight="1">
      <c r="A3052" s="14">
        <v>45786</v>
      </c>
      <c r="B3052" s="11">
        <v>39</v>
      </c>
      <c r="C3052">
        <v>52527</v>
      </c>
      <c r="D3052" s="5">
        <v>6.66</v>
      </c>
      <c r="E3052" s="5">
        <v>8869</v>
      </c>
      <c r="F3052" s="39">
        <v>0.98692810457516345</v>
      </c>
      <c r="G3052" s="39">
        <v>1</v>
      </c>
      <c r="H3052" s="2">
        <f t="shared" si="147"/>
        <v>2142769</v>
      </c>
      <c r="I3052" s="12">
        <f t="shared" si="144"/>
        <v>0.21886249999999999</v>
      </c>
      <c r="J3052" s="12">
        <f t="shared" si="146"/>
        <v>0.22892831196581195</v>
      </c>
    </row>
    <row r="3053" spans="1:10" ht="15" customHeight="1">
      <c r="A3053" s="14">
        <v>45787</v>
      </c>
      <c r="B3053" s="11">
        <v>40</v>
      </c>
      <c r="C3053">
        <v>54158</v>
      </c>
      <c r="D3053" s="5">
        <v>7.11</v>
      </c>
      <c r="E3053" s="5">
        <v>7405</v>
      </c>
      <c r="F3053" s="39">
        <v>0.97412677878395859</v>
      </c>
      <c r="G3053" s="39">
        <v>1</v>
      </c>
      <c r="H3053" s="2">
        <f t="shared" si="147"/>
        <v>2196927</v>
      </c>
      <c r="I3053" s="12">
        <f t="shared" si="144"/>
        <v>0.22565833333333332</v>
      </c>
      <c r="J3053" s="12">
        <f t="shared" si="146"/>
        <v>0.22884656249999999</v>
      </c>
    </row>
    <row r="3054" spans="1:10" ht="15" customHeight="1">
      <c r="A3054" s="14">
        <v>45788</v>
      </c>
      <c r="B3054" s="11">
        <v>41</v>
      </c>
      <c r="C3054">
        <v>56137</v>
      </c>
      <c r="D3054" s="5">
        <v>7.36</v>
      </c>
      <c r="E3054" s="5">
        <v>7595</v>
      </c>
      <c r="F3054" s="39">
        <v>1</v>
      </c>
      <c r="G3054" s="39">
        <v>1</v>
      </c>
      <c r="H3054" s="2">
        <f t="shared" si="147"/>
        <v>2253064</v>
      </c>
      <c r="I3054" s="12">
        <f t="shared" si="144"/>
        <v>0.23390416666666666</v>
      </c>
      <c r="J3054" s="12">
        <f t="shared" si="146"/>
        <v>0.22896991869918698</v>
      </c>
    </row>
    <row r="3055" spans="1:10" ht="15" customHeight="1">
      <c r="A3055" s="14">
        <v>45789</v>
      </c>
      <c r="B3055" s="11">
        <v>42</v>
      </c>
      <c r="C3055">
        <v>57977</v>
      </c>
      <c r="D3055" s="5">
        <v>7.44</v>
      </c>
      <c r="E3055" s="5">
        <v>7779</v>
      </c>
      <c r="F3055" s="39">
        <v>1</v>
      </c>
      <c r="G3055" s="39">
        <v>1</v>
      </c>
      <c r="H3055" s="2">
        <f t="shared" si="147"/>
        <v>2311041</v>
      </c>
      <c r="I3055" s="12">
        <f t="shared" si="144"/>
        <v>0.24157083333333335</v>
      </c>
      <c r="J3055" s="12">
        <f t="shared" si="146"/>
        <v>0.22926994047619048</v>
      </c>
    </row>
    <row r="3056" spans="1:10" ht="15" customHeight="1">
      <c r="A3056" s="14">
        <v>45790</v>
      </c>
      <c r="B3056" s="11">
        <v>43</v>
      </c>
      <c r="C3056">
        <v>57601</v>
      </c>
      <c r="D3056" s="5">
        <v>7.43</v>
      </c>
      <c r="E3056" s="5">
        <v>7858</v>
      </c>
      <c r="F3056" s="39">
        <v>1</v>
      </c>
      <c r="G3056" s="39">
        <v>1</v>
      </c>
      <c r="H3056" s="2">
        <f t="shared" si="147"/>
        <v>2368642</v>
      </c>
      <c r="I3056" s="12">
        <f t="shared" si="144"/>
        <v>0.24000416666666666</v>
      </c>
      <c r="J3056" s="12">
        <f t="shared" si="146"/>
        <v>0.22951957364341086</v>
      </c>
    </row>
    <row r="3057" spans="1:10" ht="15" customHeight="1">
      <c r="A3057" s="14">
        <v>45791</v>
      </c>
      <c r="B3057" s="11">
        <v>44</v>
      </c>
      <c r="C3057">
        <v>59662</v>
      </c>
      <c r="D3057" s="5">
        <v>7.79</v>
      </c>
      <c r="E3057" s="5">
        <v>7935</v>
      </c>
      <c r="F3057" s="39">
        <v>1</v>
      </c>
      <c r="G3057" s="39">
        <v>1</v>
      </c>
      <c r="H3057" s="2">
        <f t="shared" si="147"/>
        <v>2428304</v>
      </c>
      <c r="I3057" s="12">
        <f t="shared" si="144"/>
        <v>0.24859166666666666</v>
      </c>
      <c r="J3057" s="12">
        <f t="shared" si="146"/>
        <v>0.2299530303030303</v>
      </c>
    </row>
    <row r="3058" spans="1:10" ht="15" customHeight="1">
      <c r="A3058" s="14">
        <v>45792</v>
      </c>
      <c r="B3058" s="11">
        <v>45</v>
      </c>
      <c r="C3058">
        <v>58318</v>
      </c>
      <c r="D3058" s="5">
        <v>7.78</v>
      </c>
      <c r="E3058" s="5">
        <v>7832</v>
      </c>
      <c r="F3058" s="39">
        <v>1</v>
      </c>
      <c r="G3058" s="39">
        <v>1</v>
      </c>
      <c r="H3058" s="2">
        <f t="shared" si="147"/>
        <v>2486622</v>
      </c>
      <c r="I3058" s="12">
        <f t="shared" si="144"/>
        <v>0.24299166666666666</v>
      </c>
      <c r="J3058" s="12">
        <f t="shared" si="146"/>
        <v>0.23024277777777777</v>
      </c>
    </row>
    <row r="3059" spans="1:10" ht="15" customHeight="1">
      <c r="A3059" s="14">
        <v>45793</v>
      </c>
      <c r="B3059" s="11">
        <v>46</v>
      </c>
      <c r="C3059">
        <v>58960</v>
      </c>
      <c r="D3059" s="5">
        <v>7.81</v>
      </c>
      <c r="E3059" s="5">
        <v>7941</v>
      </c>
      <c r="F3059" s="39">
        <v>1</v>
      </c>
      <c r="G3059" s="39">
        <v>1</v>
      </c>
      <c r="H3059" s="2">
        <f t="shared" si="147"/>
        <v>2545582</v>
      </c>
      <c r="I3059" s="12">
        <f t="shared" si="144"/>
        <v>0.24566666666666667</v>
      </c>
      <c r="J3059" s="12">
        <f t="shared" si="146"/>
        <v>0.23057807971014493</v>
      </c>
    </row>
    <row r="3060" spans="1:10" ht="15" customHeight="1">
      <c r="A3060" s="14">
        <v>45794</v>
      </c>
      <c r="B3060" s="11">
        <v>47</v>
      </c>
      <c r="C3060">
        <v>59796</v>
      </c>
      <c r="D3060" s="5">
        <v>7.87</v>
      </c>
      <c r="E3060" s="5">
        <v>8033</v>
      </c>
      <c r="F3060" s="39">
        <v>1</v>
      </c>
      <c r="G3060" s="39">
        <v>1</v>
      </c>
      <c r="H3060" s="2">
        <f t="shared" si="147"/>
        <v>2605378</v>
      </c>
      <c r="I3060" s="12">
        <f t="shared" si="144"/>
        <v>0.24915000000000001</v>
      </c>
      <c r="J3060" s="12">
        <f t="shared" si="146"/>
        <v>0.2309732269503546</v>
      </c>
    </row>
    <row r="3061" spans="1:10" ht="15" customHeight="1">
      <c r="A3061" s="14">
        <v>45795</v>
      </c>
      <c r="B3061" s="11">
        <v>48</v>
      </c>
      <c r="C3061">
        <v>58284</v>
      </c>
      <c r="D3061" s="5">
        <v>7.7</v>
      </c>
      <c r="E3061" s="5">
        <v>7850</v>
      </c>
      <c r="F3061" s="39">
        <v>1</v>
      </c>
      <c r="G3061" s="39">
        <v>1</v>
      </c>
      <c r="H3061" s="2">
        <f t="shared" si="147"/>
        <v>2663662</v>
      </c>
      <c r="I3061" s="12">
        <f t="shared" si="144"/>
        <v>0.24285000000000001</v>
      </c>
      <c r="J3061" s="12">
        <f t="shared" si="146"/>
        <v>0.23122065972222222</v>
      </c>
    </row>
    <row r="3062" spans="1:10" ht="15" customHeight="1">
      <c r="A3062" s="14">
        <v>45796</v>
      </c>
      <c r="B3062" s="11">
        <v>49</v>
      </c>
      <c r="C3062">
        <v>57957</v>
      </c>
      <c r="D3062" s="5">
        <v>7.71</v>
      </c>
      <c r="E3062" s="5">
        <v>7825</v>
      </c>
      <c r="F3062" s="39">
        <v>1</v>
      </c>
      <c r="G3062" s="39">
        <v>1</v>
      </c>
      <c r="H3062" s="2">
        <f t="shared" si="147"/>
        <v>2721619</v>
      </c>
      <c r="I3062" s="12">
        <f t="shared" si="144"/>
        <v>0.24148749999999999</v>
      </c>
      <c r="J3062" s="12">
        <f t="shared" si="146"/>
        <v>0.23143018707482993</v>
      </c>
    </row>
    <row r="3063" spans="1:10" ht="15" customHeight="1">
      <c r="A3063" s="14">
        <v>45797</v>
      </c>
      <c r="B3063" s="11">
        <v>50</v>
      </c>
      <c r="C3063">
        <v>58152</v>
      </c>
      <c r="D3063" s="5">
        <v>7.77</v>
      </c>
      <c r="E3063" s="5">
        <v>7680</v>
      </c>
      <c r="F3063" s="39">
        <v>1</v>
      </c>
      <c r="G3063" s="39">
        <v>1</v>
      </c>
      <c r="H3063" s="2">
        <f t="shared" si="147"/>
        <v>2779771</v>
      </c>
      <c r="I3063" s="12">
        <f t="shared" si="144"/>
        <v>0.24229999999999999</v>
      </c>
      <c r="J3063" s="12">
        <f t="shared" si="146"/>
        <v>0.23164758333333332</v>
      </c>
    </row>
    <row r="3064" spans="1:10" ht="15" customHeight="1">
      <c r="A3064" s="14">
        <v>45798</v>
      </c>
      <c r="B3064" s="11">
        <v>51</v>
      </c>
      <c r="C3064">
        <v>58359</v>
      </c>
      <c r="D3064" s="5">
        <v>7.78</v>
      </c>
      <c r="E3064" s="5">
        <v>7743</v>
      </c>
      <c r="F3064" s="39">
        <v>1</v>
      </c>
      <c r="G3064" s="39">
        <v>1</v>
      </c>
      <c r="H3064" s="2">
        <f t="shared" si="147"/>
        <v>2838130</v>
      </c>
      <c r="I3064" s="12">
        <f t="shared" si="144"/>
        <v>0.2431625</v>
      </c>
      <c r="J3064" s="12">
        <f t="shared" si="146"/>
        <v>0.2318733660130719</v>
      </c>
    </row>
    <row r="3065" spans="1:10" ht="15" customHeight="1">
      <c r="A3065" s="14">
        <v>45799</v>
      </c>
      <c r="B3065" s="11">
        <v>52</v>
      </c>
      <c r="C3065">
        <v>57975</v>
      </c>
      <c r="D3065" s="5">
        <v>7.78</v>
      </c>
      <c r="E3065" s="5">
        <v>7745</v>
      </c>
      <c r="F3065" s="39">
        <v>1</v>
      </c>
      <c r="G3065" s="39">
        <v>1</v>
      </c>
      <c r="H3065" s="2">
        <f t="shared" si="147"/>
        <v>2896105</v>
      </c>
      <c r="I3065" s="12">
        <f t="shared" si="144"/>
        <v>0.24156250000000001</v>
      </c>
      <c r="J3065" s="12">
        <f t="shared" si="146"/>
        <v>0.23205969551282052</v>
      </c>
    </row>
    <row r="3066" spans="1:10" ht="15" customHeight="1">
      <c r="A3066" s="14">
        <v>45800</v>
      </c>
      <c r="B3066" s="11">
        <v>53</v>
      </c>
      <c r="C3066">
        <v>57632</v>
      </c>
      <c r="D3066" s="5">
        <v>9.8800000000000008</v>
      </c>
      <c r="E3066" s="5">
        <v>7649</v>
      </c>
      <c r="F3066" s="39">
        <v>1</v>
      </c>
      <c r="G3066" s="39">
        <v>1</v>
      </c>
      <c r="H3066" s="2">
        <f t="shared" si="147"/>
        <v>2953737</v>
      </c>
      <c r="I3066" s="12">
        <f t="shared" si="144"/>
        <v>0.24013333333333334</v>
      </c>
      <c r="J3066" s="12">
        <f t="shared" si="146"/>
        <v>0.23221202830188678</v>
      </c>
    </row>
    <row r="3067" spans="1:10" ht="15" customHeight="1">
      <c r="A3067" s="14">
        <v>45801</v>
      </c>
      <c r="B3067" s="11">
        <v>54</v>
      </c>
      <c r="C3067">
        <v>52704</v>
      </c>
      <c r="D3067" s="5">
        <v>7.3</v>
      </c>
      <c r="E3067" s="5">
        <v>7279</v>
      </c>
      <c r="F3067" s="39">
        <v>1</v>
      </c>
      <c r="G3067" s="39">
        <v>1</v>
      </c>
      <c r="H3067" s="2">
        <f t="shared" si="147"/>
        <v>3006441</v>
      </c>
      <c r="I3067" s="12">
        <f t="shared" si="144"/>
        <v>0.21959999999999999</v>
      </c>
      <c r="J3067" s="12">
        <f t="shared" si="146"/>
        <v>0.23197847222222223</v>
      </c>
    </row>
    <row r="3068" spans="1:10" ht="15" customHeight="1">
      <c r="A3068" s="14">
        <v>45802</v>
      </c>
      <c r="B3068" s="11">
        <v>55</v>
      </c>
      <c r="C3068">
        <v>44573</v>
      </c>
      <c r="D3068" s="5">
        <v>5.84</v>
      </c>
      <c r="E3068" s="5">
        <v>6187</v>
      </c>
      <c r="F3068" s="39">
        <v>1</v>
      </c>
      <c r="G3068" s="39">
        <v>1</v>
      </c>
      <c r="H3068" s="2">
        <f t="shared" si="147"/>
        <v>3051014</v>
      </c>
      <c r="I3068" s="12">
        <f t="shared" si="144"/>
        <v>0.18572083333333333</v>
      </c>
      <c r="J3068" s="12">
        <f t="shared" si="146"/>
        <v>0.23113742424242426</v>
      </c>
    </row>
    <row r="3069" spans="1:10" ht="15" customHeight="1">
      <c r="A3069" s="14">
        <v>45803</v>
      </c>
      <c r="B3069" s="11">
        <v>56</v>
      </c>
      <c r="C3069">
        <v>51655</v>
      </c>
      <c r="D3069" s="5">
        <v>6.66</v>
      </c>
      <c r="E3069" s="5">
        <v>7303</v>
      </c>
      <c r="F3069" s="39">
        <v>1</v>
      </c>
      <c r="G3069" s="39">
        <v>1</v>
      </c>
      <c r="H3069" s="2">
        <f t="shared" si="147"/>
        <v>3102669</v>
      </c>
      <c r="I3069" s="12">
        <f t="shared" si="144"/>
        <v>0.21522916666666667</v>
      </c>
      <c r="J3069" s="12">
        <f t="shared" si="146"/>
        <v>0.23085334821428571</v>
      </c>
    </row>
    <row r="3070" spans="1:10" ht="15" customHeight="1">
      <c r="A3070" s="14">
        <v>45804</v>
      </c>
      <c r="B3070" s="11">
        <v>57</v>
      </c>
      <c r="C3070">
        <v>51558</v>
      </c>
      <c r="D3070" s="5">
        <v>6.76</v>
      </c>
      <c r="E3070" s="5">
        <v>7072</v>
      </c>
      <c r="F3070" s="39">
        <v>1</v>
      </c>
      <c r="G3070" s="39">
        <v>1</v>
      </c>
      <c r="H3070" s="2">
        <f t="shared" si="147"/>
        <v>3154227</v>
      </c>
      <c r="I3070" s="12">
        <f t="shared" si="144"/>
        <v>0.21482499999999999</v>
      </c>
      <c r="J3070" s="12">
        <f t="shared" si="146"/>
        <v>0.23057214912280702</v>
      </c>
    </row>
    <row r="3071" spans="1:10" ht="15" customHeight="1">
      <c r="A3071" s="14">
        <v>45805</v>
      </c>
      <c r="B3071" s="11">
        <v>58</v>
      </c>
      <c r="C3071">
        <v>40750</v>
      </c>
      <c r="D3071" s="5">
        <v>5.4</v>
      </c>
      <c r="E3071" s="5">
        <v>6198</v>
      </c>
      <c r="F3071" s="39">
        <v>1</v>
      </c>
      <c r="G3071" s="39">
        <v>1</v>
      </c>
      <c r="H3071" s="2">
        <f t="shared" si="147"/>
        <v>3194977</v>
      </c>
      <c r="I3071" s="12">
        <f t="shared" si="144"/>
        <v>0.16979166666666667</v>
      </c>
      <c r="J3071" s="12">
        <f t="shared" si="146"/>
        <v>0.22952420977011495</v>
      </c>
    </row>
    <row r="3072" spans="1:10" ht="15" customHeight="1">
      <c r="A3072" s="14">
        <v>45806</v>
      </c>
      <c r="B3072" s="11">
        <v>59</v>
      </c>
      <c r="C3072">
        <v>44652</v>
      </c>
      <c r="D3072" s="5">
        <v>7.26</v>
      </c>
      <c r="E3072" s="5">
        <v>7455</v>
      </c>
      <c r="F3072" s="39">
        <v>1</v>
      </c>
      <c r="G3072" s="39">
        <v>1</v>
      </c>
      <c r="H3072" s="2">
        <f t="shared" si="147"/>
        <v>3239629</v>
      </c>
      <c r="I3072" s="12">
        <f t="shared" si="144"/>
        <v>0.18604999999999999</v>
      </c>
      <c r="J3072" s="12">
        <f t="shared" si="146"/>
        <v>0.22878735875706216</v>
      </c>
    </row>
    <row r="3073" spans="1:10" ht="15" customHeight="1">
      <c r="A3073" s="14">
        <v>45807</v>
      </c>
      <c r="B3073" s="11">
        <v>60</v>
      </c>
      <c r="C3073">
        <v>54545</v>
      </c>
      <c r="D3073" s="5">
        <v>7.26</v>
      </c>
      <c r="E3073" s="5">
        <v>7283</v>
      </c>
      <c r="F3073" s="39">
        <v>0.97</v>
      </c>
      <c r="G3073" s="39">
        <v>1</v>
      </c>
      <c r="H3073" s="2">
        <f t="shared" si="147"/>
        <v>3294174</v>
      </c>
      <c r="I3073" s="12">
        <f t="shared" si="144"/>
        <v>0.22727083333333334</v>
      </c>
      <c r="J3073" s="12">
        <f t="shared" si="146"/>
        <v>0.22876208333333334</v>
      </c>
    </row>
    <row r="3074" spans="1:10" ht="15" customHeight="1">
      <c r="A3074" s="14">
        <v>45808</v>
      </c>
      <c r="B3074" s="11">
        <v>61</v>
      </c>
      <c r="C3074">
        <v>52536</v>
      </c>
      <c r="D3074" s="5">
        <v>7.05</v>
      </c>
      <c r="E3074" s="5">
        <v>7287</v>
      </c>
      <c r="F3074" s="39">
        <v>0.98174904942965779</v>
      </c>
      <c r="G3074" s="39">
        <v>1</v>
      </c>
      <c r="H3074" s="2">
        <f t="shared" si="147"/>
        <v>3346710</v>
      </c>
      <c r="I3074" s="12">
        <f t="shared" si="144"/>
        <v>0.21890000000000001</v>
      </c>
      <c r="J3074" s="12">
        <f t="shared" si="146"/>
        <v>0.22860040983606558</v>
      </c>
    </row>
    <row r="3075" spans="1:10" ht="15" customHeight="1">
      <c r="A3075" s="14">
        <v>45809</v>
      </c>
      <c r="B3075" s="11">
        <v>62</v>
      </c>
      <c r="C3075">
        <v>53679</v>
      </c>
      <c r="D3075" s="5">
        <v>6.93</v>
      </c>
      <c r="E3075" s="5">
        <v>7098</v>
      </c>
      <c r="F3075" s="39">
        <v>0.98542199488491045</v>
      </c>
      <c r="G3075" s="39">
        <v>1</v>
      </c>
      <c r="H3075" s="2">
        <f t="shared" si="147"/>
        <v>3400389</v>
      </c>
      <c r="I3075" s="12">
        <f t="shared" ref="I3075:I3138" si="148">C3075/(10*24*1000)</f>
        <v>0.22366249999999999</v>
      </c>
      <c r="J3075" s="12">
        <f t="shared" si="146"/>
        <v>0.22852076612903227</v>
      </c>
    </row>
    <row r="3076" spans="1:10" ht="15" customHeight="1">
      <c r="A3076" s="14">
        <v>45810</v>
      </c>
      <c r="B3076" s="11">
        <v>63</v>
      </c>
      <c r="C3076">
        <v>56248</v>
      </c>
      <c r="D3076" s="5">
        <v>7.39</v>
      </c>
      <c r="E3076" s="5">
        <v>7456</v>
      </c>
      <c r="F3076" s="39">
        <v>0.98542199488491045</v>
      </c>
      <c r="G3076" s="39">
        <v>1</v>
      </c>
      <c r="H3076" s="2">
        <f t="shared" si="147"/>
        <v>3456637</v>
      </c>
      <c r="I3076" s="12">
        <f t="shared" si="148"/>
        <v>0.23436666666666667</v>
      </c>
      <c r="J3076" s="12">
        <f t="shared" si="146"/>
        <v>0.22861355820105819</v>
      </c>
    </row>
    <row r="3077" spans="1:10" ht="15" customHeight="1">
      <c r="A3077" s="14">
        <v>45811</v>
      </c>
      <c r="B3077" s="11">
        <v>64</v>
      </c>
      <c r="C3077">
        <v>52967</v>
      </c>
      <c r="D3077" s="5">
        <v>6.92</v>
      </c>
      <c r="E3077" s="5">
        <v>7266</v>
      </c>
      <c r="F3077" s="39">
        <v>0.96364795918367352</v>
      </c>
      <c r="G3077" s="39">
        <v>1</v>
      </c>
      <c r="H3077" s="2">
        <f t="shared" si="147"/>
        <v>3509604</v>
      </c>
      <c r="I3077" s="12">
        <f t="shared" si="148"/>
        <v>0.22069583333333334</v>
      </c>
      <c r="J3077" s="12">
        <f t="shared" si="146"/>
        <v>0.22848984375</v>
      </c>
    </row>
    <row r="3078" spans="1:10" ht="15" customHeight="1">
      <c r="A3078" s="14">
        <v>45812</v>
      </c>
      <c r="B3078" s="11">
        <v>65</v>
      </c>
      <c r="C3078">
        <v>53990</v>
      </c>
      <c r="D3078" s="5">
        <v>7.44</v>
      </c>
      <c r="E3078" s="5">
        <v>7668</v>
      </c>
      <c r="F3078" s="39">
        <v>0.95196950444726813</v>
      </c>
      <c r="G3078" s="39">
        <v>1</v>
      </c>
      <c r="H3078" s="2">
        <f t="shared" si="147"/>
        <v>3563594</v>
      </c>
      <c r="I3078" s="12">
        <f t="shared" si="148"/>
        <v>0.22495833333333334</v>
      </c>
      <c r="J3078" s="12">
        <f t="shared" si="146"/>
        <v>0.22843551282051283</v>
      </c>
    </row>
    <row r="3079" spans="1:10" ht="15" customHeight="1">
      <c r="A3079" s="14">
        <v>45813</v>
      </c>
      <c r="B3079" s="11">
        <v>66</v>
      </c>
      <c r="C3079">
        <v>55020</v>
      </c>
      <c r="D3079" s="5">
        <v>7.47</v>
      </c>
      <c r="E3079" s="5">
        <v>7404</v>
      </c>
      <c r="F3079" s="39">
        <v>0.98857868020304573</v>
      </c>
      <c r="G3079" s="39">
        <v>1</v>
      </c>
      <c r="H3079" s="2">
        <f t="shared" si="147"/>
        <v>3618614</v>
      </c>
      <c r="I3079" s="12">
        <f t="shared" si="148"/>
        <v>0.22925000000000001</v>
      </c>
      <c r="J3079" s="12">
        <f t="shared" ref="J3079:J3142" si="149">H3079/(24*B3079*10*1000)</f>
        <v>0.22844785353535355</v>
      </c>
    </row>
    <row r="3080" spans="1:10" ht="15" customHeight="1">
      <c r="A3080" s="14">
        <v>45814</v>
      </c>
      <c r="B3080" s="11">
        <v>67</v>
      </c>
      <c r="C3080">
        <v>54640</v>
      </c>
      <c r="D3080" s="5">
        <v>7.63</v>
      </c>
      <c r="E3080" s="5">
        <v>7217</v>
      </c>
      <c r="F3080" s="39">
        <v>0.96297709923664121</v>
      </c>
      <c r="G3080" s="39">
        <v>1</v>
      </c>
      <c r="H3080" s="2">
        <f t="shared" ref="H3080:H3143" si="150">H3079+C3080</f>
        <v>3673254</v>
      </c>
      <c r="I3080" s="12">
        <f t="shared" si="148"/>
        <v>0.22766666666666666</v>
      </c>
      <c r="J3080" s="12">
        <f t="shared" si="149"/>
        <v>0.22843619402985074</v>
      </c>
    </row>
    <row r="3081" spans="1:10" ht="15" customHeight="1">
      <c r="A3081" s="14">
        <v>45815</v>
      </c>
      <c r="B3081" s="11">
        <v>68</v>
      </c>
      <c r="C3081">
        <v>55888</v>
      </c>
      <c r="D3081" s="5">
        <v>7.81</v>
      </c>
      <c r="E3081" s="5">
        <v>7321</v>
      </c>
      <c r="F3081" s="39">
        <v>0.97921914357682616</v>
      </c>
      <c r="G3081" s="39">
        <v>1</v>
      </c>
      <c r="H3081" s="2">
        <f t="shared" si="150"/>
        <v>3729142</v>
      </c>
      <c r="I3081" s="12">
        <f t="shared" si="148"/>
        <v>0.23286666666666667</v>
      </c>
      <c r="J3081" s="12">
        <f t="shared" si="149"/>
        <v>0.22850134803921568</v>
      </c>
    </row>
    <row r="3082" spans="1:10" ht="15" customHeight="1">
      <c r="A3082" s="14">
        <v>45816</v>
      </c>
      <c r="B3082" s="11">
        <v>69</v>
      </c>
      <c r="C3082">
        <v>57585</v>
      </c>
      <c r="D3082" s="5">
        <v>10.16</v>
      </c>
      <c r="E3082" s="5">
        <v>7438</v>
      </c>
      <c r="F3082" s="39">
        <v>0.98523002421307504</v>
      </c>
      <c r="G3082" s="39">
        <v>1</v>
      </c>
      <c r="H3082" s="2">
        <f t="shared" si="150"/>
        <v>3786727</v>
      </c>
      <c r="I3082" s="12">
        <f t="shared" si="148"/>
        <v>0.2399375</v>
      </c>
      <c r="J3082" s="12">
        <f t="shared" si="149"/>
        <v>0.22866708937198069</v>
      </c>
    </row>
    <row r="3083" spans="1:10" ht="15" customHeight="1">
      <c r="A3083" s="14">
        <v>45817</v>
      </c>
      <c r="B3083" s="11">
        <v>70</v>
      </c>
      <c r="C3083">
        <v>57068</v>
      </c>
      <c r="D3083" s="5">
        <v>7.95</v>
      </c>
      <c r="E3083" s="5">
        <v>7594</v>
      </c>
      <c r="F3083" s="39">
        <v>0.99342604298356507</v>
      </c>
      <c r="G3083" s="39">
        <v>1</v>
      </c>
      <c r="H3083" s="2">
        <f t="shared" si="150"/>
        <v>3843795</v>
      </c>
      <c r="I3083" s="12">
        <f t="shared" si="148"/>
        <v>0.23778333333333335</v>
      </c>
      <c r="J3083" s="12">
        <f t="shared" si="149"/>
        <v>0.22879732142857143</v>
      </c>
    </row>
    <row r="3084" spans="1:10" ht="15" customHeight="1">
      <c r="A3084" s="14">
        <v>45818</v>
      </c>
      <c r="B3084" s="11">
        <v>71</v>
      </c>
      <c r="C3084">
        <v>56861</v>
      </c>
      <c r="D3084" s="5">
        <v>7.84</v>
      </c>
      <c r="E3084" s="5">
        <v>7547</v>
      </c>
      <c r="F3084" s="39">
        <v>0.98348157560355787</v>
      </c>
      <c r="G3084" s="39">
        <v>1</v>
      </c>
      <c r="H3084" s="2">
        <f t="shared" si="150"/>
        <v>3900656</v>
      </c>
      <c r="I3084" s="12">
        <f t="shared" si="148"/>
        <v>0.23692083333333333</v>
      </c>
      <c r="J3084" s="12">
        <f t="shared" si="149"/>
        <v>0.22891173708920187</v>
      </c>
    </row>
    <row r="3085" spans="1:10" ht="15" customHeight="1">
      <c r="A3085" s="14">
        <v>45819</v>
      </c>
      <c r="B3085" s="11">
        <v>72</v>
      </c>
      <c r="C3085">
        <v>59452</v>
      </c>
      <c r="D3085" s="5">
        <v>8.24</v>
      </c>
      <c r="E3085" s="5">
        <v>7799</v>
      </c>
      <c r="F3085" s="39">
        <v>1</v>
      </c>
      <c r="G3085" s="39">
        <v>1</v>
      </c>
      <c r="H3085" s="2">
        <f t="shared" si="150"/>
        <v>3960108</v>
      </c>
      <c r="I3085" s="12">
        <f t="shared" si="148"/>
        <v>0.24771666666666667</v>
      </c>
      <c r="J3085" s="12">
        <f t="shared" si="149"/>
        <v>0.22917291666666667</v>
      </c>
    </row>
    <row r="3086" spans="1:10" ht="15" customHeight="1">
      <c r="A3086" s="14">
        <v>45820</v>
      </c>
      <c r="B3086" s="11">
        <v>73</v>
      </c>
      <c r="C3086">
        <v>57720</v>
      </c>
      <c r="D3086" s="5">
        <v>8.11</v>
      </c>
      <c r="E3086" s="5">
        <v>7637</v>
      </c>
      <c r="F3086" s="39">
        <v>1</v>
      </c>
      <c r="G3086" s="39">
        <v>1</v>
      </c>
      <c r="H3086" s="2">
        <f t="shared" si="150"/>
        <v>4017828</v>
      </c>
      <c r="I3086" s="12">
        <f t="shared" si="148"/>
        <v>0.24049999999999999</v>
      </c>
      <c r="J3086" s="12">
        <f t="shared" si="149"/>
        <v>0.22932808219178083</v>
      </c>
    </row>
    <row r="3087" spans="1:10" ht="15" customHeight="1">
      <c r="A3087" s="14">
        <v>45821</v>
      </c>
      <c r="B3087" s="11">
        <v>74</v>
      </c>
      <c r="C3087">
        <v>54445</v>
      </c>
      <c r="D3087" s="5">
        <v>7.67</v>
      </c>
      <c r="E3087" s="5">
        <v>7149</v>
      </c>
      <c r="F3087" s="39">
        <v>1</v>
      </c>
      <c r="G3087" s="39">
        <v>1</v>
      </c>
      <c r="H3087" s="2">
        <f t="shared" si="150"/>
        <v>4072273</v>
      </c>
      <c r="I3087" s="12">
        <f t="shared" si="148"/>
        <v>0.22685416666666666</v>
      </c>
      <c r="J3087" s="12">
        <f t="shared" si="149"/>
        <v>0.2292946509009009</v>
      </c>
    </row>
    <row r="3088" spans="1:10" ht="15" customHeight="1">
      <c r="A3088" s="14">
        <v>45822</v>
      </c>
      <c r="B3088" s="11">
        <v>75</v>
      </c>
      <c r="C3088">
        <v>38675</v>
      </c>
      <c r="D3088" s="5">
        <v>5.17</v>
      </c>
      <c r="E3088" s="5">
        <v>8711</v>
      </c>
      <c r="F3088" s="39">
        <v>1</v>
      </c>
      <c r="G3088" s="39">
        <v>1</v>
      </c>
      <c r="H3088" s="2">
        <f t="shared" si="150"/>
        <v>4110948</v>
      </c>
      <c r="I3088" s="12">
        <f t="shared" si="148"/>
        <v>0.16114583333333332</v>
      </c>
      <c r="J3088" s="12">
        <f t="shared" si="149"/>
        <v>0.22838600000000001</v>
      </c>
    </row>
    <row r="3089" spans="1:10" ht="15" customHeight="1">
      <c r="A3089" s="14">
        <v>45823</v>
      </c>
      <c r="B3089" s="11">
        <v>76</v>
      </c>
      <c r="C3089">
        <v>12469</v>
      </c>
      <c r="D3089" s="5">
        <v>1.59</v>
      </c>
      <c r="E3089" s="5">
        <v>2436</v>
      </c>
      <c r="F3089" s="39">
        <v>1</v>
      </c>
      <c r="G3089" s="39">
        <v>1</v>
      </c>
      <c r="H3089" s="2">
        <f t="shared" si="150"/>
        <v>4123417</v>
      </c>
      <c r="I3089" s="12">
        <f t="shared" si="148"/>
        <v>5.1954166666666669E-2</v>
      </c>
      <c r="J3089" s="12">
        <f t="shared" si="149"/>
        <v>0.22606452850877193</v>
      </c>
    </row>
    <row r="3090" spans="1:10" ht="15" customHeight="1">
      <c r="A3090" s="14">
        <v>45824</v>
      </c>
      <c r="B3090" s="11">
        <v>77</v>
      </c>
      <c r="C3090">
        <v>26594</v>
      </c>
      <c r="D3090" s="5">
        <v>3.37</v>
      </c>
      <c r="E3090" s="5">
        <v>5429</v>
      </c>
      <c r="F3090" s="39">
        <v>1</v>
      </c>
      <c r="G3090" s="39">
        <v>1</v>
      </c>
      <c r="H3090" s="2">
        <f t="shared" si="150"/>
        <v>4150011</v>
      </c>
      <c r="I3090" s="12">
        <f t="shared" si="148"/>
        <v>0.11080833333333333</v>
      </c>
      <c r="J3090" s="12">
        <f t="shared" si="149"/>
        <v>0.22456769480519481</v>
      </c>
    </row>
    <row r="3091" spans="1:10" ht="15" customHeight="1">
      <c r="A3091" s="14">
        <v>45825</v>
      </c>
      <c r="B3091" s="11">
        <v>78</v>
      </c>
      <c r="C3091">
        <v>40556</v>
      </c>
      <c r="D3091" s="5">
        <v>5.52</v>
      </c>
      <c r="E3091" s="5">
        <v>8661</v>
      </c>
      <c r="F3091" s="39">
        <v>1</v>
      </c>
      <c r="G3091" s="39">
        <v>1</v>
      </c>
      <c r="H3091" s="2">
        <f t="shared" si="150"/>
        <v>4190567</v>
      </c>
      <c r="I3091" s="12">
        <f t="shared" si="148"/>
        <v>0.16898333333333335</v>
      </c>
      <c r="J3091" s="12">
        <f t="shared" si="149"/>
        <v>0.2238550747863248</v>
      </c>
    </row>
    <row r="3092" spans="1:10" ht="15" customHeight="1">
      <c r="A3092" s="14">
        <v>45826</v>
      </c>
      <c r="B3092" s="11">
        <v>79</v>
      </c>
      <c r="C3092">
        <v>43757</v>
      </c>
      <c r="D3092" s="5">
        <v>7.43</v>
      </c>
      <c r="E3092" s="5">
        <v>8192</v>
      </c>
      <c r="F3092" s="39">
        <v>0.83435582822085885</v>
      </c>
      <c r="G3092" s="39">
        <v>1</v>
      </c>
      <c r="H3092" s="2">
        <f t="shared" si="150"/>
        <v>4234324</v>
      </c>
      <c r="I3092" s="12">
        <f t="shared" si="148"/>
        <v>0.18232083333333332</v>
      </c>
      <c r="J3092" s="12">
        <f t="shared" si="149"/>
        <v>0.22332932489451476</v>
      </c>
    </row>
    <row r="3093" spans="1:10" ht="15" customHeight="1">
      <c r="A3093" s="14">
        <v>45827</v>
      </c>
      <c r="B3093" s="11">
        <v>80</v>
      </c>
      <c r="C3093">
        <v>45821</v>
      </c>
      <c r="D3093" s="5">
        <v>6.48</v>
      </c>
      <c r="E3093" s="5">
        <v>7770</v>
      </c>
      <c r="F3093" s="39">
        <v>1</v>
      </c>
      <c r="G3093" s="39">
        <v>1</v>
      </c>
      <c r="H3093" s="2">
        <f t="shared" si="150"/>
        <v>4280145</v>
      </c>
      <c r="I3093" s="12">
        <f t="shared" si="148"/>
        <v>0.19092083333333335</v>
      </c>
      <c r="J3093" s="12">
        <f t="shared" si="149"/>
        <v>0.22292421875000001</v>
      </c>
    </row>
    <row r="3094" spans="1:10" ht="15" customHeight="1">
      <c r="A3094" s="14">
        <v>45828</v>
      </c>
      <c r="B3094" s="11">
        <v>81</v>
      </c>
      <c r="C3094">
        <v>48462</v>
      </c>
      <c r="D3094" s="5">
        <v>6.64</v>
      </c>
      <c r="E3094" s="5">
        <v>7886</v>
      </c>
      <c r="F3094" s="39">
        <v>1</v>
      </c>
      <c r="G3094" s="39">
        <v>1</v>
      </c>
      <c r="H3094" s="2">
        <f t="shared" si="150"/>
        <v>4328607</v>
      </c>
      <c r="I3094" s="12">
        <f t="shared" si="148"/>
        <v>0.20192499999999999</v>
      </c>
      <c r="J3094" s="12">
        <f t="shared" si="149"/>
        <v>0.22266496913580247</v>
      </c>
    </row>
    <row r="3095" spans="1:10" ht="15" customHeight="1">
      <c r="A3095" s="14">
        <v>45829</v>
      </c>
      <c r="B3095" s="11">
        <v>82</v>
      </c>
      <c r="C3095">
        <v>26374</v>
      </c>
      <c r="D3095" s="5">
        <v>3.36</v>
      </c>
      <c r="E3095" s="5">
        <v>6502</v>
      </c>
      <c r="F3095" s="39">
        <v>1</v>
      </c>
      <c r="G3095" s="39">
        <v>1</v>
      </c>
      <c r="H3095" s="2">
        <f t="shared" si="150"/>
        <v>4354981</v>
      </c>
      <c r="I3095" s="12">
        <f t="shared" si="148"/>
        <v>0.10989166666666667</v>
      </c>
      <c r="J3095" s="12">
        <f t="shared" si="149"/>
        <v>0.22128968495934959</v>
      </c>
    </row>
    <row r="3096" spans="1:10" ht="15" customHeight="1">
      <c r="A3096" s="14">
        <v>45830</v>
      </c>
      <c r="B3096" s="11">
        <v>83</v>
      </c>
      <c r="C3096">
        <v>52974</v>
      </c>
      <c r="D3096" s="5">
        <v>7.5</v>
      </c>
      <c r="E3096" s="5">
        <v>7378</v>
      </c>
      <c r="F3096" s="39">
        <v>1</v>
      </c>
      <c r="G3096" s="39">
        <v>1</v>
      </c>
      <c r="H3096" s="2">
        <f t="shared" si="150"/>
        <v>4407955</v>
      </c>
      <c r="I3096" s="12">
        <f t="shared" si="148"/>
        <v>0.220725</v>
      </c>
      <c r="J3096" s="12">
        <f t="shared" si="149"/>
        <v>0.22128288152610442</v>
      </c>
    </row>
    <row r="3097" spans="1:10" ht="15" customHeight="1">
      <c r="A3097" s="14">
        <v>45831</v>
      </c>
      <c r="B3097" s="11">
        <v>84</v>
      </c>
      <c r="C3097">
        <v>37551</v>
      </c>
      <c r="D3097" s="5">
        <v>4.99</v>
      </c>
      <c r="E3097" s="5">
        <v>7560</v>
      </c>
      <c r="F3097" s="39">
        <v>1</v>
      </c>
      <c r="G3097" s="39">
        <v>1</v>
      </c>
      <c r="H3097" s="2">
        <f t="shared" si="150"/>
        <v>4445506</v>
      </c>
      <c r="I3097" s="12">
        <f t="shared" si="148"/>
        <v>0.1564625</v>
      </c>
      <c r="J3097" s="12">
        <f t="shared" si="149"/>
        <v>0.22051121031746032</v>
      </c>
    </row>
    <row r="3098" spans="1:10" ht="15" customHeight="1">
      <c r="A3098" s="14">
        <v>45832</v>
      </c>
      <c r="B3098" s="11">
        <v>85</v>
      </c>
      <c r="C3098">
        <v>46838</v>
      </c>
      <c r="D3098" s="5">
        <v>6.54</v>
      </c>
      <c r="E3098" s="5">
        <v>7470</v>
      </c>
      <c r="F3098" s="39">
        <v>1</v>
      </c>
      <c r="G3098" s="39">
        <v>1</v>
      </c>
      <c r="H3098" s="2">
        <f t="shared" si="150"/>
        <v>4492344</v>
      </c>
      <c r="I3098" s="12">
        <f t="shared" si="148"/>
        <v>0.19515833333333332</v>
      </c>
      <c r="J3098" s="12">
        <f t="shared" si="149"/>
        <v>0.22021294117647058</v>
      </c>
    </row>
    <row r="3099" spans="1:10" ht="15" customHeight="1">
      <c r="A3099" s="14">
        <v>45833</v>
      </c>
      <c r="B3099" s="11">
        <v>86</v>
      </c>
      <c r="C3099">
        <v>36849</v>
      </c>
      <c r="D3099" s="5">
        <v>4.79</v>
      </c>
      <c r="E3099" s="5">
        <v>7238</v>
      </c>
      <c r="F3099" s="39">
        <v>1</v>
      </c>
      <c r="G3099" s="39">
        <v>1</v>
      </c>
      <c r="H3099" s="2">
        <f t="shared" si="150"/>
        <v>4529193</v>
      </c>
      <c r="I3099" s="12">
        <f t="shared" si="148"/>
        <v>0.15353749999999999</v>
      </c>
      <c r="J3099" s="12">
        <f t="shared" si="149"/>
        <v>0.2194376453488372</v>
      </c>
    </row>
    <row r="3100" spans="1:10" ht="15" customHeight="1">
      <c r="A3100" s="14">
        <v>45834</v>
      </c>
      <c r="B3100" s="11">
        <v>87</v>
      </c>
      <c r="C3100">
        <v>29210</v>
      </c>
      <c r="D3100" s="5">
        <v>4.21</v>
      </c>
      <c r="E3100" s="5">
        <v>8711</v>
      </c>
      <c r="F3100" s="39">
        <v>1</v>
      </c>
      <c r="G3100" s="39">
        <v>1</v>
      </c>
      <c r="H3100" s="2">
        <f t="shared" si="150"/>
        <v>4558403</v>
      </c>
      <c r="I3100" s="12">
        <f t="shared" si="148"/>
        <v>0.12170833333333334</v>
      </c>
      <c r="J3100" s="12">
        <f t="shared" si="149"/>
        <v>0.21831431992337164</v>
      </c>
    </row>
    <row r="3101" spans="1:10" ht="15" customHeight="1">
      <c r="A3101" s="14">
        <v>45835</v>
      </c>
      <c r="B3101" s="11">
        <v>88</v>
      </c>
      <c r="C3101">
        <v>50900</v>
      </c>
      <c r="D3101" s="5">
        <v>6.48</v>
      </c>
      <c r="E3101" s="5">
        <v>8330</v>
      </c>
      <c r="F3101" s="39">
        <v>1</v>
      </c>
      <c r="G3101" s="39">
        <v>1</v>
      </c>
      <c r="H3101" s="2">
        <f t="shared" si="150"/>
        <v>4609303</v>
      </c>
      <c r="I3101" s="12">
        <f t="shared" si="148"/>
        <v>0.21208333333333335</v>
      </c>
      <c r="J3101" s="12">
        <f t="shared" si="149"/>
        <v>0.21824351325757577</v>
      </c>
    </row>
    <row r="3102" spans="1:10" ht="15" customHeight="1">
      <c r="A3102" s="14">
        <v>45836</v>
      </c>
      <c r="B3102" s="11">
        <v>89</v>
      </c>
      <c r="C3102">
        <v>37922</v>
      </c>
      <c r="D3102" s="5">
        <v>4.8099999999999996</v>
      </c>
      <c r="E3102" s="5">
        <v>8956</v>
      </c>
      <c r="F3102" s="39">
        <v>1</v>
      </c>
      <c r="G3102" s="39">
        <v>1</v>
      </c>
      <c r="H3102" s="2">
        <f t="shared" si="150"/>
        <v>4647225</v>
      </c>
      <c r="I3102" s="12">
        <f t="shared" si="148"/>
        <v>0.15800833333333333</v>
      </c>
      <c r="J3102" s="12">
        <f t="shared" si="149"/>
        <v>0.21756671348314607</v>
      </c>
    </row>
    <row r="3103" spans="1:10" ht="15" customHeight="1">
      <c r="A3103" s="14">
        <v>45837</v>
      </c>
      <c r="B3103" s="11">
        <v>90</v>
      </c>
      <c r="C3103">
        <v>45659</v>
      </c>
      <c r="D3103" s="5">
        <v>5.97</v>
      </c>
      <c r="E3103" s="5">
        <v>8271</v>
      </c>
      <c r="F3103" s="39">
        <v>1</v>
      </c>
      <c r="G3103" s="39">
        <v>1</v>
      </c>
      <c r="H3103" s="2">
        <f t="shared" si="150"/>
        <v>4692884</v>
      </c>
      <c r="I3103" s="12">
        <f t="shared" si="148"/>
        <v>0.19024583333333334</v>
      </c>
      <c r="J3103" s="12">
        <f t="shared" si="149"/>
        <v>0.21726314814814815</v>
      </c>
    </row>
    <row r="3104" spans="1:10" ht="15" customHeight="1">
      <c r="A3104" s="14">
        <v>45838</v>
      </c>
      <c r="B3104" s="11">
        <v>91</v>
      </c>
      <c r="C3104">
        <v>50344</v>
      </c>
      <c r="D3104" s="5">
        <v>6.15</v>
      </c>
      <c r="E3104" s="5">
        <v>7837</v>
      </c>
      <c r="F3104" s="39">
        <v>1</v>
      </c>
      <c r="G3104" s="39">
        <v>1</v>
      </c>
      <c r="H3104" s="2">
        <f t="shared" si="150"/>
        <v>4743228</v>
      </c>
      <c r="I3104" s="12">
        <f t="shared" si="148"/>
        <v>0.20976666666666666</v>
      </c>
      <c r="J3104" s="12">
        <f t="shared" si="149"/>
        <v>0.21718076923076923</v>
      </c>
    </row>
    <row r="3105" spans="1:10" ht="15" customHeight="1">
      <c r="A3105" s="14">
        <v>45839</v>
      </c>
      <c r="B3105" s="11">
        <v>92</v>
      </c>
      <c r="C3105">
        <v>46892</v>
      </c>
      <c r="D3105" s="5">
        <v>5.19</v>
      </c>
      <c r="E3105" s="5">
        <v>7411</v>
      </c>
      <c r="F3105" s="39">
        <v>1</v>
      </c>
      <c r="G3105" s="39">
        <v>1</v>
      </c>
      <c r="H3105" s="2">
        <f t="shared" si="150"/>
        <v>4790120</v>
      </c>
      <c r="I3105" s="12">
        <f t="shared" si="148"/>
        <v>0.19538333333333333</v>
      </c>
      <c r="J3105" s="12">
        <f t="shared" si="149"/>
        <v>0.21694384057971014</v>
      </c>
    </row>
    <row r="3106" spans="1:10" ht="15" customHeight="1">
      <c r="A3106" s="14">
        <v>45840</v>
      </c>
      <c r="B3106" s="11">
        <v>93</v>
      </c>
      <c r="C3106">
        <v>41408</v>
      </c>
      <c r="D3106" s="5">
        <v>5.54</v>
      </c>
      <c r="E3106" s="5">
        <v>8032</v>
      </c>
      <c r="F3106" s="39">
        <v>1</v>
      </c>
      <c r="G3106" s="39">
        <v>1</v>
      </c>
      <c r="H3106" s="2">
        <f t="shared" si="150"/>
        <v>4831528</v>
      </c>
      <c r="I3106" s="12">
        <f t="shared" si="148"/>
        <v>0.17253333333333334</v>
      </c>
      <c r="J3106" s="12">
        <f t="shared" si="149"/>
        <v>0.21646630824372759</v>
      </c>
    </row>
    <row r="3107" spans="1:10" ht="15" customHeight="1">
      <c r="A3107" s="14">
        <v>45841</v>
      </c>
      <c r="B3107" s="11">
        <v>94</v>
      </c>
      <c r="C3107">
        <v>41563</v>
      </c>
      <c r="D3107" s="5">
        <v>5.32</v>
      </c>
      <c r="E3107" s="5">
        <v>8932</v>
      </c>
      <c r="F3107" s="39">
        <v>1</v>
      </c>
      <c r="G3107" s="39">
        <v>1</v>
      </c>
      <c r="H3107" s="2">
        <f t="shared" si="150"/>
        <v>4873091</v>
      </c>
      <c r="I3107" s="12">
        <f t="shared" si="148"/>
        <v>0.17317916666666666</v>
      </c>
      <c r="J3107" s="12">
        <f t="shared" si="149"/>
        <v>0.21600580673758865</v>
      </c>
    </row>
    <row r="3108" spans="1:10" ht="15" customHeight="1">
      <c r="A3108" s="14">
        <v>45842</v>
      </c>
      <c r="B3108" s="11">
        <v>95</v>
      </c>
      <c r="C3108">
        <v>49866</v>
      </c>
      <c r="D3108" s="5">
        <v>6.67</v>
      </c>
      <c r="E3108" s="5">
        <v>7891</v>
      </c>
      <c r="F3108" s="39">
        <v>1</v>
      </c>
      <c r="G3108" s="39">
        <v>1</v>
      </c>
      <c r="H3108" s="2">
        <f t="shared" si="150"/>
        <v>4922957</v>
      </c>
      <c r="I3108" s="12">
        <f t="shared" si="148"/>
        <v>0.20777499999999999</v>
      </c>
      <c r="J3108" s="12">
        <f t="shared" si="149"/>
        <v>0.21591916666666666</v>
      </c>
    </row>
    <row r="3109" spans="1:10" ht="15" customHeight="1">
      <c r="A3109" s="14">
        <v>45843</v>
      </c>
      <c r="B3109" s="11">
        <v>96</v>
      </c>
      <c r="C3109">
        <v>54981</v>
      </c>
      <c r="D3109" s="5">
        <v>7.1</v>
      </c>
      <c r="E3109" s="5">
        <v>8177</v>
      </c>
      <c r="F3109" s="39">
        <v>1</v>
      </c>
      <c r="G3109" s="39">
        <v>1</v>
      </c>
      <c r="H3109" s="2">
        <f t="shared" si="150"/>
        <v>4977938</v>
      </c>
      <c r="I3109" s="12">
        <f t="shared" si="148"/>
        <v>0.2290875</v>
      </c>
      <c r="J3109" s="12">
        <f t="shared" si="149"/>
        <v>0.21605633680555555</v>
      </c>
    </row>
    <row r="3110" spans="1:10" ht="15" customHeight="1">
      <c r="A3110" s="14">
        <v>45844</v>
      </c>
      <c r="B3110" s="11">
        <v>97</v>
      </c>
      <c r="C3110">
        <v>50158</v>
      </c>
      <c r="D3110" s="5">
        <v>6.37</v>
      </c>
      <c r="E3110" s="5">
        <v>8462</v>
      </c>
      <c r="F3110" s="39">
        <v>1</v>
      </c>
      <c r="G3110" s="39">
        <v>1</v>
      </c>
      <c r="H3110" s="2">
        <f t="shared" si="150"/>
        <v>5028096</v>
      </c>
      <c r="I3110" s="12">
        <f t="shared" si="148"/>
        <v>0.20899166666666666</v>
      </c>
      <c r="J3110" s="12">
        <f t="shared" si="149"/>
        <v>0.21598350515463918</v>
      </c>
    </row>
    <row r="3111" spans="1:10" ht="15" customHeight="1">
      <c r="A3111" s="14">
        <v>45845</v>
      </c>
      <c r="B3111" s="11">
        <v>98</v>
      </c>
      <c r="C3111">
        <v>45784</v>
      </c>
      <c r="D3111" s="5">
        <v>5.88</v>
      </c>
      <c r="E3111" s="5">
        <v>8256</v>
      </c>
      <c r="F3111" s="39">
        <v>1</v>
      </c>
      <c r="G3111" s="39">
        <v>1</v>
      </c>
      <c r="H3111" s="2">
        <f t="shared" si="150"/>
        <v>5073880</v>
      </c>
      <c r="I3111" s="12">
        <f t="shared" si="148"/>
        <v>0.19076666666666667</v>
      </c>
      <c r="J3111" s="12">
        <f t="shared" si="149"/>
        <v>0.21572619047619049</v>
      </c>
    </row>
    <row r="3112" spans="1:10" ht="15" customHeight="1">
      <c r="A3112" s="14">
        <v>45846</v>
      </c>
      <c r="B3112" s="11">
        <v>99</v>
      </c>
      <c r="C3112">
        <v>52682</v>
      </c>
      <c r="D3112" s="5">
        <v>6.58</v>
      </c>
      <c r="E3112" s="5">
        <v>8361</v>
      </c>
      <c r="F3112" s="39">
        <v>1</v>
      </c>
      <c r="G3112" s="39">
        <v>1</v>
      </c>
      <c r="H3112" s="2">
        <f t="shared" si="150"/>
        <v>5126562</v>
      </c>
      <c r="I3112" s="12">
        <f t="shared" si="148"/>
        <v>0.21950833333333333</v>
      </c>
      <c r="J3112" s="12">
        <f t="shared" si="149"/>
        <v>0.21576439393939395</v>
      </c>
    </row>
    <row r="3113" spans="1:10" ht="15" customHeight="1">
      <c r="A3113" s="14">
        <v>45847</v>
      </c>
      <c r="B3113" s="11">
        <v>100</v>
      </c>
      <c r="C3113">
        <v>43926</v>
      </c>
      <c r="D3113" s="5">
        <v>5.32</v>
      </c>
      <c r="E3113" s="5">
        <v>8075</v>
      </c>
      <c r="F3113" s="39">
        <v>1</v>
      </c>
      <c r="G3113" s="39">
        <v>1</v>
      </c>
      <c r="H3113" s="2">
        <f t="shared" si="150"/>
        <v>5170488</v>
      </c>
      <c r="I3113" s="12">
        <f t="shared" si="148"/>
        <v>0.18302499999999999</v>
      </c>
      <c r="J3113" s="12">
        <f t="shared" si="149"/>
        <v>0.21543699999999999</v>
      </c>
    </row>
    <row r="3114" spans="1:10" ht="15" customHeight="1">
      <c r="A3114" s="14">
        <v>45848</v>
      </c>
      <c r="B3114" s="11">
        <v>101</v>
      </c>
      <c r="C3114">
        <v>48824</v>
      </c>
      <c r="D3114" s="5">
        <v>6.21</v>
      </c>
      <c r="E3114" s="5">
        <v>8032</v>
      </c>
      <c r="F3114" s="39">
        <v>1</v>
      </c>
      <c r="G3114" s="39">
        <v>1</v>
      </c>
      <c r="H3114" s="2">
        <f t="shared" si="150"/>
        <v>5219312</v>
      </c>
      <c r="I3114" s="12">
        <f t="shared" si="148"/>
        <v>0.20343333333333333</v>
      </c>
      <c r="J3114" s="12">
        <f t="shared" si="149"/>
        <v>0.21531815181518152</v>
      </c>
    </row>
    <row r="3115" spans="1:10" ht="15" customHeight="1">
      <c r="A3115" s="14">
        <v>45849</v>
      </c>
      <c r="B3115" s="11">
        <v>102</v>
      </c>
      <c r="C3115">
        <v>32568</v>
      </c>
      <c r="D3115" s="5">
        <v>4.53</v>
      </c>
      <c r="E3115" s="5">
        <v>7891</v>
      </c>
      <c r="F3115" s="39">
        <v>1</v>
      </c>
      <c r="G3115" s="39">
        <v>1</v>
      </c>
      <c r="H3115" s="2">
        <f t="shared" si="150"/>
        <v>5251880</v>
      </c>
      <c r="I3115" s="12">
        <f t="shared" si="148"/>
        <v>0.13569999999999999</v>
      </c>
      <c r="J3115" s="12">
        <f t="shared" si="149"/>
        <v>0.21453758169934642</v>
      </c>
    </row>
    <row r="3116" spans="1:10" ht="15" customHeight="1">
      <c r="A3116" s="14">
        <v>45850</v>
      </c>
      <c r="B3116" s="11">
        <v>103</v>
      </c>
      <c r="C3116">
        <v>42379</v>
      </c>
      <c r="D3116" s="5">
        <v>5.26</v>
      </c>
      <c r="E3116" s="5">
        <v>8256</v>
      </c>
      <c r="F3116" s="39">
        <v>1</v>
      </c>
      <c r="G3116" s="39">
        <v>1</v>
      </c>
      <c r="H3116" s="2">
        <f t="shared" si="150"/>
        <v>5294259</v>
      </c>
      <c r="I3116" s="12">
        <f t="shared" si="148"/>
        <v>0.17657916666666668</v>
      </c>
      <c r="J3116" s="12">
        <f t="shared" si="149"/>
        <v>0.21416905339805825</v>
      </c>
    </row>
    <row r="3117" spans="1:10" ht="15" customHeight="1">
      <c r="A3117" s="14">
        <v>45851</v>
      </c>
      <c r="B3117" s="11">
        <v>104</v>
      </c>
      <c r="C3117">
        <v>41713</v>
      </c>
      <c r="D3117" s="5">
        <v>5.74</v>
      </c>
      <c r="E3117" s="5">
        <v>7140</v>
      </c>
      <c r="F3117" s="39">
        <v>0.9861054825450124</v>
      </c>
      <c r="G3117" s="39">
        <v>1</v>
      </c>
      <c r="H3117" s="2">
        <f t="shared" si="150"/>
        <v>5335972</v>
      </c>
      <c r="I3117" s="12">
        <f t="shared" si="148"/>
        <v>0.17380416666666668</v>
      </c>
      <c r="J3117" s="12">
        <f t="shared" si="149"/>
        <v>0.2137809294871795</v>
      </c>
    </row>
    <row r="3118" spans="1:10" ht="15" customHeight="1">
      <c r="A3118" s="14">
        <v>45852</v>
      </c>
      <c r="B3118" s="11">
        <v>105</v>
      </c>
      <c r="C3118">
        <v>41433</v>
      </c>
      <c r="D3118" s="5">
        <v>5.47</v>
      </c>
      <c r="E3118" s="5">
        <v>8409</v>
      </c>
      <c r="F3118" s="39">
        <v>0.99825021872265962</v>
      </c>
      <c r="G3118" s="39">
        <v>1</v>
      </c>
      <c r="H3118" s="2">
        <f t="shared" si="150"/>
        <v>5377405</v>
      </c>
      <c r="I3118" s="12">
        <f t="shared" si="148"/>
        <v>0.1726375</v>
      </c>
      <c r="J3118" s="12">
        <f t="shared" si="149"/>
        <v>0.21338908730158729</v>
      </c>
    </row>
    <row r="3119" spans="1:10" ht="15" customHeight="1">
      <c r="A3119" s="14">
        <v>45853</v>
      </c>
      <c r="B3119" s="11">
        <v>106</v>
      </c>
      <c r="C3119">
        <v>32513</v>
      </c>
      <c r="D3119" s="5">
        <v>5.28</v>
      </c>
      <c r="E3119" s="5">
        <v>6490</v>
      </c>
      <c r="F3119" s="39">
        <v>0.99418758256274764</v>
      </c>
      <c r="G3119" s="39">
        <v>1</v>
      </c>
      <c r="H3119" s="2">
        <f t="shared" si="150"/>
        <v>5409918</v>
      </c>
      <c r="I3119" s="12">
        <f t="shared" si="148"/>
        <v>0.13547083333333335</v>
      </c>
      <c r="J3119" s="12">
        <f t="shared" si="149"/>
        <v>0.21265400943396226</v>
      </c>
    </row>
    <row r="3120" spans="1:10" ht="15" customHeight="1">
      <c r="A3120" s="14">
        <v>45854</v>
      </c>
      <c r="B3120" s="11">
        <v>107</v>
      </c>
      <c r="C3120">
        <v>30914</v>
      </c>
      <c r="D3120" s="5">
        <v>5.62</v>
      </c>
      <c r="E3120" s="5">
        <v>6176</v>
      </c>
      <c r="F3120" s="39">
        <v>1</v>
      </c>
      <c r="G3120" s="39">
        <v>1</v>
      </c>
      <c r="H3120" s="2">
        <f t="shared" si="150"/>
        <v>5440832</v>
      </c>
      <c r="I3120" s="12">
        <f t="shared" si="148"/>
        <v>0.12880833333333333</v>
      </c>
      <c r="J3120" s="12">
        <f t="shared" si="149"/>
        <v>0.21187040498442367</v>
      </c>
    </row>
    <row r="3121" spans="1:10" ht="15" customHeight="1">
      <c r="A3121" s="14">
        <v>45855</v>
      </c>
      <c r="B3121" s="11">
        <v>108</v>
      </c>
      <c r="C3121">
        <v>26594</v>
      </c>
      <c r="D3121" s="5">
        <v>3.54</v>
      </c>
      <c r="E3121" s="5">
        <v>8482</v>
      </c>
      <c r="F3121" s="39">
        <v>1</v>
      </c>
      <c r="G3121" s="39">
        <v>1</v>
      </c>
      <c r="H3121" s="2">
        <f t="shared" si="150"/>
        <v>5467426</v>
      </c>
      <c r="I3121" s="12">
        <f t="shared" si="148"/>
        <v>0.11080833333333333</v>
      </c>
      <c r="J3121" s="12">
        <f t="shared" si="149"/>
        <v>0.2109346450617284</v>
      </c>
    </row>
    <row r="3122" spans="1:10" ht="15" customHeight="1">
      <c r="A3122" s="14">
        <v>45856</v>
      </c>
      <c r="B3122" s="11">
        <v>109</v>
      </c>
      <c r="C3122">
        <v>13346</v>
      </c>
      <c r="D3122" s="5">
        <v>1.96</v>
      </c>
      <c r="E3122" s="5">
        <v>5572</v>
      </c>
      <c r="F3122" s="39">
        <v>1</v>
      </c>
      <c r="G3122" s="39">
        <v>1</v>
      </c>
      <c r="H3122" s="2">
        <f t="shared" si="150"/>
        <v>5480772</v>
      </c>
      <c r="I3122" s="12">
        <f t="shared" si="148"/>
        <v>5.5608333333333336E-2</v>
      </c>
      <c r="J3122" s="12">
        <f t="shared" si="149"/>
        <v>0.20950963302752293</v>
      </c>
    </row>
    <row r="3123" spans="1:10" ht="15" customHeight="1">
      <c r="A3123" s="14">
        <v>45857</v>
      </c>
      <c r="B3123" s="11">
        <v>110</v>
      </c>
      <c r="C3123">
        <v>15775</v>
      </c>
      <c r="D3123" s="5">
        <v>2.11</v>
      </c>
      <c r="E3123" s="5">
        <v>9897</v>
      </c>
      <c r="F3123" s="39">
        <v>1</v>
      </c>
      <c r="G3123" s="39">
        <v>1</v>
      </c>
      <c r="H3123" s="2">
        <f t="shared" si="150"/>
        <v>5496547</v>
      </c>
      <c r="I3123" s="12">
        <f t="shared" si="148"/>
        <v>6.5729166666666672E-2</v>
      </c>
      <c r="J3123" s="12">
        <f t="shared" si="149"/>
        <v>0.20820253787878787</v>
      </c>
    </row>
    <row r="3124" spans="1:10" ht="15" customHeight="1">
      <c r="A3124" s="14">
        <v>45858</v>
      </c>
      <c r="B3124" s="11">
        <v>111</v>
      </c>
      <c r="C3124">
        <v>35650</v>
      </c>
      <c r="D3124" s="5">
        <v>4.49</v>
      </c>
      <c r="E3124" s="5">
        <v>9368</v>
      </c>
      <c r="F3124" s="39">
        <v>1</v>
      </c>
      <c r="G3124" s="39">
        <v>1</v>
      </c>
      <c r="H3124" s="2">
        <f t="shared" si="150"/>
        <v>5532197</v>
      </c>
      <c r="I3124" s="12">
        <f t="shared" si="148"/>
        <v>0.14854166666666666</v>
      </c>
      <c r="J3124" s="12">
        <f t="shared" si="149"/>
        <v>0.20766505255255255</v>
      </c>
    </row>
    <row r="3125" spans="1:10" ht="15" customHeight="1">
      <c r="A3125" s="14">
        <v>45859</v>
      </c>
      <c r="B3125" s="11">
        <v>112</v>
      </c>
      <c r="C3125">
        <v>37216</v>
      </c>
      <c r="D3125" s="5">
        <v>4.91</v>
      </c>
      <c r="E3125" s="5">
        <v>8497</v>
      </c>
      <c r="F3125" s="39">
        <v>1</v>
      </c>
      <c r="G3125" s="39">
        <v>1</v>
      </c>
      <c r="H3125" s="2">
        <f t="shared" si="150"/>
        <v>5569413</v>
      </c>
      <c r="I3125" s="12">
        <f t="shared" si="148"/>
        <v>0.15506666666666666</v>
      </c>
      <c r="J3125" s="12">
        <f t="shared" si="149"/>
        <v>0.20719542410714287</v>
      </c>
    </row>
    <row r="3126" spans="1:10" ht="15" customHeight="1">
      <c r="A3126" s="14">
        <v>45860</v>
      </c>
      <c r="B3126" s="11">
        <v>113</v>
      </c>
      <c r="C3126">
        <v>45915</v>
      </c>
      <c r="D3126" s="5">
        <v>6.31</v>
      </c>
      <c r="E3126" s="5">
        <v>9149</v>
      </c>
      <c r="F3126" s="39">
        <v>1</v>
      </c>
      <c r="G3126" s="39">
        <v>1</v>
      </c>
      <c r="H3126" s="2">
        <f t="shared" si="150"/>
        <v>5615328</v>
      </c>
      <c r="I3126" s="12">
        <f t="shared" si="148"/>
        <v>0.1913125</v>
      </c>
      <c r="J3126" s="12">
        <f t="shared" si="149"/>
        <v>0.20705486725663716</v>
      </c>
    </row>
    <row r="3127" spans="1:10" ht="15" customHeight="1">
      <c r="A3127" s="14">
        <v>45861</v>
      </c>
      <c r="B3127" s="11">
        <v>114</v>
      </c>
      <c r="C3127">
        <v>46407</v>
      </c>
      <c r="D3127" s="5">
        <v>6.28</v>
      </c>
      <c r="E3127" s="5">
        <v>8619</v>
      </c>
      <c r="F3127" s="39">
        <v>1</v>
      </c>
      <c r="G3127" s="39">
        <v>1</v>
      </c>
      <c r="H3127" s="2">
        <f t="shared" si="150"/>
        <v>5661735</v>
      </c>
      <c r="I3127" s="12">
        <f t="shared" si="148"/>
        <v>0.19336249999999999</v>
      </c>
      <c r="J3127" s="12">
        <f t="shared" si="149"/>
        <v>0.20693475877192982</v>
      </c>
    </row>
    <row r="3128" spans="1:10" ht="15" customHeight="1">
      <c r="A3128" s="14">
        <v>45862</v>
      </c>
      <c r="B3128" s="11">
        <v>115</v>
      </c>
      <c r="C3128">
        <v>54265</v>
      </c>
      <c r="D3128" s="5">
        <v>7.36</v>
      </c>
      <c r="E3128" s="5">
        <v>8254</v>
      </c>
      <c r="F3128" s="39">
        <v>1</v>
      </c>
      <c r="G3128" s="39">
        <v>1</v>
      </c>
      <c r="H3128" s="2">
        <f t="shared" si="150"/>
        <v>5716000</v>
      </c>
      <c r="I3128" s="12">
        <f t="shared" si="148"/>
        <v>0.22610416666666666</v>
      </c>
      <c r="J3128" s="12">
        <f t="shared" si="149"/>
        <v>0.20710144927536231</v>
      </c>
    </row>
    <row r="3129" spans="1:10" ht="15" customHeight="1">
      <c r="A3129" s="14">
        <v>45863</v>
      </c>
      <c r="B3129" s="11">
        <v>116</v>
      </c>
      <c r="C3129">
        <v>49578</v>
      </c>
      <c r="D3129" s="5">
        <v>6.62</v>
      </c>
      <c r="E3129" s="5">
        <v>8731</v>
      </c>
      <c r="F3129" s="39">
        <v>1</v>
      </c>
      <c r="G3129" s="39">
        <v>1</v>
      </c>
      <c r="H3129" s="2">
        <f t="shared" si="150"/>
        <v>5765578</v>
      </c>
      <c r="I3129" s="12">
        <f t="shared" si="148"/>
        <v>0.20657500000000001</v>
      </c>
      <c r="J3129" s="12">
        <f t="shared" si="149"/>
        <v>0.20709691091954022</v>
      </c>
    </row>
    <row r="3130" spans="1:10" ht="15" customHeight="1">
      <c r="A3130" s="14">
        <v>45864</v>
      </c>
      <c r="B3130" s="11">
        <v>117</v>
      </c>
      <c r="C3130">
        <v>36315</v>
      </c>
      <c r="D3130" s="5">
        <v>4.8600000000000003</v>
      </c>
      <c r="E3130" s="5">
        <v>7814</v>
      </c>
      <c r="F3130" s="39">
        <v>1</v>
      </c>
      <c r="G3130" s="39">
        <v>1</v>
      </c>
      <c r="H3130" s="2">
        <f t="shared" si="150"/>
        <v>5801893</v>
      </c>
      <c r="I3130" s="12">
        <f t="shared" si="148"/>
        <v>0.15131249999999999</v>
      </c>
      <c r="J3130" s="12">
        <f t="shared" si="149"/>
        <v>0.20662012108262109</v>
      </c>
    </row>
    <row r="3131" spans="1:10" ht="15" customHeight="1">
      <c r="A3131" s="14">
        <v>45865</v>
      </c>
      <c r="B3131" s="11">
        <v>118</v>
      </c>
      <c r="C3131">
        <v>31383</v>
      </c>
      <c r="D3131" s="5">
        <v>4.12</v>
      </c>
      <c r="E3131" s="5">
        <v>6724</v>
      </c>
      <c r="F3131" s="39">
        <v>1</v>
      </c>
      <c r="G3131" s="39">
        <v>1</v>
      </c>
      <c r="H3131" s="2">
        <f t="shared" si="150"/>
        <v>5833276</v>
      </c>
      <c r="I3131" s="12">
        <f t="shared" si="148"/>
        <v>0.1307625</v>
      </c>
      <c r="J3131" s="12">
        <f t="shared" si="149"/>
        <v>0.20597725988700566</v>
      </c>
    </row>
    <row r="3132" spans="1:10" ht="15" customHeight="1">
      <c r="A3132" s="14">
        <v>45866</v>
      </c>
      <c r="B3132" s="11">
        <v>119</v>
      </c>
      <c r="C3132">
        <v>39641</v>
      </c>
      <c r="D3132" s="5">
        <v>4.92</v>
      </c>
      <c r="E3132" s="5">
        <v>8224</v>
      </c>
      <c r="F3132" s="39">
        <v>1</v>
      </c>
      <c r="G3132" s="39">
        <v>1</v>
      </c>
      <c r="H3132" s="2">
        <f t="shared" si="150"/>
        <v>5872917</v>
      </c>
      <c r="I3132" s="12">
        <f t="shared" si="148"/>
        <v>0.16517083333333332</v>
      </c>
      <c r="J3132" s="12">
        <f t="shared" si="149"/>
        <v>0.20563434873949579</v>
      </c>
    </row>
    <row r="3133" spans="1:10" ht="15" customHeight="1">
      <c r="A3133" s="14">
        <v>45867</v>
      </c>
      <c r="B3133" s="11">
        <v>120</v>
      </c>
      <c r="C3133">
        <v>53010</v>
      </c>
      <c r="D3133" s="5">
        <v>6.84</v>
      </c>
      <c r="E3133" s="5">
        <v>7409</v>
      </c>
      <c r="F3133" s="39">
        <v>1</v>
      </c>
      <c r="G3133" s="39">
        <v>1</v>
      </c>
      <c r="H3133" s="2">
        <f t="shared" si="150"/>
        <v>5925927</v>
      </c>
      <c r="I3133" s="12">
        <f t="shared" si="148"/>
        <v>0.22087499999999999</v>
      </c>
      <c r="J3133" s="12">
        <f t="shared" si="149"/>
        <v>0.20576135416666666</v>
      </c>
    </row>
    <row r="3134" spans="1:10" ht="15" customHeight="1">
      <c r="A3134" s="14">
        <v>45868</v>
      </c>
      <c r="B3134" s="11">
        <v>121</v>
      </c>
      <c r="C3134">
        <v>47250</v>
      </c>
      <c r="D3134" s="5">
        <v>6.04</v>
      </c>
      <c r="E3134" s="5">
        <v>7490</v>
      </c>
      <c r="F3134" s="39">
        <v>1</v>
      </c>
      <c r="G3134" s="39">
        <v>1</v>
      </c>
      <c r="H3134" s="2">
        <f t="shared" si="150"/>
        <v>5973177</v>
      </c>
      <c r="I3134" s="12">
        <f t="shared" si="148"/>
        <v>0.19687499999999999</v>
      </c>
      <c r="J3134" s="12">
        <f t="shared" si="149"/>
        <v>0.20568791322314051</v>
      </c>
    </row>
    <row r="3135" spans="1:10" ht="15" customHeight="1">
      <c r="A3135" s="14">
        <v>45869</v>
      </c>
      <c r="B3135" s="11">
        <v>122</v>
      </c>
      <c r="C3135">
        <v>22448</v>
      </c>
      <c r="D3135" s="5">
        <v>2.84</v>
      </c>
      <c r="E3135" s="5">
        <v>5179</v>
      </c>
      <c r="F3135" s="39">
        <v>1</v>
      </c>
      <c r="G3135" s="39">
        <v>1</v>
      </c>
      <c r="H3135" s="2">
        <f t="shared" si="150"/>
        <v>5995625</v>
      </c>
      <c r="I3135" s="12">
        <f t="shared" si="148"/>
        <v>9.3533333333333329E-2</v>
      </c>
      <c r="J3135" s="12">
        <f t="shared" si="149"/>
        <v>0.20476861338797814</v>
      </c>
    </row>
    <row r="3136" spans="1:10" ht="15" customHeight="1">
      <c r="A3136" s="14">
        <v>45870</v>
      </c>
      <c r="B3136" s="11">
        <v>123</v>
      </c>
      <c r="C3136">
        <v>17694</v>
      </c>
      <c r="D3136" s="5">
        <v>2.2599999999999998</v>
      </c>
      <c r="E3136" s="5">
        <v>2888</v>
      </c>
      <c r="F3136" s="39">
        <v>1</v>
      </c>
      <c r="G3136" s="39">
        <v>1</v>
      </c>
      <c r="H3136" s="2">
        <f t="shared" si="150"/>
        <v>6013319</v>
      </c>
      <c r="I3136" s="12">
        <f t="shared" si="148"/>
        <v>7.3724999999999999E-2</v>
      </c>
      <c r="J3136" s="12">
        <f t="shared" si="149"/>
        <v>0.20370321815718156</v>
      </c>
    </row>
    <row r="3137" spans="1:10" ht="15" customHeight="1">
      <c r="A3137" s="14">
        <v>45871</v>
      </c>
      <c r="B3137" s="11">
        <v>124</v>
      </c>
      <c r="C3137">
        <v>57005</v>
      </c>
      <c r="D3137" s="5">
        <v>7.43</v>
      </c>
      <c r="E3137" s="5">
        <v>7699</v>
      </c>
      <c r="F3137" s="39">
        <v>1</v>
      </c>
      <c r="G3137" s="39">
        <v>1</v>
      </c>
      <c r="H3137" s="2">
        <f t="shared" si="150"/>
        <v>6070324</v>
      </c>
      <c r="I3137" s="12">
        <f t="shared" si="148"/>
        <v>0.23752083333333332</v>
      </c>
      <c r="J3137" s="12">
        <f t="shared" si="149"/>
        <v>0.20397594086021506</v>
      </c>
    </row>
    <row r="3138" spans="1:10" ht="15" customHeight="1">
      <c r="A3138" s="14">
        <v>45872</v>
      </c>
      <c r="B3138" s="11">
        <v>125</v>
      </c>
      <c r="C3138">
        <v>57038</v>
      </c>
      <c r="D3138" s="5">
        <v>7.15</v>
      </c>
      <c r="E3138" s="5">
        <v>7777</v>
      </c>
      <c r="F3138" s="39">
        <v>1</v>
      </c>
      <c r="G3138" s="39">
        <v>1</v>
      </c>
      <c r="H3138" s="2">
        <f t="shared" si="150"/>
        <v>6127362</v>
      </c>
      <c r="I3138" s="12">
        <f t="shared" si="148"/>
        <v>0.23765833333333333</v>
      </c>
      <c r="J3138" s="12">
        <f t="shared" si="149"/>
        <v>0.20424539999999999</v>
      </c>
    </row>
    <row r="3139" spans="1:10" ht="15" customHeight="1">
      <c r="A3139" s="14">
        <v>45873</v>
      </c>
      <c r="B3139" s="11">
        <v>126</v>
      </c>
      <c r="C3139">
        <v>49597</v>
      </c>
      <c r="D3139" s="5">
        <v>6.2</v>
      </c>
      <c r="E3139" s="5">
        <v>7650</v>
      </c>
      <c r="F3139" s="39">
        <v>1</v>
      </c>
      <c r="G3139" s="39">
        <v>1</v>
      </c>
      <c r="H3139" s="2">
        <f t="shared" si="150"/>
        <v>6176959</v>
      </c>
      <c r="I3139" s="12">
        <f t="shared" ref="I3139:I3202" si="151">C3139/(10*24*1000)</f>
        <v>0.20665416666666667</v>
      </c>
      <c r="J3139" s="12">
        <f t="shared" si="149"/>
        <v>0.20426451719576719</v>
      </c>
    </row>
    <row r="3140" spans="1:10" ht="15" customHeight="1">
      <c r="A3140" s="14">
        <v>45874</v>
      </c>
      <c r="B3140" s="11">
        <v>127</v>
      </c>
      <c r="C3140">
        <v>52674</v>
      </c>
      <c r="D3140" s="5">
        <v>6.7</v>
      </c>
      <c r="E3140" s="5">
        <v>8957</v>
      </c>
      <c r="F3140" s="39">
        <v>1</v>
      </c>
      <c r="G3140" s="39">
        <v>1</v>
      </c>
      <c r="H3140" s="2">
        <f t="shared" si="150"/>
        <v>6229633</v>
      </c>
      <c r="I3140" s="12">
        <f t="shared" si="151"/>
        <v>0.219475</v>
      </c>
      <c r="J3140" s="12">
        <f t="shared" si="149"/>
        <v>0.20438428477690287</v>
      </c>
    </row>
    <row r="3141" spans="1:10" ht="15" customHeight="1">
      <c r="A3141" s="14">
        <v>45875</v>
      </c>
      <c r="B3141" s="11">
        <v>128</v>
      </c>
      <c r="C3141">
        <v>45679</v>
      </c>
      <c r="D3141" s="5">
        <v>5.87</v>
      </c>
      <c r="E3141" s="5">
        <v>9630</v>
      </c>
      <c r="F3141" s="39">
        <v>1</v>
      </c>
      <c r="G3141" s="39">
        <v>1</v>
      </c>
      <c r="H3141" s="2">
        <f t="shared" si="150"/>
        <v>6275312</v>
      </c>
      <c r="I3141" s="12">
        <f t="shared" si="151"/>
        <v>0.19032916666666666</v>
      </c>
      <c r="J3141" s="12">
        <f t="shared" si="149"/>
        <v>0.20427447916666666</v>
      </c>
    </row>
    <row r="3142" spans="1:10" ht="15" customHeight="1">
      <c r="A3142" s="14">
        <v>45876</v>
      </c>
      <c r="B3142" s="11">
        <v>129</v>
      </c>
      <c r="C3142">
        <v>56476</v>
      </c>
      <c r="D3142" s="5">
        <v>7.3</v>
      </c>
      <c r="E3142" s="5">
        <v>7892</v>
      </c>
      <c r="F3142" s="39">
        <v>1</v>
      </c>
      <c r="G3142" s="39">
        <v>1</v>
      </c>
      <c r="H3142" s="2">
        <f t="shared" si="150"/>
        <v>6331788</v>
      </c>
      <c r="I3142" s="12">
        <f t="shared" si="151"/>
        <v>0.23531666666666667</v>
      </c>
      <c r="J3142" s="12">
        <f t="shared" si="149"/>
        <v>0.20451511627906976</v>
      </c>
    </row>
    <row r="3143" spans="1:10" ht="15" customHeight="1">
      <c r="A3143" s="14">
        <v>45877</v>
      </c>
      <c r="B3143" s="11">
        <v>130</v>
      </c>
      <c r="C3143">
        <v>56245</v>
      </c>
      <c r="D3143" s="5">
        <v>7.31</v>
      </c>
      <c r="E3143" s="5">
        <v>8015</v>
      </c>
      <c r="F3143" s="39">
        <v>1</v>
      </c>
      <c r="G3143" s="39">
        <v>1</v>
      </c>
      <c r="H3143" s="2">
        <f t="shared" si="150"/>
        <v>6388033</v>
      </c>
      <c r="I3143" s="12">
        <f t="shared" si="151"/>
        <v>0.23435416666666667</v>
      </c>
      <c r="J3143" s="12">
        <f t="shared" ref="J3143:J3206" si="152">H3143/(24*B3143*10*1000)</f>
        <v>0.20474464743589743</v>
      </c>
    </row>
    <row r="3144" spans="1:10" ht="15" customHeight="1">
      <c r="A3144" s="14">
        <v>45878</v>
      </c>
      <c r="B3144" s="11">
        <v>131</v>
      </c>
      <c r="C3144">
        <v>52252</v>
      </c>
      <c r="D3144" s="5">
        <v>6.84</v>
      </c>
      <c r="E3144" s="5">
        <v>8125</v>
      </c>
      <c r="F3144" s="39">
        <v>1</v>
      </c>
      <c r="G3144" s="39">
        <v>1</v>
      </c>
      <c r="H3144" s="2">
        <f t="shared" ref="H3144:H3207" si="153">H3143+C3144</f>
        <v>6440285</v>
      </c>
      <c r="I3144" s="12">
        <f t="shared" si="151"/>
        <v>0.21771666666666667</v>
      </c>
      <c r="J3144" s="12">
        <f t="shared" si="152"/>
        <v>0.20484367048346055</v>
      </c>
    </row>
    <row r="3145" spans="1:10" ht="15" customHeight="1">
      <c r="A3145" s="14">
        <v>45879</v>
      </c>
      <c r="B3145" s="11">
        <v>132</v>
      </c>
      <c r="C3145">
        <v>55762</v>
      </c>
      <c r="D3145" s="5">
        <v>7.24</v>
      </c>
      <c r="E3145" s="5">
        <v>7574</v>
      </c>
      <c r="F3145" s="39">
        <v>1</v>
      </c>
      <c r="G3145" s="39">
        <v>1</v>
      </c>
      <c r="H3145" s="2">
        <f t="shared" si="153"/>
        <v>6496047</v>
      </c>
      <c r="I3145" s="12">
        <f t="shared" si="151"/>
        <v>0.23234166666666667</v>
      </c>
      <c r="J3145" s="12">
        <f t="shared" si="152"/>
        <v>0.20505198863636365</v>
      </c>
    </row>
    <row r="3146" spans="1:10" ht="15" customHeight="1">
      <c r="A3146" s="14">
        <v>45880</v>
      </c>
      <c r="B3146" s="11">
        <v>133</v>
      </c>
      <c r="C3146">
        <v>55187</v>
      </c>
      <c r="D3146" s="5">
        <v>7.13</v>
      </c>
      <c r="E3146" s="5">
        <v>7777</v>
      </c>
      <c r="F3146" s="39">
        <v>1</v>
      </c>
      <c r="G3146" s="39">
        <v>1</v>
      </c>
      <c r="H3146" s="2">
        <f t="shared" si="153"/>
        <v>6551234</v>
      </c>
      <c r="I3146" s="12">
        <f t="shared" si="151"/>
        <v>0.22994583333333332</v>
      </c>
      <c r="J3146" s="12">
        <f t="shared" si="152"/>
        <v>0.20523916040100251</v>
      </c>
    </row>
    <row r="3147" spans="1:10" ht="15" customHeight="1">
      <c r="A3147" s="14">
        <v>45881</v>
      </c>
      <c r="B3147" s="11">
        <v>134</v>
      </c>
      <c r="C3147">
        <v>46552</v>
      </c>
      <c r="D3147" s="5">
        <v>6</v>
      </c>
      <c r="E3147" s="5">
        <v>7968</v>
      </c>
      <c r="F3147" s="39">
        <v>1</v>
      </c>
      <c r="G3147" s="39">
        <v>1</v>
      </c>
      <c r="H3147" s="2">
        <f t="shared" si="153"/>
        <v>6597786</v>
      </c>
      <c r="I3147" s="12">
        <f t="shared" si="151"/>
        <v>0.19396666666666668</v>
      </c>
      <c r="J3147" s="12">
        <f t="shared" si="152"/>
        <v>0.20515503731343285</v>
      </c>
    </row>
    <row r="3148" spans="1:10" ht="15" customHeight="1">
      <c r="A3148" s="14">
        <v>45882</v>
      </c>
      <c r="B3148" s="11">
        <v>135</v>
      </c>
      <c r="C3148">
        <v>40509</v>
      </c>
      <c r="D3148" s="5">
        <v>5.49</v>
      </c>
      <c r="E3148" s="5">
        <v>8596</v>
      </c>
      <c r="F3148" s="39">
        <v>1</v>
      </c>
      <c r="G3148" s="39">
        <v>1</v>
      </c>
      <c r="H3148" s="2">
        <f t="shared" si="153"/>
        <v>6638295</v>
      </c>
      <c r="I3148" s="12">
        <f t="shared" si="151"/>
        <v>0.16878750000000001</v>
      </c>
      <c r="J3148" s="12">
        <f t="shared" si="152"/>
        <v>0.20488564814814814</v>
      </c>
    </row>
    <row r="3149" spans="1:10" ht="15" customHeight="1">
      <c r="A3149" s="14">
        <v>45883</v>
      </c>
      <c r="B3149" s="11">
        <v>136</v>
      </c>
      <c r="C3149">
        <v>41462</v>
      </c>
      <c r="D3149" s="5">
        <v>5.27</v>
      </c>
      <c r="E3149" s="5">
        <v>8013</v>
      </c>
      <c r="F3149" s="39">
        <v>1</v>
      </c>
      <c r="G3149" s="39">
        <v>1</v>
      </c>
      <c r="H3149" s="2">
        <f t="shared" si="153"/>
        <v>6679757</v>
      </c>
      <c r="I3149" s="12">
        <f t="shared" si="151"/>
        <v>0.17275833333333335</v>
      </c>
      <c r="J3149" s="12">
        <f t="shared" si="152"/>
        <v>0.20464941789215688</v>
      </c>
    </row>
    <row r="3150" spans="1:10" ht="15" customHeight="1">
      <c r="A3150" s="14">
        <v>45884</v>
      </c>
      <c r="B3150" s="11">
        <v>137</v>
      </c>
      <c r="C3150">
        <v>41644</v>
      </c>
      <c r="D3150" s="5">
        <v>5.58</v>
      </c>
      <c r="E3150" s="5">
        <v>8451</v>
      </c>
      <c r="F3150" s="39">
        <v>1</v>
      </c>
      <c r="G3150" s="39">
        <v>1</v>
      </c>
      <c r="H3150" s="2">
        <f t="shared" si="153"/>
        <v>6721401</v>
      </c>
      <c r="I3150" s="12">
        <f t="shared" si="151"/>
        <v>0.17351666666666668</v>
      </c>
      <c r="J3150" s="12">
        <f t="shared" si="152"/>
        <v>0.20442217153284672</v>
      </c>
    </row>
    <row r="3151" spans="1:10" ht="15" customHeight="1">
      <c r="A3151" s="14">
        <v>45885</v>
      </c>
      <c r="B3151" s="11">
        <v>138</v>
      </c>
      <c r="C3151">
        <v>37171</v>
      </c>
      <c r="D3151" s="5">
        <v>5.12</v>
      </c>
      <c r="E3151" s="5">
        <v>9105</v>
      </c>
      <c r="F3151" s="39">
        <v>1</v>
      </c>
      <c r="G3151" s="39">
        <v>1</v>
      </c>
      <c r="H3151" s="2">
        <f t="shared" si="153"/>
        <v>6758572</v>
      </c>
      <c r="I3151" s="12">
        <f t="shared" si="151"/>
        <v>0.15487916666666668</v>
      </c>
      <c r="J3151" s="12">
        <f t="shared" si="152"/>
        <v>0.20406316425120774</v>
      </c>
    </row>
    <row r="3152" spans="1:10" ht="15" customHeight="1">
      <c r="A3152" s="14">
        <v>45886</v>
      </c>
      <c r="B3152" s="11">
        <v>139</v>
      </c>
      <c r="C3152">
        <v>46216</v>
      </c>
      <c r="D3152" s="5">
        <v>6.26</v>
      </c>
      <c r="E3152" s="5">
        <v>8669</v>
      </c>
      <c r="F3152" s="39">
        <v>1</v>
      </c>
      <c r="G3152" s="39">
        <v>1</v>
      </c>
      <c r="H3152" s="2">
        <f t="shared" si="153"/>
        <v>6804788</v>
      </c>
      <c r="I3152" s="12">
        <f t="shared" si="151"/>
        <v>0.19256666666666666</v>
      </c>
      <c r="J3152" s="12">
        <f t="shared" si="152"/>
        <v>0.20398045563549161</v>
      </c>
    </row>
    <row r="3153" spans="1:10" ht="15" customHeight="1">
      <c r="A3153" s="14">
        <v>45887</v>
      </c>
      <c r="B3153" s="11">
        <v>140</v>
      </c>
      <c r="C3153">
        <v>45700</v>
      </c>
      <c r="D3153" s="5">
        <v>6.12</v>
      </c>
      <c r="E3153" s="5">
        <v>8589</v>
      </c>
      <c r="F3153" s="39">
        <v>1</v>
      </c>
      <c r="G3153" s="39">
        <v>1</v>
      </c>
      <c r="H3153" s="2">
        <f t="shared" si="153"/>
        <v>6850488</v>
      </c>
      <c r="I3153" s="12">
        <f t="shared" si="151"/>
        <v>0.19041666666666668</v>
      </c>
      <c r="J3153" s="12">
        <f t="shared" si="152"/>
        <v>0.20388357142857144</v>
      </c>
    </row>
    <row r="3154" spans="1:10" ht="15" customHeight="1">
      <c r="A3154" s="14">
        <v>45888</v>
      </c>
      <c r="B3154" s="11">
        <v>141</v>
      </c>
      <c r="C3154">
        <v>27106</v>
      </c>
      <c r="D3154" s="5">
        <v>4.0599999999999996</v>
      </c>
      <c r="E3154" s="5">
        <v>9077</v>
      </c>
      <c r="F3154" s="39">
        <v>1</v>
      </c>
      <c r="G3154" s="39">
        <v>1</v>
      </c>
      <c r="H3154" s="2">
        <f t="shared" si="153"/>
        <v>6877594</v>
      </c>
      <c r="I3154" s="12">
        <f t="shared" si="151"/>
        <v>0.11294166666666666</v>
      </c>
      <c r="J3154" s="12">
        <f t="shared" si="152"/>
        <v>0.20323859338061465</v>
      </c>
    </row>
    <row r="3155" spans="1:10" ht="15" customHeight="1">
      <c r="A3155" s="14">
        <v>45889</v>
      </c>
      <c r="B3155" s="11">
        <v>142</v>
      </c>
      <c r="C3155">
        <v>54116</v>
      </c>
      <c r="D3155" s="5">
        <v>6.86</v>
      </c>
      <c r="E3155" s="5">
        <v>9136</v>
      </c>
      <c r="F3155" s="39">
        <v>0.99923640441930939</v>
      </c>
      <c r="G3155" s="39">
        <v>1</v>
      </c>
      <c r="H3155" s="2">
        <f t="shared" si="153"/>
        <v>6931710</v>
      </c>
      <c r="I3155" s="12">
        <f t="shared" si="151"/>
        <v>0.22548333333333334</v>
      </c>
      <c r="J3155" s="12">
        <f t="shared" si="152"/>
        <v>0.20339524647887325</v>
      </c>
    </row>
    <row r="3156" spans="1:10" ht="15" customHeight="1">
      <c r="A3156" s="14">
        <v>45890</v>
      </c>
      <c r="B3156" s="11">
        <v>143</v>
      </c>
      <c r="C3156">
        <v>35523</v>
      </c>
      <c r="D3156" s="5">
        <v>4.8600000000000003</v>
      </c>
      <c r="E3156" s="5">
        <v>7814</v>
      </c>
      <c r="F3156" s="39">
        <v>1</v>
      </c>
      <c r="G3156" s="39">
        <v>1</v>
      </c>
      <c r="H3156" s="2">
        <f t="shared" si="153"/>
        <v>6967233</v>
      </c>
      <c r="I3156" s="12">
        <f t="shared" si="151"/>
        <v>0.14801249999999999</v>
      </c>
      <c r="J3156" s="12">
        <f t="shared" si="152"/>
        <v>0.20300795454545453</v>
      </c>
    </row>
    <row r="3157" spans="1:10" ht="15" customHeight="1">
      <c r="A3157" s="14">
        <v>45891</v>
      </c>
      <c r="B3157" s="11">
        <v>144</v>
      </c>
      <c r="C3157">
        <v>48181</v>
      </c>
      <c r="D3157" s="5">
        <v>6.26</v>
      </c>
      <c r="E3157" s="5">
        <v>8669</v>
      </c>
      <c r="F3157" s="39">
        <v>1</v>
      </c>
      <c r="G3157" s="39">
        <v>1</v>
      </c>
      <c r="H3157" s="2">
        <f t="shared" si="153"/>
        <v>7015414</v>
      </c>
      <c r="I3157" s="12">
        <f t="shared" si="151"/>
        <v>0.20075416666666668</v>
      </c>
      <c r="J3157" s="12">
        <f t="shared" si="152"/>
        <v>0.20299230324074075</v>
      </c>
    </row>
    <row r="3158" spans="1:10" ht="15" customHeight="1">
      <c r="A3158" s="14">
        <v>45892</v>
      </c>
      <c r="B3158" s="11">
        <v>145</v>
      </c>
      <c r="C3158">
        <v>28775</v>
      </c>
      <c r="D3158" s="5">
        <v>4.0599999999999996</v>
      </c>
      <c r="E3158" s="5">
        <v>9077</v>
      </c>
      <c r="F3158" s="39">
        <v>1</v>
      </c>
      <c r="G3158" s="39">
        <v>1</v>
      </c>
      <c r="H3158" s="2">
        <f t="shared" si="153"/>
        <v>7044189</v>
      </c>
      <c r="I3158" s="12">
        <f t="shared" si="151"/>
        <v>0.11989583333333333</v>
      </c>
      <c r="J3158" s="12">
        <f t="shared" si="152"/>
        <v>0.20241922413793104</v>
      </c>
    </row>
    <row r="3159" spans="1:10" ht="15" customHeight="1">
      <c r="A3159" s="14">
        <v>45893</v>
      </c>
      <c r="B3159" s="11">
        <v>146</v>
      </c>
      <c r="C3159">
        <v>11691</v>
      </c>
      <c r="D3159" s="5">
        <v>1.45</v>
      </c>
      <c r="E3159" s="5">
        <v>3263</v>
      </c>
      <c r="F3159" s="39">
        <v>1</v>
      </c>
      <c r="G3159" s="39">
        <v>1</v>
      </c>
      <c r="H3159" s="2">
        <f t="shared" si="153"/>
        <v>7055880</v>
      </c>
      <c r="I3159" s="12">
        <f t="shared" si="151"/>
        <v>4.8712499999999999E-2</v>
      </c>
      <c r="J3159" s="12">
        <f t="shared" si="152"/>
        <v>0.20136643835616438</v>
      </c>
    </row>
    <row r="3160" spans="1:10" ht="15" customHeight="1">
      <c r="A3160" s="14">
        <v>45894</v>
      </c>
      <c r="B3160" s="11">
        <v>147</v>
      </c>
      <c r="C3160">
        <v>38141</v>
      </c>
      <c r="D3160" s="5">
        <v>4.5</v>
      </c>
      <c r="E3160" s="5">
        <v>7345</v>
      </c>
      <c r="F3160" s="39">
        <v>1</v>
      </c>
      <c r="G3160" s="39">
        <v>1</v>
      </c>
      <c r="H3160" s="2">
        <f t="shared" si="153"/>
        <v>7094021</v>
      </c>
      <c r="I3160" s="12">
        <f t="shared" si="151"/>
        <v>0.15892083333333334</v>
      </c>
      <c r="J3160" s="12">
        <f t="shared" si="152"/>
        <v>0.20107769274376416</v>
      </c>
    </row>
    <row r="3161" spans="1:10" ht="15" customHeight="1">
      <c r="A3161" s="14">
        <v>45895</v>
      </c>
      <c r="B3161" s="11">
        <v>148</v>
      </c>
      <c r="C3161">
        <v>43449</v>
      </c>
      <c r="D3161" s="5">
        <v>5.59</v>
      </c>
      <c r="E3161" s="5">
        <v>7454</v>
      </c>
      <c r="F3161" s="39">
        <v>1</v>
      </c>
      <c r="G3161" s="39">
        <v>1</v>
      </c>
      <c r="H3161" s="2">
        <f t="shared" si="153"/>
        <v>7137470</v>
      </c>
      <c r="I3161" s="12">
        <f t="shared" si="151"/>
        <v>0.18103749999999999</v>
      </c>
      <c r="J3161" s="12">
        <f t="shared" si="152"/>
        <v>0.20094228603603603</v>
      </c>
    </row>
    <row r="3162" spans="1:10" ht="15" customHeight="1">
      <c r="A3162" s="14">
        <v>45896</v>
      </c>
      <c r="B3162" s="11">
        <v>149</v>
      </c>
      <c r="C3162">
        <v>33819</v>
      </c>
      <c r="D3162" s="5">
        <v>4.45</v>
      </c>
      <c r="E3162" s="5">
        <v>8506</v>
      </c>
      <c r="F3162" s="39">
        <v>1</v>
      </c>
      <c r="G3162" s="39">
        <v>1</v>
      </c>
      <c r="H3162" s="2">
        <f t="shared" si="153"/>
        <v>7171289</v>
      </c>
      <c r="I3162" s="12">
        <f t="shared" si="151"/>
        <v>0.1409125</v>
      </c>
      <c r="J3162" s="12">
        <f t="shared" si="152"/>
        <v>0.20053940156599553</v>
      </c>
    </row>
    <row r="3163" spans="1:10" ht="15" customHeight="1">
      <c r="A3163" s="14">
        <v>45897</v>
      </c>
      <c r="B3163" s="11">
        <v>150</v>
      </c>
      <c r="C3163">
        <v>39016</v>
      </c>
      <c r="D3163" s="5">
        <v>5</v>
      </c>
      <c r="E3163" s="5">
        <v>8214</v>
      </c>
      <c r="F3163" s="39">
        <v>1</v>
      </c>
      <c r="G3163" s="39">
        <v>1</v>
      </c>
      <c r="H3163" s="2">
        <f t="shared" si="153"/>
        <v>7210305</v>
      </c>
      <c r="I3163" s="12">
        <f t="shared" si="151"/>
        <v>0.16256666666666666</v>
      </c>
      <c r="J3163" s="12">
        <f t="shared" si="152"/>
        <v>0.20028625</v>
      </c>
    </row>
    <row r="3164" spans="1:10" ht="15" customHeight="1">
      <c r="A3164" s="14">
        <v>45898</v>
      </c>
      <c r="B3164" s="11">
        <v>151</v>
      </c>
      <c r="C3164">
        <v>31816</v>
      </c>
      <c r="D3164" s="5">
        <v>4.0999999999999996</v>
      </c>
      <c r="E3164" s="5">
        <v>8495</v>
      </c>
      <c r="F3164" s="39">
        <v>1</v>
      </c>
      <c r="G3164" s="39">
        <v>1</v>
      </c>
      <c r="H3164" s="2">
        <f t="shared" si="153"/>
        <v>7242121</v>
      </c>
      <c r="I3164" s="12">
        <f t="shared" si="151"/>
        <v>0.13256666666666667</v>
      </c>
      <c r="J3164" s="12">
        <f t="shared" si="152"/>
        <v>0.19983777593818985</v>
      </c>
    </row>
    <row r="3165" spans="1:10" ht="15" customHeight="1">
      <c r="A3165" s="14">
        <v>45899</v>
      </c>
      <c r="B3165" s="11">
        <v>152</v>
      </c>
      <c r="C3165">
        <v>16243</v>
      </c>
      <c r="D3165" s="5">
        <v>2.17</v>
      </c>
      <c r="E3165" s="5">
        <v>7345</v>
      </c>
      <c r="F3165" s="39">
        <v>1</v>
      </c>
      <c r="G3165" s="39">
        <v>1</v>
      </c>
      <c r="H3165" s="2">
        <f t="shared" si="153"/>
        <v>7258364</v>
      </c>
      <c r="I3165" s="12">
        <f t="shared" si="151"/>
        <v>6.7679166666666665E-2</v>
      </c>
      <c r="J3165" s="12">
        <f t="shared" si="152"/>
        <v>0.19896831140350876</v>
      </c>
    </row>
    <row r="3166" spans="1:10" ht="15" customHeight="1">
      <c r="A3166" s="14">
        <v>45900</v>
      </c>
      <c r="B3166" s="11">
        <v>153</v>
      </c>
      <c r="C3166">
        <v>30134</v>
      </c>
      <c r="D3166" s="5">
        <v>3.91</v>
      </c>
      <c r="E3166" s="5">
        <v>9173</v>
      </c>
      <c r="F3166" s="39">
        <v>1</v>
      </c>
      <c r="G3166" s="39">
        <v>1</v>
      </c>
      <c r="H3166" s="2">
        <f t="shared" si="153"/>
        <v>7288498</v>
      </c>
      <c r="I3166" s="12">
        <f t="shared" si="151"/>
        <v>0.12555833333333333</v>
      </c>
      <c r="J3166" s="12">
        <f t="shared" si="152"/>
        <v>0.19848850762527234</v>
      </c>
    </row>
    <row r="3167" spans="1:10" ht="15" customHeight="1">
      <c r="A3167" s="14">
        <v>45901</v>
      </c>
      <c r="B3167" s="11">
        <v>154</v>
      </c>
      <c r="C3167">
        <v>31791</v>
      </c>
      <c r="D3167" s="5">
        <v>4.04</v>
      </c>
      <c r="E3167" s="5">
        <v>8506</v>
      </c>
      <c r="F3167" s="39">
        <v>1</v>
      </c>
      <c r="G3167" s="39">
        <v>1</v>
      </c>
      <c r="H3167" s="2">
        <f t="shared" si="153"/>
        <v>7320289</v>
      </c>
      <c r="I3167" s="12">
        <f t="shared" si="151"/>
        <v>0.13246250000000001</v>
      </c>
      <c r="J3167" s="12">
        <f t="shared" si="152"/>
        <v>0.19805976731601732</v>
      </c>
    </row>
    <row r="3168" spans="1:10" ht="15" customHeight="1">
      <c r="A3168" s="14">
        <v>45902</v>
      </c>
      <c r="B3168" s="11">
        <v>155</v>
      </c>
      <c r="C3168">
        <v>33638</v>
      </c>
      <c r="D3168" s="5">
        <v>5.04</v>
      </c>
      <c r="E3168" s="5">
        <v>6969</v>
      </c>
      <c r="F3168" s="39">
        <v>1</v>
      </c>
      <c r="G3168" s="39">
        <v>1</v>
      </c>
      <c r="H3168" s="2">
        <f t="shared" si="153"/>
        <v>7353927</v>
      </c>
      <c r="I3168" s="12">
        <f t="shared" si="151"/>
        <v>0.14015833333333333</v>
      </c>
      <c r="J3168" s="12">
        <f t="shared" si="152"/>
        <v>0.19768620967741934</v>
      </c>
    </row>
    <row r="3169" spans="1:10" ht="15" customHeight="1">
      <c r="A3169" s="14">
        <v>45903</v>
      </c>
      <c r="B3169" s="11">
        <v>156</v>
      </c>
      <c r="C3169">
        <v>47254</v>
      </c>
      <c r="D3169" s="5">
        <v>5.9</v>
      </c>
      <c r="E3169" s="5">
        <v>7596</v>
      </c>
      <c r="F3169" s="39">
        <v>1</v>
      </c>
      <c r="G3169" s="39">
        <v>1</v>
      </c>
      <c r="H3169" s="2">
        <f t="shared" si="153"/>
        <v>7401181</v>
      </c>
      <c r="I3169" s="12">
        <f t="shared" si="151"/>
        <v>0.19689166666666666</v>
      </c>
      <c r="J3169" s="12">
        <f t="shared" si="152"/>
        <v>0.19768111645299144</v>
      </c>
    </row>
    <row r="3170" spans="1:10" ht="15" customHeight="1">
      <c r="A3170" s="14">
        <v>45904</v>
      </c>
      <c r="B3170" s="11">
        <v>157</v>
      </c>
      <c r="C3170">
        <v>41594</v>
      </c>
      <c r="D3170" s="5">
        <v>5.13</v>
      </c>
      <c r="E3170" s="5">
        <v>8606</v>
      </c>
      <c r="F3170" s="39">
        <v>1</v>
      </c>
      <c r="G3170" s="39">
        <v>1</v>
      </c>
      <c r="H3170" s="2">
        <f t="shared" si="153"/>
        <v>7442775</v>
      </c>
      <c r="I3170" s="12">
        <f t="shared" si="151"/>
        <v>0.17330833333333334</v>
      </c>
      <c r="J3170" s="12">
        <f t="shared" si="152"/>
        <v>0.19752587579617834</v>
      </c>
    </row>
    <row r="3171" spans="1:10" ht="15" customHeight="1">
      <c r="A3171" s="14">
        <v>45905</v>
      </c>
      <c r="B3171" s="11">
        <v>158</v>
      </c>
      <c r="C3171">
        <v>44383</v>
      </c>
      <c r="D3171" s="5">
        <v>5.42</v>
      </c>
      <c r="E3171" s="5">
        <v>9300</v>
      </c>
      <c r="F3171" s="39">
        <v>1</v>
      </c>
      <c r="G3171" s="39">
        <v>1</v>
      </c>
      <c r="H3171" s="2">
        <f t="shared" si="153"/>
        <v>7487158</v>
      </c>
      <c r="I3171" s="12">
        <f t="shared" si="151"/>
        <v>0.18492916666666667</v>
      </c>
      <c r="J3171" s="12">
        <f t="shared" si="152"/>
        <v>0.19744614978902952</v>
      </c>
    </row>
    <row r="3172" spans="1:10" ht="15" customHeight="1">
      <c r="A3172" s="14">
        <v>45906</v>
      </c>
      <c r="B3172" s="11">
        <v>159</v>
      </c>
      <c r="C3172">
        <v>31887</v>
      </c>
      <c r="D3172" s="5">
        <v>3.86</v>
      </c>
      <c r="E3172" s="5">
        <v>8364</v>
      </c>
      <c r="F3172" s="39">
        <v>1</v>
      </c>
      <c r="G3172" s="39">
        <v>1</v>
      </c>
      <c r="H3172" s="2">
        <f t="shared" si="153"/>
        <v>7519045</v>
      </c>
      <c r="I3172" s="12">
        <f t="shared" si="151"/>
        <v>0.13286249999999999</v>
      </c>
      <c r="J3172" s="12">
        <f t="shared" si="152"/>
        <v>0.19703996331236898</v>
      </c>
    </row>
    <row r="3173" spans="1:10" ht="15" customHeight="1">
      <c r="A3173" s="14">
        <v>45907</v>
      </c>
      <c r="B3173" s="11">
        <v>160</v>
      </c>
      <c r="C3173">
        <v>49934</v>
      </c>
      <c r="D3173" s="5">
        <v>6.3</v>
      </c>
      <c r="E3173" s="5">
        <v>9930</v>
      </c>
      <c r="F3173" s="39">
        <v>1</v>
      </c>
      <c r="G3173" s="39">
        <v>1</v>
      </c>
      <c r="H3173" s="2">
        <f t="shared" si="153"/>
        <v>7568979</v>
      </c>
      <c r="I3173" s="12">
        <f t="shared" si="151"/>
        <v>0.20805833333333335</v>
      </c>
      <c r="J3173" s="12">
        <f t="shared" si="152"/>
        <v>0.197108828125</v>
      </c>
    </row>
    <row r="3174" spans="1:10" ht="15" customHeight="1">
      <c r="A3174" s="14">
        <v>45908</v>
      </c>
      <c r="B3174" s="11">
        <v>161</v>
      </c>
      <c r="C3174">
        <v>51722</v>
      </c>
      <c r="D3174" s="5">
        <v>6.49</v>
      </c>
      <c r="E3174" s="5">
        <v>10487</v>
      </c>
      <c r="F3174" s="39">
        <v>1</v>
      </c>
      <c r="G3174" s="39">
        <v>1</v>
      </c>
      <c r="H3174" s="2">
        <f t="shared" si="153"/>
        <v>7620701</v>
      </c>
      <c r="I3174" s="12">
        <f t="shared" si="151"/>
        <v>0.21550833333333333</v>
      </c>
      <c r="J3174" s="12">
        <f t="shared" si="152"/>
        <v>0.19722311076604554</v>
      </c>
    </row>
    <row r="3175" spans="1:10" ht="15" customHeight="1">
      <c r="A3175" s="14">
        <v>45909</v>
      </c>
      <c r="B3175" s="11">
        <v>162</v>
      </c>
      <c r="C3175">
        <v>52482</v>
      </c>
      <c r="D3175" s="5">
        <v>6.42</v>
      </c>
      <c r="E3175" s="5">
        <v>9865</v>
      </c>
      <c r="F3175" s="39">
        <v>1</v>
      </c>
      <c r="G3175" s="39">
        <v>1</v>
      </c>
      <c r="H3175" s="2">
        <f t="shared" si="153"/>
        <v>7673183</v>
      </c>
      <c r="I3175" s="12">
        <f t="shared" si="151"/>
        <v>0.21867500000000001</v>
      </c>
      <c r="J3175" s="12">
        <f t="shared" si="152"/>
        <v>0.19735552983539095</v>
      </c>
    </row>
    <row r="3176" spans="1:10" ht="15" customHeight="1">
      <c r="A3176" s="14">
        <v>45910</v>
      </c>
      <c r="B3176" s="11">
        <v>163</v>
      </c>
      <c r="C3176">
        <v>43760</v>
      </c>
      <c r="D3176" s="5">
        <v>5.49</v>
      </c>
      <c r="E3176" s="5">
        <v>9470</v>
      </c>
      <c r="F3176" s="39">
        <v>1</v>
      </c>
      <c r="G3176" s="39">
        <v>1</v>
      </c>
      <c r="H3176" s="2">
        <f t="shared" si="153"/>
        <v>7716943</v>
      </c>
      <c r="I3176" s="12">
        <f t="shared" si="151"/>
        <v>0.18233333333333332</v>
      </c>
      <c r="J3176" s="12">
        <f t="shared" si="152"/>
        <v>0.1972633691206544</v>
      </c>
    </row>
    <row r="3177" spans="1:10" ht="15" customHeight="1">
      <c r="A3177" s="14">
        <v>45911</v>
      </c>
      <c r="B3177" s="11">
        <v>164</v>
      </c>
      <c r="C3177">
        <v>48212</v>
      </c>
      <c r="D3177" s="5">
        <v>6.62</v>
      </c>
      <c r="E3177" s="5">
        <v>8469</v>
      </c>
      <c r="F3177" s="39">
        <v>1</v>
      </c>
      <c r="G3177" s="39">
        <v>1</v>
      </c>
      <c r="H3177" s="2">
        <f t="shared" si="153"/>
        <v>7765155</v>
      </c>
      <c r="I3177" s="12">
        <f t="shared" si="151"/>
        <v>0.20088333333333333</v>
      </c>
      <c r="J3177" s="12">
        <f t="shared" si="152"/>
        <v>0.19728544207317072</v>
      </c>
    </row>
    <row r="3178" spans="1:10" ht="15" customHeight="1">
      <c r="A3178" s="14">
        <v>45912</v>
      </c>
      <c r="B3178" s="11">
        <v>165</v>
      </c>
      <c r="C3178">
        <v>53572</v>
      </c>
      <c r="D3178" s="5">
        <v>6.46</v>
      </c>
      <c r="E3178" s="5">
        <v>8850</v>
      </c>
      <c r="F3178" s="39">
        <v>1</v>
      </c>
      <c r="G3178" s="39">
        <v>1</v>
      </c>
      <c r="H3178" s="2">
        <f t="shared" si="153"/>
        <v>7818727</v>
      </c>
      <c r="I3178" s="12">
        <f t="shared" si="151"/>
        <v>0.22321666666666667</v>
      </c>
      <c r="J3178" s="12">
        <f t="shared" si="152"/>
        <v>0.197442601010101</v>
      </c>
    </row>
    <row r="3179" spans="1:10" ht="15" customHeight="1">
      <c r="A3179" s="14">
        <v>45913</v>
      </c>
      <c r="B3179" s="11">
        <v>166</v>
      </c>
      <c r="C3179">
        <v>57703</v>
      </c>
      <c r="D3179" s="5">
        <v>6.79</v>
      </c>
      <c r="E3179" s="5">
        <v>8469</v>
      </c>
      <c r="F3179" s="39">
        <v>1</v>
      </c>
      <c r="G3179" s="39">
        <v>1</v>
      </c>
      <c r="H3179" s="2">
        <f t="shared" si="153"/>
        <v>7876430</v>
      </c>
      <c r="I3179" s="12">
        <f t="shared" si="151"/>
        <v>0.24042916666666667</v>
      </c>
      <c r="J3179" s="12">
        <f t="shared" si="152"/>
        <v>0.1977015562248996</v>
      </c>
    </row>
    <row r="3180" spans="1:10" ht="15" customHeight="1">
      <c r="A3180" s="14">
        <v>45914</v>
      </c>
      <c r="B3180" s="11">
        <v>167</v>
      </c>
      <c r="C3180">
        <v>58431</v>
      </c>
      <c r="D3180" s="5">
        <v>6.75</v>
      </c>
      <c r="E3180" s="5">
        <v>8036</v>
      </c>
      <c r="F3180" s="39">
        <v>1</v>
      </c>
      <c r="G3180" s="39">
        <v>1</v>
      </c>
      <c r="H3180" s="2">
        <f t="shared" si="153"/>
        <v>7934861</v>
      </c>
      <c r="I3180" s="12">
        <f t="shared" si="151"/>
        <v>0.2434625</v>
      </c>
      <c r="J3180" s="12">
        <f t="shared" si="152"/>
        <v>0.19797557385229542</v>
      </c>
    </row>
    <row r="3181" spans="1:10" ht="15" customHeight="1">
      <c r="A3181" s="14">
        <v>45915</v>
      </c>
      <c r="B3181" s="11">
        <v>168</v>
      </c>
      <c r="C3181">
        <v>58292</v>
      </c>
      <c r="D3181" s="5">
        <v>6.65</v>
      </c>
      <c r="E3181" s="5">
        <v>8077</v>
      </c>
      <c r="F3181" s="39">
        <v>1</v>
      </c>
      <c r="G3181" s="39">
        <v>1</v>
      </c>
      <c r="H3181" s="2">
        <f t="shared" si="153"/>
        <v>7993153</v>
      </c>
      <c r="I3181" s="12">
        <f t="shared" si="151"/>
        <v>0.24288333333333334</v>
      </c>
      <c r="J3181" s="12">
        <f t="shared" si="152"/>
        <v>0.19824288194444445</v>
      </c>
    </row>
    <row r="3182" spans="1:10" ht="15" customHeight="1">
      <c r="A3182" s="14">
        <v>45916</v>
      </c>
      <c r="B3182" s="11">
        <v>169</v>
      </c>
      <c r="C3182">
        <v>51815</v>
      </c>
      <c r="D3182" s="5">
        <v>6.52</v>
      </c>
      <c r="E3182" s="5">
        <v>8287</v>
      </c>
      <c r="F3182" s="39">
        <v>1</v>
      </c>
      <c r="G3182" s="39">
        <v>1</v>
      </c>
      <c r="H3182" s="2">
        <f t="shared" si="153"/>
        <v>8044968</v>
      </c>
      <c r="I3182" s="12">
        <f t="shared" si="151"/>
        <v>0.21589583333333334</v>
      </c>
      <c r="J3182" s="12">
        <f t="shared" si="152"/>
        <v>0.19834733727810652</v>
      </c>
    </row>
    <row r="3183" spans="1:10" ht="15" customHeight="1">
      <c r="A3183" s="14">
        <v>45917</v>
      </c>
      <c r="B3183" s="11">
        <v>170</v>
      </c>
      <c r="C3183">
        <v>49637</v>
      </c>
      <c r="D3183" s="5">
        <v>6.44</v>
      </c>
      <c r="E3183" s="5">
        <v>7328</v>
      </c>
      <c r="F3183" s="39">
        <v>1</v>
      </c>
      <c r="G3183" s="39">
        <v>1</v>
      </c>
      <c r="H3183" s="2">
        <f t="shared" si="153"/>
        <v>8094605</v>
      </c>
      <c r="I3183" s="12">
        <f t="shared" si="151"/>
        <v>0.20682083333333334</v>
      </c>
      <c r="J3183" s="12">
        <f t="shared" si="152"/>
        <v>0.19839718137254903</v>
      </c>
    </row>
    <row r="3184" spans="1:10" ht="15" customHeight="1">
      <c r="A3184" s="14">
        <v>45918</v>
      </c>
      <c r="B3184" s="11">
        <v>171</v>
      </c>
      <c r="C3184">
        <v>49181</v>
      </c>
      <c r="D3184" s="5">
        <v>6.26</v>
      </c>
      <c r="E3184" s="5">
        <v>8235</v>
      </c>
      <c r="F3184" s="39">
        <v>0.99422904612207086</v>
      </c>
      <c r="G3184" s="39">
        <v>1</v>
      </c>
      <c r="H3184" s="2">
        <f t="shared" si="153"/>
        <v>8143786</v>
      </c>
      <c r="I3184" s="12">
        <f t="shared" si="151"/>
        <v>0.20492083333333333</v>
      </c>
      <c r="J3184" s="12">
        <f t="shared" si="152"/>
        <v>0.19843533138401559</v>
      </c>
    </row>
    <row r="3185" spans="1:10" ht="15" customHeight="1">
      <c r="A3185" s="14">
        <v>45919</v>
      </c>
      <c r="B3185" s="11">
        <v>172</v>
      </c>
      <c r="C3185">
        <v>53608</v>
      </c>
      <c r="D3185" s="5">
        <v>6.41</v>
      </c>
      <c r="E3185" s="5">
        <v>7873</v>
      </c>
      <c r="F3185" s="39">
        <v>0.99691550681070717</v>
      </c>
      <c r="G3185" s="39">
        <v>1</v>
      </c>
      <c r="H3185" s="2">
        <f t="shared" si="153"/>
        <v>8197394</v>
      </c>
      <c r="I3185" s="12">
        <f t="shared" si="151"/>
        <v>0.22336666666666666</v>
      </c>
      <c r="J3185" s="12">
        <f t="shared" si="152"/>
        <v>0.19858028100775194</v>
      </c>
    </row>
    <row r="3186" spans="1:10" ht="15" customHeight="1">
      <c r="A3186" s="14">
        <v>45920</v>
      </c>
      <c r="B3186" s="11">
        <v>173</v>
      </c>
      <c r="C3186">
        <v>54883</v>
      </c>
      <c r="D3186" s="5">
        <v>6.33</v>
      </c>
      <c r="E3186" s="5">
        <v>7918</v>
      </c>
      <c r="F3186" s="39">
        <v>0.99925909461361784</v>
      </c>
      <c r="G3186" s="39">
        <v>1</v>
      </c>
      <c r="H3186" s="2">
        <f t="shared" si="153"/>
        <v>8252277</v>
      </c>
      <c r="I3186" s="12">
        <f t="shared" si="151"/>
        <v>0.22867916666666666</v>
      </c>
      <c r="J3186" s="12">
        <f t="shared" si="152"/>
        <v>0.19875426300578034</v>
      </c>
    </row>
    <row r="3187" spans="1:10" ht="15" customHeight="1">
      <c r="A3187" s="14">
        <v>45921</v>
      </c>
      <c r="B3187" s="11">
        <v>174</v>
      </c>
      <c r="C3187">
        <v>54482</v>
      </c>
      <c r="D3187" s="5">
        <v>6.47</v>
      </c>
      <c r="E3187" s="5">
        <v>7944</v>
      </c>
      <c r="F3187" s="39">
        <v>1</v>
      </c>
      <c r="G3187" s="39">
        <v>1</v>
      </c>
      <c r="H3187" s="2">
        <f t="shared" si="153"/>
        <v>8306759</v>
      </c>
      <c r="I3187" s="12">
        <f t="shared" si="151"/>
        <v>0.22700833333333334</v>
      </c>
      <c r="J3187" s="12">
        <f t="shared" si="152"/>
        <v>0.19891664272030651</v>
      </c>
    </row>
    <row r="3188" spans="1:10" ht="15" customHeight="1">
      <c r="A3188" s="14">
        <v>45922</v>
      </c>
      <c r="B3188" s="11">
        <v>175</v>
      </c>
      <c r="C3188">
        <v>56325</v>
      </c>
      <c r="D3188" s="5">
        <v>6.47</v>
      </c>
      <c r="E3188" s="5">
        <v>7968</v>
      </c>
      <c r="F3188" s="39">
        <v>1</v>
      </c>
      <c r="G3188" s="39">
        <v>1</v>
      </c>
      <c r="H3188" s="2">
        <f t="shared" si="153"/>
        <v>8363084</v>
      </c>
      <c r="I3188" s="12">
        <f t="shared" si="151"/>
        <v>0.23468749999999999</v>
      </c>
      <c r="J3188" s="12">
        <f t="shared" si="152"/>
        <v>0.19912104761904761</v>
      </c>
    </row>
    <row r="3189" spans="1:10" ht="15" customHeight="1">
      <c r="A3189" s="14">
        <v>45923</v>
      </c>
      <c r="B3189" s="11">
        <v>176</v>
      </c>
      <c r="C3189">
        <v>57992</v>
      </c>
      <c r="D3189" s="5">
        <v>6.56</v>
      </c>
      <c r="E3189" s="5">
        <v>7947</v>
      </c>
      <c r="F3189" s="39">
        <v>1</v>
      </c>
      <c r="G3189" s="39">
        <v>1</v>
      </c>
      <c r="H3189" s="2">
        <f t="shared" si="153"/>
        <v>8421076</v>
      </c>
      <c r="I3189" s="12">
        <f t="shared" si="151"/>
        <v>0.24163333333333334</v>
      </c>
      <c r="J3189" s="12">
        <f t="shared" si="152"/>
        <v>0.19936259469696971</v>
      </c>
    </row>
    <row r="3190" spans="1:10" ht="15" customHeight="1">
      <c r="A3190" s="14">
        <v>45924</v>
      </c>
      <c r="B3190" s="11">
        <v>177</v>
      </c>
      <c r="C3190">
        <v>56945</v>
      </c>
      <c r="D3190" s="5">
        <v>6.52</v>
      </c>
      <c r="E3190" s="5">
        <v>7867</v>
      </c>
      <c r="F3190" s="39">
        <v>1</v>
      </c>
      <c r="G3190" s="39">
        <v>1</v>
      </c>
      <c r="H3190" s="2">
        <f t="shared" si="153"/>
        <v>8478021</v>
      </c>
      <c r="I3190" s="12">
        <f t="shared" si="151"/>
        <v>0.23727083333333332</v>
      </c>
      <c r="J3190" s="12">
        <f t="shared" si="152"/>
        <v>0.19957676553672316</v>
      </c>
    </row>
    <row r="3191" spans="1:10" ht="15" customHeight="1">
      <c r="A3191" s="14">
        <v>45925</v>
      </c>
      <c r="B3191" s="11">
        <v>178</v>
      </c>
      <c r="C3191">
        <v>56031</v>
      </c>
      <c r="D3191" s="5">
        <v>6.39</v>
      </c>
      <c r="E3191" s="5">
        <v>7776</v>
      </c>
      <c r="F3191" s="39">
        <v>1</v>
      </c>
      <c r="G3191" s="39">
        <v>1</v>
      </c>
      <c r="H3191" s="2">
        <f t="shared" si="153"/>
        <v>8534052</v>
      </c>
      <c r="I3191" s="12">
        <f t="shared" si="151"/>
        <v>0.23346249999999999</v>
      </c>
      <c r="J3191" s="12">
        <f t="shared" si="152"/>
        <v>0.19976713483146066</v>
      </c>
    </row>
    <row r="3192" spans="1:10" ht="15" customHeight="1">
      <c r="A3192" s="14">
        <v>45926</v>
      </c>
      <c r="B3192" s="11">
        <v>179</v>
      </c>
      <c r="C3192">
        <v>54676</v>
      </c>
      <c r="D3192" s="5">
        <v>6.16</v>
      </c>
      <c r="E3192" s="5">
        <v>7705</v>
      </c>
      <c r="F3192" s="39">
        <v>1</v>
      </c>
      <c r="G3192" s="39">
        <v>1</v>
      </c>
      <c r="H3192" s="2">
        <f t="shared" si="153"/>
        <v>8588728</v>
      </c>
      <c r="I3192" s="12">
        <f t="shared" si="151"/>
        <v>0.22781666666666667</v>
      </c>
      <c r="J3192" s="12">
        <f t="shared" si="152"/>
        <v>0.19992383612662942</v>
      </c>
    </row>
    <row r="3193" spans="1:10" ht="15" customHeight="1">
      <c r="A3193" s="14">
        <v>45927</v>
      </c>
      <c r="B3193" s="11">
        <v>180</v>
      </c>
      <c r="C3193">
        <v>55405</v>
      </c>
      <c r="D3193" s="5">
        <v>6.17</v>
      </c>
      <c r="E3193" s="5">
        <v>7786</v>
      </c>
      <c r="F3193" s="39">
        <v>1</v>
      </c>
      <c r="G3193" s="39">
        <v>1</v>
      </c>
      <c r="H3193" s="2">
        <f t="shared" si="153"/>
        <v>8644133</v>
      </c>
      <c r="I3193" s="12">
        <f t="shared" si="151"/>
        <v>0.23085416666666667</v>
      </c>
      <c r="J3193" s="12">
        <f t="shared" si="152"/>
        <v>0.2000956712962963</v>
      </c>
    </row>
    <row r="3194" spans="1:10" ht="15" customHeight="1">
      <c r="A3194" s="14">
        <v>45928</v>
      </c>
      <c r="B3194" s="11">
        <v>181</v>
      </c>
      <c r="C3194">
        <v>53582</v>
      </c>
      <c r="D3194" s="5">
        <v>5.88</v>
      </c>
      <c r="E3194" s="5">
        <v>7768</v>
      </c>
      <c r="F3194" s="39">
        <v>1</v>
      </c>
      <c r="G3194" s="39">
        <v>1</v>
      </c>
      <c r="H3194" s="2">
        <f t="shared" si="153"/>
        <v>8697715</v>
      </c>
      <c r="I3194" s="12">
        <f t="shared" si="151"/>
        <v>0.22325833333333334</v>
      </c>
      <c r="J3194" s="12">
        <f t="shared" si="152"/>
        <v>0.20022364180478822</v>
      </c>
    </row>
    <row r="3195" spans="1:10" ht="15" customHeight="1">
      <c r="A3195" s="14">
        <v>45929</v>
      </c>
      <c r="B3195" s="11">
        <v>182</v>
      </c>
      <c r="C3195">
        <v>15824</v>
      </c>
      <c r="D3195" s="5">
        <v>1.24</v>
      </c>
      <c r="E3195" s="5">
        <v>7208</v>
      </c>
      <c r="F3195" s="39">
        <v>0.94997054717696705</v>
      </c>
      <c r="G3195" s="39">
        <v>1</v>
      </c>
      <c r="H3195" s="2">
        <f t="shared" si="153"/>
        <v>8713539</v>
      </c>
      <c r="I3195" s="12">
        <f t="shared" si="151"/>
        <v>6.593333333333333E-2</v>
      </c>
      <c r="J3195" s="12">
        <f t="shared" si="152"/>
        <v>0.19948578296703295</v>
      </c>
    </row>
    <row r="3196" spans="1:10" ht="15" customHeight="1">
      <c r="A3196" s="14">
        <v>45930</v>
      </c>
      <c r="B3196" s="11">
        <v>183</v>
      </c>
      <c r="C3196">
        <v>6246</v>
      </c>
      <c r="D3196" s="5">
        <v>0.85</v>
      </c>
      <c r="E3196" s="5">
        <v>3340</v>
      </c>
      <c r="F3196" s="39">
        <v>1</v>
      </c>
      <c r="G3196" s="39">
        <v>1</v>
      </c>
      <c r="H3196" s="2">
        <f t="shared" si="153"/>
        <v>8719785</v>
      </c>
      <c r="I3196" s="12">
        <f t="shared" si="151"/>
        <v>2.6025E-2</v>
      </c>
      <c r="J3196" s="12">
        <f t="shared" si="152"/>
        <v>0.19853790983606556</v>
      </c>
    </row>
    <row r="3197" spans="1:10" ht="15" customHeight="1">
      <c r="A3197" s="14">
        <v>45931</v>
      </c>
      <c r="B3197" s="11">
        <v>184</v>
      </c>
      <c r="C3197">
        <v>41649</v>
      </c>
      <c r="D3197" s="5">
        <v>5.13</v>
      </c>
      <c r="E3197" s="5">
        <v>7565</v>
      </c>
      <c r="F3197" s="39">
        <v>1</v>
      </c>
      <c r="G3197" s="39">
        <v>1</v>
      </c>
      <c r="H3197" s="2">
        <f t="shared" si="153"/>
        <v>8761434</v>
      </c>
      <c r="I3197" s="12">
        <f t="shared" si="151"/>
        <v>0.17353750000000001</v>
      </c>
      <c r="J3197" s="12">
        <f t="shared" si="152"/>
        <v>0.19840203804347825</v>
      </c>
    </row>
    <row r="3198" spans="1:10" ht="15" customHeight="1">
      <c r="A3198" s="14">
        <v>45932</v>
      </c>
      <c r="B3198" s="11">
        <v>185</v>
      </c>
      <c r="C3198">
        <v>55279.5</v>
      </c>
      <c r="D3198" s="5">
        <v>6.76</v>
      </c>
      <c r="E3198" s="5">
        <v>7768</v>
      </c>
      <c r="F3198" s="39">
        <v>1</v>
      </c>
      <c r="G3198" s="39">
        <v>1</v>
      </c>
      <c r="H3198" s="2">
        <f t="shared" si="153"/>
        <v>8816713.5</v>
      </c>
      <c r="I3198" s="12">
        <f t="shared" si="151"/>
        <v>0.23033124999999999</v>
      </c>
      <c r="J3198" s="12">
        <f t="shared" si="152"/>
        <v>0.19857462837837839</v>
      </c>
    </row>
    <row r="3199" spans="1:10" ht="15" customHeight="1">
      <c r="A3199" s="14">
        <v>45933</v>
      </c>
      <c r="B3199" s="11">
        <v>186</v>
      </c>
      <c r="C3199">
        <v>36541.5</v>
      </c>
      <c r="D3199" s="5">
        <v>5.58</v>
      </c>
      <c r="E3199" s="5">
        <v>7208</v>
      </c>
      <c r="F3199" s="39">
        <v>1</v>
      </c>
      <c r="G3199" s="39">
        <v>1</v>
      </c>
      <c r="H3199" s="2">
        <f t="shared" si="153"/>
        <v>8853255</v>
      </c>
      <c r="I3199" s="12">
        <f t="shared" si="151"/>
        <v>0.15225625000000001</v>
      </c>
      <c r="J3199" s="12">
        <f t="shared" si="152"/>
        <v>0.19832560483870967</v>
      </c>
    </row>
    <row r="3200" spans="1:10" ht="15" customHeight="1">
      <c r="A3200" s="14">
        <v>45934</v>
      </c>
      <c r="B3200" s="11">
        <v>187</v>
      </c>
      <c r="C3200">
        <v>50373</v>
      </c>
      <c r="D3200" s="5">
        <v>6.36</v>
      </c>
      <c r="E3200" s="5">
        <v>8003</v>
      </c>
      <c r="F3200" s="39">
        <v>1</v>
      </c>
      <c r="G3200" s="39">
        <v>1</v>
      </c>
      <c r="H3200" s="2">
        <f t="shared" si="153"/>
        <v>8903628</v>
      </c>
      <c r="I3200" s="12">
        <f t="shared" si="151"/>
        <v>0.2098875</v>
      </c>
      <c r="J3200" s="12">
        <f t="shared" si="152"/>
        <v>0.1983874331550802</v>
      </c>
    </row>
    <row r="3201" spans="1:10" ht="15" customHeight="1">
      <c r="A3201" s="14">
        <v>45935</v>
      </c>
      <c r="B3201" s="11">
        <v>188</v>
      </c>
      <c r="C3201">
        <v>51138</v>
      </c>
      <c r="D3201" s="5">
        <v>6.76</v>
      </c>
      <c r="E3201" s="5">
        <v>7649</v>
      </c>
      <c r="F3201" s="39">
        <v>1</v>
      </c>
      <c r="G3201" s="39">
        <v>1</v>
      </c>
      <c r="H3201" s="2">
        <f t="shared" si="153"/>
        <v>8954766</v>
      </c>
      <c r="I3201" s="12">
        <f t="shared" si="151"/>
        <v>0.21307499999999999</v>
      </c>
      <c r="J3201" s="12">
        <f t="shared" si="152"/>
        <v>0.1984655585106383</v>
      </c>
    </row>
    <row r="3202" spans="1:10" ht="15" customHeight="1">
      <c r="A3202" s="14">
        <v>45936</v>
      </c>
      <c r="B3202" s="11">
        <v>189</v>
      </c>
      <c r="C3202">
        <v>37102.5</v>
      </c>
      <c r="D3202" s="5">
        <v>4.93</v>
      </c>
      <c r="E3202" s="5">
        <v>8888</v>
      </c>
      <c r="F3202" s="39">
        <v>1</v>
      </c>
      <c r="G3202" s="39">
        <v>1</v>
      </c>
      <c r="H3202" s="2">
        <f t="shared" si="153"/>
        <v>8991868.5</v>
      </c>
      <c r="I3202" s="12">
        <f t="shared" si="151"/>
        <v>0.15459375</v>
      </c>
      <c r="J3202" s="12">
        <f t="shared" si="152"/>
        <v>0.19823343253968254</v>
      </c>
    </row>
    <row r="3203" spans="1:10" ht="15" customHeight="1">
      <c r="A3203" s="14">
        <v>45937</v>
      </c>
      <c r="B3203" s="11">
        <v>190</v>
      </c>
      <c r="C3203">
        <v>36720</v>
      </c>
      <c r="D3203" s="5">
        <v>4.91</v>
      </c>
      <c r="E3203" s="5">
        <v>7310</v>
      </c>
      <c r="F3203" s="39">
        <v>1</v>
      </c>
      <c r="G3203" s="39">
        <v>1</v>
      </c>
      <c r="H3203" s="2">
        <f t="shared" si="153"/>
        <v>9028588.5</v>
      </c>
      <c r="I3203" s="12">
        <f t="shared" ref="I3203:I3266" si="154">C3203/(10*24*1000)</f>
        <v>0.153</v>
      </c>
      <c r="J3203" s="12">
        <f t="shared" si="152"/>
        <v>0.19799536184210526</v>
      </c>
    </row>
    <row r="3204" spans="1:10" ht="15" customHeight="1">
      <c r="A3204" s="14">
        <v>45938</v>
      </c>
      <c r="B3204" s="11">
        <v>191</v>
      </c>
      <c r="C3204">
        <v>45735</v>
      </c>
      <c r="D3204" s="5">
        <v>6.26</v>
      </c>
      <c r="E3204" s="5">
        <v>6657</v>
      </c>
      <c r="F3204" s="39">
        <v>1</v>
      </c>
      <c r="G3204" s="39">
        <v>1</v>
      </c>
      <c r="H3204" s="2">
        <f t="shared" si="153"/>
        <v>9074323.5</v>
      </c>
      <c r="I3204" s="12">
        <f t="shared" si="154"/>
        <v>0.1905625</v>
      </c>
      <c r="J3204" s="12">
        <f t="shared" si="152"/>
        <v>0.19795644633507853</v>
      </c>
    </row>
    <row r="3205" spans="1:10" ht="15" customHeight="1">
      <c r="A3205" s="14">
        <v>45939</v>
      </c>
      <c r="B3205" s="11">
        <v>192</v>
      </c>
      <c r="C3205">
        <v>48979.5</v>
      </c>
      <c r="D3205" s="5">
        <v>6.26</v>
      </c>
      <c r="E3205" s="5">
        <v>7641</v>
      </c>
      <c r="F3205" s="39">
        <v>1</v>
      </c>
      <c r="G3205" s="39">
        <v>1</v>
      </c>
      <c r="H3205" s="2">
        <f t="shared" si="153"/>
        <v>9123303</v>
      </c>
      <c r="I3205" s="12">
        <f t="shared" si="154"/>
        <v>0.20408124999999999</v>
      </c>
      <c r="J3205" s="12">
        <f t="shared" si="152"/>
        <v>0.19798834635416668</v>
      </c>
    </row>
    <row r="3206" spans="1:10" ht="15" customHeight="1">
      <c r="A3206" s="14">
        <v>45940</v>
      </c>
      <c r="B3206" s="11">
        <v>193</v>
      </c>
      <c r="C3206">
        <v>49527</v>
      </c>
      <c r="D3206" s="5">
        <v>6.44</v>
      </c>
      <c r="E3206" s="5">
        <v>7228</v>
      </c>
      <c r="F3206" s="39">
        <v>1</v>
      </c>
      <c r="G3206" s="39">
        <v>1</v>
      </c>
      <c r="H3206" s="2">
        <f t="shared" si="153"/>
        <v>9172830</v>
      </c>
      <c r="I3206" s="12">
        <f t="shared" si="154"/>
        <v>0.2063625</v>
      </c>
      <c r="J3206" s="12">
        <f t="shared" si="152"/>
        <v>0.19803173575129535</v>
      </c>
    </row>
    <row r="3207" spans="1:10" ht="15" customHeight="1">
      <c r="A3207" s="14">
        <v>45941</v>
      </c>
      <c r="B3207" s="11">
        <v>194</v>
      </c>
      <c r="C3207">
        <v>52552.5</v>
      </c>
      <c r="D3207" s="5">
        <v>5.65</v>
      </c>
      <c r="E3207" s="5">
        <v>7765</v>
      </c>
      <c r="F3207" s="39">
        <v>1</v>
      </c>
      <c r="G3207" s="39">
        <v>1</v>
      </c>
      <c r="H3207" s="2">
        <f t="shared" si="153"/>
        <v>9225382.5</v>
      </c>
      <c r="I3207" s="12">
        <f t="shared" si="154"/>
        <v>0.21896874999999999</v>
      </c>
      <c r="J3207" s="12">
        <f t="shared" ref="J3207:J3270" si="155">H3207/(24*B3207*10*1000)</f>
        <v>0.19813965850515464</v>
      </c>
    </row>
    <row r="3208" spans="1:10" ht="15" customHeight="1">
      <c r="A3208" s="14">
        <v>45942</v>
      </c>
      <c r="B3208" s="11">
        <v>195</v>
      </c>
      <c r="C3208">
        <v>52522.5</v>
      </c>
      <c r="D3208" s="5">
        <v>6.41</v>
      </c>
      <c r="E3208" s="5">
        <v>7639</v>
      </c>
      <c r="F3208" s="39">
        <v>1</v>
      </c>
      <c r="G3208" s="39">
        <v>1</v>
      </c>
      <c r="H3208" s="2">
        <f t="shared" ref="H3208:H3271" si="156">H3207+C3208</f>
        <v>9277905</v>
      </c>
      <c r="I3208" s="12">
        <f t="shared" si="154"/>
        <v>0.21884375</v>
      </c>
      <c r="J3208" s="12">
        <f t="shared" si="155"/>
        <v>0.19824583333333334</v>
      </c>
    </row>
    <row r="3209" spans="1:10" ht="15" customHeight="1">
      <c r="A3209" s="14">
        <v>45943</v>
      </c>
      <c r="B3209" s="11">
        <v>196</v>
      </c>
      <c r="C3209">
        <v>52987.5</v>
      </c>
      <c r="D3209" s="5">
        <v>5.7</v>
      </c>
      <c r="E3209" s="5">
        <v>7799</v>
      </c>
      <c r="F3209" s="39">
        <v>1</v>
      </c>
      <c r="G3209" s="39">
        <v>1</v>
      </c>
      <c r="H3209" s="2">
        <f t="shared" si="156"/>
        <v>9330892.5</v>
      </c>
      <c r="I3209" s="12">
        <f t="shared" si="154"/>
        <v>0.22078125000000001</v>
      </c>
      <c r="J3209" s="12">
        <f t="shared" si="155"/>
        <v>0.19836080994897959</v>
      </c>
    </row>
    <row r="3210" spans="1:10" ht="15" customHeight="1">
      <c r="A3210" s="14">
        <v>45944</v>
      </c>
      <c r="B3210" s="11">
        <v>197</v>
      </c>
      <c r="C3210">
        <v>50628</v>
      </c>
      <c r="D3210" s="5">
        <v>6.48</v>
      </c>
      <c r="E3210" s="5">
        <v>7532</v>
      </c>
      <c r="F3210" s="39">
        <v>1</v>
      </c>
      <c r="G3210" s="39">
        <v>1</v>
      </c>
      <c r="H3210" s="2">
        <f t="shared" si="156"/>
        <v>9381520.5</v>
      </c>
      <c r="I3210" s="12">
        <f t="shared" si="154"/>
        <v>0.21095</v>
      </c>
      <c r="J3210" s="12">
        <f t="shared" si="155"/>
        <v>0.19842471446700508</v>
      </c>
    </row>
    <row r="3211" spans="1:10" ht="15" customHeight="1">
      <c r="A3211" s="14">
        <v>45945</v>
      </c>
      <c r="B3211" s="11">
        <v>198</v>
      </c>
      <c r="C3211">
        <v>52147.5</v>
      </c>
      <c r="D3211" s="5">
        <v>5.46</v>
      </c>
      <c r="E3211" s="5">
        <v>7444</v>
      </c>
      <c r="F3211" s="39">
        <v>1</v>
      </c>
      <c r="G3211" s="39">
        <v>1</v>
      </c>
      <c r="H3211" s="2">
        <f t="shared" si="156"/>
        <v>9433668</v>
      </c>
      <c r="I3211" s="12">
        <f t="shared" si="154"/>
        <v>0.21728125000000001</v>
      </c>
      <c r="J3211" s="12">
        <f t="shared" si="155"/>
        <v>0.1985199494949495</v>
      </c>
    </row>
    <row r="3212" spans="1:10" ht="15" customHeight="1">
      <c r="A3212" s="14">
        <v>45946</v>
      </c>
      <c r="B3212" s="11">
        <v>199</v>
      </c>
      <c r="C3212">
        <v>52400</v>
      </c>
      <c r="D3212" s="5">
        <v>6.34</v>
      </c>
      <c r="E3212" s="5">
        <v>7525</v>
      </c>
      <c r="F3212" s="39">
        <v>1</v>
      </c>
      <c r="G3212" s="39">
        <v>1</v>
      </c>
      <c r="H3212" s="2">
        <f t="shared" si="156"/>
        <v>9486068</v>
      </c>
      <c r="I3212" s="12">
        <f t="shared" si="154"/>
        <v>0.21833333333333332</v>
      </c>
      <c r="J3212" s="12">
        <f t="shared" si="155"/>
        <v>0.19861951423785595</v>
      </c>
    </row>
    <row r="3213" spans="1:10" ht="15" customHeight="1">
      <c r="A3213" s="14">
        <v>45947</v>
      </c>
      <c r="B3213" s="11">
        <v>200</v>
      </c>
      <c r="C3213">
        <v>51138</v>
      </c>
      <c r="D3213" s="5">
        <v>6.21</v>
      </c>
      <c r="F3213" s="39">
        <v>1</v>
      </c>
      <c r="G3213" s="39">
        <v>1</v>
      </c>
      <c r="H3213" s="2">
        <f t="shared" si="156"/>
        <v>9537206</v>
      </c>
      <c r="I3213" s="12">
        <f t="shared" si="154"/>
        <v>0.21307499999999999</v>
      </c>
      <c r="J3213" s="12">
        <f t="shared" si="155"/>
        <v>0.19869179166666667</v>
      </c>
    </row>
    <row r="3214" spans="1:10" ht="15" customHeight="1">
      <c r="A3214" s="14">
        <v>45948</v>
      </c>
      <c r="B3214" s="11">
        <v>201</v>
      </c>
      <c r="C3214">
        <v>50257</v>
      </c>
      <c r="D3214" s="5">
        <v>6.52</v>
      </c>
      <c r="F3214" s="39">
        <v>1</v>
      </c>
      <c r="G3214" s="39">
        <v>1</v>
      </c>
      <c r="H3214" s="2">
        <f t="shared" si="156"/>
        <v>9587463</v>
      </c>
      <c r="I3214" s="12">
        <f t="shared" si="154"/>
        <v>0.20940416666666667</v>
      </c>
      <c r="J3214" s="12">
        <f t="shared" si="155"/>
        <v>0.19874508706467661</v>
      </c>
    </row>
    <row r="3215" spans="1:10" ht="15" customHeight="1">
      <c r="A3215" s="14">
        <v>45949</v>
      </c>
      <c r="B3215" s="11">
        <v>202</v>
      </c>
      <c r="C3215">
        <v>45700</v>
      </c>
      <c r="D3215" s="5">
        <v>5.55</v>
      </c>
      <c r="E3215" s="5">
        <v>6814</v>
      </c>
      <c r="F3215" s="39">
        <v>1</v>
      </c>
      <c r="G3215" s="39">
        <v>1</v>
      </c>
      <c r="H3215" s="2">
        <f t="shared" si="156"/>
        <v>9633163</v>
      </c>
      <c r="I3215" s="12">
        <f t="shared" si="154"/>
        <v>0.19041666666666668</v>
      </c>
      <c r="J3215" s="12">
        <f t="shared" si="155"/>
        <v>0.19870385726072606</v>
      </c>
    </row>
    <row r="3216" spans="1:10" ht="15" customHeight="1">
      <c r="A3216" s="14">
        <v>45950</v>
      </c>
      <c r="B3216" s="11">
        <v>203</v>
      </c>
      <c r="C3216">
        <v>49300</v>
      </c>
      <c r="D3216" s="5">
        <v>5.89</v>
      </c>
      <c r="E3216" s="5">
        <v>7216</v>
      </c>
      <c r="F3216" s="39">
        <v>1</v>
      </c>
      <c r="G3216" s="39">
        <v>1</v>
      </c>
      <c r="H3216" s="2">
        <f t="shared" si="156"/>
        <v>9682463</v>
      </c>
      <c r="I3216" s="12">
        <f t="shared" si="154"/>
        <v>0.20541666666666666</v>
      </c>
      <c r="J3216" s="12">
        <f t="shared" si="155"/>
        <v>0.19873692528735631</v>
      </c>
    </row>
    <row r="3217" spans="1:11" ht="15" customHeight="1">
      <c r="A3217" s="14">
        <v>45951</v>
      </c>
      <c r="B3217" s="11">
        <v>204</v>
      </c>
      <c r="C3217">
        <v>44400</v>
      </c>
      <c r="D3217" s="5">
        <v>5.33</v>
      </c>
      <c r="E3217" s="5">
        <v>6974</v>
      </c>
      <c r="F3217" s="39">
        <v>1</v>
      </c>
      <c r="G3217" s="39">
        <v>1</v>
      </c>
      <c r="H3217" s="2">
        <f t="shared" si="156"/>
        <v>9726863</v>
      </c>
      <c r="I3217" s="12">
        <f t="shared" si="154"/>
        <v>0.185</v>
      </c>
      <c r="J3217" s="12">
        <f t="shared" si="155"/>
        <v>0.19866958741830065</v>
      </c>
    </row>
    <row r="3218" spans="1:11" ht="15" customHeight="1">
      <c r="A3218" s="14">
        <v>45952</v>
      </c>
      <c r="B3218" s="11">
        <v>205</v>
      </c>
      <c r="C3218">
        <v>43398</v>
      </c>
      <c r="D3218" s="5">
        <v>5.07</v>
      </c>
      <c r="E3218" s="5">
        <v>7216</v>
      </c>
      <c r="F3218" s="39">
        <v>1</v>
      </c>
      <c r="G3218" s="39">
        <v>1</v>
      </c>
      <c r="H3218" s="2">
        <f t="shared" si="156"/>
        <v>9770261</v>
      </c>
      <c r="I3218" s="12">
        <f t="shared" si="154"/>
        <v>0.18082500000000001</v>
      </c>
      <c r="J3218" s="12">
        <f t="shared" si="155"/>
        <v>0.19858254065040651</v>
      </c>
    </row>
    <row r="3219" spans="1:11" ht="15" customHeight="1">
      <c r="A3219" s="14">
        <v>45953</v>
      </c>
      <c r="B3219" s="11">
        <v>206</v>
      </c>
      <c r="C3219">
        <v>44344</v>
      </c>
      <c r="D3219" s="5">
        <v>4.66</v>
      </c>
      <c r="E3219" s="5">
        <v>6003</v>
      </c>
      <c r="F3219" s="39">
        <v>1</v>
      </c>
      <c r="G3219" s="39">
        <v>1</v>
      </c>
      <c r="H3219" s="2">
        <f t="shared" si="156"/>
        <v>9814605</v>
      </c>
      <c r="I3219" s="12">
        <f t="shared" si="154"/>
        <v>0.18476666666666666</v>
      </c>
      <c r="J3219" s="12">
        <f t="shared" si="155"/>
        <v>0.19851547330097088</v>
      </c>
    </row>
    <row r="3220" spans="1:11" ht="15" customHeight="1">
      <c r="A3220" s="14">
        <v>45954</v>
      </c>
      <c r="B3220" s="11">
        <v>207</v>
      </c>
      <c r="C3220">
        <v>45710</v>
      </c>
      <c r="D3220" s="5">
        <v>4.68</v>
      </c>
      <c r="E3220" s="5">
        <v>6793</v>
      </c>
      <c r="F3220" s="39">
        <v>1</v>
      </c>
      <c r="G3220" s="39">
        <v>1</v>
      </c>
      <c r="H3220" s="2">
        <f t="shared" si="156"/>
        <v>9860315</v>
      </c>
      <c r="I3220" s="12">
        <f t="shared" si="154"/>
        <v>0.19045833333333334</v>
      </c>
      <c r="J3220" s="12">
        <f t="shared" si="155"/>
        <v>0.19847654991948471</v>
      </c>
    </row>
    <row r="3221" spans="1:11" ht="15" customHeight="1">
      <c r="A3221" s="14">
        <v>45955</v>
      </c>
      <c r="B3221" s="11">
        <v>208</v>
      </c>
      <c r="C3221">
        <v>47600</v>
      </c>
      <c r="D3221" s="5">
        <v>4.84</v>
      </c>
      <c r="E3221" s="5">
        <v>7030</v>
      </c>
      <c r="F3221" s="39">
        <v>1</v>
      </c>
      <c r="G3221" s="39">
        <v>1</v>
      </c>
      <c r="H3221" s="2">
        <f t="shared" si="156"/>
        <v>9907915</v>
      </c>
      <c r="I3221" s="12">
        <f t="shared" si="154"/>
        <v>0.19833333333333333</v>
      </c>
      <c r="J3221" s="12">
        <f t="shared" si="155"/>
        <v>0.19847586137820514</v>
      </c>
    </row>
    <row r="3222" spans="1:11" ht="15" customHeight="1">
      <c r="A3222" s="14">
        <v>45956</v>
      </c>
      <c r="B3222" s="11">
        <v>209</v>
      </c>
      <c r="C3222">
        <v>50400</v>
      </c>
      <c r="D3222" s="5">
        <v>5.0199999999999996</v>
      </c>
      <c r="E3222" s="5">
        <v>7695</v>
      </c>
      <c r="F3222" s="39">
        <v>1</v>
      </c>
      <c r="G3222" s="39">
        <v>1</v>
      </c>
      <c r="H3222" s="2">
        <f t="shared" si="156"/>
        <v>9958315</v>
      </c>
      <c r="I3222" s="12">
        <f t="shared" si="154"/>
        <v>0.21</v>
      </c>
      <c r="J3222" s="12">
        <f t="shared" si="155"/>
        <v>0.19853100079744818</v>
      </c>
    </row>
    <row r="3223" spans="1:11" ht="15" customHeight="1">
      <c r="A3223" s="14">
        <v>45957</v>
      </c>
      <c r="B3223" s="11">
        <v>210</v>
      </c>
      <c r="C3223">
        <v>44840</v>
      </c>
      <c r="D3223" s="5">
        <v>5.12</v>
      </c>
      <c r="E3223" s="5">
        <v>7895</v>
      </c>
      <c r="F3223" s="39">
        <v>1</v>
      </c>
      <c r="G3223" s="39">
        <v>1</v>
      </c>
      <c r="H3223" s="2">
        <f t="shared" si="156"/>
        <v>10003155</v>
      </c>
      <c r="I3223" s="12">
        <f t="shared" si="154"/>
        <v>0.18683333333333332</v>
      </c>
      <c r="J3223" s="12">
        <f t="shared" si="155"/>
        <v>0.19847529761904761</v>
      </c>
    </row>
    <row r="3224" spans="1:11" ht="15" customHeight="1">
      <c r="A3224" s="14">
        <v>45958</v>
      </c>
      <c r="B3224" s="11">
        <v>211</v>
      </c>
      <c r="C3224">
        <v>47969</v>
      </c>
      <c r="D3224" s="5">
        <v>5.62</v>
      </c>
      <c r="E3224" s="5">
        <v>7949</v>
      </c>
      <c r="F3224" s="39">
        <v>1</v>
      </c>
      <c r="G3224" s="39">
        <v>1</v>
      </c>
      <c r="H3224" s="2">
        <f t="shared" si="156"/>
        <v>10051124</v>
      </c>
      <c r="I3224" s="12">
        <f t="shared" si="154"/>
        <v>0.19987083333333333</v>
      </c>
      <c r="J3224" s="12">
        <f t="shared" si="155"/>
        <v>0.19848191153238548</v>
      </c>
    </row>
    <row r="3225" spans="1:11" ht="15" customHeight="1">
      <c r="A3225" s="14">
        <v>45959</v>
      </c>
      <c r="B3225" s="11">
        <v>212</v>
      </c>
      <c r="C3225">
        <v>47718</v>
      </c>
      <c r="D3225" s="5">
        <v>5.56</v>
      </c>
      <c r="E3225" s="5">
        <v>8363</v>
      </c>
      <c r="F3225" s="39">
        <v>1</v>
      </c>
      <c r="G3225" s="39">
        <v>1</v>
      </c>
      <c r="H3225" s="2">
        <f t="shared" si="156"/>
        <v>10098842</v>
      </c>
      <c r="I3225" s="12">
        <f t="shared" si="154"/>
        <v>0.198825</v>
      </c>
      <c r="J3225" s="12">
        <f t="shared" si="155"/>
        <v>0.19848352987421383</v>
      </c>
    </row>
    <row r="3226" spans="1:11" ht="15" customHeight="1">
      <c r="A3226" s="14">
        <v>45960</v>
      </c>
      <c r="B3226" s="11">
        <v>213</v>
      </c>
      <c r="C3226">
        <v>36287</v>
      </c>
      <c r="D3226" s="5">
        <v>4.21</v>
      </c>
      <c r="E3226" s="5">
        <v>6835</v>
      </c>
      <c r="F3226" s="39">
        <v>1</v>
      </c>
      <c r="G3226" s="39">
        <v>1</v>
      </c>
      <c r="H3226" s="2">
        <f t="shared" si="156"/>
        <v>10135129</v>
      </c>
      <c r="I3226" s="12">
        <f t="shared" si="154"/>
        <v>0.15119583333333333</v>
      </c>
      <c r="J3226" s="12">
        <f t="shared" si="155"/>
        <v>0.19826152190923318</v>
      </c>
      <c r="K3226" s="59" t="s">
        <v>97</v>
      </c>
    </row>
    <row r="3227" spans="1:11" ht="15" customHeight="1">
      <c r="A3227" s="14">
        <v>45961</v>
      </c>
      <c r="B3227" s="11">
        <v>214</v>
      </c>
      <c r="C3227">
        <v>40000</v>
      </c>
      <c r="D3227" s="5">
        <v>4.82</v>
      </c>
      <c r="E3227" s="5">
        <v>6949</v>
      </c>
      <c r="F3227" s="39">
        <v>1</v>
      </c>
      <c r="G3227" s="39">
        <v>1</v>
      </c>
      <c r="H3227" s="2">
        <f t="shared" si="156"/>
        <v>10175129</v>
      </c>
      <c r="I3227" s="12">
        <f t="shared" si="154"/>
        <v>0.16666666666666666</v>
      </c>
      <c r="J3227" s="12">
        <f t="shared" si="155"/>
        <v>0.19811388239875388</v>
      </c>
    </row>
    <row r="3228" spans="1:11" ht="15" customHeight="1">
      <c r="A3228" s="14">
        <v>45962</v>
      </c>
      <c r="B3228" s="11">
        <v>215</v>
      </c>
      <c r="C3228">
        <v>41205</v>
      </c>
      <c r="D3228" s="5">
        <v>4.8499999999999996</v>
      </c>
      <c r="E3228" s="5">
        <v>7155</v>
      </c>
      <c r="F3228" s="39">
        <v>1</v>
      </c>
      <c r="G3228" s="39">
        <v>1</v>
      </c>
      <c r="H3228" s="2">
        <f t="shared" si="156"/>
        <v>10216334</v>
      </c>
      <c r="I3228" s="12">
        <f t="shared" si="154"/>
        <v>0.17168749999999999</v>
      </c>
      <c r="J3228" s="12">
        <f t="shared" si="155"/>
        <v>0.19799096899224805</v>
      </c>
    </row>
    <row r="3229" spans="1:11" ht="15" customHeight="1">
      <c r="A3229" s="14">
        <v>45963</v>
      </c>
      <c r="B3229" s="11">
        <v>216</v>
      </c>
      <c r="C3229">
        <v>47160</v>
      </c>
      <c r="D3229" s="5">
        <v>5.54</v>
      </c>
      <c r="E3229" s="5">
        <v>6976</v>
      </c>
      <c r="F3229" s="39">
        <v>1</v>
      </c>
      <c r="G3229" s="39">
        <v>1</v>
      </c>
      <c r="H3229" s="2">
        <f t="shared" si="156"/>
        <v>10263494</v>
      </c>
      <c r="I3229" s="12">
        <f t="shared" si="154"/>
        <v>0.19650000000000001</v>
      </c>
      <c r="J3229" s="12">
        <f t="shared" si="155"/>
        <v>0.19798406635802468</v>
      </c>
    </row>
    <row r="3230" spans="1:11" ht="15" customHeight="1">
      <c r="A3230" s="14">
        <v>45964</v>
      </c>
      <c r="B3230" s="11">
        <v>217</v>
      </c>
      <c r="C3230">
        <v>45910</v>
      </c>
      <c r="D3230" s="5">
        <v>5.34</v>
      </c>
      <c r="E3230" s="5">
        <v>7311</v>
      </c>
      <c r="F3230" s="39">
        <v>1</v>
      </c>
      <c r="G3230" s="39">
        <v>1</v>
      </c>
      <c r="H3230" s="2">
        <f t="shared" si="156"/>
        <v>10309404</v>
      </c>
      <c r="I3230" s="12">
        <f t="shared" si="154"/>
        <v>0.19129166666666667</v>
      </c>
      <c r="J3230" s="12">
        <f t="shared" si="155"/>
        <v>0.19795322580645161</v>
      </c>
    </row>
    <row r="3231" spans="1:11" ht="15" customHeight="1">
      <c r="A3231" s="14">
        <v>45965</v>
      </c>
      <c r="B3231" s="11">
        <v>218</v>
      </c>
      <c r="C3231">
        <v>48232</v>
      </c>
      <c r="D3231" s="5">
        <v>5.85</v>
      </c>
      <c r="E3231" s="5">
        <v>7311</v>
      </c>
      <c r="F3231" s="39">
        <v>1</v>
      </c>
      <c r="G3231" s="39">
        <v>1</v>
      </c>
      <c r="H3231" s="2">
        <f t="shared" si="156"/>
        <v>10357636</v>
      </c>
      <c r="I3231" s="12">
        <f t="shared" si="154"/>
        <v>0.20096666666666665</v>
      </c>
      <c r="J3231" s="12">
        <f t="shared" si="155"/>
        <v>0.1979670489296636</v>
      </c>
    </row>
    <row r="3232" spans="1:11" ht="15" customHeight="1">
      <c r="A3232" s="14">
        <v>45966</v>
      </c>
      <c r="B3232" s="11">
        <v>219</v>
      </c>
      <c r="C3232">
        <v>46530</v>
      </c>
      <c r="D3232" s="5">
        <v>5.85</v>
      </c>
      <c r="E3232" s="5">
        <v>7404</v>
      </c>
      <c r="F3232" s="39">
        <v>1</v>
      </c>
      <c r="G3232" s="39">
        <v>1</v>
      </c>
      <c r="H3232" s="2">
        <f t="shared" si="156"/>
        <v>10404166</v>
      </c>
      <c r="I3232" s="12">
        <f t="shared" si="154"/>
        <v>0.19387499999999999</v>
      </c>
      <c r="J3232" s="12">
        <f t="shared" si="155"/>
        <v>0.19794836377473363</v>
      </c>
    </row>
    <row r="3233" spans="1:11" ht="15" customHeight="1">
      <c r="A3233" s="14">
        <v>45967</v>
      </c>
      <c r="B3233" s="11">
        <v>220</v>
      </c>
      <c r="C3233">
        <v>46330</v>
      </c>
      <c r="D3233" s="5">
        <v>5.32</v>
      </c>
      <c r="E3233" s="5">
        <v>7141</v>
      </c>
      <c r="F3233" s="39">
        <v>1</v>
      </c>
      <c r="G3233" s="39">
        <v>1</v>
      </c>
      <c r="H3233" s="2">
        <f t="shared" si="156"/>
        <v>10450496</v>
      </c>
      <c r="I3233" s="12">
        <f t="shared" si="154"/>
        <v>0.19304166666666667</v>
      </c>
      <c r="J3233" s="12">
        <f t="shared" si="155"/>
        <v>0.19792606060606061</v>
      </c>
    </row>
    <row r="3234" spans="1:11" ht="15" customHeight="1">
      <c r="A3234" s="14">
        <v>45968</v>
      </c>
      <c r="B3234" s="11">
        <v>221</v>
      </c>
      <c r="C3234">
        <v>47497.5</v>
      </c>
      <c r="D3234" s="5">
        <v>4.54</v>
      </c>
      <c r="E3234" s="5">
        <v>7472</v>
      </c>
      <c r="F3234" s="39">
        <v>1</v>
      </c>
      <c r="G3234" s="39">
        <v>1</v>
      </c>
      <c r="H3234" s="2">
        <f t="shared" si="156"/>
        <v>10497993.5</v>
      </c>
      <c r="I3234" s="12">
        <f t="shared" si="154"/>
        <v>0.19790625000000001</v>
      </c>
      <c r="J3234" s="12">
        <f t="shared" si="155"/>
        <v>0.1979259709653092</v>
      </c>
    </row>
    <row r="3235" spans="1:11" ht="15" customHeight="1">
      <c r="A3235" s="14">
        <v>45969</v>
      </c>
      <c r="B3235" s="11">
        <v>222</v>
      </c>
      <c r="C3235">
        <v>48249</v>
      </c>
      <c r="D3235" s="5">
        <v>5.28</v>
      </c>
      <c r="E3235" s="5">
        <v>7284</v>
      </c>
      <c r="F3235" s="39">
        <v>1</v>
      </c>
      <c r="G3235" s="39">
        <v>1</v>
      </c>
      <c r="H3235" s="2">
        <f t="shared" si="156"/>
        <v>10546242.5</v>
      </c>
      <c r="I3235" s="12">
        <f t="shared" si="154"/>
        <v>0.20103750000000001</v>
      </c>
      <c r="J3235" s="12">
        <f t="shared" si="155"/>
        <v>0.19793998686186187</v>
      </c>
    </row>
    <row r="3236" spans="1:11" ht="15" customHeight="1">
      <c r="A3236" s="14">
        <v>45970</v>
      </c>
      <c r="B3236" s="11">
        <v>223</v>
      </c>
      <c r="C3236">
        <v>50274</v>
      </c>
      <c r="D3236" s="5">
        <v>5.74</v>
      </c>
      <c r="E3236" s="5">
        <v>7813</v>
      </c>
      <c r="F3236" s="39">
        <v>1</v>
      </c>
      <c r="G3236" s="39">
        <v>1</v>
      </c>
      <c r="H3236" s="2">
        <f t="shared" si="156"/>
        <v>10596516.5</v>
      </c>
      <c r="I3236" s="12">
        <f t="shared" si="154"/>
        <v>0.20947499999999999</v>
      </c>
      <c r="J3236" s="12">
        <f t="shared" si="155"/>
        <v>0.19799171337817639</v>
      </c>
    </row>
    <row r="3237" spans="1:11" ht="15" customHeight="1">
      <c r="A3237" s="14">
        <v>45971</v>
      </c>
      <c r="B3237" s="11">
        <v>224</v>
      </c>
      <c r="C3237">
        <v>47385</v>
      </c>
      <c r="D3237" s="5">
        <v>4.47</v>
      </c>
      <c r="E3237" s="5">
        <v>7682</v>
      </c>
      <c r="F3237" s="39">
        <v>1</v>
      </c>
      <c r="G3237" s="39">
        <v>1</v>
      </c>
      <c r="H3237" s="2">
        <f t="shared" si="156"/>
        <v>10643901.5</v>
      </c>
      <c r="I3237" s="12">
        <f t="shared" si="154"/>
        <v>0.19743749999999999</v>
      </c>
      <c r="J3237" s="12">
        <f t="shared" si="155"/>
        <v>0.19798923921130954</v>
      </c>
    </row>
    <row r="3238" spans="1:11" ht="15" customHeight="1">
      <c r="A3238" s="14">
        <v>45972</v>
      </c>
      <c r="B3238" s="11">
        <v>225</v>
      </c>
      <c r="C3238">
        <v>48256</v>
      </c>
      <c r="D3238" s="5">
        <v>4.47</v>
      </c>
      <c r="E3238" s="5">
        <v>7428</v>
      </c>
      <c r="F3238" s="39">
        <v>1</v>
      </c>
      <c r="G3238" s="39">
        <v>1</v>
      </c>
      <c r="H3238" s="2">
        <f t="shared" si="156"/>
        <v>10692157.5</v>
      </c>
      <c r="I3238" s="12">
        <f t="shared" si="154"/>
        <v>0.20106666666666667</v>
      </c>
      <c r="J3238" s="12">
        <f t="shared" si="155"/>
        <v>0.19800291666666667</v>
      </c>
    </row>
    <row r="3239" spans="1:11" ht="15" customHeight="1">
      <c r="A3239" s="14">
        <v>45973</v>
      </c>
      <c r="B3239" s="11">
        <v>226</v>
      </c>
      <c r="C3239">
        <v>49132</v>
      </c>
      <c r="D3239" s="5">
        <v>5.28</v>
      </c>
      <c r="E3239" s="5">
        <v>7472</v>
      </c>
      <c r="F3239" s="39">
        <v>1</v>
      </c>
      <c r="G3239" s="39">
        <v>1</v>
      </c>
      <c r="H3239" s="2">
        <f t="shared" si="156"/>
        <v>10741289.5</v>
      </c>
      <c r="I3239" s="12">
        <f t="shared" si="154"/>
        <v>0.20471666666666666</v>
      </c>
      <c r="J3239" s="12">
        <f t="shared" si="155"/>
        <v>0.19803262352507375</v>
      </c>
      <c r="K3239" s="59" t="s">
        <v>114</v>
      </c>
    </row>
    <row r="3240" spans="1:11" ht="15" customHeight="1">
      <c r="A3240" s="14">
        <v>45974</v>
      </c>
      <c r="B3240" s="11">
        <v>227</v>
      </c>
      <c r="C3240">
        <v>50332</v>
      </c>
      <c r="D3240" s="5">
        <v>5.74</v>
      </c>
      <c r="E3240" s="5">
        <v>7813</v>
      </c>
      <c r="F3240" s="39">
        <v>1</v>
      </c>
      <c r="G3240" s="39">
        <v>1</v>
      </c>
      <c r="H3240" s="2">
        <f t="shared" si="156"/>
        <v>10791621.5</v>
      </c>
      <c r="I3240" s="12">
        <f t="shared" si="154"/>
        <v>0.20971666666666666</v>
      </c>
      <c r="J3240" s="12">
        <f t="shared" si="155"/>
        <v>0.19808409508076358</v>
      </c>
    </row>
    <row r="3241" spans="1:11" ht="15" customHeight="1">
      <c r="A3241" s="14">
        <v>45975</v>
      </c>
      <c r="B3241" s="11">
        <v>228</v>
      </c>
      <c r="C3241">
        <v>51093</v>
      </c>
      <c r="D3241" s="5">
        <v>5.34</v>
      </c>
      <c r="E3241" s="5">
        <v>7400</v>
      </c>
      <c r="F3241" s="39">
        <v>1</v>
      </c>
      <c r="G3241" s="39">
        <v>1</v>
      </c>
      <c r="H3241" s="2">
        <f t="shared" si="156"/>
        <v>10842714.5</v>
      </c>
      <c r="I3241" s="12">
        <f t="shared" si="154"/>
        <v>0.21288750000000001</v>
      </c>
      <c r="J3241" s="12">
        <f t="shared" si="155"/>
        <v>0.19814902229532164</v>
      </c>
    </row>
    <row r="3242" spans="1:11" ht="15" customHeight="1">
      <c r="A3242" s="14">
        <v>45976</v>
      </c>
      <c r="B3242" s="11">
        <v>229</v>
      </c>
      <c r="C3242">
        <v>50290</v>
      </c>
      <c r="D3242" s="5">
        <v>5.32</v>
      </c>
      <c r="E3242" s="5">
        <v>7564</v>
      </c>
      <c r="F3242" s="39">
        <v>1</v>
      </c>
      <c r="G3242" s="39">
        <v>1</v>
      </c>
      <c r="H3242" s="2">
        <f t="shared" si="156"/>
        <v>10893004.5</v>
      </c>
      <c r="I3242" s="12">
        <f t="shared" si="154"/>
        <v>0.20954166666666665</v>
      </c>
      <c r="J3242" s="12">
        <f t="shared" si="155"/>
        <v>0.19819877183406112</v>
      </c>
    </row>
    <row r="3243" spans="1:11" ht="15" customHeight="1">
      <c r="A3243" s="14">
        <v>45977</v>
      </c>
      <c r="B3243" s="11">
        <v>230</v>
      </c>
      <c r="C3243">
        <v>51414</v>
      </c>
      <c r="D3243" s="5">
        <v>5.35</v>
      </c>
      <c r="E3243" s="5">
        <v>7472</v>
      </c>
      <c r="F3243" s="39">
        <v>1</v>
      </c>
      <c r="G3243" s="39">
        <v>1</v>
      </c>
      <c r="H3243" s="2">
        <f t="shared" si="156"/>
        <v>10944418.5</v>
      </c>
      <c r="I3243" s="12">
        <f t="shared" si="154"/>
        <v>0.214225</v>
      </c>
      <c r="J3243" s="12">
        <f t="shared" si="155"/>
        <v>0.19826845108695651</v>
      </c>
    </row>
    <row r="3244" spans="1:11" ht="15" customHeight="1">
      <c r="A3244" s="14">
        <v>45978</v>
      </c>
      <c r="B3244" s="11">
        <v>231</v>
      </c>
      <c r="C3244">
        <v>51703</v>
      </c>
      <c r="D3244" s="5">
        <v>5.39</v>
      </c>
      <c r="E3244" s="5">
        <v>7813</v>
      </c>
      <c r="F3244" s="39">
        <v>1</v>
      </c>
      <c r="G3244" s="39">
        <v>1</v>
      </c>
      <c r="H3244" s="2">
        <f t="shared" si="156"/>
        <v>10996121.5</v>
      </c>
      <c r="I3244" s="12">
        <f t="shared" si="154"/>
        <v>0.21542916666666667</v>
      </c>
      <c r="J3244" s="12">
        <f t="shared" si="155"/>
        <v>0.1983427398989899</v>
      </c>
    </row>
    <row r="3245" spans="1:11" ht="15" customHeight="1">
      <c r="A3245" s="14">
        <v>45979</v>
      </c>
      <c r="B3245" s="11">
        <v>232</v>
      </c>
      <c r="C3245">
        <v>51891</v>
      </c>
      <c r="D3245" s="5">
        <v>5.4</v>
      </c>
      <c r="E3245" s="5">
        <v>7854</v>
      </c>
      <c r="F3245" s="39">
        <v>1</v>
      </c>
      <c r="G3245" s="39">
        <v>1</v>
      </c>
      <c r="H3245" s="2">
        <f t="shared" si="156"/>
        <v>11048012.5</v>
      </c>
      <c r="I3245" s="12">
        <f t="shared" si="154"/>
        <v>0.2162125</v>
      </c>
      <c r="J3245" s="12">
        <f t="shared" si="155"/>
        <v>0.19841976472701151</v>
      </c>
    </row>
    <row r="3246" spans="1:11" ht="15" customHeight="1">
      <c r="A3246" s="14">
        <v>45980</v>
      </c>
      <c r="B3246" s="11">
        <v>233</v>
      </c>
      <c r="C3246" s="77">
        <v>47056.5</v>
      </c>
      <c r="D3246" s="5">
        <v>4.46</v>
      </c>
      <c r="E3246" s="5">
        <v>7813</v>
      </c>
      <c r="F3246" s="39">
        <v>1</v>
      </c>
      <c r="G3246" s="39">
        <v>1</v>
      </c>
      <c r="H3246" s="2">
        <f t="shared" si="156"/>
        <v>11095069</v>
      </c>
      <c r="I3246" s="12">
        <f t="shared" si="154"/>
        <v>0.19606875000000001</v>
      </c>
      <c r="J3246" s="12">
        <f t="shared" si="155"/>
        <v>0.19840967453505007</v>
      </c>
    </row>
    <row r="3247" spans="1:11" ht="15" customHeight="1">
      <c r="A3247" s="14">
        <v>45981</v>
      </c>
      <c r="B3247" s="11">
        <v>234</v>
      </c>
      <c r="C3247">
        <v>48489</v>
      </c>
      <c r="D3247" s="5">
        <v>4.6500000000000004</v>
      </c>
      <c r="E3247" s="5">
        <v>7472</v>
      </c>
      <c r="F3247" s="39">
        <v>1</v>
      </c>
      <c r="G3247" s="39">
        <v>1</v>
      </c>
      <c r="H3247" s="2">
        <f t="shared" si="156"/>
        <v>11143558</v>
      </c>
      <c r="I3247" s="12">
        <f t="shared" si="154"/>
        <v>0.20203750000000001</v>
      </c>
      <c r="J3247" s="12">
        <f t="shared" si="155"/>
        <v>0.19842517806267806</v>
      </c>
    </row>
    <row r="3248" spans="1:11" ht="15" customHeight="1">
      <c r="A3248" s="14">
        <v>45982</v>
      </c>
      <c r="B3248" s="11">
        <v>235</v>
      </c>
      <c r="C3248">
        <v>45469</v>
      </c>
      <c r="D3248" s="5">
        <v>3.98</v>
      </c>
      <c r="E3248" s="5">
        <v>7403</v>
      </c>
      <c r="F3248" s="39">
        <v>1</v>
      </c>
      <c r="G3248" s="39">
        <v>1</v>
      </c>
      <c r="H3248" s="2">
        <f t="shared" si="156"/>
        <v>11189027</v>
      </c>
      <c r="I3248" s="12">
        <f t="shared" si="154"/>
        <v>0.18945416666666667</v>
      </c>
      <c r="J3248" s="12">
        <f t="shared" si="155"/>
        <v>0.19838700354609928</v>
      </c>
    </row>
    <row r="3249" spans="1:10" ht="15" customHeight="1">
      <c r="A3249" s="14">
        <v>45983</v>
      </c>
      <c r="B3249" s="11">
        <v>236</v>
      </c>
      <c r="C3249">
        <v>45469</v>
      </c>
      <c r="D3249" s="5">
        <v>3.98</v>
      </c>
      <c r="E3249" s="5">
        <v>7403</v>
      </c>
      <c r="F3249" s="39">
        <v>1</v>
      </c>
      <c r="G3249" s="39">
        <v>1</v>
      </c>
      <c r="H3249" s="2">
        <f t="shared" si="156"/>
        <v>11234496</v>
      </c>
      <c r="I3249" s="12">
        <f t="shared" si="154"/>
        <v>0.18945416666666667</v>
      </c>
      <c r="J3249" s="12">
        <f t="shared" si="155"/>
        <v>0.19834915254237287</v>
      </c>
    </row>
    <row r="3250" spans="1:10" ht="15" customHeight="1">
      <c r="A3250" s="14">
        <v>45984</v>
      </c>
      <c r="B3250" s="11">
        <v>237</v>
      </c>
      <c r="C3250">
        <v>42019</v>
      </c>
      <c r="D3250" s="5">
        <v>3.73</v>
      </c>
      <c r="E3250" s="5">
        <v>6993</v>
      </c>
      <c r="F3250" s="39">
        <v>1</v>
      </c>
      <c r="G3250" s="39">
        <v>1</v>
      </c>
      <c r="H3250" s="2">
        <f t="shared" si="156"/>
        <v>11276515</v>
      </c>
      <c r="I3250" s="12">
        <f t="shared" si="154"/>
        <v>0.17507916666666667</v>
      </c>
      <c r="J3250" s="12">
        <f t="shared" si="155"/>
        <v>0.19825096694796063</v>
      </c>
    </row>
    <row r="3251" spans="1:10" ht="15" customHeight="1">
      <c r="A3251" s="14">
        <v>45985</v>
      </c>
      <c r="B3251" s="11">
        <v>238</v>
      </c>
      <c r="C3251">
        <v>40228.5</v>
      </c>
      <c r="D3251" s="5">
        <v>3.6</v>
      </c>
      <c r="E3251" s="5">
        <v>6846</v>
      </c>
      <c r="F3251" s="39">
        <v>1</v>
      </c>
      <c r="G3251" s="39">
        <v>1</v>
      </c>
      <c r="H3251" s="2">
        <f>H3250+C3251</f>
        <v>11316743.5</v>
      </c>
      <c r="I3251" s="12">
        <f>C3251/(10*24*1000)</f>
        <v>0.16761875000000001</v>
      </c>
      <c r="J3251" s="12">
        <f t="shared" si="155"/>
        <v>0.19812226015406162</v>
      </c>
    </row>
    <row r="3252" spans="1:10" ht="15" customHeight="1">
      <c r="A3252" s="14">
        <v>45986</v>
      </c>
      <c r="B3252" s="11">
        <v>239</v>
      </c>
      <c r="C3252">
        <v>45918</v>
      </c>
      <c r="D3252" s="5">
        <v>3.97</v>
      </c>
      <c r="E3252" s="5">
        <v>7465</v>
      </c>
      <c r="F3252" s="39">
        <v>1</v>
      </c>
      <c r="G3252" s="39">
        <v>1</v>
      </c>
      <c r="H3252" s="2">
        <f>H3251+C3252</f>
        <v>11362661.5</v>
      </c>
      <c r="I3252" s="12">
        <f>C3252/(10*24*1000)</f>
        <v>0.191325</v>
      </c>
      <c r="J3252" s="12">
        <f t="shared" si="155"/>
        <v>0.19809381973500698</v>
      </c>
    </row>
    <row r="3253" spans="1:10" ht="15" customHeight="1">
      <c r="A3253" s="14">
        <v>45987</v>
      </c>
      <c r="B3253" s="11">
        <v>240</v>
      </c>
      <c r="C3253">
        <v>41818.5</v>
      </c>
      <c r="D3253" s="5">
        <v>3.68</v>
      </c>
      <c r="E3253" s="5">
        <v>6998</v>
      </c>
      <c r="F3253" s="39">
        <v>1</v>
      </c>
      <c r="G3253" s="39">
        <v>1</v>
      </c>
      <c r="H3253" s="2">
        <f t="shared" si="156"/>
        <v>11404480</v>
      </c>
      <c r="I3253" s="12">
        <f t="shared" si="154"/>
        <v>0.17424375</v>
      </c>
      <c r="J3253" s="12">
        <f t="shared" si="155"/>
        <v>0.19799444444444445</v>
      </c>
    </row>
    <row r="3254" spans="1:10" ht="15" customHeight="1">
      <c r="A3254" s="14">
        <v>45988</v>
      </c>
      <c r="B3254" s="11">
        <v>241</v>
      </c>
      <c r="C3254">
        <v>33039</v>
      </c>
      <c r="D3254" s="5">
        <v>3.16</v>
      </c>
      <c r="E3254" s="5">
        <v>6749</v>
      </c>
      <c r="F3254" s="39">
        <v>1</v>
      </c>
      <c r="G3254" s="39">
        <v>1</v>
      </c>
      <c r="H3254" s="2">
        <f t="shared" si="156"/>
        <v>11437519</v>
      </c>
      <c r="I3254" s="12">
        <f t="shared" si="154"/>
        <v>0.13766249999999999</v>
      </c>
      <c r="J3254" s="12">
        <f t="shared" si="155"/>
        <v>0.19774410442600276</v>
      </c>
    </row>
    <row r="3255" spans="1:10" ht="15" customHeight="1">
      <c r="A3255" s="14">
        <v>45989</v>
      </c>
      <c r="B3255" s="11">
        <v>242</v>
      </c>
      <c r="C3255">
        <v>36420</v>
      </c>
      <c r="D3255" s="80">
        <v>3.29</v>
      </c>
      <c r="E3255" s="5">
        <v>6456</v>
      </c>
      <c r="F3255" s="39">
        <v>1</v>
      </c>
      <c r="G3255" s="39">
        <v>1</v>
      </c>
      <c r="H3255" s="2">
        <f t="shared" si="156"/>
        <v>11473939</v>
      </c>
      <c r="I3255" s="12">
        <f t="shared" si="154"/>
        <v>0.15175</v>
      </c>
      <c r="J3255" s="12">
        <f t="shared" si="155"/>
        <v>0.1975540461432507</v>
      </c>
    </row>
    <row r="3256" spans="1:10" ht="15" customHeight="1">
      <c r="A3256" s="14">
        <v>45990</v>
      </c>
      <c r="B3256" s="11">
        <v>243</v>
      </c>
      <c r="C3256">
        <v>36345</v>
      </c>
      <c r="D3256" s="5">
        <v>3.3</v>
      </c>
      <c r="E3256" s="5">
        <v>6487</v>
      </c>
      <c r="F3256" s="39">
        <v>1</v>
      </c>
      <c r="G3256" s="39">
        <v>1</v>
      </c>
      <c r="H3256" s="2">
        <f t="shared" si="156"/>
        <v>11510284</v>
      </c>
      <c r="I3256" s="12">
        <f t="shared" si="154"/>
        <v>0.1514375</v>
      </c>
      <c r="J3256" s="12">
        <f t="shared" si="155"/>
        <v>0.19736426611796981</v>
      </c>
    </row>
    <row r="3257" spans="1:10" ht="15" customHeight="1">
      <c r="A3257" s="14">
        <v>45991</v>
      </c>
      <c r="B3257" s="11">
        <v>244</v>
      </c>
      <c r="C3257" s="5">
        <v>41599.5</v>
      </c>
      <c r="D3257" s="129">
        <v>3.88</v>
      </c>
      <c r="E3257" s="80">
        <v>6934</v>
      </c>
      <c r="F3257" s="39">
        <v>1</v>
      </c>
      <c r="G3257" s="39">
        <v>1</v>
      </c>
      <c r="H3257" s="2">
        <f t="shared" si="156"/>
        <v>11551883.5</v>
      </c>
      <c r="I3257" s="12">
        <f t="shared" si="154"/>
        <v>0.17333124999999999</v>
      </c>
      <c r="J3257" s="12">
        <f t="shared" si="155"/>
        <v>0.19726577015027322</v>
      </c>
    </row>
    <row r="3258" spans="1:10" ht="15" customHeight="1">
      <c r="A3258" s="14">
        <v>45992</v>
      </c>
      <c r="B3258" s="11">
        <v>245</v>
      </c>
      <c r="C3258" s="5">
        <v>41637</v>
      </c>
      <c r="D3258" s="130">
        <v>3.66</v>
      </c>
      <c r="E3258" s="80">
        <v>6893</v>
      </c>
      <c r="F3258" s="39">
        <v>1</v>
      </c>
      <c r="G3258" s="39">
        <v>1</v>
      </c>
      <c r="H3258" s="2">
        <f t="shared" si="156"/>
        <v>11593520.5</v>
      </c>
      <c r="I3258" s="12">
        <f t="shared" si="154"/>
        <v>0.17348749999999999</v>
      </c>
      <c r="J3258" s="12">
        <f t="shared" si="155"/>
        <v>0.19716871598639457</v>
      </c>
    </row>
    <row r="3259" spans="1:10" ht="15" customHeight="1">
      <c r="A3259" s="14">
        <v>45993</v>
      </c>
      <c r="B3259" s="11">
        <v>246</v>
      </c>
      <c r="C3259">
        <v>43584</v>
      </c>
      <c r="D3259" s="78">
        <v>3.82</v>
      </c>
      <c r="E3259" s="5">
        <v>7168</v>
      </c>
      <c r="F3259" s="39">
        <v>1</v>
      </c>
      <c r="G3259" s="39">
        <v>1</v>
      </c>
      <c r="H3259" s="2">
        <f t="shared" si="156"/>
        <v>11637104.5</v>
      </c>
      <c r="I3259" s="12">
        <f t="shared" si="154"/>
        <v>0.18160000000000001</v>
      </c>
      <c r="J3259" s="12">
        <f t="shared" si="155"/>
        <v>0.19710542852303523</v>
      </c>
    </row>
    <row r="3260" spans="1:10" ht="15" customHeight="1">
      <c r="A3260" s="14">
        <v>45994</v>
      </c>
      <c r="B3260" s="11">
        <v>247</v>
      </c>
      <c r="C3260">
        <v>42476</v>
      </c>
      <c r="D3260" s="78">
        <v>4.97</v>
      </c>
      <c r="E3260" s="5">
        <v>7405</v>
      </c>
      <c r="F3260" s="39">
        <v>1</v>
      </c>
      <c r="G3260" s="39">
        <v>1</v>
      </c>
      <c r="H3260" s="2">
        <f t="shared" si="156"/>
        <v>11679580.5</v>
      </c>
      <c r="I3260" s="12">
        <f t="shared" si="154"/>
        <v>0.17698333333333333</v>
      </c>
      <c r="J3260" s="12">
        <f t="shared" si="155"/>
        <v>0.19702396255060728</v>
      </c>
    </row>
    <row r="3261" spans="1:10" ht="15" customHeight="1">
      <c r="A3261" s="14">
        <v>45995</v>
      </c>
      <c r="B3261" s="11">
        <v>248</v>
      </c>
      <c r="C3261">
        <v>45577</v>
      </c>
      <c r="D3261" s="78">
        <v>4.03</v>
      </c>
      <c r="E3261" s="5">
        <v>7408</v>
      </c>
      <c r="F3261" s="39">
        <v>1</v>
      </c>
      <c r="G3261" s="39">
        <v>1</v>
      </c>
      <c r="H3261" s="2">
        <f t="shared" si="156"/>
        <v>11725157.5</v>
      </c>
      <c r="I3261" s="12">
        <f t="shared" si="154"/>
        <v>0.18990416666666668</v>
      </c>
      <c r="J3261" s="12">
        <f t="shared" si="155"/>
        <v>0.19699525369623655</v>
      </c>
    </row>
    <row r="3262" spans="1:10" ht="15" customHeight="1">
      <c r="A3262" s="14">
        <v>45996</v>
      </c>
      <c r="B3262" s="11">
        <v>249</v>
      </c>
      <c r="C3262">
        <v>46758</v>
      </c>
      <c r="D3262" s="78">
        <v>5.25</v>
      </c>
      <c r="E3262" s="5">
        <v>8743</v>
      </c>
      <c r="F3262" s="39">
        <v>1</v>
      </c>
      <c r="G3262" s="39">
        <v>1</v>
      </c>
      <c r="H3262" s="2">
        <f t="shared" si="156"/>
        <v>11771915.5</v>
      </c>
      <c r="I3262" s="12">
        <f t="shared" si="154"/>
        <v>0.194825</v>
      </c>
      <c r="J3262" s="12">
        <f t="shared" si="155"/>
        <v>0.19698653781793843</v>
      </c>
    </row>
    <row r="3263" spans="1:10" ht="15" customHeight="1">
      <c r="A3263" s="14">
        <v>45997</v>
      </c>
      <c r="B3263" s="11">
        <v>250</v>
      </c>
      <c r="C3263">
        <v>40700</v>
      </c>
      <c r="D3263" s="79">
        <v>4.6399999999999997</v>
      </c>
      <c r="E3263" s="5">
        <v>8363</v>
      </c>
      <c r="F3263" s="39">
        <v>1</v>
      </c>
      <c r="G3263" s="39">
        <v>1</v>
      </c>
      <c r="H3263" s="2">
        <f t="shared" si="156"/>
        <v>11812615.5</v>
      </c>
      <c r="I3263" s="12">
        <f t="shared" si="154"/>
        <v>0.16958333333333334</v>
      </c>
      <c r="J3263" s="12">
        <f t="shared" si="155"/>
        <v>0.19687692500000001</v>
      </c>
    </row>
    <row r="3264" spans="1:10" ht="15" customHeight="1">
      <c r="A3264" s="14">
        <v>45998</v>
      </c>
      <c r="B3264" s="11">
        <v>251</v>
      </c>
      <c r="C3264">
        <v>40252</v>
      </c>
      <c r="D3264" s="78">
        <v>3.63</v>
      </c>
      <c r="E3264" s="5">
        <v>8363</v>
      </c>
      <c r="F3264" s="39">
        <v>1</v>
      </c>
      <c r="G3264" s="39">
        <v>1</v>
      </c>
      <c r="H3264" s="2">
        <f t="shared" si="156"/>
        <v>11852867.5</v>
      </c>
      <c r="I3264" s="12">
        <f t="shared" si="154"/>
        <v>0.16771666666666665</v>
      </c>
      <c r="J3264" s="12">
        <f t="shared" si="155"/>
        <v>0.19676074867197876</v>
      </c>
    </row>
    <row r="3265" spans="1:10" ht="15" customHeight="1">
      <c r="A3265" s="14">
        <v>45999</v>
      </c>
      <c r="B3265" s="11">
        <v>252</v>
      </c>
      <c r="C3265">
        <v>45345</v>
      </c>
      <c r="D3265" s="78">
        <v>3.94</v>
      </c>
      <c r="E3265" s="5">
        <v>7220</v>
      </c>
      <c r="F3265" s="39">
        <v>1</v>
      </c>
      <c r="G3265" s="39">
        <v>1</v>
      </c>
      <c r="H3265" s="2">
        <f t="shared" si="156"/>
        <v>11898212.5</v>
      </c>
      <c r="I3265" s="12">
        <f t="shared" si="154"/>
        <v>0.18893750000000001</v>
      </c>
      <c r="J3265" s="12">
        <f t="shared" si="155"/>
        <v>0.19672970403439152</v>
      </c>
    </row>
    <row r="3266" spans="1:10" ht="15" customHeight="1">
      <c r="A3266" s="14">
        <v>46000</v>
      </c>
      <c r="B3266" s="11">
        <v>253</v>
      </c>
      <c r="C3266">
        <v>45900</v>
      </c>
      <c r="D3266" s="78">
        <v>5.29</v>
      </c>
      <c r="E3266" s="5">
        <v>7306</v>
      </c>
      <c r="F3266" s="39">
        <v>1</v>
      </c>
      <c r="G3266" s="39">
        <v>1</v>
      </c>
      <c r="H3266" s="2">
        <f t="shared" si="156"/>
        <v>11944112.5</v>
      </c>
      <c r="I3266" s="12">
        <f t="shared" si="154"/>
        <v>0.19125</v>
      </c>
      <c r="J3266" s="12">
        <f t="shared" si="155"/>
        <v>0.19670804512516468</v>
      </c>
    </row>
    <row r="3267" spans="1:10" ht="15" customHeight="1">
      <c r="A3267" s="14">
        <v>46001</v>
      </c>
      <c r="B3267" s="11">
        <v>254</v>
      </c>
      <c r="C3267">
        <v>47800</v>
      </c>
      <c r="D3267" s="78">
        <v>5.34</v>
      </c>
      <c r="E3267" s="5">
        <v>7436</v>
      </c>
      <c r="F3267" s="39">
        <v>1</v>
      </c>
      <c r="G3267" s="39">
        <v>1</v>
      </c>
      <c r="H3267" s="2">
        <f t="shared" si="156"/>
        <v>11991912.5</v>
      </c>
      <c r="I3267" s="12">
        <f t="shared" ref="I3267:I3330" si="157">C3267/(10*24*1000)</f>
        <v>0.19916666666666666</v>
      </c>
      <c r="J3267" s="12">
        <f t="shared" si="155"/>
        <v>0.1967177247375328</v>
      </c>
    </row>
    <row r="3268" spans="1:10" ht="15" customHeight="1">
      <c r="A3268" s="14">
        <v>46002</v>
      </c>
      <c r="B3268" s="11">
        <v>255</v>
      </c>
      <c r="C3268">
        <v>47700</v>
      </c>
      <c r="D3268" s="78">
        <v>5.27</v>
      </c>
      <c r="E3268" s="5">
        <v>7369</v>
      </c>
      <c r="F3268" s="39">
        <v>1</v>
      </c>
      <c r="G3268" s="39">
        <v>1</v>
      </c>
      <c r="H3268" s="2">
        <f t="shared" si="156"/>
        <v>12039612.5</v>
      </c>
      <c r="I3268" s="12">
        <f t="shared" si="157"/>
        <v>0.19875000000000001</v>
      </c>
      <c r="J3268" s="12">
        <f t="shared" si="155"/>
        <v>0.19672569444444443</v>
      </c>
    </row>
    <row r="3269" spans="1:10" ht="15" customHeight="1">
      <c r="A3269" s="14">
        <v>46003</v>
      </c>
      <c r="B3269" s="11">
        <v>256</v>
      </c>
      <c r="C3269">
        <v>46588.5</v>
      </c>
      <c r="D3269" s="78">
        <v>4.01</v>
      </c>
      <c r="E3269" s="5">
        <v>8165</v>
      </c>
      <c r="F3269" s="39">
        <v>1</v>
      </c>
      <c r="G3269" s="39">
        <v>1</v>
      </c>
      <c r="H3269" s="2">
        <f t="shared" si="156"/>
        <v>12086201</v>
      </c>
      <c r="I3269" s="12">
        <f t="shared" si="157"/>
        <v>0.19411875000000001</v>
      </c>
      <c r="J3269" s="12">
        <f t="shared" si="155"/>
        <v>0.19671551106770832</v>
      </c>
    </row>
    <row r="3270" spans="1:10" ht="15" customHeight="1">
      <c r="A3270" s="14">
        <v>46004</v>
      </c>
      <c r="B3270" s="11">
        <v>257</v>
      </c>
      <c r="C3270" s="78">
        <v>42600</v>
      </c>
      <c r="D3270" s="78">
        <v>4.66</v>
      </c>
      <c r="E3270" s="5">
        <v>7525</v>
      </c>
      <c r="F3270" s="39">
        <v>1</v>
      </c>
      <c r="G3270" s="39">
        <v>1</v>
      </c>
      <c r="H3270" s="2">
        <f t="shared" si="156"/>
        <v>12128801</v>
      </c>
      <c r="I3270" s="12">
        <f t="shared" si="157"/>
        <v>0.17749999999999999</v>
      </c>
      <c r="J3270" s="12">
        <f t="shared" si="155"/>
        <v>0.19664074254215305</v>
      </c>
    </row>
    <row r="3271" spans="1:10" ht="15" customHeight="1">
      <c r="A3271" s="14">
        <v>46005</v>
      </c>
      <c r="B3271" s="11">
        <v>258</v>
      </c>
      <c r="C3271">
        <v>35300</v>
      </c>
      <c r="D3271" s="5">
        <v>4.09</v>
      </c>
      <c r="E3271" s="5">
        <v>9380</v>
      </c>
      <c r="F3271" s="39">
        <v>1</v>
      </c>
      <c r="G3271" s="39">
        <v>1</v>
      </c>
      <c r="H3271" s="2">
        <f t="shared" si="156"/>
        <v>12164101</v>
      </c>
      <c r="I3271" s="12">
        <f t="shared" si="157"/>
        <v>0.14708333333333334</v>
      </c>
      <c r="J3271" s="12">
        <f t="shared" ref="J3271:J3334" si="158">H3271/(24*B3271*10*1000)</f>
        <v>0.19644865956072352</v>
      </c>
    </row>
    <row r="3272" spans="1:10" ht="15" customHeight="1">
      <c r="A3272" s="14">
        <v>46006</v>
      </c>
      <c r="B3272" s="11">
        <v>259</v>
      </c>
      <c r="C3272">
        <v>42500</v>
      </c>
      <c r="D3272" s="5">
        <v>4.74</v>
      </c>
      <c r="E3272" s="5">
        <v>7485</v>
      </c>
      <c r="F3272" s="39">
        <v>1</v>
      </c>
      <c r="G3272" s="39">
        <v>1</v>
      </c>
      <c r="H3272" s="2">
        <f t="shared" ref="H3272:H3335" si="159">H3271+C3272</f>
        <v>12206601</v>
      </c>
      <c r="I3272" s="12">
        <f t="shared" si="157"/>
        <v>0.17708333333333334</v>
      </c>
      <c r="J3272" s="12">
        <f t="shared" si="158"/>
        <v>0.19637388996138996</v>
      </c>
    </row>
    <row r="3273" spans="1:10" ht="15" customHeight="1">
      <c r="A3273" s="14">
        <v>46007</v>
      </c>
      <c r="B3273" s="11">
        <v>260</v>
      </c>
      <c r="C3273">
        <v>47300</v>
      </c>
      <c r="D3273" s="5">
        <v>5.0199999999999996</v>
      </c>
      <c r="E3273" s="5">
        <v>7900</v>
      </c>
      <c r="F3273" s="39">
        <v>1</v>
      </c>
      <c r="G3273" s="39">
        <v>1</v>
      </c>
      <c r="H3273" s="2">
        <f t="shared" si="159"/>
        <v>12253901</v>
      </c>
      <c r="I3273" s="12">
        <f t="shared" si="157"/>
        <v>0.19708333333333333</v>
      </c>
      <c r="J3273" s="12">
        <f t="shared" si="158"/>
        <v>0.19637661858974359</v>
      </c>
    </row>
    <row r="3274" spans="1:10" ht="15" customHeight="1">
      <c r="A3274" s="14">
        <v>46008</v>
      </c>
      <c r="B3274" s="11">
        <v>261</v>
      </c>
      <c r="C3274">
        <v>51100</v>
      </c>
      <c r="D3274" s="5">
        <v>5.51</v>
      </c>
      <c r="E3274" s="5">
        <v>7850</v>
      </c>
      <c r="F3274" s="39">
        <v>1</v>
      </c>
      <c r="G3274" s="39">
        <v>1</v>
      </c>
      <c r="H3274" s="2">
        <f t="shared" si="159"/>
        <v>12305001</v>
      </c>
      <c r="I3274" s="12">
        <f t="shared" si="157"/>
        <v>0.21291666666666667</v>
      </c>
      <c r="J3274" s="12">
        <f t="shared" si="158"/>
        <v>0.19643999042145593</v>
      </c>
    </row>
    <row r="3275" spans="1:10" ht="15" customHeight="1">
      <c r="A3275" s="14">
        <v>46009</v>
      </c>
      <c r="B3275" s="11">
        <v>262</v>
      </c>
      <c r="C3275">
        <v>40300</v>
      </c>
      <c r="D3275" s="5">
        <v>4.24</v>
      </c>
      <c r="E3275" s="5">
        <v>7769</v>
      </c>
      <c r="F3275" s="39">
        <v>1</v>
      </c>
      <c r="G3275" s="39">
        <v>1</v>
      </c>
      <c r="H3275" s="2">
        <f t="shared" si="159"/>
        <v>12345301</v>
      </c>
      <c r="I3275" s="12">
        <f t="shared" si="157"/>
        <v>0.16791666666666666</v>
      </c>
      <c r="J3275" s="12">
        <f t="shared" si="158"/>
        <v>0.1963311227735369</v>
      </c>
    </row>
    <row r="3276" spans="1:10" ht="15" customHeight="1">
      <c r="A3276" s="14">
        <v>46010</v>
      </c>
      <c r="B3276" s="11">
        <v>263</v>
      </c>
      <c r="C3276">
        <v>42476</v>
      </c>
      <c r="D3276" s="78">
        <v>4.97</v>
      </c>
      <c r="E3276" s="5">
        <v>7405</v>
      </c>
      <c r="F3276" s="39">
        <v>1</v>
      </c>
      <c r="G3276" s="39">
        <v>1</v>
      </c>
      <c r="H3276" s="2">
        <f t="shared" si="159"/>
        <v>12387777</v>
      </c>
      <c r="I3276" s="12">
        <f t="shared" si="157"/>
        <v>0.17698333333333333</v>
      </c>
      <c r="J3276" s="12">
        <f t="shared" si="158"/>
        <v>0.19625755703422054</v>
      </c>
    </row>
    <row r="3277" spans="1:10" ht="15" customHeight="1">
      <c r="A3277" s="14">
        <v>46011</v>
      </c>
      <c r="B3277" s="11">
        <v>264</v>
      </c>
      <c r="C3277">
        <v>43800</v>
      </c>
      <c r="D3277" s="78">
        <v>4.6900000000000004</v>
      </c>
      <c r="E3277" s="5">
        <v>7600</v>
      </c>
      <c r="F3277" s="39">
        <v>1</v>
      </c>
      <c r="G3277" s="39">
        <v>1</v>
      </c>
      <c r="H3277" s="2">
        <f t="shared" si="159"/>
        <v>12431577</v>
      </c>
      <c r="I3277" s="12">
        <f t="shared" si="157"/>
        <v>0.1825</v>
      </c>
      <c r="J3277" s="12">
        <f t="shared" si="158"/>
        <v>0.19620544507575757</v>
      </c>
    </row>
    <row r="3278" spans="1:10" ht="15" customHeight="1">
      <c r="A3278" s="14">
        <v>46012</v>
      </c>
      <c r="B3278" s="11">
        <v>265</v>
      </c>
      <c r="C3278">
        <v>43000</v>
      </c>
      <c r="D3278" s="5">
        <v>3.94</v>
      </c>
      <c r="E3278" s="5">
        <v>7970</v>
      </c>
      <c r="F3278" s="39">
        <v>1</v>
      </c>
      <c r="G3278" s="39">
        <v>1</v>
      </c>
      <c r="H3278" s="2">
        <f t="shared" si="159"/>
        <v>12474577</v>
      </c>
      <c r="I3278" s="12">
        <f t="shared" si="157"/>
        <v>0.17916666666666667</v>
      </c>
      <c r="J3278" s="12">
        <f t="shared" si="158"/>
        <v>0.19614114779874214</v>
      </c>
    </row>
    <row r="3279" spans="1:10" ht="15" customHeight="1">
      <c r="A3279" s="14">
        <v>46013</v>
      </c>
      <c r="B3279" s="11">
        <v>266</v>
      </c>
      <c r="C3279">
        <v>37500</v>
      </c>
      <c r="D3279" s="5">
        <v>3.94</v>
      </c>
      <c r="E3279" s="5">
        <v>7052</v>
      </c>
      <c r="F3279" s="39">
        <v>1</v>
      </c>
      <c r="G3279" s="39">
        <v>1</v>
      </c>
      <c r="H3279" s="2">
        <f t="shared" si="159"/>
        <v>12512077</v>
      </c>
      <c r="I3279" s="12">
        <f t="shared" si="157"/>
        <v>0.15625</v>
      </c>
      <c r="J3279" s="12">
        <f t="shared" si="158"/>
        <v>0.19599118107769423</v>
      </c>
    </row>
    <row r="3280" spans="1:10" ht="15" customHeight="1">
      <c r="A3280" s="14">
        <v>46014</v>
      </c>
      <c r="B3280" s="11">
        <v>267</v>
      </c>
      <c r="C3280">
        <v>37994.5</v>
      </c>
      <c r="D3280" s="5">
        <v>3.14</v>
      </c>
      <c r="E3280" s="5">
        <v>7052</v>
      </c>
      <c r="F3280" s="39">
        <v>1</v>
      </c>
      <c r="G3280" s="39">
        <v>1</v>
      </c>
      <c r="H3280" s="2">
        <f t="shared" si="159"/>
        <v>12550071.5</v>
      </c>
      <c r="I3280" s="12">
        <f t="shared" si="157"/>
        <v>0.15831041666666668</v>
      </c>
      <c r="J3280" s="12">
        <f t="shared" si="158"/>
        <v>0.19585005461922597</v>
      </c>
    </row>
    <row r="3281" spans="1:11" ht="15" customHeight="1">
      <c r="A3281" s="14">
        <v>46015</v>
      </c>
      <c r="B3281" s="11">
        <v>268</v>
      </c>
      <c r="C3281">
        <v>35965</v>
      </c>
      <c r="D3281" s="5">
        <v>3.85</v>
      </c>
      <c r="E3281" s="5">
        <v>7223</v>
      </c>
      <c r="F3281" s="39">
        <v>1</v>
      </c>
      <c r="G3281" s="39">
        <v>1</v>
      </c>
      <c r="H3281" s="2">
        <f t="shared" si="159"/>
        <v>12586036.5</v>
      </c>
      <c r="I3281" s="12">
        <f t="shared" si="157"/>
        <v>0.14985416666666668</v>
      </c>
      <c r="J3281" s="12">
        <f t="shared" si="158"/>
        <v>0.1956784281716418</v>
      </c>
    </row>
    <row r="3282" spans="1:11" ht="15" customHeight="1">
      <c r="A3282" s="14">
        <v>46016</v>
      </c>
      <c r="B3282" s="11">
        <v>269</v>
      </c>
      <c r="C3282">
        <v>46723</v>
      </c>
      <c r="D3282" s="5">
        <v>4.9000000000000004</v>
      </c>
      <c r="E3282" s="5">
        <v>8164</v>
      </c>
      <c r="F3282" s="39">
        <v>1</v>
      </c>
      <c r="G3282" s="39">
        <v>1</v>
      </c>
      <c r="H3282" s="2">
        <f t="shared" si="159"/>
        <v>12632759.5</v>
      </c>
      <c r="I3282" s="12">
        <f t="shared" si="157"/>
        <v>0.19467916666666665</v>
      </c>
      <c r="J3282" s="12">
        <f t="shared" si="158"/>
        <v>0.19567471344485748</v>
      </c>
    </row>
    <row r="3283" spans="1:11" ht="15" customHeight="1">
      <c r="A3283" s="14">
        <v>46017</v>
      </c>
      <c r="B3283" s="11">
        <v>270</v>
      </c>
      <c r="C3283" s="59">
        <v>46072.7</v>
      </c>
      <c r="D3283" s="5">
        <v>3.49</v>
      </c>
      <c r="E3283" s="5">
        <v>8790</v>
      </c>
      <c r="F3283" s="39">
        <v>1</v>
      </c>
      <c r="G3283" s="39">
        <v>1</v>
      </c>
      <c r="H3283" s="2">
        <f t="shared" si="159"/>
        <v>12678832.199999999</v>
      </c>
      <c r="I3283" s="12">
        <f t="shared" si="157"/>
        <v>0.19196958333333333</v>
      </c>
      <c r="J3283" s="12">
        <f t="shared" si="158"/>
        <v>0.19566099074074073</v>
      </c>
    </row>
    <row r="3284" spans="1:11" ht="15" customHeight="1">
      <c r="A3284" s="14">
        <v>46018</v>
      </c>
      <c r="B3284" s="11">
        <v>271</v>
      </c>
      <c r="C3284" s="59">
        <v>47304</v>
      </c>
      <c r="D3284" s="5">
        <v>3.91</v>
      </c>
      <c r="E3284" s="5">
        <v>8838</v>
      </c>
      <c r="F3284" s="39">
        <v>1</v>
      </c>
      <c r="G3284" s="39">
        <v>1</v>
      </c>
      <c r="H3284" s="2">
        <f t="shared" si="159"/>
        <v>12726136.199999999</v>
      </c>
      <c r="I3284" s="12">
        <f t="shared" si="157"/>
        <v>0.1971</v>
      </c>
      <c r="J3284" s="12">
        <f t="shared" si="158"/>
        <v>0.19566630073800736</v>
      </c>
    </row>
    <row r="3285" spans="1:11" ht="15" customHeight="1">
      <c r="A3285" s="14">
        <v>46019</v>
      </c>
      <c r="B3285" s="11">
        <v>272</v>
      </c>
      <c r="C3285" s="59">
        <v>44908.5</v>
      </c>
      <c r="D3285" s="5">
        <v>3.66</v>
      </c>
      <c r="E3285" s="5">
        <v>8206</v>
      </c>
      <c r="F3285" s="39">
        <v>1</v>
      </c>
      <c r="G3285" s="39">
        <v>1</v>
      </c>
      <c r="H3285" s="2">
        <f t="shared" si="159"/>
        <v>12771044.699999999</v>
      </c>
      <c r="I3285" s="12">
        <f t="shared" si="157"/>
        <v>0.18711875</v>
      </c>
      <c r="J3285" s="12">
        <f t="shared" si="158"/>
        <v>0.19563487591911763</v>
      </c>
    </row>
    <row r="3286" spans="1:11" ht="15" customHeight="1">
      <c r="A3286" s="14">
        <v>46020</v>
      </c>
      <c r="B3286" s="11">
        <v>273</v>
      </c>
      <c r="C3286" s="59">
        <v>47043</v>
      </c>
      <c r="D3286" s="5">
        <v>3.79</v>
      </c>
      <c r="E3286" s="5">
        <v>7464</v>
      </c>
      <c r="F3286" s="39">
        <v>1</v>
      </c>
      <c r="G3286" s="39">
        <v>1</v>
      </c>
      <c r="H3286" s="2">
        <f t="shared" si="159"/>
        <v>12818087.699999999</v>
      </c>
      <c r="I3286" s="12">
        <f t="shared" si="157"/>
        <v>0.19601250000000001</v>
      </c>
      <c r="J3286" s="12">
        <f t="shared" si="158"/>
        <v>0.19563625915750915</v>
      </c>
    </row>
    <row r="3287" spans="1:11" ht="15" customHeight="1">
      <c r="A3287" s="14">
        <v>46021</v>
      </c>
      <c r="B3287" s="11">
        <v>274</v>
      </c>
      <c r="C3287" s="59">
        <v>45538.5</v>
      </c>
      <c r="D3287" s="5">
        <v>3.79</v>
      </c>
      <c r="E3287" s="5">
        <v>7436</v>
      </c>
      <c r="F3287" s="39">
        <v>1</v>
      </c>
      <c r="G3287" s="39">
        <v>1</v>
      </c>
      <c r="H3287" s="2">
        <f t="shared" si="159"/>
        <v>12863626.199999999</v>
      </c>
      <c r="I3287" s="12">
        <f t="shared" si="157"/>
        <v>0.18974374999999999</v>
      </c>
      <c r="J3287" s="12">
        <f t="shared" si="158"/>
        <v>0.19561475364963501</v>
      </c>
    </row>
    <row r="3288" spans="1:11" ht="15" customHeight="1">
      <c r="A3288" s="14">
        <v>46022</v>
      </c>
      <c r="B3288" s="11">
        <v>275</v>
      </c>
      <c r="C3288" s="59">
        <v>23433</v>
      </c>
      <c r="D3288" s="5">
        <v>2.29</v>
      </c>
      <c r="E3288" s="5">
        <v>7374</v>
      </c>
      <c r="F3288" s="39">
        <v>1</v>
      </c>
      <c r="G3288" s="39">
        <v>1</v>
      </c>
      <c r="H3288" s="2">
        <f t="shared" si="159"/>
        <v>12887059.199999999</v>
      </c>
      <c r="I3288" s="12">
        <f t="shared" si="157"/>
        <v>9.7637500000000002E-2</v>
      </c>
      <c r="J3288" s="12">
        <f t="shared" si="158"/>
        <v>0.1952584727272727</v>
      </c>
    </row>
    <row r="3289" spans="1:11" ht="15" customHeight="1">
      <c r="A3289" s="14">
        <v>46023</v>
      </c>
      <c r="B3289" s="11">
        <v>276</v>
      </c>
      <c r="C3289" s="59">
        <v>30475.5</v>
      </c>
      <c r="D3289" s="5">
        <v>3.25</v>
      </c>
      <c r="E3289" s="5">
        <v>6737</v>
      </c>
      <c r="F3289" s="39">
        <v>1</v>
      </c>
      <c r="G3289" s="39">
        <v>1</v>
      </c>
      <c r="H3289" s="2">
        <f t="shared" si="159"/>
        <v>12917534.699999999</v>
      </c>
      <c r="I3289" s="12">
        <f t="shared" si="157"/>
        <v>0.12698124999999999</v>
      </c>
      <c r="J3289" s="12">
        <f t="shared" si="158"/>
        <v>0.19501109148550724</v>
      </c>
      <c r="K3289" s="59" t="s">
        <v>119</v>
      </c>
    </row>
    <row r="3290" spans="1:11" ht="15" customHeight="1">
      <c r="A3290" s="14">
        <v>46024</v>
      </c>
      <c r="B3290" s="11">
        <v>277</v>
      </c>
      <c r="C3290" s="59">
        <v>29151</v>
      </c>
      <c r="D3290" s="5">
        <v>3.89</v>
      </c>
      <c r="E3290" s="5">
        <v>5954</v>
      </c>
      <c r="F3290" s="39">
        <v>1</v>
      </c>
      <c r="G3290" s="39">
        <v>1</v>
      </c>
      <c r="H3290" s="2">
        <f t="shared" si="159"/>
        <v>12946685.699999999</v>
      </c>
      <c r="I3290" s="12">
        <f t="shared" si="157"/>
        <v>0.1214625</v>
      </c>
      <c r="J3290" s="12">
        <f t="shared" si="158"/>
        <v>0.19474557310469312</v>
      </c>
      <c r="K3290" s="59"/>
    </row>
    <row r="3291" spans="1:11" ht="15" customHeight="1">
      <c r="A3291" s="14">
        <v>46025</v>
      </c>
      <c r="B3291" s="11">
        <v>278</v>
      </c>
      <c r="C3291" s="59">
        <v>45979</v>
      </c>
      <c r="D3291" s="5">
        <v>3.72</v>
      </c>
      <c r="E3291" s="5">
        <v>7071</v>
      </c>
      <c r="F3291" s="39">
        <v>1</v>
      </c>
      <c r="G3291" s="39">
        <v>1</v>
      </c>
      <c r="H3291" s="2">
        <f t="shared" si="159"/>
        <v>12992664.699999999</v>
      </c>
      <c r="I3291" s="12">
        <f t="shared" si="157"/>
        <v>0.19157916666666666</v>
      </c>
      <c r="J3291" s="12">
        <f t="shared" si="158"/>
        <v>0.19473418315347721</v>
      </c>
    </row>
    <row r="3292" spans="1:11" ht="112">
      <c r="A3292" s="14">
        <v>46026</v>
      </c>
      <c r="B3292" s="11">
        <v>279</v>
      </c>
      <c r="C3292" s="59">
        <v>46231.5</v>
      </c>
      <c r="D3292" s="5">
        <v>3.78</v>
      </c>
      <c r="E3292" s="5">
        <v>5954</v>
      </c>
      <c r="F3292" s="39">
        <v>0.99</v>
      </c>
      <c r="G3292" s="39">
        <v>1</v>
      </c>
      <c r="H3292" s="2">
        <f t="shared" si="159"/>
        <v>13038896.199999999</v>
      </c>
      <c r="I3292" s="12">
        <f t="shared" si="157"/>
        <v>0.19263125</v>
      </c>
      <c r="J3292" s="12">
        <f t="shared" si="158"/>
        <v>0.19472664575866189</v>
      </c>
      <c r="K3292" s="75" t="s">
        <v>120</v>
      </c>
    </row>
    <row r="3293" spans="1:11" ht="15" customHeight="1">
      <c r="A3293" s="14">
        <v>46027</v>
      </c>
      <c r="B3293" s="11">
        <v>280</v>
      </c>
      <c r="C3293" s="59">
        <v>40800</v>
      </c>
      <c r="D3293" s="5">
        <v>3.41</v>
      </c>
      <c r="E3293" s="5">
        <v>8950</v>
      </c>
      <c r="F3293" s="39">
        <v>1</v>
      </c>
      <c r="G3293" s="39">
        <v>1</v>
      </c>
      <c r="H3293" s="2">
        <f t="shared" si="159"/>
        <v>13079696.199999999</v>
      </c>
      <c r="I3293" s="12">
        <f t="shared" si="157"/>
        <v>0.17</v>
      </c>
      <c r="J3293" s="12">
        <f t="shared" si="158"/>
        <v>0.19463833630952379</v>
      </c>
    </row>
    <row r="3294" spans="1:11" ht="15" customHeight="1">
      <c r="A3294" s="14">
        <v>46028</v>
      </c>
      <c r="B3294" s="11">
        <v>281</v>
      </c>
      <c r="F3294" s="39">
        <v>1</v>
      </c>
      <c r="G3294" s="39">
        <v>1</v>
      </c>
      <c r="H3294" s="2">
        <f t="shared" si="159"/>
        <v>13079696.199999999</v>
      </c>
      <c r="I3294" s="12">
        <f t="shared" si="157"/>
        <v>0</v>
      </c>
      <c r="J3294" s="12">
        <f t="shared" si="158"/>
        <v>0.19394567319098457</v>
      </c>
    </row>
    <row r="3295" spans="1:11" ht="15" customHeight="1">
      <c r="A3295" s="14">
        <v>46029</v>
      </c>
      <c r="B3295" s="11">
        <v>282</v>
      </c>
      <c r="F3295" s="39">
        <v>1</v>
      </c>
      <c r="G3295" s="39">
        <v>1</v>
      </c>
      <c r="H3295" s="2">
        <f t="shared" si="159"/>
        <v>13079696.199999999</v>
      </c>
      <c r="I3295" s="12">
        <f t="shared" si="157"/>
        <v>0</v>
      </c>
      <c r="J3295" s="12">
        <f t="shared" si="158"/>
        <v>0.19325792257683214</v>
      </c>
    </row>
    <row r="3296" spans="1:11" ht="15" customHeight="1">
      <c r="A3296" s="14">
        <v>46030</v>
      </c>
      <c r="B3296" s="11">
        <v>283</v>
      </c>
      <c r="F3296" s="39">
        <v>1</v>
      </c>
      <c r="G3296" s="39">
        <v>1</v>
      </c>
      <c r="H3296" s="2">
        <f t="shared" si="159"/>
        <v>13079696.199999999</v>
      </c>
      <c r="I3296" s="12">
        <f t="shared" si="157"/>
        <v>0</v>
      </c>
      <c r="J3296" s="12">
        <f t="shared" si="158"/>
        <v>0.19257503239104828</v>
      </c>
    </row>
    <row r="3297" spans="1:10" ht="15" customHeight="1">
      <c r="A3297" s="14">
        <v>46031</v>
      </c>
      <c r="B3297" s="11">
        <v>284</v>
      </c>
      <c r="F3297" s="39">
        <v>1</v>
      </c>
      <c r="G3297" s="39">
        <v>1</v>
      </c>
      <c r="H3297" s="2">
        <f t="shared" si="159"/>
        <v>13079696.199999999</v>
      </c>
      <c r="I3297" s="12">
        <f t="shared" si="157"/>
        <v>0</v>
      </c>
      <c r="J3297" s="12">
        <f t="shared" si="158"/>
        <v>0.19189695129107981</v>
      </c>
    </row>
    <row r="3298" spans="1:10" ht="15" customHeight="1">
      <c r="A3298" s="14">
        <v>46032</v>
      </c>
      <c r="B3298" s="11">
        <v>285</v>
      </c>
      <c r="F3298" s="39">
        <v>1</v>
      </c>
      <c r="G3298" s="39">
        <v>1</v>
      </c>
      <c r="H3298" s="2">
        <f t="shared" si="159"/>
        <v>13079696.199999999</v>
      </c>
      <c r="I3298" s="12">
        <f t="shared" si="157"/>
        <v>0</v>
      </c>
      <c r="J3298" s="12">
        <f t="shared" si="158"/>
        <v>0.19122362865497075</v>
      </c>
    </row>
    <row r="3299" spans="1:10" ht="15" customHeight="1">
      <c r="A3299" s="14">
        <v>46033</v>
      </c>
      <c r="B3299" s="11">
        <v>286</v>
      </c>
      <c r="F3299" s="39">
        <v>1</v>
      </c>
      <c r="G3299" s="39">
        <v>1</v>
      </c>
      <c r="H3299" s="2">
        <f t="shared" si="159"/>
        <v>13079696.199999999</v>
      </c>
      <c r="I3299" s="12">
        <f t="shared" si="157"/>
        <v>0</v>
      </c>
      <c r="J3299" s="12">
        <f t="shared" si="158"/>
        <v>0.19055501456876456</v>
      </c>
    </row>
    <row r="3300" spans="1:10" ht="15" customHeight="1">
      <c r="A3300" s="14">
        <v>46034</v>
      </c>
      <c r="B3300" s="11">
        <v>287</v>
      </c>
      <c r="F3300" s="39">
        <v>1</v>
      </c>
      <c r="G3300" s="39">
        <v>1</v>
      </c>
      <c r="H3300" s="2">
        <f t="shared" si="159"/>
        <v>13079696.199999999</v>
      </c>
      <c r="I3300" s="12">
        <f t="shared" si="157"/>
        <v>0</v>
      </c>
      <c r="J3300" s="12">
        <f t="shared" si="158"/>
        <v>0.18989105981416957</v>
      </c>
    </row>
    <row r="3301" spans="1:10" ht="15" customHeight="1">
      <c r="A3301" s="14">
        <v>46035</v>
      </c>
      <c r="B3301" s="11">
        <v>288</v>
      </c>
      <c r="F3301" s="39">
        <v>1</v>
      </c>
      <c r="G3301" s="39">
        <v>1</v>
      </c>
      <c r="H3301" s="2">
        <f t="shared" si="159"/>
        <v>13079696.199999999</v>
      </c>
      <c r="I3301" s="12">
        <f t="shared" si="157"/>
        <v>0</v>
      </c>
      <c r="J3301" s="12">
        <f t="shared" si="158"/>
        <v>0.18923171585648146</v>
      </c>
    </row>
    <row r="3302" spans="1:10" ht="15" customHeight="1">
      <c r="A3302" s="14">
        <v>46036</v>
      </c>
      <c r="B3302" s="11">
        <v>289</v>
      </c>
      <c r="F3302" s="39">
        <v>1</v>
      </c>
      <c r="G3302" s="39">
        <v>1</v>
      </c>
      <c r="H3302" s="2">
        <f t="shared" si="159"/>
        <v>13079696.199999999</v>
      </c>
      <c r="I3302" s="12">
        <f t="shared" si="157"/>
        <v>0</v>
      </c>
      <c r="J3302" s="12">
        <f t="shared" si="158"/>
        <v>0.18857693483275662</v>
      </c>
    </row>
    <row r="3303" spans="1:10" ht="15" customHeight="1">
      <c r="A3303" s="14">
        <v>46037</v>
      </c>
      <c r="B3303" s="11">
        <v>290</v>
      </c>
      <c r="F3303" s="39">
        <v>1</v>
      </c>
      <c r="G3303" s="39">
        <v>1</v>
      </c>
      <c r="H3303" s="2">
        <f t="shared" si="159"/>
        <v>13079696.199999999</v>
      </c>
      <c r="I3303" s="12">
        <f t="shared" si="157"/>
        <v>0</v>
      </c>
      <c r="J3303" s="12">
        <f t="shared" si="158"/>
        <v>0.18792666954022988</v>
      </c>
    </row>
    <row r="3304" spans="1:10" ht="15" customHeight="1">
      <c r="A3304" s="14">
        <v>46038</v>
      </c>
      <c r="B3304" s="11">
        <v>291</v>
      </c>
      <c r="F3304" s="39">
        <v>1</v>
      </c>
      <c r="G3304" s="39">
        <v>1</v>
      </c>
      <c r="H3304" s="2">
        <f t="shared" si="159"/>
        <v>13079696.199999999</v>
      </c>
      <c r="I3304" s="12">
        <f t="shared" si="157"/>
        <v>0</v>
      </c>
      <c r="J3304" s="12">
        <f t="shared" si="158"/>
        <v>0.18728087342497135</v>
      </c>
    </row>
    <row r="3305" spans="1:10" ht="15" customHeight="1">
      <c r="A3305" s="14">
        <v>46039</v>
      </c>
      <c r="B3305" s="11">
        <v>292</v>
      </c>
      <c r="F3305" s="39">
        <v>1</v>
      </c>
      <c r="G3305" s="39">
        <v>1</v>
      </c>
      <c r="H3305" s="2">
        <f t="shared" si="159"/>
        <v>13079696.199999999</v>
      </c>
      <c r="I3305" s="12">
        <f t="shared" si="157"/>
        <v>0</v>
      </c>
      <c r="J3305" s="12">
        <f t="shared" si="158"/>
        <v>0.18663950057077625</v>
      </c>
    </row>
    <row r="3306" spans="1:10" ht="15" customHeight="1">
      <c r="A3306" s="14">
        <v>46040</v>
      </c>
      <c r="B3306" s="11">
        <v>293</v>
      </c>
      <c r="F3306" s="39">
        <v>1</v>
      </c>
      <c r="G3306" s="39">
        <v>1</v>
      </c>
      <c r="H3306" s="2">
        <f t="shared" si="159"/>
        <v>13079696.199999999</v>
      </c>
      <c r="I3306" s="12">
        <f t="shared" si="157"/>
        <v>0</v>
      </c>
      <c r="J3306" s="12">
        <f t="shared" si="158"/>
        <v>0.18600250568828214</v>
      </c>
    </row>
    <row r="3307" spans="1:10" ht="15" customHeight="1">
      <c r="A3307" s="14">
        <v>46041</v>
      </c>
      <c r="B3307" s="11">
        <v>294</v>
      </c>
      <c r="F3307" s="39">
        <v>1</v>
      </c>
      <c r="G3307" s="39">
        <v>1</v>
      </c>
      <c r="H3307" s="2">
        <f t="shared" si="159"/>
        <v>13079696.199999999</v>
      </c>
      <c r="I3307" s="12">
        <f t="shared" si="157"/>
        <v>0</v>
      </c>
      <c r="J3307" s="12">
        <f t="shared" si="158"/>
        <v>0.18536984410430837</v>
      </c>
    </row>
    <row r="3308" spans="1:10" ht="15" customHeight="1">
      <c r="A3308" s="14">
        <v>46042</v>
      </c>
      <c r="B3308" s="11">
        <v>295</v>
      </c>
      <c r="F3308" s="39">
        <v>1</v>
      </c>
      <c r="G3308" s="39">
        <v>1</v>
      </c>
      <c r="H3308" s="2">
        <f t="shared" si="159"/>
        <v>13079696.199999999</v>
      </c>
      <c r="I3308" s="12">
        <f t="shared" si="157"/>
        <v>0</v>
      </c>
      <c r="J3308" s="12">
        <f t="shared" si="158"/>
        <v>0.18474147175141242</v>
      </c>
    </row>
    <row r="3309" spans="1:10" ht="15" customHeight="1">
      <c r="A3309" s="14">
        <v>46043</v>
      </c>
      <c r="B3309" s="11">
        <v>296</v>
      </c>
      <c r="F3309" s="39">
        <v>1</v>
      </c>
      <c r="G3309" s="39">
        <v>1</v>
      </c>
      <c r="H3309" s="2">
        <f t="shared" si="159"/>
        <v>13079696.199999999</v>
      </c>
      <c r="I3309" s="12">
        <f t="shared" si="157"/>
        <v>0</v>
      </c>
      <c r="J3309" s="12">
        <f t="shared" si="158"/>
        <v>0.18411734515765765</v>
      </c>
    </row>
    <row r="3310" spans="1:10" ht="15" customHeight="1">
      <c r="A3310" s="14">
        <v>46044</v>
      </c>
      <c r="B3310" s="11">
        <v>297</v>
      </c>
      <c r="F3310" s="39">
        <v>1</v>
      </c>
      <c r="G3310" s="39">
        <v>1</v>
      </c>
      <c r="H3310" s="2">
        <f t="shared" si="159"/>
        <v>13079696.199999999</v>
      </c>
      <c r="I3310" s="12">
        <f t="shared" si="157"/>
        <v>0</v>
      </c>
      <c r="J3310" s="12">
        <f t="shared" si="158"/>
        <v>0.18349742143658809</v>
      </c>
    </row>
    <row r="3311" spans="1:10" ht="15" customHeight="1">
      <c r="A3311" s="14">
        <v>46045</v>
      </c>
      <c r="B3311" s="11">
        <v>298</v>
      </c>
      <c r="F3311" s="39">
        <v>1</v>
      </c>
      <c r="G3311" s="39">
        <v>1</v>
      </c>
      <c r="H3311" s="2">
        <f t="shared" si="159"/>
        <v>13079696.199999999</v>
      </c>
      <c r="I3311" s="12">
        <f t="shared" si="157"/>
        <v>0</v>
      </c>
      <c r="J3311" s="12">
        <f t="shared" si="158"/>
        <v>0.18288165827740491</v>
      </c>
    </row>
    <row r="3312" spans="1:10" ht="15" customHeight="1">
      <c r="A3312" s="14">
        <v>46046</v>
      </c>
      <c r="B3312" s="11">
        <v>299</v>
      </c>
      <c r="F3312" s="39">
        <v>1</v>
      </c>
      <c r="G3312" s="39">
        <v>1</v>
      </c>
      <c r="H3312" s="2">
        <f t="shared" si="159"/>
        <v>13079696.199999999</v>
      </c>
      <c r="I3312" s="12">
        <f t="shared" si="157"/>
        <v>0</v>
      </c>
      <c r="J3312" s="12">
        <f t="shared" si="158"/>
        <v>0.18227001393534001</v>
      </c>
    </row>
    <row r="3313" spans="1:10" ht="15" customHeight="1">
      <c r="A3313" s="14">
        <v>46047</v>
      </c>
      <c r="B3313" s="11">
        <v>300</v>
      </c>
      <c r="F3313" s="39">
        <v>1</v>
      </c>
      <c r="G3313" s="39">
        <v>1</v>
      </c>
      <c r="H3313" s="2">
        <f t="shared" si="159"/>
        <v>13079696.199999999</v>
      </c>
      <c r="I3313" s="12">
        <f t="shared" si="157"/>
        <v>0</v>
      </c>
      <c r="J3313" s="12">
        <f t="shared" si="158"/>
        <v>0.18166244722222222</v>
      </c>
    </row>
    <row r="3314" spans="1:10" ht="15" customHeight="1">
      <c r="A3314" s="14">
        <v>46048</v>
      </c>
      <c r="B3314" s="11">
        <v>301</v>
      </c>
      <c r="F3314" s="39">
        <v>1</v>
      </c>
      <c r="G3314" s="39">
        <v>1</v>
      </c>
      <c r="H3314" s="2">
        <f t="shared" si="159"/>
        <v>13079696.199999999</v>
      </c>
      <c r="I3314" s="12">
        <f t="shared" si="157"/>
        <v>0</v>
      </c>
      <c r="J3314" s="12">
        <f t="shared" si="158"/>
        <v>0.18105891749723144</v>
      </c>
    </row>
    <row r="3315" spans="1:10" ht="15" customHeight="1">
      <c r="A3315" s="14">
        <v>46049</v>
      </c>
      <c r="B3315" s="11">
        <v>302</v>
      </c>
      <c r="F3315" s="39">
        <v>1</v>
      </c>
      <c r="G3315" s="39">
        <v>1</v>
      </c>
      <c r="H3315" s="2">
        <f t="shared" si="159"/>
        <v>13079696.199999999</v>
      </c>
      <c r="I3315" s="12">
        <f t="shared" si="157"/>
        <v>0</v>
      </c>
      <c r="J3315" s="12">
        <f t="shared" si="158"/>
        <v>0.18045938465783665</v>
      </c>
    </row>
    <row r="3316" spans="1:10" ht="15" customHeight="1">
      <c r="A3316" s="14">
        <v>46050</v>
      </c>
      <c r="B3316" s="11">
        <v>303</v>
      </c>
      <c r="F3316" s="39">
        <v>1</v>
      </c>
      <c r="G3316" s="39">
        <v>1</v>
      </c>
      <c r="H3316" s="2">
        <f t="shared" si="159"/>
        <v>13079696.199999999</v>
      </c>
      <c r="I3316" s="12">
        <f t="shared" si="157"/>
        <v>0</v>
      </c>
      <c r="J3316" s="12">
        <f t="shared" si="158"/>
        <v>0.17986380913091307</v>
      </c>
    </row>
    <row r="3317" spans="1:10" ht="15" customHeight="1">
      <c r="A3317" s="14">
        <v>46051</v>
      </c>
      <c r="B3317" s="11">
        <v>304</v>
      </c>
      <c r="F3317" s="39">
        <v>1</v>
      </c>
      <c r="G3317" s="39">
        <v>1</v>
      </c>
      <c r="H3317" s="2">
        <f t="shared" si="159"/>
        <v>13079696.199999999</v>
      </c>
      <c r="I3317" s="12">
        <f t="shared" si="157"/>
        <v>0</v>
      </c>
      <c r="J3317" s="12">
        <f t="shared" si="158"/>
        <v>0.17927215186403508</v>
      </c>
    </row>
    <row r="3318" spans="1:10" ht="15" customHeight="1">
      <c r="A3318" s="14">
        <v>46052</v>
      </c>
      <c r="B3318" s="11">
        <v>305</v>
      </c>
      <c r="F3318" s="39">
        <v>1</v>
      </c>
      <c r="G3318" s="39">
        <v>1</v>
      </c>
      <c r="H3318" s="2">
        <f t="shared" si="159"/>
        <v>13079696.199999999</v>
      </c>
      <c r="I3318" s="12">
        <f t="shared" si="157"/>
        <v>0</v>
      </c>
      <c r="J3318" s="12">
        <f t="shared" si="158"/>
        <v>0.17868437431693987</v>
      </c>
    </row>
    <row r="3319" spans="1:10" ht="15" customHeight="1">
      <c r="A3319" s="14">
        <v>46053</v>
      </c>
      <c r="B3319" s="11">
        <v>306</v>
      </c>
      <c r="F3319" s="39">
        <v>1</v>
      </c>
      <c r="G3319" s="39">
        <v>1</v>
      </c>
      <c r="H3319" s="2">
        <f t="shared" si="159"/>
        <v>13079696.199999999</v>
      </c>
      <c r="I3319" s="12">
        <f t="shared" si="157"/>
        <v>0</v>
      </c>
      <c r="J3319" s="12">
        <f t="shared" si="158"/>
        <v>0.17810043845315904</v>
      </c>
    </row>
    <row r="3320" spans="1:10" ht="15" customHeight="1">
      <c r="A3320" s="14">
        <v>46054</v>
      </c>
      <c r="B3320" s="11">
        <v>307</v>
      </c>
      <c r="F3320" s="39">
        <v>1</v>
      </c>
      <c r="G3320" s="39">
        <v>1</v>
      </c>
      <c r="H3320" s="2">
        <f t="shared" si="159"/>
        <v>13079696.199999999</v>
      </c>
      <c r="I3320" s="12">
        <f t="shared" si="157"/>
        <v>0</v>
      </c>
      <c r="J3320" s="12">
        <f t="shared" si="158"/>
        <v>0.17752030673181324</v>
      </c>
    </row>
    <row r="3321" spans="1:10" ht="15" customHeight="1">
      <c r="A3321" s="14">
        <v>46055</v>
      </c>
      <c r="B3321" s="11">
        <v>308</v>
      </c>
      <c r="F3321" s="39">
        <v>1</v>
      </c>
      <c r="G3321" s="39">
        <v>1</v>
      </c>
      <c r="H3321" s="2">
        <f t="shared" si="159"/>
        <v>13079696.199999999</v>
      </c>
      <c r="I3321" s="12">
        <f t="shared" si="157"/>
        <v>0</v>
      </c>
      <c r="J3321" s="12">
        <f t="shared" si="158"/>
        <v>0.1769439420995671</v>
      </c>
    </row>
    <row r="3322" spans="1:10" ht="15" customHeight="1">
      <c r="A3322" s="14">
        <v>46056</v>
      </c>
      <c r="B3322" s="11">
        <v>309</v>
      </c>
      <c r="F3322" s="39">
        <v>1</v>
      </c>
      <c r="G3322" s="39">
        <v>1</v>
      </c>
      <c r="H3322" s="2">
        <f t="shared" si="159"/>
        <v>13079696.199999999</v>
      </c>
      <c r="I3322" s="12">
        <f t="shared" si="157"/>
        <v>0</v>
      </c>
      <c r="J3322" s="12">
        <f t="shared" si="158"/>
        <v>0.17637130798274001</v>
      </c>
    </row>
    <row r="3323" spans="1:10" ht="15" customHeight="1">
      <c r="A3323" s="14">
        <v>46057</v>
      </c>
      <c r="B3323" s="11">
        <v>310</v>
      </c>
      <c r="F3323" s="39">
        <v>1</v>
      </c>
      <c r="G3323" s="39">
        <v>1</v>
      </c>
      <c r="H3323" s="2">
        <f t="shared" si="159"/>
        <v>13079696.199999999</v>
      </c>
      <c r="I3323" s="12">
        <f t="shared" si="157"/>
        <v>0</v>
      </c>
      <c r="J3323" s="12">
        <f t="shared" si="158"/>
        <v>0.17580236827956988</v>
      </c>
    </row>
    <row r="3324" spans="1:10" ht="15" customHeight="1">
      <c r="A3324" s="14">
        <v>46058</v>
      </c>
      <c r="B3324" s="11">
        <v>311</v>
      </c>
      <c r="F3324" s="39">
        <v>1</v>
      </c>
      <c r="G3324" s="39">
        <v>1</v>
      </c>
      <c r="H3324" s="2">
        <f t="shared" si="159"/>
        <v>13079696.199999999</v>
      </c>
      <c r="I3324" s="12">
        <f t="shared" si="157"/>
        <v>0</v>
      </c>
      <c r="J3324" s="12">
        <f t="shared" si="158"/>
        <v>0.17523708735262591</v>
      </c>
    </row>
    <row r="3325" spans="1:10" ht="15" customHeight="1">
      <c r="A3325" s="14">
        <v>46059</v>
      </c>
      <c r="B3325" s="11">
        <v>312</v>
      </c>
      <c r="F3325" s="39">
        <v>1</v>
      </c>
      <c r="G3325" s="39">
        <v>1</v>
      </c>
      <c r="H3325" s="2">
        <f t="shared" si="159"/>
        <v>13079696.199999999</v>
      </c>
      <c r="I3325" s="12">
        <f t="shared" si="157"/>
        <v>0</v>
      </c>
      <c r="J3325" s="12">
        <f t="shared" si="158"/>
        <v>0.17467543002136751</v>
      </c>
    </row>
    <row r="3326" spans="1:10" ht="15" customHeight="1">
      <c r="A3326" s="14">
        <v>46060</v>
      </c>
      <c r="B3326" s="11">
        <v>313</v>
      </c>
      <c r="F3326" s="39">
        <v>1</v>
      </c>
      <c r="G3326" s="39">
        <v>1</v>
      </c>
      <c r="H3326" s="2">
        <f t="shared" si="159"/>
        <v>13079696.199999999</v>
      </c>
      <c r="I3326" s="12">
        <f t="shared" si="157"/>
        <v>0</v>
      </c>
      <c r="J3326" s="12">
        <f t="shared" si="158"/>
        <v>0.17411736155484556</v>
      </c>
    </row>
    <row r="3327" spans="1:10" ht="15" customHeight="1">
      <c r="A3327" s="14">
        <v>46061</v>
      </c>
      <c r="B3327" s="11">
        <v>314</v>
      </c>
      <c r="F3327" s="39">
        <v>1</v>
      </c>
      <c r="G3327" s="39">
        <v>1</v>
      </c>
      <c r="H3327" s="2">
        <f t="shared" si="159"/>
        <v>13079696.199999999</v>
      </c>
      <c r="I3327" s="12">
        <f t="shared" si="157"/>
        <v>0</v>
      </c>
      <c r="J3327" s="12">
        <f t="shared" si="158"/>
        <v>0.17356284766454352</v>
      </c>
    </row>
    <row r="3328" spans="1:10" ht="15" customHeight="1">
      <c r="A3328" s="14">
        <v>46062</v>
      </c>
      <c r="B3328" s="11">
        <v>315</v>
      </c>
      <c r="F3328" s="39">
        <v>1</v>
      </c>
      <c r="G3328" s="39">
        <v>1</v>
      </c>
      <c r="H3328" s="2">
        <f t="shared" si="159"/>
        <v>13079696.199999999</v>
      </c>
      <c r="I3328" s="12">
        <f t="shared" si="157"/>
        <v>0</v>
      </c>
      <c r="J3328" s="12">
        <f t="shared" si="158"/>
        <v>0.17301185449735448</v>
      </c>
    </row>
    <row r="3329" spans="1:10" ht="15" customHeight="1">
      <c r="A3329" s="14">
        <v>46063</v>
      </c>
      <c r="B3329" s="11">
        <v>316</v>
      </c>
      <c r="F3329" s="39">
        <v>1</v>
      </c>
      <c r="G3329" s="39">
        <v>1</v>
      </c>
      <c r="H3329" s="2">
        <f t="shared" si="159"/>
        <v>13079696.199999999</v>
      </c>
      <c r="I3329" s="12">
        <f t="shared" si="157"/>
        <v>0</v>
      </c>
      <c r="J3329" s="12">
        <f t="shared" si="158"/>
        <v>0.17246434862869198</v>
      </c>
    </row>
    <row r="3330" spans="1:10" ht="15" customHeight="1">
      <c r="A3330" s="14">
        <v>46064</v>
      </c>
      <c r="B3330" s="11">
        <v>317</v>
      </c>
      <c r="F3330" s="39">
        <v>1</v>
      </c>
      <c r="G3330" s="39">
        <v>1</v>
      </c>
      <c r="H3330" s="2">
        <f t="shared" si="159"/>
        <v>13079696.199999999</v>
      </c>
      <c r="I3330" s="12">
        <f t="shared" si="157"/>
        <v>0</v>
      </c>
      <c r="J3330" s="12">
        <f t="shared" si="158"/>
        <v>0.17192029705573081</v>
      </c>
    </row>
    <row r="3331" spans="1:10" ht="15" customHeight="1">
      <c r="A3331" s="14">
        <v>46065</v>
      </c>
      <c r="B3331" s="11">
        <v>318</v>
      </c>
      <c r="F3331" s="39">
        <v>1</v>
      </c>
      <c r="G3331" s="39">
        <v>1</v>
      </c>
      <c r="H3331" s="2">
        <f t="shared" si="159"/>
        <v>13079696.199999999</v>
      </c>
      <c r="I3331" s="12">
        <f t="shared" ref="I3331:I3394" si="160">C3331/(10*24*1000)</f>
        <v>0</v>
      </c>
      <c r="J3331" s="12">
        <f t="shared" si="158"/>
        <v>0.17137966719077566</v>
      </c>
    </row>
    <row r="3332" spans="1:10" ht="15" customHeight="1">
      <c r="A3332" s="14">
        <v>46066</v>
      </c>
      <c r="B3332" s="11">
        <v>319</v>
      </c>
      <c r="F3332" s="39">
        <v>1</v>
      </c>
      <c r="G3332" s="39">
        <v>1</v>
      </c>
      <c r="H3332" s="2">
        <f t="shared" si="159"/>
        <v>13079696.199999999</v>
      </c>
      <c r="I3332" s="12">
        <f t="shared" si="160"/>
        <v>0</v>
      </c>
      <c r="J3332" s="12">
        <f t="shared" si="158"/>
        <v>0.17084242685475443</v>
      </c>
    </row>
    <row r="3333" spans="1:10" ht="15" customHeight="1">
      <c r="A3333" s="14">
        <v>46067</v>
      </c>
      <c r="B3333" s="11">
        <v>320</v>
      </c>
      <c r="F3333" s="39">
        <v>1</v>
      </c>
      <c r="G3333" s="39">
        <v>1</v>
      </c>
      <c r="H3333" s="2">
        <f t="shared" si="159"/>
        <v>13079696.199999999</v>
      </c>
      <c r="I3333" s="12">
        <f t="shared" si="160"/>
        <v>0</v>
      </c>
      <c r="J3333" s="12">
        <f t="shared" si="158"/>
        <v>0.17030854427083333</v>
      </c>
    </row>
    <row r="3334" spans="1:10" ht="15" customHeight="1">
      <c r="A3334" s="14">
        <v>46068</v>
      </c>
      <c r="B3334" s="11">
        <v>321</v>
      </c>
      <c r="F3334" s="39">
        <v>1</v>
      </c>
      <c r="G3334" s="39">
        <v>1</v>
      </c>
      <c r="H3334" s="2">
        <f t="shared" si="159"/>
        <v>13079696.199999999</v>
      </c>
      <c r="I3334" s="12">
        <f t="shared" si="160"/>
        <v>0</v>
      </c>
      <c r="J3334" s="12">
        <f t="shared" si="158"/>
        <v>0.16977798805815161</v>
      </c>
    </row>
    <row r="3335" spans="1:10" ht="15" customHeight="1">
      <c r="A3335" s="14">
        <v>46069</v>
      </c>
      <c r="B3335" s="11">
        <v>322</v>
      </c>
      <c r="F3335" s="39">
        <v>1</v>
      </c>
      <c r="G3335" s="39">
        <v>1</v>
      </c>
      <c r="H3335" s="2">
        <f t="shared" si="159"/>
        <v>13079696.199999999</v>
      </c>
      <c r="I3335" s="12">
        <f t="shared" si="160"/>
        <v>0</v>
      </c>
      <c r="J3335" s="12">
        <f t="shared" ref="J3335:J3398" si="161">H3335/(24*B3335*10*1000)</f>
        <v>0.16925072722567286</v>
      </c>
    </row>
    <row r="3336" spans="1:10" ht="15" customHeight="1">
      <c r="A3336" s="14">
        <v>46070</v>
      </c>
      <c r="B3336" s="11">
        <v>323</v>
      </c>
      <c r="F3336" s="39">
        <v>1</v>
      </c>
      <c r="G3336" s="39">
        <v>1</v>
      </c>
      <c r="H3336" s="2">
        <f t="shared" ref="H3336:H3399" si="162">H3335+C3336</f>
        <v>13079696.199999999</v>
      </c>
      <c r="I3336" s="12">
        <f t="shared" si="160"/>
        <v>0</v>
      </c>
      <c r="J3336" s="12">
        <f t="shared" si="161"/>
        <v>0.16872673116615067</v>
      </c>
    </row>
    <row r="3337" spans="1:10" ht="15" customHeight="1">
      <c r="A3337" s="14">
        <v>46071</v>
      </c>
      <c r="B3337" s="11">
        <v>324</v>
      </c>
      <c r="F3337" s="39">
        <v>1</v>
      </c>
      <c r="G3337" s="39">
        <v>1</v>
      </c>
      <c r="H3337" s="2">
        <f t="shared" si="162"/>
        <v>13079696.199999999</v>
      </c>
      <c r="I3337" s="12">
        <f t="shared" si="160"/>
        <v>0</v>
      </c>
      <c r="J3337" s="12">
        <f t="shared" si="161"/>
        <v>0.16820596965020576</v>
      </c>
    </row>
    <row r="3338" spans="1:10" ht="15" customHeight="1">
      <c r="A3338" s="14">
        <v>46072</v>
      </c>
      <c r="B3338" s="11">
        <v>325</v>
      </c>
      <c r="F3338" s="39">
        <v>1</v>
      </c>
      <c r="G3338" s="39">
        <v>1</v>
      </c>
      <c r="H3338" s="2">
        <f t="shared" si="162"/>
        <v>13079696.199999999</v>
      </c>
      <c r="I3338" s="12">
        <f t="shared" si="160"/>
        <v>0</v>
      </c>
      <c r="J3338" s="12">
        <f t="shared" si="161"/>
        <v>0.16768841282051281</v>
      </c>
    </row>
    <row r="3339" spans="1:10" ht="15" customHeight="1">
      <c r="A3339" s="14">
        <v>46073</v>
      </c>
      <c r="B3339" s="11">
        <v>326</v>
      </c>
      <c r="F3339" s="39">
        <v>1</v>
      </c>
      <c r="G3339" s="39">
        <v>1</v>
      </c>
      <c r="H3339" s="2">
        <f t="shared" si="162"/>
        <v>13079696.199999999</v>
      </c>
      <c r="I3339" s="12">
        <f t="shared" si="160"/>
        <v>0</v>
      </c>
      <c r="J3339" s="12">
        <f t="shared" si="161"/>
        <v>0.16717403118609406</v>
      </c>
    </row>
    <row r="3340" spans="1:10" ht="15" customHeight="1">
      <c r="A3340" s="14">
        <v>46074</v>
      </c>
      <c r="B3340" s="11">
        <v>327</v>
      </c>
      <c r="F3340" s="39">
        <v>1</v>
      </c>
      <c r="G3340" s="39">
        <v>1</v>
      </c>
      <c r="H3340" s="2">
        <f t="shared" si="162"/>
        <v>13079696.199999999</v>
      </c>
      <c r="I3340" s="12">
        <f t="shared" si="160"/>
        <v>0</v>
      </c>
      <c r="J3340" s="12">
        <f t="shared" si="161"/>
        <v>0.16666279561671762</v>
      </c>
    </row>
    <row r="3341" spans="1:10" ht="15" customHeight="1">
      <c r="A3341" s="14">
        <v>46075</v>
      </c>
      <c r="B3341" s="11">
        <v>328</v>
      </c>
      <c r="F3341" s="39">
        <v>1</v>
      </c>
      <c r="G3341" s="39">
        <v>1</v>
      </c>
      <c r="H3341" s="2">
        <f t="shared" si="162"/>
        <v>13079696.199999999</v>
      </c>
      <c r="I3341" s="12">
        <f t="shared" si="160"/>
        <v>0</v>
      </c>
      <c r="J3341" s="12">
        <f t="shared" si="161"/>
        <v>0.16615467733739836</v>
      </c>
    </row>
    <row r="3342" spans="1:10" ht="15" customHeight="1">
      <c r="A3342" s="14">
        <v>46076</v>
      </c>
      <c r="B3342" s="11">
        <v>329</v>
      </c>
      <c r="F3342" s="39">
        <v>1</v>
      </c>
      <c r="G3342" s="39">
        <v>1</v>
      </c>
      <c r="H3342" s="2">
        <f t="shared" si="162"/>
        <v>13079696.199999999</v>
      </c>
      <c r="I3342" s="12">
        <f t="shared" si="160"/>
        <v>0</v>
      </c>
      <c r="J3342" s="12">
        <f t="shared" si="161"/>
        <v>0.16564964792299897</v>
      </c>
    </row>
    <row r="3343" spans="1:10" ht="15" customHeight="1">
      <c r="A3343" s="14">
        <v>46077</v>
      </c>
      <c r="B3343" s="11">
        <v>330</v>
      </c>
      <c r="F3343" s="39">
        <v>1</v>
      </c>
      <c r="G3343" s="39">
        <v>1</v>
      </c>
      <c r="H3343" s="2">
        <f t="shared" si="162"/>
        <v>13079696.199999999</v>
      </c>
      <c r="I3343" s="12">
        <f t="shared" si="160"/>
        <v>0</v>
      </c>
      <c r="J3343" s="12">
        <f t="shared" si="161"/>
        <v>0.16514767929292928</v>
      </c>
    </row>
    <row r="3344" spans="1:10" ht="15" customHeight="1">
      <c r="A3344" s="14">
        <v>46078</v>
      </c>
      <c r="B3344" s="11">
        <v>331</v>
      </c>
      <c r="F3344" s="39">
        <v>1</v>
      </c>
      <c r="G3344" s="39">
        <v>1</v>
      </c>
      <c r="H3344" s="2">
        <f t="shared" si="162"/>
        <v>13079696.199999999</v>
      </c>
      <c r="I3344" s="12">
        <f t="shared" si="160"/>
        <v>0</v>
      </c>
      <c r="J3344" s="12">
        <f t="shared" si="161"/>
        <v>0.16464874370594157</v>
      </c>
    </row>
    <row r="3345" spans="1:10" ht="15" customHeight="1">
      <c r="A3345" s="14">
        <v>46079</v>
      </c>
      <c r="B3345" s="11">
        <v>332</v>
      </c>
      <c r="F3345" s="39">
        <v>1</v>
      </c>
      <c r="G3345" s="39">
        <v>1</v>
      </c>
      <c r="H3345" s="2">
        <f t="shared" si="162"/>
        <v>13079696.199999999</v>
      </c>
      <c r="I3345" s="12">
        <f t="shared" si="160"/>
        <v>0</v>
      </c>
      <c r="J3345" s="12">
        <f t="shared" si="161"/>
        <v>0.16415281375502008</v>
      </c>
    </row>
    <row r="3346" spans="1:10" ht="15" customHeight="1">
      <c r="A3346" s="14">
        <v>46080</v>
      </c>
      <c r="B3346" s="11">
        <v>333</v>
      </c>
      <c r="F3346" s="39">
        <v>1</v>
      </c>
      <c r="G3346" s="39">
        <v>1</v>
      </c>
      <c r="H3346" s="2">
        <f t="shared" si="162"/>
        <v>13079696.199999999</v>
      </c>
      <c r="I3346" s="12">
        <f t="shared" si="160"/>
        <v>0</v>
      </c>
      <c r="J3346" s="12">
        <f t="shared" si="161"/>
        <v>0.16365986236236235</v>
      </c>
    </row>
    <row r="3347" spans="1:10" ht="15" customHeight="1">
      <c r="A3347" s="14">
        <v>46081</v>
      </c>
      <c r="B3347" s="11">
        <v>334</v>
      </c>
      <c r="F3347" s="39">
        <v>1</v>
      </c>
      <c r="G3347" s="39">
        <v>1</v>
      </c>
      <c r="H3347" s="2">
        <f t="shared" si="162"/>
        <v>13079696.199999999</v>
      </c>
      <c r="I3347" s="12">
        <f t="shared" si="160"/>
        <v>0</v>
      </c>
      <c r="J3347" s="12">
        <f t="shared" si="161"/>
        <v>0.16316986277445109</v>
      </c>
    </row>
    <row r="3348" spans="1:10" ht="15" customHeight="1">
      <c r="A3348" s="14">
        <v>46082</v>
      </c>
      <c r="B3348" s="11">
        <v>335</v>
      </c>
      <c r="F3348" s="39">
        <v>1</v>
      </c>
      <c r="G3348" s="39">
        <v>1</v>
      </c>
      <c r="H3348" s="2">
        <f t="shared" si="162"/>
        <v>13079696.199999999</v>
      </c>
      <c r="I3348" s="12">
        <f t="shared" si="160"/>
        <v>0</v>
      </c>
      <c r="J3348" s="12">
        <f t="shared" si="161"/>
        <v>0.16268278855721391</v>
      </c>
    </row>
    <row r="3349" spans="1:10" ht="15" customHeight="1">
      <c r="A3349" s="14">
        <v>46083</v>
      </c>
      <c r="B3349" s="11">
        <v>336</v>
      </c>
      <c r="F3349" s="39">
        <v>1</v>
      </c>
      <c r="G3349" s="39">
        <v>1</v>
      </c>
      <c r="H3349" s="2">
        <f t="shared" si="162"/>
        <v>13079696.199999999</v>
      </c>
      <c r="I3349" s="12">
        <f t="shared" si="160"/>
        <v>0</v>
      </c>
      <c r="J3349" s="12">
        <f t="shared" si="161"/>
        <v>0.16219861359126983</v>
      </c>
    </row>
    <row r="3350" spans="1:10" ht="15" customHeight="1">
      <c r="A3350" s="14">
        <v>46084</v>
      </c>
      <c r="B3350" s="11">
        <v>337</v>
      </c>
      <c r="F3350" s="39">
        <v>1</v>
      </c>
      <c r="G3350" s="39">
        <v>1</v>
      </c>
      <c r="H3350" s="2">
        <f t="shared" si="162"/>
        <v>13079696.199999999</v>
      </c>
      <c r="I3350" s="12">
        <f t="shared" si="160"/>
        <v>0</v>
      </c>
      <c r="J3350" s="12">
        <f t="shared" si="161"/>
        <v>0.16171731206726012</v>
      </c>
    </row>
    <row r="3351" spans="1:10" ht="15" customHeight="1">
      <c r="A3351" s="14">
        <v>46085</v>
      </c>
      <c r="B3351" s="11">
        <v>338</v>
      </c>
      <c r="F3351" s="39">
        <v>1</v>
      </c>
      <c r="G3351" s="39">
        <v>1</v>
      </c>
      <c r="H3351" s="2">
        <f t="shared" si="162"/>
        <v>13079696.199999999</v>
      </c>
      <c r="I3351" s="12">
        <f t="shared" si="160"/>
        <v>0</v>
      </c>
      <c r="J3351" s="12">
        <f t="shared" si="161"/>
        <v>0.16123885848126232</v>
      </c>
    </row>
    <row r="3352" spans="1:10" ht="15" customHeight="1">
      <c r="A3352" s="14">
        <v>46086</v>
      </c>
      <c r="B3352" s="11">
        <v>339</v>
      </c>
      <c r="F3352" s="39">
        <v>1</v>
      </c>
      <c r="G3352" s="39">
        <v>1</v>
      </c>
      <c r="H3352" s="2">
        <f t="shared" si="162"/>
        <v>13079696.199999999</v>
      </c>
      <c r="I3352" s="12">
        <f t="shared" si="160"/>
        <v>0</v>
      </c>
      <c r="J3352" s="12">
        <f t="shared" si="161"/>
        <v>0.16076322763028514</v>
      </c>
    </row>
    <row r="3353" spans="1:10" ht="15" customHeight="1">
      <c r="A3353" s="14">
        <v>46087</v>
      </c>
      <c r="B3353" s="11">
        <v>340</v>
      </c>
      <c r="F3353" s="39">
        <v>1</v>
      </c>
      <c r="G3353" s="39">
        <v>1</v>
      </c>
      <c r="H3353" s="2">
        <f t="shared" si="162"/>
        <v>13079696.199999999</v>
      </c>
      <c r="I3353" s="12">
        <f t="shared" si="160"/>
        <v>0</v>
      </c>
      <c r="J3353" s="12">
        <f t="shared" si="161"/>
        <v>0.16029039460784314</v>
      </c>
    </row>
    <row r="3354" spans="1:10" ht="15" customHeight="1">
      <c r="A3354" s="14">
        <v>46088</v>
      </c>
      <c r="B3354" s="11">
        <v>341</v>
      </c>
      <c r="F3354" s="39">
        <v>1</v>
      </c>
      <c r="G3354" s="39">
        <v>1</v>
      </c>
      <c r="H3354" s="2">
        <f t="shared" si="162"/>
        <v>13079696.199999999</v>
      </c>
      <c r="I3354" s="12">
        <f t="shared" si="160"/>
        <v>0</v>
      </c>
      <c r="J3354" s="12">
        <f t="shared" si="161"/>
        <v>0.15982033479960897</v>
      </c>
    </row>
    <row r="3355" spans="1:10" ht="15" customHeight="1">
      <c r="A3355" s="14">
        <v>46089</v>
      </c>
      <c r="B3355" s="11">
        <v>342</v>
      </c>
      <c r="F3355" s="39">
        <v>1</v>
      </c>
      <c r="G3355" s="39">
        <v>1</v>
      </c>
      <c r="H3355" s="2">
        <f t="shared" si="162"/>
        <v>13079696.199999999</v>
      </c>
      <c r="I3355" s="12">
        <f t="shared" si="160"/>
        <v>0</v>
      </c>
      <c r="J3355" s="12">
        <f t="shared" si="161"/>
        <v>0.1593530238791423</v>
      </c>
    </row>
    <row r="3356" spans="1:10" ht="15" customHeight="1">
      <c r="A3356" s="14">
        <v>46090</v>
      </c>
      <c r="B3356" s="11">
        <v>343</v>
      </c>
      <c r="F3356" s="39">
        <v>1</v>
      </c>
      <c r="G3356" s="39">
        <v>1</v>
      </c>
      <c r="H3356" s="2">
        <f t="shared" si="162"/>
        <v>13079696.199999999</v>
      </c>
      <c r="I3356" s="12">
        <f t="shared" si="160"/>
        <v>0</v>
      </c>
      <c r="J3356" s="12">
        <f t="shared" si="161"/>
        <v>0.15888843780369288</v>
      </c>
    </row>
    <row r="3357" spans="1:10" ht="15" customHeight="1">
      <c r="A3357" s="14">
        <v>46091</v>
      </c>
      <c r="B3357" s="11">
        <v>344</v>
      </c>
      <c r="F3357" s="39">
        <v>1</v>
      </c>
      <c r="G3357" s="39">
        <v>1</v>
      </c>
      <c r="H3357" s="2">
        <f t="shared" si="162"/>
        <v>13079696.199999999</v>
      </c>
      <c r="I3357" s="12">
        <f t="shared" si="160"/>
        <v>0</v>
      </c>
      <c r="J3357" s="12">
        <f t="shared" si="161"/>
        <v>0.1584265528100775</v>
      </c>
    </row>
    <row r="3358" spans="1:10" ht="15" customHeight="1">
      <c r="A3358" s="14">
        <v>46092</v>
      </c>
      <c r="B3358" s="11">
        <v>345</v>
      </c>
      <c r="F3358" s="39">
        <v>1</v>
      </c>
      <c r="G3358" s="39">
        <v>1</v>
      </c>
      <c r="H3358" s="2">
        <f t="shared" si="162"/>
        <v>13079696.199999999</v>
      </c>
      <c r="I3358" s="12">
        <f t="shared" si="160"/>
        <v>0</v>
      </c>
      <c r="J3358" s="12">
        <f t="shared" si="161"/>
        <v>0.15796734541062801</v>
      </c>
    </row>
    <row r="3359" spans="1:10" ht="15" customHeight="1">
      <c r="A3359" s="14">
        <v>46093</v>
      </c>
      <c r="B3359" s="11">
        <v>346</v>
      </c>
      <c r="F3359" s="39">
        <v>1</v>
      </c>
      <c r="G3359" s="39">
        <v>1</v>
      </c>
      <c r="H3359" s="2">
        <f t="shared" si="162"/>
        <v>13079696.199999999</v>
      </c>
      <c r="I3359" s="12">
        <f t="shared" si="160"/>
        <v>0</v>
      </c>
      <c r="J3359" s="12">
        <f t="shared" si="161"/>
        <v>0.15751079238921001</v>
      </c>
    </row>
    <row r="3360" spans="1:10" ht="15" customHeight="1">
      <c r="A3360" s="14">
        <v>46094</v>
      </c>
      <c r="B3360" s="11">
        <v>347</v>
      </c>
      <c r="F3360" s="39">
        <v>1</v>
      </c>
      <c r="G3360" s="39">
        <v>1</v>
      </c>
      <c r="H3360" s="2">
        <f t="shared" si="162"/>
        <v>13079696.199999999</v>
      </c>
      <c r="I3360" s="12">
        <f t="shared" si="160"/>
        <v>0</v>
      </c>
      <c r="J3360" s="12">
        <f t="shared" si="161"/>
        <v>0.15705687079731026</v>
      </c>
    </row>
    <row r="3361" spans="1:10" ht="15" customHeight="1">
      <c r="A3361" s="14">
        <v>46095</v>
      </c>
      <c r="B3361" s="11">
        <v>348</v>
      </c>
      <c r="F3361" s="39">
        <v>1</v>
      </c>
      <c r="G3361" s="39">
        <v>1</v>
      </c>
      <c r="H3361" s="2">
        <f t="shared" si="162"/>
        <v>13079696.199999999</v>
      </c>
      <c r="I3361" s="12">
        <f t="shared" si="160"/>
        <v>0</v>
      </c>
      <c r="J3361" s="12">
        <f t="shared" si="161"/>
        <v>0.15660555795019157</v>
      </c>
    </row>
    <row r="3362" spans="1:10" ht="15" customHeight="1">
      <c r="A3362" s="14">
        <v>46096</v>
      </c>
      <c r="B3362" s="11">
        <v>349</v>
      </c>
      <c r="F3362" s="39">
        <v>1</v>
      </c>
      <c r="G3362" s="39">
        <v>1</v>
      </c>
      <c r="H3362" s="2">
        <f t="shared" si="162"/>
        <v>13079696.199999999</v>
      </c>
      <c r="I3362" s="12">
        <f t="shared" si="160"/>
        <v>0</v>
      </c>
      <c r="J3362" s="12">
        <f t="shared" si="161"/>
        <v>0.15615683142311365</v>
      </c>
    </row>
    <row r="3363" spans="1:10" ht="15" customHeight="1">
      <c r="A3363" s="14">
        <v>46097</v>
      </c>
      <c r="B3363" s="11">
        <v>350</v>
      </c>
      <c r="F3363" s="39">
        <v>1</v>
      </c>
      <c r="G3363" s="39">
        <v>1</v>
      </c>
      <c r="H3363" s="2">
        <f t="shared" si="162"/>
        <v>13079696.199999999</v>
      </c>
      <c r="I3363" s="12">
        <f t="shared" si="160"/>
        <v>0</v>
      </c>
      <c r="J3363" s="12">
        <f t="shared" si="161"/>
        <v>0.15571066904761904</v>
      </c>
    </row>
    <row r="3364" spans="1:10" ht="15" customHeight="1">
      <c r="A3364" s="14">
        <v>46098</v>
      </c>
      <c r="B3364" s="11">
        <v>351</v>
      </c>
      <c r="F3364" s="39">
        <v>1</v>
      </c>
      <c r="G3364" s="39">
        <v>1</v>
      </c>
      <c r="H3364" s="2">
        <f t="shared" si="162"/>
        <v>13079696.199999999</v>
      </c>
      <c r="I3364" s="12">
        <f t="shared" si="160"/>
        <v>0</v>
      </c>
      <c r="J3364" s="12">
        <f t="shared" si="161"/>
        <v>0.15526704890788223</v>
      </c>
    </row>
    <row r="3365" spans="1:10" ht="15" customHeight="1">
      <c r="A3365" s="14">
        <v>46099</v>
      </c>
      <c r="B3365" s="11">
        <v>352</v>
      </c>
      <c r="F3365" s="39">
        <v>1</v>
      </c>
      <c r="G3365" s="39">
        <v>1</v>
      </c>
      <c r="H3365" s="2">
        <f t="shared" si="162"/>
        <v>13079696.199999999</v>
      </c>
      <c r="I3365" s="12">
        <f t="shared" si="160"/>
        <v>0</v>
      </c>
      <c r="J3365" s="12">
        <f t="shared" si="161"/>
        <v>0.15482594933712121</v>
      </c>
    </row>
    <row r="3366" spans="1:10" ht="15" customHeight="1">
      <c r="A3366" s="14">
        <v>46100</v>
      </c>
      <c r="B3366" s="11">
        <v>353</v>
      </c>
      <c r="F3366" s="39">
        <v>1</v>
      </c>
      <c r="G3366" s="39">
        <v>1</v>
      </c>
      <c r="H3366" s="2">
        <f t="shared" si="162"/>
        <v>13079696.199999999</v>
      </c>
      <c r="I3366" s="12">
        <f t="shared" si="160"/>
        <v>0</v>
      </c>
      <c r="J3366" s="12">
        <f t="shared" si="161"/>
        <v>0.15438734891406986</v>
      </c>
    </row>
    <row r="3367" spans="1:10" ht="15" customHeight="1">
      <c r="A3367" s="14">
        <v>46101</v>
      </c>
      <c r="B3367" s="11">
        <v>354</v>
      </c>
      <c r="F3367" s="39">
        <v>1</v>
      </c>
      <c r="G3367" s="39">
        <v>1</v>
      </c>
      <c r="H3367" s="2">
        <f t="shared" si="162"/>
        <v>13079696.199999999</v>
      </c>
      <c r="I3367" s="12">
        <f t="shared" si="160"/>
        <v>0</v>
      </c>
      <c r="J3367" s="12">
        <f t="shared" si="161"/>
        <v>0.15395122645951034</v>
      </c>
    </row>
    <row r="3368" spans="1:10" ht="15" customHeight="1">
      <c r="A3368" s="14">
        <v>46102</v>
      </c>
      <c r="B3368" s="11">
        <v>355</v>
      </c>
      <c r="F3368" s="39">
        <v>1</v>
      </c>
      <c r="G3368" s="39">
        <v>1</v>
      </c>
      <c r="H3368" s="2">
        <f t="shared" si="162"/>
        <v>13079696.199999999</v>
      </c>
      <c r="I3368" s="12">
        <f t="shared" si="160"/>
        <v>0</v>
      </c>
      <c r="J3368" s="12">
        <f t="shared" si="161"/>
        <v>0.15351756103286385</v>
      </c>
    </row>
    <row r="3369" spans="1:10" ht="15" customHeight="1">
      <c r="A3369" s="14">
        <v>46103</v>
      </c>
      <c r="B3369" s="11">
        <v>356</v>
      </c>
      <c r="F3369" s="39">
        <v>1</v>
      </c>
      <c r="G3369" s="39">
        <v>1</v>
      </c>
      <c r="H3369" s="2">
        <f t="shared" si="162"/>
        <v>13079696.199999999</v>
      </c>
      <c r="I3369" s="12">
        <f t="shared" si="160"/>
        <v>0</v>
      </c>
      <c r="J3369" s="12">
        <f t="shared" si="161"/>
        <v>0.15308633192883894</v>
      </c>
    </row>
    <row r="3370" spans="1:10" ht="15" customHeight="1">
      <c r="A3370" s="14">
        <v>46104</v>
      </c>
      <c r="B3370" s="11">
        <v>357</v>
      </c>
      <c r="F3370" s="39">
        <v>1</v>
      </c>
      <c r="G3370" s="39">
        <v>1</v>
      </c>
      <c r="H3370" s="2">
        <f t="shared" si="162"/>
        <v>13079696.199999999</v>
      </c>
      <c r="I3370" s="12">
        <f t="shared" si="160"/>
        <v>0</v>
      </c>
      <c r="J3370" s="12">
        <f t="shared" si="161"/>
        <v>0.15265751867413632</v>
      </c>
    </row>
    <row r="3371" spans="1:10" ht="15" customHeight="1">
      <c r="A3371" s="14">
        <v>46105</v>
      </c>
      <c r="B3371" s="11">
        <v>358</v>
      </c>
      <c r="F3371" s="39">
        <v>1</v>
      </c>
      <c r="G3371" s="39">
        <v>1</v>
      </c>
      <c r="H3371" s="2">
        <f t="shared" si="162"/>
        <v>13079696.199999999</v>
      </c>
      <c r="I3371" s="12">
        <f t="shared" si="160"/>
        <v>0</v>
      </c>
      <c r="J3371" s="12">
        <f t="shared" si="161"/>
        <v>0.15223110102420856</v>
      </c>
    </row>
    <row r="3372" spans="1:10" ht="15" customHeight="1">
      <c r="A3372" s="14">
        <v>46106</v>
      </c>
      <c r="B3372" s="11">
        <v>359</v>
      </c>
      <c r="F3372" s="39">
        <v>1</v>
      </c>
      <c r="G3372" s="39">
        <v>1</v>
      </c>
      <c r="H3372" s="2">
        <f t="shared" si="162"/>
        <v>13079696.199999999</v>
      </c>
      <c r="I3372" s="12">
        <f t="shared" si="160"/>
        <v>0</v>
      </c>
      <c r="J3372" s="12">
        <f t="shared" si="161"/>
        <v>0.15180705896007426</v>
      </c>
    </row>
    <row r="3373" spans="1:10" ht="15" customHeight="1">
      <c r="A3373" s="14">
        <v>46107</v>
      </c>
      <c r="B3373" s="11">
        <v>360</v>
      </c>
      <c r="F3373" s="39">
        <v>1</v>
      </c>
      <c r="G3373" s="39">
        <v>1</v>
      </c>
      <c r="H3373" s="2">
        <f t="shared" si="162"/>
        <v>13079696.199999999</v>
      </c>
      <c r="I3373" s="12">
        <f t="shared" si="160"/>
        <v>0</v>
      </c>
      <c r="J3373" s="12">
        <f t="shared" si="161"/>
        <v>0.15138537268518518</v>
      </c>
    </row>
    <row r="3374" spans="1:10" ht="15" customHeight="1">
      <c r="A3374" s="14">
        <v>46108</v>
      </c>
      <c r="B3374" s="11">
        <v>361</v>
      </c>
      <c r="F3374" s="39">
        <v>1</v>
      </c>
      <c r="G3374" s="39">
        <v>1</v>
      </c>
      <c r="H3374" s="2">
        <f t="shared" si="162"/>
        <v>13079696.199999999</v>
      </c>
      <c r="I3374" s="12">
        <f t="shared" si="160"/>
        <v>0</v>
      </c>
      <c r="J3374" s="12">
        <f t="shared" si="161"/>
        <v>0.15096602262234532</v>
      </c>
    </row>
    <row r="3375" spans="1:10" ht="15" customHeight="1">
      <c r="A3375" s="14">
        <v>46109</v>
      </c>
      <c r="B3375" s="11">
        <v>362</v>
      </c>
      <c r="F3375" s="39">
        <v>1</v>
      </c>
      <c r="G3375" s="39">
        <v>1</v>
      </c>
      <c r="H3375" s="2">
        <f t="shared" si="162"/>
        <v>13079696.199999999</v>
      </c>
      <c r="I3375" s="12">
        <f t="shared" si="160"/>
        <v>0</v>
      </c>
      <c r="J3375" s="12">
        <f t="shared" si="161"/>
        <v>0.1505489894106814</v>
      </c>
    </row>
    <row r="3376" spans="1:10" ht="15" customHeight="1">
      <c r="A3376" s="14">
        <v>46110</v>
      </c>
      <c r="B3376" s="11">
        <v>363</v>
      </c>
      <c r="F3376" s="39">
        <v>1</v>
      </c>
      <c r="G3376" s="39">
        <v>1</v>
      </c>
      <c r="H3376" s="2">
        <f t="shared" si="162"/>
        <v>13079696.199999999</v>
      </c>
      <c r="I3376" s="12">
        <f t="shared" si="160"/>
        <v>0</v>
      </c>
      <c r="J3376" s="12">
        <f t="shared" si="161"/>
        <v>0.150134253902663</v>
      </c>
    </row>
    <row r="3377" spans="1:10" ht="15" customHeight="1">
      <c r="A3377" s="14">
        <v>46111</v>
      </c>
      <c r="B3377" s="11">
        <v>364</v>
      </c>
      <c r="F3377" s="39">
        <v>1</v>
      </c>
      <c r="G3377" s="39">
        <v>1</v>
      </c>
      <c r="H3377" s="2">
        <f t="shared" si="162"/>
        <v>13079696.199999999</v>
      </c>
      <c r="I3377" s="12">
        <f t="shared" si="160"/>
        <v>0</v>
      </c>
      <c r="J3377" s="12">
        <f t="shared" si="161"/>
        <v>0.14972179716117215</v>
      </c>
    </row>
    <row r="3378" spans="1:10" ht="15" customHeight="1">
      <c r="A3378" s="14">
        <v>46112</v>
      </c>
      <c r="B3378" s="11">
        <v>365</v>
      </c>
      <c r="F3378" s="39">
        <v>1</v>
      </c>
      <c r="G3378" s="39">
        <v>1</v>
      </c>
      <c r="H3378" s="2">
        <f t="shared" si="162"/>
        <v>13079696.199999999</v>
      </c>
      <c r="I3378" s="12">
        <f t="shared" si="160"/>
        <v>0</v>
      </c>
      <c r="J3378" s="12">
        <f t="shared" si="161"/>
        <v>0.14931160045662101</v>
      </c>
    </row>
    <row r="3379" spans="1:10" ht="15" customHeight="1">
      <c r="A3379" s="14">
        <v>46113</v>
      </c>
      <c r="B3379" s="11">
        <v>1</v>
      </c>
      <c r="F3379" s="39">
        <v>1</v>
      </c>
      <c r="G3379" s="39">
        <v>1</v>
      </c>
      <c r="H3379" s="2">
        <f t="shared" si="162"/>
        <v>13079696.199999999</v>
      </c>
      <c r="I3379" s="12">
        <f t="shared" si="160"/>
        <v>0</v>
      </c>
      <c r="J3379" s="12">
        <f t="shared" si="161"/>
        <v>54.498734166666665</v>
      </c>
    </row>
    <row r="3380" spans="1:10" ht="15" customHeight="1">
      <c r="A3380" s="14">
        <v>46114</v>
      </c>
      <c r="B3380" s="11">
        <v>2</v>
      </c>
      <c r="F3380" s="39">
        <v>1</v>
      </c>
      <c r="G3380" s="39">
        <v>1</v>
      </c>
      <c r="H3380" s="2">
        <f t="shared" si="162"/>
        <v>13079696.199999999</v>
      </c>
      <c r="I3380" s="12">
        <f t="shared" si="160"/>
        <v>0</v>
      </c>
      <c r="J3380" s="12">
        <f t="shared" si="161"/>
        <v>27.249367083333333</v>
      </c>
    </row>
    <row r="3381" spans="1:10" ht="15" customHeight="1">
      <c r="A3381" s="14">
        <v>46115</v>
      </c>
      <c r="B3381" s="11">
        <v>3</v>
      </c>
      <c r="F3381" s="39">
        <v>1</v>
      </c>
      <c r="G3381" s="39">
        <v>1</v>
      </c>
      <c r="H3381" s="2">
        <f t="shared" si="162"/>
        <v>13079696.199999999</v>
      </c>
      <c r="I3381" s="12">
        <f t="shared" si="160"/>
        <v>0</v>
      </c>
      <c r="J3381" s="12">
        <f t="shared" si="161"/>
        <v>18.166244722222221</v>
      </c>
    </row>
    <row r="3382" spans="1:10" ht="15" customHeight="1">
      <c r="A3382" s="14">
        <v>46116</v>
      </c>
      <c r="B3382" s="11">
        <v>4</v>
      </c>
      <c r="F3382" s="39">
        <v>1</v>
      </c>
      <c r="G3382" s="39">
        <v>1</v>
      </c>
      <c r="H3382" s="2">
        <f t="shared" si="162"/>
        <v>13079696.199999999</v>
      </c>
      <c r="I3382" s="12">
        <f t="shared" si="160"/>
        <v>0</v>
      </c>
      <c r="J3382" s="12">
        <f t="shared" si="161"/>
        <v>13.624683541666666</v>
      </c>
    </row>
    <row r="3383" spans="1:10" ht="15" customHeight="1">
      <c r="A3383" s="14">
        <v>46117</v>
      </c>
      <c r="B3383" s="11">
        <v>5</v>
      </c>
      <c r="F3383" s="39">
        <v>1</v>
      </c>
      <c r="G3383" s="39">
        <v>1</v>
      </c>
      <c r="H3383" s="2">
        <f t="shared" si="162"/>
        <v>13079696.199999999</v>
      </c>
      <c r="I3383" s="12">
        <f t="shared" si="160"/>
        <v>0</v>
      </c>
      <c r="J3383" s="12">
        <f t="shared" si="161"/>
        <v>10.899746833333333</v>
      </c>
    </row>
    <row r="3384" spans="1:10" ht="15" customHeight="1">
      <c r="A3384" s="14">
        <v>46118</v>
      </c>
      <c r="B3384" s="11">
        <v>6</v>
      </c>
      <c r="F3384" s="39">
        <v>1</v>
      </c>
      <c r="G3384" s="39">
        <v>1</v>
      </c>
      <c r="H3384" s="2">
        <f t="shared" si="162"/>
        <v>13079696.199999999</v>
      </c>
      <c r="I3384" s="12">
        <f t="shared" si="160"/>
        <v>0</v>
      </c>
      <c r="J3384" s="12">
        <f t="shared" si="161"/>
        <v>9.0831223611111103</v>
      </c>
    </row>
    <row r="3385" spans="1:10" ht="15" customHeight="1">
      <c r="A3385" s="14">
        <v>46119</v>
      </c>
      <c r="B3385" s="11">
        <v>7</v>
      </c>
      <c r="F3385" s="39">
        <v>1</v>
      </c>
      <c r="G3385" s="39">
        <v>1</v>
      </c>
      <c r="H3385" s="2">
        <f t="shared" si="162"/>
        <v>13079696.199999999</v>
      </c>
      <c r="I3385" s="12">
        <f t="shared" si="160"/>
        <v>0</v>
      </c>
      <c r="J3385" s="12">
        <f t="shared" si="161"/>
        <v>7.7855334523809523</v>
      </c>
    </row>
    <row r="3386" spans="1:10" ht="15" customHeight="1">
      <c r="A3386" s="14">
        <v>46120</v>
      </c>
      <c r="B3386" s="11">
        <v>8</v>
      </c>
      <c r="F3386" s="39">
        <v>1</v>
      </c>
      <c r="G3386" s="39">
        <v>1</v>
      </c>
      <c r="H3386" s="2">
        <f t="shared" si="162"/>
        <v>13079696.199999999</v>
      </c>
      <c r="I3386" s="12">
        <f t="shared" si="160"/>
        <v>0</v>
      </c>
      <c r="J3386" s="12">
        <f t="shared" si="161"/>
        <v>6.8123417708333331</v>
      </c>
    </row>
    <row r="3387" spans="1:10" ht="15" customHeight="1">
      <c r="A3387" s="14">
        <v>46121</v>
      </c>
      <c r="B3387" s="11">
        <v>9</v>
      </c>
      <c r="F3387" s="39">
        <v>1</v>
      </c>
      <c r="G3387" s="39">
        <v>1</v>
      </c>
      <c r="H3387" s="2">
        <f t="shared" si="162"/>
        <v>13079696.199999999</v>
      </c>
      <c r="I3387" s="12">
        <f t="shared" si="160"/>
        <v>0</v>
      </c>
      <c r="J3387" s="12">
        <f t="shared" si="161"/>
        <v>6.0554149074074068</v>
      </c>
    </row>
    <row r="3388" spans="1:10" ht="15" customHeight="1">
      <c r="A3388" s="14">
        <v>46122</v>
      </c>
      <c r="B3388" s="11">
        <v>10</v>
      </c>
      <c r="F3388" s="39">
        <v>1</v>
      </c>
      <c r="G3388" s="39">
        <v>1</v>
      </c>
      <c r="H3388" s="2">
        <f t="shared" si="162"/>
        <v>13079696.199999999</v>
      </c>
      <c r="I3388" s="12">
        <f t="shared" si="160"/>
        <v>0</v>
      </c>
      <c r="J3388" s="12">
        <f t="shared" si="161"/>
        <v>5.4498734166666667</v>
      </c>
    </row>
    <row r="3389" spans="1:10" ht="15" customHeight="1">
      <c r="A3389" s="14">
        <v>46123</v>
      </c>
      <c r="B3389" s="11">
        <v>11</v>
      </c>
      <c r="F3389" s="39">
        <v>1</v>
      </c>
      <c r="G3389" s="39">
        <v>1</v>
      </c>
      <c r="H3389" s="2">
        <f t="shared" si="162"/>
        <v>13079696.199999999</v>
      </c>
      <c r="I3389" s="12">
        <f t="shared" si="160"/>
        <v>0</v>
      </c>
      <c r="J3389" s="12">
        <f t="shared" si="161"/>
        <v>4.9544303787878787</v>
      </c>
    </row>
    <row r="3390" spans="1:10" ht="15" customHeight="1">
      <c r="A3390" s="14">
        <v>46124</v>
      </c>
      <c r="B3390" s="11">
        <v>12</v>
      </c>
      <c r="F3390" s="39">
        <v>1</v>
      </c>
      <c r="G3390" s="39">
        <v>1</v>
      </c>
      <c r="H3390" s="2">
        <f t="shared" si="162"/>
        <v>13079696.199999999</v>
      </c>
      <c r="I3390" s="12">
        <f t="shared" si="160"/>
        <v>0</v>
      </c>
      <c r="J3390" s="12">
        <f t="shared" si="161"/>
        <v>4.5415611805555551</v>
      </c>
    </row>
    <row r="3391" spans="1:10" ht="15" customHeight="1">
      <c r="A3391" s="14">
        <v>46125</v>
      </c>
      <c r="B3391" s="11">
        <v>13</v>
      </c>
      <c r="F3391" s="39">
        <v>1</v>
      </c>
      <c r="G3391" s="39">
        <v>1</v>
      </c>
      <c r="H3391" s="2">
        <f t="shared" si="162"/>
        <v>13079696.199999999</v>
      </c>
      <c r="I3391" s="12">
        <f t="shared" si="160"/>
        <v>0</v>
      </c>
      <c r="J3391" s="12">
        <f t="shared" si="161"/>
        <v>4.1922103205128201</v>
      </c>
    </row>
    <row r="3392" spans="1:10" ht="15" customHeight="1">
      <c r="A3392" s="14">
        <v>46126</v>
      </c>
      <c r="B3392" s="11">
        <v>14</v>
      </c>
      <c r="F3392" s="39">
        <v>1</v>
      </c>
      <c r="G3392" s="39">
        <v>1</v>
      </c>
      <c r="H3392" s="2">
        <f t="shared" si="162"/>
        <v>13079696.199999999</v>
      </c>
      <c r="I3392" s="12">
        <f t="shared" si="160"/>
        <v>0</v>
      </c>
      <c r="J3392" s="12">
        <f t="shared" si="161"/>
        <v>3.8927667261904761</v>
      </c>
    </row>
    <row r="3393" spans="1:10" ht="15" customHeight="1">
      <c r="A3393" s="14">
        <v>46127</v>
      </c>
      <c r="B3393" s="11">
        <v>15</v>
      </c>
      <c r="F3393" s="39">
        <v>1</v>
      </c>
      <c r="G3393" s="39">
        <v>1</v>
      </c>
      <c r="H3393" s="2">
        <f t="shared" si="162"/>
        <v>13079696.199999999</v>
      </c>
      <c r="I3393" s="12">
        <f t="shared" si="160"/>
        <v>0</v>
      </c>
      <c r="J3393" s="12">
        <f t="shared" si="161"/>
        <v>3.633248944444444</v>
      </c>
    </row>
    <row r="3394" spans="1:10" ht="15" customHeight="1">
      <c r="A3394" s="14">
        <v>46128</v>
      </c>
      <c r="B3394" s="11">
        <v>16</v>
      </c>
      <c r="F3394" s="39">
        <v>1</v>
      </c>
      <c r="G3394" s="39">
        <v>1</v>
      </c>
      <c r="H3394" s="2">
        <f t="shared" si="162"/>
        <v>13079696.199999999</v>
      </c>
      <c r="I3394" s="12">
        <f t="shared" si="160"/>
        <v>0</v>
      </c>
      <c r="J3394" s="12">
        <f t="shared" si="161"/>
        <v>3.4061708854166666</v>
      </c>
    </row>
    <row r="3395" spans="1:10" ht="15" customHeight="1">
      <c r="A3395" s="14">
        <v>46129</v>
      </c>
      <c r="B3395" s="11">
        <v>17</v>
      </c>
      <c r="F3395" s="39">
        <v>1</v>
      </c>
      <c r="G3395" s="39">
        <v>1</v>
      </c>
      <c r="H3395" s="2">
        <f t="shared" si="162"/>
        <v>13079696.199999999</v>
      </c>
      <c r="I3395" s="12">
        <f t="shared" ref="I3395:I3458" si="163">C3395/(10*24*1000)</f>
        <v>0</v>
      </c>
      <c r="J3395" s="12">
        <f t="shared" si="161"/>
        <v>3.2058078921568627</v>
      </c>
    </row>
    <row r="3396" spans="1:10" ht="15" customHeight="1">
      <c r="A3396" s="14">
        <v>46130</v>
      </c>
      <c r="B3396" s="11">
        <v>18</v>
      </c>
      <c r="F3396" s="39">
        <v>1</v>
      </c>
      <c r="G3396" s="39">
        <v>1</v>
      </c>
      <c r="H3396" s="2">
        <f t="shared" si="162"/>
        <v>13079696.199999999</v>
      </c>
      <c r="I3396" s="12">
        <f t="shared" si="163"/>
        <v>0</v>
      </c>
      <c r="J3396" s="12">
        <f t="shared" si="161"/>
        <v>3.0277074537037034</v>
      </c>
    </row>
    <row r="3397" spans="1:10" ht="15" customHeight="1">
      <c r="A3397" s="14">
        <v>46131</v>
      </c>
      <c r="B3397" s="11">
        <v>19</v>
      </c>
      <c r="F3397" s="39">
        <v>1</v>
      </c>
      <c r="G3397" s="39">
        <v>1</v>
      </c>
      <c r="H3397" s="2">
        <f t="shared" si="162"/>
        <v>13079696.199999999</v>
      </c>
      <c r="I3397" s="12">
        <f t="shared" si="163"/>
        <v>0</v>
      </c>
      <c r="J3397" s="12">
        <f t="shared" si="161"/>
        <v>2.8683544298245613</v>
      </c>
    </row>
    <row r="3398" spans="1:10" ht="15" customHeight="1">
      <c r="A3398" s="14">
        <v>46132</v>
      </c>
      <c r="B3398" s="11">
        <v>20</v>
      </c>
      <c r="F3398" s="39">
        <v>1</v>
      </c>
      <c r="G3398" s="39">
        <v>1</v>
      </c>
      <c r="H3398" s="2">
        <f t="shared" si="162"/>
        <v>13079696.199999999</v>
      </c>
      <c r="I3398" s="12">
        <f t="shared" si="163"/>
        <v>0</v>
      </c>
      <c r="J3398" s="12">
        <f t="shared" si="161"/>
        <v>2.7249367083333333</v>
      </c>
    </row>
    <row r="3399" spans="1:10" ht="15" customHeight="1">
      <c r="A3399" s="14">
        <v>46133</v>
      </c>
      <c r="B3399" s="11">
        <v>21</v>
      </c>
      <c r="F3399" s="39">
        <v>1</v>
      </c>
      <c r="G3399" s="39">
        <v>1</v>
      </c>
      <c r="H3399" s="2">
        <f t="shared" si="162"/>
        <v>13079696.199999999</v>
      </c>
      <c r="I3399" s="12">
        <f t="shared" si="163"/>
        <v>0</v>
      </c>
      <c r="J3399" s="12">
        <f t="shared" ref="J3399:J3462" si="164">H3399/(24*B3399*10*1000)</f>
        <v>2.5951778174603173</v>
      </c>
    </row>
    <row r="3400" spans="1:10" ht="15" customHeight="1">
      <c r="A3400" s="14">
        <v>46134</v>
      </c>
      <c r="B3400" s="11">
        <v>22</v>
      </c>
      <c r="F3400" s="39">
        <v>1</v>
      </c>
      <c r="G3400" s="39">
        <v>1</v>
      </c>
      <c r="H3400" s="2">
        <f t="shared" ref="H3400:H3463" si="165">H3399+C3400</f>
        <v>13079696.199999999</v>
      </c>
      <c r="I3400" s="12">
        <f t="shared" si="163"/>
        <v>0</v>
      </c>
      <c r="J3400" s="12">
        <f t="shared" si="164"/>
        <v>2.4772151893939394</v>
      </c>
    </row>
    <row r="3401" spans="1:10" ht="15" customHeight="1">
      <c r="A3401" s="14">
        <v>46135</v>
      </c>
      <c r="B3401" s="11">
        <v>23</v>
      </c>
      <c r="F3401" s="39">
        <v>1</v>
      </c>
      <c r="G3401" s="39">
        <v>1</v>
      </c>
      <c r="H3401" s="2">
        <f t="shared" si="165"/>
        <v>13079696.199999999</v>
      </c>
      <c r="I3401" s="12">
        <f t="shared" si="163"/>
        <v>0</v>
      </c>
      <c r="J3401" s="12">
        <f t="shared" si="164"/>
        <v>2.3695101811594204</v>
      </c>
    </row>
    <row r="3402" spans="1:10" ht="15" customHeight="1">
      <c r="A3402" s="14">
        <v>46136</v>
      </c>
      <c r="B3402" s="11">
        <v>24</v>
      </c>
      <c r="F3402" s="39">
        <v>1</v>
      </c>
      <c r="G3402" s="39">
        <v>1</v>
      </c>
      <c r="H3402" s="2">
        <f t="shared" si="165"/>
        <v>13079696.199999999</v>
      </c>
      <c r="I3402" s="12">
        <f t="shared" si="163"/>
        <v>0</v>
      </c>
      <c r="J3402" s="12">
        <f t="shared" si="164"/>
        <v>2.2707805902777776</v>
      </c>
    </row>
    <row r="3403" spans="1:10" ht="15" customHeight="1">
      <c r="A3403" s="14">
        <v>46137</v>
      </c>
      <c r="B3403" s="11">
        <v>25</v>
      </c>
      <c r="F3403" s="39">
        <v>1</v>
      </c>
      <c r="G3403" s="39">
        <v>1</v>
      </c>
      <c r="H3403" s="2">
        <f t="shared" si="165"/>
        <v>13079696.199999999</v>
      </c>
      <c r="I3403" s="12">
        <f t="shared" si="163"/>
        <v>0</v>
      </c>
      <c r="J3403" s="12">
        <f t="shared" si="164"/>
        <v>2.1799493666666665</v>
      </c>
    </row>
    <row r="3404" spans="1:10" ht="15" customHeight="1">
      <c r="A3404" s="14">
        <v>46138</v>
      </c>
      <c r="B3404" s="11">
        <v>26</v>
      </c>
      <c r="F3404" s="39">
        <v>1</v>
      </c>
      <c r="G3404" s="39">
        <v>1</v>
      </c>
      <c r="H3404" s="2">
        <f t="shared" si="165"/>
        <v>13079696.199999999</v>
      </c>
      <c r="I3404" s="12">
        <f t="shared" si="163"/>
        <v>0</v>
      </c>
      <c r="J3404" s="12">
        <f t="shared" si="164"/>
        <v>2.09610516025641</v>
      </c>
    </row>
    <row r="3405" spans="1:10" ht="15" customHeight="1">
      <c r="A3405" s="14">
        <v>46139</v>
      </c>
      <c r="B3405" s="11">
        <v>27</v>
      </c>
      <c r="F3405" s="39">
        <v>1</v>
      </c>
      <c r="G3405" s="39">
        <v>1</v>
      </c>
      <c r="H3405" s="2">
        <f t="shared" si="165"/>
        <v>13079696.199999999</v>
      </c>
      <c r="I3405" s="12">
        <f t="shared" si="163"/>
        <v>0</v>
      </c>
      <c r="J3405" s="12">
        <f t="shared" si="164"/>
        <v>2.0184716358024688</v>
      </c>
    </row>
    <row r="3406" spans="1:10" ht="15" customHeight="1">
      <c r="A3406" s="14">
        <v>46140</v>
      </c>
      <c r="B3406" s="11">
        <v>28</v>
      </c>
      <c r="F3406" s="39">
        <v>1</v>
      </c>
      <c r="G3406" s="39">
        <v>1</v>
      </c>
      <c r="H3406" s="2">
        <f t="shared" si="165"/>
        <v>13079696.199999999</v>
      </c>
      <c r="I3406" s="12">
        <f t="shared" si="163"/>
        <v>0</v>
      </c>
      <c r="J3406" s="12">
        <f t="shared" si="164"/>
        <v>1.9463833630952381</v>
      </c>
    </row>
    <row r="3407" spans="1:10" ht="15" customHeight="1">
      <c r="A3407" s="14">
        <v>46141</v>
      </c>
      <c r="B3407" s="11">
        <v>29</v>
      </c>
      <c r="F3407" s="39">
        <v>1</v>
      </c>
      <c r="G3407" s="39">
        <v>1</v>
      </c>
      <c r="H3407" s="2">
        <f t="shared" si="165"/>
        <v>13079696.199999999</v>
      </c>
      <c r="I3407" s="12">
        <f t="shared" si="163"/>
        <v>0</v>
      </c>
      <c r="J3407" s="12">
        <f t="shared" si="164"/>
        <v>1.8792666954022987</v>
      </c>
    </row>
    <row r="3408" spans="1:10" ht="15" customHeight="1">
      <c r="A3408" s="14">
        <v>46142</v>
      </c>
      <c r="B3408" s="11">
        <v>30</v>
      </c>
      <c r="F3408" s="39">
        <v>1</v>
      </c>
      <c r="G3408" s="39">
        <v>1</v>
      </c>
      <c r="H3408" s="2">
        <f t="shared" si="165"/>
        <v>13079696.199999999</v>
      </c>
      <c r="I3408" s="12">
        <f t="shared" si="163"/>
        <v>0</v>
      </c>
      <c r="J3408" s="12">
        <f t="shared" si="164"/>
        <v>1.816624472222222</v>
      </c>
    </row>
    <row r="3409" spans="1:10" ht="15" customHeight="1">
      <c r="A3409" s="14">
        <v>46143</v>
      </c>
      <c r="B3409" s="11">
        <v>31</v>
      </c>
      <c r="F3409" s="39">
        <v>1</v>
      </c>
      <c r="G3409" s="39">
        <v>1</v>
      </c>
      <c r="H3409" s="2">
        <f t="shared" si="165"/>
        <v>13079696.199999999</v>
      </c>
      <c r="I3409" s="12">
        <f t="shared" si="163"/>
        <v>0</v>
      </c>
      <c r="J3409" s="12">
        <f t="shared" si="164"/>
        <v>1.7580236827956988</v>
      </c>
    </row>
    <row r="3410" spans="1:10" ht="15" customHeight="1">
      <c r="A3410" s="14">
        <v>46144</v>
      </c>
      <c r="B3410" s="11">
        <v>32</v>
      </c>
      <c r="F3410" s="39">
        <v>1</v>
      </c>
      <c r="G3410" s="39">
        <v>1</v>
      </c>
      <c r="H3410" s="2">
        <f t="shared" si="165"/>
        <v>13079696.199999999</v>
      </c>
      <c r="I3410" s="12">
        <f t="shared" si="163"/>
        <v>0</v>
      </c>
      <c r="J3410" s="12">
        <f t="shared" si="164"/>
        <v>1.7030854427083333</v>
      </c>
    </row>
    <row r="3411" spans="1:10" ht="15" customHeight="1">
      <c r="A3411" s="14">
        <v>46145</v>
      </c>
      <c r="B3411" s="11">
        <v>33</v>
      </c>
      <c r="F3411" s="39">
        <v>1</v>
      </c>
      <c r="G3411" s="39">
        <v>1</v>
      </c>
      <c r="H3411" s="2">
        <f t="shared" si="165"/>
        <v>13079696.199999999</v>
      </c>
      <c r="I3411" s="12">
        <f t="shared" si="163"/>
        <v>0</v>
      </c>
      <c r="J3411" s="12">
        <f t="shared" si="164"/>
        <v>1.6514767929292928</v>
      </c>
    </row>
    <row r="3412" spans="1:10" ht="15" customHeight="1">
      <c r="A3412" s="14">
        <v>46146</v>
      </c>
      <c r="B3412" s="11">
        <v>34</v>
      </c>
      <c r="F3412" s="39">
        <v>1</v>
      </c>
      <c r="G3412" s="39">
        <v>1</v>
      </c>
      <c r="H3412" s="2">
        <f t="shared" si="165"/>
        <v>13079696.199999999</v>
      </c>
      <c r="I3412" s="12">
        <f t="shared" si="163"/>
        <v>0</v>
      </c>
      <c r="J3412" s="12">
        <f t="shared" si="164"/>
        <v>1.6029039460784313</v>
      </c>
    </row>
    <row r="3413" spans="1:10" ht="15" customHeight="1">
      <c r="A3413" s="14">
        <v>46147</v>
      </c>
      <c r="B3413" s="11">
        <v>35</v>
      </c>
      <c r="F3413" s="39">
        <v>1</v>
      </c>
      <c r="G3413" s="39">
        <v>1</v>
      </c>
      <c r="H3413" s="2">
        <f t="shared" si="165"/>
        <v>13079696.199999999</v>
      </c>
      <c r="I3413" s="12">
        <f t="shared" si="163"/>
        <v>0</v>
      </c>
      <c r="J3413" s="12">
        <f t="shared" si="164"/>
        <v>1.5571066904761903</v>
      </c>
    </row>
    <row r="3414" spans="1:10" ht="15" customHeight="1">
      <c r="A3414" s="14">
        <v>46148</v>
      </c>
      <c r="B3414" s="11">
        <v>36</v>
      </c>
      <c r="F3414" s="39">
        <v>1</v>
      </c>
      <c r="G3414" s="39">
        <v>1</v>
      </c>
      <c r="H3414" s="2">
        <f t="shared" si="165"/>
        <v>13079696.199999999</v>
      </c>
      <c r="I3414" s="12">
        <f t="shared" si="163"/>
        <v>0</v>
      </c>
      <c r="J3414" s="12">
        <f t="shared" si="164"/>
        <v>1.5138537268518517</v>
      </c>
    </row>
    <row r="3415" spans="1:10" ht="15" customHeight="1">
      <c r="A3415" s="14">
        <v>46149</v>
      </c>
      <c r="B3415" s="11">
        <v>37</v>
      </c>
      <c r="F3415" s="39">
        <v>1</v>
      </c>
      <c r="G3415" s="39">
        <v>1</v>
      </c>
      <c r="H3415" s="2">
        <f t="shared" si="165"/>
        <v>13079696.199999999</v>
      </c>
      <c r="I3415" s="12">
        <f t="shared" si="163"/>
        <v>0</v>
      </c>
      <c r="J3415" s="12">
        <f t="shared" si="164"/>
        <v>1.4729387612612612</v>
      </c>
    </row>
    <row r="3416" spans="1:10" ht="15" customHeight="1">
      <c r="A3416" s="14">
        <v>46150</v>
      </c>
      <c r="B3416" s="11">
        <v>38</v>
      </c>
      <c r="F3416" s="39">
        <v>1</v>
      </c>
      <c r="G3416" s="39">
        <v>1</v>
      </c>
      <c r="H3416" s="2">
        <f t="shared" si="165"/>
        <v>13079696.199999999</v>
      </c>
      <c r="I3416" s="12">
        <f t="shared" si="163"/>
        <v>0</v>
      </c>
      <c r="J3416" s="12">
        <f t="shared" si="164"/>
        <v>1.4341772149122807</v>
      </c>
    </row>
    <row r="3417" spans="1:10" ht="15" customHeight="1">
      <c r="A3417" s="14">
        <v>46151</v>
      </c>
      <c r="B3417" s="11">
        <v>39</v>
      </c>
      <c r="F3417" s="39">
        <v>1</v>
      </c>
      <c r="G3417" s="39">
        <v>1</v>
      </c>
      <c r="H3417" s="2">
        <f t="shared" si="165"/>
        <v>13079696.199999999</v>
      </c>
      <c r="I3417" s="12">
        <f t="shared" si="163"/>
        <v>0</v>
      </c>
      <c r="J3417" s="12">
        <f t="shared" si="164"/>
        <v>1.3974034401709401</v>
      </c>
    </row>
    <row r="3418" spans="1:10" ht="15" customHeight="1">
      <c r="A3418" s="14">
        <v>46152</v>
      </c>
      <c r="B3418" s="11">
        <v>40</v>
      </c>
      <c r="F3418" s="39">
        <v>1</v>
      </c>
      <c r="G3418" s="39">
        <v>1</v>
      </c>
      <c r="H3418" s="2">
        <f t="shared" si="165"/>
        <v>13079696.199999999</v>
      </c>
      <c r="I3418" s="12">
        <f t="shared" si="163"/>
        <v>0</v>
      </c>
      <c r="J3418" s="12">
        <f t="shared" si="164"/>
        <v>1.3624683541666667</v>
      </c>
    </row>
    <row r="3419" spans="1:10" ht="15" customHeight="1">
      <c r="A3419" s="14">
        <v>46153</v>
      </c>
      <c r="B3419" s="11">
        <v>41</v>
      </c>
      <c r="F3419" s="39">
        <v>1</v>
      </c>
      <c r="G3419" s="39">
        <v>1</v>
      </c>
      <c r="H3419" s="2">
        <f t="shared" si="165"/>
        <v>13079696.199999999</v>
      </c>
      <c r="I3419" s="12">
        <f t="shared" si="163"/>
        <v>0</v>
      </c>
      <c r="J3419" s="12">
        <f t="shared" si="164"/>
        <v>1.3292374186991869</v>
      </c>
    </row>
    <row r="3420" spans="1:10" ht="15" customHeight="1">
      <c r="A3420" s="14">
        <v>46154</v>
      </c>
      <c r="B3420" s="11">
        <v>42</v>
      </c>
      <c r="F3420" s="39">
        <v>1</v>
      </c>
      <c r="G3420" s="39">
        <v>1</v>
      </c>
      <c r="H3420" s="2">
        <f t="shared" si="165"/>
        <v>13079696.199999999</v>
      </c>
      <c r="I3420" s="12">
        <f t="shared" si="163"/>
        <v>0</v>
      </c>
      <c r="J3420" s="12">
        <f t="shared" si="164"/>
        <v>1.2975889087301586</v>
      </c>
    </row>
    <row r="3421" spans="1:10" ht="15" customHeight="1">
      <c r="A3421" s="14">
        <v>46155</v>
      </c>
      <c r="B3421" s="11">
        <v>43</v>
      </c>
      <c r="F3421" s="39">
        <v>1</v>
      </c>
      <c r="G3421" s="39">
        <v>1</v>
      </c>
      <c r="H3421" s="2">
        <f t="shared" si="165"/>
        <v>13079696.199999999</v>
      </c>
      <c r="I3421" s="12">
        <f t="shared" si="163"/>
        <v>0</v>
      </c>
      <c r="J3421" s="12">
        <f t="shared" si="164"/>
        <v>1.26741242248062</v>
      </c>
    </row>
    <row r="3422" spans="1:10" ht="15" customHeight="1">
      <c r="A3422" s="14">
        <v>46156</v>
      </c>
      <c r="B3422" s="11">
        <v>44</v>
      </c>
      <c r="F3422" s="39">
        <v>1</v>
      </c>
      <c r="G3422" s="39">
        <v>1</v>
      </c>
      <c r="H3422" s="2">
        <f t="shared" si="165"/>
        <v>13079696.199999999</v>
      </c>
      <c r="I3422" s="12">
        <f t="shared" si="163"/>
        <v>0</v>
      </c>
      <c r="J3422" s="12">
        <f t="shared" si="164"/>
        <v>1.2386075946969697</v>
      </c>
    </row>
    <row r="3423" spans="1:10" ht="15" customHeight="1">
      <c r="A3423" s="14">
        <v>46157</v>
      </c>
      <c r="B3423" s="11">
        <v>45</v>
      </c>
      <c r="F3423" s="39">
        <v>1</v>
      </c>
      <c r="G3423" s="39">
        <v>1</v>
      </c>
      <c r="H3423" s="2">
        <f t="shared" si="165"/>
        <v>13079696.199999999</v>
      </c>
      <c r="I3423" s="12">
        <f t="shared" si="163"/>
        <v>0</v>
      </c>
      <c r="J3423" s="12">
        <f t="shared" si="164"/>
        <v>1.2110829814814814</v>
      </c>
    </row>
    <row r="3424" spans="1:10" ht="15" customHeight="1">
      <c r="A3424" s="14">
        <v>46158</v>
      </c>
      <c r="B3424" s="11">
        <v>46</v>
      </c>
      <c r="F3424" s="39">
        <v>1</v>
      </c>
      <c r="G3424" s="39">
        <v>1</v>
      </c>
      <c r="H3424" s="2">
        <f t="shared" si="165"/>
        <v>13079696.199999999</v>
      </c>
      <c r="I3424" s="12">
        <f t="shared" si="163"/>
        <v>0</v>
      </c>
      <c r="J3424" s="12">
        <f t="shared" si="164"/>
        <v>1.1847550905797102</v>
      </c>
    </row>
    <row r="3425" spans="1:10" ht="15" customHeight="1">
      <c r="A3425" s="14">
        <v>46159</v>
      </c>
      <c r="B3425" s="11">
        <v>47</v>
      </c>
      <c r="F3425" s="39">
        <v>1</v>
      </c>
      <c r="G3425" s="39">
        <v>1</v>
      </c>
      <c r="H3425" s="2">
        <f t="shared" si="165"/>
        <v>13079696.199999999</v>
      </c>
      <c r="I3425" s="12">
        <f t="shared" si="163"/>
        <v>0</v>
      </c>
      <c r="J3425" s="12">
        <f t="shared" si="164"/>
        <v>1.1595475354609928</v>
      </c>
    </row>
    <row r="3426" spans="1:10" ht="15" customHeight="1">
      <c r="A3426" s="14">
        <v>46160</v>
      </c>
      <c r="B3426" s="11">
        <v>48</v>
      </c>
      <c r="F3426" s="39">
        <v>1</v>
      </c>
      <c r="G3426" s="39">
        <v>1</v>
      </c>
      <c r="H3426" s="2">
        <f t="shared" si="165"/>
        <v>13079696.199999999</v>
      </c>
      <c r="I3426" s="12">
        <f t="shared" si="163"/>
        <v>0</v>
      </c>
      <c r="J3426" s="12">
        <f t="shared" si="164"/>
        <v>1.1353902951388888</v>
      </c>
    </row>
    <row r="3427" spans="1:10" ht="15" customHeight="1">
      <c r="A3427" s="14">
        <v>46161</v>
      </c>
      <c r="B3427" s="11">
        <v>49</v>
      </c>
      <c r="F3427" s="39">
        <v>1</v>
      </c>
      <c r="G3427" s="39">
        <v>1</v>
      </c>
      <c r="H3427" s="2">
        <f t="shared" si="165"/>
        <v>13079696.199999999</v>
      </c>
      <c r="I3427" s="12">
        <f t="shared" si="163"/>
        <v>0</v>
      </c>
      <c r="J3427" s="12">
        <f t="shared" si="164"/>
        <v>1.1122190646258503</v>
      </c>
    </row>
    <row r="3428" spans="1:10" ht="15" customHeight="1">
      <c r="A3428" s="14">
        <v>46162</v>
      </c>
      <c r="B3428" s="11">
        <v>50</v>
      </c>
      <c r="F3428" s="39">
        <v>1</v>
      </c>
      <c r="G3428" s="39">
        <v>1</v>
      </c>
      <c r="H3428" s="2">
        <f t="shared" si="165"/>
        <v>13079696.199999999</v>
      </c>
      <c r="I3428" s="12">
        <f t="shared" si="163"/>
        <v>0</v>
      </c>
      <c r="J3428" s="12">
        <f t="shared" si="164"/>
        <v>1.0899746833333332</v>
      </c>
    </row>
    <row r="3429" spans="1:10" ht="15" customHeight="1">
      <c r="A3429" s="14">
        <v>46163</v>
      </c>
      <c r="B3429" s="11">
        <v>51</v>
      </c>
      <c r="F3429" s="39">
        <v>1</v>
      </c>
      <c r="G3429" s="39">
        <v>1</v>
      </c>
      <c r="H3429" s="2">
        <f t="shared" si="165"/>
        <v>13079696.199999999</v>
      </c>
      <c r="I3429" s="12">
        <f t="shared" si="163"/>
        <v>0</v>
      </c>
      <c r="J3429" s="12">
        <f t="shared" si="164"/>
        <v>1.0686026307189542</v>
      </c>
    </row>
    <row r="3430" spans="1:10" ht="15" customHeight="1">
      <c r="A3430" s="14">
        <v>46164</v>
      </c>
      <c r="B3430" s="11">
        <v>52</v>
      </c>
      <c r="F3430" s="39">
        <v>1</v>
      </c>
      <c r="G3430" s="39">
        <v>1</v>
      </c>
      <c r="H3430" s="2">
        <f t="shared" si="165"/>
        <v>13079696.199999999</v>
      </c>
      <c r="I3430" s="12">
        <f t="shared" si="163"/>
        <v>0</v>
      </c>
      <c r="J3430" s="12">
        <f t="shared" si="164"/>
        <v>1.048052580128205</v>
      </c>
    </row>
    <row r="3431" spans="1:10" ht="15" customHeight="1">
      <c r="A3431" s="14">
        <v>46165</v>
      </c>
      <c r="B3431" s="11">
        <v>53</v>
      </c>
      <c r="F3431" s="39">
        <v>1</v>
      </c>
      <c r="G3431" s="39">
        <v>1</v>
      </c>
      <c r="H3431" s="2">
        <f t="shared" si="165"/>
        <v>13079696.199999999</v>
      </c>
      <c r="I3431" s="12">
        <f t="shared" si="163"/>
        <v>0</v>
      </c>
      <c r="J3431" s="12">
        <f t="shared" si="164"/>
        <v>1.0282780031446541</v>
      </c>
    </row>
    <row r="3432" spans="1:10" ht="15" customHeight="1">
      <c r="A3432" s="14">
        <v>46166</v>
      </c>
      <c r="B3432" s="11">
        <v>54</v>
      </c>
      <c r="F3432" s="39">
        <v>1</v>
      </c>
      <c r="G3432" s="39">
        <v>1</v>
      </c>
      <c r="H3432" s="2">
        <f t="shared" si="165"/>
        <v>13079696.199999999</v>
      </c>
      <c r="I3432" s="12">
        <f t="shared" si="163"/>
        <v>0</v>
      </c>
      <c r="J3432" s="12">
        <f t="shared" si="164"/>
        <v>1.0092358179012344</v>
      </c>
    </row>
    <row r="3433" spans="1:10" ht="15" customHeight="1">
      <c r="A3433" s="14">
        <v>46167</v>
      </c>
      <c r="B3433" s="11">
        <v>55</v>
      </c>
      <c r="F3433" s="39">
        <v>1</v>
      </c>
      <c r="G3433" s="39">
        <v>1</v>
      </c>
      <c r="H3433" s="2">
        <f t="shared" si="165"/>
        <v>13079696.199999999</v>
      </c>
      <c r="I3433" s="12">
        <f t="shared" si="163"/>
        <v>0</v>
      </c>
      <c r="J3433" s="12">
        <f t="shared" si="164"/>
        <v>0.9908860757575757</v>
      </c>
    </row>
    <row r="3434" spans="1:10" ht="15" customHeight="1">
      <c r="A3434" s="14">
        <v>46168</v>
      </c>
      <c r="B3434" s="11">
        <v>56</v>
      </c>
      <c r="F3434" s="39">
        <v>1</v>
      </c>
      <c r="G3434" s="39">
        <v>1</v>
      </c>
      <c r="H3434" s="2">
        <f t="shared" si="165"/>
        <v>13079696.199999999</v>
      </c>
      <c r="I3434" s="12">
        <f t="shared" si="163"/>
        <v>0</v>
      </c>
      <c r="J3434" s="12">
        <f t="shared" si="164"/>
        <v>0.97319168154761904</v>
      </c>
    </row>
    <row r="3435" spans="1:10" ht="15" customHeight="1">
      <c r="A3435" s="14">
        <v>46169</v>
      </c>
      <c r="B3435" s="11">
        <v>57</v>
      </c>
      <c r="F3435" s="39">
        <v>1</v>
      </c>
      <c r="G3435" s="39">
        <v>1</v>
      </c>
      <c r="H3435" s="2">
        <f t="shared" si="165"/>
        <v>13079696.199999999</v>
      </c>
      <c r="I3435" s="12">
        <f t="shared" si="163"/>
        <v>0</v>
      </c>
      <c r="J3435" s="12">
        <f t="shared" si="164"/>
        <v>0.95611814327485378</v>
      </c>
    </row>
    <row r="3436" spans="1:10" ht="15" customHeight="1">
      <c r="A3436" s="14">
        <v>46170</v>
      </c>
      <c r="B3436" s="11">
        <v>58</v>
      </c>
      <c r="F3436" s="39">
        <v>1</v>
      </c>
      <c r="G3436" s="39">
        <v>1</v>
      </c>
      <c r="H3436" s="2">
        <f t="shared" si="165"/>
        <v>13079696.199999999</v>
      </c>
      <c r="I3436" s="12">
        <f t="shared" si="163"/>
        <v>0</v>
      </c>
      <c r="J3436" s="12">
        <f t="shared" si="164"/>
        <v>0.93963334770114937</v>
      </c>
    </row>
    <row r="3437" spans="1:10" ht="15" customHeight="1">
      <c r="A3437" s="14">
        <v>46171</v>
      </c>
      <c r="B3437" s="11">
        <v>59</v>
      </c>
      <c r="F3437" s="39">
        <v>1</v>
      </c>
      <c r="G3437" s="39">
        <v>1</v>
      </c>
      <c r="H3437" s="2">
        <f t="shared" si="165"/>
        <v>13079696.199999999</v>
      </c>
      <c r="I3437" s="12">
        <f t="shared" si="163"/>
        <v>0</v>
      </c>
      <c r="J3437" s="12">
        <f t="shared" si="164"/>
        <v>0.92370735875706211</v>
      </c>
    </row>
    <row r="3438" spans="1:10" ht="15" customHeight="1">
      <c r="A3438" s="14">
        <v>46172</v>
      </c>
      <c r="B3438" s="11">
        <v>60</v>
      </c>
      <c r="F3438" s="39">
        <v>1</v>
      </c>
      <c r="G3438" s="39">
        <v>1</v>
      </c>
      <c r="H3438" s="2">
        <f t="shared" si="165"/>
        <v>13079696.199999999</v>
      </c>
      <c r="I3438" s="12">
        <f t="shared" si="163"/>
        <v>0</v>
      </c>
      <c r="J3438" s="12">
        <f t="shared" si="164"/>
        <v>0.908312236111111</v>
      </c>
    </row>
    <row r="3439" spans="1:10" ht="15" customHeight="1">
      <c r="A3439" s="14">
        <v>46173</v>
      </c>
      <c r="B3439" s="11">
        <v>61</v>
      </c>
      <c r="F3439" s="39">
        <v>1</v>
      </c>
      <c r="G3439" s="39">
        <v>1</v>
      </c>
      <c r="H3439" s="2">
        <f t="shared" si="165"/>
        <v>13079696.199999999</v>
      </c>
      <c r="I3439" s="12">
        <f t="shared" si="163"/>
        <v>0</v>
      </c>
      <c r="J3439" s="12">
        <f t="shared" si="164"/>
        <v>0.89342187158469943</v>
      </c>
    </row>
    <row r="3440" spans="1:10" ht="15" customHeight="1">
      <c r="A3440" s="14">
        <v>46174</v>
      </c>
      <c r="B3440" s="11">
        <v>62</v>
      </c>
      <c r="F3440" s="39">
        <v>1</v>
      </c>
      <c r="G3440" s="39">
        <v>1</v>
      </c>
      <c r="H3440" s="2">
        <f t="shared" si="165"/>
        <v>13079696.199999999</v>
      </c>
      <c r="I3440" s="12">
        <f t="shared" si="163"/>
        <v>0</v>
      </c>
      <c r="J3440" s="12">
        <f t="shared" si="164"/>
        <v>0.87901184139784938</v>
      </c>
    </row>
    <row r="3441" spans="1:10" ht="15" customHeight="1">
      <c r="A3441" s="14">
        <v>46175</v>
      </c>
      <c r="B3441" s="11">
        <v>63</v>
      </c>
      <c r="F3441" s="39">
        <v>1</v>
      </c>
      <c r="G3441" s="39">
        <v>1</v>
      </c>
      <c r="H3441" s="2">
        <f t="shared" si="165"/>
        <v>13079696.199999999</v>
      </c>
      <c r="I3441" s="12">
        <f t="shared" si="163"/>
        <v>0</v>
      </c>
      <c r="J3441" s="12">
        <f t="shared" si="164"/>
        <v>0.86505927248677239</v>
      </c>
    </row>
    <row r="3442" spans="1:10" ht="15" customHeight="1">
      <c r="A3442" s="14">
        <v>46176</v>
      </c>
      <c r="B3442" s="11">
        <v>64</v>
      </c>
      <c r="F3442" s="39">
        <v>1</v>
      </c>
      <c r="G3442" s="39">
        <v>1</v>
      </c>
      <c r="H3442" s="2">
        <f t="shared" si="165"/>
        <v>13079696.199999999</v>
      </c>
      <c r="I3442" s="12">
        <f t="shared" si="163"/>
        <v>0</v>
      </c>
      <c r="J3442" s="12">
        <f t="shared" si="164"/>
        <v>0.85154272135416664</v>
      </c>
    </row>
    <row r="3443" spans="1:10" ht="15" customHeight="1">
      <c r="A3443" s="14">
        <v>46177</v>
      </c>
      <c r="B3443" s="11">
        <v>65</v>
      </c>
      <c r="F3443" s="39">
        <v>1</v>
      </c>
      <c r="G3443" s="39">
        <v>1</v>
      </c>
      <c r="H3443" s="2">
        <f t="shared" si="165"/>
        <v>13079696.199999999</v>
      </c>
      <c r="I3443" s="12">
        <f t="shared" si="163"/>
        <v>0</v>
      </c>
      <c r="J3443" s="12">
        <f t="shared" si="164"/>
        <v>0.83844206410256406</v>
      </c>
    </row>
    <row r="3444" spans="1:10" ht="15" customHeight="1">
      <c r="A3444" s="14">
        <v>46178</v>
      </c>
      <c r="B3444" s="11">
        <v>66</v>
      </c>
      <c r="F3444" s="39">
        <v>1</v>
      </c>
      <c r="G3444" s="39">
        <v>1</v>
      </c>
      <c r="H3444" s="2">
        <f t="shared" si="165"/>
        <v>13079696.199999999</v>
      </c>
      <c r="I3444" s="12">
        <f t="shared" si="163"/>
        <v>0</v>
      </c>
      <c r="J3444" s="12">
        <f t="shared" si="164"/>
        <v>0.82573839646464642</v>
      </c>
    </row>
    <row r="3445" spans="1:10" ht="15" customHeight="1">
      <c r="A3445" s="14">
        <v>46179</v>
      </c>
      <c r="B3445" s="11">
        <v>67</v>
      </c>
      <c r="F3445" s="39">
        <v>1</v>
      </c>
      <c r="G3445" s="39">
        <v>1</v>
      </c>
      <c r="H3445" s="2">
        <f t="shared" si="165"/>
        <v>13079696.199999999</v>
      </c>
      <c r="I3445" s="12">
        <f t="shared" si="163"/>
        <v>0</v>
      </c>
      <c r="J3445" s="12">
        <f t="shared" si="164"/>
        <v>0.8134139427860696</v>
      </c>
    </row>
    <row r="3446" spans="1:10" ht="15" customHeight="1">
      <c r="A3446" s="14">
        <v>46180</v>
      </c>
      <c r="B3446" s="11">
        <v>68</v>
      </c>
      <c r="F3446" s="39">
        <v>1</v>
      </c>
      <c r="G3446" s="39">
        <v>1</v>
      </c>
      <c r="H3446" s="2">
        <f t="shared" si="165"/>
        <v>13079696.199999999</v>
      </c>
      <c r="I3446" s="12">
        <f t="shared" si="163"/>
        <v>0</v>
      </c>
      <c r="J3446" s="12">
        <f t="shared" si="164"/>
        <v>0.80145197303921567</v>
      </c>
    </row>
    <row r="3447" spans="1:10" ht="15" customHeight="1">
      <c r="A3447" s="14">
        <v>46181</v>
      </c>
      <c r="B3447" s="11">
        <v>69</v>
      </c>
      <c r="F3447" s="39">
        <v>1</v>
      </c>
      <c r="G3447" s="39">
        <v>1</v>
      </c>
      <c r="H3447" s="2">
        <f t="shared" si="165"/>
        <v>13079696.199999999</v>
      </c>
      <c r="I3447" s="12">
        <f t="shared" si="163"/>
        <v>0</v>
      </c>
      <c r="J3447" s="12">
        <f t="shared" si="164"/>
        <v>0.78983672705314001</v>
      </c>
    </row>
    <row r="3448" spans="1:10" ht="15" customHeight="1">
      <c r="A3448" s="14">
        <v>46182</v>
      </c>
      <c r="B3448" s="11">
        <v>70</v>
      </c>
      <c r="F3448" s="39">
        <v>1</v>
      </c>
      <c r="G3448" s="39">
        <v>1</v>
      </c>
      <c r="H3448" s="2">
        <f t="shared" si="165"/>
        <v>13079696.199999999</v>
      </c>
      <c r="I3448" s="12">
        <f t="shared" si="163"/>
        <v>0</v>
      </c>
      <c r="J3448" s="12">
        <f t="shared" si="164"/>
        <v>0.77855334523809516</v>
      </c>
    </row>
    <row r="3449" spans="1:10" ht="15" customHeight="1">
      <c r="A3449" s="14">
        <v>46183</v>
      </c>
      <c r="B3449" s="11">
        <v>71</v>
      </c>
      <c r="F3449" s="39">
        <v>1</v>
      </c>
      <c r="G3449" s="39">
        <v>1</v>
      </c>
      <c r="H3449" s="2">
        <f t="shared" si="165"/>
        <v>13079696.199999999</v>
      </c>
      <c r="I3449" s="12">
        <f t="shared" si="163"/>
        <v>0</v>
      </c>
      <c r="J3449" s="12">
        <f t="shared" si="164"/>
        <v>0.76758780516431924</v>
      </c>
    </row>
    <row r="3450" spans="1:10" ht="15" customHeight="1">
      <c r="A3450" s="14">
        <v>46184</v>
      </c>
      <c r="B3450" s="11">
        <v>72</v>
      </c>
      <c r="F3450" s="39">
        <v>1</v>
      </c>
      <c r="G3450" s="39">
        <v>1</v>
      </c>
      <c r="H3450" s="2">
        <f t="shared" si="165"/>
        <v>13079696.199999999</v>
      </c>
      <c r="I3450" s="12">
        <f t="shared" si="163"/>
        <v>0</v>
      </c>
      <c r="J3450" s="12">
        <f t="shared" si="164"/>
        <v>0.75692686342592586</v>
      </c>
    </row>
    <row r="3451" spans="1:10" ht="15" customHeight="1">
      <c r="A3451" s="14">
        <v>46185</v>
      </c>
      <c r="B3451" s="11">
        <v>73</v>
      </c>
      <c r="F3451" s="39">
        <v>1</v>
      </c>
      <c r="G3451" s="39">
        <v>1</v>
      </c>
      <c r="H3451" s="2">
        <f t="shared" si="165"/>
        <v>13079696.199999999</v>
      </c>
      <c r="I3451" s="12">
        <f t="shared" si="163"/>
        <v>0</v>
      </c>
      <c r="J3451" s="12">
        <f t="shared" si="164"/>
        <v>0.74655800228310498</v>
      </c>
    </row>
    <row r="3452" spans="1:10" ht="15" customHeight="1">
      <c r="A3452" s="14">
        <v>46186</v>
      </c>
      <c r="B3452" s="11">
        <v>74</v>
      </c>
      <c r="F3452" s="39">
        <v>1</v>
      </c>
      <c r="G3452" s="39">
        <v>1</v>
      </c>
      <c r="H3452" s="2">
        <f t="shared" si="165"/>
        <v>13079696.199999999</v>
      </c>
      <c r="I3452" s="12">
        <f t="shared" si="163"/>
        <v>0</v>
      </c>
      <c r="J3452" s="12">
        <f t="shared" si="164"/>
        <v>0.73646938063063061</v>
      </c>
    </row>
    <row r="3453" spans="1:10" ht="15" customHeight="1">
      <c r="A3453" s="14">
        <v>46187</v>
      </c>
      <c r="B3453" s="11">
        <v>75</v>
      </c>
      <c r="F3453" s="39">
        <v>1</v>
      </c>
      <c r="G3453" s="39">
        <v>1</v>
      </c>
      <c r="H3453" s="2">
        <f t="shared" si="165"/>
        <v>13079696.199999999</v>
      </c>
      <c r="I3453" s="12">
        <f t="shared" si="163"/>
        <v>0</v>
      </c>
      <c r="J3453" s="12">
        <f t="shared" si="164"/>
        <v>0.72664978888888887</v>
      </c>
    </row>
    <row r="3454" spans="1:10" ht="15" customHeight="1">
      <c r="A3454" s="14">
        <v>46188</v>
      </c>
      <c r="B3454" s="11">
        <v>76</v>
      </c>
      <c r="F3454" s="39">
        <v>1</v>
      </c>
      <c r="G3454" s="39">
        <v>1</v>
      </c>
      <c r="H3454" s="2">
        <f t="shared" si="165"/>
        <v>13079696.199999999</v>
      </c>
      <c r="I3454" s="12">
        <f t="shared" si="163"/>
        <v>0</v>
      </c>
      <c r="J3454" s="12">
        <f t="shared" si="164"/>
        <v>0.71708860745614034</v>
      </c>
    </row>
    <row r="3455" spans="1:10" ht="15" customHeight="1">
      <c r="A3455" s="14">
        <v>46189</v>
      </c>
      <c r="B3455" s="11">
        <v>77</v>
      </c>
      <c r="F3455" s="39">
        <v>1</v>
      </c>
      <c r="G3455" s="39">
        <v>1</v>
      </c>
      <c r="H3455" s="2">
        <f t="shared" si="165"/>
        <v>13079696.199999999</v>
      </c>
      <c r="I3455" s="12">
        <f t="shared" si="163"/>
        <v>0</v>
      </c>
      <c r="J3455" s="12">
        <f t="shared" si="164"/>
        <v>0.70777576839826839</v>
      </c>
    </row>
    <row r="3456" spans="1:10" ht="15" customHeight="1">
      <c r="A3456" s="14">
        <v>46190</v>
      </c>
      <c r="B3456" s="11">
        <v>78</v>
      </c>
      <c r="F3456" s="39">
        <v>1</v>
      </c>
      <c r="G3456" s="39">
        <v>1</v>
      </c>
      <c r="H3456" s="2">
        <f t="shared" si="165"/>
        <v>13079696.199999999</v>
      </c>
      <c r="I3456" s="12">
        <f t="shared" si="163"/>
        <v>0</v>
      </c>
      <c r="J3456" s="12">
        <f t="shared" si="164"/>
        <v>0.69870172008547005</v>
      </c>
    </row>
    <row r="3457" spans="1:10" ht="15" customHeight="1">
      <c r="A3457" s="14">
        <v>46191</v>
      </c>
      <c r="B3457" s="11">
        <v>79</v>
      </c>
      <c r="F3457" s="39">
        <v>1</v>
      </c>
      <c r="G3457" s="39">
        <v>1</v>
      </c>
      <c r="H3457" s="2">
        <f t="shared" si="165"/>
        <v>13079696.199999999</v>
      </c>
      <c r="I3457" s="12">
        <f t="shared" si="163"/>
        <v>0</v>
      </c>
      <c r="J3457" s="12">
        <f t="shared" si="164"/>
        <v>0.68985739451476791</v>
      </c>
    </row>
    <row r="3458" spans="1:10" ht="15" customHeight="1">
      <c r="A3458" s="14">
        <v>46192</v>
      </c>
      <c r="B3458" s="11">
        <v>80</v>
      </c>
      <c r="F3458" s="39">
        <v>1</v>
      </c>
      <c r="G3458" s="39">
        <v>1</v>
      </c>
      <c r="H3458" s="2">
        <f t="shared" si="165"/>
        <v>13079696.199999999</v>
      </c>
      <c r="I3458" s="12">
        <f t="shared" si="163"/>
        <v>0</v>
      </c>
      <c r="J3458" s="12">
        <f t="shared" si="164"/>
        <v>0.68123417708333334</v>
      </c>
    </row>
    <row r="3459" spans="1:10" ht="15" customHeight="1">
      <c r="A3459" s="14">
        <v>46193</v>
      </c>
      <c r="B3459" s="11">
        <v>81</v>
      </c>
      <c r="F3459" s="39">
        <v>1</v>
      </c>
      <c r="G3459" s="39">
        <v>1</v>
      </c>
      <c r="H3459" s="2">
        <f t="shared" si="165"/>
        <v>13079696.199999999</v>
      </c>
      <c r="I3459" s="12">
        <f t="shared" ref="I3459:I3522" si="166">C3459/(10*24*1000)</f>
        <v>0</v>
      </c>
      <c r="J3459" s="12">
        <f t="shared" si="164"/>
        <v>0.67282387860082304</v>
      </c>
    </row>
    <row r="3460" spans="1:10" ht="15" customHeight="1">
      <c r="A3460" s="14">
        <v>46194</v>
      </c>
      <c r="B3460" s="11">
        <v>82</v>
      </c>
      <c r="F3460" s="39">
        <v>1</v>
      </c>
      <c r="G3460" s="39">
        <v>1</v>
      </c>
      <c r="H3460" s="2">
        <f t="shared" si="165"/>
        <v>13079696.199999999</v>
      </c>
      <c r="I3460" s="12">
        <f t="shared" si="166"/>
        <v>0</v>
      </c>
      <c r="J3460" s="12">
        <f t="shared" si="164"/>
        <v>0.66461870934959344</v>
      </c>
    </row>
    <row r="3461" spans="1:10" ht="15" customHeight="1">
      <c r="A3461" s="14">
        <v>46195</v>
      </c>
      <c r="B3461" s="11">
        <v>83</v>
      </c>
      <c r="F3461" s="39">
        <v>1</v>
      </c>
      <c r="G3461" s="39">
        <v>1</v>
      </c>
      <c r="H3461" s="2">
        <f t="shared" si="165"/>
        <v>13079696.199999999</v>
      </c>
      <c r="I3461" s="12">
        <f t="shared" si="166"/>
        <v>0</v>
      </c>
      <c r="J3461" s="12">
        <f t="shared" si="164"/>
        <v>0.65661125502008033</v>
      </c>
    </row>
    <row r="3462" spans="1:10" ht="15" customHeight="1">
      <c r="A3462" s="14">
        <v>46196</v>
      </c>
      <c r="B3462" s="11">
        <v>84</v>
      </c>
      <c r="F3462" s="39">
        <v>1</v>
      </c>
      <c r="G3462" s="39">
        <v>1</v>
      </c>
      <c r="H3462" s="2">
        <f t="shared" si="165"/>
        <v>13079696.199999999</v>
      </c>
      <c r="I3462" s="12">
        <f t="shared" si="166"/>
        <v>0</v>
      </c>
      <c r="J3462" s="12">
        <f t="shared" si="164"/>
        <v>0.64879445436507932</v>
      </c>
    </row>
    <row r="3463" spans="1:10" ht="15" customHeight="1">
      <c r="A3463" s="14">
        <v>46197</v>
      </c>
      <c r="B3463" s="11">
        <v>85</v>
      </c>
      <c r="F3463" s="39">
        <v>1</v>
      </c>
      <c r="G3463" s="39">
        <v>1</v>
      </c>
      <c r="H3463" s="2">
        <f t="shared" si="165"/>
        <v>13079696.199999999</v>
      </c>
      <c r="I3463" s="12">
        <f t="shared" si="166"/>
        <v>0</v>
      </c>
      <c r="J3463" s="12">
        <f t="shared" ref="J3463:J3526" si="167">H3463/(24*B3463*10*1000)</f>
        <v>0.64116157843137256</v>
      </c>
    </row>
    <row r="3464" spans="1:10" ht="15" customHeight="1">
      <c r="A3464" s="14">
        <v>46198</v>
      </c>
      <c r="B3464" s="11">
        <v>86</v>
      </c>
      <c r="F3464" s="39">
        <v>1</v>
      </c>
      <c r="G3464" s="39">
        <v>1</v>
      </c>
      <c r="H3464" s="2">
        <f t="shared" ref="H3464:H3527" si="168">H3463+C3464</f>
        <v>13079696.199999999</v>
      </c>
      <c r="I3464" s="12">
        <f t="shared" si="166"/>
        <v>0</v>
      </c>
      <c r="J3464" s="12">
        <f t="shared" si="167"/>
        <v>0.63370621124031001</v>
      </c>
    </row>
    <row r="3465" spans="1:10" ht="15" customHeight="1">
      <c r="A3465" s="14">
        <v>46199</v>
      </c>
      <c r="B3465" s="11">
        <v>87</v>
      </c>
      <c r="F3465" s="39">
        <v>1</v>
      </c>
      <c r="G3465" s="39">
        <v>1</v>
      </c>
      <c r="H3465" s="2">
        <f t="shared" si="168"/>
        <v>13079696.199999999</v>
      </c>
      <c r="I3465" s="12">
        <f t="shared" si="166"/>
        <v>0</v>
      </c>
      <c r="J3465" s="12">
        <f t="shared" si="167"/>
        <v>0.62642223180076628</v>
      </c>
    </row>
    <row r="3466" spans="1:10" ht="15" customHeight="1">
      <c r="A3466" s="14">
        <v>46200</v>
      </c>
      <c r="B3466" s="11">
        <v>88</v>
      </c>
      <c r="F3466" s="39">
        <v>1</v>
      </c>
      <c r="G3466" s="39">
        <v>1</v>
      </c>
      <c r="H3466" s="2">
        <f t="shared" si="168"/>
        <v>13079696.199999999</v>
      </c>
      <c r="I3466" s="12">
        <f t="shared" si="166"/>
        <v>0</v>
      </c>
      <c r="J3466" s="12">
        <f t="shared" si="167"/>
        <v>0.61930379734848484</v>
      </c>
    </row>
    <row r="3467" spans="1:10" ht="15" customHeight="1">
      <c r="A3467" s="14">
        <v>46201</v>
      </c>
      <c r="B3467" s="11">
        <v>89</v>
      </c>
      <c r="F3467" s="39">
        <v>1</v>
      </c>
      <c r="G3467" s="39">
        <v>1</v>
      </c>
      <c r="H3467" s="2">
        <f t="shared" si="168"/>
        <v>13079696.199999999</v>
      </c>
      <c r="I3467" s="12">
        <f t="shared" si="166"/>
        <v>0</v>
      </c>
      <c r="J3467" s="12">
        <f t="shared" si="167"/>
        <v>0.61234532771535577</v>
      </c>
    </row>
    <row r="3468" spans="1:10" ht="15" customHeight="1">
      <c r="A3468" s="14">
        <v>46202</v>
      </c>
      <c r="B3468" s="11">
        <v>90</v>
      </c>
      <c r="F3468" s="39">
        <v>1</v>
      </c>
      <c r="G3468" s="39">
        <v>1</v>
      </c>
      <c r="H3468" s="2">
        <f t="shared" si="168"/>
        <v>13079696.199999999</v>
      </c>
      <c r="I3468" s="12">
        <f t="shared" si="166"/>
        <v>0</v>
      </c>
      <c r="J3468" s="12">
        <f t="shared" si="167"/>
        <v>0.60554149074074071</v>
      </c>
    </row>
    <row r="3469" spans="1:10" ht="15" customHeight="1">
      <c r="A3469" s="14">
        <v>46203</v>
      </c>
      <c r="B3469" s="11">
        <v>91</v>
      </c>
      <c r="F3469" s="39">
        <v>1</v>
      </c>
      <c r="G3469" s="39">
        <v>1</v>
      </c>
      <c r="H3469" s="2">
        <f t="shared" si="168"/>
        <v>13079696.199999999</v>
      </c>
      <c r="I3469" s="12">
        <f t="shared" si="166"/>
        <v>0</v>
      </c>
      <c r="J3469" s="12">
        <f t="shared" si="167"/>
        <v>0.5988871886446886</v>
      </c>
    </row>
    <row r="3470" spans="1:10" ht="15" customHeight="1">
      <c r="A3470" s="14">
        <v>46204</v>
      </c>
      <c r="B3470" s="11">
        <v>92</v>
      </c>
      <c r="F3470" s="39">
        <v>1</v>
      </c>
      <c r="G3470" s="39">
        <v>1</v>
      </c>
      <c r="H3470" s="2">
        <f t="shared" si="168"/>
        <v>13079696.199999999</v>
      </c>
      <c r="I3470" s="12">
        <f t="shared" si="166"/>
        <v>0</v>
      </c>
      <c r="J3470" s="12">
        <f t="shared" si="167"/>
        <v>0.59237754528985509</v>
      </c>
    </row>
    <row r="3471" spans="1:10" ht="15" customHeight="1">
      <c r="A3471" s="14">
        <v>46205</v>
      </c>
      <c r="B3471" s="11">
        <v>93</v>
      </c>
      <c r="F3471" s="39">
        <v>1</v>
      </c>
      <c r="G3471" s="39">
        <v>1</v>
      </c>
      <c r="H3471" s="2">
        <f t="shared" si="168"/>
        <v>13079696.199999999</v>
      </c>
      <c r="I3471" s="12">
        <f t="shared" si="166"/>
        <v>0</v>
      </c>
      <c r="J3471" s="12">
        <f t="shared" si="167"/>
        <v>0.58600789426523292</v>
      </c>
    </row>
    <row r="3472" spans="1:10" ht="15" customHeight="1">
      <c r="A3472" s="14">
        <v>46206</v>
      </c>
      <c r="B3472" s="11">
        <v>94</v>
      </c>
      <c r="F3472" s="39">
        <v>1</v>
      </c>
      <c r="G3472" s="39">
        <v>1</v>
      </c>
      <c r="H3472" s="2">
        <f t="shared" si="168"/>
        <v>13079696.199999999</v>
      </c>
      <c r="I3472" s="12">
        <f t="shared" si="166"/>
        <v>0</v>
      </c>
      <c r="J3472" s="12">
        <f t="shared" si="167"/>
        <v>0.57977376773049638</v>
      </c>
    </row>
    <row r="3473" spans="1:10" ht="15" customHeight="1">
      <c r="A3473" s="14">
        <v>46207</v>
      </c>
      <c r="B3473" s="11">
        <v>95</v>
      </c>
      <c r="F3473" s="39">
        <v>1</v>
      </c>
      <c r="G3473" s="39">
        <v>1</v>
      </c>
      <c r="H3473" s="2">
        <f t="shared" si="168"/>
        <v>13079696.199999999</v>
      </c>
      <c r="I3473" s="12">
        <f t="shared" si="166"/>
        <v>0</v>
      </c>
      <c r="J3473" s="12">
        <f t="shared" si="167"/>
        <v>0.57367088596491222</v>
      </c>
    </row>
    <row r="3474" spans="1:10" ht="15" customHeight="1">
      <c r="A3474" s="14">
        <v>46208</v>
      </c>
      <c r="B3474" s="11">
        <v>96</v>
      </c>
      <c r="F3474" s="39">
        <v>1</v>
      </c>
      <c r="G3474" s="39">
        <v>1</v>
      </c>
      <c r="H3474" s="2">
        <f t="shared" si="168"/>
        <v>13079696.199999999</v>
      </c>
      <c r="I3474" s="12">
        <f t="shared" si="166"/>
        <v>0</v>
      </c>
      <c r="J3474" s="12">
        <f t="shared" si="167"/>
        <v>0.56769514756944439</v>
      </c>
    </row>
    <row r="3475" spans="1:10" ht="15" customHeight="1">
      <c r="A3475" s="14">
        <v>46209</v>
      </c>
      <c r="B3475" s="11">
        <v>97</v>
      </c>
      <c r="F3475" s="39">
        <v>1</v>
      </c>
      <c r="G3475" s="39">
        <v>1</v>
      </c>
      <c r="H3475" s="2">
        <f t="shared" si="168"/>
        <v>13079696.199999999</v>
      </c>
      <c r="I3475" s="12">
        <f t="shared" si="166"/>
        <v>0</v>
      </c>
      <c r="J3475" s="12">
        <f t="shared" si="167"/>
        <v>0.56184262027491405</v>
      </c>
    </row>
    <row r="3476" spans="1:10" ht="15" customHeight="1">
      <c r="A3476" s="14">
        <v>46210</v>
      </c>
      <c r="B3476" s="11">
        <v>98</v>
      </c>
      <c r="F3476" s="39">
        <v>1</v>
      </c>
      <c r="G3476" s="39">
        <v>1</v>
      </c>
      <c r="H3476" s="2">
        <f t="shared" si="168"/>
        <v>13079696.199999999</v>
      </c>
      <c r="I3476" s="12">
        <f t="shared" si="166"/>
        <v>0</v>
      </c>
      <c r="J3476" s="12">
        <f t="shared" si="167"/>
        <v>0.55610953231292515</v>
      </c>
    </row>
    <row r="3477" spans="1:10" ht="15" customHeight="1">
      <c r="A3477" s="14">
        <v>46211</v>
      </c>
      <c r="B3477" s="11">
        <v>99</v>
      </c>
      <c r="F3477" s="39">
        <v>1</v>
      </c>
      <c r="G3477" s="39">
        <v>1</v>
      </c>
      <c r="H3477" s="2">
        <f t="shared" si="168"/>
        <v>13079696.199999999</v>
      </c>
      <c r="I3477" s="12">
        <f t="shared" si="166"/>
        <v>0</v>
      </c>
      <c r="J3477" s="12">
        <f t="shared" si="167"/>
        <v>0.55049226430976428</v>
      </c>
    </row>
    <row r="3478" spans="1:10" ht="15" customHeight="1">
      <c r="A3478" s="14">
        <v>46212</v>
      </c>
      <c r="B3478" s="11">
        <v>100</v>
      </c>
      <c r="F3478" s="39">
        <v>1</v>
      </c>
      <c r="G3478" s="39">
        <v>1</v>
      </c>
      <c r="H3478" s="2">
        <f t="shared" si="168"/>
        <v>13079696.199999999</v>
      </c>
      <c r="I3478" s="12">
        <f t="shared" si="166"/>
        <v>0</v>
      </c>
      <c r="J3478" s="12">
        <f t="shared" si="167"/>
        <v>0.54498734166666662</v>
      </c>
    </row>
    <row r="3479" spans="1:10" ht="15" customHeight="1">
      <c r="A3479" s="14">
        <v>46213</v>
      </c>
      <c r="B3479" s="11">
        <v>101</v>
      </c>
      <c r="F3479" s="39">
        <v>1</v>
      </c>
      <c r="G3479" s="39">
        <v>1</v>
      </c>
      <c r="H3479" s="2">
        <f t="shared" si="168"/>
        <v>13079696.199999999</v>
      </c>
      <c r="I3479" s="12">
        <f t="shared" si="166"/>
        <v>0</v>
      </c>
      <c r="J3479" s="12">
        <f t="shared" si="167"/>
        <v>0.53959142739273924</v>
      </c>
    </row>
    <row r="3480" spans="1:10" ht="15" customHeight="1">
      <c r="A3480" s="14">
        <v>46214</v>
      </c>
      <c r="B3480" s="11">
        <v>102</v>
      </c>
      <c r="F3480" s="39">
        <v>1</v>
      </c>
      <c r="G3480" s="39">
        <v>1</v>
      </c>
      <c r="H3480" s="2">
        <f t="shared" si="168"/>
        <v>13079696.199999999</v>
      </c>
      <c r="I3480" s="12">
        <f t="shared" si="166"/>
        <v>0</v>
      </c>
      <c r="J3480" s="12">
        <f t="shared" si="167"/>
        <v>0.53430131535947711</v>
      </c>
    </row>
    <row r="3481" spans="1:10" ht="15" customHeight="1">
      <c r="A3481" s="14">
        <v>46215</v>
      </c>
      <c r="B3481" s="11">
        <v>103</v>
      </c>
      <c r="F3481" s="39">
        <v>1</v>
      </c>
      <c r="G3481" s="39">
        <v>1</v>
      </c>
      <c r="H3481" s="2">
        <f t="shared" si="168"/>
        <v>13079696.199999999</v>
      </c>
      <c r="I3481" s="12">
        <f t="shared" si="166"/>
        <v>0</v>
      </c>
      <c r="J3481" s="12">
        <f t="shared" si="167"/>
        <v>0.52911392394821999</v>
      </c>
    </row>
    <row r="3482" spans="1:10" ht="15" customHeight="1">
      <c r="A3482" s="14">
        <v>46216</v>
      </c>
      <c r="B3482" s="11">
        <v>104</v>
      </c>
      <c r="F3482" s="39">
        <v>1</v>
      </c>
      <c r="G3482" s="39">
        <v>1</v>
      </c>
      <c r="H3482" s="2">
        <f t="shared" si="168"/>
        <v>13079696.199999999</v>
      </c>
      <c r="I3482" s="12">
        <f t="shared" si="166"/>
        <v>0</v>
      </c>
      <c r="J3482" s="12">
        <f t="shared" si="167"/>
        <v>0.52402629006410251</v>
      </c>
    </row>
    <row r="3483" spans="1:10" ht="15" customHeight="1">
      <c r="A3483" s="14">
        <v>46217</v>
      </c>
      <c r="B3483" s="11">
        <v>105</v>
      </c>
      <c r="F3483" s="39">
        <v>1</v>
      </c>
      <c r="G3483" s="39">
        <v>1</v>
      </c>
      <c r="H3483" s="2">
        <f t="shared" si="168"/>
        <v>13079696.199999999</v>
      </c>
      <c r="I3483" s="12">
        <f t="shared" si="166"/>
        <v>0</v>
      </c>
      <c r="J3483" s="12">
        <f t="shared" si="167"/>
        <v>0.51903556349206348</v>
      </c>
    </row>
    <row r="3484" spans="1:10" ht="15" customHeight="1">
      <c r="A3484" s="14">
        <v>46218</v>
      </c>
      <c r="B3484" s="11">
        <v>106</v>
      </c>
      <c r="F3484" s="39">
        <v>1</v>
      </c>
      <c r="G3484" s="39">
        <v>1</v>
      </c>
      <c r="H3484" s="2">
        <f t="shared" si="168"/>
        <v>13079696.199999999</v>
      </c>
      <c r="I3484" s="12">
        <f t="shared" si="166"/>
        <v>0</v>
      </c>
      <c r="J3484" s="12">
        <f t="shared" si="167"/>
        <v>0.51413900157232706</v>
      </c>
    </row>
    <row r="3485" spans="1:10" ht="15" customHeight="1">
      <c r="A3485" s="14">
        <v>46219</v>
      </c>
      <c r="B3485" s="11">
        <v>107</v>
      </c>
      <c r="F3485" s="39">
        <v>1</v>
      </c>
      <c r="G3485" s="39">
        <v>1</v>
      </c>
      <c r="H3485" s="2">
        <f t="shared" si="168"/>
        <v>13079696.199999999</v>
      </c>
      <c r="I3485" s="12">
        <f t="shared" si="166"/>
        <v>0</v>
      </c>
      <c r="J3485" s="12">
        <f t="shared" si="167"/>
        <v>0.50933396417445476</v>
      </c>
    </row>
    <row r="3486" spans="1:10" ht="15" customHeight="1">
      <c r="A3486" s="14">
        <v>46220</v>
      </c>
      <c r="B3486" s="11">
        <v>108</v>
      </c>
      <c r="F3486" s="39">
        <v>1</v>
      </c>
      <c r="G3486" s="39">
        <v>1</v>
      </c>
      <c r="H3486" s="2">
        <f t="shared" si="168"/>
        <v>13079696.199999999</v>
      </c>
      <c r="I3486" s="12">
        <f t="shared" si="166"/>
        <v>0</v>
      </c>
      <c r="J3486" s="12">
        <f t="shared" si="167"/>
        <v>0.5046179089506172</v>
      </c>
    </row>
    <row r="3487" spans="1:10" ht="15" customHeight="1">
      <c r="A3487" s="14">
        <v>46221</v>
      </c>
      <c r="B3487" s="11">
        <v>109</v>
      </c>
      <c r="F3487" s="39">
        <v>1</v>
      </c>
      <c r="G3487" s="39">
        <v>1</v>
      </c>
      <c r="H3487" s="2">
        <f t="shared" si="168"/>
        <v>13079696.199999999</v>
      </c>
      <c r="I3487" s="12">
        <f t="shared" si="166"/>
        <v>0</v>
      </c>
      <c r="J3487" s="12">
        <f t="shared" si="167"/>
        <v>0.4999883868501529</v>
      </c>
    </row>
    <row r="3488" spans="1:10" ht="15" customHeight="1">
      <c r="A3488" s="14">
        <v>46222</v>
      </c>
      <c r="B3488" s="11">
        <v>110</v>
      </c>
      <c r="F3488" s="39">
        <v>1</v>
      </c>
      <c r="G3488" s="39">
        <v>1</v>
      </c>
      <c r="H3488" s="2">
        <f t="shared" si="168"/>
        <v>13079696.199999999</v>
      </c>
      <c r="I3488" s="12">
        <f t="shared" si="166"/>
        <v>0</v>
      </c>
      <c r="J3488" s="12">
        <f t="shared" si="167"/>
        <v>0.49544303787878785</v>
      </c>
    </row>
    <row r="3489" spans="1:10" ht="15" customHeight="1">
      <c r="A3489" s="14">
        <v>46223</v>
      </c>
      <c r="B3489" s="11">
        <v>111</v>
      </c>
      <c r="F3489" s="39">
        <v>1</v>
      </c>
      <c r="G3489" s="39">
        <v>1</v>
      </c>
      <c r="H3489" s="2">
        <f t="shared" si="168"/>
        <v>13079696.199999999</v>
      </c>
      <c r="I3489" s="12">
        <f t="shared" si="166"/>
        <v>0</v>
      </c>
      <c r="J3489" s="12">
        <f t="shared" si="167"/>
        <v>0.49097958708708705</v>
      </c>
    </row>
    <row r="3490" spans="1:10" ht="15" customHeight="1">
      <c r="A3490" s="14">
        <v>46224</v>
      </c>
      <c r="B3490" s="11">
        <v>112</v>
      </c>
      <c r="F3490" s="39">
        <v>1</v>
      </c>
      <c r="G3490" s="39">
        <v>1</v>
      </c>
      <c r="H3490" s="2">
        <f t="shared" si="168"/>
        <v>13079696.199999999</v>
      </c>
      <c r="I3490" s="12">
        <f t="shared" si="166"/>
        <v>0</v>
      </c>
      <c r="J3490" s="12">
        <f t="shared" si="167"/>
        <v>0.48659584077380952</v>
      </c>
    </row>
    <row r="3491" spans="1:10" ht="15" customHeight="1">
      <c r="A3491" s="14">
        <v>46225</v>
      </c>
      <c r="B3491" s="11">
        <v>113</v>
      </c>
      <c r="F3491" s="39">
        <v>1</v>
      </c>
      <c r="G3491" s="39">
        <v>1</v>
      </c>
      <c r="H3491" s="2">
        <f t="shared" si="168"/>
        <v>13079696.199999999</v>
      </c>
      <c r="I3491" s="12">
        <f t="shared" si="166"/>
        <v>0</v>
      </c>
      <c r="J3491" s="12">
        <f t="shared" si="167"/>
        <v>0.48228968289085544</v>
      </c>
    </row>
    <row r="3492" spans="1:10" ht="15" customHeight="1">
      <c r="A3492" s="14">
        <v>46226</v>
      </c>
      <c r="B3492" s="11">
        <v>114</v>
      </c>
      <c r="F3492" s="39">
        <v>1</v>
      </c>
      <c r="G3492" s="39">
        <v>1</v>
      </c>
      <c r="H3492" s="2">
        <f t="shared" si="168"/>
        <v>13079696.199999999</v>
      </c>
      <c r="I3492" s="12">
        <f t="shared" si="166"/>
        <v>0</v>
      </c>
      <c r="J3492" s="12">
        <f t="shared" si="167"/>
        <v>0.47805907163742689</v>
      </c>
    </row>
    <row r="3493" spans="1:10" ht="15" customHeight="1">
      <c r="A3493" s="14">
        <v>46227</v>
      </c>
      <c r="B3493" s="11">
        <v>115</v>
      </c>
      <c r="F3493" s="39">
        <v>1</v>
      </c>
      <c r="G3493" s="39">
        <v>1</v>
      </c>
      <c r="H3493" s="2">
        <f t="shared" si="168"/>
        <v>13079696.199999999</v>
      </c>
      <c r="I3493" s="12">
        <f t="shared" si="166"/>
        <v>0</v>
      </c>
      <c r="J3493" s="12">
        <f t="shared" si="167"/>
        <v>0.47390203623188404</v>
      </c>
    </row>
    <row r="3494" spans="1:10" ht="15" customHeight="1">
      <c r="A3494" s="14">
        <v>46228</v>
      </c>
      <c r="B3494" s="11">
        <v>116</v>
      </c>
      <c r="F3494" s="39">
        <v>1</v>
      </c>
      <c r="G3494" s="39">
        <v>1</v>
      </c>
      <c r="H3494" s="2">
        <f t="shared" si="168"/>
        <v>13079696.199999999</v>
      </c>
      <c r="I3494" s="12">
        <f t="shared" si="166"/>
        <v>0</v>
      </c>
      <c r="J3494" s="12">
        <f t="shared" si="167"/>
        <v>0.46981667385057468</v>
      </c>
    </row>
    <row r="3495" spans="1:10" ht="15" customHeight="1">
      <c r="A3495" s="14">
        <v>46229</v>
      </c>
      <c r="B3495" s="11">
        <v>117</v>
      </c>
      <c r="F3495" s="39">
        <v>1</v>
      </c>
      <c r="G3495" s="39">
        <v>1</v>
      </c>
      <c r="H3495" s="2">
        <f t="shared" si="168"/>
        <v>13079696.199999999</v>
      </c>
      <c r="I3495" s="12">
        <f t="shared" si="166"/>
        <v>0</v>
      </c>
      <c r="J3495" s="12">
        <f t="shared" si="167"/>
        <v>0.4658011467236467</v>
      </c>
    </row>
    <row r="3496" spans="1:10" ht="15" customHeight="1">
      <c r="A3496" s="14">
        <v>46230</v>
      </c>
      <c r="B3496" s="11">
        <v>118</v>
      </c>
      <c r="F3496" s="39">
        <v>1</v>
      </c>
      <c r="G3496" s="39">
        <v>1</v>
      </c>
      <c r="H3496" s="2">
        <f t="shared" si="168"/>
        <v>13079696.199999999</v>
      </c>
      <c r="I3496" s="12">
        <f t="shared" si="166"/>
        <v>0</v>
      </c>
      <c r="J3496" s="12">
        <f t="shared" si="167"/>
        <v>0.46185367937853106</v>
      </c>
    </row>
    <row r="3497" spans="1:10" ht="15" customHeight="1">
      <c r="A3497" s="14">
        <v>46231</v>
      </c>
      <c r="B3497" s="11">
        <v>119</v>
      </c>
      <c r="F3497" s="39">
        <v>1</v>
      </c>
      <c r="G3497" s="39">
        <v>1</v>
      </c>
      <c r="H3497" s="2">
        <f t="shared" si="168"/>
        <v>13079696.199999999</v>
      </c>
      <c r="I3497" s="12">
        <f t="shared" si="166"/>
        <v>0</v>
      </c>
      <c r="J3497" s="12">
        <f t="shared" si="167"/>
        <v>0.45797255602240894</v>
      </c>
    </row>
    <row r="3498" spans="1:10" ht="15" customHeight="1">
      <c r="A3498" s="14">
        <v>46232</v>
      </c>
      <c r="B3498" s="11">
        <v>120</v>
      </c>
      <c r="F3498" s="39">
        <v>1</v>
      </c>
      <c r="G3498" s="39">
        <v>1</v>
      </c>
      <c r="H3498" s="2">
        <f t="shared" si="168"/>
        <v>13079696.199999999</v>
      </c>
      <c r="I3498" s="12">
        <f t="shared" si="166"/>
        <v>0</v>
      </c>
      <c r="J3498" s="12">
        <f t="shared" si="167"/>
        <v>0.4541561180555555</v>
      </c>
    </row>
    <row r="3499" spans="1:10" ht="15" customHeight="1">
      <c r="A3499" s="14">
        <v>46233</v>
      </c>
      <c r="B3499" s="11">
        <v>121</v>
      </c>
      <c r="F3499" s="39">
        <v>1</v>
      </c>
      <c r="G3499" s="39">
        <v>1</v>
      </c>
      <c r="H3499" s="2">
        <f t="shared" si="168"/>
        <v>13079696.199999999</v>
      </c>
      <c r="I3499" s="12">
        <f t="shared" si="166"/>
        <v>0</v>
      </c>
      <c r="J3499" s="12">
        <f t="shared" si="167"/>
        <v>0.45040276170798893</v>
      </c>
    </row>
    <row r="3500" spans="1:10" ht="15" customHeight="1">
      <c r="A3500" s="14">
        <v>46234</v>
      </c>
      <c r="B3500" s="11">
        <v>122</v>
      </c>
      <c r="F3500" s="39">
        <v>1</v>
      </c>
      <c r="G3500" s="39">
        <v>1</v>
      </c>
      <c r="H3500" s="2">
        <f t="shared" si="168"/>
        <v>13079696.199999999</v>
      </c>
      <c r="I3500" s="12">
        <f t="shared" si="166"/>
        <v>0</v>
      </c>
      <c r="J3500" s="12">
        <f t="shared" si="167"/>
        <v>0.44671093579234972</v>
      </c>
    </row>
    <row r="3501" spans="1:10" ht="15" customHeight="1">
      <c r="A3501" s="14">
        <v>46235</v>
      </c>
      <c r="B3501" s="11">
        <v>123</v>
      </c>
      <c r="F3501" s="39">
        <v>1</v>
      </c>
      <c r="G3501" s="39">
        <v>1</v>
      </c>
      <c r="H3501" s="2">
        <f t="shared" si="168"/>
        <v>13079696.199999999</v>
      </c>
      <c r="I3501" s="12">
        <f t="shared" si="166"/>
        <v>0</v>
      </c>
      <c r="J3501" s="12">
        <f t="shared" si="167"/>
        <v>0.44307913956639566</v>
      </c>
    </row>
    <row r="3502" spans="1:10" ht="15" customHeight="1">
      <c r="A3502" s="14">
        <v>46236</v>
      </c>
      <c r="B3502" s="11">
        <v>124</v>
      </c>
      <c r="F3502" s="39">
        <v>1</v>
      </c>
      <c r="G3502" s="39">
        <v>1</v>
      </c>
      <c r="H3502" s="2">
        <f t="shared" si="168"/>
        <v>13079696.199999999</v>
      </c>
      <c r="I3502" s="12">
        <f t="shared" si="166"/>
        <v>0</v>
      </c>
      <c r="J3502" s="12">
        <f t="shared" si="167"/>
        <v>0.43950592069892469</v>
      </c>
    </row>
    <row r="3503" spans="1:10" ht="15" customHeight="1">
      <c r="A3503" s="14">
        <v>46237</v>
      </c>
      <c r="B3503" s="11">
        <v>125</v>
      </c>
      <c r="F3503" s="39">
        <v>1</v>
      </c>
      <c r="G3503" s="39">
        <v>1</v>
      </c>
      <c r="H3503" s="2">
        <f t="shared" si="168"/>
        <v>13079696.199999999</v>
      </c>
      <c r="I3503" s="12">
        <f t="shared" si="166"/>
        <v>0</v>
      </c>
      <c r="J3503" s="12">
        <f t="shared" si="167"/>
        <v>0.43598987333333333</v>
      </c>
    </row>
    <row r="3504" spans="1:10" ht="15" customHeight="1">
      <c r="A3504" s="14">
        <v>46238</v>
      </c>
      <c r="B3504" s="11">
        <v>126</v>
      </c>
      <c r="F3504" s="39">
        <v>1</v>
      </c>
      <c r="G3504" s="39">
        <v>1</v>
      </c>
      <c r="H3504" s="2">
        <f t="shared" si="168"/>
        <v>13079696.199999999</v>
      </c>
      <c r="I3504" s="12">
        <f t="shared" si="166"/>
        <v>0</v>
      </c>
      <c r="J3504" s="12">
        <f t="shared" si="167"/>
        <v>0.4325296362433862</v>
      </c>
    </row>
    <row r="3505" spans="1:10" ht="15" customHeight="1">
      <c r="A3505" s="14">
        <v>46239</v>
      </c>
      <c r="B3505" s="11">
        <v>127</v>
      </c>
      <c r="F3505" s="39">
        <v>1</v>
      </c>
      <c r="G3505" s="39">
        <v>1</v>
      </c>
      <c r="H3505" s="2">
        <f t="shared" si="168"/>
        <v>13079696.199999999</v>
      </c>
      <c r="I3505" s="12">
        <f t="shared" si="166"/>
        <v>0</v>
      </c>
      <c r="J3505" s="12">
        <f t="shared" si="167"/>
        <v>0.42912389107611548</v>
      </c>
    </row>
    <row r="3506" spans="1:10" ht="15" customHeight="1">
      <c r="A3506" s="14">
        <v>46240</v>
      </c>
      <c r="B3506" s="11">
        <v>128</v>
      </c>
      <c r="F3506" s="39">
        <v>1</v>
      </c>
      <c r="G3506" s="39">
        <v>1</v>
      </c>
      <c r="H3506" s="2">
        <f t="shared" si="168"/>
        <v>13079696.199999999</v>
      </c>
      <c r="I3506" s="12">
        <f t="shared" si="166"/>
        <v>0</v>
      </c>
      <c r="J3506" s="12">
        <f t="shared" si="167"/>
        <v>0.42577136067708332</v>
      </c>
    </row>
    <row r="3507" spans="1:10" ht="15" customHeight="1">
      <c r="A3507" s="14">
        <v>46241</v>
      </c>
      <c r="B3507" s="11">
        <v>129</v>
      </c>
      <c r="F3507" s="39">
        <v>1</v>
      </c>
      <c r="G3507" s="39">
        <v>1</v>
      </c>
      <c r="H3507" s="2">
        <f t="shared" si="168"/>
        <v>13079696.199999999</v>
      </c>
      <c r="I3507" s="12">
        <f t="shared" si="166"/>
        <v>0</v>
      </c>
      <c r="J3507" s="12">
        <f t="shared" si="167"/>
        <v>0.42247080749354005</v>
      </c>
    </row>
    <row r="3508" spans="1:10" ht="15" customHeight="1">
      <c r="A3508" s="14">
        <v>46242</v>
      </c>
      <c r="B3508" s="11">
        <v>130</v>
      </c>
      <c r="F3508" s="39">
        <v>1</v>
      </c>
      <c r="G3508" s="39">
        <v>1</v>
      </c>
      <c r="H3508" s="2">
        <f t="shared" si="168"/>
        <v>13079696.199999999</v>
      </c>
      <c r="I3508" s="12">
        <f t="shared" si="166"/>
        <v>0</v>
      </c>
      <c r="J3508" s="12">
        <f t="shared" si="167"/>
        <v>0.41922103205128203</v>
      </c>
    </row>
    <row r="3509" spans="1:10" ht="15" customHeight="1">
      <c r="A3509" s="14">
        <v>46243</v>
      </c>
      <c r="B3509" s="11">
        <v>131</v>
      </c>
      <c r="F3509" s="39">
        <v>1</v>
      </c>
      <c r="G3509" s="39">
        <v>1</v>
      </c>
      <c r="H3509" s="2">
        <f t="shared" si="168"/>
        <v>13079696.199999999</v>
      </c>
      <c r="I3509" s="12">
        <f t="shared" si="166"/>
        <v>0</v>
      </c>
      <c r="J3509" s="12">
        <f t="shared" si="167"/>
        <v>0.41602087150127226</v>
      </c>
    </row>
    <row r="3510" spans="1:10" ht="15" customHeight="1">
      <c r="A3510" s="14">
        <v>46244</v>
      </c>
      <c r="B3510" s="11">
        <v>132</v>
      </c>
      <c r="F3510" s="39">
        <v>1</v>
      </c>
      <c r="G3510" s="39">
        <v>1</v>
      </c>
      <c r="H3510" s="2">
        <f t="shared" si="168"/>
        <v>13079696.199999999</v>
      </c>
      <c r="I3510" s="12">
        <f t="shared" si="166"/>
        <v>0</v>
      </c>
      <c r="J3510" s="12">
        <f t="shared" si="167"/>
        <v>0.41286919823232321</v>
      </c>
    </row>
    <row r="3511" spans="1:10" ht="15" customHeight="1">
      <c r="A3511" s="14">
        <v>46245</v>
      </c>
      <c r="B3511" s="11">
        <v>133</v>
      </c>
      <c r="F3511" s="39">
        <v>1</v>
      </c>
      <c r="G3511" s="39">
        <v>1</v>
      </c>
      <c r="H3511" s="2">
        <f t="shared" si="168"/>
        <v>13079696.199999999</v>
      </c>
      <c r="I3511" s="12">
        <f t="shared" si="166"/>
        <v>0</v>
      </c>
      <c r="J3511" s="12">
        <f t="shared" si="167"/>
        <v>0.40976491854636587</v>
      </c>
    </row>
    <row r="3512" spans="1:10" ht="15" customHeight="1">
      <c r="A3512" s="14">
        <v>46246</v>
      </c>
      <c r="B3512" s="11">
        <v>134</v>
      </c>
      <c r="F3512" s="39">
        <v>1</v>
      </c>
      <c r="G3512" s="39">
        <v>1</v>
      </c>
      <c r="H3512" s="2">
        <f t="shared" si="168"/>
        <v>13079696.199999999</v>
      </c>
      <c r="I3512" s="12">
        <f t="shared" si="166"/>
        <v>0</v>
      </c>
      <c r="J3512" s="12">
        <f t="shared" si="167"/>
        <v>0.4067069713930348</v>
      </c>
    </row>
    <row r="3513" spans="1:10" ht="15" customHeight="1">
      <c r="A3513" s="14">
        <v>46247</v>
      </c>
      <c r="B3513" s="11">
        <v>135</v>
      </c>
      <c r="F3513" s="39">
        <v>1</v>
      </c>
      <c r="G3513" s="39">
        <v>1</v>
      </c>
      <c r="H3513" s="2">
        <f t="shared" si="168"/>
        <v>13079696.199999999</v>
      </c>
      <c r="I3513" s="12">
        <f t="shared" si="166"/>
        <v>0</v>
      </c>
      <c r="J3513" s="12">
        <f t="shared" si="167"/>
        <v>0.4036943271604938</v>
      </c>
    </row>
    <row r="3514" spans="1:10" ht="15" customHeight="1">
      <c r="A3514" s="14">
        <v>46248</v>
      </c>
      <c r="B3514" s="11">
        <v>136</v>
      </c>
      <c r="F3514" s="39">
        <v>1</v>
      </c>
      <c r="G3514" s="39">
        <v>1</v>
      </c>
      <c r="H3514" s="2">
        <f t="shared" si="168"/>
        <v>13079696.199999999</v>
      </c>
      <c r="I3514" s="12">
        <f t="shared" si="166"/>
        <v>0</v>
      </c>
      <c r="J3514" s="12">
        <f t="shared" si="167"/>
        <v>0.40072598651960784</v>
      </c>
    </row>
    <row r="3515" spans="1:10" ht="15" customHeight="1">
      <c r="A3515" s="14">
        <v>46249</v>
      </c>
      <c r="B3515" s="11">
        <v>137</v>
      </c>
      <c r="F3515" s="39">
        <v>1</v>
      </c>
      <c r="G3515" s="39">
        <v>1</v>
      </c>
      <c r="H3515" s="2">
        <f t="shared" si="168"/>
        <v>13079696.199999999</v>
      </c>
      <c r="I3515" s="12">
        <f t="shared" si="166"/>
        <v>0</v>
      </c>
      <c r="J3515" s="12">
        <f t="shared" si="167"/>
        <v>0.39780097931873476</v>
      </c>
    </row>
    <row r="3516" spans="1:10" ht="15" customHeight="1">
      <c r="A3516" s="14">
        <v>46250</v>
      </c>
      <c r="B3516" s="11">
        <v>138</v>
      </c>
      <c r="F3516" s="39">
        <v>1</v>
      </c>
      <c r="G3516" s="39">
        <v>1</v>
      </c>
      <c r="H3516" s="2">
        <f t="shared" si="168"/>
        <v>13079696.199999999</v>
      </c>
      <c r="I3516" s="12">
        <f t="shared" si="166"/>
        <v>0</v>
      </c>
      <c r="J3516" s="12">
        <f t="shared" si="167"/>
        <v>0.39491836352657</v>
      </c>
    </row>
    <row r="3517" spans="1:10" ht="15" customHeight="1">
      <c r="A3517" s="14">
        <v>46251</v>
      </c>
      <c r="B3517" s="11">
        <v>139</v>
      </c>
      <c r="F3517" s="39">
        <v>1</v>
      </c>
      <c r="G3517" s="39">
        <v>1</v>
      </c>
      <c r="H3517" s="2">
        <f t="shared" si="168"/>
        <v>13079696.199999999</v>
      </c>
      <c r="I3517" s="12">
        <f t="shared" si="166"/>
        <v>0</v>
      </c>
      <c r="J3517" s="12">
        <f t="shared" si="167"/>
        <v>0.39207722422062347</v>
      </c>
    </row>
    <row r="3518" spans="1:10" ht="15" customHeight="1">
      <c r="A3518" s="14">
        <v>46252</v>
      </c>
      <c r="B3518" s="11">
        <v>140</v>
      </c>
      <c r="F3518" s="39">
        <v>1</v>
      </c>
      <c r="G3518" s="39">
        <v>1</v>
      </c>
      <c r="H3518" s="2">
        <f t="shared" si="168"/>
        <v>13079696.199999999</v>
      </c>
      <c r="I3518" s="12">
        <f t="shared" si="166"/>
        <v>0</v>
      </c>
      <c r="J3518" s="12">
        <f t="shared" si="167"/>
        <v>0.38927667261904758</v>
      </c>
    </row>
    <row r="3519" spans="1:10" ht="15" customHeight="1">
      <c r="A3519" s="14">
        <v>46253</v>
      </c>
      <c r="B3519" s="11">
        <v>141</v>
      </c>
      <c r="F3519" s="39">
        <v>1</v>
      </c>
      <c r="G3519" s="39">
        <v>1</v>
      </c>
      <c r="H3519" s="2">
        <f t="shared" si="168"/>
        <v>13079696.199999999</v>
      </c>
      <c r="I3519" s="12">
        <f t="shared" si="166"/>
        <v>0</v>
      </c>
      <c r="J3519" s="12">
        <f t="shared" si="167"/>
        <v>0.38651584515366427</v>
      </c>
    </row>
    <row r="3520" spans="1:10" ht="15" customHeight="1">
      <c r="A3520" s="14">
        <v>46254</v>
      </c>
      <c r="B3520" s="11">
        <v>142</v>
      </c>
      <c r="F3520" s="39">
        <v>1</v>
      </c>
      <c r="G3520" s="39">
        <v>1</v>
      </c>
      <c r="H3520" s="2">
        <f t="shared" si="168"/>
        <v>13079696.199999999</v>
      </c>
      <c r="I3520" s="12">
        <f t="shared" si="166"/>
        <v>0</v>
      </c>
      <c r="J3520" s="12">
        <f t="shared" si="167"/>
        <v>0.38379390258215962</v>
      </c>
    </row>
    <row r="3521" spans="1:10" ht="15" customHeight="1">
      <c r="A3521" s="14">
        <v>46255</v>
      </c>
      <c r="B3521" s="11">
        <v>143</v>
      </c>
      <c r="F3521" s="39">
        <v>1</v>
      </c>
      <c r="G3521" s="39">
        <v>1</v>
      </c>
      <c r="H3521" s="2">
        <f t="shared" si="168"/>
        <v>13079696.199999999</v>
      </c>
      <c r="I3521" s="12">
        <f t="shared" si="166"/>
        <v>0</v>
      </c>
      <c r="J3521" s="12">
        <f t="shared" si="167"/>
        <v>0.38111002913752912</v>
      </c>
    </row>
    <row r="3522" spans="1:10" ht="15" customHeight="1">
      <c r="A3522" s="14">
        <v>46256</v>
      </c>
      <c r="B3522" s="11">
        <v>144</v>
      </c>
      <c r="F3522" s="39">
        <v>1</v>
      </c>
      <c r="G3522" s="39">
        <v>1</v>
      </c>
      <c r="H3522" s="2">
        <f t="shared" si="168"/>
        <v>13079696.199999999</v>
      </c>
      <c r="I3522" s="12">
        <f t="shared" si="166"/>
        <v>0</v>
      </c>
      <c r="J3522" s="12">
        <f t="shared" si="167"/>
        <v>0.37846343171296293</v>
      </c>
    </row>
    <row r="3523" spans="1:10" ht="15" customHeight="1">
      <c r="A3523" s="14">
        <v>46257</v>
      </c>
      <c r="B3523" s="11">
        <v>145</v>
      </c>
      <c r="F3523" s="39">
        <v>1</v>
      </c>
      <c r="G3523" s="39">
        <v>1</v>
      </c>
      <c r="H3523" s="2">
        <f t="shared" si="168"/>
        <v>13079696.199999999</v>
      </c>
      <c r="I3523" s="12">
        <f t="shared" ref="I3523:I3586" si="169">C3523/(10*24*1000)</f>
        <v>0</v>
      </c>
      <c r="J3523" s="12">
        <f t="shared" si="167"/>
        <v>0.37585333908045976</v>
      </c>
    </row>
    <row r="3524" spans="1:10" ht="15" customHeight="1">
      <c r="A3524" s="14">
        <v>46258</v>
      </c>
      <c r="B3524" s="11">
        <v>146</v>
      </c>
      <c r="F3524" s="39">
        <v>1</v>
      </c>
      <c r="G3524" s="39">
        <v>1</v>
      </c>
      <c r="H3524" s="2">
        <f t="shared" si="168"/>
        <v>13079696.199999999</v>
      </c>
      <c r="I3524" s="12">
        <f t="shared" si="169"/>
        <v>0</v>
      </c>
      <c r="J3524" s="12">
        <f t="shared" si="167"/>
        <v>0.37327900114155249</v>
      </c>
    </row>
    <row r="3525" spans="1:10" ht="15" customHeight="1">
      <c r="A3525" s="14">
        <v>46259</v>
      </c>
      <c r="B3525" s="11">
        <v>147</v>
      </c>
      <c r="F3525" s="39">
        <v>1</v>
      </c>
      <c r="G3525" s="39">
        <v>1</v>
      </c>
      <c r="H3525" s="2">
        <f t="shared" si="168"/>
        <v>13079696.199999999</v>
      </c>
      <c r="I3525" s="12">
        <f t="shared" si="169"/>
        <v>0</v>
      </c>
      <c r="J3525" s="12">
        <f t="shared" si="167"/>
        <v>0.37073968820861675</v>
      </c>
    </row>
    <row r="3526" spans="1:10" ht="15" customHeight="1">
      <c r="A3526" s="14">
        <v>46260</v>
      </c>
      <c r="B3526" s="11">
        <v>148</v>
      </c>
      <c r="F3526" s="39">
        <v>1</v>
      </c>
      <c r="G3526" s="39">
        <v>1</v>
      </c>
      <c r="H3526" s="2">
        <f t="shared" si="168"/>
        <v>13079696.199999999</v>
      </c>
      <c r="I3526" s="12">
        <f t="shared" si="169"/>
        <v>0</v>
      </c>
      <c r="J3526" s="12">
        <f t="shared" si="167"/>
        <v>0.36823469031531531</v>
      </c>
    </row>
    <row r="3527" spans="1:10" ht="15" customHeight="1">
      <c r="A3527" s="14">
        <v>46261</v>
      </c>
      <c r="B3527" s="11">
        <v>149</v>
      </c>
      <c r="F3527" s="39">
        <v>1</v>
      </c>
      <c r="G3527" s="39">
        <v>1</v>
      </c>
      <c r="H3527" s="2">
        <f t="shared" si="168"/>
        <v>13079696.199999999</v>
      </c>
      <c r="I3527" s="12">
        <f t="shared" si="169"/>
        <v>0</v>
      </c>
      <c r="J3527" s="12">
        <f t="shared" ref="J3527:J3590" si="170">H3527/(24*B3527*10*1000)</f>
        <v>0.36576331655480981</v>
      </c>
    </row>
    <row r="3528" spans="1:10" ht="15" customHeight="1">
      <c r="A3528" s="14">
        <v>46262</v>
      </c>
      <c r="B3528" s="11">
        <v>150</v>
      </c>
      <c r="F3528" s="39">
        <v>1</v>
      </c>
      <c r="G3528" s="39">
        <v>1</v>
      </c>
      <c r="H3528" s="2">
        <f t="shared" ref="H3528:H3591" si="171">H3527+C3528</f>
        <v>13079696.199999999</v>
      </c>
      <c r="I3528" s="12">
        <f t="shared" si="169"/>
        <v>0</v>
      </c>
      <c r="J3528" s="12">
        <f t="shared" si="170"/>
        <v>0.36332489444444444</v>
      </c>
    </row>
    <row r="3529" spans="1:10" ht="15" customHeight="1">
      <c r="A3529" s="14">
        <v>46263</v>
      </c>
      <c r="B3529" s="11">
        <v>151</v>
      </c>
      <c r="F3529" s="39">
        <v>1</v>
      </c>
      <c r="G3529" s="39">
        <v>1</v>
      </c>
      <c r="H3529" s="2">
        <f t="shared" si="171"/>
        <v>13079696.199999999</v>
      </c>
      <c r="I3529" s="12">
        <f t="shared" si="169"/>
        <v>0</v>
      </c>
      <c r="J3529" s="12">
        <f t="shared" si="170"/>
        <v>0.36091876931567329</v>
      </c>
    </row>
    <row r="3530" spans="1:10" ht="15" customHeight="1">
      <c r="A3530" s="14">
        <v>46264</v>
      </c>
      <c r="B3530" s="11">
        <v>152</v>
      </c>
      <c r="F3530" s="39">
        <v>1</v>
      </c>
      <c r="G3530" s="39">
        <v>1</v>
      </c>
      <c r="H3530" s="2">
        <f t="shared" si="171"/>
        <v>13079696.199999999</v>
      </c>
      <c r="I3530" s="12">
        <f t="shared" si="169"/>
        <v>0</v>
      </c>
      <c r="J3530" s="12">
        <f t="shared" si="170"/>
        <v>0.35854430372807017</v>
      </c>
    </row>
    <row r="3531" spans="1:10" ht="15" customHeight="1">
      <c r="A3531" s="14">
        <v>46265</v>
      </c>
      <c r="B3531" s="11">
        <v>153</v>
      </c>
      <c r="F3531" s="39">
        <v>1</v>
      </c>
      <c r="G3531" s="39">
        <v>1</v>
      </c>
      <c r="H3531" s="2">
        <f t="shared" si="171"/>
        <v>13079696.199999999</v>
      </c>
      <c r="I3531" s="12">
        <f t="shared" si="169"/>
        <v>0</v>
      </c>
      <c r="J3531" s="12">
        <f t="shared" si="170"/>
        <v>0.35620087690631808</v>
      </c>
    </row>
    <row r="3532" spans="1:10" ht="15" customHeight="1">
      <c r="A3532" s="14">
        <v>46266</v>
      </c>
      <c r="B3532" s="11">
        <v>154</v>
      </c>
      <c r="F3532" s="39">
        <v>1</v>
      </c>
      <c r="G3532" s="39">
        <v>1</v>
      </c>
      <c r="H3532" s="2">
        <f t="shared" si="171"/>
        <v>13079696.199999999</v>
      </c>
      <c r="I3532" s="12">
        <f t="shared" si="169"/>
        <v>0</v>
      </c>
      <c r="J3532" s="12">
        <f t="shared" si="170"/>
        <v>0.3538878841991342</v>
      </c>
    </row>
    <row r="3533" spans="1:10" ht="15" customHeight="1">
      <c r="A3533" s="14">
        <v>46267</v>
      </c>
      <c r="B3533" s="11">
        <v>155</v>
      </c>
      <c r="F3533" s="39">
        <v>1</v>
      </c>
      <c r="G3533" s="39">
        <v>1</v>
      </c>
      <c r="H3533" s="2">
        <f t="shared" si="171"/>
        <v>13079696.199999999</v>
      </c>
      <c r="I3533" s="12">
        <f t="shared" si="169"/>
        <v>0</v>
      </c>
      <c r="J3533" s="12">
        <f t="shared" si="170"/>
        <v>0.35160473655913976</v>
      </c>
    </row>
    <row r="3534" spans="1:10" ht="15" customHeight="1">
      <c r="A3534" s="14">
        <v>46268</v>
      </c>
      <c r="B3534" s="11">
        <v>156</v>
      </c>
      <c r="F3534" s="39">
        <v>1</v>
      </c>
      <c r="G3534" s="39">
        <v>1</v>
      </c>
      <c r="H3534" s="2">
        <f t="shared" si="171"/>
        <v>13079696.199999999</v>
      </c>
      <c r="I3534" s="12">
        <f t="shared" si="169"/>
        <v>0</v>
      </c>
      <c r="J3534" s="12">
        <f t="shared" si="170"/>
        <v>0.34935086004273502</v>
      </c>
    </row>
    <row r="3535" spans="1:10" ht="15" customHeight="1">
      <c r="A3535" s="14">
        <v>46269</v>
      </c>
      <c r="B3535" s="11">
        <v>157</v>
      </c>
      <c r="F3535" s="39">
        <v>1</v>
      </c>
      <c r="G3535" s="39">
        <v>1</v>
      </c>
      <c r="H3535" s="2">
        <f t="shared" si="171"/>
        <v>13079696.199999999</v>
      </c>
      <c r="I3535" s="12">
        <f t="shared" si="169"/>
        <v>0</v>
      </c>
      <c r="J3535" s="12">
        <f t="shared" si="170"/>
        <v>0.34712569532908705</v>
      </c>
    </row>
    <row r="3536" spans="1:10" ht="15" customHeight="1">
      <c r="A3536" s="14">
        <v>46270</v>
      </c>
      <c r="B3536" s="11">
        <v>158</v>
      </c>
      <c r="F3536" s="39">
        <v>1</v>
      </c>
      <c r="G3536" s="39">
        <v>1</v>
      </c>
      <c r="H3536" s="2">
        <f t="shared" si="171"/>
        <v>13079696.199999999</v>
      </c>
      <c r="I3536" s="12">
        <f t="shared" si="169"/>
        <v>0</v>
      </c>
      <c r="J3536" s="12">
        <f t="shared" si="170"/>
        <v>0.34492869725738395</v>
      </c>
    </row>
    <row r="3537" spans="1:10" ht="15" customHeight="1">
      <c r="A3537" s="14">
        <v>46271</v>
      </c>
      <c r="B3537" s="11">
        <v>159</v>
      </c>
      <c r="F3537" s="39">
        <v>1</v>
      </c>
      <c r="G3537" s="39">
        <v>1</v>
      </c>
      <c r="H3537" s="2">
        <f t="shared" si="171"/>
        <v>13079696.199999999</v>
      </c>
      <c r="I3537" s="12">
        <f t="shared" si="169"/>
        <v>0</v>
      </c>
      <c r="J3537" s="12">
        <f t="shared" si="170"/>
        <v>0.34275933438155132</v>
      </c>
    </row>
    <row r="3538" spans="1:10" ht="15" customHeight="1">
      <c r="A3538" s="14">
        <v>46272</v>
      </c>
      <c r="B3538" s="11">
        <v>160</v>
      </c>
      <c r="F3538" s="39">
        <v>1</v>
      </c>
      <c r="G3538" s="39">
        <v>1</v>
      </c>
      <c r="H3538" s="2">
        <f t="shared" si="171"/>
        <v>13079696.199999999</v>
      </c>
      <c r="I3538" s="12">
        <f t="shared" si="169"/>
        <v>0</v>
      </c>
      <c r="J3538" s="12">
        <f t="shared" si="170"/>
        <v>0.34061708854166667</v>
      </c>
    </row>
    <row r="3539" spans="1:10" ht="15" customHeight="1">
      <c r="A3539" s="14">
        <v>46273</v>
      </c>
      <c r="B3539" s="11">
        <v>161</v>
      </c>
      <c r="F3539" s="39">
        <v>1</v>
      </c>
      <c r="G3539" s="39">
        <v>1</v>
      </c>
      <c r="H3539" s="2">
        <f t="shared" si="171"/>
        <v>13079696.199999999</v>
      </c>
      <c r="I3539" s="12">
        <f t="shared" si="169"/>
        <v>0</v>
      </c>
      <c r="J3539" s="12">
        <f t="shared" si="170"/>
        <v>0.33850145445134572</v>
      </c>
    </row>
    <row r="3540" spans="1:10" ht="15" customHeight="1">
      <c r="A3540" s="14">
        <v>46274</v>
      </c>
      <c r="B3540" s="11">
        <v>162</v>
      </c>
      <c r="F3540" s="39">
        <v>1</v>
      </c>
      <c r="G3540" s="39">
        <v>1</v>
      </c>
      <c r="H3540" s="2">
        <f t="shared" si="171"/>
        <v>13079696.199999999</v>
      </c>
      <c r="I3540" s="12">
        <f t="shared" si="169"/>
        <v>0</v>
      </c>
      <c r="J3540" s="12">
        <f t="shared" si="170"/>
        <v>0.33641193930041152</v>
      </c>
    </row>
    <row r="3541" spans="1:10" ht="15" customHeight="1">
      <c r="A3541" s="14">
        <v>46275</v>
      </c>
      <c r="B3541" s="11">
        <v>163</v>
      </c>
      <c r="F3541" s="39">
        <v>1</v>
      </c>
      <c r="G3541" s="39">
        <v>1</v>
      </c>
      <c r="H3541" s="2">
        <f t="shared" si="171"/>
        <v>13079696.199999999</v>
      </c>
      <c r="I3541" s="12">
        <f t="shared" si="169"/>
        <v>0</v>
      </c>
      <c r="J3541" s="12">
        <f t="shared" si="170"/>
        <v>0.33434806237218812</v>
      </c>
    </row>
    <row r="3542" spans="1:10" ht="15" customHeight="1">
      <c r="A3542" s="14">
        <v>46276</v>
      </c>
      <c r="B3542" s="11">
        <v>164</v>
      </c>
      <c r="F3542" s="39">
        <v>1</v>
      </c>
      <c r="G3542" s="39">
        <v>1</v>
      </c>
      <c r="H3542" s="2">
        <f t="shared" si="171"/>
        <v>13079696.199999999</v>
      </c>
      <c r="I3542" s="12">
        <f t="shared" si="169"/>
        <v>0</v>
      </c>
      <c r="J3542" s="12">
        <f t="shared" si="170"/>
        <v>0.33230935467479672</v>
      </c>
    </row>
    <row r="3543" spans="1:10" ht="15" customHeight="1">
      <c r="A3543" s="14">
        <v>46277</v>
      </c>
      <c r="B3543" s="11">
        <v>165</v>
      </c>
      <c r="F3543" s="39">
        <v>1</v>
      </c>
      <c r="G3543" s="39">
        <v>1</v>
      </c>
      <c r="H3543" s="2">
        <f t="shared" si="171"/>
        <v>13079696.199999999</v>
      </c>
      <c r="I3543" s="12">
        <f t="shared" si="169"/>
        <v>0</v>
      </c>
      <c r="J3543" s="12">
        <f t="shared" si="170"/>
        <v>0.33029535858585857</v>
      </c>
    </row>
    <row r="3544" spans="1:10" ht="15" customHeight="1">
      <c r="A3544" s="14">
        <v>46278</v>
      </c>
      <c r="B3544" s="11">
        <v>166</v>
      </c>
      <c r="F3544" s="39">
        <v>1</v>
      </c>
      <c r="G3544" s="39">
        <v>1</v>
      </c>
      <c r="H3544" s="2">
        <f t="shared" si="171"/>
        <v>13079696.199999999</v>
      </c>
      <c r="I3544" s="12">
        <f t="shared" si="169"/>
        <v>0</v>
      </c>
      <c r="J3544" s="12">
        <f t="shared" si="170"/>
        <v>0.32830562751004017</v>
      </c>
    </row>
    <row r="3545" spans="1:10" ht="15" customHeight="1">
      <c r="A3545" s="14">
        <v>46279</v>
      </c>
      <c r="B3545" s="11">
        <v>167</v>
      </c>
      <c r="F3545" s="39">
        <v>1</v>
      </c>
      <c r="G3545" s="39">
        <v>1</v>
      </c>
      <c r="H3545" s="2">
        <f t="shared" si="171"/>
        <v>13079696.199999999</v>
      </c>
      <c r="I3545" s="12">
        <f t="shared" si="169"/>
        <v>0</v>
      </c>
      <c r="J3545" s="12">
        <f t="shared" si="170"/>
        <v>0.32633972554890217</v>
      </c>
    </row>
    <row r="3546" spans="1:10" ht="15" customHeight="1">
      <c r="A3546" s="14">
        <v>46280</v>
      </c>
      <c r="B3546" s="11">
        <v>168</v>
      </c>
      <c r="F3546" s="39">
        <v>1</v>
      </c>
      <c r="G3546" s="39">
        <v>1</v>
      </c>
      <c r="H3546" s="2">
        <f t="shared" si="171"/>
        <v>13079696.199999999</v>
      </c>
      <c r="I3546" s="12">
        <f t="shared" si="169"/>
        <v>0</v>
      </c>
      <c r="J3546" s="12">
        <f t="shared" si="170"/>
        <v>0.32439722718253966</v>
      </c>
    </row>
    <row r="3547" spans="1:10" ht="15" customHeight="1">
      <c r="A3547" s="14">
        <v>46281</v>
      </c>
      <c r="B3547" s="11">
        <v>169</v>
      </c>
      <c r="F3547" s="39">
        <v>1</v>
      </c>
      <c r="G3547" s="39">
        <v>1</v>
      </c>
      <c r="H3547" s="2">
        <f t="shared" si="171"/>
        <v>13079696.199999999</v>
      </c>
      <c r="I3547" s="12">
        <f t="shared" si="169"/>
        <v>0</v>
      </c>
      <c r="J3547" s="12">
        <f t="shared" si="170"/>
        <v>0.32247771696252464</v>
      </c>
    </row>
    <row r="3548" spans="1:10" ht="15" customHeight="1">
      <c r="A3548" s="14">
        <v>46282</v>
      </c>
      <c r="B3548" s="11">
        <v>170</v>
      </c>
      <c r="F3548" s="39">
        <v>1</v>
      </c>
      <c r="G3548" s="39">
        <v>1</v>
      </c>
      <c r="H3548" s="2">
        <f t="shared" si="171"/>
        <v>13079696.199999999</v>
      </c>
      <c r="I3548" s="12">
        <f t="shared" si="169"/>
        <v>0</v>
      </c>
      <c r="J3548" s="12">
        <f t="shared" si="170"/>
        <v>0.32058078921568628</v>
      </c>
    </row>
    <row r="3549" spans="1:10" ht="15" customHeight="1">
      <c r="A3549" s="14">
        <v>46283</v>
      </c>
      <c r="B3549" s="11">
        <v>171</v>
      </c>
      <c r="F3549" s="39">
        <v>1</v>
      </c>
      <c r="G3549" s="39">
        <v>1</v>
      </c>
      <c r="H3549" s="2">
        <f t="shared" si="171"/>
        <v>13079696.199999999</v>
      </c>
      <c r="I3549" s="12">
        <f t="shared" si="169"/>
        <v>0</v>
      </c>
      <c r="J3549" s="12">
        <f t="shared" si="170"/>
        <v>0.31870604775828459</v>
      </c>
    </row>
    <row r="3550" spans="1:10" ht="15" customHeight="1">
      <c r="A3550" s="14">
        <v>46284</v>
      </c>
      <c r="B3550" s="11">
        <v>172</v>
      </c>
      <c r="F3550" s="39">
        <v>1</v>
      </c>
      <c r="G3550" s="39">
        <v>1</v>
      </c>
      <c r="H3550" s="2">
        <f t="shared" si="171"/>
        <v>13079696.199999999</v>
      </c>
      <c r="I3550" s="12">
        <f t="shared" si="169"/>
        <v>0</v>
      </c>
      <c r="J3550" s="12">
        <f t="shared" si="170"/>
        <v>0.31685310562015501</v>
      </c>
    </row>
    <row r="3551" spans="1:10" ht="15" customHeight="1">
      <c r="A3551" s="14">
        <v>46285</v>
      </c>
      <c r="B3551" s="11">
        <v>173</v>
      </c>
      <c r="F3551" s="39">
        <v>1</v>
      </c>
      <c r="G3551" s="39">
        <v>1</v>
      </c>
      <c r="H3551" s="2">
        <f t="shared" si="171"/>
        <v>13079696.199999999</v>
      </c>
      <c r="I3551" s="12">
        <f t="shared" si="169"/>
        <v>0</v>
      </c>
      <c r="J3551" s="12">
        <f t="shared" si="170"/>
        <v>0.31502158477842002</v>
      </c>
    </row>
    <row r="3552" spans="1:10" ht="15" customHeight="1">
      <c r="A3552" s="14">
        <v>46286</v>
      </c>
      <c r="B3552" s="11">
        <v>174</v>
      </c>
      <c r="F3552" s="39">
        <v>1</v>
      </c>
      <c r="G3552" s="39">
        <v>1</v>
      </c>
      <c r="H3552" s="2">
        <f t="shared" si="171"/>
        <v>13079696.199999999</v>
      </c>
      <c r="I3552" s="12">
        <f t="shared" si="169"/>
        <v>0</v>
      </c>
      <c r="J3552" s="12">
        <f t="shared" si="170"/>
        <v>0.31321111590038314</v>
      </c>
    </row>
    <row r="3553" spans="1:10" ht="15" customHeight="1">
      <c r="A3553" s="14">
        <v>46287</v>
      </c>
      <c r="B3553" s="11">
        <v>175</v>
      </c>
      <c r="F3553" s="39">
        <v>1</v>
      </c>
      <c r="G3553" s="39">
        <v>1</v>
      </c>
      <c r="H3553" s="2">
        <f t="shared" si="171"/>
        <v>13079696.199999999</v>
      </c>
      <c r="I3553" s="12">
        <f t="shared" si="169"/>
        <v>0</v>
      </c>
      <c r="J3553" s="12">
        <f t="shared" si="170"/>
        <v>0.31142133809523809</v>
      </c>
    </row>
    <row r="3554" spans="1:10" ht="15" customHeight="1">
      <c r="A3554" s="14">
        <v>46288</v>
      </c>
      <c r="B3554" s="11">
        <v>176</v>
      </c>
      <c r="F3554" s="39">
        <v>1</v>
      </c>
      <c r="G3554" s="39">
        <v>1</v>
      </c>
      <c r="H3554" s="2">
        <f t="shared" si="171"/>
        <v>13079696.199999999</v>
      </c>
      <c r="I3554" s="12">
        <f t="shared" si="169"/>
        <v>0</v>
      </c>
      <c r="J3554" s="12">
        <f t="shared" si="170"/>
        <v>0.30965189867424242</v>
      </c>
    </row>
    <row r="3555" spans="1:10" ht="15" customHeight="1">
      <c r="A3555" s="14">
        <v>46289</v>
      </c>
      <c r="B3555" s="11">
        <v>177</v>
      </c>
      <c r="F3555" s="39">
        <v>1</v>
      </c>
      <c r="G3555" s="39">
        <v>1</v>
      </c>
      <c r="H3555" s="2">
        <f t="shared" si="171"/>
        <v>13079696.199999999</v>
      </c>
      <c r="I3555" s="12">
        <f t="shared" si="169"/>
        <v>0</v>
      </c>
      <c r="J3555" s="12">
        <f t="shared" si="170"/>
        <v>0.30790245291902069</v>
      </c>
    </row>
    <row r="3556" spans="1:10" ht="15" customHeight="1">
      <c r="A3556" s="14">
        <v>46290</v>
      </c>
      <c r="B3556" s="11">
        <v>178</v>
      </c>
      <c r="F3556" s="39">
        <v>1</v>
      </c>
      <c r="G3556" s="39">
        <v>1</v>
      </c>
      <c r="H3556" s="2">
        <f t="shared" si="171"/>
        <v>13079696.199999999</v>
      </c>
      <c r="I3556" s="12">
        <f t="shared" si="169"/>
        <v>0</v>
      </c>
      <c r="J3556" s="12">
        <f t="shared" si="170"/>
        <v>0.30617266385767788</v>
      </c>
    </row>
    <row r="3557" spans="1:10" ht="15" customHeight="1">
      <c r="A3557" s="14">
        <v>46291</v>
      </c>
      <c r="B3557" s="11">
        <v>179</v>
      </c>
      <c r="F3557" s="39">
        <v>1</v>
      </c>
      <c r="G3557" s="39">
        <v>1</v>
      </c>
      <c r="H3557" s="2">
        <f t="shared" si="171"/>
        <v>13079696.199999999</v>
      </c>
      <c r="I3557" s="12">
        <f t="shared" si="169"/>
        <v>0</v>
      </c>
      <c r="J3557" s="12">
        <f t="shared" si="170"/>
        <v>0.30446220204841712</v>
      </c>
    </row>
    <row r="3558" spans="1:10" ht="15" customHeight="1">
      <c r="A3558" s="14">
        <v>46292</v>
      </c>
      <c r="B3558" s="11">
        <v>180</v>
      </c>
      <c r="F3558" s="39">
        <v>1</v>
      </c>
      <c r="G3558" s="39">
        <v>1</v>
      </c>
      <c r="H3558" s="2">
        <f t="shared" si="171"/>
        <v>13079696.199999999</v>
      </c>
      <c r="I3558" s="12">
        <f t="shared" si="169"/>
        <v>0</v>
      </c>
      <c r="J3558" s="12">
        <f t="shared" si="170"/>
        <v>0.30277074537037035</v>
      </c>
    </row>
    <row r="3559" spans="1:10" ht="15" customHeight="1">
      <c r="A3559" s="14">
        <v>46293</v>
      </c>
      <c r="B3559" s="11">
        <v>181</v>
      </c>
      <c r="F3559" s="39">
        <v>1</v>
      </c>
      <c r="G3559" s="39">
        <v>1</v>
      </c>
      <c r="H3559" s="2">
        <f t="shared" si="171"/>
        <v>13079696.199999999</v>
      </c>
      <c r="I3559" s="12">
        <f t="shared" si="169"/>
        <v>0</v>
      </c>
      <c r="J3559" s="12">
        <f t="shared" si="170"/>
        <v>0.3010979788213628</v>
      </c>
    </row>
    <row r="3560" spans="1:10" ht="15" customHeight="1">
      <c r="A3560" s="14">
        <v>46294</v>
      </c>
      <c r="B3560" s="11">
        <v>182</v>
      </c>
      <c r="F3560" s="39">
        <v>1</v>
      </c>
      <c r="G3560" s="39">
        <v>1</v>
      </c>
      <c r="H3560" s="2">
        <f t="shared" si="171"/>
        <v>13079696.199999999</v>
      </c>
      <c r="I3560" s="12">
        <f t="shared" si="169"/>
        <v>0</v>
      </c>
      <c r="J3560" s="12">
        <f t="shared" si="170"/>
        <v>0.2994435943223443</v>
      </c>
    </row>
    <row r="3561" spans="1:10" ht="15" customHeight="1">
      <c r="A3561" s="14">
        <v>46295</v>
      </c>
      <c r="B3561" s="11">
        <v>183</v>
      </c>
      <c r="F3561" s="39">
        <v>1</v>
      </c>
      <c r="G3561" s="39">
        <v>1</v>
      </c>
      <c r="H3561" s="2">
        <f t="shared" si="171"/>
        <v>13079696.199999999</v>
      </c>
      <c r="I3561" s="12">
        <f t="shared" si="169"/>
        <v>0</v>
      </c>
      <c r="J3561" s="12">
        <f t="shared" si="170"/>
        <v>0.29780729052823313</v>
      </c>
    </row>
    <row r="3562" spans="1:10" ht="15" customHeight="1">
      <c r="A3562" s="14">
        <v>46296</v>
      </c>
      <c r="B3562" s="11">
        <v>184</v>
      </c>
      <c r="F3562" s="39">
        <v>1</v>
      </c>
      <c r="G3562" s="39">
        <v>1</v>
      </c>
      <c r="H3562" s="2">
        <f t="shared" si="171"/>
        <v>13079696.199999999</v>
      </c>
      <c r="I3562" s="12">
        <f t="shared" si="169"/>
        <v>0</v>
      </c>
      <c r="J3562" s="12">
        <f t="shared" si="170"/>
        <v>0.29618877264492754</v>
      </c>
    </row>
    <row r="3563" spans="1:10" ht="15" customHeight="1">
      <c r="A3563" s="14">
        <v>46297</v>
      </c>
      <c r="B3563" s="11">
        <v>185</v>
      </c>
      <c r="F3563" s="39">
        <v>1</v>
      </c>
      <c r="G3563" s="39">
        <v>1</v>
      </c>
      <c r="H3563" s="2">
        <f t="shared" si="171"/>
        <v>13079696.199999999</v>
      </c>
      <c r="I3563" s="12">
        <f t="shared" si="169"/>
        <v>0</v>
      </c>
      <c r="J3563" s="12">
        <f t="shared" si="170"/>
        <v>0.29458775225225226</v>
      </c>
    </row>
    <row r="3564" spans="1:10" ht="15" customHeight="1">
      <c r="A3564" s="14">
        <v>46298</v>
      </c>
      <c r="B3564" s="11">
        <v>186</v>
      </c>
      <c r="F3564" s="39">
        <v>1</v>
      </c>
      <c r="G3564" s="39">
        <v>1</v>
      </c>
      <c r="H3564" s="2">
        <f t="shared" si="171"/>
        <v>13079696.199999999</v>
      </c>
      <c r="I3564" s="12">
        <f t="shared" si="169"/>
        <v>0</v>
      </c>
      <c r="J3564" s="12">
        <f t="shared" si="170"/>
        <v>0.29300394713261646</v>
      </c>
    </row>
    <row r="3565" spans="1:10" ht="15" customHeight="1">
      <c r="A3565" s="14">
        <v>46299</v>
      </c>
      <c r="B3565" s="11">
        <v>187</v>
      </c>
      <c r="F3565" s="39">
        <v>1</v>
      </c>
      <c r="G3565" s="39">
        <v>1</v>
      </c>
      <c r="H3565" s="2">
        <f t="shared" si="171"/>
        <v>13079696.199999999</v>
      </c>
      <c r="I3565" s="12">
        <f t="shared" si="169"/>
        <v>0</v>
      </c>
      <c r="J3565" s="12">
        <f t="shared" si="170"/>
        <v>0.2914370811051693</v>
      </c>
    </row>
    <row r="3566" spans="1:10" ht="15" customHeight="1">
      <c r="A3566" s="14">
        <v>46300</v>
      </c>
      <c r="B3566" s="11">
        <v>188</v>
      </c>
      <c r="F3566" s="39">
        <v>1</v>
      </c>
      <c r="G3566" s="39">
        <v>1</v>
      </c>
      <c r="H3566" s="2">
        <f t="shared" si="171"/>
        <v>13079696.199999999</v>
      </c>
      <c r="I3566" s="12">
        <f t="shared" si="169"/>
        <v>0</v>
      </c>
      <c r="J3566" s="12">
        <f t="shared" si="170"/>
        <v>0.28988688386524819</v>
      </c>
    </row>
    <row r="3567" spans="1:10" ht="15" customHeight="1">
      <c r="A3567" s="14">
        <v>46301</v>
      </c>
      <c r="B3567" s="11">
        <v>189</v>
      </c>
      <c r="F3567" s="39">
        <v>1</v>
      </c>
      <c r="G3567" s="39">
        <v>1</v>
      </c>
      <c r="H3567" s="2">
        <f t="shared" si="171"/>
        <v>13079696.199999999</v>
      </c>
      <c r="I3567" s="12">
        <f t="shared" si="169"/>
        <v>0</v>
      </c>
      <c r="J3567" s="12">
        <f t="shared" si="170"/>
        <v>0.28835309082892413</v>
      </c>
    </row>
    <row r="3568" spans="1:10" ht="15" customHeight="1">
      <c r="A3568" s="14">
        <v>46302</v>
      </c>
      <c r="B3568" s="11">
        <v>190</v>
      </c>
      <c r="F3568" s="39">
        <v>1</v>
      </c>
      <c r="G3568" s="39">
        <v>1</v>
      </c>
      <c r="H3568" s="2">
        <f t="shared" si="171"/>
        <v>13079696.199999999</v>
      </c>
      <c r="I3568" s="12">
        <f t="shared" si="169"/>
        <v>0</v>
      </c>
      <c r="J3568" s="12">
        <f t="shared" si="170"/>
        <v>0.28683544298245611</v>
      </c>
    </row>
    <row r="3569" spans="1:10" ht="15" customHeight="1">
      <c r="A3569" s="14">
        <v>46303</v>
      </c>
      <c r="B3569" s="11">
        <v>191</v>
      </c>
      <c r="F3569" s="39">
        <v>1</v>
      </c>
      <c r="G3569" s="39">
        <v>1</v>
      </c>
      <c r="H3569" s="2">
        <f t="shared" si="171"/>
        <v>13079696.199999999</v>
      </c>
      <c r="I3569" s="12">
        <f t="shared" si="169"/>
        <v>0</v>
      </c>
      <c r="J3569" s="12">
        <f t="shared" si="170"/>
        <v>0.28533368673647469</v>
      </c>
    </row>
    <row r="3570" spans="1:10" ht="15" customHeight="1">
      <c r="A3570" s="14">
        <v>46304</v>
      </c>
      <c r="B3570" s="11">
        <v>192</v>
      </c>
      <c r="F3570" s="39">
        <v>1</v>
      </c>
      <c r="G3570" s="39">
        <v>1</v>
      </c>
      <c r="H3570" s="2">
        <f t="shared" si="171"/>
        <v>13079696.199999999</v>
      </c>
      <c r="I3570" s="12">
        <f t="shared" si="169"/>
        <v>0</v>
      </c>
      <c r="J3570" s="12">
        <f t="shared" si="170"/>
        <v>0.2838475737847222</v>
      </c>
    </row>
    <row r="3571" spans="1:10" ht="15" customHeight="1">
      <c r="A3571" s="14">
        <v>46305</v>
      </c>
      <c r="B3571" s="11">
        <v>193</v>
      </c>
      <c r="F3571" s="39">
        <v>1</v>
      </c>
      <c r="G3571" s="39">
        <v>1</v>
      </c>
      <c r="H3571" s="2">
        <f t="shared" si="171"/>
        <v>13079696.199999999</v>
      </c>
      <c r="I3571" s="12">
        <f t="shared" si="169"/>
        <v>0</v>
      </c>
      <c r="J3571" s="12">
        <f t="shared" si="170"/>
        <v>0.28237686096718478</v>
      </c>
    </row>
    <row r="3572" spans="1:10" ht="15" customHeight="1">
      <c r="A3572" s="14">
        <v>46306</v>
      </c>
      <c r="B3572" s="11">
        <v>194</v>
      </c>
      <c r="F3572" s="39">
        <v>1</v>
      </c>
      <c r="G3572" s="39">
        <v>1</v>
      </c>
      <c r="H3572" s="2">
        <f t="shared" si="171"/>
        <v>13079696.199999999</v>
      </c>
      <c r="I3572" s="12">
        <f t="shared" si="169"/>
        <v>0</v>
      </c>
      <c r="J3572" s="12">
        <f t="shared" si="170"/>
        <v>0.28092131013745703</v>
      </c>
    </row>
    <row r="3573" spans="1:10" ht="15" customHeight="1">
      <c r="A3573" s="14">
        <v>46307</v>
      </c>
      <c r="B3573" s="11">
        <v>195</v>
      </c>
      <c r="F3573" s="39">
        <v>1</v>
      </c>
      <c r="G3573" s="39">
        <v>1</v>
      </c>
      <c r="H3573" s="2">
        <f t="shared" si="171"/>
        <v>13079696.199999999</v>
      </c>
      <c r="I3573" s="12">
        <f t="shared" si="169"/>
        <v>0</v>
      </c>
      <c r="J3573" s="12">
        <f t="shared" si="170"/>
        <v>0.27948068803418802</v>
      </c>
    </row>
    <row r="3574" spans="1:10" ht="15" customHeight="1">
      <c r="A3574" s="14">
        <v>46308</v>
      </c>
      <c r="B3574" s="11">
        <v>196</v>
      </c>
      <c r="F3574" s="39">
        <v>1</v>
      </c>
      <c r="G3574" s="39">
        <v>1</v>
      </c>
      <c r="H3574" s="2">
        <f t="shared" si="171"/>
        <v>13079696.199999999</v>
      </c>
      <c r="I3574" s="12">
        <f t="shared" si="169"/>
        <v>0</v>
      </c>
      <c r="J3574" s="12">
        <f t="shared" si="170"/>
        <v>0.27805476615646257</v>
      </c>
    </row>
    <row r="3575" spans="1:10" ht="15" customHeight="1">
      <c r="A3575" s="14">
        <v>46309</v>
      </c>
      <c r="B3575" s="11">
        <v>197</v>
      </c>
      <c r="F3575" s="39">
        <v>1</v>
      </c>
      <c r="G3575" s="39">
        <v>1</v>
      </c>
      <c r="H3575" s="2">
        <f t="shared" si="171"/>
        <v>13079696.199999999</v>
      </c>
      <c r="I3575" s="12">
        <f t="shared" si="169"/>
        <v>0</v>
      </c>
      <c r="J3575" s="12">
        <f t="shared" si="170"/>
        <v>0.27664332064297797</v>
      </c>
    </row>
    <row r="3576" spans="1:10" ht="15" customHeight="1">
      <c r="A3576" s="14">
        <v>46310</v>
      </c>
      <c r="B3576" s="11">
        <v>198</v>
      </c>
      <c r="F3576" s="39">
        <v>1</v>
      </c>
      <c r="G3576" s="39">
        <v>1</v>
      </c>
      <c r="H3576" s="2">
        <f t="shared" si="171"/>
        <v>13079696.199999999</v>
      </c>
      <c r="I3576" s="12">
        <f t="shared" si="169"/>
        <v>0</v>
      </c>
      <c r="J3576" s="12">
        <f t="shared" si="170"/>
        <v>0.27524613215488214</v>
      </c>
    </row>
    <row r="3577" spans="1:10" ht="15" customHeight="1">
      <c r="A3577" s="14">
        <v>46311</v>
      </c>
      <c r="B3577" s="11">
        <v>199</v>
      </c>
      <c r="F3577" s="39">
        <v>1</v>
      </c>
      <c r="G3577" s="39">
        <v>1</v>
      </c>
      <c r="H3577" s="2">
        <f t="shared" si="171"/>
        <v>13079696.199999999</v>
      </c>
      <c r="I3577" s="12">
        <f t="shared" si="169"/>
        <v>0</v>
      </c>
      <c r="J3577" s="12">
        <f t="shared" si="170"/>
        <v>0.27386298576214402</v>
      </c>
    </row>
    <row r="3578" spans="1:10" ht="15" customHeight="1">
      <c r="A3578" s="14">
        <v>46312</v>
      </c>
      <c r="B3578" s="11">
        <v>200</v>
      </c>
      <c r="F3578" s="39">
        <v>1</v>
      </c>
      <c r="G3578" s="39">
        <v>1</v>
      </c>
      <c r="H3578" s="2">
        <f t="shared" si="171"/>
        <v>13079696.199999999</v>
      </c>
      <c r="I3578" s="12">
        <f t="shared" si="169"/>
        <v>0</v>
      </c>
      <c r="J3578" s="12">
        <f t="shared" si="170"/>
        <v>0.27249367083333331</v>
      </c>
    </row>
    <row r="3579" spans="1:10" ht="15" customHeight="1">
      <c r="A3579" s="14">
        <v>46313</v>
      </c>
      <c r="B3579" s="11">
        <v>201</v>
      </c>
      <c r="F3579" s="39">
        <v>1</v>
      </c>
      <c r="G3579" s="39">
        <v>1</v>
      </c>
      <c r="H3579" s="2">
        <f t="shared" si="171"/>
        <v>13079696.199999999</v>
      </c>
      <c r="I3579" s="12">
        <f t="shared" si="169"/>
        <v>0</v>
      </c>
      <c r="J3579" s="12">
        <f t="shared" si="170"/>
        <v>0.27113798092868985</v>
      </c>
    </row>
    <row r="3580" spans="1:10" ht="15" customHeight="1">
      <c r="A3580" s="14">
        <v>46314</v>
      </c>
      <c r="B3580" s="11">
        <v>202</v>
      </c>
      <c r="F3580" s="39">
        <v>1</v>
      </c>
      <c r="G3580" s="39">
        <v>1</v>
      </c>
      <c r="H3580" s="2">
        <f t="shared" si="171"/>
        <v>13079696.199999999</v>
      </c>
      <c r="I3580" s="12">
        <f t="shared" si="169"/>
        <v>0</v>
      </c>
      <c r="J3580" s="12">
        <f t="shared" si="170"/>
        <v>0.26979571369636962</v>
      </c>
    </row>
    <row r="3581" spans="1:10" ht="15" customHeight="1">
      <c r="A3581" s="14">
        <v>46315</v>
      </c>
      <c r="B3581" s="11">
        <v>203</v>
      </c>
      <c r="F3581" s="39">
        <v>1</v>
      </c>
      <c r="G3581" s="39">
        <v>1</v>
      </c>
      <c r="H3581" s="2">
        <f t="shared" si="171"/>
        <v>13079696.199999999</v>
      </c>
      <c r="I3581" s="12">
        <f t="shared" si="169"/>
        <v>0</v>
      </c>
      <c r="J3581" s="12">
        <f t="shared" si="170"/>
        <v>0.26846667077175695</v>
      </c>
    </row>
    <row r="3582" spans="1:10" ht="15" customHeight="1">
      <c r="A3582" s="14">
        <v>46316</v>
      </c>
      <c r="B3582" s="11">
        <v>204</v>
      </c>
      <c r="F3582" s="39">
        <v>1</v>
      </c>
      <c r="G3582" s="39">
        <v>1</v>
      </c>
      <c r="H3582" s="2">
        <f t="shared" si="171"/>
        <v>13079696.199999999</v>
      </c>
      <c r="I3582" s="12">
        <f t="shared" si="169"/>
        <v>0</v>
      </c>
      <c r="J3582" s="12">
        <f t="shared" si="170"/>
        <v>0.26715065767973856</v>
      </c>
    </row>
    <row r="3583" spans="1:10" ht="15" customHeight="1">
      <c r="A3583" s="14">
        <v>46317</v>
      </c>
      <c r="B3583" s="11">
        <v>205</v>
      </c>
      <c r="F3583" s="39">
        <v>1</v>
      </c>
      <c r="G3583" s="39">
        <v>1</v>
      </c>
      <c r="H3583" s="2">
        <f t="shared" si="171"/>
        <v>13079696.199999999</v>
      </c>
      <c r="I3583" s="12">
        <f t="shared" si="169"/>
        <v>0</v>
      </c>
      <c r="J3583" s="12">
        <f t="shared" si="170"/>
        <v>0.26584748373983741</v>
      </c>
    </row>
    <row r="3584" spans="1:10" ht="15" customHeight="1">
      <c r="A3584" s="14">
        <v>46318</v>
      </c>
      <c r="B3584" s="11">
        <v>206</v>
      </c>
      <c r="F3584" s="39">
        <v>1</v>
      </c>
      <c r="G3584" s="39">
        <v>1</v>
      </c>
      <c r="H3584" s="2">
        <f t="shared" si="171"/>
        <v>13079696.199999999</v>
      </c>
      <c r="I3584" s="12">
        <f t="shared" si="169"/>
        <v>0</v>
      </c>
      <c r="J3584" s="12">
        <f t="shared" si="170"/>
        <v>0.26455696197410999</v>
      </c>
    </row>
    <row r="3585" spans="1:10" ht="15" customHeight="1">
      <c r="A3585" s="14">
        <v>46319</v>
      </c>
      <c r="B3585" s="11">
        <v>207</v>
      </c>
      <c r="F3585" s="39">
        <v>1</v>
      </c>
      <c r="G3585" s="39">
        <v>1</v>
      </c>
      <c r="H3585" s="2">
        <f t="shared" si="171"/>
        <v>13079696.199999999</v>
      </c>
      <c r="I3585" s="12">
        <f t="shared" si="169"/>
        <v>0</v>
      </c>
      <c r="J3585" s="12">
        <f t="shared" si="170"/>
        <v>0.26327890901771334</v>
      </c>
    </row>
    <row r="3586" spans="1:10" ht="15" customHeight="1">
      <c r="A3586" s="14">
        <v>46320</v>
      </c>
      <c r="B3586" s="11">
        <v>208</v>
      </c>
      <c r="F3586" s="39">
        <v>1</v>
      </c>
      <c r="G3586" s="39">
        <v>1</v>
      </c>
      <c r="H3586" s="2">
        <f t="shared" si="171"/>
        <v>13079696.199999999</v>
      </c>
      <c r="I3586" s="12">
        <f t="shared" si="169"/>
        <v>0</v>
      </c>
      <c r="J3586" s="12">
        <f t="shared" si="170"/>
        <v>0.26201314503205125</v>
      </c>
    </row>
    <row r="3587" spans="1:10" ht="15" customHeight="1">
      <c r="A3587" s="14">
        <v>46321</v>
      </c>
      <c r="B3587" s="11">
        <v>209</v>
      </c>
      <c r="F3587" s="39">
        <v>1</v>
      </c>
      <c r="G3587" s="39">
        <v>1</v>
      </c>
      <c r="H3587" s="2">
        <f t="shared" si="171"/>
        <v>13079696.199999999</v>
      </c>
      <c r="I3587" s="12">
        <f t="shared" ref="I3587:I3650" si="172">C3587/(10*24*1000)</f>
        <v>0</v>
      </c>
      <c r="J3587" s="12">
        <f t="shared" si="170"/>
        <v>0.26075949362041467</v>
      </c>
    </row>
    <row r="3588" spans="1:10" ht="15" customHeight="1">
      <c r="A3588" s="14">
        <v>46322</v>
      </c>
      <c r="B3588" s="11">
        <v>210</v>
      </c>
      <c r="F3588" s="39">
        <v>1</v>
      </c>
      <c r="G3588" s="39">
        <v>1</v>
      </c>
      <c r="H3588" s="2">
        <f t="shared" si="171"/>
        <v>13079696.199999999</v>
      </c>
      <c r="I3588" s="12">
        <f t="shared" si="172"/>
        <v>0</v>
      </c>
      <c r="J3588" s="12">
        <f t="shared" si="170"/>
        <v>0.25951778174603174</v>
      </c>
    </row>
    <row r="3589" spans="1:10" ht="15" customHeight="1">
      <c r="A3589" s="14">
        <v>46323</v>
      </c>
      <c r="B3589" s="11">
        <v>211</v>
      </c>
      <c r="F3589" s="39">
        <v>1</v>
      </c>
      <c r="G3589" s="39">
        <v>1</v>
      </c>
      <c r="H3589" s="2">
        <f t="shared" si="171"/>
        <v>13079696.199999999</v>
      </c>
      <c r="I3589" s="12">
        <f t="shared" si="172"/>
        <v>0</v>
      </c>
      <c r="J3589" s="12">
        <f t="shared" si="170"/>
        <v>0.25828783965244867</v>
      </c>
    </row>
    <row r="3590" spans="1:10" ht="15" customHeight="1">
      <c r="A3590" s="14">
        <v>46324</v>
      </c>
      <c r="B3590" s="11">
        <v>212</v>
      </c>
      <c r="F3590" s="39">
        <v>1</v>
      </c>
      <c r="G3590" s="39">
        <v>1</v>
      </c>
      <c r="H3590" s="2">
        <f t="shared" si="171"/>
        <v>13079696.199999999</v>
      </c>
      <c r="I3590" s="12">
        <f t="shared" si="172"/>
        <v>0</v>
      </c>
      <c r="J3590" s="12">
        <f t="shared" si="170"/>
        <v>0.25706950078616353</v>
      </c>
    </row>
    <row r="3591" spans="1:10" ht="15" customHeight="1">
      <c r="A3591" s="14">
        <v>46325</v>
      </c>
      <c r="B3591" s="11">
        <v>213</v>
      </c>
      <c r="F3591" s="39">
        <v>1</v>
      </c>
      <c r="G3591" s="39">
        <v>1</v>
      </c>
      <c r="H3591" s="2">
        <f t="shared" si="171"/>
        <v>13079696.199999999</v>
      </c>
      <c r="I3591" s="12">
        <f t="shared" si="172"/>
        <v>0</v>
      </c>
      <c r="J3591" s="12">
        <f t="shared" ref="J3591:J3654" si="173">H3591/(24*B3591*10*1000)</f>
        <v>0.25586260172143971</v>
      </c>
    </row>
    <row r="3592" spans="1:10" ht="15" customHeight="1">
      <c r="A3592" s="14">
        <v>46326</v>
      </c>
      <c r="B3592" s="11">
        <v>214</v>
      </c>
      <c r="F3592" s="39">
        <v>1</v>
      </c>
      <c r="G3592" s="39">
        <v>1</v>
      </c>
      <c r="H3592" s="2">
        <f t="shared" ref="H3592:H3655" si="174">H3591+C3592</f>
        <v>13079696.199999999</v>
      </c>
      <c r="I3592" s="12">
        <f t="shared" si="172"/>
        <v>0</v>
      </c>
      <c r="J3592" s="12">
        <f t="shared" si="173"/>
        <v>0.25466698208722738</v>
      </c>
    </row>
    <row r="3593" spans="1:10" ht="15" customHeight="1">
      <c r="A3593" s="14">
        <v>46327</v>
      </c>
      <c r="B3593" s="11">
        <v>215</v>
      </c>
      <c r="F3593" s="39">
        <v>1</v>
      </c>
      <c r="G3593" s="39">
        <v>1</v>
      </c>
      <c r="H3593" s="2">
        <f t="shared" si="174"/>
        <v>13079696.199999999</v>
      </c>
      <c r="I3593" s="12">
        <f t="shared" si="172"/>
        <v>0</v>
      </c>
      <c r="J3593" s="12">
        <f t="shared" si="173"/>
        <v>0.25348248449612404</v>
      </c>
    </row>
    <row r="3594" spans="1:10" ht="15" customHeight="1">
      <c r="A3594" s="14">
        <v>46328</v>
      </c>
      <c r="B3594" s="11">
        <v>216</v>
      </c>
      <c r="F3594" s="39">
        <v>1</v>
      </c>
      <c r="G3594" s="39">
        <v>1</v>
      </c>
      <c r="H3594" s="2">
        <f t="shared" si="174"/>
        <v>13079696.199999999</v>
      </c>
      <c r="I3594" s="12">
        <f t="shared" si="172"/>
        <v>0</v>
      </c>
      <c r="J3594" s="12">
        <f t="shared" si="173"/>
        <v>0.2523089544753086</v>
      </c>
    </row>
    <row r="3595" spans="1:10" ht="15" customHeight="1">
      <c r="A3595" s="14">
        <v>46329</v>
      </c>
      <c r="B3595" s="11">
        <v>217</v>
      </c>
      <c r="F3595" s="39">
        <v>1</v>
      </c>
      <c r="G3595" s="39">
        <v>1</v>
      </c>
      <c r="H3595" s="2">
        <f t="shared" si="174"/>
        <v>13079696.199999999</v>
      </c>
      <c r="I3595" s="12">
        <f t="shared" si="172"/>
        <v>0</v>
      </c>
      <c r="J3595" s="12">
        <f t="shared" si="173"/>
        <v>0.25114624039938555</v>
      </c>
    </row>
    <row r="3596" spans="1:10" ht="15" customHeight="1">
      <c r="A3596" s="14">
        <v>46330</v>
      </c>
      <c r="B3596" s="11">
        <v>218</v>
      </c>
      <c r="F3596" s="39">
        <v>1</v>
      </c>
      <c r="G3596" s="39">
        <v>1</v>
      </c>
      <c r="H3596" s="2">
        <f t="shared" si="174"/>
        <v>13079696.199999999</v>
      </c>
      <c r="I3596" s="12">
        <f t="shared" si="172"/>
        <v>0</v>
      </c>
      <c r="J3596" s="12">
        <f t="shared" si="173"/>
        <v>0.24999419342507645</v>
      </c>
    </row>
    <row r="3597" spans="1:10" ht="15" customHeight="1">
      <c r="A3597" s="14">
        <v>46331</v>
      </c>
      <c r="B3597" s="11">
        <v>219</v>
      </c>
      <c r="F3597" s="39">
        <v>1</v>
      </c>
      <c r="G3597" s="39">
        <v>1</v>
      </c>
      <c r="H3597" s="2">
        <f t="shared" si="174"/>
        <v>13079696.199999999</v>
      </c>
      <c r="I3597" s="12">
        <f t="shared" si="172"/>
        <v>0</v>
      </c>
      <c r="J3597" s="12">
        <f t="shared" si="173"/>
        <v>0.24885266742770165</v>
      </c>
    </row>
    <row r="3598" spans="1:10" ht="15" customHeight="1">
      <c r="A3598" s="14">
        <v>46332</v>
      </c>
      <c r="B3598" s="11">
        <v>220</v>
      </c>
      <c r="F3598" s="39">
        <v>1</v>
      </c>
      <c r="G3598" s="39">
        <v>1</v>
      </c>
      <c r="H3598" s="2">
        <f t="shared" si="174"/>
        <v>13079696.199999999</v>
      </c>
      <c r="I3598" s="12">
        <f t="shared" si="172"/>
        <v>0</v>
      </c>
      <c r="J3598" s="12">
        <f t="shared" si="173"/>
        <v>0.24772151893939393</v>
      </c>
    </row>
    <row r="3599" spans="1:10" ht="15" customHeight="1">
      <c r="A3599" s="14">
        <v>46333</v>
      </c>
      <c r="B3599" s="11">
        <v>221</v>
      </c>
      <c r="F3599" s="39">
        <v>1</v>
      </c>
      <c r="G3599" s="39">
        <v>1</v>
      </c>
      <c r="H3599" s="2">
        <f t="shared" si="174"/>
        <v>13079696.199999999</v>
      </c>
      <c r="I3599" s="12">
        <f t="shared" si="172"/>
        <v>0</v>
      </c>
      <c r="J3599" s="12">
        <f t="shared" si="173"/>
        <v>0.24660060708898943</v>
      </c>
    </row>
    <row r="3600" spans="1:10" ht="15" customHeight="1">
      <c r="A3600" s="14">
        <v>46334</v>
      </c>
      <c r="B3600" s="11">
        <v>222</v>
      </c>
      <c r="F3600" s="39">
        <v>1</v>
      </c>
      <c r="G3600" s="39">
        <v>1</v>
      </c>
      <c r="H3600" s="2">
        <f t="shared" si="174"/>
        <v>13079696.199999999</v>
      </c>
      <c r="I3600" s="12">
        <f t="shared" si="172"/>
        <v>0</v>
      </c>
      <c r="J3600" s="12">
        <f t="shared" si="173"/>
        <v>0.24548979354354353</v>
      </c>
    </row>
    <row r="3601" spans="1:10" ht="15" customHeight="1">
      <c r="A3601" s="14">
        <v>46335</v>
      </c>
      <c r="B3601" s="11">
        <v>223</v>
      </c>
      <c r="F3601" s="39">
        <v>1</v>
      </c>
      <c r="G3601" s="39">
        <v>1</v>
      </c>
      <c r="H3601" s="2">
        <f t="shared" si="174"/>
        <v>13079696.199999999</v>
      </c>
      <c r="I3601" s="12">
        <f t="shared" si="172"/>
        <v>0</v>
      </c>
      <c r="J3601" s="12">
        <f t="shared" si="173"/>
        <v>0.24438894245142001</v>
      </c>
    </row>
    <row r="3602" spans="1:10" ht="15" customHeight="1">
      <c r="A3602" s="14">
        <v>46336</v>
      </c>
      <c r="B3602" s="11">
        <v>224</v>
      </c>
      <c r="F3602" s="39">
        <v>1</v>
      </c>
      <c r="G3602" s="39">
        <v>1</v>
      </c>
      <c r="H3602" s="2">
        <f t="shared" si="174"/>
        <v>13079696.199999999</v>
      </c>
      <c r="I3602" s="12">
        <f t="shared" si="172"/>
        <v>0</v>
      </c>
      <c r="J3602" s="12">
        <f t="shared" si="173"/>
        <v>0.24329792038690476</v>
      </c>
    </row>
    <row r="3603" spans="1:10" ht="15" customHeight="1">
      <c r="A3603" s="14">
        <v>46337</v>
      </c>
      <c r="B3603" s="11">
        <v>225</v>
      </c>
      <c r="F3603" s="39">
        <v>1</v>
      </c>
      <c r="G3603" s="39">
        <v>1</v>
      </c>
      <c r="H3603" s="2">
        <f t="shared" si="174"/>
        <v>13079696.199999999</v>
      </c>
      <c r="I3603" s="12">
        <f t="shared" si="172"/>
        <v>0</v>
      </c>
      <c r="J3603" s="12">
        <f t="shared" si="173"/>
        <v>0.24221659629629627</v>
      </c>
    </row>
    <row r="3604" spans="1:10" ht="15" customHeight="1">
      <c r="A3604" s="14">
        <v>46338</v>
      </c>
      <c r="B3604" s="11">
        <v>226</v>
      </c>
      <c r="F3604" s="39">
        <v>1</v>
      </c>
      <c r="G3604" s="39">
        <v>1</v>
      </c>
      <c r="H3604" s="2">
        <f t="shared" si="174"/>
        <v>13079696.199999999</v>
      </c>
      <c r="I3604" s="12">
        <f t="shared" si="172"/>
        <v>0</v>
      </c>
      <c r="J3604" s="12">
        <f t="shared" si="173"/>
        <v>0.24114484144542772</v>
      </c>
    </row>
    <row r="3605" spans="1:10" ht="15" customHeight="1">
      <c r="A3605" s="14">
        <v>46339</v>
      </c>
      <c r="B3605" s="11">
        <v>227</v>
      </c>
      <c r="F3605" s="39">
        <v>1</v>
      </c>
      <c r="G3605" s="39">
        <v>1</v>
      </c>
      <c r="H3605" s="2">
        <f t="shared" si="174"/>
        <v>13079696.199999999</v>
      </c>
      <c r="I3605" s="12">
        <f t="shared" si="172"/>
        <v>0</v>
      </c>
      <c r="J3605" s="12">
        <f t="shared" si="173"/>
        <v>0.2400825293685756</v>
      </c>
    </row>
    <row r="3606" spans="1:10" ht="15" customHeight="1">
      <c r="A3606" s="14">
        <v>46340</v>
      </c>
      <c r="B3606" s="11">
        <v>228</v>
      </c>
      <c r="F3606" s="39">
        <v>1</v>
      </c>
      <c r="G3606" s="39">
        <v>1</v>
      </c>
      <c r="H3606" s="2">
        <f t="shared" si="174"/>
        <v>13079696.199999999</v>
      </c>
      <c r="I3606" s="12">
        <f t="shared" si="172"/>
        <v>0</v>
      </c>
      <c r="J3606" s="12">
        <f t="shared" si="173"/>
        <v>0.23902953581871345</v>
      </c>
    </row>
    <row r="3607" spans="1:10" ht="15" customHeight="1">
      <c r="A3607" s="14">
        <v>46341</v>
      </c>
      <c r="B3607" s="11">
        <v>229</v>
      </c>
      <c r="F3607" s="39">
        <v>1</v>
      </c>
      <c r="G3607" s="39">
        <v>1</v>
      </c>
      <c r="H3607" s="2">
        <f t="shared" si="174"/>
        <v>13079696.199999999</v>
      </c>
      <c r="I3607" s="12">
        <f t="shared" si="172"/>
        <v>0</v>
      </c>
      <c r="J3607" s="12">
        <f t="shared" si="173"/>
        <v>0.23798573871906839</v>
      </c>
    </row>
    <row r="3608" spans="1:10" ht="15" customHeight="1">
      <c r="A3608" s="14">
        <v>46342</v>
      </c>
      <c r="B3608" s="11">
        <v>230</v>
      </c>
      <c r="F3608" s="39">
        <v>1</v>
      </c>
      <c r="G3608" s="39">
        <v>1</v>
      </c>
      <c r="H3608" s="2">
        <f t="shared" si="174"/>
        <v>13079696.199999999</v>
      </c>
      <c r="I3608" s="12">
        <f t="shared" si="172"/>
        <v>0</v>
      </c>
      <c r="J3608" s="12">
        <f t="shared" si="173"/>
        <v>0.23695101811594202</v>
      </c>
    </row>
    <row r="3609" spans="1:10" ht="15" customHeight="1">
      <c r="A3609" s="14">
        <v>46343</v>
      </c>
      <c r="B3609" s="11">
        <v>231</v>
      </c>
      <c r="F3609" s="39">
        <v>1</v>
      </c>
      <c r="G3609" s="39">
        <v>1</v>
      </c>
      <c r="H3609" s="2">
        <f t="shared" si="174"/>
        <v>13079696.199999999</v>
      </c>
      <c r="I3609" s="12">
        <f t="shared" si="172"/>
        <v>0</v>
      </c>
      <c r="J3609" s="12">
        <f t="shared" si="173"/>
        <v>0.23592525613275611</v>
      </c>
    </row>
    <row r="3610" spans="1:10" ht="15" customHeight="1">
      <c r="A3610" s="14">
        <v>46344</v>
      </c>
      <c r="B3610" s="11">
        <v>232</v>
      </c>
      <c r="F3610" s="39">
        <v>1</v>
      </c>
      <c r="G3610" s="39">
        <v>1</v>
      </c>
      <c r="H3610" s="2">
        <f t="shared" si="174"/>
        <v>13079696.199999999</v>
      </c>
      <c r="I3610" s="12">
        <f t="shared" si="172"/>
        <v>0</v>
      </c>
      <c r="J3610" s="12">
        <f t="shared" si="173"/>
        <v>0.23490833692528734</v>
      </c>
    </row>
    <row r="3611" spans="1:10" ht="15" customHeight="1">
      <c r="A3611" s="14">
        <v>46345</v>
      </c>
      <c r="B3611" s="11">
        <v>233</v>
      </c>
      <c r="F3611" s="39">
        <v>1</v>
      </c>
      <c r="G3611" s="39">
        <v>1</v>
      </c>
      <c r="H3611" s="2">
        <f t="shared" si="174"/>
        <v>13079696.199999999</v>
      </c>
      <c r="I3611" s="12">
        <f t="shared" si="172"/>
        <v>0</v>
      </c>
      <c r="J3611" s="12">
        <f t="shared" si="173"/>
        <v>0.23390014663805436</v>
      </c>
    </row>
    <row r="3612" spans="1:10" ht="15" customHeight="1">
      <c r="A3612" s="14">
        <v>46346</v>
      </c>
      <c r="B3612" s="11">
        <v>234</v>
      </c>
      <c r="F3612" s="39">
        <v>1</v>
      </c>
      <c r="G3612" s="39">
        <v>1</v>
      </c>
      <c r="H3612" s="2">
        <f t="shared" si="174"/>
        <v>13079696.199999999</v>
      </c>
      <c r="I3612" s="12">
        <f t="shared" si="172"/>
        <v>0</v>
      </c>
      <c r="J3612" s="12">
        <f t="shared" si="173"/>
        <v>0.23290057336182335</v>
      </c>
    </row>
    <row r="3613" spans="1:10" ht="15" customHeight="1">
      <c r="A3613" s="14">
        <v>46347</v>
      </c>
      <c r="B3613" s="11">
        <v>235</v>
      </c>
      <c r="F3613" s="39">
        <v>1</v>
      </c>
      <c r="G3613" s="39">
        <v>1</v>
      </c>
      <c r="H3613" s="2">
        <f t="shared" si="174"/>
        <v>13079696.199999999</v>
      </c>
      <c r="I3613" s="12">
        <f t="shared" si="172"/>
        <v>0</v>
      </c>
      <c r="J3613" s="12">
        <f t="shared" si="173"/>
        <v>0.23190950709219857</v>
      </c>
    </row>
    <row r="3614" spans="1:10" ht="15" customHeight="1">
      <c r="A3614" s="14">
        <v>46348</v>
      </c>
      <c r="B3614" s="11">
        <v>236</v>
      </c>
      <c r="F3614" s="39">
        <v>1</v>
      </c>
      <c r="G3614" s="39">
        <v>1</v>
      </c>
      <c r="H3614" s="2">
        <f t="shared" si="174"/>
        <v>13079696.199999999</v>
      </c>
      <c r="I3614" s="12">
        <f t="shared" si="172"/>
        <v>0</v>
      </c>
      <c r="J3614" s="12">
        <f t="shared" si="173"/>
        <v>0.23092683968926553</v>
      </c>
    </row>
    <row r="3615" spans="1:10" ht="15" customHeight="1">
      <c r="A3615" s="14">
        <v>46349</v>
      </c>
      <c r="B3615" s="11">
        <v>237</v>
      </c>
      <c r="F3615" s="39">
        <v>1</v>
      </c>
      <c r="G3615" s="39">
        <v>1</v>
      </c>
      <c r="H3615" s="2">
        <f t="shared" si="174"/>
        <v>13079696.199999999</v>
      </c>
      <c r="I3615" s="12">
        <f t="shared" si="172"/>
        <v>0</v>
      </c>
      <c r="J3615" s="12">
        <f t="shared" si="173"/>
        <v>0.22995246483825596</v>
      </c>
    </row>
    <row r="3616" spans="1:10" ht="15" customHeight="1">
      <c r="A3616" s="14">
        <v>46350</v>
      </c>
      <c r="B3616" s="11">
        <v>238</v>
      </c>
      <c r="F3616" s="39">
        <v>1</v>
      </c>
      <c r="G3616" s="39">
        <v>1</v>
      </c>
      <c r="H3616" s="2">
        <f t="shared" si="174"/>
        <v>13079696.199999999</v>
      </c>
      <c r="I3616" s="12">
        <f t="shared" si="172"/>
        <v>0</v>
      </c>
      <c r="J3616" s="12">
        <f t="shared" si="173"/>
        <v>0.22898627801120447</v>
      </c>
    </row>
    <row r="3617" spans="1:10" ht="15" customHeight="1">
      <c r="A3617" s="14">
        <v>46351</v>
      </c>
      <c r="B3617" s="11">
        <v>239</v>
      </c>
      <c r="F3617" s="39">
        <v>1</v>
      </c>
      <c r="G3617" s="39">
        <v>1</v>
      </c>
      <c r="H3617" s="2">
        <f t="shared" si="174"/>
        <v>13079696.199999999</v>
      </c>
      <c r="I3617" s="12">
        <f t="shared" si="172"/>
        <v>0</v>
      </c>
      <c r="J3617" s="12">
        <f t="shared" si="173"/>
        <v>0.22802817642956763</v>
      </c>
    </row>
    <row r="3618" spans="1:10" ht="15" customHeight="1">
      <c r="A3618" s="14">
        <v>46352</v>
      </c>
      <c r="B3618" s="11">
        <v>240</v>
      </c>
      <c r="F3618" s="39">
        <v>1</v>
      </c>
      <c r="G3618" s="39">
        <v>1</v>
      </c>
      <c r="H3618" s="2">
        <f t="shared" si="174"/>
        <v>13079696.199999999</v>
      </c>
      <c r="I3618" s="12">
        <f t="shared" si="172"/>
        <v>0</v>
      </c>
      <c r="J3618" s="12">
        <f t="shared" si="173"/>
        <v>0.22707805902777775</v>
      </c>
    </row>
    <row r="3619" spans="1:10" ht="15" customHeight="1">
      <c r="A3619" s="14">
        <v>46353</v>
      </c>
      <c r="B3619" s="11">
        <v>241</v>
      </c>
      <c r="F3619" s="39">
        <v>1</v>
      </c>
      <c r="G3619" s="39">
        <v>1</v>
      </c>
      <c r="H3619" s="2">
        <f t="shared" si="174"/>
        <v>13079696.199999999</v>
      </c>
      <c r="I3619" s="12">
        <f t="shared" si="172"/>
        <v>0</v>
      </c>
      <c r="J3619" s="12">
        <f t="shared" si="173"/>
        <v>0.22613582641770399</v>
      </c>
    </row>
    <row r="3620" spans="1:10" ht="15" customHeight="1">
      <c r="A3620" s="14">
        <v>46354</v>
      </c>
      <c r="B3620" s="11">
        <v>242</v>
      </c>
      <c r="F3620" s="39">
        <v>1</v>
      </c>
      <c r="G3620" s="39">
        <v>1</v>
      </c>
      <c r="H3620" s="2">
        <f t="shared" si="174"/>
        <v>13079696.199999999</v>
      </c>
      <c r="I3620" s="12">
        <f t="shared" si="172"/>
        <v>0</v>
      </c>
      <c r="J3620" s="12">
        <f t="shared" si="173"/>
        <v>0.22520138085399447</v>
      </c>
    </row>
    <row r="3621" spans="1:10" ht="15" customHeight="1">
      <c r="A3621" s="14">
        <v>46355</v>
      </c>
      <c r="B3621" s="11">
        <v>243</v>
      </c>
      <c r="F3621" s="39">
        <v>1</v>
      </c>
      <c r="G3621" s="39">
        <v>1</v>
      </c>
      <c r="H3621" s="2">
        <f t="shared" si="174"/>
        <v>13079696.199999999</v>
      </c>
      <c r="I3621" s="12">
        <f t="shared" si="172"/>
        <v>0</v>
      </c>
      <c r="J3621" s="12">
        <f t="shared" si="173"/>
        <v>0.22427462620027433</v>
      </c>
    </row>
    <row r="3622" spans="1:10" ht="15" customHeight="1">
      <c r="A3622" s="14">
        <v>46356</v>
      </c>
      <c r="B3622" s="11">
        <v>244</v>
      </c>
      <c r="F3622" s="39">
        <v>1</v>
      </c>
      <c r="G3622" s="39">
        <v>1</v>
      </c>
      <c r="H3622" s="2">
        <f t="shared" si="174"/>
        <v>13079696.199999999</v>
      </c>
      <c r="I3622" s="12">
        <f t="shared" si="172"/>
        <v>0</v>
      </c>
      <c r="J3622" s="12">
        <f t="shared" si="173"/>
        <v>0.22335546789617486</v>
      </c>
    </row>
    <row r="3623" spans="1:10" ht="15" customHeight="1">
      <c r="A3623" s="14">
        <v>46357</v>
      </c>
      <c r="B3623" s="11">
        <v>245</v>
      </c>
      <c r="F3623" s="39">
        <v>1</v>
      </c>
      <c r="G3623" s="39">
        <v>1</v>
      </c>
      <c r="H3623" s="2">
        <f t="shared" si="174"/>
        <v>13079696.199999999</v>
      </c>
      <c r="I3623" s="12">
        <f t="shared" si="172"/>
        <v>0</v>
      </c>
      <c r="J3623" s="12">
        <f t="shared" si="173"/>
        <v>0.22244381292517004</v>
      </c>
    </row>
    <row r="3624" spans="1:10" ht="15" customHeight="1">
      <c r="A3624" s="14">
        <v>46358</v>
      </c>
      <c r="B3624" s="11">
        <v>246</v>
      </c>
      <c r="F3624" s="39">
        <v>1</v>
      </c>
      <c r="G3624" s="39">
        <v>1</v>
      </c>
      <c r="H3624" s="2">
        <f t="shared" si="174"/>
        <v>13079696.199999999</v>
      </c>
      <c r="I3624" s="12">
        <f t="shared" si="172"/>
        <v>0</v>
      </c>
      <c r="J3624" s="12">
        <f t="shared" si="173"/>
        <v>0.22153956978319783</v>
      </c>
    </row>
    <row r="3625" spans="1:10" ht="15" customHeight="1">
      <c r="A3625" s="14">
        <v>46359</v>
      </c>
      <c r="B3625" s="11">
        <v>247</v>
      </c>
      <c r="F3625" s="39">
        <v>1</v>
      </c>
      <c r="G3625" s="39">
        <v>1</v>
      </c>
      <c r="H3625" s="2">
        <f t="shared" si="174"/>
        <v>13079696.199999999</v>
      </c>
      <c r="I3625" s="12">
        <f t="shared" si="172"/>
        <v>0</v>
      </c>
      <c r="J3625" s="12">
        <f t="shared" si="173"/>
        <v>0.22064264844804318</v>
      </c>
    </row>
    <row r="3626" spans="1:10" ht="15" customHeight="1">
      <c r="A3626" s="14">
        <v>46360</v>
      </c>
      <c r="B3626" s="11">
        <v>248</v>
      </c>
      <c r="F3626" s="39">
        <v>1</v>
      </c>
      <c r="G3626" s="39">
        <v>1</v>
      </c>
      <c r="H3626" s="2">
        <f t="shared" si="174"/>
        <v>13079696.199999999</v>
      </c>
      <c r="I3626" s="12">
        <f t="shared" si="172"/>
        <v>0</v>
      </c>
      <c r="J3626" s="12">
        <f t="shared" si="173"/>
        <v>0.21975296034946235</v>
      </c>
    </row>
    <row r="3627" spans="1:10" ht="15" customHeight="1">
      <c r="A3627" s="14">
        <v>46361</v>
      </c>
      <c r="B3627" s="11">
        <v>249</v>
      </c>
      <c r="F3627" s="39">
        <v>1</v>
      </c>
      <c r="G3627" s="39">
        <v>1</v>
      </c>
      <c r="H3627" s="2">
        <f t="shared" si="174"/>
        <v>13079696.199999999</v>
      </c>
      <c r="I3627" s="12">
        <f t="shared" si="172"/>
        <v>0</v>
      </c>
      <c r="J3627" s="12">
        <f t="shared" si="173"/>
        <v>0.21887041834002677</v>
      </c>
    </row>
    <row r="3628" spans="1:10" ht="15" customHeight="1">
      <c r="A3628" s="14">
        <v>46362</v>
      </c>
      <c r="B3628" s="11">
        <v>250</v>
      </c>
      <c r="F3628" s="39">
        <v>1</v>
      </c>
      <c r="G3628" s="39">
        <v>1</v>
      </c>
      <c r="H3628" s="2">
        <f t="shared" si="174"/>
        <v>13079696.199999999</v>
      </c>
      <c r="I3628" s="12">
        <f t="shared" si="172"/>
        <v>0</v>
      </c>
      <c r="J3628" s="12">
        <f t="shared" si="173"/>
        <v>0.21799493666666667</v>
      </c>
    </row>
    <row r="3629" spans="1:10" ht="15" customHeight="1">
      <c r="A3629" s="14">
        <v>46363</v>
      </c>
      <c r="B3629" s="11">
        <v>251</v>
      </c>
      <c r="F3629" s="39">
        <v>1</v>
      </c>
      <c r="G3629" s="39">
        <v>1</v>
      </c>
      <c r="H3629" s="2">
        <f t="shared" si="174"/>
        <v>13079696.199999999</v>
      </c>
      <c r="I3629" s="12">
        <f t="shared" si="172"/>
        <v>0</v>
      </c>
      <c r="J3629" s="12">
        <f t="shared" si="173"/>
        <v>0.21712643094289508</v>
      </c>
    </row>
    <row r="3630" spans="1:10" ht="15" customHeight="1">
      <c r="A3630" s="14">
        <v>46364</v>
      </c>
      <c r="B3630" s="11">
        <v>252</v>
      </c>
      <c r="F3630" s="39">
        <v>1</v>
      </c>
      <c r="G3630" s="39">
        <v>1</v>
      </c>
      <c r="H3630" s="2">
        <f t="shared" si="174"/>
        <v>13079696.199999999</v>
      </c>
      <c r="I3630" s="12">
        <f t="shared" si="172"/>
        <v>0</v>
      </c>
      <c r="J3630" s="12">
        <f t="shared" si="173"/>
        <v>0.2162648181216931</v>
      </c>
    </row>
    <row r="3631" spans="1:10" ht="15" customHeight="1">
      <c r="A3631" s="14">
        <v>46365</v>
      </c>
      <c r="B3631" s="11">
        <v>253</v>
      </c>
      <c r="F3631" s="39">
        <v>1</v>
      </c>
      <c r="G3631" s="39">
        <v>1</v>
      </c>
      <c r="H3631" s="2">
        <f t="shared" si="174"/>
        <v>13079696.199999999</v>
      </c>
      <c r="I3631" s="12">
        <f t="shared" si="172"/>
        <v>0</v>
      </c>
      <c r="J3631" s="12">
        <f t="shared" si="173"/>
        <v>0.21541001646903821</v>
      </c>
    </row>
    <row r="3632" spans="1:10" ht="15" customHeight="1">
      <c r="A3632" s="14">
        <v>46366</v>
      </c>
      <c r="B3632" s="11">
        <v>254</v>
      </c>
      <c r="F3632" s="39">
        <v>1</v>
      </c>
      <c r="G3632" s="39">
        <v>1</v>
      </c>
      <c r="H3632" s="2">
        <f t="shared" si="174"/>
        <v>13079696.199999999</v>
      </c>
      <c r="I3632" s="12">
        <f t="shared" si="172"/>
        <v>0</v>
      </c>
      <c r="J3632" s="12">
        <f t="shared" si="173"/>
        <v>0.21456194553805774</v>
      </c>
    </row>
    <row r="3633" spans="1:10" ht="15" customHeight="1">
      <c r="A3633" s="14">
        <v>46367</v>
      </c>
      <c r="B3633" s="11">
        <v>255</v>
      </c>
      <c r="F3633" s="39">
        <v>1</v>
      </c>
      <c r="G3633" s="39">
        <v>1</v>
      </c>
      <c r="H3633" s="2">
        <f t="shared" si="174"/>
        <v>13079696.199999999</v>
      </c>
      <c r="I3633" s="12">
        <f t="shared" si="172"/>
        <v>0</v>
      </c>
      <c r="J3633" s="12">
        <f t="shared" si="173"/>
        <v>0.21372052614379083</v>
      </c>
    </row>
    <row r="3634" spans="1:10" ht="15" customHeight="1">
      <c r="A3634" s="14">
        <v>46368</v>
      </c>
      <c r="B3634" s="11">
        <v>256</v>
      </c>
      <c r="F3634" s="39">
        <v>1</v>
      </c>
      <c r="G3634" s="39">
        <v>1</v>
      </c>
      <c r="H3634" s="2">
        <f t="shared" si="174"/>
        <v>13079696.199999999</v>
      </c>
      <c r="I3634" s="12">
        <f t="shared" si="172"/>
        <v>0</v>
      </c>
      <c r="J3634" s="12">
        <f t="shared" si="173"/>
        <v>0.21288568033854166</v>
      </c>
    </row>
    <row r="3635" spans="1:10" ht="15" customHeight="1">
      <c r="A3635" s="14">
        <v>46369</v>
      </c>
      <c r="B3635" s="11">
        <v>257</v>
      </c>
      <c r="F3635" s="39">
        <v>1</v>
      </c>
      <c r="G3635" s="39">
        <v>1</v>
      </c>
      <c r="H3635" s="2">
        <f t="shared" si="174"/>
        <v>13079696.199999999</v>
      </c>
      <c r="I3635" s="12">
        <f t="shared" si="172"/>
        <v>0</v>
      </c>
      <c r="J3635" s="12">
        <f t="shared" si="173"/>
        <v>0.21205733138780802</v>
      </c>
    </row>
    <row r="3636" spans="1:10" ht="15" customHeight="1">
      <c r="A3636" s="14">
        <v>46370</v>
      </c>
      <c r="B3636" s="11">
        <v>258</v>
      </c>
      <c r="F3636" s="39">
        <v>1</v>
      </c>
      <c r="G3636" s="39">
        <v>1</v>
      </c>
      <c r="H3636" s="2">
        <f t="shared" si="174"/>
        <v>13079696.199999999</v>
      </c>
      <c r="I3636" s="12">
        <f t="shared" si="172"/>
        <v>0</v>
      </c>
      <c r="J3636" s="12">
        <f t="shared" si="173"/>
        <v>0.21123540374677002</v>
      </c>
    </row>
    <row r="3637" spans="1:10" ht="15" customHeight="1">
      <c r="A3637" s="14">
        <v>46371</v>
      </c>
      <c r="B3637" s="11">
        <v>259</v>
      </c>
      <c r="F3637" s="39">
        <v>1</v>
      </c>
      <c r="G3637" s="39">
        <v>1</v>
      </c>
      <c r="H3637" s="2">
        <f t="shared" si="174"/>
        <v>13079696.199999999</v>
      </c>
      <c r="I3637" s="12">
        <f t="shared" si="172"/>
        <v>0</v>
      </c>
      <c r="J3637" s="12">
        <f t="shared" si="173"/>
        <v>0.21041982303732301</v>
      </c>
    </row>
    <row r="3638" spans="1:10" ht="15" customHeight="1">
      <c r="A3638" s="14">
        <v>46372</v>
      </c>
      <c r="B3638" s="11">
        <v>260</v>
      </c>
      <c r="F3638" s="39">
        <v>1</v>
      </c>
      <c r="G3638" s="39">
        <v>1</v>
      </c>
      <c r="H3638" s="2">
        <f t="shared" si="174"/>
        <v>13079696.199999999</v>
      </c>
      <c r="I3638" s="12">
        <f t="shared" si="172"/>
        <v>0</v>
      </c>
      <c r="J3638" s="12">
        <f t="shared" si="173"/>
        <v>0.20961051602564101</v>
      </c>
    </row>
    <row r="3639" spans="1:10" ht="15" customHeight="1">
      <c r="A3639" s="14">
        <v>46373</v>
      </c>
      <c r="B3639" s="11">
        <v>261</v>
      </c>
      <c r="F3639" s="39">
        <v>1</v>
      </c>
      <c r="G3639" s="39">
        <v>1</v>
      </c>
      <c r="H3639" s="2">
        <f t="shared" si="174"/>
        <v>13079696.199999999</v>
      </c>
      <c r="I3639" s="12">
        <f t="shared" si="172"/>
        <v>0</v>
      </c>
      <c r="J3639" s="12">
        <f t="shared" si="173"/>
        <v>0.20880741060025543</v>
      </c>
    </row>
    <row r="3640" spans="1:10" ht="15" customHeight="1">
      <c r="A3640" s="14">
        <v>46374</v>
      </c>
      <c r="B3640" s="11">
        <v>262</v>
      </c>
      <c r="F3640" s="39">
        <v>1</v>
      </c>
      <c r="G3640" s="39">
        <v>1</v>
      </c>
      <c r="H3640" s="2">
        <f t="shared" si="174"/>
        <v>13079696.199999999</v>
      </c>
      <c r="I3640" s="12">
        <f t="shared" si="172"/>
        <v>0</v>
      </c>
      <c r="J3640" s="12">
        <f t="shared" si="173"/>
        <v>0.20801043575063613</v>
      </c>
    </row>
    <row r="3641" spans="1:10" ht="15" customHeight="1">
      <c r="A3641" s="14">
        <v>46375</v>
      </c>
      <c r="B3641" s="11">
        <v>263</v>
      </c>
      <c r="F3641" s="39">
        <v>1</v>
      </c>
      <c r="G3641" s="39">
        <v>1</v>
      </c>
      <c r="H3641" s="2">
        <f t="shared" si="174"/>
        <v>13079696.199999999</v>
      </c>
      <c r="I3641" s="12">
        <f t="shared" si="172"/>
        <v>0</v>
      </c>
      <c r="J3641" s="12">
        <f t="shared" si="173"/>
        <v>0.20721952154626108</v>
      </c>
    </row>
    <row r="3642" spans="1:10" ht="15" customHeight="1">
      <c r="A3642" s="14">
        <v>46376</v>
      </c>
      <c r="B3642" s="11">
        <v>264</v>
      </c>
      <c r="F3642" s="39">
        <v>1</v>
      </c>
      <c r="G3642" s="39">
        <v>1</v>
      </c>
      <c r="H3642" s="2">
        <f t="shared" si="174"/>
        <v>13079696.199999999</v>
      </c>
      <c r="I3642" s="12">
        <f t="shared" si="172"/>
        <v>0</v>
      </c>
      <c r="J3642" s="12">
        <f t="shared" si="173"/>
        <v>0.2064345991161616</v>
      </c>
    </row>
    <row r="3643" spans="1:10" ht="15" customHeight="1">
      <c r="A3643" s="14">
        <v>46377</v>
      </c>
      <c r="B3643" s="11">
        <v>265</v>
      </c>
      <c r="F3643" s="39">
        <v>1</v>
      </c>
      <c r="G3643" s="39">
        <v>1</v>
      </c>
      <c r="H3643" s="2">
        <f t="shared" si="174"/>
        <v>13079696.199999999</v>
      </c>
      <c r="I3643" s="12">
        <f t="shared" si="172"/>
        <v>0</v>
      </c>
      <c r="J3643" s="12">
        <f t="shared" si="173"/>
        <v>0.20565560062893082</v>
      </c>
    </row>
    <row r="3644" spans="1:10" ht="15" customHeight="1">
      <c r="A3644" s="14">
        <v>46378</v>
      </c>
      <c r="B3644" s="11">
        <v>266</v>
      </c>
      <c r="F3644" s="39">
        <v>1</v>
      </c>
      <c r="G3644" s="39">
        <v>1</v>
      </c>
      <c r="H3644" s="2">
        <f t="shared" si="174"/>
        <v>13079696.199999999</v>
      </c>
      <c r="I3644" s="12">
        <f t="shared" si="172"/>
        <v>0</v>
      </c>
      <c r="J3644" s="12">
        <f t="shared" si="173"/>
        <v>0.20488245927318294</v>
      </c>
    </row>
    <row r="3645" spans="1:10" ht="15" customHeight="1">
      <c r="A3645" s="14">
        <v>46379</v>
      </c>
      <c r="B3645" s="11">
        <v>267</v>
      </c>
      <c r="F3645" s="39">
        <v>1</v>
      </c>
      <c r="G3645" s="39">
        <v>1</v>
      </c>
      <c r="H3645" s="2">
        <f t="shared" si="174"/>
        <v>13079696.199999999</v>
      </c>
      <c r="I3645" s="12">
        <f t="shared" si="172"/>
        <v>0</v>
      </c>
      <c r="J3645" s="12">
        <f t="shared" si="173"/>
        <v>0.20411510923845191</v>
      </c>
    </row>
    <row r="3646" spans="1:10" ht="15" customHeight="1">
      <c r="A3646" s="14">
        <v>46380</v>
      </c>
      <c r="B3646" s="11">
        <v>268</v>
      </c>
      <c r="F3646" s="39">
        <v>1</v>
      </c>
      <c r="G3646" s="39">
        <v>1</v>
      </c>
      <c r="H3646" s="2">
        <f t="shared" si="174"/>
        <v>13079696.199999999</v>
      </c>
      <c r="I3646" s="12">
        <f t="shared" si="172"/>
        <v>0</v>
      </c>
      <c r="J3646" s="12">
        <f t="shared" si="173"/>
        <v>0.2033534856965174</v>
      </c>
    </row>
    <row r="3647" spans="1:10" ht="15" customHeight="1">
      <c r="A3647" s="14">
        <v>46381</v>
      </c>
      <c r="B3647" s="11">
        <v>269</v>
      </c>
      <c r="F3647" s="39">
        <v>1</v>
      </c>
      <c r="G3647" s="39">
        <v>1</v>
      </c>
      <c r="H3647" s="2">
        <f t="shared" si="174"/>
        <v>13079696.199999999</v>
      </c>
      <c r="I3647" s="12">
        <f t="shared" si="172"/>
        <v>0</v>
      </c>
      <c r="J3647" s="12">
        <f t="shared" si="173"/>
        <v>0.20259752478314744</v>
      </c>
    </row>
    <row r="3648" spans="1:10" ht="15" customHeight="1">
      <c r="A3648" s="14">
        <v>46382</v>
      </c>
      <c r="B3648" s="11">
        <v>270</v>
      </c>
      <c r="F3648" s="39">
        <v>1</v>
      </c>
      <c r="G3648" s="39">
        <v>1</v>
      </c>
      <c r="H3648" s="2">
        <f t="shared" si="174"/>
        <v>13079696.199999999</v>
      </c>
      <c r="I3648" s="12">
        <f t="shared" si="172"/>
        <v>0</v>
      </c>
      <c r="J3648" s="12">
        <f t="shared" si="173"/>
        <v>0.2018471635802469</v>
      </c>
    </row>
    <row r="3649" spans="1:10" ht="15" customHeight="1">
      <c r="A3649" s="14">
        <v>46383</v>
      </c>
      <c r="B3649" s="11">
        <v>271</v>
      </c>
      <c r="F3649" s="39">
        <v>1</v>
      </c>
      <c r="G3649" s="39">
        <v>1</v>
      </c>
      <c r="H3649" s="2">
        <f t="shared" si="174"/>
        <v>13079696.199999999</v>
      </c>
      <c r="I3649" s="12">
        <f t="shared" si="172"/>
        <v>0</v>
      </c>
      <c r="J3649" s="12">
        <f t="shared" si="173"/>
        <v>0.20110234009840097</v>
      </c>
    </row>
    <row r="3650" spans="1:10" ht="15" customHeight="1">
      <c r="A3650" s="14">
        <v>46384</v>
      </c>
      <c r="B3650" s="11">
        <v>272</v>
      </c>
      <c r="F3650" s="39">
        <v>1</v>
      </c>
      <c r="G3650" s="39">
        <v>1</v>
      </c>
      <c r="H3650" s="2">
        <f t="shared" si="174"/>
        <v>13079696.199999999</v>
      </c>
      <c r="I3650" s="12">
        <f t="shared" si="172"/>
        <v>0</v>
      </c>
      <c r="J3650" s="12">
        <f t="shared" si="173"/>
        <v>0.20036299325980392</v>
      </c>
    </row>
    <row r="3651" spans="1:10" ht="15" customHeight="1">
      <c r="A3651" s="14">
        <v>46385</v>
      </c>
      <c r="B3651" s="11">
        <v>273</v>
      </c>
      <c r="F3651" s="39">
        <v>1</v>
      </c>
      <c r="G3651" s="39">
        <v>1</v>
      </c>
      <c r="H3651" s="2">
        <f t="shared" si="174"/>
        <v>13079696.199999999</v>
      </c>
      <c r="I3651" s="12">
        <f t="shared" ref="I3651:I3714" si="175">C3651/(10*24*1000)</f>
        <v>0</v>
      </c>
      <c r="J3651" s="12">
        <f t="shared" si="173"/>
        <v>0.19962906288156287</v>
      </c>
    </row>
    <row r="3652" spans="1:10" ht="15" customHeight="1">
      <c r="A3652" s="14">
        <v>46386</v>
      </c>
      <c r="B3652" s="11">
        <v>274</v>
      </c>
      <c r="F3652" s="39">
        <v>1</v>
      </c>
      <c r="G3652" s="39">
        <v>1</v>
      </c>
      <c r="H3652" s="2">
        <f t="shared" si="174"/>
        <v>13079696.199999999</v>
      </c>
      <c r="I3652" s="12">
        <f t="shared" si="175"/>
        <v>0</v>
      </c>
      <c r="J3652" s="12">
        <f t="shared" si="173"/>
        <v>0.19890048965936738</v>
      </c>
    </row>
    <row r="3653" spans="1:10" ht="15" customHeight="1">
      <c r="A3653" s="14">
        <v>46387</v>
      </c>
      <c r="B3653" s="11">
        <v>275</v>
      </c>
      <c r="F3653" s="39">
        <v>1</v>
      </c>
      <c r="G3653" s="39">
        <v>1</v>
      </c>
      <c r="H3653" s="2">
        <f t="shared" si="174"/>
        <v>13079696.199999999</v>
      </c>
      <c r="I3653" s="12">
        <f t="shared" si="175"/>
        <v>0</v>
      </c>
      <c r="J3653" s="12">
        <f t="shared" si="173"/>
        <v>0.19817721515151515</v>
      </c>
    </row>
    <row r="3654" spans="1:10" ht="15" customHeight="1">
      <c r="A3654" s="14">
        <v>46388</v>
      </c>
      <c r="B3654" s="11">
        <v>276</v>
      </c>
      <c r="F3654" s="39">
        <v>1</v>
      </c>
      <c r="G3654" s="39">
        <v>1</v>
      </c>
      <c r="H3654" s="2">
        <f t="shared" si="174"/>
        <v>13079696.199999999</v>
      </c>
      <c r="I3654" s="12">
        <f t="shared" si="175"/>
        <v>0</v>
      </c>
      <c r="J3654" s="12">
        <f t="shared" si="173"/>
        <v>0.197459181763285</v>
      </c>
    </row>
    <row r="3655" spans="1:10" ht="15" customHeight="1">
      <c r="A3655" s="14">
        <v>46389</v>
      </c>
      <c r="B3655" s="11">
        <v>277</v>
      </c>
      <c r="F3655" s="39">
        <v>1</v>
      </c>
      <c r="G3655" s="39">
        <v>1</v>
      </c>
      <c r="H3655" s="2">
        <f t="shared" si="174"/>
        <v>13079696.199999999</v>
      </c>
      <c r="I3655" s="12">
        <f t="shared" si="175"/>
        <v>0</v>
      </c>
      <c r="J3655" s="12">
        <f t="shared" ref="J3655:J3718" si="176">H3655/(24*B3655*10*1000)</f>
        <v>0.1967463327316486</v>
      </c>
    </row>
    <row r="3656" spans="1:10" ht="15" customHeight="1">
      <c r="A3656" s="14">
        <v>46390</v>
      </c>
      <c r="B3656" s="11">
        <v>278</v>
      </c>
      <c r="F3656" s="39">
        <v>1</v>
      </c>
      <c r="G3656" s="39">
        <v>1</v>
      </c>
      <c r="H3656" s="2">
        <f t="shared" ref="H3656:H3719" si="177">H3655+C3656</f>
        <v>13079696.199999999</v>
      </c>
      <c r="I3656" s="12">
        <f t="shared" si="175"/>
        <v>0</v>
      </c>
      <c r="J3656" s="12">
        <f t="shared" si="176"/>
        <v>0.19603861211031173</v>
      </c>
    </row>
    <row r="3657" spans="1:10" ht="15" customHeight="1">
      <c r="A3657" s="14">
        <v>46391</v>
      </c>
      <c r="B3657" s="11">
        <v>279</v>
      </c>
      <c r="F3657" s="39">
        <v>1</v>
      </c>
      <c r="G3657" s="39">
        <v>1</v>
      </c>
      <c r="H3657" s="2">
        <f t="shared" si="177"/>
        <v>13079696.199999999</v>
      </c>
      <c r="I3657" s="12">
        <f t="shared" si="175"/>
        <v>0</v>
      </c>
      <c r="J3657" s="12">
        <f t="shared" si="176"/>
        <v>0.19533596475507764</v>
      </c>
    </row>
    <row r="3658" spans="1:10" ht="15" customHeight="1">
      <c r="A3658" s="14">
        <v>46392</v>
      </c>
      <c r="B3658" s="11">
        <v>280</v>
      </c>
      <c r="F3658" s="39">
        <v>1</v>
      </c>
      <c r="G3658" s="39">
        <v>1</v>
      </c>
      <c r="H3658" s="2">
        <f t="shared" si="177"/>
        <v>13079696.199999999</v>
      </c>
      <c r="I3658" s="12">
        <f t="shared" si="175"/>
        <v>0</v>
      </c>
      <c r="J3658" s="12">
        <f t="shared" si="176"/>
        <v>0.19463833630952379</v>
      </c>
    </row>
    <row r="3659" spans="1:10" ht="15" customHeight="1">
      <c r="A3659" s="14">
        <v>46393</v>
      </c>
      <c r="B3659" s="11">
        <v>281</v>
      </c>
      <c r="F3659" s="39">
        <v>1</v>
      </c>
      <c r="G3659" s="39">
        <v>1</v>
      </c>
      <c r="H3659" s="2">
        <f t="shared" si="177"/>
        <v>13079696.199999999</v>
      </c>
      <c r="I3659" s="12">
        <f t="shared" si="175"/>
        <v>0</v>
      </c>
      <c r="J3659" s="12">
        <f t="shared" si="176"/>
        <v>0.19394567319098457</v>
      </c>
    </row>
    <row r="3660" spans="1:10" ht="15" customHeight="1">
      <c r="A3660" s="14">
        <v>46394</v>
      </c>
      <c r="B3660" s="11">
        <v>282</v>
      </c>
      <c r="F3660" s="39">
        <v>1</v>
      </c>
      <c r="G3660" s="39">
        <v>1</v>
      </c>
      <c r="H3660" s="2">
        <f t="shared" si="177"/>
        <v>13079696.199999999</v>
      </c>
      <c r="I3660" s="12">
        <f t="shared" si="175"/>
        <v>0</v>
      </c>
      <c r="J3660" s="12">
        <f t="shared" si="176"/>
        <v>0.19325792257683214</v>
      </c>
    </row>
    <row r="3661" spans="1:10" ht="15" customHeight="1">
      <c r="A3661" s="14">
        <v>46395</v>
      </c>
      <c r="B3661" s="11">
        <v>283</v>
      </c>
      <c r="F3661" s="39">
        <v>1</v>
      </c>
      <c r="G3661" s="39">
        <v>1</v>
      </c>
      <c r="H3661" s="2">
        <f t="shared" si="177"/>
        <v>13079696.199999999</v>
      </c>
      <c r="I3661" s="12">
        <f t="shared" si="175"/>
        <v>0</v>
      </c>
      <c r="J3661" s="12">
        <f t="shared" si="176"/>
        <v>0.19257503239104828</v>
      </c>
    </row>
    <row r="3662" spans="1:10" ht="15" customHeight="1">
      <c r="A3662" s="14">
        <v>46396</v>
      </c>
      <c r="B3662" s="11">
        <v>284</v>
      </c>
      <c r="F3662" s="39">
        <v>1</v>
      </c>
      <c r="G3662" s="39">
        <v>1</v>
      </c>
      <c r="H3662" s="2">
        <f t="shared" si="177"/>
        <v>13079696.199999999</v>
      </c>
      <c r="I3662" s="12">
        <f t="shared" si="175"/>
        <v>0</v>
      </c>
      <c r="J3662" s="12">
        <f t="shared" si="176"/>
        <v>0.19189695129107981</v>
      </c>
    </row>
    <row r="3663" spans="1:10" ht="15" customHeight="1">
      <c r="A3663" s="14">
        <v>46397</v>
      </c>
      <c r="B3663" s="11">
        <v>285</v>
      </c>
      <c r="F3663" s="39">
        <v>1</v>
      </c>
      <c r="G3663" s="39">
        <v>1</v>
      </c>
      <c r="H3663" s="2">
        <f t="shared" si="177"/>
        <v>13079696.199999999</v>
      </c>
      <c r="I3663" s="12">
        <f t="shared" si="175"/>
        <v>0</v>
      </c>
      <c r="J3663" s="12">
        <f t="shared" si="176"/>
        <v>0.19122362865497075</v>
      </c>
    </row>
    <row r="3664" spans="1:10" ht="15" customHeight="1">
      <c r="A3664" s="14">
        <v>46398</v>
      </c>
      <c r="B3664" s="11">
        <v>286</v>
      </c>
      <c r="F3664" s="39">
        <v>1</v>
      </c>
      <c r="G3664" s="39">
        <v>1</v>
      </c>
      <c r="H3664" s="2">
        <f t="shared" si="177"/>
        <v>13079696.199999999</v>
      </c>
      <c r="I3664" s="12">
        <f t="shared" si="175"/>
        <v>0</v>
      </c>
      <c r="J3664" s="12">
        <f t="shared" si="176"/>
        <v>0.19055501456876456</v>
      </c>
    </row>
    <row r="3665" spans="1:10" ht="15" customHeight="1">
      <c r="A3665" s="14">
        <v>46399</v>
      </c>
      <c r="B3665" s="11">
        <v>287</v>
      </c>
      <c r="F3665" s="39">
        <v>1</v>
      </c>
      <c r="G3665" s="39">
        <v>1</v>
      </c>
      <c r="H3665" s="2">
        <f t="shared" si="177"/>
        <v>13079696.199999999</v>
      </c>
      <c r="I3665" s="12">
        <f t="shared" si="175"/>
        <v>0</v>
      </c>
      <c r="J3665" s="12">
        <f t="shared" si="176"/>
        <v>0.18989105981416957</v>
      </c>
    </row>
    <row r="3666" spans="1:10" ht="15" customHeight="1">
      <c r="A3666" s="14">
        <v>46400</v>
      </c>
      <c r="B3666" s="11">
        <v>288</v>
      </c>
      <c r="F3666" s="39">
        <v>1</v>
      </c>
      <c r="G3666" s="39">
        <v>1</v>
      </c>
      <c r="H3666" s="2">
        <f t="shared" si="177"/>
        <v>13079696.199999999</v>
      </c>
      <c r="I3666" s="12">
        <f t="shared" si="175"/>
        <v>0</v>
      </c>
      <c r="J3666" s="12">
        <f t="shared" si="176"/>
        <v>0.18923171585648146</v>
      </c>
    </row>
    <row r="3667" spans="1:10" ht="15" customHeight="1">
      <c r="A3667" s="14">
        <v>46401</v>
      </c>
      <c r="B3667" s="11">
        <v>289</v>
      </c>
      <c r="F3667" s="39">
        <v>1</v>
      </c>
      <c r="G3667" s="39">
        <v>1</v>
      </c>
      <c r="H3667" s="2">
        <f t="shared" si="177"/>
        <v>13079696.199999999</v>
      </c>
      <c r="I3667" s="12">
        <f t="shared" si="175"/>
        <v>0</v>
      </c>
      <c r="J3667" s="12">
        <f t="shared" si="176"/>
        <v>0.18857693483275662</v>
      </c>
    </row>
    <row r="3668" spans="1:10" ht="15" customHeight="1">
      <c r="A3668" s="14">
        <v>46402</v>
      </c>
      <c r="B3668" s="11">
        <v>290</v>
      </c>
      <c r="F3668" s="39">
        <v>1</v>
      </c>
      <c r="G3668" s="39">
        <v>1</v>
      </c>
      <c r="H3668" s="2">
        <f t="shared" si="177"/>
        <v>13079696.199999999</v>
      </c>
      <c r="I3668" s="12">
        <f t="shared" si="175"/>
        <v>0</v>
      </c>
      <c r="J3668" s="12">
        <f t="shared" si="176"/>
        <v>0.18792666954022988</v>
      </c>
    </row>
    <row r="3669" spans="1:10" ht="15" customHeight="1">
      <c r="A3669" s="14">
        <v>46403</v>
      </c>
      <c r="B3669" s="11">
        <v>291</v>
      </c>
      <c r="F3669" s="39">
        <v>1</v>
      </c>
      <c r="G3669" s="39">
        <v>1</v>
      </c>
      <c r="H3669" s="2">
        <f t="shared" si="177"/>
        <v>13079696.199999999</v>
      </c>
      <c r="I3669" s="12">
        <f t="shared" si="175"/>
        <v>0</v>
      </c>
      <c r="J3669" s="12">
        <f t="shared" si="176"/>
        <v>0.18728087342497135</v>
      </c>
    </row>
    <row r="3670" spans="1:10" ht="15" customHeight="1">
      <c r="A3670" s="14">
        <v>46404</v>
      </c>
      <c r="B3670" s="11">
        <v>292</v>
      </c>
      <c r="F3670" s="39">
        <v>1</v>
      </c>
      <c r="G3670" s="39">
        <v>1</v>
      </c>
      <c r="H3670" s="2">
        <f t="shared" si="177"/>
        <v>13079696.199999999</v>
      </c>
      <c r="I3670" s="12">
        <f t="shared" si="175"/>
        <v>0</v>
      </c>
      <c r="J3670" s="12">
        <f t="shared" si="176"/>
        <v>0.18663950057077625</v>
      </c>
    </row>
    <row r="3671" spans="1:10" ht="15" customHeight="1">
      <c r="A3671" s="14">
        <v>46405</v>
      </c>
      <c r="B3671" s="11">
        <v>293</v>
      </c>
      <c r="F3671" s="39">
        <v>1</v>
      </c>
      <c r="G3671" s="39">
        <v>1</v>
      </c>
      <c r="H3671" s="2">
        <f t="shared" si="177"/>
        <v>13079696.199999999</v>
      </c>
      <c r="I3671" s="12">
        <f t="shared" si="175"/>
        <v>0</v>
      </c>
      <c r="J3671" s="12">
        <f t="shared" si="176"/>
        <v>0.18600250568828214</v>
      </c>
    </row>
    <row r="3672" spans="1:10" ht="15" customHeight="1">
      <c r="A3672" s="14">
        <v>46406</v>
      </c>
      <c r="B3672" s="11">
        <v>294</v>
      </c>
      <c r="F3672" s="39">
        <v>1</v>
      </c>
      <c r="G3672" s="39">
        <v>1</v>
      </c>
      <c r="H3672" s="2">
        <f t="shared" si="177"/>
        <v>13079696.199999999</v>
      </c>
      <c r="I3672" s="12">
        <f t="shared" si="175"/>
        <v>0</v>
      </c>
      <c r="J3672" s="12">
        <f t="shared" si="176"/>
        <v>0.18536984410430837</v>
      </c>
    </row>
    <row r="3673" spans="1:10" ht="15" customHeight="1">
      <c r="A3673" s="14">
        <v>46407</v>
      </c>
      <c r="B3673" s="11">
        <v>295</v>
      </c>
      <c r="F3673" s="39">
        <v>1</v>
      </c>
      <c r="G3673" s="39">
        <v>1</v>
      </c>
      <c r="H3673" s="2">
        <f t="shared" si="177"/>
        <v>13079696.199999999</v>
      </c>
      <c r="I3673" s="12">
        <f t="shared" si="175"/>
        <v>0</v>
      </c>
      <c r="J3673" s="12">
        <f t="shared" si="176"/>
        <v>0.18474147175141242</v>
      </c>
    </row>
    <row r="3674" spans="1:10" ht="15" customHeight="1">
      <c r="A3674" s="14">
        <v>46408</v>
      </c>
      <c r="B3674" s="11">
        <v>296</v>
      </c>
      <c r="F3674" s="39">
        <v>1</v>
      </c>
      <c r="G3674" s="39">
        <v>1</v>
      </c>
      <c r="H3674" s="2">
        <f t="shared" si="177"/>
        <v>13079696.199999999</v>
      </c>
      <c r="I3674" s="12">
        <f t="shared" si="175"/>
        <v>0</v>
      </c>
      <c r="J3674" s="12">
        <f t="shared" si="176"/>
        <v>0.18411734515765765</v>
      </c>
    </row>
    <row r="3675" spans="1:10" ht="15" customHeight="1">
      <c r="A3675" s="14">
        <v>46409</v>
      </c>
      <c r="B3675" s="11">
        <v>297</v>
      </c>
      <c r="F3675" s="39">
        <v>1</v>
      </c>
      <c r="G3675" s="39">
        <v>1</v>
      </c>
      <c r="H3675" s="2">
        <f t="shared" si="177"/>
        <v>13079696.199999999</v>
      </c>
      <c r="I3675" s="12">
        <f t="shared" si="175"/>
        <v>0</v>
      </c>
      <c r="J3675" s="12">
        <f t="shared" si="176"/>
        <v>0.18349742143658809</v>
      </c>
    </row>
    <row r="3676" spans="1:10" ht="15" customHeight="1">
      <c r="A3676" s="14">
        <v>46410</v>
      </c>
      <c r="B3676" s="11">
        <v>298</v>
      </c>
      <c r="F3676" s="39">
        <v>1</v>
      </c>
      <c r="G3676" s="39">
        <v>1</v>
      </c>
      <c r="H3676" s="2">
        <f t="shared" si="177"/>
        <v>13079696.199999999</v>
      </c>
      <c r="I3676" s="12">
        <f t="shared" si="175"/>
        <v>0</v>
      </c>
      <c r="J3676" s="12">
        <f t="shared" si="176"/>
        <v>0.18288165827740491</v>
      </c>
    </row>
    <row r="3677" spans="1:10" ht="15" customHeight="1">
      <c r="A3677" s="14">
        <v>46411</v>
      </c>
      <c r="B3677" s="11">
        <v>299</v>
      </c>
      <c r="F3677" s="39">
        <v>1</v>
      </c>
      <c r="G3677" s="39">
        <v>1</v>
      </c>
      <c r="H3677" s="2">
        <f t="shared" si="177"/>
        <v>13079696.199999999</v>
      </c>
      <c r="I3677" s="12">
        <f t="shared" si="175"/>
        <v>0</v>
      </c>
      <c r="J3677" s="12">
        <f t="shared" si="176"/>
        <v>0.18227001393534001</v>
      </c>
    </row>
    <row r="3678" spans="1:10" ht="15" customHeight="1">
      <c r="A3678" s="14">
        <v>46412</v>
      </c>
      <c r="B3678" s="11">
        <v>300</v>
      </c>
      <c r="F3678" s="39">
        <v>1</v>
      </c>
      <c r="G3678" s="39">
        <v>1</v>
      </c>
      <c r="H3678" s="2">
        <f t="shared" si="177"/>
        <v>13079696.199999999</v>
      </c>
      <c r="I3678" s="12">
        <f t="shared" si="175"/>
        <v>0</v>
      </c>
      <c r="J3678" s="12">
        <f t="shared" si="176"/>
        <v>0.18166244722222222</v>
      </c>
    </row>
    <row r="3679" spans="1:10" ht="15" customHeight="1">
      <c r="A3679" s="14">
        <v>46413</v>
      </c>
      <c r="B3679" s="11">
        <v>301</v>
      </c>
      <c r="F3679" s="39">
        <v>1</v>
      </c>
      <c r="G3679" s="39">
        <v>1</v>
      </c>
      <c r="H3679" s="2">
        <f t="shared" si="177"/>
        <v>13079696.199999999</v>
      </c>
      <c r="I3679" s="12">
        <f t="shared" si="175"/>
        <v>0</v>
      </c>
      <c r="J3679" s="12">
        <f t="shared" si="176"/>
        <v>0.18105891749723144</v>
      </c>
    </row>
    <row r="3680" spans="1:10" ht="15" customHeight="1">
      <c r="A3680" s="14">
        <v>46414</v>
      </c>
      <c r="B3680" s="11">
        <v>302</v>
      </c>
      <c r="F3680" s="39">
        <v>1</v>
      </c>
      <c r="G3680" s="39">
        <v>1</v>
      </c>
      <c r="H3680" s="2">
        <f t="shared" si="177"/>
        <v>13079696.199999999</v>
      </c>
      <c r="I3680" s="12">
        <f t="shared" si="175"/>
        <v>0</v>
      </c>
      <c r="J3680" s="12">
        <f t="shared" si="176"/>
        <v>0.18045938465783665</v>
      </c>
    </row>
    <row r="3681" spans="1:10" ht="15" customHeight="1">
      <c r="A3681" s="14">
        <v>46415</v>
      </c>
      <c r="B3681" s="11">
        <v>303</v>
      </c>
      <c r="F3681" s="39">
        <v>1</v>
      </c>
      <c r="G3681" s="39">
        <v>1</v>
      </c>
      <c r="H3681" s="2">
        <f t="shared" si="177"/>
        <v>13079696.199999999</v>
      </c>
      <c r="I3681" s="12">
        <f t="shared" si="175"/>
        <v>0</v>
      </c>
      <c r="J3681" s="12">
        <f t="shared" si="176"/>
        <v>0.17986380913091307</v>
      </c>
    </row>
    <row r="3682" spans="1:10" ht="15" customHeight="1">
      <c r="A3682" s="14">
        <v>46416</v>
      </c>
      <c r="B3682" s="11">
        <v>304</v>
      </c>
      <c r="F3682" s="39">
        <v>1</v>
      </c>
      <c r="G3682" s="39">
        <v>1</v>
      </c>
      <c r="H3682" s="2">
        <f t="shared" si="177"/>
        <v>13079696.199999999</v>
      </c>
      <c r="I3682" s="12">
        <f t="shared" si="175"/>
        <v>0</v>
      </c>
      <c r="J3682" s="12">
        <f t="shared" si="176"/>
        <v>0.17927215186403508</v>
      </c>
    </row>
    <row r="3683" spans="1:10" ht="15" customHeight="1">
      <c r="A3683" s="14">
        <v>46417</v>
      </c>
      <c r="B3683" s="11">
        <v>305</v>
      </c>
      <c r="F3683" s="39">
        <v>1</v>
      </c>
      <c r="G3683" s="39">
        <v>1</v>
      </c>
      <c r="H3683" s="2">
        <f t="shared" si="177"/>
        <v>13079696.199999999</v>
      </c>
      <c r="I3683" s="12">
        <f t="shared" si="175"/>
        <v>0</v>
      </c>
      <c r="J3683" s="12">
        <f t="shared" si="176"/>
        <v>0.17868437431693987</v>
      </c>
    </row>
    <row r="3684" spans="1:10" ht="15" customHeight="1">
      <c r="A3684" s="14">
        <v>46418</v>
      </c>
      <c r="B3684" s="11">
        <v>306</v>
      </c>
      <c r="F3684" s="39">
        <v>1</v>
      </c>
      <c r="G3684" s="39">
        <v>1</v>
      </c>
      <c r="H3684" s="2">
        <f t="shared" si="177"/>
        <v>13079696.199999999</v>
      </c>
      <c r="I3684" s="12">
        <f t="shared" si="175"/>
        <v>0</v>
      </c>
      <c r="J3684" s="12">
        <f t="shared" si="176"/>
        <v>0.17810043845315904</v>
      </c>
    </row>
    <row r="3685" spans="1:10" ht="15" customHeight="1">
      <c r="A3685" s="14">
        <v>46419</v>
      </c>
      <c r="B3685" s="11">
        <v>307</v>
      </c>
      <c r="F3685" s="39">
        <v>1</v>
      </c>
      <c r="G3685" s="39">
        <v>1</v>
      </c>
      <c r="H3685" s="2">
        <f t="shared" si="177"/>
        <v>13079696.199999999</v>
      </c>
      <c r="I3685" s="12">
        <f t="shared" si="175"/>
        <v>0</v>
      </c>
      <c r="J3685" s="12">
        <f t="shared" si="176"/>
        <v>0.17752030673181324</v>
      </c>
    </row>
    <row r="3686" spans="1:10" ht="15" customHeight="1">
      <c r="A3686" s="14">
        <v>46420</v>
      </c>
      <c r="B3686" s="11">
        <v>308</v>
      </c>
      <c r="F3686" s="39">
        <v>1</v>
      </c>
      <c r="G3686" s="39">
        <v>1</v>
      </c>
      <c r="H3686" s="2">
        <f t="shared" si="177"/>
        <v>13079696.199999999</v>
      </c>
      <c r="I3686" s="12">
        <f t="shared" si="175"/>
        <v>0</v>
      </c>
      <c r="J3686" s="12">
        <f t="shared" si="176"/>
        <v>0.1769439420995671</v>
      </c>
    </row>
    <row r="3687" spans="1:10" ht="15" customHeight="1">
      <c r="A3687" s="14">
        <v>46421</v>
      </c>
      <c r="B3687" s="11">
        <v>309</v>
      </c>
      <c r="F3687" s="39">
        <v>1</v>
      </c>
      <c r="G3687" s="39">
        <v>1</v>
      </c>
      <c r="H3687" s="2">
        <f t="shared" si="177"/>
        <v>13079696.199999999</v>
      </c>
      <c r="I3687" s="12">
        <f t="shared" si="175"/>
        <v>0</v>
      </c>
      <c r="J3687" s="12">
        <f t="shared" si="176"/>
        <v>0.17637130798274001</v>
      </c>
    </row>
    <row r="3688" spans="1:10" ht="15" customHeight="1">
      <c r="A3688" s="14">
        <v>46422</v>
      </c>
      <c r="B3688" s="11">
        <v>310</v>
      </c>
      <c r="F3688" s="39">
        <v>1</v>
      </c>
      <c r="G3688" s="39">
        <v>1</v>
      </c>
      <c r="H3688" s="2">
        <f t="shared" si="177"/>
        <v>13079696.199999999</v>
      </c>
      <c r="I3688" s="12">
        <f t="shared" si="175"/>
        <v>0</v>
      </c>
      <c r="J3688" s="12">
        <f t="shared" si="176"/>
        <v>0.17580236827956988</v>
      </c>
    </row>
    <row r="3689" spans="1:10" ht="15" customHeight="1">
      <c r="A3689" s="14">
        <v>46423</v>
      </c>
      <c r="B3689" s="11">
        <v>311</v>
      </c>
      <c r="F3689" s="39">
        <v>1</v>
      </c>
      <c r="G3689" s="39">
        <v>1</v>
      </c>
      <c r="H3689" s="2">
        <f t="shared" si="177"/>
        <v>13079696.199999999</v>
      </c>
      <c r="I3689" s="12">
        <f t="shared" si="175"/>
        <v>0</v>
      </c>
      <c r="J3689" s="12">
        <f t="shared" si="176"/>
        <v>0.17523708735262591</v>
      </c>
    </row>
    <row r="3690" spans="1:10" ht="15" customHeight="1">
      <c r="A3690" s="14">
        <v>46424</v>
      </c>
      <c r="B3690" s="11">
        <v>312</v>
      </c>
      <c r="F3690" s="39">
        <v>1</v>
      </c>
      <c r="G3690" s="39">
        <v>1</v>
      </c>
      <c r="H3690" s="2">
        <f t="shared" si="177"/>
        <v>13079696.199999999</v>
      </c>
      <c r="I3690" s="12">
        <f t="shared" si="175"/>
        <v>0</v>
      </c>
      <c r="J3690" s="12">
        <f t="shared" si="176"/>
        <v>0.17467543002136751</v>
      </c>
    </row>
    <row r="3691" spans="1:10" ht="15" customHeight="1">
      <c r="A3691" s="14">
        <v>46425</v>
      </c>
      <c r="B3691" s="11">
        <v>313</v>
      </c>
      <c r="F3691" s="39">
        <v>1</v>
      </c>
      <c r="G3691" s="39">
        <v>1</v>
      </c>
      <c r="H3691" s="2">
        <f t="shared" si="177"/>
        <v>13079696.199999999</v>
      </c>
      <c r="I3691" s="12">
        <f t="shared" si="175"/>
        <v>0</v>
      </c>
      <c r="J3691" s="12">
        <f t="shared" si="176"/>
        <v>0.17411736155484556</v>
      </c>
    </row>
    <row r="3692" spans="1:10" ht="15" customHeight="1">
      <c r="A3692" s="14">
        <v>46426</v>
      </c>
      <c r="B3692" s="11">
        <v>314</v>
      </c>
      <c r="F3692" s="39">
        <v>1</v>
      </c>
      <c r="G3692" s="39">
        <v>1</v>
      </c>
      <c r="H3692" s="2">
        <f t="shared" si="177"/>
        <v>13079696.199999999</v>
      </c>
      <c r="I3692" s="12">
        <f t="shared" si="175"/>
        <v>0</v>
      </c>
      <c r="J3692" s="12">
        <f t="shared" si="176"/>
        <v>0.17356284766454352</v>
      </c>
    </row>
    <row r="3693" spans="1:10" ht="15" customHeight="1">
      <c r="A3693" s="14">
        <v>46427</v>
      </c>
      <c r="B3693" s="11">
        <v>315</v>
      </c>
      <c r="F3693" s="39">
        <v>1</v>
      </c>
      <c r="G3693" s="39">
        <v>1</v>
      </c>
      <c r="H3693" s="2">
        <f t="shared" si="177"/>
        <v>13079696.199999999</v>
      </c>
      <c r="I3693" s="12">
        <f t="shared" si="175"/>
        <v>0</v>
      </c>
      <c r="J3693" s="12">
        <f t="shared" si="176"/>
        <v>0.17301185449735448</v>
      </c>
    </row>
    <row r="3694" spans="1:10" ht="15" customHeight="1">
      <c r="A3694" s="14">
        <v>46428</v>
      </c>
      <c r="B3694" s="11">
        <v>316</v>
      </c>
      <c r="F3694" s="39">
        <v>1</v>
      </c>
      <c r="G3694" s="39">
        <v>1</v>
      </c>
      <c r="H3694" s="2">
        <f t="shared" si="177"/>
        <v>13079696.199999999</v>
      </c>
      <c r="I3694" s="12">
        <f t="shared" si="175"/>
        <v>0</v>
      </c>
      <c r="J3694" s="12">
        <f t="shared" si="176"/>
        <v>0.17246434862869198</v>
      </c>
    </row>
    <row r="3695" spans="1:10" ht="15" customHeight="1">
      <c r="A3695" s="14">
        <v>46429</v>
      </c>
      <c r="B3695" s="11">
        <v>317</v>
      </c>
      <c r="F3695" s="39">
        <v>1</v>
      </c>
      <c r="G3695" s="39">
        <v>1</v>
      </c>
      <c r="H3695" s="2">
        <f t="shared" si="177"/>
        <v>13079696.199999999</v>
      </c>
      <c r="I3695" s="12">
        <f t="shared" si="175"/>
        <v>0</v>
      </c>
      <c r="J3695" s="12">
        <f t="shared" si="176"/>
        <v>0.17192029705573081</v>
      </c>
    </row>
    <row r="3696" spans="1:10" ht="15" customHeight="1">
      <c r="A3696" s="14">
        <v>46430</v>
      </c>
      <c r="B3696" s="11">
        <v>318</v>
      </c>
      <c r="F3696" s="39">
        <v>1</v>
      </c>
      <c r="G3696" s="39">
        <v>1</v>
      </c>
      <c r="H3696" s="2">
        <f t="shared" si="177"/>
        <v>13079696.199999999</v>
      </c>
      <c r="I3696" s="12">
        <f t="shared" si="175"/>
        <v>0</v>
      </c>
      <c r="J3696" s="12">
        <f t="shared" si="176"/>
        <v>0.17137966719077566</v>
      </c>
    </row>
    <row r="3697" spans="1:10" ht="15" customHeight="1">
      <c r="A3697" s="14">
        <v>46431</v>
      </c>
      <c r="B3697" s="11">
        <v>319</v>
      </c>
      <c r="F3697" s="39">
        <v>1</v>
      </c>
      <c r="G3697" s="39">
        <v>1</v>
      </c>
      <c r="H3697" s="2">
        <f t="shared" si="177"/>
        <v>13079696.199999999</v>
      </c>
      <c r="I3697" s="12">
        <f t="shared" si="175"/>
        <v>0</v>
      </c>
      <c r="J3697" s="12">
        <f t="shared" si="176"/>
        <v>0.17084242685475443</v>
      </c>
    </row>
    <row r="3698" spans="1:10" ht="15" customHeight="1">
      <c r="A3698" s="14">
        <v>46432</v>
      </c>
      <c r="B3698" s="11">
        <v>320</v>
      </c>
      <c r="F3698" s="39">
        <v>1</v>
      </c>
      <c r="G3698" s="39">
        <v>1</v>
      </c>
      <c r="H3698" s="2">
        <f t="shared" si="177"/>
        <v>13079696.199999999</v>
      </c>
      <c r="I3698" s="12">
        <f t="shared" si="175"/>
        <v>0</v>
      </c>
      <c r="J3698" s="12">
        <f t="shared" si="176"/>
        <v>0.17030854427083333</v>
      </c>
    </row>
    <row r="3699" spans="1:10" ht="15" customHeight="1">
      <c r="A3699" s="14">
        <v>46433</v>
      </c>
      <c r="B3699" s="11">
        <v>321</v>
      </c>
      <c r="F3699" s="39">
        <v>1</v>
      </c>
      <c r="G3699" s="39">
        <v>1</v>
      </c>
      <c r="H3699" s="2">
        <f t="shared" si="177"/>
        <v>13079696.199999999</v>
      </c>
      <c r="I3699" s="12">
        <f t="shared" si="175"/>
        <v>0</v>
      </c>
      <c r="J3699" s="12">
        <f t="shared" si="176"/>
        <v>0.16977798805815161</v>
      </c>
    </row>
    <row r="3700" spans="1:10" ht="15" customHeight="1">
      <c r="A3700" s="14">
        <v>46434</v>
      </c>
      <c r="B3700" s="11">
        <v>322</v>
      </c>
      <c r="F3700" s="39">
        <v>1</v>
      </c>
      <c r="G3700" s="39">
        <v>1</v>
      </c>
      <c r="H3700" s="2">
        <f t="shared" si="177"/>
        <v>13079696.199999999</v>
      </c>
      <c r="I3700" s="12">
        <f t="shared" si="175"/>
        <v>0</v>
      </c>
      <c r="J3700" s="12">
        <f t="shared" si="176"/>
        <v>0.16925072722567286</v>
      </c>
    </row>
    <row r="3701" spans="1:10" ht="15" customHeight="1">
      <c r="A3701" s="14">
        <v>46435</v>
      </c>
      <c r="B3701" s="11">
        <v>323</v>
      </c>
      <c r="F3701" s="39">
        <v>1</v>
      </c>
      <c r="G3701" s="39">
        <v>1</v>
      </c>
      <c r="H3701" s="2">
        <f t="shared" si="177"/>
        <v>13079696.199999999</v>
      </c>
      <c r="I3701" s="12">
        <f t="shared" si="175"/>
        <v>0</v>
      </c>
      <c r="J3701" s="12">
        <f t="shared" si="176"/>
        <v>0.16872673116615067</v>
      </c>
    </row>
    <row r="3702" spans="1:10" ht="15" customHeight="1">
      <c r="A3702" s="14">
        <v>46436</v>
      </c>
      <c r="B3702" s="11">
        <v>324</v>
      </c>
      <c r="F3702" s="39">
        <v>1</v>
      </c>
      <c r="G3702" s="39">
        <v>1</v>
      </c>
      <c r="H3702" s="2">
        <f t="shared" si="177"/>
        <v>13079696.199999999</v>
      </c>
      <c r="I3702" s="12">
        <f t="shared" si="175"/>
        <v>0</v>
      </c>
      <c r="J3702" s="12">
        <f t="shared" si="176"/>
        <v>0.16820596965020576</v>
      </c>
    </row>
    <row r="3703" spans="1:10" ht="15" customHeight="1">
      <c r="A3703" s="14">
        <v>46437</v>
      </c>
      <c r="B3703" s="11">
        <v>325</v>
      </c>
      <c r="F3703" s="39">
        <v>1</v>
      </c>
      <c r="G3703" s="39">
        <v>1</v>
      </c>
      <c r="H3703" s="2">
        <f t="shared" si="177"/>
        <v>13079696.199999999</v>
      </c>
      <c r="I3703" s="12">
        <f t="shared" si="175"/>
        <v>0</v>
      </c>
      <c r="J3703" s="12">
        <f t="shared" si="176"/>
        <v>0.16768841282051281</v>
      </c>
    </row>
    <row r="3704" spans="1:10" ht="15" customHeight="1">
      <c r="A3704" s="14">
        <v>46438</v>
      </c>
      <c r="B3704" s="11">
        <v>326</v>
      </c>
      <c r="F3704" s="39">
        <v>1</v>
      </c>
      <c r="G3704" s="39">
        <v>1</v>
      </c>
      <c r="H3704" s="2">
        <f t="shared" si="177"/>
        <v>13079696.199999999</v>
      </c>
      <c r="I3704" s="12">
        <f t="shared" si="175"/>
        <v>0</v>
      </c>
      <c r="J3704" s="12">
        <f t="shared" si="176"/>
        <v>0.16717403118609406</v>
      </c>
    </row>
    <row r="3705" spans="1:10" ht="15" customHeight="1">
      <c r="A3705" s="14">
        <v>46439</v>
      </c>
      <c r="B3705" s="11">
        <v>327</v>
      </c>
      <c r="F3705" s="39">
        <v>1</v>
      </c>
      <c r="G3705" s="39">
        <v>1</v>
      </c>
      <c r="H3705" s="2">
        <f t="shared" si="177"/>
        <v>13079696.199999999</v>
      </c>
      <c r="I3705" s="12">
        <f t="shared" si="175"/>
        <v>0</v>
      </c>
      <c r="J3705" s="12">
        <f t="shared" si="176"/>
        <v>0.16666279561671762</v>
      </c>
    </row>
    <row r="3706" spans="1:10" ht="15" customHeight="1">
      <c r="A3706" s="14">
        <v>46440</v>
      </c>
      <c r="B3706" s="11">
        <v>328</v>
      </c>
      <c r="F3706" s="39">
        <v>1</v>
      </c>
      <c r="G3706" s="39">
        <v>1</v>
      </c>
      <c r="H3706" s="2">
        <f t="shared" si="177"/>
        <v>13079696.199999999</v>
      </c>
      <c r="I3706" s="12">
        <f t="shared" si="175"/>
        <v>0</v>
      </c>
      <c r="J3706" s="12">
        <f t="shared" si="176"/>
        <v>0.16615467733739836</v>
      </c>
    </row>
    <row r="3707" spans="1:10" ht="15" customHeight="1">
      <c r="A3707" s="14">
        <v>46441</v>
      </c>
      <c r="B3707" s="11">
        <v>329</v>
      </c>
      <c r="F3707" s="39">
        <v>1</v>
      </c>
      <c r="G3707" s="39">
        <v>1</v>
      </c>
      <c r="H3707" s="2">
        <f t="shared" si="177"/>
        <v>13079696.199999999</v>
      </c>
      <c r="I3707" s="12">
        <f t="shared" si="175"/>
        <v>0</v>
      </c>
      <c r="J3707" s="12">
        <f t="shared" si="176"/>
        <v>0.16564964792299897</v>
      </c>
    </row>
    <row r="3708" spans="1:10" ht="15" customHeight="1">
      <c r="A3708" s="14">
        <v>46442</v>
      </c>
      <c r="B3708" s="11">
        <v>330</v>
      </c>
      <c r="F3708" s="39">
        <v>1</v>
      </c>
      <c r="G3708" s="39">
        <v>1</v>
      </c>
      <c r="H3708" s="2">
        <f t="shared" si="177"/>
        <v>13079696.199999999</v>
      </c>
      <c r="I3708" s="12">
        <f t="shared" si="175"/>
        <v>0</v>
      </c>
      <c r="J3708" s="12">
        <f t="shared" si="176"/>
        <v>0.16514767929292928</v>
      </c>
    </row>
    <row r="3709" spans="1:10" ht="15" customHeight="1">
      <c r="A3709" s="14">
        <v>46443</v>
      </c>
      <c r="B3709" s="11">
        <v>331</v>
      </c>
      <c r="F3709" s="39">
        <v>1</v>
      </c>
      <c r="G3709" s="39">
        <v>1</v>
      </c>
      <c r="H3709" s="2">
        <f t="shared" si="177"/>
        <v>13079696.199999999</v>
      </c>
      <c r="I3709" s="12">
        <f t="shared" si="175"/>
        <v>0</v>
      </c>
      <c r="J3709" s="12">
        <f t="shared" si="176"/>
        <v>0.16464874370594157</v>
      </c>
    </row>
    <row r="3710" spans="1:10" ht="15" customHeight="1">
      <c r="A3710" s="14">
        <v>46444</v>
      </c>
      <c r="B3710" s="11">
        <v>332</v>
      </c>
      <c r="F3710" s="39">
        <v>1</v>
      </c>
      <c r="G3710" s="39">
        <v>1</v>
      </c>
      <c r="H3710" s="2">
        <f t="shared" si="177"/>
        <v>13079696.199999999</v>
      </c>
      <c r="I3710" s="12">
        <f t="shared" si="175"/>
        <v>0</v>
      </c>
      <c r="J3710" s="12">
        <f t="shared" si="176"/>
        <v>0.16415281375502008</v>
      </c>
    </row>
    <row r="3711" spans="1:10" ht="15" customHeight="1">
      <c r="A3711" s="14">
        <v>46445</v>
      </c>
      <c r="B3711" s="11">
        <v>333</v>
      </c>
      <c r="F3711" s="39">
        <v>1</v>
      </c>
      <c r="G3711" s="39">
        <v>1</v>
      </c>
      <c r="H3711" s="2">
        <f t="shared" si="177"/>
        <v>13079696.199999999</v>
      </c>
      <c r="I3711" s="12">
        <f t="shared" si="175"/>
        <v>0</v>
      </c>
      <c r="J3711" s="12">
        <f t="shared" si="176"/>
        <v>0.16365986236236235</v>
      </c>
    </row>
    <row r="3712" spans="1:10" ht="15" customHeight="1">
      <c r="A3712" s="14">
        <v>46446</v>
      </c>
      <c r="B3712" s="11">
        <v>334</v>
      </c>
      <c r="F3712" s="39">
        <v>1</v>
      </c>
      <c r="G3712" s="39">
        <v>1</v>
      </c>
      <c r="H3712" s="2">
        <f t="shared" si="177"/>
        <v>13079696.199999999</v>
      </c>
      <c r="I3712" s="12">
        <f t="shared" si="175"/>
        <v>0</v>
      </c>
      <c r="J3712" s="12">
        <f t="shared" si="176"/>
        <v>0.16316986277445109</v>
      </c>
    </row>
    <row r="3713" spans="1:10" ht="15" customHeight="1">
      <c r="A3713" s="14">
        <v>46447</v>
      </c>
      <c r="B3713" s="11">
        <v>335</v>
      </c>
      <c r="F3713" s="39">
        <v>1</v>
      </c>
      <c r="G3713" s="39">
        <v>1</v>
      </c>
      <c r="H3713" s="2">
        <f t="shared" si="177"/>
        <v>13079696.199999999</v>
      </c>
      <c r="I3713" s="12">
        <f t="shared" si="175"/>
        <v>0</v>
      </c>
      <c r="J3713" s="12">
        <f t="shared" si="176"/>
        <v>0.16268278855721391</v>
      </c>
    </row>
    <row r="3714" spans="1:10" ht="15" customHeight="1">
      <c r="A3714" s="14">
        <v>46448</v>
      </c>
      <c r="B3714" s="11">
        <v>336</v>
      </c>
      <c r="F3714" s="39">
        <v>1</v>
      </c>
      <c r="G3714" s="39">
        <v>1</v>
      </c>
      <c r="H3714" s="2">
        <f t="shared" si="177"/>
        <v>13079696.199999999</v>
      </c>
      <c r="I3714" s="12">
        <f t="shared" si="175"/>
        <v>0</v>
      </c>
      <c r="J3714" s="12">
        <f t="shared" si="176"/>
        <v>0.16219861359126983</v>
      </c>
    </row>
    <row r="3715" spans="1:10" ht="15" customHeight="1">
      <c r="A3715" s="14">
        <v>46449</v>
      </c>
      <c r="B3715" s="11">
        <v>337</v>
      </c>
      <c r="F3715" s="39">
        <v>1</v>
      </c>
      <c r="G3715" s="39">
        <v>1</v>
      </c>
      <c r="H3715" s="2">
        <f t="shared" si="177"/>
        <v>13079696.199999999</v>
      </c>
      <c r="I3715" s="12">
        <f t="shared" ref="I3715:I3743" si="178">C3715/(10*24*1000)</f>
        <v>0</v>
      </c>
      <c r="J3715" s="12">
        <f t="shared" si="176"/>
        <v>0.16171731206726012</v>
      </c>
    </row>
    <row r="3716" spans="1:10" ht="15" customHeight="1">
      <c r="A3716" s="14">
        <v>46450</v>
      </c>
      <c r="B3716" s="11">
        <v>338</v>
      </c>
      <c r="F3716" s="39">
        <v>1</v>
      </c>
      <c r="G3716" s="39">
        <v>1</v>
      </c>
      <c r="H3716" s="2">
        <f t="shared" si="177"/>
        <v>13079696.199999999</v>
      </c>
      <c r="I3716" s="12">
        <f t="shared" si="178"/>
        <v>0</v>
      </c>
      <c r="J3716" s="12">
        <f t="shared" si="176"/>
        <v>0.16123885848126232</v>
      </c>
    </row>
    <row r="3717" spans="1:10" ht="15" customHeight="1">
      <c r="A3717" s="14">
        <v>46451</v>
      </c>
      <c r="B3717" s="11">
        <v>339</v>
      </c>
      <c r="F3717" s="39">
        <v>1</v>
      </c>
      <c r="G3717" s="39">
        <v>1</v>
      </c>
      <c r="H3717" s="2">
        <f t="shared" si="177"/>
        <v>13079696.199999999</v>
      </c>
      <c r="I3717" s="12">
        <f t="shared" si="178"/>
        <v>0</v>
      </c>
      <c r="J3717" s="12">
        <f t="shared" si="176"/>
        <v>0.16076322763028514</v>
      </c>
    </row>
    <row r="3718" spans="1:10" ht="15" customHeight="1">
      <c r="A3718" s="14">
        <v>46452</v>
      </c>
      <c r="B3718" s="11">
        <v>340</v>
      </c>
      <c r="F3718" s="39">
        <v>1</v>
      </c>
      <c r="G3718" s="39">
        <v>1</v>
      </c>
      <c r="H3718" s="2">
        <f t="shared" si="177"/>
        <v>13079696.199999999</v>
      </c>
      <c r="I3718" s="12">
        <f t="shared" si="178"/>
        <v>0</v>
      </c>
      <c r="J3718" s="12">
        <f t="shared" si="176"/>
        <v>0.16029039460784314</v>
      </c>
    </row>
    <row r="3719" spans="1:10" ht="15" customHeight="1">
      <c r="A3719" s="14">
        <v>46453</v>
      </c>
      <c r="B3719" s="11">
        <v>341</v>
      </c>
      <c r="F3719" s="39">
        <v>1</v>
      </c>
      <c r="G3719" s="39">
        <v>1</v>
      </c>
      <c r="H3719" s="2">
        <f t="shared" si="177"/>
        <v>13079696.199999999</v>
      </c>
      <c r="I3719" s="12">
        <f t="shared" si="178"/>
        <v>0</v>
      </c>
      <c r="J3719" s="12">
        <f t="shared" ref="J3719:J3743" si="179">H3719/(24*B3719*10*1000)</f>
        <v>0.15982033479960897</v>
      </c>
    </row>
    <row r="3720" spans="1:10" ht="15" customHeight="1">
      <c r="A3720" s="14">
        <v>46454</v>
      </c>
      <c r="B3720" s="11">
        <v>342</v>
      </c>
      <c r="F3720" s="39">
        <v>1</v>
      </c>
      <c r="G3720" s="39">
        <v>1</v>
      </c>
      <c r="H3720" s="2">
        <f t="shared" ref="H3720:H3743" si="180">H3719+C3720</f>
        <v>13079696.199999999</v>
      </c>
      <c r="I3720" s="12">
        <f t="shared" si="178"/>
        <v>0</v>
      </c>
      <c r="J3720" s="12">
        <f t="shared" si="179"/>
        <v>0.1593530238791423</v>
      </c>
    </row>
    <row r="3721" spans="1:10" ht="15" customHeight="1">
      <c r="A3721" s="14">
        <v>46455</v>
      </c>
      <c r="B3721" s="11">
        <v>343</v>
      </c>
      <c r="F3721" s="39">
        <v>1</v>
      </c>
      <c r="G3721" s="39">
        <v>1</v>
      </c>
      <c r="H3721" s="2">
        <f t="shared" si="180"/>
        <v>13079696.199999999</v>
      </c>
      <c r="I3721" s="12">
        <f t="shared" si="178"/>
        <v>0</v>
      </c>
      <c r="J3721" s="12">
        <f t="shared" si="179"/>
        <v>0.15888843780369288</v>
      </c>
    </row>
    <row r="3722" spans="1:10" ht="15" customHeight="1">
      <c r="A3722" s="14">
        <v>46456</v>
      </c>
      <c r="B3722" s="11">
        <v>344</v>
      </c>
      <c r="F3722" s="39">
        <v>1</v>
      </c>
      <c r="G3722" s="39">
        <v>1</v>
      </c>
      <c r="H3722" s="2">
        <f t="shared" si="180"/>
        <v>13079696.199999999</v>
      </c>
      <c r="I3722" s="12">
        <f t="shared" si="178"/>
        <v>0</v>
      </c>
      <c r="J3722" s="12">
        <f t="shared" si="179"/>
        <v>0.1584265528100775</v>
      </c>
    </row>
    <row r="3723" spans="1:10" ht="15" customHeight="1">
      <c r="A3723" s="14">
        <v>46457</v>
      </c>
      <c r="B3723" s="11">
        <v>345</v>
      </c>
      <c r="F3723" s="39">
        <v>1</v>
      </c>
      <c r="G3723" s="39">
        <v>1</v>
      </c>
      <c r="H3723" s="2">
        <f t="shared" si="180"/>
        <v>13079696.199999999</v>
      </c>
      <c r="I3723" s="12">
        <f t="shared" si="178"/>
        <v>0</v>
      </c>
      <c r="J3723" s="12">
        <f t="shared" si="179"/>
        <v>0.15796734541062801</v>
      </c>
    </row>
    <row r="3724" spans="1:10" ht="15" customHeight="1">
      <c r="A3724" s="14">
        <v>46458</v>
      </c>
      <c r="B3724" s="11">
        <v>346</v>
      </c>
      <c r="F3724" s="39">
        <v>1</v>
      </c>
      <c r="G3724" s="39">
        <v>1</v>
      </c>
      <c r="H3724" s="2">
        <f t="shared" si="180"/>
        <v>13079696.199999999</v>
      </c>
      <c r="I3724" s="12">
        <f t="shared" si="178"/>
        <v>0</v>
      </c>
      <c r="J3724" s="12">
        <f t="shared" si="179"/>
        <v>0.15751079238921001</v>
      </c>
    </row>
    <row r="3725" spans="1:10" ht="15" customHeight="1">
      <c r="A3725" s="14">
        <v>46459</v>
      </c>
      <c r="B3725" s="11">
        <v>347</v>
      </c>
      <c r="F3725" s="39">
        <v>1</v>
      </c>
      <c r="G3725" s="39">
        <v>1</v>
      </c>
      <c r="H3725" s="2">
        <f t="shared" si="180"/>
        <v>13079696.199999999</v>
      </c>
      <c r="I3725" s="12">
        <f t="shared" si="178"/>
        <v>0</v>
      </c>
      <c r="J3725" s="12">
        <f t="shared" si="179"/>
        <v>0.15705687079731026</v>
      </c>
    </row>
    <row r="3726" spans="1:10" ht="15" customHeight="1">
      <c r="A3726" s="14">
        <v>46460</v>
      </c>
      <c r="B3726" s="11">
        <v>348</v>
      </c>
      <c r="F3726" s="39">
        <v>1</v>
      </c>
      <c r="G3726" s="39">
        <v>1</v>
      </c>
      <c r="H3726" s="2">
        <f t="shared" si="180"/>
        <v>13079696.199999999</v>
      </c>
      <c r="I3726" s="12">
        <f t="shared" si="178"/>
        <v>0</v>
      </c>
      <c r="J3726" s="12">
        <f t="shared" si="179"/>
        <v>0.15660555795019157</v>
      </c>
    </row>
    <row r="3727" spans="1:10" ht="15" customHeight="1">
      <c r="A3727" s="14">
        <v>46461</v>
      </c>
      <c r="B3727" s="11">
        <v>349</v>
      </c>
      <c r="F3727" s="39">
        <v>1</v>
      </c>
      <c r="G3727" s="39">
        <v>1</v>
      </c>
      <c r="H3727" s="2">
        <f t="shared" si="180"/>
        <v>13079696.199999999</v>
      </c>
      <c r="I3727" s="12">
        <f t="shared" si="178"/>
        <v>0</v>
      </c>
      <c r="J3727" s="12">
        <f t="shared" si="179"/>
        <v>0.15615683142311365</v>
      </c>
    </row>
    <row r="3728" spans="1:10" ht="15" customHeight="1">
      <c r="A3728" s="14">
        <v>46462</v>
      </c>
      <c r="B3728" s="11">
        <v>350</v>
      </c>
      <c r="F3728" s="39">
        <v>1</v>
      </c>
      <c r="G3728" s="39">
        <v>1</v>
      </c>
      <c r="H3728" s="2">
        <f t="shared" si="180"/>
        <v>13079696.199999999</v>
      </c>
      <c r="I3728" s="12">
        <f t="shared" si="178"/>
        <v>0</v>
      </c>
      <c r="J3728" s="12">
        <f t="shared" si="179"/>
        <v>0.15571066904761904</v>
      </c>
    </row>
    <row r="3729" spans="1:10" ht="15" customHeight="1">
      <c r="A3729" s="14">
        <v>46463</v>
      </c>
      <c r="B3729" s="11">
        <v>351</v>
      </c>
      <c r="F3729" s="39">
        <v>1</v>
      </c>
      <c r="G3729" s="39">
        <v>1</v>
      </c>
      <c r="H3729" s="2">
        <f t="shared" si="180"/>
        <v>13079696.199999999</v>
      </c>
      <c r="I3729" s="12">
        <f t="shared" si="178"/>
        <v>0</v>
      </c>
      <c r="J3729" s="12">
        <f t="shared" si="179"/>
        <v>0.15526704890788223</v>
      </c>
    </row>
    <row r="3730" spans="1:10" ht="15" customHeight="1">
      <c r="A3730" s="14">
        <v>46464</v>
      </c>
      <c r="B3730" s="11">
        <v>352</v>
      </c>
      <c r="F3730" s="39">
        <v>1</v>
      </c>
      <c r="G3730" s="39">
        <v>1</v>
      </c>
      <c r="H3730" s="2">
        <f t="shared" si="180"/>
        <v>13079696.199999999</v>
      </c>
      <c r="I3730" s="12">
        <f t="shared" si="178"/>
        <v>0</v>
      </c>
      <c r="J3730" s="12">
        <f t="shared" si="179"/>
        <v>0.15482594933712121</v>
      </c>
    </row>
    <row r="3731" spans="1:10" ht="15" customHeight="1">
      <c r="A3731" s="14">
        <v>46465</v>
      </c>
      <c r="B3731" s="11">
        <v>353</v>
      </c>
      <c r="F3731" s="39">
        <v>1</v>
      </c>
      <c r="G3731" s="39">
        <v>1</v>
      </c>
      <c r="H3731" s="2">
        <f t="shared" si="180"/>
        <v>13079696.199999999</v>
      </c>
      <c r="I3731" s="12">
        <f t="shared" si="178"/>
        <v>0</v>
      </c>
      <c r="J3731" s="12">
        <f t="shared" si="179"/>
        <v>0.15438734891406986</v>
      </c>
    </row>
    <row r="3732" spans="1:10" ht="15" customHeight="1">
      <c r="A3732" s="14">
        <v>46466</v>
      </c>
      <c r="B3732" s="11">
        <v>354</v>
      </c>
      <c r="F3732" s="39">
        <v>1</v>
      </c>
      <c r="G3732" s="39">
        <v>1</v>
      </c>
      <c r="H3732" s="2">
        <f t="shared" si="180"/>
        <v>13079696.199999999</v>
      </c>
      <c r="I3732" s="12">
        <f t="shared" si="178"/>
        <v>0</v>
      </c>
      <c r="J3732" s="12">
        <f t="shared" si="179"/>
        <v>0.15395122645951034</v>
      </c>
    </row>
    <row r="3733" spans="1:10" ht="15" customHeight="1">
      <c r="A3733" s="14">
        <v>46467</v>
      </c>
      <c r="B3733" s="11">
        <v>355</v>
      </c>
      <c r="F3733" s="39">
        <v>1</v>
      </c>
      <c r="G3733" s="39">
        <v>1</v>
      </c>
      <c r="H3733" s="2">
        <f t="shared" si="180"/>
        <v>13079696.199999999</v>
      </c>
      <c r="I3733" s="12">
        <f t="shared" si="178"/>
        <v>0</v>
      </c>
      <c r="J3733" s="12">
        <f t="shared" si="179"/>
        <v>0.15351756103286385</v>
      </c>
    </row>
    <row r="3734" spans="1:10" ht="15" customHeight="1">
      <c r="A3734" s="14">
        <v>46468</v>
      </c>
      <c r="B3734" s="11">
        <v>356</v>
      </c>
      <c r="F3734" s="39">
        <v>1</v>
      </c>
      <c r="G3734" s="39">
        <v>1</v>
      </c>
      <c r="H3734" s="2">
        <f t="shared" si="180"/>
        <v>13079696.199999999</v>
      </c>
      <c r="I3734" s="12">
        <f t="shared" si="178"/>
        <v>0</v>
      </c>
      <c r="J3734" s="12">
        <f t="shared" si="179"/>
        <v>0.15308633192883894</v>
      </c>
    </row>
    <row r="3735" spans="1:10" ht="15" customHeight="1">
      <c r="A3735" s="14">
        <v>46469</v>
      </c>
      <c r="B3735" s="11">
        <v>357</v>
      </c>
      <c r="F3735" s="39">
        <v>1</v>
      </c>
      <c r="G3735" s="39">
        <v>1</v>
      </c>
      <c r="H3735" s="2">
        <f t="shared" si="180"/>
        <v>13079696.199999999</v>
      </c>
      <c r="I3735" s="12">
        <f t="shared" si="178"/>
        <v>0</v>
      </c>
      <c r="J3735" s="12">
        <f t="shared" si="179"/>
        <v>0.15265751867413632</v>
      </c>
    </row>
    <row r="3736" spans="1:10" ht="15" customHeight="1">
      <c r="A3736" s="14">
        <v>46470</v>
      </c>
      <c r="B3736" s="11">
        <v>358</v>
      </c>
      <c r="F3736" s="39">
        <v>1</v>
      </c>
      <c r="G3736" s="39">
        <v>1</v>
      </c>
      <c r="H3736" s="2">
        <f t="shared" si="180"/>
        <v>13079696.199999999</v>
      </c>
      <c r="I3736" s="12">
        <f t="shared" si="178"/>
        <v>0</v>
      </c>
      <c r="J3736" s="12">
        <f t="shared" si="179"/>
        <v>0.15223110102420856</v>
      </c>
    </row>
    <row r="3737" spans="1:10" ht="15" customHeight="1">
      <c r="A3737" s="14">
        <v>46471</v>
      </c>
      <c r="B3737" s="11">
        <v>359</v>
      </c>
      <c r="F3737" s="39">
        <v>1</v>
      </c>
      <c r="G3737" s="39">
        <v>1</v>
      </c>
      <c r="H3737" s="2">
        <f t="shared" si="180"/>
        <v>13079696.199999999</v>
      </c>
      <c r="I3737" s="12">
        <f t="shared" si="178"/>
        <v>0</v>
      </c>
      <c r="J3737" s="12">
        <f t="shared" si="179"/>
        <v>0.15180705896007426</v>
      </c>
    </row>
    <row r="3738" spans="1:10" ht="15" customHeight="1">
      <c r="A3738" s="14">
        <v>46472</v>
      </c>
      <c r="B3738" s="11">
        <v>360</v>
      </c>
      <c r="F3738" s="39">
        <v>1</v>
      </c>
      <c r="G3738" s="39">
        <v>1</v>
      </c>
      <c r="H3738" s="2">
        <f t="shared" si="180"/>
        <v>13079696.199999999</v>
      </c>
      <c r="I3738" s="12">
        <f t="shared" si="178"/>
        <v>0</v>
      </c>
      <c r="J3738" s="12">
        <f t="shared" si="179"/>
        <v>0.15138537268518518</v>
      </c>
    </row>
    <row r="3739" spans="1:10" ht="15" customHeight="1">
      <c r="A3739" s="14">
        <v>46473</v>
      </c>
      <c r="B3739" s="11">
        <v>361</v>
      </c>
      <c r="F3739" s="39">
        <v>1</v>
      </c>
      <c r="G3739" s="39">
        <v>1</v>
      </c>
      <c r="H3739" s="2">
        <f t="shared" si="180"/>
        <v>13079696.199999999</v>
      </c>
      <c r="I3739" s="12">
        <f t="shared" si="178"/>
        <v>0</v>
      </c>
      <c r="J3739" s="12">
        <f t="shared" si="179"/>
        <v>0.15096602262234532</v>
      </c>
    </row>
    <row r="3740" spans="1:10" ht="15" customHeight="1">
      <c r="A3740" s="14">
        <v>46474</v>
      </c>
      <c r="B3740" s="11">
        <v>362</v>
      </c>
      <c r="F3740" s="39">
        <v>1</v>
      </c>
      <c r="G3740" s="39">
        <v>1</v>
      </c>
      <c r="H3740" s="2">
        <f t="shared" si="180"/>
        <v>13079696.199999999</v>
      </c>
      <c r="I3740" s="12">
        <f t="shared" si="178"/>
        <v>0</v>
      </c>
      <c r="J3740" s="12">
        <f t="shared" si="179"/>
        <v>0.1505489894106814</v>
      </c>
    </row>
    <row r="3741" spans="1:10" ht="15" customHeight="1">
      <c r="A3741" s="14">
        <v>46475</v>
      </c>
      <c r="B3741" s="11">
        <v>363</v>
      </c>
      <c r="F3741" s="39">
        <v>1</v>
      </c>
      <c r="G3741" s="39">
        <v>1</v>
      </c>
      <c r="H3741" s="2">
        <f t="shared" si="180"/>
        <v>13079696.199999999</v>
      </c>
      <c r="I3741" s="12">
        <f t="shared" si="178"/>
        <v>0</v>
      </c>
      <c r="J3741" s="12">
        <f t="shared" si="179"/>
        <v>0.150134253902663</v>
      </c>
    </row>
    <row r="3742" spans="1:10" ht="15" customHeight="1">
      <c r="A3742" s="14">
        <v>46476</v>
      </c>
      <c r="B3742" s="11">
        <v>364</v>
      </c>
      <c r="F3742" s="39">
        <v>1</v>
      </c>
      <c r="G3742" s="39">
        <v>1</v>
      </c>
      <c r="H3742" s="2">
        <f t="shared" si="180"/>
        <v>13079696.199999999</v>
      </c>
      <c r="I3742" s="12">
        <f t="shared" si="178"/>
        <v>0</v>
      </c>
      <c r="J3742" s="12">
        <f t="shared" si="179"/>
        <v>0.14972179716117215</v>
      </c>
    </row>
    <row r="3743" spans="1:10" ht="15" customHeight="1">
      <c r="A3743" s="14">
        <v>46477</v>
      </c>
      <c r="B3743" s="11">
        <v>365</v>
      </c>
      <c r="F3743" s="39">
        <v>1</v>
      </c>
      <c r="G3743" s="39">
        <v>1</v>
      </c>
      <c r="H3743" s="2">
        <f t="shared" si="180"/>
        <v>13079696.199999999</v>
      </c>
      <c r="I3743" s="12">
        <f t="shared" si="178"/>
        <v>0</v>
      </c>
      <c r="J3743" s="12">
        <f t="shared" si="179"/>
        <v>0.14931160045662101</v>
      </c>
    </row>
  </sheetData>
  <autoFilter ref="A1:H2193" xr:uid="{00000000-0001-0000-0000-000000000000}">
    <sortState xmlns:xlrd2="http://schemas.microsoft.com/office/spreadsheetml/2017/richdata2" ref="A2:H3013">
      <sortCondition ref="A1:A3013"/>
    </sortState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E3DC-746A-EC4F-AFEC-DD83401037C4}">
  <dimension ref="A1:P22"/>
  <sheetViews>
    <sheetView zoomScale="91" workbookViewId="0">
      <selection activeCell="B4" sqref="B4:O4"/>
    </sheetView>
  </sheetViews>
  <sheetFormatPr baseColWidth="10" defaultRowHeight="15"/>
  <cols>
    <col min="1" max="1" width="10.83203125" style="15"/>
    <col min="2" max="2" width="13.1640625" style="15" bestFit="1" customWidth="1"/>
    <col min="3" max="3" width="16.6640625" style="15" bestFit="1" customWidth="1"/>
    <col min="4" max="4" width="10.33203125" style="15" bestFit="1" customWidth="1"/>
    <col min="5" max="5" width="12" style="15" bestFit="1" customWidth="1"/>
    <col min="6" max="6" width="11" style="15" bestFit="1" customWidth="1"/>
    <col min="7" max="7" width="10.6640625" style="15" bestFit="1" customWidth="1"/>
    <col min="8" max="8" width="12.83203125" style="15" customWidth="1"/>
    <col min="9" max="9" width="11" style="15" bestFit="1" customWidth="1"/>
    <col min="10" max="10" width="11" style="15" customWidth="1"/>
    <col min="11" max="11" width="11.5" style="15" bestFit="1" customWidth="1"/>
    <col min="12" max="12" width="11.1640625" style="15" customWidth="1"/>
    <col min="13" max="13" width="7.6640625" style="15" customWidth="1"/>
    <col min="14" max="14" width="10" style="15" bestFit="1" customWidth="1"/>
    <col min="15" max="16384" width="10.83203125" style="15"/>
  </cols>
  <sheetData>
    <row r="1" spans="1:16" ht="15" customHeight="1">
      <c r="B1" s="181" t="s">
        <v>13</v>
      </c>
      <c r="C1" s="165">
        <f ca="1">'SECI O&amp;M Dashboard'!E3</f>
        <v>46027</v>
      </c>
      <c r="D1" s="165"/>
      <c r="E1" s="165"/>
      <c r="F1" s="25"/>
      <c r="G1" s="25"/>
    </row>
    <row r="2" spans="1:16" ht="15" customHeight="1">
      <c r="B2" s="181"/>
      <c r="C2" s="165"/>
      <c r="D2" s="165"/>
      <c r="E2" s="165"/>
      <c r="F2" s="25"/>
      <c r="G2" s="25"/>
    </row>
    <row r="3" spans="1:16" ht="15" customHeight="1">
      <c r="B3" s="181"/>
      <c r="C3" s="165"/>
      <c r="D3" s="165"/>
      <c r="E3" s="165"/>
      <c r="F3" s="25"/>
      <c r="G3" s="25"/>
      <c r="O3"/>
    </row>
    <row r="4" spans="1:16" ht="29">
      <c r="B4" s="193" t="s">
        <v>16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</row>
    <row r="5" spans="1:16" ht="45" customHeight="1">
      <c r="B5" s="188" t="s">
        <v>33</v>
      </c>
      <c r="C5" s="189"/>
      <c r="D5" s="189"/>
      <c r="E5" s="190">
        <f ca="1">C1</f>
        <v>46027</v>
      </c>
      <c r="F5" s="190"/>
      <c r="G5" s="191"/>
      <c r="H5" s="174" t="s">
        <v>34</v>
      </c>
      <c r="I5" s="174"/>
      <c r="J5" s="174"/>
      <c r="K5" s="174"/>
      <c r="L5" s="174" t="s">
        <v>35</v>
      </c>
      <c r="M5" s="174"/>
      <c r="N5" s="174"/>
      <c r="O5" s="174"/>
    </row>
    <row r="6" spans="1:16" ht="16">
      <c r="B6" s="182" t="s">
        <v>32</v>
      </c>
      <c r="C6" s="182"/>
      <c r="D6" s="182"/>
      <c r="E6" s="182"/>
      <c r="F6" s="182"/>
      <c r="G6" s="182"/>
      <c r="H6" s="182"/>
      <c r="I6" s="182"/>
      <c r="J6" s="182"/>
      <c r="K6" s="182"/>
      <c r="L6" s="183" t="s">
        <v>36</v>
      </c>
      <c r="M6" s="183"/>
      <c r="N6" s="183"/>
      <c r="O6" s="183"/>
    </row>
    <row r="7" spans="1:16" ht="21" customHeight="1">
      <c r="B7" s="174" t="s">
        <v>17</v>
      </c>
      <c r="C7" s="174"/>
      <c r="D7" s="174"/>
      <c r="E7" s="174"/>
      <c r="F7" s="184" t="s">
        <v>18</v>
      </c>
      <c r="G7" s="184"/>
      <c r="H7" s="174" t="s">
        <v>17</v>
      </c>
      <c r="I7" s="174"/>
      <c r="J7" s="184" t="s">
        <v>18</v>
      </c>
      <c r="K7" s="184"/>
      <c r="L7" s="174" t="s">
        <v>17</v>
      </c>
      <c r="M7" s="174"/>
      <c r="N7" s="184" t="s">
        <v>18</v>
      </c>
      <c r="O7" s="184"/>
    </row>
    <row r="8" spans="1:16" ht="68">
      <c r="B8" s="26" t="s">
        <v>44</v>
      </c>
      <c r="C8" s="26" t="s">
        <v>43</v>
      </c>
      <c r="D8" s="26" t="s">
        <v>12</v>
      </c>
      <c r="E8" s="26" t="s">
        <v>19</v>
      </c>
      <c r="F8" s="27" t="s">
        <v>37</v>
      </c>
      <c r="G8" s="27" t="s">
        <v>38</v>
      </c>
      <c r="H8" s="26" t="s">
        <v>43</v>
      </c>
      <c r="I8" s="26" t="s">
        <v>12</v>
      </c>
      <c r="J8" s="27" t="s">
        <v>37</v>
      </c>
      <c r="K8" s="27" t="s">
        <v>38</v>
      </c>
      <c r="L8" s="26" t="s">
        <v>43</v>
      </c>
      <c r="M8" s="26" t="s">
        <v>12</v>
      </c>
      <c r="N8" s="27" t="s">
        <v>37</v>
      </c>
      <c r="O8" s="27" t="s">
        <v>38</v>
      </c>
    </row>
    <row r="9" spans="1:16" s="44" customFormat="1" ht="19" customHeight="1">
      <c r="B9" s="23">
        <f ca="1">VLOOKUP(C1,'Rajnandgaon Data'!A:D,4,0)</f>
        <v>4.17</v>
      </c>
      <c r="C9" s="42">
        <f ca="1">VLOOKUP(C1,'Rajnandgaon Data'!A:C,3,0)/10^6</f>
        <v>0.58520759999999994</v>
      </c>
      <c r="D9" s="38">
        <f ca="1">VLOOKUP(C1,'Rajnandgaon Data'!A:N,14,0)</f>
        <v>0.24383649999999998</v>
      </c>
      <c r="E9" s="23">
        <f ca="1">VLOOKUP(C1,'Rajnandgaon Data'!A:E,5,0)</f>
        <v>69.69</v>
      </c>
      <c r="F9" s="43">
        <f ca="1">VLOOKUP(C1,'Rajnandgaon Data'!A:G,6,0)</f>
        <v>116.5</v>
      </c>
      <c r="G9" s="43">
        <f ca="1">VLOOKUP(C1,'Rajnandgaon Data'!A:H,7,0)</f>
        <v>130.1</v>
      </c>
      <c r="H9" s="41">
        <f ca="1">VLOOKUP(C1,'Rajnandgaon Data'!A:K,11,0)/10^6</f>
        <v>164.49503059999995</v>
      </c>
      <c r="I9" s="38">
        <f ca="1">VLOOKUP(C1,'Rajnandgaon Data'!A:O,15,0)</f>
        <v>0.24478427172619041</v>
      </c>
      <c r="J9" s="43">
        <f ca="1">VLOOKUP(C1,'Rajnandgaon Data'!A:M,12,0)</f>
        <v>30197.958000000013</v>
      </c>
      <c r="K9" s="43">
        <f ca="1">VLOOKUP(C1,'Rajnandgaon Data'!A:M,13,0)</f>
        <v>33501.12999999999</v>
      </c>
      <c r="L9" s="22"/>
      <c r="M9" s="22"/>
      <c r="N9" s="22"/>
      <c r="O9" s="22"/>
    </row>
    <row r="12" spans="1:16" ht="26">
      <c r="B12" s="180" t="s">
        <v>15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</row>
    <row r="13" spans="1:16" ht="16" customHeight="1">
      <c r="B13" s="35"/>
      <c r="C13" s="185" t="s">
        <v>17</v>
      </c>
      <c r="D13" s="185"/>
      <c r="E13" s="185"/>
      <c r="F13" s="185"/>
      <c r="G13" s="186" t="s">
        <v>18</v>
      </c>
      <c r="H13" s="186"/>
      <c r="I13" s="185" t="s">
        <v>17</v>
      </c>
      <c r="J13" s="185"/>
      <c r="K13" s="185"/>
      <c r="L13" s="185"/>
      <c r="M13" s="186" t="s">
        <v>18</v>
      </c>
      <c r="N13" s="186"/>
    </row>
    <row r="14" spans="1:16" ht="64" customHeight="1">
      <c r="A14" s="159"/>
      <c r="B14" s="37" t="s">
        <v>13</v>
      </c>
      <c r="C14" s="17" t="s">
        <v>44</v>
      </c>
      <c r="D14" s="17" t="s">
        <v>11</v>
      </c>
      <c r="E14" s="17" t="s">
        <v>12</v>
      </c>
      <c r="F14" s="17" t="s">
        <v>19</v>
      </c>
      <c r="G14" s="28" t="s">
        <v>40</v>
      </c>
      <c r="H14" s="28" t="s">
        <v>38</v>
      </c>
      <c r="I14" s="17" t="s">
        <v>44</v>
      </c>
      <c r="J14" s="17" t="s">
        <v>11</v>
      </c>
      <c r="K14" s="17" t="s">
        <v>12</v>
      </c>
      <c r="L14" s="17" t="s">
        <v>19</v>
      </c>
      <c r="M14" s="28" t="s">
        <v>40</v>
      </c>
      <c r="N14" s="28" t="s">
        <v>38</v>
      </c>
    </row>
    <row r="15" spans="1:16" ht="16" customHeight="1">
      <c r="A15" s="159"/>
      <c r="B15" s="36"/>
      <c r="C15" s="162">
        <f ca="1">YEAR(C1)</f>
        <v>2026</v>
      </c>
      <c r="D15" s="162"/>
      <c r="E15" s="162"/>
      <c r="F15" s="162"/>
      <c r="G15" s="162"/>
      <c r="H15" s="162"/>
      <c r="I15" s="163">
        <f ca="1">C15-1</f>
        <v>2025</v>
      </c>
      <c r="J15" s="163"/>
      <c r="K15" s="163"/>
      <c r="L15" s="163"/>
      <c r="M15" s="163"/>
      <c r="N15" s="163"/>
    </row>
    <row r="16" spans="1:16" ht="16">
      <c r="A16" s="159"/>
      <c r="B16" s="18">
        <f ca="1">C1-1</f>
        <v>46026</v>
      </c>
      <c r="C16" s="19">
        <f ca="1">VLOOKUP(B16,'Rajnandgaon Data'!A:D,4,0)</f>
        <v>3.77</v>
      </c>
      <c r="D16" s="19">
        <f ca="1">VLOOKUP(B16,'Rajnandgaon Data'!A:C,3,0)</f>
        <v>462466.7</v>
      </c>
      <c r="E16" s="20">
        <f ca="1">VLOOKUP(B16,'Rajnandgaon Data'!A:N,14,0)</f>
        <v>0.19269445833333335</v>
      </c>
      <c r="F16" s="19">
        <f ca="1">VLOOKUP(B16,'Rajnandgaon Data'!A:E,5,0)</f>
        <v>59.12</v>
      </c>
      <c r="G16" s="19">
        <f ca="1">VLOOKUP(B16,'Rajnandgaon Data'!A:G,6,0)</f>
        <v>116.62</v>
      </c>
      <c r="H16" s="19">
        <f ca="1">VLOOKUP(B16,'Rajnandgaon Data'!A:H,7,0)</f>
        <v>130.06</v>
      </c>
      <c r="I16" s="19">
        <f ca="1">VLOOKUP(B16-366,'Rajnandgaon Data'!A:D,4,0)</f>
        <v>4.8849999999999998</v>
      </c>
      <c r="J16" s="19">
        <f ca="1">VLOOKUP(B16-366,'Rajnandgaon Data'!A:C,3,0)</f>
        <v>667600.00000000605</v>
      </c>
      <c r="K16" s="20">
        <f ca="1">VLOOKUP(B16-366,'Rajnandgaon Data'!A:N,14,0)</f>
        <v>0.27816666666666917</v>
      </c>
      <c r="L16" s="19">
        <f ca="1">VLOOKUP(B16-366,'Rajnandgaon Data'!A:E,5,0)</f>
        <v>85.78</v>
      </c>
      <c r="M16" s="19">
        <f ca="1">VLOOKUP(B16-366,'Rajnandgaon Data'!A:G,6,0)</f>
        <v>121.05</v>
      </c>
      <c r="N16" s="19">
        <f ca="1">VLOOKUP(B16-366,'Rajnandgaon Data'!A:H,7,0)</f>
        <v>133.63999999999999</v>
      </c>
      <c r="O16" s="16"/>
      <c r="P16" s="16"/>
    </row>
    <row r="17" spans="1:16" ht="16">
      <c r="A17" s="159"/>
      <c r="B17" s="18">
        <f t="shared" ref="B17:B22" ca="1" si="0">B16-1</f>
        <v>46025</v>
      </c>
      <c r="C17" s="19">
        <f ca="1">VLOOKUP(B17,'Rajnandgaon Data'!A:D,4,0)</f>
        <v>3.65</v>
      </c>
      <c r="D17" s="19">
        <f ca="1">VLOOKUP(B17,'Rajnandgaon Data'!A:C,3,0)</f>
        <v>519109.7</v>
      </c>
      <c r="E17" s="20">
        <f ca="1">VLOOKUP(B17,'Rajnandgaon Data'!A:N,14,0)</f>
        <v>0.21629570833333334</v>
      </c>
      <c r="F17" s="19">
        <f ca="1">VLOOKUP(B17,'Rajnandgaon Data'!A:E,5,0)</f>
        <v>62.86</v>
      </c>
      <c r="G17" s="19">
        <f ca="1">VLOOKUP(B17,'Rajnandgaon Data'!A:G,6,0)</f>
        <v>116.2</v>
      </c>
      <c r="H17" s="19">
        <f ca="1">VLOOKUP(B17,'Rajnandgaon Data'!A:H,7,0)</f>
        <v>129.21</v>
      </c>
      <c r="I17" s="19">
        <f ca="1">VLOOKUP(B17-366,'Rajnandgaon Data'!A:D,4,0)</f>
        <v>4.97</v>
      </c>
      <c r="J17" s="19">
        <f ca="1">VLOOKUP(B17-366,'Rajnandgaon Data'!A:C,3,0)</f>
        <v>678000</v>
      </c>
      <c r="K17" s="20">
        <f ca="1">VLOOKUP(B17-366,'Rajnandgaon Data'!A:N,14,0)</f>
        <v>0.28249999999999997</v>
      </c>
      <c r="L17" s="19">
        <f ca="1">VLOOKUP(B17-366,'Rajnandgaon Data'!A:E,5,0)</f>
        <v>87.98</v>
      </c>
      <c r="M17" s="19">
        <f ca="1">VLOOKUP(B17-366,'Rajnandgaon Data'!A:G,6,0)</f>
        <v>121.45</v>
      </c>
      <c r="N17" s="19">
        <f ca="1">VLOOKUP(B17-366,'Rajnandgaon Data'!A:H,7,0)</f>
        <v>134.16999999999999</v>
      </c>
      <c r="O17" s="16"/>
      <c r="P17" s="16"/>
    </row>
    <row r="18" spans="1:16" ht="16">
      <c r="A18" s="159"/>
      <c r="B18" s="18">
        <f t="shared" ca="1" si="0"/>
        <v>46024</v>
      </c>
      <c r="C18" s="19">
        <f ca="1">VLOOKUP(B18,'Rajnandgaon Data'!A:D,4,0)</f>
        <v>3.96</v>
      </c>
      <c r="D18" s="19">
        <f ca="1">VLOOKUP(B18,'Rajnandgaon Data'!A:C,3,0)</f>
        <v>574497.69999999995</v>
      </c>
      <c r="E18" s="20">
        <f ca="1">VLOOKUP(B18,'Rajnandgaon Data'!A:N,14,0)</f>
        <v>0.23937404166666665</v>
      </c>
      <c r="F18" s="19">
        <f ca="1">VLOOKUP(B18,'Rajnandgaon Data'!A:E,5,0)</f>
        <v>71.459999999999994</v>
      </c>
      <c r="G18" s="19">
        <f ca="1">VLOOKUP(B18,'Rajnandgaon Data'!A:G,6,0)</f>
        <v>116.17</v>
      </c>
      <c r="H18" s="19">
        <f ca="1">VLOOKUP(B18,'Rajnandgaon Data'!A:H,7,0)</f>
        <v>129.28</v>
      </c>
      <c r="I18" s="19">
        <f ca="1">VLOOKUP(B18-366,'Rajnandgaon Data'!A:D,4,0)</f>
        <v>4.99</v>
      </c>
      <c r="J18" s="19">
        <f ca="1">VLOOKUP(B18-366,'Rajnandgaon Data'!A:C,3,0)</f>
        <v>680099.99999999104</v>
      </c>
      <c r="K18" s="20">
        <f ca="1">VLOOKUP(B18-366,'Rajnandgaon Data'!A:N,14,0)</f>
        <v>0.28337499999999627</v>
      </c>
      <c r="L18" s="19">
        <f ca="1">VLOOKUP(B18-366,'Rajnandgaon Data'!A:E,5,0)</f>
        <v>90.11</v>
      </c>
      <c r="M18" s="19">
        <f ca="1">VLOOKUP(B18-366,'Rajnandgaon Data'!A:G,6,0)</f>
        <v>121.16</v>
      </c>
      <c r="N18" s="19">
        <f ca="1">VLOOKUP(B18-366,'Rajnandgaon Data'!A:H,7,0)</f>
        <v>135.25</v>
      </c>
      <c r="O18" s="16"/>
      <c r="P18" s="16"/>
    </row>
    <row r="19" spans="1:16" ht="16">
      <c r="A19" s="159"/>
      <c r="B19" s="18">
        <f t="shared" ca="1" si="0"/>
        <v>46023</v>
      </c>
      <c r="C19" s="19">
        <f ca="1">VLOOKUP(B19,'Rajnandgaon Data'!A:D,4,0)</f>
        <v>4.29</v>
      </c>
      <c r="D19" s="19">
        <f ca="1">VLOOKUP(B19,'Rajnandgaon Data'!A:C,3,0)</f>
        <v>632612.6</v>
      </c>
      <c r="E19" s="20">
        <f ca="1">VLOOKUP(B19,'Rajnandgaon Data'!A:N,14,0)</f>
        <v>0.26358858333333335</v>
      </c>
      <c r="F19" s="19">
        <f ca="1">VLOOKUP(B19,'Rajnandgaon Data'!A:E,5,0)</f>
        <v>78.52</v>
      </c>
      <c r="G19" s="19">
        <f ca="1">VLOOKUP(B19,'Rajnandgaon Data'!A:G,6,0)</f>
        <v>116.31</v>
      </c>
      <c r="H19" s="19">
        <f ca="1">VLOOKUP(B19,'Rajnandgaon Data'!A:H,7,0)</f>
        <v>129.35</v>
      </c>
      <c r="I19" s="19">
        <f ca="1">VLOOKUP(B19-366,'Rajnandgaon Data'!A:D,4,0)</f>
        <v>4.5449999999999999</v>
      </c>
      <c r="J19" s="19">
        <f ca="1">VLOOKUP(B19-366,'Rajnandgaon Data'!A:C,3,0)</f>
        <v>610720.00000000105</v>
      </c>
      <c r="K19" s="20">
        <f ca="1">VLOOKUP(B19-366,'Rajnandgaon Data'!A:N,14,0)</f>
        <v>0.25446666666666712</v>
      </c>
      <c r="L19" s="19">
        <f ca="1">VLOOKUP(B19-366,'Rajnandgaon Data'!A:E,5,0)</f>
        <v>81.23</v>
      </c>
      <c r="M19" s="19">
        <f ca="1">VLOOKUP(B19-366,'Rajnandgaon Data'!A:G,6,0)</f>
        <v>121.44</v>
      </c>
      <c r="N19" s="19">
        <f ca="1">VLOOKUP(B19-366,'Rajnandgaon Data'!A:H,7,0)</f>
        <v>134.47</v>
      </c>
      <c r="O19" s="16"/>
      <c r="P19" s="16"/>
    </row>
    <row r="20" spans="1:16" ht="16">
      <c r="A20" s="159"/>
      <c r="B20" s="18">
        <f t="shared" ca="1" si="0"/>
        <v>46022</v>
      </c>
      <c r="C20" s="19">
        <f ca="1">VLOOKUP(B20,'Rajnandgaon Data'!A:D,4,0)</f>
        <v>4.7300000000000004</v>
      </c>
      <c r="D20" s="19">
        <f ca="1">VLOOKUP(B20,'Rajnandgaon Data'!A:C,3,0)</f>
        <v>698038</v>
      </c>
      <c r="E20" s="20">
        <f ca="1">VLOOKUP(B20,'Rajnandgaon Data'!A:N,14,0)</f>
        <v>0.29084916666666666</v>
      </c>
      <c r="F20" s="19">
        <f ca="1">VLOOKUP(B20,'Rajnandgaon Data'!A:E,5,0)</f>
        <v>85.84</v>
      </c>
      <c r="G20" s="19">
        <f ca="1">VLOOKUP(B20,'Rajnandgaon Data'!A:G,6,0)</f>
        <v>116.4</v>
      </c>
      <c r="H20" s="19">
        <f ca="1">VLOOKUP(B20,'Rajnandgaon Data'!A:H,7,0)</f>
        <v>128.72</v>
      </c>
      <c r="I20" s="19">
        <f ca="1">VLOOKUP(B20-366,'Rajnandgaon Data'!A:D,4,0)</f>
        <v>4.08</v>
      </c>
      <c r="J20" s="19">
        <f ca="1">VLOOKUP(B20-366,'Rajnandgaon Data'!A:C,3,0)</f>
        <v>522010.00000000902</v>
      </c>
      <c r="K20" s="20">
        <f ca="1">VLOOKUP(B20-366,'Rajnandgaon Data'!A:N,14,0)</f>
        <v>0.21750416666667041</v>
      </c>
      <c r="L20" s="19">
        <f ca="1">VLOOKUP(B20-366,'Rajnandgaon Data'!A:E,5,0)</f>
        <v>70.94</v>
      </c>
      <c r="M20" s="19">
        <f ca="1">VLOOKUP(B20-366,'Rajnandgaon Data'!A:G,6,0)</f>
        <v>121.19</v>
      </c>
      <c r="N20" s="19">
        <f ca="1">VLOOKUP(B20-366,'Rajnandgaon Data'!A:H,7,0)</f>
        <v>134.65</v>
      </c>
      <c r="O20" s="16"/>
      <c r="P20" s="16"/>
    </row>
    <row r="21" spans="1:16" ht="16">
      <c r="A21" s="159"/>
      <c r="B21" s="18">
        <f t="shared" ca="1" si="0"/>
        <v>46021</v>
      </c>
      <c r="C21" s="19">
        <f ca="1">VLOOKUP(B21,'Rajnandgaon Data'!A:D,4,0)</f>
        <v>4.3899999999999997</v>
      </c>
      <c r="D21" s="19">
        <f ca="1">VLOOKUP(B21,'Rajnandgaon Data'!A:C,3,0)</f>
        <v>658300</v>
      </c>
      <c r="E21" s="20">
        <f ca="1">VLOOKUP(B21,'Rajnandgaon Data'!A:N,14,0)</f>
        <v>0.27429166666666666</v>
      </c>
      <c r="F21" s="19">
        <f ca="1">VLOOKUP(B21,'Rajnandgaon Data'!A:E,5,0)</f>
        <v>81.900000000000006</v>
      </c>
      <c r="G21" s="19">
        <f ca="1">VLOOKUP(B21,'Rajnandgaon Data'!A:G,6,0)</f>
        <v>116.01</v>
      </c>
      <c r="H21" s="19">
        <f ca="1">VLOOKUP(B21,'Rajnandgaon Data'!A:H,7,0)</f>
        <v>129.34</v>
      </c>
      <c r="I21" s="19">
        <f ca="1">VLOOKUP(B21-366,'Rajnandgaon Data'!A:D,4,0)</f>
        <v>3.9750000000000001</v>
      </c>
      <c r="J21" s="19">
        <f ca="1">VLOOKUP(B21-366,'Rajnandgaon Data'!A:C,3,0)</f>
        <v>523029.99999999901</v>
      </c>
      <c r="K21" s="20">
        <f ca="1">VLOOKUP(B21-366,'Rajnandgaon Data'!A:N,14,0)</f>
        <v>0.21792916666666626</v>
      </c>
      <c r="L21" s="19">
        <f ca="1">VLOOKUP(B21-366,'Rajnandgaon Data'!A:E,5,0)</f>
        <v>70.14</v>
      </c>
      <c r="M21" s="19">
        <f ca="1">VLOOKUP(B21-366,'Rajnandgaon Data'!A:G,6,0)</f>
        <v>121.22</v>
      </c>
      <c r="N21" s="19">
        <f ca="1">VLOOKUP(B21-366,'Rajnandgaon Data'!A:H,7,0)</f>
        <v>134.84</v>
      </c>
      <c r="O21" s="16"/>
      <c r="P21" s="16"/>
    </row>
    <row r="22" spans="1:16" ht="16">
      <c r="A22" s="159"/>
      <c r="B22" s="18">
        <f t="shared" ca="1" si="0"/>
        <v>46020</v>
      </c>
      <c r="C22" s="19">
        <f ca="1">VLOOKUP(B22,'Rajnandgaon Data'!A:D,4,0)</f>
        <v>4.4800000000000004</v>
      </c>
      <c r="D22" s="19">
        <f ca="1">VLOOKUP(B22,'Rajnandgaon Data'!A:C,3,0)</f>
        <v>673557.9</v>
      </c>
      <c r="E22" s="20">
        <f ca="1">VLOOKUP(B22,'Rajnandgaon Data'!A:N,14,0)</f>
        <v>0.280649125</v>
      </c>
      <c r="F22" s="19">
        <f ca="1">VLOOKUP(B22,'Rajnandgaon Data'!A:E,5,0)</f>
        <v>84.54</v>
      </c>
      <c r="G22" s="19">
        <f ca="1">VLOOKUP(B22,'Rajnandgaon Data'!A:G,6,0)</f>
        <v>116.69</v>
      </c>
      <c r="H22" s="19">
        <f ca="1">VLOOKUP(B22,'Rajnandgaon Data'!A:H,7,0)</f>
        <v>128.4</v>
      </c>
      <c r="I22" s="19">
        <f ca="1">VLOOKUP(B22-366,'Rajnandgaon Data'!A:D,4,0)</f>
        <v>3.68</v>
      </c>
      <c r="J22" s="19">
        <f ca="1">VLOOKUP(B22-366,'Rajnandgaon Data'!A:C,3,0)</f>
        <v>479750</v>
      </c>
      <c r="K22" s="20">
        <f ca="1">VLOOKUP(B22-366,'Rajnandgaon Data'!A:N,14,0)</f>
        <v>0.19989583333333333</v>
      </c>
      <c r="L22" s="19">
        <f ca="1">VLOOKUP(B22-366,'Rajnandgaon Data'!A:E,5,0)</f>
        <v>67.59</v>
      </c>
      <c r="M22" s="19">
        <f ca="1">VLOOKUP(B22-366,'Rajnandgaon Data'!A:G,6,0)</f>
        <v>121.35</v>
      </c>
      <c r="N22" s="19">
        <f ca="1">VLOOKUP(B22-366,'Rajnandgaon Data'!A:H,7,0)</f>
        <v>133.66999999999999</v>
      </c>
      <c r="O22" s="16"/>
      <c r="P22" s="16"/>
    </row>
  </sheetData>
  <mergeCells count="23">
    <mergeCell ref="J7:K7"/>
    <mergeCell ref="L7:M7"/>
    <mergeCell ref="C13:F13"/>
    <mergeCell ref="G13:H13"/>
    <mergeCell ref="I13:L13"/>
    <mergeCell ref="M13:N13"/>
    <mergeCell ref="N7:O7"/>
    <mergeCell ref="B6:K6"/>
    <mergeCell ref="B12:N12"/>
    <mergeCell ref="A14:A22"/>
    <mergeCell ref="B1:B3"/>
    <mergeCell ref="C1:E3"/>
    <mergeCell ref="L5:O5"/>
    <mergeCell ref="B4:O4"/>
    <mergeCell ref="I15:N15"/>
    <mergeCell ref="C15:H15"/>
    <mergeCell ref="L6:O6"/>
    <mergeCell ref="H5:K5"/>
    <mergeCell ref="E5:G5"/>
    <mergeCell ref="B5:D5"/>
    <mergeCell ref="B7:E7"/>
    <mergeCell ref="F7:G7"/>
    <mergeCell ref="H7:I7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D146-6C3E-1644-A24B-891A702BF225}">
  <dimension ref="A1:P619"/>
  <sheetViews>
    <sheetView workbookViewId="0">
      <pane ySplit="1" topLeftCell="A533" activePane="bottomLeft" state="frozen"/>
      <selection pane="bottomLeft" activeCell="C556" sqref="C556"/>
    </sheetView>
  </sheetViews>
  <sheetFormatPr baseColWidth="10" defaultRowHeight="15"/>
  <sheetData>
    <row r="1" spans="1:16" s="31" customFormat="1" ht="72">
      <c r="A1" s="29" t="s">
        <v>13</v>
      </c>
      <c r="B1" s="29" t="s">
        <v>6</v>
      </c>
      <c r="C1" s="6" t="s">
        <v>27</v>
      </c>
      <c r="D1" s="30" t="s">
        <v>1</v>
      </c>
      <c r="E1" s="30" t="s">
        <v>20</v>
      </c>
      <c r="F1" s="6" t="s">
        <v>26</v>
      </c>
      <c r="G1" s="6" t="s">
        <v>28</v>
      </c>
      <c r="H1" s="6" t="s">
        <v>23</v>
      </c>
      <c r="I1" s="6" t="s">
        <v>3</v>
      </c>
      <c r="J1" s="6" t="s">
        <v>24</v>
      </c>
      <c r="K1" s="6" t="s">
        <v>8</v>
      </c>
      <c r="L1" s="6" t="s">
        <v>29</v>
      </c>
      <c r="M1" s="6" t="s">
        <v>31</v>
      </c>
      <c r="N1" s="6" t="s">
        <v>21</v>
      </c>
      <c r="O1" s="6" t="s">
        <v>22</v>
      </c>
      <c r="P1" s="75" t="s">
        <v>99</v>
      </c>
    </row>
    <row r="2" spans="1:16">
      <c r="A2" s="32">
        <v>45474</v>
      </c>
      <c r="B2">
        <v>1</v>
      </c>
      <c r="C2">
        <v>287749.99999999645</v>
      </c>
      <c r="D2">
        <v>2.2050000000000001</v>
      </c>
      <c r="E2">
        <v>45.73</v>
      </c>
      <c r="F2">
        <v>83.2</v>
      </c>
      <c r="G2">
        <v>97.38</v>
      </c>
      <c r="H2" s="12">
        <v>1</v>
      </c>
      <c r="I2" s="12">
        <v>1</v>
      </c>
      <c r="J2" s="12">
        <v>0.99360981093678202</v>
      </c>
      <c r="K2">
        <f>C2</f>
        <v>287749.99999999645</v>
      </c>
      <c r="L2">
        <f>F2</f>
        <v>83.2</v>
      </c>
      <c r="M2">
        <f>G2</f>
        <v>97.38</v>
      </c>
      <c r="N2" s="12">
        <f t="shared" ref="N2:N12" si="0">C2/(100000*24)</f>
        <v>0.11989583333333186</v>
      </c>
      <c r="O2" s="12">
        <f t="shared" ref="O2:O12" si="1">K2/(B2*100000*24)</f>
        <v>0.11989583333333186</v>
      </c>
    </row>
    <row r="3" spans="1:16">
      <c r="A3" s="32">
        <v>45475</v>
      </c>
      <c r="B3">
        <v>2</v>
      </c>
      <c r="C3">
        <v>441540.0000000032</v>
      </c>
      <c r="D3">
        <v>3.395</v>
      </c>
      <c r="E3">
        <v>75.91</v>
      </c>
      <c r="F3">
        <v>117.87</v>
      </c>
      <c r="G3">
        <v>125.19999999999999</v>
      </c>
      <c r="H3" s="12">
        <v>1</v>
      </c>
      <c r="I3" s="12">
        <v>1</v>
      </c>
      <c r="J3" s="12">
        <v>0.99861082846451787</v>
      </c>
      <c r="K3">
        <f>K2+C3</f>
        <v>729289.99999999965</v>
      </c>
      <c r="L3">
        <f>L2+F3</f>
        <v>201.07</v>
      </c>
      <c r="M3">
        <f>M2+G3</f>
        <v>222.57999999999998</v>
      </c>
      <c r="N3" s="12">
        <f t="shared" si="0"/>
        <v>0.18397500000000133</v>
      </c>
      <c r="O3" s="12">
        <f t="shared" si="1"/>
        <v>0.1519354166666666</v>
      </c>
    </row>
    <row r="4" spans="1:16">
      <c r="A4" s="32">
        <v>45476</v>
      </c>
      <c r="B4">
        <v>3</v>
      </c>
      <c r="C4">
        <v>531289.99999999511</v>
      </c>
      <c r="D4">
        <v>4.4649999999999999</v>
      </c>
      <c r="E4">
        <v>93.17</v>
      </c>
      <c r="F4">
        <v>118.72999999999999</v>
      </c>
      <c r="G4">
        <v>132.38</v>
      </c>
      <c r="H4" s="12">
        <v>1</v>
      </c>
      <c r="I4" s="12">
        <v>1</v>
      </c>
      <c r="J4" s="12">
        <v>0.99817864176459004</v>
      </c>
      <c r="K4">
        <f t="shared" ref="K4:K12" si="2">K3+C4</f>
        <v>1260579.9999999949</v>
      </c>
      <c r="L4">
        <f t="shared" ref="L4:L12" si="3">L3+F4</f>
        <v>319.79999999999995</v>
      </c>
      <c r="M4">
        <f t="shared" ref="M4:M12" si="4">M3+G4</f>
        <v>354.96</v>
      </c>
      <c r="N4" s="12">
        <f t="shared" si="0"/>
        <v>0.2213708333333313</v>
      </c>
      <c r="O4" s="12">
        <f t="shared" si="1"/>
        <v>0.17508055555555485</v>
      </c>
    </row>
    <row r="5" spans="1:16">
      <c r="A5" s="32">
        <v>45477</v>
      </c>
      <c r="B5">
        <v>4</v>
      </c>
      <c r="C5">
        <v>386510.00000000553</v>
      </c>
      <c r="D5">
        <v>2.7850000000000001</v>
      </c>
      <c r="E5">
        <v>65.39</v>
      </c>
      <c r="F5">
        <v>118.55</v>
      </c>
      <c r="G5">
        <v>132.25</v>
      </c>
      <c r="H5" s="12">
        <v>1</v>
      </c>
      <c r="I5" s="12">
        <v>1</v>
      </c>
      <c r="J5" s="12">
        <v>0.99919736755727695</v>
      </c>
      <c r="K5">
        <f t="shared" si="2"/>
        <v>1647090.0000000005</v>
      </c>
      <c r="L5">
        <f t="shared" si="3"/>
        <v>438.34999999999997</v>
      </c>
      <c r="M5">
        <f t="shared" si="4"/>
        <v>487.21</v>
      </c>
      <c r="N5" s="12">
        <f t="shared" si="0"/>
        <v>0.16104583333333564</v>
      </c>
      <c r="O5" s="12">
        <f t="shared" si="1"/>
        <v>0.17157187500000004</v>
      </c>
    </row>
    <row r="6" spans="1:16">
      <c r="A6" s="32">
        <v>45478</v>
      </c>
      <c r="B6">
        <v>5</v>
      </c>
      <c r="C6">
        <v>632089.99999999302</v>
      </c>
      <c r="D6">
        <v>5.2450000000000001</v>
      </c>
      <c r="E6">
        <v>83.58</v>
      </c>
      <c r="F6">
        <v>118.28999999999999</v>
      </c>
      <c r="G6">
        <v>131.59</v>
      </c>
      <c r="H6" s="12">
        <v>1</v>
      </c>
      <c r="I6" s="12">
        <v>1</v>
      </c>
      <c r="J6" s="12">
        <v>0.99722165692903564</v>
      </c>
      <c r="K6">
        <f t="shared" si="2"/>
        <v>2279179.9999999935</v>
      </c>
      <c r="L6">
        <f t="shared" si="3"/>
        <v>556.64</v>
      </c>
      <c r="M6">
        <f t="shared" si="4"/>
        <v>618.79999999999995</v>
      </c>
      <c r="N6" s="12">
        <f t="shared" si="0"/>
        <v>0.26337083333333045</v>
      </c>
      <c r="O6" s="12">
        <f t="shared" si="1"/>
        <v>0.18993166666666611</v>
      </c>
    </row>
    <row r="7" spans="1:16">
      <c r="A7" s="32">
        <v>45479</v>
      </c>
      <c r="B7">
        <v>6</v>
      </c>
      <c r="C7">
        <v>586309.99999999907</v>
      </c>
      <c r="D7">
        <v>4.8550000000000004</v>
      </c>
      <c r="E7">
        <v>94.77</v>
      </c>
      <c r="F7">
        <v>119.8</v>
      </c>
      <c r="G7">
        <v>131.95999999999998</v>
      </c>
      <c r="H7" s="12">
        <v>1</v>
      </c>
      <c r="I7" s="12">
        <v>1</v>
      </c>
      <c r="J7" s="12">
        <v>1</v>
      </c>
      <c r="K7">
        <f t="shared" si="2"/>
        <v>2865489.9999999925</v>
      </c>
      <c r="L7">
        <f t="shared" si="3"/>
        <v>676.43999999999994</v>
      </c>
      <c r="M7">
        <f t="shared" si="4"/>
        <v>750.76</v>
      </c>
      <c r="N7" s="12">
        <f t="shared" si="0"/>
        <v>0.24429583333333293</v>
      </c>
      <c r="O7" s="12">
        <f t="shared" si="1"/>
        <v>0.1989923611111106</v>
      </c>
    </row>
    <row r="8" spans="1:16">
      <c r="A8" s="32">
        <v>45480</v>
      </c>
      <c r="B8">
        <v>7</v>
      </c>
      <c r="C8">
        <v>410170.00000000466</v>
      </c>
      <c r="D8">
        <v>3.23</v>
      </c>
      <c r="E8">
        <v>76.58</v>
      </c>
      <c r="F8">
        <v>119.58</v>
      </c>
      <c r="G8">
        <v>133.32000000000002</v>
      </c>
      <c r="H8" s="12">
        <v>1</v>
      </c>
      <c r="I8" s="12">
        <v>1</v>
      </c>
      <c r="J8" s="12">
        <v>1</v>
      </c>
      <c r="K8">
        <f t="shared" si="2"/>
        <v>3275659.9999999972</v>
      </c>
      <c r="L8">
        <f t="shared" si="3"/>
        <v>796.02</v>
      </c>
      <c r="M8">
        <f t="shared" si="4"/>
        <v>884.08</v>
      </c>
      <c r="N8" s="12">
        <f t="shared" si="0"/>
        <v>0.17090416666666861</v>
      </c>
      <c r="O8" s="12">
        <f t="shared" si="1"/>
        <v>0.19497976190476174</v>
      </c>
    </row>
    <row r="9" spans="1:16">
      <c r="A9" s="32">
        <v>45481</v>
      </c>
      <c r="B9">
        <v>8</v>
      </c>
      <c r="C9">
        <v>471219.99999999645</v>
      </c>
      <c r="D9">
        <v>4.1950000000000003</v>
      </c>
      <c r="E9">
        <v>94.92</v>
      </c>
      <c r="F9">
        <v>116.84</v>
      </c>
      <c r="G9">
        <v>133.45999999999998</v>
      </c>
      <c r="H9" s="12">
        <v>1</v>
      </c>
      <c r="I9" s="12">
        <v>0.98227848101265758</v>
      </c>
      <c r="J9" s="12">
        <v>0.99160322982997429</v>
      </c>
      <c r="K9">
        <f t="shared" si="2"/>
        <v>3746879.9999999935</v>
      </c>
      <c r="L9">
        <f t="shared" si="3"/>
        <v>912.86</v>
      </c>
      <c r="M9">
        <f t="shared" si="4"/>
        <v>1017.54</v>
      </c>
      <c r="N9" s="12">
        <f t="shared" si="0"/>
        <v>0.19634166666666519</v>
      </c>
      <c r="O9" s="12">
        <f t="shared" si="1"/>
        <v>0.19514999999999966</v>
      </c>
    </row>
    <row r="10" spans="1:16">
      <c r="A10" s="32">
        <v>45482</v>
      </c>
      <c r="B10">
        <v>9</v>
      </c>
      <c r="C10">
        <v>615990.00000000524</v>
      </c>
      <c r="D10">
        <v>4.8599999999999994</v>
      </c>
      <c r="E10">
        <v>83.96</v>
      </c>
      <c r="F10">
        <v>114.67999999999999</v>
      </c>
      <c r="G10">
        <v>130.24</v>
      </c>
      <c r="H10" s="12">
        <v>0.9997689730853645</v>
      </c>
      <c r="I10" s="12">
        <v>1</v>
      </c>
      <c r="J10" s="12">
        <v>0.99314675375828787</v>
      </c>
      <c r="K10">
        <f t="shared" si="2"/>
        <v>4362869.9999999991</v>
      </c>
      <c r="L10">
        <f t="shared" si="3"/>
        <v>1027.54</v>
      </c>
      <c r="M10">
        <f t="shared" si="4"/>
        <v>1147.78</v>
      </c>
      <c r="N10" s="12">
        <f t="shared" si="0"/>
        <v>0.25666250000000218</v>
      </c>
      <c r="O10" s="12">
        <f t="shared" si="1"/>
        <v>0.20198472222222219</v>
      </c>
    </row>
    <row r="11" spans="1:16">
      <c r="A11" s="32">
        <v>45483</v>
      </c>
      <c r="B11">
        <v>10</v>
      </c>
      <c r="C11">
        <v>512319.99999999942</v>
      </c>
      <c r="D11">
        <v>4.3049999999999997</v>
      </c>
      <c r="E11">
        <v>79.17</v>
      </c>
      <c r="F11">
        <v>118.42999999999999</v>
      </c>
      <c r="G11">
        <v>128.62</v>
      </c>
      <c r="H11" s="12">
        <v>1</v>
      </c>
      <c r="I11" s="12">
        <v>1</v>
      </c>
      <c r="J11" s="12">
        <v>0.99827125320028887</v>
      </c>
      <c r="K11">
        <f t="shared" si="2"/>
        <v>4875189.9999999981</v>
      </c>
      <c r="L11">
        <f t="shared" si="3"/>
        <v>1145.97</v>
      </c>
      <c r="M11">
        <f t="shared" si="4"/>
        <v>1276.4000000000001</v>
      </c>
      <c r="N11" s="12">
        <f t="shared" si="0"/>
        <v>0.21346666666666642</v>
      </c>
      <c r="O11" s="12">
        <f t="shared" si="1"/>
        <v>0.20313291666666658</v>
      </c>
    </row>
    <row r="12" spans="1:16">
      <c r="A12" s="32">
        <v>45484</v>
      </c>
      <c r="B12">
        <v>11</v>
      </c>
      <c r="C12">
        <v>615750.00000000175</v>
      </c>
      <c r="D12">
        <v>5.1449999999999996</v>
      </c>
      <c r="E12">
        <v>99.73</v>
      </c>
      <c r="F12">
        <v>104.26</v>
      </c>
      <c r="G12">
        <v>131.66</v>
      </c>
      <c r="H12" s="12">
        <v>1</v>
      </c>
      <c r="I12" s="12">
        <v>1</v>
      </c>
      <c r="J12" s="12">
        <v>0.99848734655025273</v>
      </c>
      <c r="K12">
        <f t="shared" si="2"/>
        <v>5490940</v>
      </c>
      <c r="L12">
        <f t="shared" si="3"/>
        <v>1250.23</v>
      </c>
      <c r="M12">
        <f t="shared" si="4"/>
        <v>1408.0600000000002</v>
      </c>
      <c r="N12" s="12">
        <f t="shared" si="0"/>
        <v>0.25656250000000075</v>
      </c>
      <c r="O12" s="12">
        <f t="shared" si="1"/>
        <v>0.20799015151515152</v>
      </c>
    </row>
    <row r="13" spans="1:16">
      <c r="A13" s="32">
        <v>45485</v>
      </c>
      <c r="B13">
        <v>1</v>
      </c>
      <c r="C13">
        <v>523270.0000000021</v>
      </c>
      <c r="D13">
        <v>4.0250000000000004</v>
      </c>
      <c r="E13">
        <v>81.69</v>
      </c>
      <c r="F13">
        <v>113.78</v>
      </c>
      <c r="G13">
        <v>120.72</v>
      </c>
      <c r="H13" s="12">
        <v>1</v>
      </c>
      <c r="I13" s="12">
        <v>1</v>
      </c>
      <c r="J13" s="12">
        <v>0.98508955885249128</v>
      </c>
      <c r="K13">
        <f>C13</f>
        <v>523270.0000000021</v>
      </c>
      <c r="L13">
        <f>F13</f>
        <v>113.78</v>
      </c>
      <c r="M13">
        <f>G13</f>
        <v>120.72</v>
      </c>
      <c r="N13" s="12">
        <f>C13/(100000*24)</f>
        <v>0.21802916666666755</v>
      </c>
      <c r="O13" s="12">
        <f>K13/(B13*100000*24)</f>
        <v>0.21802916666666755</v>
      </c>
    </row>
    <row r="14" spans="1:16">
      <c r="A14" s="32">
        <v>45486</v>
      </c>
      <c r="B14">
        <v>2</v>
      </c>
      <c r="C14">
        <v>294699.99999999913</v>
      </c>
      <c r="D14">
        <v>2.3449999999999998</v>
      </c>
      <c r="E14">
        <v>66.95</v>
      </c>
      <c r="F14">
        <v>93.079999999999984</v>
      </c>
      <c r="G14">
        <v>102.05</v>
      </c>
      <c r="H14" s="12">
        <v>1</v>
      </c>
      <c r="I14" s="12">
        <v>1</v>
      </c>
      <c r="J14" s="12">
        <v>0.97277223790454914</v>
      </c>
      <c r="K14">
        <f>K13+C14</f>
        <v>817970.00000000116</v>
      </c>
      <c r="L14">
        <f>L13+F14</f>
        <v>206.85999999999999</v>
      </c>
      <c r="M14">
        <f>M13+G14</f>
        <v>222.76999999999998</v>
      </c>
      <c r="N14" s="12">
        <f t="shared" ref="N14:N77" si="5">C14/(100000*24)</f>
        <v>0.1227916666666663</v>
      </c>
      <c r="O14" s="12">
        <f t="shared" ref="O14:O77" si="6">K14/(B14*100000*24)</f>
        <v>0.1704104166666669</v>
      </c>
    </row>
    <row r="15" spans="1:16">
      <c r="A15" s="32">
        <v>45487</v>
      </c>
      <c r="B15">
        <v>3</v>
      </c>
      <c r="C15">
        <v>535559.99999999441</v>
      </c>
      <c r="D15">
        <v>4.585</v>
      </c>
      <c r="E15">
        <v>86.28</v>
      </c>
      <c r="F15">
        <v>111.32</v>
      </c>
      <c r="G15">
        <v>123.62</v>
      </c>
      <c r="H15" s="12">
        <v>1</v>
      </c>
      <c r="I15" s="12">
        <v>1</v>
      </c>
      <c r="J15" s="12">
        <v>0.98450301975973209</v>
      </c>
      <c r="K15">
        <f t="shared" ref="K15:K78" si="7">K14+C15</f>
        <v>1353529.9999999956</v>
      </c>
      <c r="L15">
        <f t="shared" ref="L15:L78" si="8">L14+F15</f>
        <v>318.17999999999995</v>
      </c>
      <c r="M15">
        <f t="shared" ref="M15:M78" si="9">M14+G15</f>
        <v>346.39</v>
      </c>
      <c r="N15" s="12">
        <f t="shared" si="5"/>
        <v>0.22314999999999768</v>
      </c>
      <c r="O15" s="12">
        <f t="shared" si="6"/>
        <v>0.18799027777777716</v>
      </c>
    </row>
    <row r="16" spans="1:16">
      <c r="A16" s="32">
        <v>45488</v>
      </c>
      <c r="B16">
        <v>4</v>
      </c>
      <c r="C16">
        <v>341750.00000000664</v>
      </c>
      <c r="D16">
        <v>2.6</v>
      </c>
      <c r="E16">
        <v>74.62</v>
      </c>
      <c r="F16">
        <v>87.38000000000001</v>
      </c>
      <c r="G16">
        <v>95.13</v>
      </c>
      <c r="H16" s="12">
        <v>1</v>
      </c>
      <c r="I16" s="12">
        <v>1</v>
      </c>
      <c r="J16" s="12">
        <v>0.99431983194380624</v>
      </c>
      <c r="K16">
        <f t="shared" si="7"/>
        <v>1695280.0000000023</v>
      </c>
      <c r="L16">
        <f t="shared" si="8"/>
        <v>405.55999999999995</v>
      </c>
      <c r="M16">
        <f t="shared" si="9"/>
        <v>441.52</v>
      </c>
      <c r="N16" s="12">
        <f t="shared" si="5"/>
        <v>0.14239583333333611</v>
      </c>
      <c r="O16" s="12">
        <f t="shared" si="6"/>
        <v>0.1765916666666669</v>
      </c>
    </row>
    <row r="17" spans="1:15">
      <c r="A17" s="32">
        <v>45489</v>
      </c>
      <c r="B17">
        <v>5</v>
      </c>
      <c r="C17">
        <v>566719.99999999674</v>
      </c>
      <c r="D17">
        <v>4.59</v>
      </c>
      <c r="E17">
        <v>89.66</v>
      </c>
      <c r="F17">
        <v>111.30000000000001</v>
      </c>
      <c r="G17">
        <v>126.28</v>
      </c>
      <c r="H17" s="12">
        <v>1</v>
      </c>
      <c r="I17" s="12">
        <v>1</v>
      </c>
      <c r="J17" s="12">
        <v>0.99431983194380624</v>
      </c>
      <c r="K17">
        <f t="shared" si="7"/>
        <v>2261999.9999999991</v>
      </c>
      <c r="L17">
        <f t="shared" si="8"/>
        <v>516.8599999999999</v>
      </c>
      <c r="M17">
        <f t="shared" si="9"/>
        <v>567.79999999999995</v>
      </c>
      <c r="N17" s="12">
        <f t="shared" si="5"/>
        <v>0.23613333333333197</v>
      </c>
      <c r="O17" s="12">
        <f t="shared" si="6"/>
        <v>0.18849999999999992</v>
      </c>
    </row>
    <row r="18" spans="1:15">
      <c r="A18" s="32">
        <v>45490</v>
      </c>
      <c r="B18">
        <v>6</v>
      </c>
      <c r="C18">
        <v>424970.00000000471</v>
      </c>
      <c r="D18">
        <v>4.04</v>
      </c>
      <c r="E18">
        <v>85.75</v>
      </c>
      <c r="F18">
        <v>95.16</v>
      </c>
      <c r="G18">
        <v>106.36</v>
      </c>
      <c r="H18" s="12">
        <v>1</v>
      </c>
      <c r="I18" s="12">
        <v>1</v>
      </c>
      <c r="J18" s="12">
        <v>0.99147974791570925</v>
      </c>
      <c r="K18">
        <f t="shared" si="7"/>
        <v>2686970.0000000037</v>
      </c>
      <c r="L18">
        <f t="shared" si="8"/>
        <v>612.01999999999987</v>
      </c>
      <c r="M18">
        <f t="shared" si="9"/>
        <v>674.16</v>
      </c>
      <c r="N18" s="12">
        <f t="shared" si="5"/>
        <v>0.17707083333333529</v>
      </c>
      <c r="O18" s="12">
        <f t="shared" si="6"/>
        <v>0.18659513888888915</v>
      </c>
    </row>
    <row r="19" spans="1:15">
      <c r="A19" s="32">
        <v>45491</v>
      </c>
      <c r="B19">
        <v>7</v>
      </c>
      <c r="C19">
        <v>564169.99999999744</v>
      </c>
      <c r="D19">
        <v>4.8049999999999997</v>
      </c>
      <c r="E19">
        <v>89.3</v>
      </c>
      <c r="F19">
        <v>114.45</v>
      </c>
      <c r="G19">
        <v>129.12</v>
      </c>
      <c r="H19" s="12">
        <v>1</v>
      </c>
      <c r="I19" s="12">
        <v>1</v>
      </c>
      <c r="J19" s="12">
        <v>0.96085623317796887</v>
      </c>
      <c r="K19">
        <f t="shared" si="7"/>
        <v>3251140.0000000009</v>
      </c>
      <c r="L19">
        <f t="shared" si="8"/>
        <v>726.46999999999991</v>
      </c>
      <c r="M19">
        <f t="shared" si="9"/>
        <v>803.28</v>
      </c>
      <c r="N19" s="12">
        <f t="shared" si="5"/>
        <v>0.23507083333333226</v>
      </c>
      <c r="O19" s="12">
        <f t="shared" si="6"/>
        <v>0.19352023809523816</v>
      </c>
    </row>
    <row r="20" spans="1:15">
      <c r="A20" s="32">
        <v>45492</v>
      </c>
      <c r="B20">
        <v>8</v>
      </c>
      <c r="C20">
        <v>543810.00000000175</v>
      </c>
      <c r="D20">
        <v>4.7149999999999999</v>
      </c>
      <c r="E20">
        <v>92.67</v>
      </c>
      <c r="F20">
        <v>114.53999999999999</v>
      </c>
      <c r="G20">
        <v>127.82</v>
      </c>
      <c r="H20" s="12">
        <v>1</v>
      </c>
      <c r="I20" s="12">
        <v>1</v>
      </c>
      <c r="J20" s="12">
        <v>0.95492910129324493</v>
      </c>
      <c r="K20">
        <f t="shared" si="7"/>
        <v>3794950.0000000028</v>
      </c>
      <c r="L20">
        <f t="shared" si="8"/>
        <v>841.00999999999988</v>
      </c>
      <c r="M20">
        <f t="shared" si="9"/>
        <v>931.09999999999991</v>
      </c>
      <c r="N20" s="12">
        <f t="shared" si="5"/>
        <v>0.22658750000000072</v>
      </c>
      <c r="O20" s="12">
        <f t="shared" si="6"/>
        <v>0.19765364583333347</v>
      </c>
    </row>
    <row r="21" spans="1:15">
      <c r="A21" s="32">
        <v>45493</v>
      </c>
      <c r="B21">
        <v>9</v>
      </c>
      <c r="C21">
        <v>494629.99999999709</v>
      </c>
      <c r="D21">
        <v>4.13</v>
      </c>
      <c r="E21">
        <v>82.44</v>
      </c>
      <c r="F21">
        <v>103.19</v>
      </c>
      <c r="G21">
        <v>114.37</v>
      </c>
      <c r="H21" s="12">
        <v>0.97357575757575754</v>
      </c>
      <c r="I21" s="12">
        <v>0.96133333333333326</v>
      </c>
      <c r="J21" s="12">
        <v>0.98623176655944333</v>
      </c>
      <c r="K21">
        <f t="shared" si="7"/>
        <v>4289580</v>
      </c>
      <c r="L21">
        <f t="shared" si="8"/>
        <v>944.19999999999982</v>
      </c>
      <c r="M21">
        <f t="shared" si="9"/>
        <v>1045.4699999999998</v>
      </c>
      <c r="N21" s="12">
        <f t="shared" si="5"/>
        <v>0.20609583333333212</v>
      </c>
      <c r="O21" s="12">
        <f t="shared" si="6"/>
        <v>0.19859166666666667</v>
      </c>
    </row>
    <row r="22" spans="1:15">
      <c r="A22" s="32">
        <v>45494</v>
      </c>
      <c r="B22">
        <v>10</v>
      </c>
      <c r="C22">
        <v>555910.00000000023</v>
      </c>
      <c r="D22">
        <v>4.51</v>
      </c>
      <c r="E22">
        <v>92.25</v>
      </c>
      <c r="F22">
        <v>107.14999999999999</v>
      </c>
      <c r="G22">
        <v>119.41000000000001</v>
      </c>
      <c r="H22" s="12">
        <v>0.96759141696292539</v>
      </c>
      <c r="I22" s="12">
        <v>1</v>
      </c>
      <c r="J22" s="12">
        <v>0.98468824263112975</v>
      </c>
      <c r="K22">
        <f t="shared" si="7"/>
        <v>4845490</v>
      </c>
      <c r="L22">
        <f t="shared" si="8"/>
        <v>1051.3499999999999</v>
      </c>
      <c r="M22">
        <f t="shared" si="9"/>
        <v>1164.8799999999999</v>
      </c>
      <c r="N22" s="12">
        <f t="shared" si="5"/>
        <v>0.23162916666666677</v>
      </c>
      <c r="O22" s="12">
        <f t="shared" si="6"/>
        <v>0.20189541666666666</v>
      </c>
    </row>
    <row r="23" spans="1:15">
      <c r="A23" s="32">
        <v>45495</v>
      </c>
      <c r="B23">
        <v>11</v>
      </c>
      <c r="C23">
        <v>137690.00000000055</v>
      </c>
      <c r="D23">
        <v>1.04</v>
      </c>
      <c r="E23">
        <v>38.06</v>
      </c>
      <c r="F23">
        <v>21.56</v>
      </c>
      <c r="G23">
        <v>21.72</v>
      </c>
      <c r="H23" s="12">
        <v>0.97390572390572394</v>
      </c>
      <c r="I23" s="12">
        <v>1</v>
      </c>
      <c r="J23" s="12">
        <v>0.99722165692903564</v>
      </c>
      <c r="K23">
        <f t="shared" si="7"/>
        <v>4983180.0000000009</v>
      </c>
      <c r="L23">
        <f t="shared" si="8"/>
        <v>1072.9099999999999</v>
      </c>
      <c r="M23">
        <f t="shared" si="9"/>
        <v>1186.5999999999999</v>
      </c>
      <c r="N23" s="12">
        <f t="shared" si="5"/>
        <v>5.7370833333333565E-2</v>
      </c>
      <c r="O23" s="12">
        <f t="shared" si="6"/>
        <v>0.18875681818181822</v>
      </c>
    </row>
    <row r="24" spans="1:15">
      <c r="A24" s="32">
        <v>45496</v>
      </c>
      <c r="B24">
        <v>12</v>
      </c>
      <c r="C24">
        <v>166689.99999999595</v>
      </c>
      <c r="D24">
        <v>1.1949999999999998</v>
      </c>
      <c r="E24">
        <v>37.86</v>
      </c>
      <c r="F24">
        <v>6.76</v>
      </c>
      <c r="G24">
        <v>7.49</v>
      </c>
      <c r="H24" s="12">
        <v>0.97575959326957995</v>
      </c>
      <c r="I24" s="12">
        <v>1</v>
      </c>
      <c r="J24" s="12">
        <v>0.99861082846451787</v>
      </c>
      <c r="K24">
        <f t="shared" si="7"/>
        <v>5149869.9999999972</v>
      </c>
      <c r="L24">
        <f t="shared" si="8"/>
        <v>1079.6699999999998</v>
      </c>
      <c r="M24">
        <f t="shared" si="9"/>
        <v>1194.0899999999999</v>
      </c>
      <c r="N24" s="12">
        <f t="shared" si="5"/>
        <v>6.9454166666664985E-2</v>
      </c>
      <c r="O24" s="12">
        <f t="shared" si="6"/>
        <v>0.17881493055555545</v>
      </c>
    </row>
    <row r="25" spans="1:15">
      <c r="A25" s="32">
        <v>45497</v>
      </c>
      <c r="B25">
        <v>13</v>
      </c>
      <c r="C25">
        <v>154240.00000000148</v>
      </c>
      <c r="D25">
        <v>1.1099999999999999</v>
      </c>
      <c r="E25">
        <v>37.770000000000003</v>
      </c>
      <c r="F25">
        <v>9.6300000000000008</v>
      </c>
      <c r="G25">
        <v>11.81</v>
      </c>
      <c r="H25" s="12">
        <v>0.97037447647203745</v>
      </c>
      <c r="I25" s="12">
        <v>1</v>
      </c>
      <c r="J25" s="12">
        <v>0.99913562660014443</v>
      </c>
      <c r="K25">
        <f t="shared" si="7"/>
        <v>5304109.9999999991</v>
      </c>
      <c r="L25">
        <f t="shared" si="8"/>
        <v>1089.3</v>
      </c>
      <c r="M25">
        <f t="shared" si="9"/>
        <v>1205.8999999999999</v>
      </c>
      <c r="N25" s="12">
        <f t="shared" si="5"/>
        <v>6.4266666666667291E-2</v>
      </c>
      <c r="O25" s="12">
        <f t="shared" si="6"/>
        <v>0.17000352564102561</v>
      </c>
    </row>
    <row r="26" spans="1:15">
      <c r="A26" s="32">
        <v>45498</v>
      </c>
      <c r="B26">
        <v>14</v>
      </c>
      <c r="C26">
        <v>197549.99999999875</v>
      </c>
      <c r="D26">
        <v>1.4750000000000001</v>
      </c>
      <c r="E26">
        <v>40.61</v>
      </c>
      <c r="F26">
        <v>34.239999999999995</v>
      </c>
      <c r="G26">
        <v>32.840000000000003</v>
      </c>
      <c r="H26" s="12">
        <v>0.97727272727272729</v>
      </c>
      <c r="I26" s="12">
        <v>1</v>
      </c>
      <c r="J26" s="12">
        <v>1</v>
      </c>
      <c r="K26">
        <f t="shared" si="7"/>
        <v>5501659.9999999981</v>
      </c>
      <c r="L26">
        <f t="shared" si="8"/>
        <v>1123.54</v>
      </c>
      <c r="M26">
        <f t="shared" si="9"/>
        <v>1238.7399999999998</v>
      </c>
      <c r="N26" s="12">
        <f t="shared" si="5"/>
        <v>8.2312499999999483E-2</v>
      </c>
      <c r="O26" s="12">
        <f t="shared" si="6"/>
        <v>0.1637398809523809</v>
      </c>
    </row>
    <row r="27" spans="1:15">
      <c r="A27" s="32">
        <v>45499</v>
      </c>
      <c r="B27">
        <v>15</v>
      </c>
      <c r="C27">
        <v>86150.000000004977</v>
      </c>
      <c r="D27">
        <v>0.65500000000000003</v>
      </c>
      <c r="E27">
        <v>24.45</v>
      </c>
      <c r="F27">
        <v>0</v>
      </c>
      <c r="G27">
        <v>0</v>
      </c>
      <c r="H27" s="12">
        <v>0.97727272727272729</v>
      </c>
      <c r="I27" s="12">
        <v>1</v>
      </c>
      <c r="J27" s="12" t="s">
        <v>30</v>
      </c>
      <c r="K27">
        <f t="shared" si="7"/>
        <v>5587810.0000000028</v>
      </c>
      <c r="L27">
        <f t="shared" si="8"/>
        <v>1123.54</v>
      </c>
      <c r="M27">
        <f t="shared" si="9"/>
        <v>1238.7399999999998</v>
      </c>
      <c r="N27" s="12">
        <f t="shared" si="5"/>
        <v>3.589583333333541E-2</v>
      </c>
      <c r="O27" s="12">
        <f t="shared" si="6"/>
        <v>0.15521694444444453</v>
      </c>
    </row>
    <row r="28" spans="1:15">
      <c r="A28" s="32">
        <v>45500</v>
      </c>
      <c r="B28">
        <v>16</v>
      </c>
      <c r="C28">
        <v>180999.99999999767</v>
      </c>
      <c r="D28">
        <v>1.31</v>
      </c>
      <c r="E28">
        <v>56.81</v>
      </c>
      <c r="F28">
        <v>37.309999999999995</v>
      </c>
      <c r="G28">
        <v>42.279999999999994</v>
      </c>
      <c r="H28" s="12">
        <v>0.97727272727272729</v>
      </c>
      <c r="I28" s="12">
        <v>1</v>
      </c>
      <c r="J28" s="12">
        <v>1</v>
      </c>
      <c r="K28">
        <f t="shared" si="7"/>
        <v>5768810</v>
      </c>
      <c r="L28">
        <f t="shared" si="8"/>
        <v>1160.8499999999999</v>
      </c>
      <c r="M28">
        <f t="shared" si="9"/>
        <v>1281.0199999999998</v>
      </c>
      <c r="N28" s="12">
        <f t="shared" si="5"/>
        <v>7.5416666666665702E-2</v>
      </c>
      <c r="O28" s="12">
        <f t="shared" si="6"/>
        <v>0.15022942708333334</v>
      </c>
    </row>
    <row r="29" spans="1:15">
      <c r="A29" s="32">
        <v>45501</v>
      </c>
      <c r="B29">
        <v>17</v>
      </c>
      <c r="C29">
        <v>216729.99999999534</v>
      </c>
      <c r="D29">
        <v>1.7050000000000001</v>
      </c>
      <c r="E29">
        <v>83.33</v>
      </c>
      <c r="F29">
        <v>45.72</v>
      </c>
      <c r="G29">
        <v>51.29</v>
      </c>
      <c r="H29" s="12">
        <v>0.97727272727272729</v>
      </c>
      <c r="I29" s="12">
        <v>1</v>
      </c>
      <c r="J29" s="12">
        <v>1</v>
      </c>
      <c r="K29">
        <f t="shared" si="7"/>
        <v>5985539.9999999953</v>
      </c>
      <c r="L29">
        <f t="shared" si="8"/>
        <v>1206.57</v>
      </c>
      <c r="M29">
        <f t="shared" si="9"/>
        <v>1332.3099999999997</v>
      </c>
      <c r="N29" s="12">
        <f t="shared" si="5"/>
        <v>9.0304166666664729E-2</v>
      </c>
      <c r="O29" s="12">
        <f t="shared" si="6"/>
        <v>0.14670441176470578</v>
      </c>
    </row>
    <row r="30" spans="1:15">
      <c r="A30" s="32">
        <v>45502</v>
      </c>
      <c r="B30">
        <v>18</v>
      </c>
      <c r="C30">
        <v>268780.00000000204</v>
      </c>
      <c r="D30">
        <v>2.105</v>
      </c>
      <c r="E30">
        <v>43.63</v>
      </c>
      <c r="F30">
        <v>79.61</v>
      </c>
      <c r="G30">
        <v>90.6</v>
      </c>
      <c r="H30" s="12">
        <v>0.9769767992424242</v>
      </c>
      <c r="I30" s="12">
        <v>0.99348958333333337</v>
      </c>
      <c r="J30" s="12">
        <v>0.99632641305061376</v>
      </c>
      <c r="K30">
        <f t="shared" si="7"/>
        <v>6254319.9999999972</v>
      </c>
      <c r="L30">
        <f t="shared" si="8"/>
        <v>1286.1799999999998</v>
      </c>
      <c r="M30">
        <f t="shared" si="9"/>
        <v>1422.9099999999996</v>
      </c>
      <c r="N30" s="12">
        <f t="shared" si="5"/>
        <v>0.11199166666666752</v>
      </c>
      <c r="O30" s="12">
        <f t="shared" si="6"/>
        <v>0.14477592592592586</v>
      </c>
    </row>
    <row r="31" spans="1:15">
      <c r="A31" s="32">
        <v>45503</v>
      </c>
      <c r="B31">
        <v>19</v>
      </c>
      <c r="C31">
        <v>412640.00000000058</v>
      </c>
      <c r="D31">
        <v>3.2250000000000001</v>
      </c>
      <c r="E31">
        <v>62.67</v>
      </c>
      <c r="F31">
        <v>109.13999999999999</v>
      </c>
      <c r="G31">
        <v>123.22999999999999</v>
      </c>
      <c r="H31" s="12">
        <v>0.97727272727272729</v>
      </c>
      <c r="I31" s="12">
        <v>1</v>
      </c>
      <c r="J31" s="12">
        <v>0.9964807654434451</v>
      </c>
      <c r="K31">
        <f t="shared" si="7"/>
        <v>6666959.9999999981</v>
      </c>
      <c r="L31">
        <f t="shared" si="8"/>
        <v>1395.3199999999997</v>
      </c>
      <c r="M31">
        <f t="shared" si="9"/>
        <v>1546.1399999999996</v>
      </c>
      <c r="N31" s="12">
        <f t="shared" si="5"/>
        <v>0.17193333333333358</v>
      </c>
      <c r="O31" s="12">
        <f t="shared" si="6"/>
        <v>0.1462052631578947</v>
      </c>
    </row>
    <row r="32" spans="1:15">
      <c r="A32" s="32">
        <v>45504</v>
      </c>
      <c r="B32">
        <v>20</v>
      </c>
      <c r="C32">
        <v>270169.99999999511</v>
      </c>
      <c r="D32">
        <v>1.9950000000000001</v>
      </c>
      <c r="E32">
        <v>42.36</v>
      </c>
      <c r="F32">
        <v>66.290000000000006</v>
      </c>
      <c r="G32">
        <v>70.740000000000009</v>
      </c>
      <c r="H32" s="12">
        <v>0.97727272727272729</v>
      </c>
      <c r="I32" s="12">
        <v>1</v>
      </c>
      <c r="J32" s="12">
        <v>1</v>
      </c>
      <c r="K32">
        <f t="shared" si="7"/>
        <v>6937129.9999999935</v>
      </c>
      <c r="L32">
        <f t="shared" si="8"/>
        <v>1461.6099999999997</v>
      </c>
      <c r="M32">
        <f t="shared" si="9"/>
        <v>1616.8799999999997</v>
      </c>
      <c r="N32" s="12">
        <f t="shared" si="5"/>
        <v>0.1125708333333313</v>
      </c>
      <c r="O32" s="12">
        <f t="shared" si="6"/>
        <v>0.14452354166666653</v>
      </c>
    </row>
    <row r="33" spans="1:15">
      <c r="A33" s="33">
        <v>45505</v>
      </c>
      <c r="B33">
        <v>21</v>
      </c>
      <c r="C33">
        <v>285330.00000000198</v>
      </c>
      <c r="D33">
        <v>2.08</v>
      </c>
      <c r="E33">
        <v>51.17</v>
      </c>
      <c r="F33">
        <v>84.76</v>
      </c>
      <c r="G33">
        <v>94.49</v>
      </c>
      <c r="H33" s="12">
        <v>1</v>
      </c>
      <c r="I33" s="12">
        <v>1</v>
      </c>
      <c r="J33" s="12">
        <v>0.99777732554322895</v>
      </c>
      <c r="K33">
        <f t="shared" si="7"/>
        <v>7222459.9999999953</v>
      </c>
      <c r="L33">
        <f t="shared" si="8"/>
        <v>1546.3699999999997</v>
      </c>
      <c r="M33">
        <f t="shared" si="9"/>
        <v>1711.3699999999997</v>
      </c>
      <c r="N33" s="12">
        <f t="shared" si="5"/>
        <v>0.11888750000000083</v>
      </c>
      <c r="O33" s="12">
        <f t="shared" si="6"/>
        <v>0.1433027777777777</v>
      </c>
    </row>
    <row r="34" spans="1:15">
      <c r="A34" s="33">
        <v>45506</v>
      </c>
      <c r="B34">
        <v>22</v>
      </c>
      <c r="C34">
        <v>242430</v>
      </c>
      <c r="D34">
        <v>1.73</v>
      </c>
      <c r="E34">
        <v>53.65</v>
      </c>
      <c r="F34">
        <v>61.93</v>
      </c>
      <c r="G34">
        <v>67.739999999999995</v>
      </c>
      <c r="H34" s="12">
        <v>1</v>
      </c>
      <c r="I34" s="12">
        <v>1</v>
      </c>
      <c r="J34" s="12">
        <v>1</v>
      </c>
      <c r="K34">
        <f t="shared" si="7"/>
        <v>7464889.9999999953</v>
      </c>
      <c r="L34">
        <f t="shared" si="8"/>
        <v>1608.2999999999997</v>
      </c>
      <c r="M34">
        <f t="shared" si="9"/>
        <v>1779.1099999999997</v>
      </c>
      <c r="N34" s="12">
        <f t="shared" si="5"/>
        <v>0.10101250000000001</v>
      </c>
      <c r="O34" s="12">
        <f t="shared" si="6"/>
        <v>0.14138049242424233</v>
      </c>
    </row>
    <row r="35" spans="1:15">
      <c r="A35" s="33">
        <v>45507</v>
      </c>
      <c r="B35">
        <v>23</v>
      </c>
      <c r="C35">
        <v>152060.00000000501</v>
      </c>
      <c r="D35">
        <v>1.125</v>
      </c>
      <c r="E35">
        <v>40.67</v>
      </c>
      <c r="F35">
        <v>22.26</v>
      </c>
      <c r="G35">
        <v>25.35</v>
      </c>
      <c r="H35" s="12">
        <v>1</v>
      </c>
      <c r="I35" s="12">
        <v>1</v>
      </c>
      <c r="J35" s="12">
        <v>1</v>
      </c>
      <c r="K35">
        <f t="shared" si="7"/>
        <v>7616950</v>
      </c>
      <c r="L35">
        <f t="shared" si="8"/>
        <v>1630.5599999999997</v>
      </c>
      <c r="M35">
        <f t="shared" si="9"/>
        <v>1804.4599999999996</v>
      </c>
      <c r="N35" s="12">
        <f t="shared" si="5"/>
        <v>6.3358333333335418E-2</v>
      </c>
      <c r="O35" s="12">
        <f t="shared" si="6"/>
        <v>0.13798822463768115</v>
      </c>
    </row>
    <row r="36" spans="1:15">
      <c r="A36" s="34">
        <v>45508</v>
      </c>
      <c r="B36">
        <v>24</v>
      </c>
      <c r="C36">
        <v>292659.99999999598</v>
      </c>
      <c r="D36">
        <v>2.35</v>
      </c>
      <c r="E36">
        <v>78.849999999999994</v>
      </c>
      <c r="F36">
        <v>79</v>
      </c>
      <c r="G36">
        <v>88.89</v>
      </c>
      <c r="H36" s="12">
        <v>0.99486218568665397</v>
      </c>
      <c r="I36" s="12">
        <v>1</v>
      </c>
      <c r="J36" s="12">
        <v>1</v>
      </c>
      <c r="K36">
        <f t="shared" si="7"/>
        <v>7909609.9999999963</v>
      </c>
      <c r="L36">
        <f t="shared" si="8"/>
        <v>1709.5599999999997</v>
      </c>
      <c r="M36">
        <f t="shared" si="9"/>
        <v>1893.3499999999997</v>
      </c>
      <c r="N36" s="12">
        <f t="shared" si="5"/>
        <v>0.12194166666666499</v>
      </c>
      <c r="O36" s="12">
        <f t="shared" si="6"/>
        <v>0.13731961805555548</v>
      </c>
    </row>
    <row r="37" spans="1:15">
      <c r="A37" s="33">
        <v>45509</v>
      </c>
      <c r="B37">
        <v>25</v>
      </c>
      <c r="C37">
        <v>679830.00000000198</v>
      </c>
      <c r="D37">
        <v>5.415</v>
      </c>
      <c r="E37">
        <v>92.83</v>
      </c>
      <c r="F37">
        <v>115.86</v>
      </c>
      <c r="G37">
        <v>137.72</v>
      </c>
      <c r="H37" s="12">
        <v>1</v>
      </c>
      <c r="I37" s="12">
        <v>1</v>
      </c>
      <c r="J37" s="12">
        <v>0.96202931136348702</v>
      </c>
      <c r="K37">
        <f t="shared" si="7"/>
        <v>8589439.9999999981</v>
      </c>
      <c r="L37">
        <f t="shared" si="8"/>
        <v>1825.4199999999996</v>
      </c>
      <c r="M37">
        <f t="shared" si="9"/>
        <v>2031.0699999999997</v>
      </c>
      <c r="N37" s="12">
        <f t="shared" si="5"/>
        <v>0.28326250000000081</v>
      </c>
      <c r="O37" s="12">
        <f t="shared" si="6"/>
        <v>0.1431573333333333</v>
      </c>
    </row>
    <row r="38" spans="1:15">
      <c r="A38" s="33">
        <v>45510</v>
      </c>
      <c r="B38">
        <v>26</v>
      </c>
      <c r="C38">
        <v>478940.00000000198</v>
      </c>
      <c r="D38">
        <v>3.73</v>
      </c>
      <c r="E38">
        <v>81.78</v>
      </c>
      <c r="F38">
        <v>109.61</v>
      </c>
      <c r="G38">
        <v>122.54</v>
      </c>
      <c r="H38" s="12">
        <v>1</v>
      </c>
      <c r="I38" s="12">
        <v>1</v>
      </c>
      <c r="J38" s="12">
        <v>0.95014417711547305</v>
      </c>
      <c r="K38">
        <f t="shared" si="7"/>
        <v>9068380</v>
      </c>
      <c r="L38">
        <f t="shared" si="8"/>
        <v>1935.0299999999995</v>
      </c>
      <c r="M38">
        <f t="shared" si="9"/>
        <v>2153.6099999999997</v>
      </c>
      <c r="N38" s="12">
        <f t="shared" si="5"/>
        <v>0.19955833333333417</v>
      </c>
      <c r="O38" s="12">
        <f t="shared" si="6"/>
        <v>0.14532660256410257</v>
      </c>
    </row>
    <row r="39" spans="1:15">
      <c r="A39" s="33">
        <v>45511</v>
      </c>
      <c r="B39">
        <v>27</v>
      </c>
      <c r="C39">
        <v>258109.99999999299</v>
      </c>
      <c r="D39">
        <v>1.7749999999999999</v>
      </c>
      <c r="E39">
        <v>42.34</v>
      </c>
      <c r="F39">
        <v>73.55</v>
      </c>
      <c r="G39">
        <v>73.69</v>
      </c>
      <c r="H39" s="12">
        <v>1</v>
      </c>
      <c r="I39" s="12">
        <v>1</v>
      </c>
      <c r="J39" s="12">
        <v>0.99678947022910802</v>
      </c>
      <c r="K39">
        <f t="shared" si="7"/>
        <v>9326489.9999999925</v>
      </c>
      <c r="L39">
        <f t="shared" si="8"/>
        <v>2008.5799999999995</v>
      </c>
      <c r="M39">
        <f t="shared" si="9"/>
        <v>2227.2999999999997</v>
      </c>
      <c r="N39" s="12">
        <f t="shared" si="5"/>
        <v>0.10754583333333041</v>
      </c>
      <c r="O39" s="12">
        <f t="shared" si="6"/>
        <v>0.14392731481481469</v>
      </c>
    </row>
    <row r="40" spans="1:15">
      <c r="A40" s="33">
        <v>45512</v>
      </c>
      <c r="B40">
        <v>28</v>
      </c>
      <c r="C40">
        <v>300630.00000000501</v>
      </c>
      <c r="D40">
        <v>2.2549999999999999</v>
      </c>
      <c r="E40">
        <v>49.61</v>
      </c>
      <c r="F40">
        <v>89.58</v>
      </c>
      <c r="G40">
        <v>100.52</v>
      </c>
      <c r="H40" s="12">
        <v>1</v>
      </c>
      <c r="I40" s="12">
        <v>1</v>
      </c>
      <c r="J40" s="12">
        <v>0.99808603032889098</v>
      </c>
      <c r="K40">
        <f t="shared" si="7"/>
        <v>9627119.9999999981</v>
      </c>
      <c r="L40">
        <f t="shared" si="8"/>
        <v>2098.1599999999994</v>
      </c>
      <c r="M40">
        <f t="shared" si="9"/>
        <v>2327.8199999999997</v>
      </c>
      <c r="N40" s="12">
        <f t="shared" si="5"/>
        <v>0.12526250000000208</v>
      </c>
      <c r="O40" s="12">
        <f t="shared" si="6"/>
        <v>0.14326071428571427</v>
      </c>
    </row>
    <row r="41" spans="1:15">
      <c r="A41" s="33">
        <v>45513</v>
      </c>
      <c r="B41">
        <v>29</v>
      </c>
      <c r="C41">
        <v>320880.00000000501</v>
      </c>
      <c r="D41">
        <v>2.335</v>
      </c>
      <c r="E41">
        <v>40.9</v>
      </c>
      <c r="F41">
        <v>110.93</v>
      </c>
      <c r="G41">
        <v>122.6</v>
      </c>
      <c r="H41" s="12">
        <v>1</v>
      </c>
      <c r="I41" s="12">
        <v>1</v>
      </c>
      <c r="J41" s="12">
        <v>1</v>
      </c>
      <c r="K41">
        <f t="shared" si="7"/>
        <v>9948000.0000000037</v>
      </c>
      <c r="L41">
        <f t="shared" si="8"/>
        <v>2209.0899999999992</v>
      </c>
      <c r="M41">
        <f t="shared" si="9"/>
        <v>2450.4199999999996</v>
      </c>
      <c r="N41" s="12">
        <f t="shared" si="5"/>
        <v>0.13370000000000209</v>
      </c>
      <c r="O41" s="12">
        <f t="shared" si="6"/>
        <v>0.14293103448275868</v>
      </c>
    </row>
    <row r="42" spans="1:15">
      <c r="A42" s="33">
        <v>45514</v>
      </c>
      <c r="B42">
        <v>30</v>
      </c>
      <c r="C42">
        <v>705219.99999999395</v>
      </c>
      <c r="D42">
        <v>5.92</v>
      </c>
      <c r="E42">
        <v>92.04</v>
      </c>
      <c r="F42">
        <v>115.34</v>
      </c>
      <c r="G42">
        <v>138.44</v>
      </c>
      <c r="H42" s="12">
        <v>1</v>
      </c>
      <c r="I42" s="12">
        <v>1</v>
      </c>
      <c r="J42" s="12">
        <v>0.97826718308934502</v>
      </c>
      <c r="K42">
        <f t="shared" si="7"/>
        <v>10653219.999999998</v>
      </c>
      <c r="L42">
        <f t="shared" si="8"/>
        <v>2324.4299999999994</v>
      </c>
      <c r="M42">
        <f t="shared" si="9"/>
        <v>2588.8599999999997</v>
      </c>
      <c r="N42" s="12">
        <f t="shared" si="5"/>
        <v>0.29384166666666417</v>
      </c>
      <c r="O42" s="12">
        <f t="shared" si="6"/>
        <v>0.14796138888888885</v>
      </c>
    </row>
    <row r="43" spans="1:15">
      <c r="A43" s="33">
        <v>45515</v>
      </c>
      <c r="B43">
        <v>31</v>
      </c>
      <c r="C43">
        <v>533349.99999999895</v>
      </c>
      <c r="D43">
        <v>4.08</v>
      </c>
      <c r="E43">
        <v>85.36</v>
      </c>
      <c r="F43">
        <v>121.53</v>
      </c>
      <c r="G43">
        <v>135.08000000000001</v>
      </c>
      <c r="H43" s="12">
        <v>1</v>
      </c>
      <c r="I43" s="12">
        <v>1</v>
      </c>
      <c r="J43" s="12">
        <v>1</v>
      </c>
      <c r="K43">
        <f t="shared" si="7"/>
        <v>11186569.999999996</v>
      </c>
      <c r="L43">
        <f t="shared" si="8"/>
        <v>2445.9599999999996</v>
      </c>
      <c r="M43">
        <f t="shared" si="9"/>
        <v>2723.9399999999996</v>
      </c>
      <c r="N43" s="12">
        <f t="shared" si="5"/>
        <v>0.22222916666666623</v>
      </c>
      <c r="O43" s="12">
        <f t="shared" si="6"/>
        <v>0.15035712365591392</v>
      </c>
    </row>
    <row r="44" spans="1:15">
      <c r="A44" s="33">
        <v>45516</v>
      </c>
      <c r="B44">
        <v>32</v>
      </c>
      <c r="C44">
        <v>681600.00000000605</v>
      </c>
      <c r="D44">
        <v>5.51</v>
      </c>
      <c r="E44">
        <v>89.17</v>
      </c>
      <c r="F44">
        <v>122.87</v>
      </c>
      <c r="G44">
        <v>135.22</v>
      </c>
      <c r="H44" s="12">
        <v>0.99987142970171705</v>
      </c>
      <c r="I44" s="12">
        <v>1</v>
      </c>
      <c r="J44" s="12">
        <v>1</v>
      </c>
      <c r="K44">
        <f t="shared" si="7"/>
        <v>11868170.000000002</v>
      </c>
      <c r="L44">
        <f t="shared" si="8"/>
        <v>2568.8299999999995</v>
      </c>
      <c r="M44">
        <f t="shared" si="9"/>
        <v>2859.1599999999994</v>
      </c>
      <c r="N44" s="12">
        <f t="shared" si="5"/>
        <v>0.28400000000000253</v>
      </c>
      <c r="O44" s="12">
        <f t="shared" si="6"/>
        <v>0.15453346354166669</v>
      </c>
    </row>
    <row r="45" spans="1:15">
      <c r="A45" s="33">
        <v>45517</v>
      </c>
      <c r="B45">
        <v>33</v>
      </c>
      <c r="C45">
        <v>577859.99999999302</v>
      </c>
      <c r="D45">
        <v>5.4850000000000003</v>
      </c>
      <c r="E45">
        <v>92.07</v>
      </c>
      <c r="F45">
        <v>67.34</v>
      </c>
      <c r="G45">
        <v>122.32</v>
      </c>
      <c r="H45" s="12">
        <v>1</v>
      </c>
      <c r="I45" s="12">
        <v>1</v>
      </c>
      <c r="J45" s="12">
        <v>1</v>
      </c>
      <c r="K45">
        <f t="shared" si="7"/>
        <v>12446029.999999994</v>
      </c>
      <c r="L45">
        <f t="shared" si="8"/>
        <v>2636.1699999999996</v>
      </c>
      <c r="M45">
        <f t="shared" si="9"/>
        <v>2981.4799999999996</v>
      </c>
      <c r="N45" s="12">
        <f t="shared" si="5"/>
        <v>0.2407749999999971</v>
      </c>
      <c r="O45" s="12">
        <f t="shared" si="6"/>
        <v>0.15714684343434338</v>
      </c>
    </row>
    <row r="46" spans="1:15">
      <c r="A46" s="33">
        <v>45518</v>
      </c>
      <c r="B46">
        <v>34</v>
      </c>
      <c r="C46">
        <v>407209.99999999901</v>
      </c>
      <c r="D46">
        <v>2.62</v>
      </c>
      <c r="E46">
        <v>72.77</v>
      </c>
      <c r="F46">
        <v>157.30000000000001</v>
      </c>
      <c r="G46">
        <v>132.66999999999999</v>
      </c>
      <c r="H46" s="12">
        <v>1</v>
      </c>
      <c r="I46" s="12">
        <v>1</v>
      </c>
      <c r="J46" s="12">
        <v>1</v>
      </c>
      <c r="K46">
        <f t="shared" si="7"/>
        <v>12853239.999999993</v>
      </c>
      <c r="L46">
        <f t="shared" si="8"/>
        <v>2793.47</v>
      </c>
      <c r="M46">
        <f t="shared" si="9"/>
        <v>3114.1499999999996</v>
      </c>
      <c r="N46" s="12">
        <f t="shared" si="5"/>
        <v>0.16967083333333291</v>
      </c>
      <c r="O46" s="12">
        <f t="shared" si="6"/>
        <v>0.15751519607843129</v>
      </c>
    </row>
    <row r="47" spans="1:15">
      <c r="A47" s="33">
        <v>45519</v>
      </c>
      <c r="B47">
        <v>35</v>
      </c>
      <c r="C47">
        <v>510710.000000006</v>
      </c>
      <c r="D47">
        <v>4</v>
      </c>
      <c r="E47">
        <v>89.21</v>
      </c>
      <c r="F47">
        <v>142.99</v>
      </c>
      <c r="G47">
        <v>145.13</v>
      </c>
      <c r="H47" s="12">
        <v>1</v>
      </c>
      <c r="I47" s="12">
        <v>1</v>
      </c>
      <c r="J47" s="12">
        <v>1</v>
      </c>
      <c r="K47">
        <f t="shared" si="7"/>
        <v>13363949.999999998</v>
      </c>
      <c r="L47">
        <f t="shared" si="8"/>
        <v>2936.46</v>
      </c>
      <c r="M47">
        <f t="shared" si="9"/>
        <v>3259.2799999999997</v>
      </c>
      <c r="N47" s="12">
        <f t="shared" si="5"/>
        <v>0.21279583333333582</v>
      </c>
      <c r="O47" s="12">
        <f t="shared" si="6"/>
        <v>0.15909464285714284</v>
      </c>
    </row>
    <row r="48" spans="1:15">
      <c r="A48" s="33">
        <v>45520</v>
      </c>
      <c r="B48">
        <v>36</v>
      </c>
      <c r="C48">
        <v>518779.99999999901</v>
      </c>
      <c r="D48">
        <v>4.2850000000000001</v>
      </c>
      <c r="E48">
        <v>77.3</v>
      </c>
      <c r="F48">
        <v>137.75</v>
      </c>
      <c r="G48">
        <v>144.71</v>
      </c>
      <c r="H48" s="12">
        <v>1</v>
      </c>
      <c r="I48" s="12">
        <v>1</v>
      </c>
      <c r="J48" s="12">
        <v>1</v>
      </c>
      <c r="K48">
        <f t="shared" si="7"/>
        <v>13882729.999999996</v>
      </c>
      <c r="L48">
        <f t="shared" si="8"/>
        <v>3074.21</v>
      </c>
      <c r="M48">
        <f t="shared" si="9"/>
        <v>3403.99</v>
      </c>
      <c r="N48" s="12">
        <f t="shared" si="5"/>
        <v>0.21615833333333292</v>
      </c>
      <c r="O48" s="12">
        <f t="shared" si="6"/>
        <v>0.16067974537037033</v>
      </c>
    </row>
    <row r="49" spans="1:15">
      <c r="A49" s="33">
        <v>45521</v>
      </c>
      <c r="B49">
        <v>37</v>
      </c>
      <c r="C49">
        <v>362099.99999999901</v>
      </c>
      <c r="D49">
        <v>3.07</v>
      </c>
      <c r="E49">
        <v>60.94</v>
      </c>
      <c r="F49">
        <v>123.85</v>
      </c>
      <c r="G49">
        <v>145.53</v>
      </c>
      <c r="H49" s="12">
        <v>1</v>
      </c>
      <c r="I49" s="12">
        <v>1</v>
      </c>
      <c r="J49" s="12">
        <v>1</v>
      </c>
      <c r="K49">
        <f t="shared" si="7"/>
        <v>14244829.999999994</v>
      </c>
      <c r="L49">
        <f t="shared" si="8"/>
        <v>3198.06</v>
      </c>
      <c r="M49">
        <f t="shared" si="9"/>
        <v>3549.52</v>
      </c>
      <c r="N49" s="12">
        <f t="shared" si="5"/>
        <v>0.15087499999999959</v>
      </c>
      <c r="O49" s="12">
        <f t="shared" si="6"/>
        <v>0.16041475225225219</v>
      </c>
    </row>
    <row r="50" spans="1:15">
      <c r="A50" s="33">
        <v>45522</v>
      </c>
      <c r="B50">
        <v>38</v>
      </c>
      <c r="C50">
        <v>43650.000000001499</v>
      </c>
      <c r="D50">
        <v>4.3849999999999998</v>
      </c>
      <c r="E50">
        <v>25.72</v>
      </c>
      <c r="F50">
        <v>0</v>
      </c>
      <c r="G50">
        <v>0</v>
      </c>
      <c r="H50" s="12">
        <v>1</v>
      </c>
      <c r="I50" s="12">
        <v>0.34718498659517599</v>
      </c>
      <c r="J50" s="12">
        <v>1</v>
      </c>
      <c r="K50">
        <f t="shared" si="7"/>
        <v>14288479.999999996</v>
      </c>
      <c r="L50">
        <f t="shared" si="8"/>
        <v>3198.06</v>
      </c>
      <c r="M50">
        <f t="shared" si="9"/>
        <v>3549.52</v>
      </c>
      <c r="N50" s="12">
        <f t="shared" si="5"/>
        <v>1.8187500000000623E-2</v>
      </c>
      <c r="O50" s="12">
        <f t="shared" si="6"/>
        <v>0.15667192982456135</v>
      </c>
    </row>
    <row r="51" spans="1:15">
      <c r="A51" s="33">
        <v>45523</v>
      </c>
      <c r="B51">
        <v>39</v>
      </c>
      <c r="C51">
        <v>668320</v>
      </c>
      <c r="D51">
        <v>5.5449999999999999</v>
      </c>
      <c r="E51">
        <v>92.62</v>
      </c>
      <c r="F51">
        <v>124.32</v>
      </c>
      <c r="G51">
        <v>141.88999999999999</v>
      </c>
      <c r="H51" s="12">
        <v>1</v>
      </c>
      <c r="I51" s="12">
        <v>1</v>
      </c>
      <c r="J51" s="12">
        <v>1</v>
      </c>
      <c r="K51">
        <f t="shared" si="7"/>
        <v>14956799.999999996</v>
      </c>
      <c r="L51">
        <f t="shared" si="8"/>
        <v>3322.38</v>
      </c>
      <c r="M51">
        <f t="shared" si="9"/>
        <v>3691.41</v>
      </c>
      <c r="N51" s="12">
        <f t="shared" si="5"/>
        <v>0.27846666666666664</v>
      </c>
      <c r="O51" s="12">
        <f t="shared" si="6"/>
        <v>0.15979487179487176</v>
      </c>
    </row>
    <row r="52" spans="1:15">
      <c r="A52" s="33">
        <v>45524</v>
      </c>
      <c r="B52">
        <v>40</v>
      </c>
      <c r="C52">
        <v>594540.00000000803</v>
      </c>
      <c r="D52">
        <v>5.0049999999999999</v>
      </c>
      <c r="E52">
        <v>85.83</v>
      </c>
      <c r="F52">
        <v>128.47</v>
      </c>
      <c r="G52">
        <v>143.72</v>
      </c>
      <c r="H52" s="12">
        <v>0.99564688289096204</v>
      </c>
      <c r="I52" s="12">
        <v>1</v>
      </c>
      <c r="J52" s="12">
        <v>1</v>
      </c>
      <c r="K52">
        <f t="shared" si="7"/>
        <v>15551340.000000004</v>
      </c>
      <c r="L52">
        <f t="shared" si="8"/>
        <v>3450.85</v>
      </c>
      <c r="M52">
        <f t="shared" si="9"/>
        <v>3835.1299999999997</v>
      </c>
      <c r="N52" s="12">
        <f t="shared" si="5"/>
        <v>0.24772500000000336</v>
      </c>
      <c r="O52" s="12">
        <f t="shared" si="6"/>
        <v>0.16199312500000004</v>
      </c>
    </row>
    <row r="53" spans="1:15">
      <c r="A53" s="33">
        <v>45525</v>
      </c>
      <c r="B53">
        <v>41</v>
      </c>
      <c r="C53">
        <v>651069.99999999197</v>
      </c>
      <c r="D53">
        <v>5.31</v>
      </c>
      <c r="E53">
        <v>90.74</v>
      </c>
      <c r="F53">
        <v>129</v>
      </c>
      <c r="G53">
        <v>142.15</v>
      </c>
      <c r="H53" s="12">
        <v>0.99583830378903204</v>
      </c>
      <c r="I53" s="12">
        <v>1</v>
      </c>
      <c r="J53" s="12">
        <v>1</v>
      </c>
      <c r="K53">
        <f t="shared" si="7"/>
        <v>16202409.999999996</v>
      </c>
      <c r="L53">
        <f t="shared" si="8"/>
        <v>3579.85</v>
      </c>
      <c r="M53">
        <f t="shared" si="9"/>
        <v>3977.2799999999997</v>
      </c>
      <c r="N53" s="12">
        <f t="shared" si="5"/>
        <v>0.2712791666666633</v>
      </c>
      <c r="O53" s="12">
        <f t="shared" si="6"/>
        <v>0.16465863821138207</v>
      </c>
    </row>
    <row r="54" spans="1:15">
      <c r="A54" s="33">
        <v>45526</v>
      </c>
      <c r="B54">
        <v>42</v>
      </c>
      <c r="C54">
        <v>283770.00000000402</v>
      </c>
      <c r="D54">
        <v>1.915</v>
      </c>
      <c r="E54">
        <v>40.94</v>
      </c>
      <c r="F54">
        <v>83.42</v>
      </c>
      <c r="G54">
        <v>88.09</v>
      </c>
      <c r="H54" s="12">
        <v>0.999355254674404</v>
      </c>
      <c r="I54" s="12">
        <v>1</v>
      </c>
      <c r="J54" s="12">
        <v>1</v>
      </c>
      <c r="K54">
        <f t="shared" si="7"/>
        <v>16486180</v>
      </c>
      <c r="L54">
        <f t="shared" si="8"/>
        <v>3663.27</v>
      </c>
      <c r="M54">
        <f t="shared" si="9"/>
        <v>4065.37</v>
      </c>
      <c r="N54" s="12">
        <f t="shared" si="5"/>
        <v>0.11823750000000167</v>
      </c>
      <c r="O54" s="12">
        <f t="shared" si="6"/>
        <v>0.16355337301587303</v>
      </c>
    </row>
    <row r="55" spans="1:15">
      <c r="A55" s="33">
        <v>45527</v>
      </c>
      <c r="B55">
        <v>43</v>
      </c>
      <c r="C55">
        <v>509570</v>
      </c>
      <c r="D55">
        <v>4.1500000000000004</v>
      </c>
      <c r="E55">
        <v>89.14</v>
      </c>
      <c r="F55">
        <v>125.65</v>
      </c>
      <c r="G55">
        <v>139.63999999999999</v>
      </c>
      <c r="H55" s="12">
        <v>0.999355254674404</v>
      </c>
      <c r="I55" s="12">
        <v>1</v>
      </c>
      <c r="J55" s="12">
        <v>1</v>
      </c>
      <c r="K55">
        <f t="shared" si="7"/>
        <v>16995750</v>
      </c>
      <c r="L55">
        <f t="shared" si="8"/>
        <v>3788.92</v>
      </c>
      <c r="M55">
        <f t="shared" si="9"/>
        <v>4205.01</v>
      </c>
      <c r="N55" s="12">
        <f t="shared" si="5"/>
        <v>0.21232083333333332</v>
      </c>
      <c r="O55" s="12">
        <f t="shared" si="6"/>
        <v>0.16468749999999999</v>
      </c>
    </row>
    <row r="56" spans="1:15">
      <c r="A56" s="33">
        <v>45528</v>
      </c>
      <c r="B56">
        <v>44</v>
      </c>
      <c r="C56">
        <v>416799.99999998801</v>
      </c>
      <c r="D56">
        <v>3.09</v>
      </c>
      <c r="E56">
        <v>72.53</v>
      </c>
      <c r="F56">
        <v>117.09</v>
      </c>
      <c r="G56">
        <v>129.1</v>
      </c>
      <c r="H56" s="12">
        <v>0.999355254674404</v>
      </c>
      <c r="I56" s="12">
        <v>1</v>
      </c>
      <c r="J56" s="12">
        <v>1</v>
      </c>
      <c r="K56">
        <f t="shared" si="7"/>
        <v>17412549.999999989</v>
      </c>
      <c r="L56">
        <f t="shared" si="8"/>
        <v>3906.01</v>
      </c>
      <c r="M56">
        <f t="shared" si="9"/>
        <v>4334.1100000000006</v>
      </c>
      <c r="N56" s="12">
        <f t="shared" si="5"/>
        <v>0.17366666666666167</v>
      </c>
      <c r="O56" s="12">
        <f t="shared" si="6"/>
        <v>0.16489157196969687</v>
      </c>
    </row>
    <row r="57" spans="1:15">
      <c r="A57" s="33">
        <v>45529</v>
      </c>
      <c r="B57">
        <v>45</v>
      </c>
      <c r="C57">
        <v>199210.000000014</v>
      </c>
      <c r="D57">
        <v>1.53</v>
      </c>
      <c r="E57">
        <v>52.53</v>
      </c>
      <c r="F57">
        <v>53.72</v>
      </c>
      <c r="G57">
        <v>58.65</v>
      </c>
      <c r="H57" s="12">
        <v>0.99935436781700904</v>
      </c>
      <c r="I57" s="12">
        <v>1</v>
      </c>
      <c r="J57" s="12">
        <v>1</v>
      </c>
      <c r="K57">
        <f t="shared" si="7"/>
        <v>17611760.000000004</v>
      </c>
      <c r="L57">
        <f t="shared" si="8"/>
        <v>3959.73</v>
      </c>
      <c r="M57">
        <f t="shared" si="9"/>
        <v>4392.76</v>
      </c>
      <c r="N57" s="12">
        <f t="shared" si="5"/>
        <v>8.3004166666672499E-2</v>
      </c>
      <c r="O57" s="12">
        <f t="shared" si="6"/>
        <v>0.16307185185185188</v>
      </c>
    </row>
    <row r="58" spans="1:15">
      <c r="A58" s="33">
        <v>45530</v>
      </c>
      <c r="B58">
        <v>46</v>
      </c>
      <c r="C58">
        <v>629690.00000000198</v>
      </c>
      <c r="D58">
        <v>5.6</v>
      </c>
      <c r="E58">
        <v>96.03</v>
      </c>
      <c r="F58">
        <v>120.89</v>
      </c>
      <c r="G58">
        <v>143.94</v>
      </c>
      <c r="H58" s="12">
        <v>0.99976554715432897</v>
      </c>
      <c r="I58" s="12">
        <v>1</v>
      </c>
      <c r="J58" s="12">
        <v>1</v>
      </c>
      <c r="K58">
        <f t="shared" si="7"/>
        <v>18241450.000000007</v>
      </c>
      <c r="L58">
        <f t="shared" si="8"/>
        <v>4080.62</v>
      </c>
      <c r="M58">
        <f t="shared" si="9"/>
        <v>4536.7</v>
      </c>
      <c r="N58" s="12">
        <f t="shared" si="5"/>
        <v>0.26237083333333416</v>
      </c>
      <c r="O58" s="12">
        <f t="shared" si="6"/>
        <v>0.16523052536231891</v>
      </c>
    </row>
    <row r="59" spans="1:15">
      <c r="A59" s="33">
        <v>45531</v>
      </c>
      <c r="B59">
        <v>47</v>
      </c>
      <c r="C59">
        <v>699009.99999999499</v>
      </c>
      <c r="D59">
        <v>5.7350000000000003</v>
      </c>
      <c r="E59">
        <v>95</v>
      </c>
      <c r="F59">
        <v>121.38</v>
      </c>
      <c r="G59">
        <v>135.46</v>
      </c>
      <c r="H59" s="12">
        <v>1</v>
      </c>
      <c r="I59" s="12">
        <v>1</v>
      </c>
      <c r="J59" s="12">
        <v>1</v>
      </c>
      <c r="K59">
        <f t="shared" si="7"/>
        <v>18940460.000000004</v>
      </c>
      <c r="L59">
        <f t="shared" si="8"/>
        <v>4202</v>
      </c>
      <c r="M59">
        <f t="shared" si="9"/>
        <v>4672.16</v>
      </c>
      <c r="N59" s="12">
        <f t="shared" si="5"/>
        <v>0.29125416666666459</v>
      </c>
      <c r="O59" s="12">
        <f t="shared" si="6"/>
        <v>0.16791187943262414</v>
      </c>
    </row>
    <row r="60" spans="1:15">
      <c r="A60" s="33">
        <v>45532</v>
      </c>
      <c r="B60">
        <v>48</v>
      </c>
      <c r="C60">
        <v>765169.99999999104</v>
      </c>
      <c r="D60">
        <v>6.7350000000000003</v>
      </c>
      <c r="E60">
        <v>98.55</v>
      </c>
      <c r="F60">
        <v>120.73</v>
      </c>
      <c r="G60">
        <v>134.74</v>
      </c>
      <c r="H60" s="12">
        <v>1</v>
      </c>
      <c r="I60" s="12">
        <v>0.98654104979811696</v>
      </c>
      <c r="J60" s="12">
        <v>1</v>
      </c>
      <c r="K60">
        <f t="shared" si="7"/>
        <v>19705629.999999996</v>
      </c>
      <c r="L60">
        <f t="shared" si="8"/>
        <v>4322.7299999999996</v>
      </c>
      <c r="M60">
        <f t="shared" si="9"/>
        <v>4806.8999999999996</v>
      </c>
      <c r="N60" s="12">
        <f t="shared" si="5"/>
        <v>0.31882083333332961</v>
      </c>
      <c r="O60" s="12">
        <f t="shared" si="6"/>
        <v>0.17105581597222219</v>
      </c>
    </row>
    <row r="61" spans="1:15">
      <c r="A61" s="33">
        <v>45533</v>
      </c>
      <c r="B61">
        <v>49</v>
      </c>
      <c r="C61">
        <v>387050.00000000303</v>
      </c>
      <c r="D61">
        <v>2.8450000000000002</v>
      </c>
      <c r="E61">
        <v>48.96</v>
      </c>
      <c r="F61">
        <v>120.92</v>
      </c>
      <c r="G61">
        <v>133.19999999999999</v>
      </c>
      <c r="H61" s="12">
        <v>1</v>
      </c>
      <c r="I61" s="12">
        <v>1</v>
      </c>
      <c r="J61" s="12">
        <v>1</v>
      </c>
      <c r="K61">
        <f t="shared" si="7"/>
        <v>20092680</v>
      </c>
      <c r="L61">
        <f t="shared" si="8"/>
        <v>4443.6499999999996</v>
      </c>
      <c r="M61">
        <f t="shared" si="9"/>
        <v>4940.0999999999995</v>
      </c>
      <c r="N61" s="12">
        <f t="shared" si="5"/>
        <v>0.16127083333333458</v>
      </c>
      <c r="O61" s="12">
        <f t="shared" si="6"/>
        <v>0.1708561224489796</v>
      </c>
    </row>
    <row r="62" spans="1:15">
      <c r="A62" s="33">
        <v>45534</v>
      </c>
      <c r="B62">
        <v>50</v>
      </c>
      <c r="C62">
        <v>659300.00000000303</v>
      </c>
      <c r="D62">
        <v>5.68</v>
      </c>
      <c r="E62">
        <v>91.21</v>
      </c>
      <c r="F62">
        <v>123.07</v>
      </c>
      <c r="G62">
        <v>133.59</v>
      </c>
      <c r="H62" s="12">
        <v>1</v>
      </c>
      <c r="I62" s="12">
        <v>1</v>
      </c>
      <c r="J62" s="12">
        <v>1</v>
      </c>
      <c r="K62">
        <f t="shared" si="7"/>
        <v>20751980.000000004</v>
      </c>
      <c r="L62">
        <f t="shared" si="8"/>
        <v>4566.7199999999993</v>
      </c>
      <c r="M62">
        <f t="shared" si="9"/>
        <v>5073.6899999999996</v>
      </c>
      <c r="N62" s="12">
        <f t="shared" si="5"/>
        <v>0.27470833333333461</v>
      </c>
      <c r="O62" s="12">
        <f t="shared" si="6"/>
        <v>0.17293316666666669</v>
      </c>
    </row>
    <row r="63" spans="1:15">
      <c r="A63" s="33">
        <v>45535</v>
      </c>
      <c r="B63">
        <v>51</v>
      </c>
      <c r="C63">
        <v>666020.00000000396</v>
      </c>
      <c r="D63">
        <v>5.4249999999999998</v>
      </c>
      <c r="E63">
        <v>97.83</v>
      </c>
      <c r="F63">
        <v>120.61</v>
      </c>
      <c r="G63">
        <v>135.35</v>
      </c>
      <c r="H63" s="12">
        <v>1</v>
      </c>
      <c r="I63" s="12">
        <v>1</v>
      </c>
      <c r="J63" s="12">
        <v>1</v>
      </c>
      <c r="K63">
        <f t="shared" si="7"/>
        <v>21418000.000000007</v>
      </c>
      <c r="L63">
        <f t="shared" si="8"/>
        <v>4687.329999999999</v>
      </c>
      <c r="M63">
        <f t="shared" si="9"/>
        <v>5209.04</v>
      </c>
      <c r="N63" s="12">
        <f t="shared" si="5"/>
        <v>0.27750833333333497</v>
      </c>
      <c r="O63" s="12">
        <f t="shared" si="6"/>
        <v>0.174983660130719</v>
      </c>
    </row>
    <row r="64" spans="1:15">
      <c r="A64" s="33">
        <v>45536</v>
      </c>
      <c r="B64">
        <v>52</v>
      </c>
      <c r="C64">
        <v>545349.99999999104</v>
      </c>
      <c r="D64">
        <v>4.3600000000000003</v>
      </c>
      <c r="E64">
        <v>92.45</v>
      </c>
      <c r="F64">
        <v>120.83</v>
      </c>
      <c r="G64">
        <v>132.26</v>
      </c>
      <c r="H64" s="12">
        <v>1</v>
      </c>
      <c r="I64" s="12">
        <v>1</v>
      </c>
      <c r="J64" s="12">
        <v>1</v>
      </c>
      <c r="K64">
        <f t="shared" si="7"/>
        <v>21963350</v>
      </c>
      <c r="L64">
        <f t="shared" si="8"/>
        <v>4808.1599999999989</v>
      </c>
      <c r="M64">
        <f t="shared" si="9"/>
        <v>5341.3</v>
      </c>
      <c r="N64" s="12">
        <f t="shared" si="5"/>
        <v>0.22722916666666293</v>
      </c>
      <c r="O64" s="12">
        <f t="shared" si="6"/>
        <v>0.17598838141025641</v>
      </c>
    </row>
    <row r="65" spans="1:15">
      <c r="A65" s="33">
        <v>45537</v>
      </c>
      <c r="B65">
        <v>53</v>
      </c>
      <c r="C65">
        <v>549210.00000000605</v>
      </c>
      <c r="D65">
        <v>4.3449999999999998</v>
      </c>
      <c r="E65">
        <v>84.36</v>
      </c>
      <c r="F65">
        <v>120.59</v>
      </c>
      <c r="G65">
        <v>134.79</v>
      </c>
      <c r="H65" s="12">
        <v>1</v>
      </c>
      <c r="I65" s="12">
        <v>1</v>
      </c>
      <c r="J65" s="12">
        <v>1</v>
      </c>
      <c r="K65">
        <f t="shared" si="7"/>
        <v>22512560.000000007</v>
      </c>
      <c r="L65">
        <f t="shared" si="8"/>
        <v>4928.7499999999991</v>
      </c>
      <c r="M65">
        <f t="shared" si="9"/>
        <v>5476.09</v>
      </c>
      <c r="N65" s="12">
        <f t="shared" si="5"/>
        <v>0.22883750000000253</v>
      </c>
      <c r="O65" s="12">
        <f t="shared" si="6"/>
        <v>0.17698553459119504</v>
      </c>
    </row>
    <row r="66" spans="1:15">
      <c r="A66" s="33">
        <v>45538</v>
      </c>
      <c r="B66">
        <v>54</v>
      </c>
      <c r="C66">
        <v>753640.00000000698</v>
      </c>
      <c r="D66">
        <v>6.0250000000000004</v>
      </c>
      <c r="E66">
        <v>98.19</v>
      </c>
      <c r="F66">
        <v>120.73</v>
      </c>
      <c r="G66">
        <v>132.69999999999999</v>
      </c>
      <c r="H66" s="12">
        <v>1</v>
      </c>
      <c r="I66" s="12">
        <v>1</v>
      </c>
      <c r="J66" s="12">
        <v>1</v>
      </c>
      <c r="K66">
        <f t="shared" si="7"/>
        <v>23266200.000000015</v>
      </c>
      <c r="L66">
        <f t="shared" si="8"/>
        <v>5049.4799999999987</v>
      </c>
      <c r="M66">
        <f t="shared" si="9"/>
        <v>5608.79</v>
      </c>
      <c r="N66" s="12">
        <f t="shared" si="5"/>
        <v>0.31401666666666955</v>
      </c>
      <c r="O66" s="12">
        <f t="shared" si="6"/>
        <v>0.17952314814814826</v>
      </c>
    </row>
    <row r="67" spans="1:15">
      <c r="A67" s="33">
        <v>45539</v>
      </c>
      <c r="B67">
        <v>55</v>
      </c>
      <c r="C67">
        <v>614869.99999998801</v>
      </c>
      <c r="D67">
        <v>4.9249999999999998</v>
      </c>
      <c r="E67">
        <v>86.87</v>
      </c>
      <c r="F67">
        <v>120.86</v>
      </c>
      <c r="G67">
        <v>133.79</v>
      </c>
      <c r="H67" s="12">
        <v>1</v>
      </c>
      <c r="I67" s="12">
        <v>1</v>
      </c>
      <c r="J67" s="12">
        <v>1</v>
      </c>
      <c r="K67">
        <f t="shared" si="7"/>
        <v>23881070.000000004</v>
      </c>
      <c r="L67">
        <f t="shared" si="8"/>
        <v>5170.3399999999983</v>
      </c>
      <c r="M67">
        <f t="shared" si="9"/>
        <v>5742.58</v>
      </c>
      <c r="N67" s="12">
        <f t="shared" si="5"/>
        <v>0.25619583333332835</v>
      </c>
      <c r="O67" s="12">
        <f t="shared" si="6"/>
        <v>0.18091719696969699</v>
      </c>
    </row>
    <row r="68" spans="1:15">
      <c r="A68" s="33">
        <v>45540</v>
      </c>
      <c r="B68">
        <v>56</v>
      </c>
      <c r="C68">
        <v>829810.00000000501</v>
      </c>
      <c r="D68">
        <v>6.72</v>
      </c>
      <c r="E68">
        <v>95.86</v>
      </c>
      <c r="F68">
        <v>121.33</v>
      </c>
      <c r="G68">
        <v>133.35</v>
      </c>
      <c r="H68" s="12">
        <v>1</v>
      </c>
      <c r="I68" s="12">
        <v>1</v>
      </c>
      <c r="J68" s="12">
        <v>1</v>
      </c>
      <c r="K68">
        <f t="shared" si="7"/>
        <v>24710880.000000007</v>
      </c>
      <c r="L68">
        <f t="shared" si="8"/>
        <v>5291.6699999999983</v>
      </c>
      <c r="M68">
        <f t="shared" si="9"/>
        <v>5875.93</v>
      </c>
      <c r="N68" s="12">
        <f t="shared" si="5"/>
        <v>0.34575416666666875</v>
      </c>
      <c r="O68" s="12">
        <f t="shared" si="6"/>
        <v>0.18386071428571435</v>
      </c>
    </row>
    <row r="69" spans="1:15">
      <c r="A69" s="33">
        <v>45541</v>
      </c>
      <c r="B69">
        <v>57</v>
      </c>
      <c r="C69">
        <v>719649.99999999395</v>
      </c>
      <c r="D69">
        <v>5.77</v>
      </c>
      <c r="E69">
        <v>94.05</v>
      </c>
      <c r="F69">
        <v>120.68</v>
      </c>
      <c r="G69">
        <v>130.68</v>
      </c>
      <c r="H69" s="12">
        <v>1</v>
      </c>
      <c r="I69" s="12">
        <v>1</v>
      </c>
      <c r="J69" s="12">
        <v>1</v>
      </c>
      <c r="K69">
        <f t="shared" si="7"/>
        <v>25430530</v>
      </c>
      <c r="L69">
        <f t="shared" si="8"/>
        <v>5412.3499999999985</v>
      </c>
      <c r="M69">
        <f t="shared" si="9"/>
        <v>6006.6100000000006</v>
      </c>
      <c r="N69" s="12">
        <f t="shared" si="5"/>
        <v>0.29985416666666415</v>
      </c>
      <c r="O69" s="12">
        <f t="shared" si="6"/>
        <v>0.18589568713450291</v>
      </c>
    </row>
    <row r="70" spans="1:15">
      <c r="A70" s="33">
        <v>45542</v>
      </c>
      <c r="B70">
        <v>58</v>
      </c>
      <c r="C70">
        <v>650759.99999999499</v>
      </c>
      <c r="D70">
        <v>5.6150000000000002</v>
      </c>
      <c r="E70">
        <v>83.87</v>
      </c>
      <c r="F70">
        <v>120.95</v>
      </c>
      <c r="G70">
        <v>136.38</v>
      </c>
      <c r="H70" s="12">
        <v>1</v>
      </c>
      <c r="I70" s="12">
        <v>1</v>
      </c>
      <c r="J70" s="12">
        <v>1</v>
      </c>
      <c r="K70">
        <f t="shared" si="7"/>
        <v>26081289.999999996</v>
      </c>
      <c r="L70">
        <f t="shared" si="8"/>
        <v>5533.2999999999984</v>
      </c>
      <c r="M70">
        <f t="shared" si="9"/>
        <v>6142.9900000000007</v>
      </c>
      <c r="N70" s="12">
        <f t="shared" si="5"/>
        <v>0.27114999999999789</v>
      </c>
      <c r="O70" s="12">
        <f t="shared" si="6"/>
        <v>0.18736558908045975</v>
      </c>
    </row>
    <row r="71" spans="1:15">
      <c r="A71" s="33">
        <v>45543</v>
      </c>
      <c r="B71">
        <v>59</v>
      </c>
      <c r="C71">
        <v>452780.000000006</v>
      </c>
      <c r="D71">
        <v>3.66</v>
      </c>
      <c r="E71">
        <v>78.38</v>
      </c>
      <c r="F71">
        <v>112.57</v>
      </c>
      <c r="G71">
        <v>116.33</v>
      </c>
      <c r="H71" s="12">
        <v>0.99173931091739298</v>
      </c>
      <c r="I71" s="12">
        <v>1</v>
      </c>
      <c r="J71" s="12">
        <v>1</v>
      </c>
      <c r="K71">
        <f t="shared" si="7"/>
        <v>26534070.000000004</v>
      </c>
      <c r="L71">
        <f t="shared" si="8"/>
        <v>5645.8699999999981</v>
      </c>
      <c r="M71">
        <f t="shared" si="9"/>
        <v>6259.3200000000006</v>
      </c>
      <c r="N71" s="12">
        <f t="shared" si="5"/>
        <v>0.18865833333333584</v>
      </c>
      <c r="O71" s="12">
        <f t="shared" si="6"/>
        <v>0.18738750000000004</v>
      </c>
    </row>
    <row r="72" spans="1:15">
      <c r="A72" s="33">
        <v>45544</v>
      </c>
      <c r="B72">
        <v>60</v>
      </c>
      <c r="C72">
        <v>499860.00000000797</v>
      </c>
      <c r="D72">
        <v>3.88</v>
      </c>
      <c r="E72">
        <v>69.569999999999993</v>
      </c>
      <c r="F72">
        <v>121.31</v>
      </c>
      <c r="G72">
        <v>142.07</v>
      </c>
      <c r="H72" s="12">
        <v>1</v>
      </c>
      <c r="I72" s="12">
        <v>1</v>
      </c>
      <c r="J72" s="12">
        <v>1</v>
      </c>
      <c r="K72">
        <f t="shared" si="7"/>
        <v>27033930.000000011</v>
      </c>
      <c r="L72">
        <f t="shared" si="8"/>
        <v>5767.1799999999985</v>
      </c>
      <c r="M72">
        <f t="shared" si="9"/>
        <v>6401.39</v>
      </c>
      <c r="N72" s="12">
        <f t="shared" si="5"/>
        <v>0.20827500000000332</v>
      </c>
      <c r="O72" s="12">
        <f t="shared" si="6"/>
        <v>0.18773562500000007</v>
      </c>
    </row>
    <row r="73" spans="1:15">
      <c r="A73" s="33">
        <v>45545</v>
      </c>
      <c r="B73">
        <v>61</v>
      </c>
      <c r="C73">
        <v>234580.00000000201</v>
      </c>
      <c r="D73">
        <v>1.7549999999999999</v>
      </c>
      <c r="E73">
        <v>40.69</v>
      </c>
      <c r="F73">
        <v>78.28</v>
      </c>
      <c r="G73">
        <v>76.19</v>
      </c>
      <c r="H73" s="12">
        <v>0.939393939393939</v>
      </c>
      <c r="I73" s="12">
        <v>1</v>
      </c>
      <c r="J73" s="12">
        <v>1</v>
      </c>
      <c r="K73">
        <f t="shared" si="7"/>
        <v>27268510.000000015</v>
      </c>
      <c r="L73">
        <f t="shared" si="8"/>
        <v>5845.4599999999982</v>
      </c>
      <c r="M73">
        <f t="shared" si="9"/>
        <v>6477.58</v>
      </c>
      <c r="N73" s="12">
        <f t="shared" si="5"/>
        <v>9.7741666666667504E-2</v>
      </c>
      <c r="O73" s="12">
        <f t="shared" si="6"/>
        <v>0.18626031420765038</v>
      </c>
    </row>
    <row r="74" spans="1:15">
      <c r="A74" s="33">
        <v>45546</v>
      </c>
      <c r="B74">
        <v>62</v>
      </c>
      <c r="C74">
        <v>472629.99999998999</v>
      </c>
      <c r="D74">
        <v>3.7149999999999999</v>
      </c>
      <c r="E74">
        <v>78.02</v>
      </c>
      <c r="F74">
        <v>120.59</v>
      </c>
      <c r="G74">
        <v>144.63999999999999</v>
      </c>
      <c r="H74" s="12">
        <v>1</v>
      </c>
      <c r="I74" s="12">
        <v>1</v>
      </c>
      <c r="J74" s="12">
        <v>1</v>
      </c>
      <c r="K74">
        <f t="shared" si="7"/>
        <v>27741140.000000004</v>
      </c>
      <c r="L74">
        <f t="shared" si="8"/>
        <v>5966.0499999999984</v>
      </c>
      <c r="M74">
        <f t="shared" si="9"/>
        <v>6622.22</v>
      </c>
      <c r="N74" s="12">
        <f t="shared" si="5"/>
        <v>0.19692916666666249</v>
      </c>
      <c r="O74" s="12">
        <f t="shared" si="6"/>
        <v>0.1864323924731183</v>
      </c>
    </row>
    <row r="75" spans="1:15">
      <c r="A75" s="33">
        <v>45547</v>
      </c>
      <c r="B75">
        <v>63</v>
      </c>
      <c r="C75">
        <v>671110.00000000803</v>
      </c>
      <c r="D75">
        <v>5.5049999999999999</v>
      </c>
      <c r="E75">
        <v>93.06</v>
      </c>
      <c r="F75">
        <v>120.45</v>
      </c>
      <c r="G75">
        <v>133.21</v>
      </c>
      <c r="H75" s="12">
        <v>1</v>
      </c>
      <c r="I75" s="12">
        <v>1</v>
      </c>
      <c r="J75" s="12">
        <v>1</v>
      </c>
      <c r="K75">
        <f t="shared" si="7"/>
        <v>28412250.000000011</v>
      </c>
      <c r="L75">
        <f t="shared" si="8"/>
        <v>6086.4999999999982</v>
      </c>
      <c r="M75">
        <f t="shared" si="9"/>
        <v>6755.43</v>
      </c>
      <c r="N75" s="12">
        <f t="shared" si="5"/>
        <v>0.27962916666667004</v>
      </c>
      <c r="O75" s="12">
        <f t="shared" si="6"/>
        <v>0.18791170634920643</v>
      </c>
    </row>
    <row r="76" spans="1:15">
      <c r="A76" s="33">
        <v>45548</v>
      </c>
      <c r="B76">
        <v>64</v>
      </c>
      <c r="C76">
        <v>561770.00000000396</v>
      </c>
      <c r="D76">
        <v>4.4950000000000001</v>
      </c>
      <c r="E76">
        <v>82.44</v>
      </c>
      <c r="F76">
        <v>120.63</v>
      </c>
      <c r="G76">
        <v>133.37</v>
      </c>
      <c r="H76" s="12">
        <v>1</v>
      </c>
      <c r="I76" s="12">
        <v>1</v>
      </c>
      <c r="J76" s="12">
        <v>1</v>
      </c>
      <c r="K76">
        <f t="shared" si="7"/>
        <v>28974020.000000015</v>
      </c>
      <c r="L76">
        <f t="shared" si="8"/>
        <v>6207.1299999999983</v>
      </c>
      <c r="M76">
        <f t="shared" si="9"/>
        <v>6888.8</v>
      </c>
      <c r="N76" s="12">
        <f t="shared" si="5"/>
        <v>0.23407083333333498</v>
      </c>
      <c r="O76" s="12">
        <f t="shared" si="6"/>
        <v>0.18863294270833342</v>
      </c>
    </row>
    <row r="77" spans="1:15">
      <c r="A77" s="33">
        <v>45549</v>
      </c>
      <c r="B77">
        <v>65</v>
      </c>
      <c r="C77">
        <v>562089.99999998906</v>
      </c>
      <c r="D77">
        <v>4.25</v>
      </c>
      <c r="E77">
        <v>90.05</v>
      </c>
      <c r="F77">
        <v>120.7</v>
      </c>
      <c r="G77">
        <v>132.59</v>
      </c>
      <c r="H77" s="12">
        <v>1</v>
      </c>
      <c r="I77" s="12">
        <v>1</v>
      </c>
      <c r="J77" s="12">
        <v>1</v>
      </c>
      <c r="K77">
        <f t="shared" si="7"/>
        <v>29536110.000000004</v>
      </c>
      <c r="L77">
        <f t="shared" si="8"/>
        <v>6327.8299999999981</v>
      </c>
      <c r="M77">
        <f t="shared" si="9"/>
        <v>7021.39</v>
      </c>
      <c r="N77" s="12">
        <f t="shared" si="5"/>
        <v>0.23420416666666211</v>
      </c>
      <c r="O77" s="12">
        <f t="shared" si="6"/>
        <v>0.18933403846153848</v>
      </c>
    </row>
    <row r="78" spans="1:15">
      <c r="A78" s="33">
        <v>45550</v>
      </c>
      <c r="B78">
        <v>66</v>
      </c>
      <c r="C78">
        <v>806239.99999999802</v>
      </c>
      <c r="D78">
        <v>6.32</v>
      </c>
      <c r="E78">
        <v>95.14</v>
      </c>
      <c r="F78">
        <v>121.1</v>
      </c>
      <c r="G78">
        <v>133.18</v>
      </c>
      <c r="H78" s="12">
        <v>1</v>
      </c>
      <c r="I78" s="12">
        <v>1</v>
      </c>
      <c r="J78" s="12">
        <v>1</v>
      </c>
      <c r="K78">
        <f t="shared" si="7"/>
        <v>30342350</v>
      </c>
      <c r="L78">
        <f t="shared" si="8"/>
        <v>6448.9299999999985</v>
      </c>
      <c r="M78">
        <f t="shared" si="9"/>
        <v>7154.5700000000006</v>
      </c>
      <c r="N78" s="12">
        <f t="shared" ref="N78:N141" si="10">C78/(100000*24)</f>
        <v>0.33593333333333253</v>
      </c>
      <c r="O78" s="12">
        <f t="shared" ref="O78:O141" si="11">K78/(B78*100000*24)</f>
        <v>0.1915552398989899</v>
      </c>
    </row>
    <row r="79" spans="1:15">
      <c r="A79" s="33">
        <v>45551</v>
      </c>
      <c r="B79">
        <v>67</v>
      </c>
      <c r="C79">
        <v>428880.00000000501</v>
      </c>
      <c r="D79">
        <v>3.2650000000000001</v>
      </c>
      <c r="E79">
        <v>91.72</v>
      </c>
      <c r="F79">
        <v>107.35</v>
      </c>
      <c r="G79">
        <v>109.16</v>
      </c>
      <c r="H79" s="12">
        <v>1</v>
      </c>
      <c r="I79" s="12">
        <v>1</v>
      </c>
      <c r="J79" s="12">
        <v>1</v>
      </c>
      <c r="K79">
        <f t="shared" ref="K79:K142" si="12">K78+C79</f>
        <v>30771230.000000004</v>
      </c>
      <c r="L79">
        <f t="shared" ref="L79:L142" si="13">L78+F79</f>
        <v>6556.2799999999988</v>
      </c>
      <c r="M79">
        <f t="shared" ref="M79:M142" si="14">M78+G79</f>
        <v>7263.7300000000005</v>
      </c>
      <c r="N79" s="12">
        <f t="shared" si="10"/>
        <v>0.17870000000000208</v>
      </c>
      <c r="O79" s="12">
        <f t="shared" si="11"/>
        <v>0.1913633706467662</v>
      </c>
    </row>
    <row r="80" spans="1:15">
      <c r="A80" s="33">
        <v>45552</v>
      </c>
      <c r="B80">
        <v>68</v>
      </c>
      <c r="C80">
        <v>335869.99999999499</v>
      </c>
      <c r="D80">
        <v>2.5</v>
      </c>
      <c r="E80">
        <v>70.13</v>
      </c>
      <c r="F80">
        <v>97</v>
      </c>
      <c r="G80">
        <v>106.56</v>
      </c>
      <c r="H80" s="12">
        <v>1</v>
      </c>
      <c r="I80" s="12">
        <v>1</v>
      </c>
      <c r="J80" s="12">
        <v>1</v>
      </c>
      <c r="K80">
        <f t="shared" si="12"/>
        <v>31107100</v>
      </c>
      <c r="L80">
        <f t="shared" si="13"/>
        <v>6653.2799999999988</v>
      </c>
      <c r="M80">
        <f t="shared" si="14"/>
        <v>7370.2900000000009</v>
      </c>
      <c r="N80" s="12">
        <f t="shared" si="10"/>
        <v>0.13994583333333124</v>
      </c>
      <c r="O80" s="12">
        <f t="shared" si="11"/>
        <v>0.19060723039215685</v>
      </c>
    </row>
    <row r="81" spans="1:15">
      <c r="A81" s="33">
        <v>45553</v>
      </c>
      <c r="B81">
        <v>69</v>
      </c>
      <c r="C81">
        <v>617810.00000000501</v>
      </c>
      <c r="D81">
        <v>5.0449999999999999</v>
      </c>
      <c r="E81">
        <v>92.4</v>
      </c>
      <c r="F81">
        <v>121.17</v>
      </c>
      <c r="G81">
        <v>143.13999999999999</v>
      </c>
      <c r="H81" s="12">
        <v>1</v>
      </c>
      <c r="I81" s="12">
        <v>1</v>
      </c>
      <c r="J81" s="12">
        <v>1</v>
      </c>
      <c r="K81">
        <f t="shared" si="12"/>
        <v>31724910.000000004</v>
      </c>
      <c r="L81">
        <f t="shared" si="13"/>
        <v>6774.4499999999989</v>
      </c>
      <c r="M81">
        <f t="shared" si="14"/>
        <v>7513.4300000000012</v>
      </c>
      <c r="N81" s="12">
        <f t="shared" si="10"/>
        <v>0.25742083333333543</v>
      </c>
      <c r="O81" s="12">
        <f t="shared" si="11"/>
        <v>0.19157554347826089</v>
      </c>
    </row>
    <row r="82" spans="1:15">
      <c r="A82" s="33">
        <v>45554</v>
      </c>
      <c r="B82">
        <v>70</v>
      </c>
      <c r="C82">
        <v>714569.99999999197</v>
      </c>
      <c r="D82">
        <v>5.35</v>
      </c>
      <c r="E82">
        <v>92.1</v>
      </c>
      <c r="F82">
        <v>120.54</v>
      </c>
      <c r="G82">
        <v>135.66</v>
      </c>
      <c r="H82" s="12">
        <v>1</v>
      </c>
      <c r="I82" s="12">
        <v>1</v>
      </c>
      <c r="J82" s="12">
        <v>1</v>
      </c>
      <c r="K82">
        <f t="shared" si="12"/>
        <v>32439479.999999996</v>
      </c>
      <c r="L82">
        <f t="shared" si="13"/>
        <v>6894.9899999999989</v>
      </c>
      <c r="M82">
        <f t="shared" si="14"/>
        <v>7649.0900000000011</v>
      </c>
      <c r="N82" s="12">
        <f t="shared" si="10"/>
        <v>0.29773749999999666</v>
      </c>
      <c r="O82" s="12">
        <f t="shared" si="11"/>
        <v>0.19309214285714282</v>
      </c>
    </row>
    <row r="83" spans="1:15">
      <c r="A83" s="33">
        <v>45555</v>
      </c>
      <c r="B83">
        <v>71</v>
      </c>
      <c r="C83">
        <v>727880.00000000501</v>
      </c>
      <c r="D83">
        <v>5.6449999999999996</v>
      </c>
      <c r="E83">
        <v>90.26</v>
      </c>
      <c r="F83">
        <v>120.37</v>
      </c>
      <c r="G83">
        <v>133.1</v>
      </c>
      <c r="H83" s="12">
        <v>1</v>
      </c>
      <c r="I83" s="12">
        <v>1</v>
      </c>
      <c r="J83" s="12">
        <v>1</v>
      </c>
      <c r="K83">
        <f t="shared" si="12"/>
        <v>33167360</v>
      </c>
      <c r="L83">
        <f t="shared" si="13"/>
        <v>7015.3599999999988</v>
      </c>
      <c r="M83">
        <f t="shared" si="14"/>
        <v>7782.1900000000014</v>
      </c>
      <c r="N83" s="12">
        <f t="shared" si="10"/>
        <v>0.3032833333333354</v>
      </c>
      <c r="O83" s="12">
        <f t="shared" si="11"/>
        <v>0.19464413145539905</v>
      </c>
    </row>
    <row r="84" spans="1:15">
      <c r="A84" s="33">
        <v>45556</v>
      </c>
      <c r="B84">
        <v>72</v>
      </c>
      <c r="C84">
        <v>741860.00000001502</v>
      </c>
      <c r="D84">
        <v>5.77</v>
      </c>
      <c r="E84">
        <v>91.41</v>
      </c>
      <c r="F84">
        <v>120.61</v>
      </c>
      <c r="G84">
        <v>133.16</v>
      </c>
      <c r="H84" s="12">
        <v>1</v>
      </c>
      <c r="I84" s="12">
        <v>1</v>
      </c>
      <c r="J84" s="12">
        <v>1</v>
      </c>
      <c r="K84">
        <f t="shared" si="12"/>
        <v>33909220.000000015</v>
      </c>
      <c r="L84">
        <f t="shared" si="13"/>
        <v>7135.9699999999984</v>
      </c>
      <c r="M84">
        <f t="shared" si="14"/>
        <v>7915.3500000000013</v>
      </c>
      <c r="N84" s="12">
        <f t="shared" si="10"/>
        <v>0.30910833333333959</v>
      </c>
      <c r="O84" s="12">
        <f t="shared" si="11"/>
        <v>0.19623391203703713</v>
      </c>
    </row>
    <row r="85" spans="1:15">
      <c r="A85" s="33">
        <v>45557</v>
      </c>
      <c r="B85">
        <v>73</v>
      </c>
      <c r="C85">
        <v>674359.99999998603</v>
      </c>
      <c r="D85">
        <v>5.23</v>
      </c>
      <c r="E85">
        <v>93.52</v>
      </c>
      <c r="F85">
        <v>120.37</v>
      </c>
      <c r="G85">
        <v>129.27000000000001</v>
      </c>
      <c r="H85" s="12">
        <v>1</v>
      </c>
      <c r="I85" s="12">
        <v>1</v>
      </c>
      <c r="J85" s="12">
        <v>1</v>
      </c>
      <c r="K85">
        <f t="shared" si="12"/>
        <v>34583580</v>
      </c>
      <c r="L85">
        <f t="shared" si="13"/>
        <v>7256.3399999999983</v>
      </c>
      <c r="M85">
        <f t="shared" si="14"/>
        <v>8044.6200000000017</v>
      </c>
      <c r="N85" s="12">
        <f t="shared" si="10"/>
        <v>0.28098333333332753</v>
      </c>
      <c r="O85" s="12">
        <f t="shared" si="11"/>
        <v>0.19739486301369863</v>
      </c>
    </row>
    <row r="86" spans="1:15">
      <c r="A86" s="33">
        <v>45558</v>
      </c>
      <c r="B86">
        <v>74</v>
      </c>
      <c r="C86">
        <v>741899.99999999395</v>
      </c>
      <c r="D86">
        <v>5.78</v>
      </c>
      <c r="E86">
        <v>91.26</v>
      </c>
      <c r="F86">
        <v>120.19</v>
      </c>
      <c r="G86">
        <v>136.52000000000001</v>
      </c>
      <c r="H86" s="12">
        <v>1</v>
      </c>
      <c r="I86" s="12">
        <v>1</v>
      </c>
      <c r="J86" s="12">
        <v>1</v>
      </c>
      <c r="K86">
        <f t="shared" si="12"/>
        <v>35325479.999999993</v>
      </c>
      <c r="L86">
        <f t="shared" si="13"/>
        <v>7376.5299999999979</v>
      </c>
      <c r="M86">
        <f t="shared" si="14"/>
        <v>8181.1400000000021</v>
      </c>
      <c r="N86" s="12">
        <f t="shared" si="10"/>
        <v>0.30912499999999749</v>
      </c>
      <c r="O86" s="12">
        <f t="shared" si="11"/>
        <v>0.1989047297297297</v>
      </c>
    </row>
    <row r="87" spans="1:15">
      <c r="A87" s="33">
        <v>45559</v>
      </c>
      <c r="B87">
        <v>75</v>
      </c>
      <c r="C87">
        <v>460800.000000017</v>
      </c>
      <c r="D87">
        <v>3.7250000000000001</v>
      </c>
      <c r="E87">
        <v>87.73</v>
      </c>
      <c r="F87">
        <v>120.64</v>
      </c>
      <c r="G87">
        <v>134.19</v>
      </c>
      <c r="H87" s="12">
        <v>0.99874994611836698</v>
      </c>
      <c r="I87" s="12">
        <v>1</v>
      </c>
      <c r="J87" s="12">
        <v>1</v>
      </c>
      <c r="K87">
        <f t="shared" si="12"/>
        <v>35786280.000000007</v>
      </c>
      <c r="L87">
        <f t="shared" si="13"/>
        <v>7497.1699999999983</v>
      </c>
      <c r="M87">
        <f t="shared" si="14"/>
        <v>8315.3300000000017</v>
      </c>
      <c r="N87" s="12">
        <f t="shared" si="10"/>
        <v>0.19200000000000708</v>
      </c>
      <c r="O87" s="12">
        <f t="shared" si="11"/>
        <v>0.19881266666666672</v>
      </c>
    </row>
    <row r="88" spans="1:15">
      <c r="A88" s="33">
        <v>45560</v>
      </c>
      <c r="B88">
        <v>76</v>
      </c>
      <c r="C88">
        <v>337369.99999998102</v>
      </c>
      <c r="D88">
        <v>2.6349999999999998</v>
      </c>
      <c r="E88">
        <v>58.9</v>
      </c>
      <c r="F88">
        <v>113.6</v>
      </c>
      <c r="G88">
        <v>114.98</v>
      </c>
      <c r="H88" s="12">
        <v>1</v>
      </c>
      <c r="I88" s="12">
        <v>1</v>
      </c>
      <c r="J88" s="12">
        <v>1</v>
      </c>
      <c r="K88">
        <f t="shared" si="12"/>
        <v>36123649.999999985</v>
      </c>
      <c r="L88">
        <f t="shared" si="13"/>
        <v>7610.7699999999986</v>
      </c>
      <c r="M88">
        <f t="shared" si="14"/>
        <v>8430.3100000000013</v>
      </c>
      <c r="N88" s="12">
        <f t="shared" si="10"/>
        <v>0.14057083333332543</v>
      </c>
      <c r="O88" s="12">
        <f t="shared" si="11"/>
        <v>0.19804632675438588</v>
      </c>
    </row>
    <row r="89" spans="1:15">
      <c r="A89" s="33">
        <v>45561</v>
      </c>
      <c r="B89">
        <v>77</v>
      </c>
      <c r="C89">
        <v>384120.00000001001</v>
      </c>
      <c r="D89">
        <v>3.0750000000000002</v>
      </c>
      <c r="E89">
        <v>93.63</v>
      </c>
      <c r="F89">
        <v>106.04</v>
      </c>
      <c r="G89">
        <v>116.43</v>
      </c>
      <c r="H89" s="12">
        <v>1</v>
      </c>
      <c r="I89" s="12">
        <v>1</v>
      </c>
      <c r="J89" s="12">
        <v>1</v>
      </c>
      <c r="K89">
        <f t="shared" si="12"/>
        <v>36507769.999999993</v>
      </c>
      <c r="L89">
        <f t="shared" si="13"/>
        <v>7716.8099999999986</v>
      </c>
      <c r="M89">
        <f t="shared" si="14"/>
        <v>8546.7400000000016</v>
      </c>
      <c r="N89" s="12">
        <f t="shared" si="10"/>
        <v>0.16005000000000416</v>
      </c>
      <c r="O89" s="12">
        <f t="shared" si="11"/>
        <v>0.19755286796536792</v>
      </c>
    </row>
    <row r="90" spans="1:15">
      <c r="A90" s="33">
        <v>45562</v>
      </c>
      <c r="B90">
        <v>78</v>
      </c>
      <c r="C90">
        <v>526400.00000000896</v>
      </c>
      <c r="D90">
        <v>4.09</v>
      </c>
      <c r="E90">
        <v>88.2</v>
      </c>
      <c r="F90">
        <v>120.62</v>
      </c>
      <c r="G90">
        <v>143.47</v>
      </c>
      <c r="H90" s="12">
        <v>1</v>
      </c>
      <c r="I90" s="12">
        <v>1</v>
      </c>
      <c r="J90" s="12">
        <v>1</v>
      </c>
      <c r="K90">
        <f t="shared" si="12"/>
        <v>37034170</v>
      </c>
      <c r="L90">
        <f t="shared" si="13"/>
        <v>7837.4299999999985</v>
      </c>
      <c r="M90">
        <f t="shared" si="14"/>
        <v>8690.2100000000009</v>
      </c>
      <c r="N90" s="12">
        <f t="shared" si="10"/>
        <v>0.21933333333333707</v>
      </c>
      <c r="O90" s="12">
        <f t="shared" si="11"/>
        <v>0.19783210470085469</v>
      </c>
    </row>
    <row r="91" spans="1:15">
      <c r="A91" s="33">
        <v>45563</v>
      </c>
      <c r="B91">
        <v>79</v>
      </c>
      <c r="C91">
        <v>682199.999999983</v>
      </c>
      <c r="D91">
        <v>5.4550000000000001</v>
      </c>
      <c r="E91">
        <v>98.28</v>
      </c>
      <c r="F91">
        <v>120.68</v>
      </c>
      <c r="G91">
        <v>133.47</v>
      </c>
      <c r="H91" s="12">
        <v>1</v>
      </c>
      <c r="I91" s="12">
        <v>1</v>
      </c>
      <c r="J91" s="12">
        <v>1</v>
      </c>
      <c r="K91">
        <f t="shared" si="12"/>
        <v>37716369.999999985</v>
      </c>
      <c r="L91">
        <f t="shared" si="13"/>
        <v>7958.1099999999988</v>
      </c>
      <c r="M91">
        <f t="shared" si="14"/>
        <v>8823.68</v>
      </c>
      <c r="N91" s="12">
        <f t="shared" si="10"/>
        <v>0.2842499999999929</v>
      </c>
      <c r="O91" s="12">
        <f t="shared" si="11"/>
        <v>0.19892600210970457</v>
      </c>
    </row>
    <row r="92" spans="1:15">
      <c r="A92" s="33">
        <v>45564</v>
      </c>
      <c r="B92">
        <v>80</v>
      </c>
      <c r="C92">
        <v>733110.00000000105</v>
      </c>
      <c r="D92">
        <v>5.84</v>
      </c>
      <c r="E92">
        <v>93.22</v>
      </c>
      <c r="F92">
        <v>120.53</v>
      </c>
      <c r="G92">
        <v>133.35</v>
      </c>
      <c r="H92" s="12">
        <v>0.99972140071149995</v>
      </c>
      <c r="I92" s="12">
        <v>1</v>
      </c>
      <c r="J92" s="12">
        <v>1</v>
      </c>
      <c r="K92">
        <f t="shared" si="12"/>
        <v>38449479.999999985</v>
      </c>
      <c r="L92">
        <f t="shared" si="13"/>
        <v>8078.6399999999985</v>
      </c>
      <c r="M92">
        <f t="shared" si="14"/>
        <v>8957.0300000000007</v>
      </c>
      <c r="N92" s="12">
        <f t="shared" si="10"/>
        <v>0.30546250000000041</v>
      </c>
      <c r="O92" s="12">
        <f t="shared" si="11"/>
        <v>0.20025770833333326</v>
      </c>
    </row>
    <row r="93" spans="1:15">
      <c r="A93" s="33">
        <v>45565</v>
      </c>
      <c r="B93">
        <v>81</v>
      </c>
      <c r="C93">
        <v>707669.99999999802</v>
      </c>
      <c r="D93">
        <v>5.6849999999999996</v>
      </c>
      <c r="E93">
        <v>91.66</v>
      </c>
      <c r="F93">
        <v>120.61</v>
      </c>
      <c r="G93">
        <v>133.63</v>
      </c>
      <c r="H93" s="12">
        <v>1</v>
      </c>
      <c r="I93" s="12">
        <v>1</v>
      </c>
      <c r="J93" s="12">
        <v>1</v>
      </c>
      <c r="K93">
        <f t="shared" si="12"/>
        <v>39157149.999999985</v>
      </c>
      <c r="L93">
        <f t="shared" si="13"/>
        <v>8199.2499999999982</v>
      </c>
      <c r="M93">
        <f t="shared" si="14"/>
        <v>9090.66</v>
      </c>
      <c r="N93" s="12">
        <f t="shared" si="10"/>
        <v>0.29486249999999919</v>
      </c>
      <c r="O93" s="12">
        <f t="shared" si="11"/>
        <v>0.20142566872427975</v>
      </c>
    </row>
    <row r="94" spans="1:15">
      <c r="A94" s="33">
        <v>45566</v>
      </c>
      <c r="B94">
        <v>82</v>
      </c>
      <c r="C94">
        <v>688040.00000000803</v>
      </c>
      <c r="D94">
        <v>5.5049999999999999</v>
      </c>
      <c r="E94">
        <v>90.75</v>
      </c>
      <c r="F94">
        <v>120.54</v>
      </c>
      <c r="G94">
        <v>132.93</v>
      </c>
      <c r="H94" s="12">
        <v>0.999511591560302</v>
      </c>
      <c r="I94" s="12">
        <v>1</v>
      </c>
      <c r="J94" s="12">
        <v>1</v>
      </c>
      <c r="K94">
        <f t="shared" si="12"/>
        <v>39845189.999999993</v>
      </c>
      <c r="L94">
        <f t="shared" si="13"/>
        <v>8319.7899999999991</v>
      </c>
      <c r="M94">
        <f t="shared" si="14"/>
        <v>9223.59</v>
      </c>
      <c r="N94" s="12">
        <f t="shared" si="10"/>
        <v>0.28668333333333668</v>
      </c>
      <c r="O94" s="12">
        <f t="shared" si="11"/>
        <v>0.20246539634146338</v>
      </c>
    </row>
    <row r="95" spans="1:15">
      <c r="A95" s="33">
        <v>45567</v>
      </c>
      <c r="B95">
        <v>83</v>
      </c>
      <c r="C95">
        <v>750730.00000001001</v>
      </c>
      <c r="D95">
        <v>5.8</v>
      </c>
      <c r="E95">
        <v>89.83</v>
      </c>
      <c r="F95">
        <v>120.25</v>
      </c>
      <c r="G95">
        <v>133.31</v>
      </c>
      <c r="H95" s="12">
        <v>0.99963255954696795</v>
      </c>
      <c r="I95" s="12">
        <v>1</v>
      </c>
      <c r="J95" s="12">
        <v>1</v>
      </c>
      <c r="K95">
        <f t="shared" si="12"/>
        <v>40595920</v>
      </c>
      <c r="L95">
        <f t="shared" si="13"/>
        <v>8440.0399999999991</v>
      </c>
      <c r="M95">
        <f t="shared" si="14"/>
        <v>9356.9</v>
      </c>
      <c r="N95" s="12">
        <f t="shared" si="10"/>
        <v>0.31280416666667082</v>
      </c>
      <c r="O95" s="12">
        <f t="shared" si="11"/>
        <v>0.20379477911646587</v>
      </c>
    </row>
    <row r="96" spans="1:15">
      <c r="A96" s="33">
        <v>45568</v>
      </c>
      <c r="B96">
        <v>84</v>
      </c>
      <c r="C96">
        <v>614319.99999999197</v>
      </c>
      <c r="D96">
        <v>6.1550000000000002</v>
      </c>
      <c r="E96">
        <v>102.59</v>
      </c>
      <c r="F96">
        <v>121.19</v>
      </c>
      <c r="G96">
        <v>132.22</v>
      </c>
      <c r="H96" s="12">
        <v>1</v>
      </c>
      <c r="I96" s="12">
        <v>0.96054519368723001</v>
      </c>
      <c r="J96" s="12">
        <v>1</v>
      </c>
      <c r="K96">
        <f t="shared" si="12"/>
        <v>41210239.999999993</v>
      </c>
      <c r="L96">
        <f t="shared" si="13"/>
        <v>8561.23</v>
      </c>
      <c r="M96">
        <f t="shared" si="14"/>
        <v>9489.119999999999</v>
      </c>
      <c r="N96" s="12">
        <f t="shared" si="10"/>
        <v>0.25596666666666334</v>
      </c>
      <c r="O96" s="12">
        <f t="shared" si="11"/>
        <v>0.20441587301587297</v>
      </c>
    </row>
    <row r="97" spans="1:15">
      <c r="A97" s="33">
        <v>45569</v>
      </c>
      <c r="B97">
        <v>85</v>
      </c>
      <c r="C97">
        <v>762169.99999999802</v>
      </c>
      <c r="D97">
        <v>5.86</v>
      </c>
      <c r="E97">
        <v>107.63</v>
      </c>
      <c r="F97">
        <v>120.62</v>
      </c>
      <c r="G97">
        <v>133.22</v>
      </c>
      <c r="H97" s="12">
        <v>0.99993524993524996</v>
      </c>
      <c r="I97" s="12">
        <v>1</v>
      </c>
      <c r="J97" s="12">
        <v>1</v>
      </c>
      <c r="K97">
        <f t="shared" si="12"/>
        <v>41972409.999999993</v>
      </c>
      <c r="L97">
        <f t="shared" si="13"/>
        <v>8681.85</v>
      </c>
      <c r="M97">
        <f t="shared" si="14"/>
        <v>9622.3399999999983</v>
      </c>
      <c r="N97" s="12">
        <f t="shared" si="10"/>
        <v>0.31757083333333253</v>
      </c>
      <c r="O97" s="12">
        <f t="shared" si="11"/>
        <v>0.20574710784313721</v>
      </c>
    </row>
    <row r="98" spans="1:15">
      <c r="A98" s="33">
        <v>45570</v>
      </c>
      <c r="B98">
        <v>86</v>
      </c>
      <c r="C98">
        <v>640710.00000000605</v>
      </c>
      <c r="D98">
        <v>4.8949999999999996</v>
      </c>
      <c r="E98">
        <v>90.27</v>
      </c>
      <c r="F98">
        <v>114.41</v>
      </c>
      <c r="G98">
        <v>118.31</v>
      </c>
      <c r="H98" s="12">
        <v>0.99966450216450198</v>
      </c>
      <c r="I98" s="12">
        <v>1</v>
      </c>
      <c r="J98" s="12">
        <v>1</v>
      </c>
      <c r="K98">
        <f t="shared" si="12"/>
        <v>42613120</v>
      </c>
      <c r="L98">
        <f t="shared" si="13"/>
        <v>8796.26</v>
      </c>
      <c r="M98">
        <f t="shared" si="14"/>
        <v>9740.6499999999978</v>
      </c>
      <c r="N98" s="12">
        <f t="shared" si="10"/>
        <v>0.26696250000000254</v>
      </c>
      <c r="O98" s="12">
        <f t="shared" si="11"/>
        <v>0.20645891472868216</v>
      </c>
    </row>
    <row r="99" spans="1:15">
      <c r="A99" s="33">
        <v>45571</v>
      </c>
      <c r="B99">
        <v>87</v>
      </c>
      <c r="C99">
        <v>788689.99999998801</v>
      </c>
      <c r="D99">
        <v>6.07</v>
      </c>
      <c r="E99">
        <v>89.22</v>
      </c>
      <c r="F99">
        <v>120.04</v>
      </c>
      <c r="G99">
        <v>142.91</v>
      </c>
      <c r="H99" s="12">
        <v>0.99980379332897296</v>
      </c>
      <c r="I99" s="12">
        <v>1</v>
      </c>
      <c r="J99" s="12">
        <v>1</v>
      </c>
      <c r="K99">
        <f t="shared" si="12"/>
        <v>43401809.999999985</v>
      </c>
      <c r="L99">
        <f t="shared" si="13"/>
        <v>8916.3000000000011</v>
      </c>
      <c r="M99">
        <f t="shared" si="14"/>
        <v>9883.5599999999977</v>
      </c>
      <c r="N99" s="12">
        <f t="shared" si="10"/>
        <v>0.32862083333332831</v>
      </c>
      <c r="O99" s="12">
        <f t="shared" si="11"/>
        <v>0.20786307471264362</v>
      </c>
    </row>
    <row r="100" spans="1:15">
      <c r="A100" s="33">
        <v>45572</v>
      </c>
      <c r="B100">
        <v>88</v>
      </c>
      <c r="C100">
        <v>709650.00000000896</v>
      </c>
      <c r="D100">
        <v>5.44</v>
      </c>
      <c r="E100">
        <v>85.36</v>
      </c>
      <c r="F100">
        <v>120.73</v>
      </c>
      <c r="G100">
        <v>138.07</v>
      </c>
      <c r="H100" s="12">
        <v>0.99938869967688404</v>
      </c>
      <c r="I100" s="12">
        <v>1</v>
      </c>
      <c r="J100" s="12">
        <v>1</v>
      </c>
      <c r="K100">
        <f t="shared" si="12"/>
        <v>44111459.999999993</v>
      </c>
      <c r="L100">
        <f t="shared" si="13"/>
        <v>9037.0300000000007</v>
      </c>
      <c r="M100">
        <f t="shared" si="14"/>
        <v>10021.629999999997</v>
      </c>
      <c r="N100" s="12">
        <f t="shared" si="10"/>
        <v>0.29568750000000371</v>
      </c>
      <c r="O100" s="12">
        <f t="shared" si="11"/>
        <v>0.20886107954545452</v>
      </c>
    </row>
    <row r="101" spans="1:15">
      <c r="A101" s="33">
        <v>45573</v>
      </c>
      <c r="B101">
        <v>89</v>
      </c>
      <c r="C101">
        <v>578299.99999998801</v>
      </c>
      <c r="D101">
        <v>4.2850000000000001</v>
      </c>
      <c r="E101">
        <v>79.31</v>
      </c>
      <c r="F101">
        <v>120.43</v>
      </c>
      <c r="G101">
        <v>133</v>
      </c>
      <c r="H101" s="12">
        <v>0.99955632459292798</v>
      </c>
      <c r="I101" s="12">
        <v>1</v>
      </c>
      <c r="J101" s="12">
        <v>1</v>
      </c>
      <c r="K101">
        <f t="shared" si="12"/>
        <v>44689759.999999978</v>
      </c>
      <c r="L101">
        <f t="shared" si="13"/>
        <v>9157.4600000000009</v>
      </c>
      <c r="M101">
        <f t="shared" si="14"/>
        <v>10154.629999999997</v>
      </c>
      <c r="N101" s="12">
        <f t="shared" si="10"/>
        <v>0.24095833333332833</v>
      </c>
      <c r="O101" s="12">
        <f t="shared" si="11"/>
        <v>0.20922172284644183</v>
      </c>
    </row>
    <row r="102" spans="1:15">
      <c r="A102" s="33">
        <v>45574</v>
      </c>
      <c r="B102">
        <v>90</v>
      </c>
      <c r="C102">
        <v>650210.00000000605</v>
      </c>
      <c r="D102">
        <v>4.7350000000000003</v>
      </c>
      <c r="E102">
        <v>83.48</v>
      </c>
      <c r="F102">
        <v>120.57</v>
      </c>
      <c r="G102">
        <v>133.47999999999999</v>
      </c>
      <c r="H102" s="12">
        <v>0.99919104464559005</v>
      </c>
      <c r="I102" s="12">
        <v>1</v>
      </c>
      <c r="J102" s="12">
        <v>1</v>
      </c>
      <c r="K102">
        <f t="shared" si="12"/>
        <v>45339969.999999985</v>
      </c>
      <c r="L102">
        <f t="shared" si="13"/>
        <v>9278.0300000000007</v>
      </c>
      <c r="M102">
        <f t="shared" si="14"/>
        <v>10288.109999999997</v>
      </c>
      <c r="N102" s="12">
        <f t="shared" si="10"/>
        <v>0.27092083333333583</v>
      </c>
      <c r="O102" s="12">
        <f t="shared" si="11"/>
        <v>0.20990726851851846</v>
      </c>
    </row>
    <row r="103" spans="1:15">
      <c r="A103" s="33">
        <v>45575</v>
      </c>
      <c r="B103">
        <v>91</v>
      </c>
      <c r="C103">
        <v>642560.00000001199</v>
      </c>
      <c r="D103">
        <v>4.99</v>
      </c>
      <c r="E103">
        <v>87.69</v>
      </c>
      <c r="F103">
        <v>120.25</v>
      </c>
      <c r="G103">
        <v>128.62</v>
      </c>
      <c r="H103" s="12">
        <v>0.99972670427215904</v>
      </c>
      <c r="I103" s="12">
        <v>1</v>
      </c>
      <c r="J103" s="12">
        <v>1</v>
      </c>
      <c r="K103">
        <f t="shared" si="12"/>
        <v>45982530</v>
      </c>
      <c r="L103">
        <f t="shared" si="13"/>
        <v>9398.2800000000007</v>
      </c>
      <c r="M103">
        <f t="shared" si="14"/>
        <v>10416.729999999998</v>
      </c>
      <c r="N103" s="12">
        <f t="shared" si="10"/>
        <v>0.26773333333333832</v>
      </c>
      <c r="O103" s="12">
        <f t="shared" si="11"/>
        <v>0.21054271978021977</v>
      </c>
    </row>
    <row r="104" spans="1:15">
      <c r="A104" s="33">
        <v>45576</v>
      </c>
      <c r="B104">
        <v>92</v>
      </c>
      <c r="C104">
        <v>732989.99999999104</v>
      </c>
      <c r="D104">
        <v>5.8250000000000002</v>
      </c>
      <c r="E104">
        <v>89.82</v>
      </c>
      <c r="F104">
        <v>120.45</v>
      </c>
      <c r="G104">
        <v>137.38999999999999</v>
      </c>
      <c r="H104" s="12">
        <v>0.99952582594504003</v>
      </c>
      <c r="I104" s="12">
        <v>1</v>
      </c>
      <c r="J104" s="12">
        <v>1</v>
      </c>
      <c r="K104">
        <f t="shared" si="12"/>
        <v>46715519.999999993</v>
      </c>
      <c r="L104">
        <f t="shared" si="13"/>
        <v>9518.7300000000014</v>
      </c>
      <c r="M104">
        <f t="shared" si="14"/>
        <v>10554.119999999997</v>
      </c>
      <c r="N104" s="12">
        <f t="shared" si="10"/>
        <v>0.30541249999999626</v>
      </c>
      <c r="O104" s="12">
        <f t="shared" si="11"/>
        <v>0.21157391304347822</v>
      </c>
    </row>
    <row r="105" spans="1:15">
      <c r="A105" s="33">
        <v>45577</v>
      </c>
      <c r="B105">
        <v>93</v>
      </c>
      <c r="C105">
        <v>653279.99999999895</v>
      </c>
      <c r="D105">
        <v>5.03</v>
      </c>
      <c r="E105">
        <v>92.65</v>
      </c>
      <c r="F105">
        <v>120.5</v>
      </c>
      <c r="G105">
        <v>133.27000000000001</v>
      </c>
      <c r="H105" s="12">
        <v>0.99949713586077205</v>
      </c>
      <c r="I105" s="12">
        <v>1</v>
      </c>
      <c r="J105" s="12">
        <v>1</v>
      </c>
      <c r="K105">
        <f t="shared" si="12"/>
        <v>47368799.999999993</v>
      </c>
      <c r="L105">
        <f t="shared" si="13"/>
        <v>9639.2300000000014</v>
      </c>
      <c r="M105">
        <f t="shared" si="14"/>
        <v>10687.389999999998</v>
      </c>
      <c r="N105" s="12">
        <f t="shared" si="10"/>
        <v>0.27219999999999955</v>
      </c>
      <c r="O105" s="12">
        <f t="shared" si="11"/>
        <v>0.21222580645161288</v>
      </c>
    </row>
    <row r="106" spans="1:15">
      <c r="A106" s="33">
        <v>45578</v>
      </c>
      <c r="B106">
        <v>94</v>
      </c>
      <c r="C106">
        <v>714090.00000001094</v>
      </c>
      <c r="D106">
        <v>5.5250000000000004</v>
      </c>
      <c r="E106">
        <v>88.03</v>
      </c>
      <c r="F106">
        <v>120.71</v>
      </c>
      <c r="G106">
        <v>133.13999999999999</v>
      </c>
      <c r="H106" s="12">
        <v>1</v>
      </c>
      <c r="I106" s="12">
        <v>1</v>
      </c>
      <c r="J106" s="12">
        <v>1</v>
      </c>
      <c r="K106">
        <f t="shared" si="12"/>
        <v>48082890</v>
      </c>
      <c r="L106">
        <f t="shared" si="13"/>
        <v>9759.94</v>
      </c>
      <c r="M106">
        <f t="shared" si="14"/>
        <v>10820.529999999997</v>
      </c>
      <c r="N106" s="12">
        <f t="shared" si="10"/>
        <v>0.29753750000000456</v>
      </c>
      <c r="O106" s="12">
        <f t="shared" si="11"/>
        <v>0.21313337765957446</v>
      </c>
    </row>
    <row r="107" spans="1:15">
      <c r="A107" s="33">
        <v>45579</v>
      </c>
      <c r="B107">
        <v>95</v>
      </c>
      <c r="C107">
        <v>678869.99999998102</v>
      </c>
      <c r="D107">
        <v>5.22</v>
      </c>
      <c r="E107">
        <v>86.8</v>
      </c>
      <c r="F107">
        <v>120.23</v>
      </c>
      <c r="G107">
        <v>130.97</v>
      </c>
      <c r="H107" s="12">
        <v>1</v>
      </c>
      <c r="I107" s="12">
        <v>1</v>
      </c>
      <c r="J107" s="12">
        <v>1</v>
      </c>
      <c r="K107">
        <f t="shared" si="12"/>
        <v>48761759.999999978</v>
      </c>
      <c r="L107">
        <f t="shared" si="13"/>
        <v>9880.17</v>
      </c>
      <c r="M107">
        <f t="shared" si="14"/>
        <v>10951.499999999996</v>
      </c>
      <c r="N107" s="12">
        <f t="shared" si="10"/>
        <v>0.28286249999999208</v>
      </c>
      <c r="O107" s="12">
        <f t="shared" si="11"/>
        <v>0.21386736842105253</v>
      </c>
    </row>
    <row r="108" spans="1:15">
      <c r="A108" s="33">
        <v>45580</v>
      </c>
      <c r="B108">
        <v>96</v>
      </c>
      <c r="C108">
        <v>665260.00000000896</v>
      </c>
      <c r="D108">
        <v>5.0599999999999996</v>
      </c>
      <c r="E108">
        <v>86.04</v>
      </c>
      <c r="F108">
        <v>120.48</v>
      </c>
      <c r="G108">
        <v>136.15</v>
      </c>
      <c r="H108" s="12">
        <v>1</v>
      </c>
      <c r="I108" s="12">
        <v>1</v>
      </c>
      <c r="J108" s="12">
        <v>1</v>
      </c>
      <c r="K108">
        <f t="shared" si="12"/>
        <v>49427019.999999985</v>
      </c>
      <c r="L108">
        <f t="shared" si="13"/>
        <v>10000.65</v>
      </c>
      <c r="M108">
        <f t="shared" si="14"/>
        <v>11087.649999999996</v>
      </c>
      <c r="N108" s="12">
        <f t="shared" si="10"/>
        <v>0.27719166666667039</v>
      </c>
      <c r="O108" s="12">
        <f t="shared" si="11"/>
        <v>0.21452699652777771</v>
      </c>
    </row>
    <row r="109" spans="1:15">
      <c r="A109" s="33">
        <v>45581</v>
      </c>
      <c r="B109">
        <v>97</v>
      </c>
      <c r="C109">
        <v>628659.99999998906</v>
      </c>
      <c r="D109">
        <v>4.9050000000000002</v>
      </c>
      <c r="E109">
        <v>90.22</v>
      </c>
      <c r="F109">
        <v>120.95</v>
      </c>
      <c r="G109">
        <v>133.9</v>
      </c>
      <c r="H109" s="12">
        <v>1</v>
      </c>
      <c r="I109" s="12">
        <v>1</v>
      </c>
      <c r="J109" s="12">
        <v>1</v>
      </c>
      <c r="K109">
        <f t="shared" si="12"/>
        <v>50055679.999999978</v>
      </c>
      <c r="L109">
        <f t="shared" si="13"/>
        <v>10121.6</v>
      </c>
      <c r="M109">
        <f t="shared" si="14"/>
        <v>11221.549999999996</v>
      </c>
      <c r="N109" s="12">
        <f t="shared" si="10"/>
        <v>0.26194166666666213</v>
      </c>
      <c r="O109" s="12">
        <f t="shared" si="11"/>
        <v>0.21501580756013736</v>
      </c>
    </row>
    <row r="110" spans="1:15">
      <c r="A110" s="33">
        <v>45582</v>
      </c>
      <c r="B110">
        <v>98</v>
      </c>
      <c r="C110">
        <v>663550.000000017</v>
      </c>
      <c r="D110">
        <v>5.2249999999999996</v>
      </c>
      <c r="E110">
        <v>99.44</v>
      </c>
      <c r="F110">
        <v>118.8</v>
      </c>
      <c r="G110">
        <v>122.83</v>
      </c>
      <c r="H110" s="12">
        <v>1</v>
      </c>
      <c r="I110" s="12">
        <v>1</v>
      </c>
      <c r="J110" s="12">
        <v>1</v>
      </c>
      <c r="K110">
        <f t="shared" si="12"/>
        <v>50719229.999999993</v>
      </c>
      <c r="L110">
        <f t="shared" si="13"/>
        <v>10240.4</v>
      </c>
      <c r="M110">
        <f t="shared" si="14"/>
        <v>11344.379999999996</v>
      </c>
      <c r="N110" s="12">
        <f t="shared" si="10"/>
        <v>0.27647916666667377</v>
      </c>
      <c r="O110" s="12">
        <f t="shared" si="11"/>
        <v>0.21564298469387752</v>
      </c>
    </row>
    <row r="111" spans="1:15">
      <c r="A111" s="33">
        <v>45583</v>
      </c>
      <c r="B111">
        <v>99</v>
      </c>
      <c r="C111">
        <v>613720.00000000105</v>
      </c>
      <c r="D111">
        <v>5.0199999999999996</v>
      </c>
      <c r="E111">
        <v>80.17</v>
      </c>
      <c r="F111">
        <v>120.78</v>
      </c>
      <c r="G111">
        <v>143.34</v>
      </c>
      <c r="H111" s="12">
        <v>1</v>
      </c>
      <c r="I111" s="12">
        <v>1</v>
      </c>
      <c r="J111" s="12">
        <v>1</v>
      </c>
      <c r="K111">
        <f t="shared" si="12"/>
        <v>51332949.999999993</v>
      </c>
      <c r="L111">
        <f t="shared" si="13"/>
        <v>10361.18</v>
      </c>
      <c r="M111">
        <f t="shared" si="14"/>
        <v>11487.719999999996</v>
      </c>
      <c r="N111" s="12">
        <f t="shared" si="10"/>
        <v>0.25571666666666709</v>
      </c>
      <c r="O111" s="12">
        <f t="shared" si="11"/>
        <v>0.21604776936026934</v>
      </c>
    </row>
    <row r="112" spans="1:15">
      <c r="A112" s="33">
        <v>45584</v>
      </c>
      <c r="B112">
        <v>100</v>
      </c>
      <c r="C112">
        <v>567839.99999999697</v>
      </c>
      <c r="D112">
        <v>4.25</v>
      </c>
      <c r="E112">
        <v>83.05</v>
      </c>
      <c r="F112">
        <v>116.05</v>
      </c>
      <c r="G112">
        <v>118.16</v>
      </c>
      <c r="H112" s="12">
        <v>0.99982252983717101</v>
      </c>
      <c r="I112" s="12">
        <v>1</v>
      </c>
      <c r="J112" s="12">
        <v>1</v>
      </c>
      <c r="K112">
        <f t="shared" si="12"/>
        <v>51900789.999999993</v>
      </c>
      <c r="L112">
        <f t="shared" si="13"/>
        <v>10477.23</v>
      </c>
      <c r="M112">
        <f t="shared" si="14"/>
        <v>11605.879999999996</v>
      </c>
      <c r="N112" s="12">
        <f t="shared" si="10"/>
        <v>0.23659999999999873</v>
      </c>
      <c r="O112" s="12">
        <f t="shared" si="11"/>
        <v>0.21625329166666662</v>
      </c>
    </row>
    <row r="113" spans="1:15">
      <c r="A113" s="33">
        <v>45585</v>
      </c>
      <c r="B113">
        <v>101</v>
      </c>
      <c r="C113">
        <v>418960.000000006</v>
      </c>
      <c r="D113">
        <v>3.36</v>
      </c>
      <c r="E113">
        <v>79.88</v>
      </c>
      <c r="F113">
        <v>120.73</v>
      </c>
      <c r="G113">
        <v>140.83000000000001</v>
      </c>
      <c r="H113" s="12">
        <v>1</v>
      </c>
      <c r="I113" s="12">
        <v>1</v>
      </c>
      <c r="J113" s="12">
        <v>1</v>
      </c>
      <c r="K113">
        <f t="shared" si="12"/>
        <v>52319750</v>
      </c>
      <c r="L113">
        <f t="shared" si="13"/>
        <v>10597.96</v>
      </c>
      <c r="M113">
        <f t="shared" si="14"/>
        <v>11746.709999999995</v>
      </c>
      <c r="N113" s="12">
        <f t="shared" si="10"/>
        <v>0.17456666666666917</v>
      </c>
      <c r="O113" s="12">
        <f t="shared" si="11"/>
        <v>0.21584055280528053</v>
      </c>
    </row>
    <row r="114" spans="1:15">
      <c r="A114" s="33">
        <v>45586</v>
      </c>
      <c r="B114">
        <v>102</v>
      </c>
      <c r="C114">
        <v>430919.99999999802</v>
      </c>
      <c r="D114">
        <v>3.49</v>
      </c>
      <c r="E114">
        <v>88.81</v>
      </c>
      <c r="F114">
        <v>108.42</v>
      </c>
      <c r="G114">
        <v>112.84</v>
      </c>
      <c r="H114" s="12">
        <v>0.99985344516594499</v>
      </c>
      <c r="I114" s="12">
        <v>1</v>
      </c>
      <c r="J114" s="12">
        <v>1</v>
      </c>
      <c r="K114">
        <f t="shared" si="12"/>
        <v>52750670</v>
      </c>
      <c r="L114">
        <f t="shared" si="13"/>
        <v>10706.38</v>
      </c>
      <c r="M114">
        <f t="shared" si="14"/>
        <v>11859.549999999996</v>
      </c>
      <c r="N114" s="12">
        <f t="shared" si="10"/>
        <v>0.17954999999999918</v>
      </c>
      <c r="O114" s="12">
        <f t="shared" si="11"/>
        <v>0.21548476307189543</v>
      </c>
    </row>
    <row r="115" spans="1:15">
      <c r="A115" s="33">
        <v>45587</v>
      </c>
      <c r="B115">
        <v>103</v>
      </c>
      <c r="C115">
        <v>649279.99999998405</v>
      </c>
      <c r="D115">
        <v>4.9400000000000004</v>
      </c>
      <c r="E115">
        <v>88.45</v>
      </c>
      <c r="F115">
        <v>116.32</v>
      </c>
      <c r="G115">
        <v>129.30000000000001</v>
      </c>
      <c r="H115" s="12">
        <v>1</v>
      </c>
      <c r="I115" s="12">
        <v>1</v>
      </c>
      <c r="J115" s="12">
        <v>1</v>
      </c>
      <c r="K115">
        <f t="shared" si="12"/>
        <v>53399949.999999985</v>
      </c>
      <c r="L115">
        <f t="shared" si="13"/>
        <v>10822.699999999999</v>
      </c>
      <c r="M115">
        <f t="shared" si="14"/>
        <v>11988.849999999995</v>
      </c>
      <c r="N115" s="12">
        <f t="shared" si="10"/>
        <v>0.27053333333332669</v>
      </c>
      <c r="O115" s="12">
        <f t="shared" si="11"/>
        <v>0.21601921521035591</v>
      </c>
    </row>
    <row r="116" spans="1:15">
      <c r="A116" s="33">
        <v>45588</v>
      </c>
      <c r="B116">
        <v>104</v>
      </c>
      <c r="C116">
        <v>654370.00000001001</v>
      </c>
      <c r="D116">
        <v>5.0449999999999999</v>
      </c>
      <c r="E116">
        <v>90.53</v>
      </c>
      <c r="F116">
        <v>121.15</v>
      </c>
      <c r="G116">
        <v>142.81</v>
      </c>
      <c r="H116" s="12">
        <v>1</v>
      </c>
      <c r="I116" s="12">
        <v>1</v>
      </c>
      <c r="J116" s="12">
        <v>1</v>
      </c>
      <c r="K116">
        <f t="shared" si="12"/>
        <v>54054319.999999993</v>
      </c>
      <c r="L116">
        <f t="shared" si="13"/>
        <v>10943.849999999999</v>
      </c>
      <c r="M116">
        <f t="shared" si="14"/>
        <v>12131.659999999994</v>
      </c>
      <c r="N116" s="12">
        <f t="shared" si="10"/>
        <v>0.27265416666667086</v>
      </c>
      <c r="O116" s="12">
        <f t="shared" si="11"/>
        <v>0.21656378205128202</v>
      </c>
    </row>
    <row r="117" spans="1:15">
      <c r="A117" s="33">
        <v>45589</v>
      </c>
      <c r="B117">
        <v>105</v>
      </c>
      <c r="C117">
        <v>607830.00000000198</v>
      </c>
      <c r="D117">
        <v>4.5999999999999996</v>
      </c>
      <c r="E117">
        <v>92.69</v>
      </c>
      <c r="F117">
        <v>113.08</v>
      </c>
      <c r="G117">
        <v>132.24</v>
      </c>
      <c r="H117" s="12">
        <v>1</v>
      </c>
      <c r="I117" s="12">
        <v>1</v>
      </c>
      <c r="J117" s="12">
        <v>1</v>
      </c>
      <c r="K117">
        <f t="shared" si="12"/>
        <v>54662149.999999993</v>
      </c>
      <c r="L117">
        <f t="shared" si="13"/>
        <v>11056.929999999998</v>
      </c>
      <c r="M117">
        <f t="shared" si="14"/>
        <v>12263.899999999994</v>
      </c>
      <c r="N117" s="12">
        <f t="shared" si="10"/>
        <v>0.25326250000000083</v>
      </c>
      <c r="O117" s="12">
        <f t="shared" si="11"/>
        <v>0.21691329365079362</v>
      </c>
    </row>
    <row r="118" spans="1:15">
      <c r="A118" s="33">
        <v>45590</v>
      </c>
      <c r="B118">
        <v>106</v>
      </c>
      <c r="C118">
        <v>593269.99999998999</v>
      </c>
      <c r="D118">
        <v>4.55</v>
      </c>
      <c r="E118">
        <v>95.05</v>
      </c>
      <c r="F118">
        <v>121.23</v>
      </c>
      <c r="G118">
        <v>128.34</v>
      </c>
      <c r="H118" s="12">
        <v>0.99976148289491595</v>
      </c>
      <c r="I118" s="12">
        <v>1</v>
      </c>
      <c r="J118" s="12">
        <v>1</v>
      </c>
      <c r="K118">
        <f t="shared" si="12"/>
        <v>55255419.999999985</v>
      </c>
      <c r="L118">
        <f t="shared" si="13"/>
        <v>11178.159999999998</v>
      </c>
      <c r="M118">
        <f t="shared" si="14"/>
        <v>12392.239999999994</v>
      </c>
      <c r="N118" s="12">
        <f t="shared" si="10"/>
        <v>0.24719583333332917</v>
      </c>
      <c r="O118" s="12">
        <f t="shared" si="11"/>
        <v>0.21719897798742133</v>
      </c>
    </row>
    <row r="119" spans="1:15">
      <c r="A119" s="33">
        <v>45591</v>
      </c>
      <c r="B119">
        <v>107</v>
      </c>
      <c r="C119">
        <v>687680.00000000803</v>
      </c>
      <c r="D119">
        <v>5.21</v>
      </c>
      <c r="E119">
        <v>90.96</v>
      </c>
      <c r="F119">
        <v>121.38</v>
      </c>
      <c r="G119">
        <v>133.63</v>
      </c>
      <c r="H119" s="12">
        <v>1</v>
      </c>
      <c r="I119" s="12">
        <v>1</v>
      </c>
      <c r="J119" s="12">
        <v>1</v>
      </c>
      <c r="K119">
        <f t="shared" si="12"/>
        <v>55943099.999999993</v>
      </c>
      <c r="L119">
        <f t="shared" si="13"/>
        <v>11299.539999999997</v>
      </c>
      <c r="M119">
        <f t="shared" si="14"/>
        <v>12525.869999999994</v>
      </c>
      <c r="N119" s="12">
        <f t="shared" si="10"/>
        <v>0.28653333333333669</v>
      </c>
      <c r="O119" s="12">
        <f t="shared" si="11"/>
        <v>0.2178469626168224</v>
      </c>
    </row>
    <row r="120" spans="1:15">
      <c r="A120" s="33">
        <v>45592</v>
      </c>
      <c r="B120">
        <v>108</v>
      </c>
      <c r="C120">
        <v>622440.00000000198</v>
      </c>
      <c r="D120">
        <v>4.68</v>
      </c>
      <c r="E120">
        <v>90.73</v>
      </c>
      <c r="F120">
        <v>120.57</v>
      </c>
      <c r="G120">
        <v>135.69</v>
      </c>
      <c r="H120" s="12">
        <v>0.99988726551226603</v>
      </c>
      <c r="I120" s="12">
        <v>1</v>
      </c>
      <c r="J120" s="12">
        <v>1</v>
      </c>
      <c r="K120">
        <f t="shared" si="12"/>
        <v>56565539.999999993</v>
      </c>
      <c r="L120">
        <f t="shared" si="13"/>
        <v>11420.109999999997</v>
      </c>
      <c r="M120">
        <f t="shared" si="14"/>
        <v>12661.559999999994</v>
      </c>
      <c r="N120" s="12">
        <f t="shared" si="10"/>
        <v>0.2593500000000008</v>
      </c>
      <c r="O120" s="12">
        <f t="shared" si="11"/>
        <v>0.21823124999999996</v>
      </c>
    </row>
    <row r="121" spans="1:15">
      <c r="A121" s="33">
        <v>45593</v>
      </c>
      <c r="B121">
        <v>109</v>
      </c>
      <c r="C121">
        <v>428559.99999999802</v>
      </c>
      <c r="D121">
        <v>3.36</v>
      </c>
      <c r="E121">
        <v>71</v>
      </c>
      <c r="F121">
        <v>120.82</v>
      </c>
      <c r="G121">
        <v>129.41999999999999</v>
      </c>
      <c r="H121" s="12">
        <v>0.99986512004316197</v>
      </c>
      <c r="I121" s="12">
        <v>1</v>
      </c>
      <c r="J121" s="12">
        <v>1</v>
      </c>
      <c r="K121">
        <f t="shared" si="12"/>
        <v>56994099.999999993</v>
      </c>
      <c r="L121">
        <f t="shared" si="13"/>
        <v>11540.929999999997</v>
      </c>
      <c r="M121">
        <f t="shared" si="14"/>
        <v>12790.979999999994</v>
      </c>
      <c r="N121" s="12">
        <f t="shared" si="10"/>
        <v>0.17856666666666585</v>
      </c>
      <c r="O121" s="12">
        <f t="shared" si="11"/>
        <v>0.21786735474006114</v>
      </c>
    </row>
    <row r="122" spans="1:15">
      <c r="A122" s="33">
        <v>45594</v>
      </c>
      <c r="B122">
        <v>110</v>
      </c>
      <c r="C122">
        <v>432169.99999998399</v>
      </c>
      <c r="D122">
        <v>3.3050000000000002</v>
      </c>
      <c r="E122">
        <v>73</v>
      </c>
      <c r="F122">
        <v>120.79</v>
      </c>
      <c r="G122">
        <v>132.93</v>
      </c>
      <c r="H122" s="12">
        <v>0.99988659045545303</v>
      </c>
      <c r="I122" s="12">
        <v>1</v>
      </c>
      <c r="J122" s="12">
        <v>1</v>
      </c>
      <c r="K122">
        <f t="shared" si="12"/>
        <v>57426269.999999978</v>
      </c>
      <c r="L122">
        <f t="shared" si="13"/>
        <v>11661.719999999998</v>
      </c>
      <c r="M122">
        <f t="shared" si="14"/>
        <v>12923.909999999994</v>
      </c>
      <c r="N122" s="12">
        <f t="shared" si="10"/>
        <v>0.18007083333332666</v>
      </c>
      <c r="O122" s="12">
        <f t="shared" si="11"/>
        <v>0.2175237499999999</v>
      </c>
    </row>
    <row r="123" spans="1:15">
      <c r="A123" s="33">
        <v>45595</v>
      </c>
      <c r="B123">
        <v>111</v>
      </c>
      <c r="C123">
        <v>531030.00000001304</v>
      </c>
      <c r="D123">
        <v>4.2050000000000001</v>
      </c>
      <c r="E123">
        <v>78.400000000000006</v>
      </c>
      <c r="F123">
        <v>120.55</v>
      </c>
      <c r="G123">
        <v>138.30000000000001</v>
      </c>
      <c r="H123" s="12">
        <v>0.99989747095010295</v>
      </c>
      <c r="I123" s="12">
        <v>1</v>
      </c>
      <c r="J123" s="12">
        <v>1</v>
      </c>
      <c r="K123">
        <f t="shared" si="12"/>
        <v>57957299.999999993</v>
      </c>
      <c r="L123">
        <f t="shared" si="13"/>
        <v>11782.269999999997</v>
      </c>
      <c r="M123">
        <f t="shared" si="14"/>
        <v>13062.209999999994</v>
      </c>
      <c r="N123" s="12">
        <f t="shared" si="10"/>
        <v>0.22126250000000544</v>
      </c>
      <c r="O123" s="12">
        <f t="shared" si="11"/>
        <v>0.21755743243243242</v>
      </c>
    </row>
    <row r="124" spans="1:15">
      <c r="A124" s="33">
        <v>45596</v>
      </c>
      <c r="B124">
        <v>112</v>
      </c>
      <c r="C124">
        <v>494769.99999998999</v>
      </c>
      <c r="D124">
        <v>3.8450000000000002</v>
      </c>
      <c r="E124">
        <v>66.12</v>
      </c>
      <c r="F124">
        <v>120.55</v>
      </c>
      <c r="G124">
        <v>128.91</v>
      </c>
      <c r="H124" s="12">
        <v>0.99982860276977903</v>
      </c>
      <c r="I124" s="12">
        <v>1</v>
      </c>
      <c r="J124" s="12">
        <v>1</v>
      </c>
      <c r="K124">
        <f t="shared" si="12"/>
        <v>58452069.999999985</v>
      </c>
      <c r="L124">
        <f t="shared" si="13"/>
        <v>11902.819999999996</v>
      </c>
      <c r="M124">
        <f t="shared" si="14"/>
        <v>13191.119999999994</v>
      </c>
      <c r="N124" s="12">
        <f t="shared" si="10"/>
        <v>0.2061541666666625</v>
      </c>
      <c r="O124" s="12">
        <f t="shared" si="11"/>
        <v>0.21745561755952375</v>
      </c>
    </row>
    <row r="125" spans="1:15">
      <c r="A125" s="33">
        <v>45597</v>
      </c>
      <c r="B125">
        <v>113</v>
      </c>
      <c r="C125">
        <v>660730.00000001001</v>
      </c>
      <c r="D125">
        <v>5.0350000000000001</v>
      </c>
      <c r="E125">
        <v>90.03</v>
      </c>
      <c r="F125">
        <v>120.55</v>
      </c>
      <c r="G125">
        <v>131.13</v>
      </c>
      <c r="H125" s="12">
        <v>0.99994278128719205</v>
      </c>
      <c r="I125" s="12">
        <v>1</v>
      </c>
      <c r="J125" s="12">
        <v>1</v>
      </c>
      <c r="K125">
        <f t="shared" si="12"/>
        <v>59112799.999999993</v>
      </c>
      <c r="L125">
        <f t="shared" si="13"/>
        <v>12023.369999999995</v>
      </c>
      <c r="M125">
        <f t="shared" si="14"/>
        <v>13322.249999999993</v>
      </c>
      <c r="N125" s="12">
        <f t="shared" si="10"/>
        <v>0.27530416666667085</v>
      </c>
      <c r="O125" s="12">
        <f t="shared" si="11"/>
        <v>0.21796755162241885</v>
      </c>
    </row>
    <row r="126" spans="1:15">
      <c r="A126" s="33">
        <v>45598</v>
      </c>
      <c r="B126">
        <v>114</v>
      </c>
      <c r="C126">
        <v>615220.00000000105</v>
      </c>
      <c r="D126">
        <v>4.71</v>
      </c>
      <c r="E126">
        <v>86.43</v>
      </c>
      <c r="F126">
        <v>120.61</v>
      </c>
      <c r="G126">
        <v>135.44</v>
      </c>
      <c r="H126" s="12">
        <v>1</v>
      </c>
      <c r="I126" s="12">
        <v>1</v>
      </c>
      <c r="J126" s="12">
        <v>1</v>
      </c>
      <c r="K126">
        <f t="shared" si="12"/>
        <v>59728019.999999993</v>
      </c>
      <c r="L126">
        <f t="shared" si="13"/>
        <v>12143.979999999996</v>
      </c>
      <c r="M126">
        <f t="shared" si="14"/>
        <v>13457.689999999993</v>
      </c>
      <c r="N126" s="12">
        <f t="shared" si="10"/>
        <v>0.25634166666666708</v>
      </c>
      <c r="O126" s="12">
        <f t="shared" si="11"/>
        <v>0.21830416666666663</v>
      </c>
    </row>
    <row r="127" spans="1:15">
      <c r="A127" s="33">
        <v>45599</v>
      </c>
      <c r="B127">
        <v>115</v>
      </c>
      <c r="C127">
        <v>555430.00000000803</v>
      </c>
      <c r="D127">
        <v>4.3600000000000003</v>
      </c>
      <c r="E127">
        <v>82.53</v>
      </c>
      <c r="F127">
        <v>120.49</v>
      </c>
      <c r="G127">
        <v>134.87</v>
      </c>
      <c r="H127" s="12">
        <v>1</v>
      </c>
      <c r="I127" s="12">
        <v>1</v>
      </c>
      <c r="J127" s="12">
        <v>1</v>
      </c>
      <c r="K127">
        <f t="shared" si="12"/>
        <v>60283450</v>
      </c>
      <c r="L127">
        <f t="shared" si="13"/>
        <v>12264.469999999996</v>
      </c>
      <c r="M127">
        <f t="shared" si="14"/>
        <v>13592.559999999994</v>
      </c>
      <c r="N127" s="12">
        <f t="shared" si="10"/>
        <v>0.23142916666667002</v>
      </c>
      <c r="O127" s="12">
        <f t="shared" si="11"/>
        <v>0.21841829710144928</v>
      </c>
    </row>
    <row r="128" spans="1:15">
      <c r="A128" s="33">
        <v>45600</v>
      </c>
      <c r="B128">
        <v>116</v>
      </c>
      <c r="C128">
        <v>612309.999999983</v>
      </c>
      <c r="D128">
        <v>4.7050000000000001</v>
      </c>
      <c r="E128">
        <v>83.35</v>
      </c>
      <c r="F128">
        <v>121.56</v>
      </c>
      <c r="G128">
        <v>134.35</v>
      </c>
      <c r="H128" s="12">
        <v>1</v>
      </c>
      <c r="I128" s="12">
        <v>1</v>
      </c>
      <c r="J128" s="12">
        <v>1</v>
      </c>
      <c r="K128">
        <f t="shared" si="12"/>
        <v>60895759.999999985</v>
      </c>
      <c r="L128">
        <f t="shared" si="13"/>
        <v>12386.029999999995</v>
      </c>
      <c r="M128">
        <f t="shared" si="14"/>
        <v>13726.909999999994</v>
      </c>
      <c r="N128" s="12">
        <f t="shared" si="10"/>
        <v>0.25512916666665958</v>
      </c>
      <c r="O128" s="12">
        <f t="shared" si="11"/>
        <v>0.21873477011494247</v>
      </c>
    </row>
    <row r="129" spans="1:15">
      <c r="A129" s="33">
        <v>45601</v>
      </c>
      <c r="B129">
        <v>117</v>
      </c>
      <c r="C129">
        <v>594770.00000000396</v>
      </c>
      <c r="D129">
        <v>4.55</v>
      </c>
      <c r="E129">
        <v>83.2</v>
      </c>
      <c r="F129">
        <v>120.26</v>
      </c>
      <c r="G129">
        <v>134.57</v>
      </c>
      <c r="H129" s="12">
        <v>1</v>
      </c>
      <c r="I129" s="12">
        <v>1</v>
      </c>
      <c r="J129" s="12">
        <v>1</v>
      </c>
      <c r="K129">
        <f t="shared" si="12"/>
        <v>61490529.999999993</v>
      </c>
      <c r="L129">
        <f t="shared" si="13"/>
        <v>12506.289999999995</v>
      </c>
      <c r="M129">
        <f t="shared" si="14"/>
        <v>13861.479999999994</v>
      </c>
      <c r="N129" s="12">
        <f t="shared" si="10"/>
        <v>0.24782083333333499</v>
      </c>
      <c r="O129" s="12">
        <f t="shared" si="11"/>
        <v>0.21898336894586892</v>
      </c>
    </row>
    <row r="130" spans="1:15">
      <c r="A130" s="33">
        <v>45602</v>
      </c>
      <c r="B130">
        <v>118</v>
      </c>
      <c r="C130">
        <v>532940.00000000198</v>
      </c>
      <c r="D130">
        <v>4.415</v>
      </c>
      <c r="E130">
        <v>64.11</v>
      </c>
      <c r="F130">
        <v>120.84</v>
      </c>
      <c r="G130">
        <v>136.29</v>
      </c>
      <c r="H130" s="12">
        <v>0.99837167405765004</v>
      </c>
      <c r="I130" s="12">
        <v>1</v>
      </c>
      <c r="J130" s="12">
        <v>1</v>
      </c>
      <c r="K130">
        <f t="shared" si="12"/>
        <v>62023469.999999993</v>
      </c>
      <c r="L130">
        <f t="shared" si="13"/>
        <v>12627.129999999996</v>
      </c>
      <c r="M130">
        <f t="shared" si="14"/>
        <v>13997.769999999995</v>
      </c>
      <c r="N130" s="12">
        <f t="shared" si="10"/>
        <v>0.22205833333333416</v>
      </c>
      <c r="O130" s="12">
        <f t="shared" si="11"/>
        <v>0.21900942796610168</v>
      </c>
    </row>
    <row r="131" spans="1:15">
      <c r="A131" s="33">
        <v>45603</v>
      </c>
      <c r="B131">
        <v>119</v>
      </c>
      <c r="C131">
        <v>534660.00000000303</v>
      </c>
      <c r="D131">
        <v>4.2300000000000004</v>
      </c>
      <c r="E131">
        <v>76.09</v>
      </c>
      <c r="F131">
        <v>120.28</v>
      </c>
      <c r="G131">
        <v>134.47</v>
      </c>
      <c r="H131" s="12">
        <v>0.99975858739136403</v>
      </c>
      <c r="I131" s="12">
        <v>1</v>
      </c>
      <c r="J131" s="12">
        <v>1</v>
      </c>
      <c r="K131">
        <f t="shared" si="12"/>
        <v>62558129.999999993</v>
      </c>
      <c r="L131">
        <f t="shared" si="13"/>
        <v>12747.409999999996</v>
      </c>
      <c r="M131">
        <f t="shared" si="14"/>
        <v>14132.239999999994</v>
      </c>
      <c r="N131" s="12">
        <f t="shared" si="10"/>
        <v>0.22277500000000125</v>
      </c>
      <c r="O131" s="12">
        <f t="shared" si="11"/>
        <v>0.2190410714285714</v>
      </c>
    </row>
    <row r="132" spans="1:15">
      <c r="A132" s="33">
        <v>45604</v>
      </c>
      <c r="B132">
        <v>120</v>
      </c>
      <c r="C132">
        <v>577209.99999999197</v>
      </c>
      <c r="D132">
        <v>4.4800000000000004</v>
      </c>
      <c r="E132">
        <v>82.74</v>
      </c>
      <c r="F132">
        <v>120.31</v>
      </c>
      <c r="G132">
        <v>132.91999999999999</v>
      </c>
      <c r="H132" s="12">
        <v>0.99986141906873605</v>
      </c>
      <c r="I132" s="12">
        <v>1</v>
      </c>
      <c r="J132" s="12">
        <v>1</v>
      </c>
      <c r="K132">
        <f t="shared" si="12"/>
        <v>63135339.999999985</v>
      </c>
      <c r="L132">
        <f t="shared" si="13"/>
        <v>12867.719999999996</v>
      </c>
      <c r="M132">
        <f t="shared" si="14"/>
        <v>14265.159999999994</v>
      </c>
      <c r="N132" s="12">
        <f t="shared" si="10"/>
        <v>0.24050416666666333</v>
      </c>
      <c r="O132" s="12">
        <f t="shared" si="11"/>
        <v>0.2192199305555555</v>
      </c>
    </row>
    <row r="133" spans="1:15">
      <c r="A133" s="33">
        <v>45605</v>
      </c>
      <c r="B133">
        <v>121</v>
      </c>
      <c r="C133">
        <v>528300.00000000303</v>
      </c>
      <c r="D133">
        <v>4.1150000000000002</v>
      </c>
      <c r="E133">
        <v>78.73</v>
      </c>
      <c r="F133">
        <v>121.43</v>
      </c>
      <c r="G133">
        <v>129.59</v>
      </c>
      <c r="H133" s="12">
        <v>1</v>
      </c>
      <c r="I133" s="12">
        <v>1</v>
      </c>
      <c r="J133" s="12">
        <v>1</v>
      </c>
      <c r="K133">
        <f t="shared" si="12"/>
        <v>63663639.999999985</v>
      </c>
      <c r="L133">
        <f t="shared" si="13"/>
        <v>12989.149999999996</v>
      </c>
      <c r="M133">
        <f t="shared" si="14"/>
        <v>14394.749999999995</v>
      </c>
      <c r="N133" s="12">
        <f t="shared" si="10"/>
        <v>0.22012500000000126</v>
      </c>
      <c r="O133" s="12">
        <f t="shared" si="11"/>
        <v>0.21922741046831951</v>
      </c>
    </row>
    <row r="134" spans="1:15">
      <c r="A134" s="33">
        <v>45606</v>
      </c>
      <c r="B134">
        <v>122</v>
      </c>
      <c r="C134">
        <v>477029.99999999901</v>
      </c>
      <c r="D134">
        <v>3.83</v>
      </c>
      <c r="E134">
        <v>70.489999999999995</v>
      </c>
      <c r="F134">
        <v>121.27</v>
      </c>
      <c r="G134">
        <v>134.87</v>
      </c>
      <c r="H134" s="12">
        <v>0.99769483829116901</v>
      </c>
      <c r="I134" s="12">
        <v>1</v>
      </c>
      <c r="J134" s="12">
        <v>1</v>
      </c>
      <c r="K134">
        <f t="shared" si="12"/>
        <v>64140669.999999985</v>
      </c>
      <c r="L134">
        <f t="shared" si="13"/>
        <v>13110.419999999996</v>
      </c>
      <c r="M134">
        <f t="shared" si="14"/>
        <v>14529.619999999995</v>
      </c>
      <c r="N134" s="12">
        <f t="shared" si="10"/>
        <v>0.19876249999999959</v>
      </c>
      <c r="O134" s="12">
        <f t="shared" si="11"/>
        <v>0.21905966530054641</v>
      </c>
    </row>
    <row r="135" spans="1:15">
      <c r="A135" s="33">
        <v>45607</v>
      </c>
      <c r="B135">
        <v>123</v>
      </c>
      <c r="C135">
        <v>509880.00000000501</v>
      </c>
      <c r="D135">
        <v>4.0199999999999996</v>
      </c>
      <c r="E135">
        <v>77.86</v>
      </c>
      <c r="F135">
        <v>121.99</v>
      </c>
      <c r="G135">
        <v>134.97999999999999</v>
      </c>
      <c r="H135" s="12">
        <v>1</v>
      </c>
      <c r="I135" s="12">
        <v>1</v>
      </c>
      <c r="J135" s="12">
        <v>1</v>
      </c>
      <c r="K135">
        <f t="shared" si="12"/>
        <v>64650549.999999993</v>
      </c>
      <c r="L135">
        <f t="shared" si="13"/>
        <v>13232.409999999996</v>
      </c>
      <c r="M135">
        <f t="shared" si="14"/>
        <v>14664.599999999995</v>
      </c>
      <c r="N135" s="12">
        <f t="shared" si="10"/>
        <v>0.21245000000000208</v>
      </c>
      <c r="O135" s="12">
        <f t="shared" si="11"/>
        <v>0.21900592818428183</v>
      </c>
    </row>
    <row r="136" spans="1:15">
      <c r="A136" s="33">
        <v>45608</v>
      </c>
      <c r="B136">
        <v>124</v>
      </c>
      <c r="C136">
        <v>599630.00000000501</v>
      </c>
      <c r="D136">
        <v>4.6550000000000002</v>
      </c>
      <c r="E136">
        <v>83.94</v>
      </c>
      <c r="F136">
        <v>122.08</v>
      </c>
      <c r="G136">
        <v>133.33000000000001</v>
      </c>
      <c r="H136" s="12">
        <v>1</v>
      </c>
      <c r="I136" s="12">
        <v>1</v>
      </c>
      <c r="J136" s="12">
        <v>1</v>
      </c>
      <c r="K136">
        <f t="shared" si="12"/>
        <v>65250180</v>
      </c>
      <c r="L136">
        <f t="shared" si="13"/>
        <v>13354.489999999996</v>
      </c>
      <c r="M136">
        <f t="shared" si="14"/>
        <v>14797.929999999995</v>
      </c>
      <c r="N136" s="12">
        <f t="shared" si="10"/>
        <v>0.24984583333333543</v>
      </c>
      <c r="O136" s="12">
        <f t="shared" si="11"/>
        <v>0.2192546370967742</v>
      </c>
    </row>
    <row r="137" spans="1:15">
      <c r="A137" s="33">
        <v>45609</v>
      </c>
      <c r="B137">
        <v>125</v>
      </c>
      <c r="C137">
        <v>584850.00000000605</v>
      </c>
      <c r="D137">
        <v>4.87</v>
      </c>
      <c r="E137">
        <v>79.36</v>
      </c>
      <c r="F137">
        <v>121.28</v>
      </c>
      <c r="G137">
        <v>134.38</v>
      </c>
      <c r="H137" s="12">
        <v>0.99942257945306701</v>
      </c>
      <c r="I137" s="12">
        <v>1</v>
      </c>
      <c r="J137" s="12">
        <v>1</v>
      </c>
      <c r="K137">
        <f t="shared" si="12"/>
        <v>65835030.000000007</v>
      </c>
      <c r="L137">
        <f t="shared" si="13"/>
        <v>13475.769999999997</v>
      </c>
      <c r="M137">
        <f t="shared" si="14"/>
        <v>14932.309999999994</v>
      </c>
      <c r="N137" s="12">
        <f t="shared" si="10"/>
        <v>0.24368750000000253</v>
      </c>
      <c r="O137" s="12">
        <f t="shared" si="11"/>
        <v>0.21945010000000004</v>
      </c>
    </row>
    <row r="138" spans="1:15">
      <c r="A138" s="33">
        <v>45610</v>
      </c>
      <c r="B138">
        <v>126</v>
      </c>
      <c r="C138">
        <v>613899.99999999395</v>
      </c>
      <c r="D138">
        <v>4.67</v>
      </c>
      <c r="E138">
        <v>84.15</v>
      </c>
      <c r="F138">
        <v>121.9</v>
      </c>
      <c r="G138">
        <v>132.61000000000001</v>
      </c>
      <c r="H138" s="12">
        <v>1</v>
      </c>
      <c r="I138" s="12">
        <v>1</v>
      </c>
      <c r="J138" s="12">
        <v>1</v>
      </c>
      <c r="K138">
        <f t="shared" si="12"/>
        <v>66448930</v>
      </c>
      <c r="L138">
        <f t="shared" si="13"/>
        <v>13597.669999999996</v>
      </c>
      <c r="M138">
        <f t="shared" si="14"/>
        <v>15064.919999999995</v>
      </c>
      <c r="N138" s="12">
        <f t="shared" si="10"/>
        <v>0.25579166666666414</v>
      </c>
      <c r="O138" s="12">
        <f t="shared" si="11"/>
        <v>0.21973852513227513</v>
      </c>
    </row>
    <row r="139" spans="1:15">
      <c r="A139" s="33">
        <v>45611</v>
      </c>
      <c r="B139">
        <v>127</v>
      </c>
      <c r="C139">
        <v>617149.99999999395</v>
      </c>
      <c r="D139">
        <v>4.78</v>
      </c>
      <c r="E139">
        <v>84.31</v>
      </c>
      <c r="F139">
        <v>122.1</v>
      </c>
      <c r="G139">
        <v>135.52000000000001</v>
      </c>
      <c r="H139" s="12">
        <v>0.999871399176955</v>
      </c>
      <c r="I139" s="12">
        <v>1</v>
      </c>
      <c r="J139" s="12">
        <v>1</v>
      </c>
      <c r="K139">
        <f t="shared" si="12"/>
        <v>67066079.999999993</v>
      </c>
      <c r="L139">
        <f t="shared" si="13"/>
        <v>13719.769999999997</v>
      </c>
      <c r="M139">
        <f t="shared" si="14"/>
        <v>15200.439999999995</v>
      </c>
      <c r="N139" s="12">
        <f t="shared" si="10"/>
        <v>0.2571458333333308</v>
      </c>
      <c r="O139" s="12">
        <f t="shared" si="11"/>
        <v>0.22003307086614171</v>
      </c>
    </row>
    <row r="140" spans="1:15">
      <c r="A140" s="33">
        <v>45612</v>
      </c>
      <c r="B140">
        <v>128</v>
      </c>
      <c r="C140">
        <v>600230.00000001001</v>
      </c>
      <c r="D140">
        <v>4.62</v>
      </c>
      <c r="E140">
        <v>84.32</v>
      </c>
      <c r="F140">
        <v>120.96</v>
      </c>
      <c r="G140">
        <v>134.65</v>
      </c>
      <c r="H140" s="12">
        <v>0.99980186480186495</v>
      </c>
      <c r="I140" s="12">
        <v>1</v>
      </c>
      <c r="J140" s="12">
        <v>1</v>
      </c>
      <c r="K140">
        <f t="shared" si="12"/>
        <v>67666310</v>
      </c>
      <c r="L140">
        <f t="shared" si="13"/>
        <v>13840.729999999996</v>
      </c>
      <c r="M140">
        <f t="shared" si="14"/>
        <v>15335.089999999995</v>
      </c>
      <c r="N140" s="12">
        <f t="shared" si="10"/>
        <v>0.25009583333333751</v>
      </c>
      <c r="O140" s="12">
        <f t="shared" si="11"/>
        <v>0.22026793619791665</v>
      </c>
    </row>
    <row r="141" spans="1:15">
      <c r="A141" s="33">
        <v>45613</v>
      </c>
      <c r="B141">
        <v>129</v>
      </c>
      <c r="C141">
        <v>567629.99999998999</v>
      </c>
      <c r="D141">
        <v>4.3949999999999996</v>
      </c>
      <c r="E141">
        <v>79.37</v>
      </c>
      <c r="F141">
        <v>121.32</v>
      </c>
      <c r="G141">
        <v>135.54</v>
      </c>
      <c r="H141" s="12">
        <v>0.999906616239436</v>
      </c>
      <c r="I141" s="12">
        <v>1</v>
      </c>
      <c r="J141" s="12">
        <v>1</v>
      </c>
      <c r="K141">
        <f t="shared" si="12"/>
        <v>68233939.999999985</v>
      </c>
      <c r="L141">
        <f t="shared" si="13"/>
        <v>13962.049999999996</v>
      </c>
      <c r="M141">
        <f t="shared" si="14"/>
        <v>15470.629999999996</v>
      </c>
      <c r="N141" s="12">
        <f t="shared" si="10"/>
        <v>0.23651249999999582</v>
      </c>
      <c r="O141" s="12">
        <f t="shared" si="11"/>
        <v>0.22039386304909556</v>
      </c>
    </row>
    <row r="142" spans="1:15">
      <c r="A142" s="33">
        <v>45614</v>
      </c>
      <c r="B142">
        <v>130</v>
      </c>
      <c r="C142">
        <v>602000</v>
      </c>
      <c r="D142">
        <v>4.58</v>
      </c>
      <c r="E142">
        <v>82.56</v>
      </c>
      <c r="F142">
        <v>118.09</v>
      </c>
      <c r="G142">
        <v>125.73</v>
      </c>
      <c r="H142" s="12">
        <v>0.99991803662591905</v>
      </c>
      <c r="I142" s="12">
        <v>1</v>
      </c>
      <c r="J142" s="12">
        <v>0.99746862075756604</v>
      </c>
      <c r="K142">
        <f t="shared" si="12"/>
        <v>68835939.999999985</v>
      </c>
      <c r="L142">
        <f t="shared" si="13"/>
        <v>14080.139999999996</v>
      </c>
      <c r="M142">
        <f t="shared" si="14"/>
        <v>15596.359999999995</v>
      </c>
      <c r="N142" s="12">
        <f t="shared" ref="N142:N205" si="15">C142/(100000*24)</f>
        <v>0.25083333333333335</v>
      </c>
      <c r="O142" s="12">
        <f t="shared" ref="O142:O205" si="16">K142/(B142*100000*24)</f>
        <v>0.22062801282051278</v>
      </c>
    </row>
    <row r="143" spans="1:15">
      <c r="A143" s="33">
        <v>45615</v>
      </c>
      <c r="B143">
        <v>131</v>
      </c>
      <c r="C143">
        <v>530960.00000000605</v>
      </c>
      <c r="D143">
        <v>4.125</v>
      </c>
      <c r="E143">
        <v>75.94</v>
      </c>
      <c r="F143">
        <v>121.11</v>
      </c>
      <c r="G143">
        <v>136.41</v>
      </c>
      <c r="H143" s="12">
        <v>0.99975258023469504</v>
      </c>
      <c r="I143" s="12">
        <v>1</v>
      </c>
      <c r="J143" s="12">
        <v>1</v>
      </c>
      <c r="K143">
        <f t="shared" ref="K143:K206" si="17">K142+C143</f>
        <v>69366899.999999985</v>
      </c>
      <c r="L143">
        <f t="shared" ref="L143:L206" si="18">L142+F143</f>
        <v>14201.249999999996</v>
      </c>
      <c r="M143">
        <f t="shared" ref="M143:M206" si="19">M142+G143</f>
        <v>15732.769999999995</v>
      </c>
      <c r="N143" s="12">
        <f t="shared" si="15"/>
        <v>0.22123333333333586</v>
      </c>
      <c r="O143" s="12">
        <f t="shared" si="16"/>
        <v>0.2206326335877862</v>
      </c>
    </row>
    <row r="144" spans="1:15">
      <c r="A144" s="33">
        <v>45616</v>
      </c>
      <c r="B144">
        <v>132</v>
      </c>
      <c r="C144">
        <v>516219.99999998702</v>
      </c>
      <c r="D144">
        <v>4.01</v>
      </c>
      <c r="E144">
        <v>72.86</v>
      </c>
      <c r="F144">
        <v>121.02</v>
      </c>
      <c r="G144">
        <v>134.75</v>
      </c>
      <c r="H144" s="12">
        <v>0.99987080103359205</v>
      </c>
      <c r="I144" s="12">
        <v>1</v>
      </c>
      <c r="J144" s="12">
        <v>1</v>
      </c>
      <c r="K144">
        <f t="shared" si="17"/>
        <v>69883119.99999997</v>
      </c>
      <c r="L144">
        <f t="shared" si="18"/>
        <v>14322.269999999997</v>
      </c>
      <c r="M144">
        <f t="shared" si="19"/>
        <v>15867.519999999995</v>
      </c>
      <c r="N144" s="12">
        <f t="shared" si="15"/>
        <v>0.21509166666666127</v>
      </c>
      <c r="O144" s="12">
        <f t="shared" si="16"/>
        <v>0.22059065656565646</v>
      </c>
    </row>
    <row r="145" spans="1:15">
      <c r="A145" s="33">
        <v>45617</v>
      </c>
      <c r="B145">
        <v>133</v>
      </c>
      <c r="C145">
        <v>508360.00000000099</v>
      </c>
      <c r="D145">
        <v>3.95</v>
      </c>
      <c r="E145">
        <v>72.81</v>
      </c>
      <c r="F145">
        <v>121.26</v>
      </c>
      <c r="G145">
        <v>134.06</v>
      </c>
      <c r="H145" s="12">
        <v>0.99962356484095605</v>
      </c>
      <c r="I145" s="12">
        <v>1</v>
      </c>
      <c r="J145" s="12">
        <v>1</v>
      </c>
      <c r="K145">
        <f t="shared" si="17"/>
        <v>70391479.99999997</v>
      </c>
      <c r="L145">
        <f t="shared" si="18"/>
        <v>14443.529999999997</v>
      </c>
      <c r="M145">
        <f t="shared" si="19"/>
        <v>16001.579999999994</v>
      </c>
      <c r="N145" s="12">
        <f t="shared" si="15"/>
        <v>0.21181666666666707</v>
      </c>
      <c r="O145" s="12">
        <f t="shared" si="16"/>
        <v>0.22052468671679187</v>
      </c>
    </row>
    <row r="146" spans="1:15">
      <c r="A146" s="33">
        <v>45618</v>
      </c>
      <c r="B146">
        <v>134</v>
      </c>
      <c r="C146">
        <v>505740.00000000501</v>
      </c>
      <c r="D146">
        <v>3.92</v>
      </c>
      <c r="E146">
        <v>71.28</v>
      </c>
      <c r="F146">
        <v>120.8</v>
      </c>
      <c r="G146">
        <v>134.12</v>
      </c>
      <c r="H146" s="12">
        <v>0.99959816574481197</v>
      </c>
      <c r="I146" s="12">
        <v>1</v>
      </c>
      <c r="J146" s="12">
        <v>1</v>
      </c>
      <c r="K146">
        <f t="shared" si="17"/>
        <v>70897219.99999997</v>
      </c>
      <c r="L146">
        <f t="shared" si="18"/>
        <v>14564.329999999996</v>
      </c>
      <c r="M146">
        <f t="shared" si="19"/>
        <v>16135.699999999995</v>
      </c>
      <c r="N146" s="12">
        <f t="shared" si="15"/>
        <v>0.21072500000000208</v>
      </c>
      <c r="O146" s="12">
        <f t="shared" si="16"/>
        <v>0.22045155472636807</v>
      </c>
    </row>
    <row r="147" spans="1:15">
      <c r="A147" s="33">
        <v>45619</v>
      </c>
      <c r="B147">
        <v>135</v>
      </c>
      <c r="C147">
        <v>522229.99999999598</v>
      </c>
      <c r="D147">
        <v>4.04</v>
      </c>
      <c r="E147">
        <v>72.77</v>
      </c>
      <c r="F147">
        <v>121.03</v>
      </c>
      <c r="G147">
        <v>134.56</v>
      </c>
      <c r="H147" s="12">
        <v>0.999751808254148</v>
      </c>
      <c r="I147" s="12">
        <v>1</v>
      </c>
      <c r="J147" s="12">
        <v>1</v>
      </c>
      <c r="K147">
        <f t="shared" si="17"/>
        <v>71419449.99999997</v>
      </c>
      <c r="L147">
        <f t="shared" si="18"/>
        <v>14685.359999999997</v>
      </c>
      <c r="M147">
        <f t="shared" si="19"/>
        <v>16270.259999999995</v>
      </c>
      <c r="N147" s="12">
        <f t="shared" si="15"/>
        <v>0.21759583333333166</v>
      </c>
      <c r="O147" s="12">
        <f t="shared" si="16"/>
        <v>0.22043040123456781</v>
      </c>
    </row>
    <row r="148" spans="1:15">
      <c r="A148" s="33">
        <v>45620</v>
      </c>
      <c r="B148">
        <v>136</v>
      </c>
      <c r="C148">
        <v>552410.00000001804</v>
      </c>
      <c r="D148">
        <v>4.33</v>
      </c>
      <c r="E148">
        <v>77.37</v>
      </c>
      <c r="F148">
        <v>121.79</v>
      </c>
      <c r="G148">
        <v>134.49</v>
      </c>
      <c r="H148" s="12">
        <v>1</v>
      </c>
      <c r="I148" s="12">
        <v>1</v>
      </c>
      <c r="J148" s="12">
        <v>1</v>
      </c>
      <c r="K148">
        <f t="shared" si="17"/>
        <v>71971859.999999985</v>
      </c>
      <c r="L148">
        <f t="shared" si="18"/>
        <v>14807.149999999998</v>
      </c>
      <c r="M148">
        <f t="shared" si="19"/>
        <v>16404.749999999996</v>
      </c>
      <c r="N148" s="12">
        <f t="shared" si="15"/>
        <v>0.23017083333334085</v>
      </c>
      <c r="O148" s="12">
        <f t="shared" si="16"/>
        <v>0.22050202205882349</v>
      </c>
    </row>
    <row r="149" spans="1:15">
      <c r="A149" s="33">
        <v>45621</v>
      </c>
      <c r="B149">
        <v>137</v>
      </c>
      <c r="C149">
        <v>588649.99999997998</v>
      </c>
      <c r="D149">
        <v>4.47</v>
      </c>
      <c r="E149">
        <v>82.34</v>
      </c>
      <c r="F149">
        <v>120.82</v>
      </c>
      <c r="G149">
        <v>134.61000000000001</v>
      </c>
      <c r="H149" s="12">
        <v>1</v>
      </c>
      <c r="I149" s="12">
        <v>1</v>
      </c>
      <c r="J149" s="12">
        <v>1</v>
      </c>
      <c r="K149">
        <f t="shared" si="17"/>
        <v>72560509.99999997</v>
      </c>
      <c r="L149">
        <f t="shared" si="18"/>
        <v>14927.969999999998</v>
      </c>
      <c r="M149">
        <f t="shared" si="19"/>
        <v>16539.359999999997</v>
      </c>
      <c r="N149" s="12">
        <f t="shared" si="15"/>
        <v>0.245270833333325</v>
      </c>
      <c r="O149" s="12">
        <f t="shared" si="16"/>
        <v>0.22068281630170308</v>
      </c>
    </row>
    <row r="150" spans="1:15">
      <c r="A150" s="33">
        <v>45622</v>
      </c>
      <c r="B150">
        <v>138</v>
      </c>
      <c r="C150">
        <v>546420.00000001304</v>
      </c>
      <c r="D150">
        <v>4.1100000000000003</v>
      </c>
      <c r="E150">
        <v>80.98</v>
      </c>
      <c r="F150">
        <v>120.93</v>
      </c>
      <c r="G150">
        <v>134.66999999999999</v>
      </c>
      <c r="H150" s="12">
        <v>1</v>
      </c>
      <c r="I150" s="12">
        <v>1</v>
      </c>
      <c r="J150" s="12">
        <v>1</v>
      </c>
      <c r="K150">
        <f t="shared" si="17"/>
        <v>73106929.999999985</v>
      </c>
      <c r="L150">
        <f t="shared" si="18"/>
        <v>15048.899999999998</v>
      </c>
      <c r="M150">
        <f t="shared" si="19"/>
        <v>16674.029999999995</v>
      </c>
      <c r="N150" s="12">
        <f t="shared" si="15"/>
        <v>0.22767500000000543</v>
      </c>
      <c r="O150" s="12">
        <f t="shared" si="16"/>
        <v>0.22073348429951686</v>
      </c>
    </row>
    <row r="151" spans="1:15">
      <c r="A151" s="33">
        <v>45623</v>
      </c>
      <c r="B151">
        <v>139</v>
      </c>
      <c r="C151">
        <v>564490.00000000501</v>
      </c>
      <c r="D151">
        <v>4.25</v>
      </c>
      <c r="E151">
        <v>80.59</v>
      </c>
      <c r="F151">
        <v>120.9</v>
      </c>
      <c r="G151">
        <v>134.19</v>
      </c>
      <c r="H151" s="12">
        <v>1</v>
      </c>
      <c r="I151" s="12">
        <v>1</v>
      </c>
      <c r="J151" s="12">
        <v>1</v>
      </c>
      <c r="K151">
        <f t="shared" si="17"/>
        <v>73671419.999999985</v>
      </c>
      <c r="L151">
        <f t="shared" si="18"/>
        <v>15169.799999999997</v>
      </c>
      <c r="M151">
        <f t="shared" si="19"/>
        <v>16808.219999999994</v>
      </c>
      <c r="N151" s="12">
        <f t="shared" si="15"/>
        <v>0.23520416666666874</v>
      </c>
      <c r="O151" s="12">
        <f t="shared" si="16"/>
        <v>0.22083758992805752</v>
      </c>
    </row>
    <row r="152" spans="1:15">
      <c r="A152" s="33">
        <v>45624</v>
      </c>
      <c r="B152">
        <v>140</v>
      </c>
      <c r="C152">
        <v>394559.999999983</v>
      </c>
      <c r="D152">
        <v>3.875</v>
      </c>
      <c r="E152">
        <v>87.01</v>
      </c>
      <c r="F152">
        <v>0</v>
      </c>
      <c r="G152">
        <v>134.41999999999999</v>
      </c>
      <c r="H152" s="12">
        <v>1</v>
      </c>
      <c r="I152" s="12">
        <v>1</v>
      </c>
      <c r="J152" s="12" t="s">
        <v>25</v>
      </c>
      <c r="K152">
        <f t="shared" si="17"/>
        <v>74065979.99999997</v>
      </c>
      <c r="L152">
        <f t="shared" si="18"/>
        <v>15169.799999999997</v>
      </c>
      <c r="M152">
        <f t="shared" si="19"/>
        <v>16942.639999999992</v>
      </c>
      <c r="N152" s="12">
        <f t="shared" si="15"/>
        <v>0.16439999999999291</v>
      </c>
      <c r="O152" s="12">
        <f t="shared" si="16"/>
        <v>0.2204344642857142</v>
      </c>
    </row>
    <row r="153" spans="1:15">
      <c r="A153" s="33">
        <v>45625</v>
      </c>
      <c r="B153">
        <v>141</v>
      </c>
      <c r="C153">
        <v>538830.00000000198</v>
      </c>
      <c r="D153">
        <v>4.1050000000000004</v>
      </c>
      <c r="E153">
        <v>76.400000000000006</v>
      </c>
      <c r="F153">
        <v>120.75</v>
      </c>
      <c r="G153">
        <v>131.32</v>
      </c>
      <c r="H153" s="12">
        <v>1</v>
      </c>
      <c r="I153" s="12">
        <v>1</v>
      </c>
      <c r="J153" s="12">
        <v>1</v>
      </c>
      <c r="K153">
        <f t="shared" si="17"/>
        <v>74604809.99999997</v>
      </c>
      <c r="L153">
        <f t="shared" si="18"/>
        <v>15290.549999999997</v>
      </c>
      <c r="M153">
        <f t="shared" si="19"/>
        <v>17073.959999999992</v>
      </c>
      <c r="N153" s="12">
        <f t="shared" si="15"/>
        <v>0.22451250000000084</v>
      </c>
      <c r="O153" s="12">
        <f t="shared" si="16"/>
        <v>0.22046338652482261</v>
      </c>
    </row>
    <row r="154" spans="1:15">
      <c r="A154" s="33">
        <v>45626</v>
      </c>
      <c r="B154">
        <v>142</v>
      </c>
      <c r="C154">
        <v>368480.00000001001</v>
      </c>
      <c r="D154">
        <v>2.95</v>
      </c>
      <c r="E154">
        <v>57.67</v>
      </c>
      <c r="F154">
        <v>120.02</v>
      </c>
      <c r="G154">
        <v>126.27</v>
      </c>
      <c r="H154" s="12">
        <v>1</v>
      </c>
      <c r="I154" s="12">
        <v>1</v>
      </c>
      <c r="J154" s="12">
        <v>1</v>
      </c>
      <c r="K154">
        <f t="shared" si="17"/>
        <v>74973289.999999985</v>
      </c>
      <c r="L154">
        <f t="shared" si="18"/>
        <v>15410.569999999998</v>
      </c>
      <c r="M154">
        <f t="shared" si="19"/>
        <v>17200.229999999992</v>
      </c>
      <c r="N154" s="12">
        <f t="shared" si="15"/>
        <v>0.15353333333333752</v>
      </c>
      <c r="O154" s="12">
        <f t="shared" si="16"/>
        <v>0.21999204812206569</v>
      </c>
    </row>
    <row r="155" spans="1:15">
      <c r="A155" s="33">
        <v>45627</v>
      </c>
      <c r="B155">
        <v>143</v>
      </c>
      <c r="C155">
        <v>267240.00000000501</v>
      </c>
      <c r="D155">
        <v>1.92</v>
      </c>
      <c r="E155">
        <v>43.05</v>
      </c>
      <c r="F155">
        <v>114.85</v>
      </c>
      <c r="G155">
        <v>95.18</v>
      </c>
      <c r="H155" s="12">
        <v>1</v>
      </c>
      <c r="I155" s="12">
        <v>1</v>
      </c>
      <c r="J155" s="12">
        <v>1</v>
      </c>
      <c r="K155">
        <f t="shared" si="17"/>
        <v>75240529.999999985</v>
      </c>
      <c r="L155">
        <f t="shared" si="18"/>
        <v>15525.419999999998</v>
      </c>
      <c r="M155">
        <f t="shared" si="19"/>
        <v>17295.409999999993</v>
      </c>
      <c r="N155" s="12">
        <f t="shared" si="15"/>
        <v>0.11135000000000209</v>
      </c>
      <c r="O155" s="12">
        <f t="shared" si="16"/>
        <v>0.21923231351981348</v>
      </c>
    </row>
    <row r="156" spans="1:15">
      <c r="A156" s="33">
        <v>45628</v>
      </c>
      <c r="B156">
        <v>144</v>
      </c>
      <c r="C156">
        <v>315059.999999983</v>
      </c>
      <c r="D156">
        <v>1.875</v>
      </c>
      <c r="E156">
        <v>43.36</v>
      </c>
      <c r="F156">
        <v>158.57</v>
      </c>
      <c r="G156">
        <v>78.75</v>
      </c>
      <c r="H156" s="12">
        <v>1</v>
      </c>
      <c r="I156" s="12">
        <v>1</v>
      </c>
      <c r="J156" s="12">
        <v>1</v>
      </c>
      <c r="K156">
        <f t="shared" si="17"/>
        <v>75555589.99999997</v>
      </c>
      <c r="L156">
        <f t="shared" si="18"/>
        <v>15683.989999999998</v>
      </c>
      <c r="M156">
        <f t="shared" si="19"/>
        <v>17374.159999999993</v>
      </c>
      <c r="N156" s="12">
        <f t="shared" si="15"/>
        <v>0.13127499999999293</v>
      </c>
      <c r="O156" s="12">
        <f t="shared" si="16"/>
        <v>0.21862149884259249</v>
      </c>
    </row>
    <row r="157" spans="1:15">
      <c r="A157" s="33">
        <v>45629</v>
      </c>
      <c r="B157">
        <v>145</v>
      </c>
      <c r="C157">
        <v>280040.00000000797</v>
      </c>
      <c r="D157">
        <v>2.2149999999999999</v>
      </c>
      <c r="E157">
        <v>43.01</v>
      </c>
      <c r="F157">
        <v>82.97</v>
      </c>
      <c r="G157">
        <v>92.57</v>
      </c>
      <c r="H157" s="12">
        <v>1</v>
      </c>
      <c r="I157" s="12">
        <v>1</v>
      </c>
      <c r="J157" s="12">
        <v>1</v>
      </c>
      <c r="K157">
        <f t="shared" si="17"/>
        <v>75835629.999999985</v>
      </c>
      <c r="L157">
        <f t="shared" si="18"/>
        <v>15766.959999999997</v>
      </c>
      <c r="M157">
        <f t="shared" si="19"/>
        <v>17466.729999999992</v>
      </c>
      <c r="N157" s="12">
        <f t="shared" si="15"/>
        <v>0.11668333333333665</v>
      </c>
      <c r="O157" s="12">
        <f t="shared" si="16"/>
        <v>0.21791847701149422</v>
      </c>
    </row>
    <row r="158" spans="1:15">
      <c r="A158" s="33">
        <v>45630</v>
      </c>
      <c r="B158">
        <v>146</v>
      </c>
      <c r="C158">
        <v>496169.99999999802</v>
      </c>
      <c r="D158">
        <v>4.01</v>
      </c>
      <c r="E158">
        <v>73.489999999999995</v>
      </c>
      <c r="F158">
        <v>120.86</v>
      </c>
      <c r="G158">
        <v>135.5</v>
      </c>
      <c r="H158" s="12">
        <v>0.99895833333333295</v>
      </c>
      <c r="I158" s="12">
        <v>1</v>
      </c>
      <c r="J158" s="12">
        <v>1</v>
      </c>
      <c r="K158">
        <f t="shared" si="17"/>
        <v>76331799.999999985</v>
      </c>
      <c r="L158">
        <f t="shared" si="18"/>
        <v>15887.819999999998</v>
      </c>
      <c r="M158">
        <f t="shared" si="19"/>
        <v>17602.229999999992</v>
      </c>
      <c r="N158" s="12">
        <f t="shared" si="15"/>
        <v>0.20673749999999919</v>
      </c>
      <c r="O158" s="12">
        <f t="shared" si="16"/>
        <v>0.21784189497716891</v>
      </c>
    </row>
    <row r="159" spans="1:15">
      <c r="A159" s="33">
        <v>45631</v>
      </c>
      <c r="B159">
        <v>147</v>
      </c>
      <c r="C159">
        <v>511200.00000001199</v>
      </c>
      <c r="D159">
        <v>4.03</v>
      </c>
      <c r="E159">
        <v>69.959999999999994</v>
      </c>
      <c r="F159">
        <v>120.37</v>
      </c>
      <c r="G159">
        <v>132.66</v>
      </c>
      <c r="H159" s="12">
        <v>1</v>
      </c>
      <c r="I159" s="12">
        <v>1</v>
      </c>
      <c r="J159" s="12">
        <v>1</v>
      </c>
      <c r="K159">
        <f t="shared" si="17"/>
        <v>76843000</v>
      </c>
      <c r="L159">
        <f t="shared" si="18"/>
        <v>16008.189999999999</v>
      </c>
      <c r="M159">
        <f t="shared" si="19"/>
        <v>17734.889999999992</v>
      </c>
      <c r="N159" s="12">
        <f t="shared" si="15"/>
        <v>0.21300000000000499</v>
      </c>
      <c r="O159" s="12">
        <f t="shared" si="16"/>
        <v>0.21780895691609978</v>
      </c>
    </row>
    <row r="160" spans="1:15">
      <c r="A160" s="33">
        <v>45632</v>
      </c>
      <c r="B160">
        <v>148</v>
      </c>
      <c r="C160">
        <v>463769.99999998999</v>
      </c>
      <c r="D160">
        <v>3.64</v>
      </c>
      <c r="E160">
        <v>67.989999999999995</v>
      </c>
      <c r="F160">
        <v>120.85</v>
      </c>
      <c r="G160">
        <v>134.68</v>
      </c>
      <c r="H160" s="12">
        <v>0.99944191127576698</v>
      </c>
      <c r="I160" s="12">
        <v>1</v>
      </c>
      <c r="J160" s="12">
        <v>1</v>
      </c>
      <c r="K160">
        <f t="shared" si="17"/>
        <v>77306769.999999985</v>
      </c>
      <c r="L160">
        <f t="shared" si="18"/>
        <v>16129.039999999999</v>
      </c>
      <c r="M160">
        <f t="shared" si="19"/>
        <v>17869.569999999992</v>
      </c>
      <c r="N160" s="12">
        <f t="shared" si="15"/>
        <v>0.19323749999999582</v>
      </c>
      <c r="O160" s="12">
        <f t="shared" si="16"/>
        <v>0.21764293355855852</v>
      </c>
    </row>
    <row r="161" spans="1:15">
      <c r="A161" s="33">
        <v>45633</v>
      </c>
      <c r="B161">
        <v>149</v>
      </c>
      <c r="C161">
        <v>265300.00000000303</v>
      </c>
      <c r="D161">
        <v>2.1850000000000001</v>
      </c>
      <c r="E161">
        <v>42.18</v>
      </c>
      <c r="F161">
        <v>87.39</v>
      </c>
      <c r="G161">
        <v>96.43</v>
      </c>
      <c r="H161" s="12">
        <v>1</v>
      </c>
      <c r="I161" s="12">
        <v>1</v>
      </c>
      <c r="J161" s="12">
        <v>1</v>
      </c>
      <c r="K161">
        <f t="shared" si="17"/>
        <v>77572069.999999985</v>
      </c>
      <c r="L161">
        <f t="shared" si="18"/>
        <v>16216.429999999998</v>
      </c>
      <c r="M161">
        <f t="shared" si="19"/>
        <v>17965.999999999993</v>
      </c>
      <c r="N161" s="12">
        <f t="shared" si="15"/>
        <v>0.11054166666666793</v>
      </c>
      <c r="O161" s="12">
        <f t="shared" si="16"/>
        <v>0.21692413310961964</v>
      </c>
    </row>
    <row r="162" spans="1:15">
      <c r="A162" s="33">
        <v>45634</v>
      </c>
      <c r="B162">
        <v>150</v>
      </c>
      <c r="C162">
        <v>305869.99999999499</v>
      </c>
      <c r="D162">
        <v>2.5</v>
      </c>
      <c r="E162">
        <v>41.68</v>
      </c>
      <c r="F162">
        <v>118.81</v>
      </c>
      <c r="G162">
        <v>130.19999999999999</v>
      </c>
      <c r="H162" s="12">
        <v>0.999475065616798</v>
      </c>
      <c r="I162" s="12">
        <v>1</v>
      </c>
      <c r="J162" s="12">
        <v>1</v>
      </c>
      <c r="K162">
        <f t="shared" si="17"/>
        <v>77877939.999999985</v>
      </c>
      <c r="L162">
        <f t="shared" si="18"/>
        <v>16335.239999999998</v>
      </c>
      <c r="M162">
        <f t="shared" si="19"/>
        <v>18096.199999999993</v>
      </c>
      <c r="N162" s="12">
        <f t="shared" si="15"/>
        <v>0.12744583333333126</v>
      </c>
      <c r="O162" s="12">
        <f t="shared" si="16"/>
        <v>0.21632761111111107</v>
      </c>
    </row>
    <row r="163" spans="1:15">
      <c r="A163" s="33">
        <v>45635</v>
      </c>
      <c r="B163">
        <v>151</v>
      </c>
      <c r="C163">
        <v>486150.00000000902</v>
      </c>
      <c r="D163">
        <v>3.6549999999999998</v>
      </c>
      <c r="E163">
        <v>65.58</v>
      </c>
      <c r="F163">
        <v>120.89</v>
      </c>
      <c r="G163">
        <v>136.01</v>
      </c>
      <c r="H163" s="12">
        <v>1</v>
      </c>
      <c r="I163" s="12">
        <v>1</v>
      </c>
      <c r="J163" s="12">
        <v>1</v>
      </c>
      <c r="K163">
        <f t="shared" si="17"/>
        <v>78364090</v>
      </c>
      <c r="L163">
        <f t="shared" si="18"/>
        <v>16456.129999999997</v>
      </c>
      <c r="M163">
        <f t="shared" si="19"/>
        <v>18232.209999999992</v>
      </c>
      <c r="N163" s="12">
        <f t="shared" si="15"/>
        <v>0.20256250000000375</v>
      </c>
      <c r="O163" s="12">
        <f t="shared" si="16"/>
        <v>0.21623645143487857</v>
      </c>
    </row>
    <row r="164" spans="1:15">
      <c r="A164" s="33">
        <v>45636</v>
      </c>
      <c r="B164">
        <v>152</v>
      </c>
      <c r="C164">
        <v>593419.99999998405</v>
      </c>
      <c r="D164">
        <v>4.33</v>
      </c>
      <c r="E164">
        <v>82.18</v>
      </c>
      <c r="F164">
        <v>121.28</v>
      </c>
      <c r="G164">
        <v>134.77000000000001</v>
      </c>
      <c r="H164" s="12">
        <v>1</v>
      </c>
      <c r="I164" s="12">
        <v>1</v>
      </c>
      <c r="J164" s="12">
        <v>1</v>
      </c>
      <c r="K164">
        <f t="shared" si="17"/>
        <v>78957509.999999985</v>
      </c>
      <c r="L164">
        <f t="shared" si="18"/>
        <v>16577.409999999996</v>
      </c>
      <c r="M164">
        <f t="shared" si="19"/>
        <v>18366.979999999992</v>
      </c>
      <c r="N164" s="12">
        <f t="shared" si="15"/>
        <v>0.2472583333333267</v>
      </c>
      <c r="O164" s="12">
        <f t="shared" si="16"/>
        <v>0.21644054276315786</v>
      </c>
    </row>
    <row r="165" spans="1:15">
      <c r="A165" s="33">
        <v>45637</v>
      </c>
      <c r="B165">
        <v>153</v>
      </c>
      <c r="C165">
        <v>603639.99999999895</v>
      </c>
      <c r="D165">
        <v>4.41</v>
      </c>
      <c r="E165">
        <v>84.56</v>
      </c>
      <c r="F165">
        <v>121.06</v>
      </c>
      <c r="G165">
        <v>134.47999999999999</v>
      </c>
      <c r="H165" s="12">
        <v>0.99980851165685303</v>
      </c>
      <c r="I165" s="12">
        <v>1</v>
      </c>
      <c r="J165" s="12">
        <v>1</v>
      </c>
      <c r="K165">
        <f t="shared" si="17"/>
        <v>79561149.999999985</v>
      </c>
      <c r="L165">
        <f t="shared" si="18"/>
        <v>16698.469999999998</v>
      </c>
      <c r="M165">
        <f t="shared" si="19"/>
        <v>18501.459999999992</v>
      </c>
      <c r="N165" s="12">
        <f t="shared" si="15"/>
        <v>0.25151666666666622</v>
      </c>
      <c r="O165" s="12">
        <f t="shared" si="16"/>
        <v>0.2166697984749455</v>
      </c>
    </row>
    <row r="166" spans="1:15">
      <c r="A166" s="33">
        <v>45638</v>
      </c>
      <c r="B166">
        <v>154</v>
      </c>
      <c r="C166">
        <v>582850.00000000605</v>
      </c>
      <c r="D166">
        <v>4.3150000000000004</v>
      </c>
      <c r="E166">
        <v>80.91</v>
      </c>
      <c r="F166">
        <v>120.96</v>
      </c>
      <c r="G166">
        <v>134.12</v>
      </c>
      <c r="H166" s="12">
        <v>0.99984490575041796</v>
      </c>
      <c r="I166" s="12">
        <v>1</v>
      </c>
      <c r="J166" s="12">
        <v>1</v>
      </c>
      <c r="K166">
        <f t="shared" si="17"/>
        <v>80143999.999999985</v>
      </c>
      <c r="L166">
        <f t="shared" si="18"/>
        <v>16819.429999999997</v>
      </c>
      <c r="M166">
        <f t="shared" si="19"/>
        <v>18635.579999999991</v>
      </c>
      <c r="N166" s="12">
        <f t="shared" si="15"/>
        <v>0.2428541666666692</v>
      </c>
      <c r="O166" s="12">
        <f t="shared" si="16"/>
        <v>0.2168398268398268</v>
      </c>
    </row>
    <row r="167" spans="1:15">
      <c r="A167" s="33">
        <v>45639</v>
      </c>
      <c r="B167">
        <v>155</v>
      </c>
      <c r="C167">
        <v>620850.00000000605</v>
      </c>
      <c r="D167">
        <v>4.51</v>
      </c>
      <c r="E167">
        <v>85.11</v>
      </c>
      <c r="F167">
        <v>120.78</v>
      </c>
      <c r="G167">
        <v>134.36000000000001</v>
      </c>
      <c r="H167" s="12">
        <v>1</v>
      </c>
      <c r="I167" s="12">
        <v>1</v>
      </c>
      <c r="J167" s="12">
        <v>1</v>
      </c>
      <c r="K167">
        <f t="shared" si="17"/>
        <v>80764849.999999985</v>
      </c>
      <c r="L167">
        <f t="shared" si="18"/>
        <v>16940.209999999995</v>
      </c>
      <c r="M167">
        <f t="shared" si="19"/>
        <v>18769.939999999991</v>
      </c>
      <c r="N167" s="12">
        <f t="shared" si="15"/>
        <v>0.25868750000000251</v>
      </c>
      <c r="O167" s="12">
        <f t="shared" si="16"/>
        <v>0.21710981182795694</v>
      </c>
    </row>
    <row r="168" spans="1:15">
      <c r="A168" s="33">
        <v>45640</v>
      </c>
      <c r="B168">
        <v>156</v>
      </c>
      <c r="C168">
        <v>648339.99999999697</v>
      </c>
      <c r="D168">
        <v>4.67</v>
      </c>
      <c r="E168">
        <v>88.24</v>
      </c>
      <c r="F168">
        <v>121.04</v>
      </c>
      <c r="G168">
        <v>133.94</v>
      </c>
      <c r="H168" s="12">
        <v>0.99986814693705295</v>
      </c>
      <c r="I168" s="12">
        <v>1</v>
      </c>
      <c r="J168" s="12">
        <v>1</v>
      </c>
      <c r="K168">
        <f t="shared" si="17"/>
        <v>81413189.999999985</v>
      </c>
      <c r="L168">
        <f t="shared" si="18"/>
        <v>17061.249999999996</v>
      </c>
      <c r="M168">
        <f t="shared" si="19"/>
        <v>18903.87999999999</v>
      </c>
      <c r="N168" s="12">
        <f t="shared" si="15"/>
        <v>0.27014166666666539</v>
      </c>
      <c r="O168" s="12">
        <f t="shared" si="16"/>
        <v>0.21744975961538457</v>
      </c>
    </row>
    <row r="169" spans="1:15">
      <c r="A169" s="33">
        <v>45641</v>
      </c>
      <c r="B169">
        <v>157</v>
      </c>
      <c r="C169">
        <v>669380.00000000501</v>
      </c>
      <c r="D169">
        <v>4.8150000000000004</v>
      </c>
      <c r="E169">
        <v>89.38</v>
      </c>
      <c r="F169">
        <v>120.67</v>
      </c>
      <c r="G169">
        <v>134.46</v>
      </c>
      <c r="H169" s="12">
        <v>1</v>
      </c>
      <c r="I169" s="12">
        <v>1</v>
      </c>
      <c r="J169" s="12">
        <v>1</v>
      </c>
      <c r="K169">
        <f t="shared" si="17"/>
        <v>82082569.999999985</v>
      </c>
      <c r="L169">
        <f t="shared" si="18"/>
        <v>17181.919999999995</v>
      </c>
      <c r="M169">
        <f t="shared" si="19"/>
        <v>19038.339999999989</v>
      </c>
      <c r="N169" s="12">
        <f t="shared" si="15"/>
        <v>0.27890833333333542</v>
      </c>
      <c r="O169" s="12">
        <f t="shared" si="16"/>
        <v>0.2178412154989384</v>
      </c>
    </row>
    <row r="170" spans="1:15">
      <c r="A170" s="33">
        <v>45642</v>
      </c>
      <c r="B170">
        <v>158</v>
      </c>
      <c r="C170">
        <v>642949.99999999697</v>
      </c>
      <c r="D170">
        <v>4.67</v>
      </c>
      <c r="E170">
        <v>86.32</v>
      </c>
      <c r="F170">
        <v>120.59</v>
      </c>
      <c r="G170">
        <v>134.66</v>
      </c>
      <c r="H170" s="12">
        <v>1</v>
      </c>
      <c r="I170" s="12">
        <v>1</v>
      </c>
      <c r="J170" s="12">
        <v>1</v>
      </c>
      <c r="K170">
        <f t="shared" si="17"/>
        <v>82725519.999999985</v>
      </c>
      <c r="L170">
        <f t="shared" si="18"/>
        <v>17302.509999999995</v>
      </c>
      <c r="M170">
        <f t="shared" si="19"/>
        <v>19172.999999999989</v>
      </c>
      <c r="N170" s="12">
        <f t="shared" si="15"/>
        <v>0.26789583333333206</v>
      </c>
      <c r="O170" s="12">
        <f t="shared" si="16"/>
        <v>0.21815801687763708</v>
      </c>
    </row>
    <row r="171" spans="1:15">
      <c r="A171" s="33">
        <v>45643</v>
      </c>
      <c r="B171">
        <v>159</v>
      </c>
      <c r="C171">
        <v>621139.99999999895</v>
      </c>
      <c r="D171">
        <v>4.5350000000000001</v>
      </c>
      <c r="E171">
        <v>85.82</v>
      </c>
      <c r="F171">
        <v>120.45</v>
      </c>
      <c r="G171">
        <v>133.59</v>
      </c>
      <c r="H171" s="12">
        <v>1</v>
      </c>
      <c r="I171" s="12">
        <v>1</v>
      </c>
      <c r="J171" s="12">
        <v>1</v>
      </c>
      <c r="K171">
        <f t="shared" si="17"/>
        <v>83346659.999999985</v>
      </c>
      <c r="L171">
        <f t="shared" si="18"/>
        <v>17422.959999999995</v>
      </c>
      <c r="M171">
        <f t="shared" si="19"/>
        <v>19306.589999999989</v>
      </c>
      <c r="N171" s="12">
        <f t="shared" si="15"/>
        <v>0.25880833333333292</v>
      </c>
      <c r="O171" s="12">
        <f t="shared" si="16"/>
        <v>0.21841367924528299</v>
      </c>
    </row>
    <row r="172" spans="1:15">
      <c r="A172" s="33">
        <v>45644</v>
      </c>
      <c r="B172">
        <v>160</v>
      </c>
      <c r="C172">
        <v>582699.99999999697</v>
      </c>
      <c r="D172">
        <v>4.2750000000000004</v>
      </c>
      <c r="E172">
        <v>79.489999999999995</v>
      </c>
      <c r="F172">
        <v>120.84</v>
      </c>
      <c r="G172">
        <v>133.53</v>
      </c>
      <c r="H172" s="12">
        <v>1</v>
      </c>
      <c r="I172" s="12">
        <v>1</v>
      </c>
      <c r="J172" s="12">
        <v>1</v>
      </c>
      <c r="K172">
        <f t="shared" si="17"/>
        <v>83929359.999999985</v>
      </c>
      <c r="L172">
        <f t="shared" si="18"/>
        <v>17543.799999999996</v>
      </c>
      <c r="M172">
        <f t="shared" si="19"/>
        <v>19440.119999999988</v>
      </c>
      <c r="N172" s="12">
        <f t="shared" si="15"/>
        <v>0.24279166666666541</v>
      </c>
      <c r="O172" s="12">
        <f t="shared" si="16"/>
        <v>0.21856604166666663</v>
      </c>
    </row>
    <row r="173" spans="1:15">
      <c r="A173" s="33">
        <v>45645</v>
      </c>
      <c r="B173">
        <v>161</v>
      </c>
      <c r="C173">
        <v>550619.99999999499</v>
      </c>
      <c r="D173">
        <v>4.01</v>
      </c>
      <c r="E173">
        <v>78.849999999999994</v>
      </c>
      <c r="F173">
        <v>120.81</v>
      </c>
      <c r="G173">
        <v>134.1</v>
      </c>
      <c r="H173" s="12">
        <v>1</v>
      </c>
      <c r="I173" s="12">
        <v>1</v>
      </c>
      <c r="J173" s="12">
        <v>1</v>
      </c>
      <c r="K173">
        <f t="shared" si="17"/>
        <v>84479979.999999985</v>
      </c>
      <c r="L173">
        <f t="shared" si="18"/>
        <v>17664.609999999997</v>
      </c>
      <c r="M173">
        <f t="shared" si="19"/>
        <v>19574.219999999987</v>
      </c>
      <c r="N173" s="12">
        <f t="shared" si="15"/>
        <v>0.22942499999999791</v>
      </c>
      <c r="O173" s="12">
        <f t="shared" si="16"/>
        <v>0.21863348861283641</v>
      </c>
    </row>
    <row r="174" spans="1:15">
      <c r="A174" s="33">
        <v>45646</v>
      </c>
      <c r="B174">
        <v>162</v>
      </c>
      <c r="C174">
        <v>478970.00000000099</v>
      </c>
      <c r="D174">
        <v>3.625</v>
      </c>
      <c r="E174">
        <v>74.260000000000005</v>
      </c>
      <c r="F174">
        <v>120.95</v>
      </c>
      <c r="G174">
        <v>133.86000000000001</v>
      </c>
      <c r="H174" s="12">
        <v>1</v>
      </c>
      <c r="I174" s="12">
        <v>1</v>
      </c>
      <c r="J174" s="12">
        <v>1</v>
      </c>
      <c r="K174">
        <f t="shared" si="17"/>
        <v>84958949.999999985</v>
      </c>
      <c r="L174">
        <f t="shared" si="18"/>
        <v>17785.559999999998</v>
      </c>
      <c r="M174">
        <f t="shared" si="19"/>
        <v>19708.079999999987</v>
      </c>
      <c r="N174" s="12">
        <f t="shared" si="15"/>
        <v>0.19957083333333375</v>
      </c>
      <c r="O174" s="12">
        <f t="shared" si="16"/>
        <v>0.21851581790123453</v>
      </c>
    </row>
    <row r="175" spans="1:15">
      <c r="A175" s="33">
        <v>45647</v>
      </c>
      <c r="B175">
        <v>163</v>
      </c>
      <c r="C175">
        <v>308300.000000017</v>
      </c>
      <c r="D175">
        <v>2.4249999999999998</v>
      </c>
      <c r="E175">
        <v>59.61</v>
      </c>
      <c r="F175">
        <v>88.87</v>
      </c>
      <c r="G175">
        <v>96.52</v>
      </c>
      <c r="H175" s="12">
        <v>1</v>
      </c>
      <c r="I175" s="12">
        <v>1</v>
      </c>
      <c r="J175" s="12">
        <v>1</v>
      </c>
      <c r="K175">
        <f t="shared" si="17"/>
        <v>85267250</v>
      </c>
      <c r="L175">
        <f t="shared" si="18"/>
        <v>17874.429999999997</v>
      </c>
      <c r="M175">
        <f t="shared" si="19"/>
        <v>19804.599999999988</v>
      </c>
      <c r="N175" s="12">
        <f t="shared" si="15"/>
        <v>0.12845833333334042</v>
      </c>
      <c r="O175" s="12">
        <f t="shared" si="16"/>
        <v>0.21796331799591001</v>
      </c>
    </row>
    <row r="176" spans="1:15">
      <c r="A176" s="33">
        <v>45648</v>
      </c>
      <c r="B176">
        <v>164</v>
      </c>
      <c r="C176">
        <v>519479.99999999598</v>
      </c>
      <c r="D176">
        <v>3.8650000000000002</v>
      </c>
      <c r="E176">
        <v>69.19</v>
      </c>
      <c r="F176">
        <v>119.44</v>
      </c>
      <c r="G176">
        <v>132.44</v>
      </c>
      <c r="H176" s="12">
        <v>1</v>
      </c>
      <c r="I176" s="12">
        <v>1</v>
      </c>
      <c r="J176" s="12">
        <v>0.98055159850325002</v>
      </c>
      <c r="K176">
        <f t="shared" si="17"/>
        <v>85786730</v>
      </c>
      <c r="L176">
        <f t="shared" si="18"/>
        <v>17993.869999999995</v>
      </c>
      <c r="M176">
        <f t="shared" si="19"/>
        <v>19937.039999999986</v>
      </c>
      <c r="N176" s="12">
        <f t="shared" si="15"/>
        <v>0.21644999999999834</v>
      </c>
      <c r="O176" s="12">
        <f t="shared" si="16"/>
        <v>0.21795409044715447</v>
      </c>
    </row>
    <row r="177" spans="1:15">
      <c r="A177" s="33">
        <v>45649</v>
      </c>
      <c r="B177">
        <v>165</v>
      </c>
      <c r="C177">
        <v>528449.999999983</v>
      </c>
      <c r="D177">
        <v>3.9249999999999998</v>
      </c>
      <c r="E177">
        <v>72.739999999999995</v>
      </c>
      <c r="F177">
        <v>120.85</v>
      </c>
      <c r="G177">
        <v>134.54</v>
      </c>
      <c r="H177" s="12">
        <v>0.99966542395564495</v>
      </c>
      <c r="I177" s="12">
        <v>1</v>
      </c>
      <c r="J177" s="12">
        <v>1</v>
      </c>
      <c r="K177">
        <f t="shared" si="17"/>
        <v>86315179.999999985</v>
      </c>
      <c r="L177">
        <f t="shared" si="18"/>
        <v>18114.719999999994</v>
      </c>
      <c r="M177">
        <f t="shared" si="19"/>
        <v>20071.579999999987</v>
      </c>
      <c r="N177" s="12">
        <f t="shared" si="15"/>
        <v>0.22018749999999293</v>
      </c>
      <c r="O177" s="12">
        <f t="shared" si="16"/>
        <v>0.21796762626262622</v>
      </c>
    </row>
    <row r="178" spans="1:15">
      <c r="A178" s="33">
        <v>45650</v>
      </c>
      <c r="B178">
        <v>166</v>
      </c>
      <c r="C178">
        <v>430370.00000001001</v>
      </c>
      <c r="D178">
        <v>3.3450000000000002</v>
      </c>
      <c r="E178">
        <v>78.349999999999994</v>
      </c>
      <c r="F178">
        <v>120.99</v>
      </c>
      <c r="G178">
        <v>134.15</v>
      </c>
      <c r="H178" s="12">
        <v>0.99926879555044101</v>
      </c>
      <c r="I178" s="12">
        <v>1</v>
      </c>
      <c r="J178" s="12">
        <v>1</v>
      </c>
      <c r="K178">
        <f t="shared" si="17"/>
        <v>86745550</v>
      </c>
      <c r="L178">
        <f t="shared" si="18"/>
        <v>18235.709999999995</v>
      </c>
      <c r="M178">
        <f t="shared" si="19"/>
        <v>20205.729999999989</v>
      </c>
      <c r="N178" s="12">
        <f t="shared" si="15"/>
        <v>0.17932083333333751</v>
      </c>
      <c r="O178" s="12">
        <f t="shared" si="16"/>
        <v>0.21773481425702812</v>
      </c>
    </row>
    <row r="179" spans="1:15">
      <c r="A179" s="33">
        <v>45651</v>
      </c>
      <c r="B179">
        <v>167</v>
      </c>
      <c r="C179">
        <v>343699.99999999697</v>
      </c>
      <c r="D179">
        <v>2.7</v>
      </c>
      <c r="E179">
        <v>47.09</v>
      </c>
      <c r="F179">
        <v>120.8</v>
      </c>
      <c r="G179">
        <v>134.01</v>
      </c>
      <c r="H179" s="12">
        <v>1</v>
      </c>
      <c r="I179" s="12">
        <v>1</v>
      </c>
      <c r="J179" s="12">
        <v>1</v>
      </c>
      <c r="K179">
        <f t="shared" si="17"/>
        <v>87089250</v>
      </c>
      <c r="L179">
        <f t="shared" si="18"/>
        <v>18356.509999999995</v>
      </c>
      <c r="M179">
        <f t="shared" si="19"/>
        <v>20339.739999999987</v>
      </c>
      <c r="N179" s="12">
        <f t="shared" si="15"/>
        <v>0.14320833333333208</v>
      </c>
      <c r="O179" s="12">
        <f t="shared" si="16"/>
        <v>0.21728854790419161</v>
      </c>
    </row>
    <row r="180" spans="1:15">
      <c r="A180" s="33">
        <v>45652</v>
      </c>
      <c r="B180">
        <v>168</v>
      </c>
      <c r="C180">
        <v>374699.99999999697</v>
      </c>
      <c r="D180">
        <v>3.0350000000000001</v>
      </c>
      <c r="E180">
        <v>67.56</v>
      </c>
      <c r="F180">
        <v>120.8</v>
      </c>
      <c r="G180">
        <v>133.83000000000001</v>
      </c>
      <c r="H180" s="12">
        <v>0.999832975423527</v>
      </c>
      <c r="I180" s="12">
        <v>1</v>
      </c>
      <c r="J180" s="12">
        <v>1</v>
      </c>
      <c r="K180">
        <f t="shared" si="17"/>
        <v>87463950</v>
      </c>
      <c r="L180">
        <f t="shared" si="18"/>
        <v>18477.309999999994</v>
      </c>
      <c r="M180">
        <f t="shared" si="19"/>
        <v>20473.569999999989</v>
      </c>
      <c r="N180" s="12">
        <f t="shared" si="15"/>
        <v>0.15612499999999874</v>
      </c>
      <c r="O180" s="12">
        <f t="shared" si="16"/>
        <v>0.21692447916666666</v>
      </c>
    </row>
    <row r="181" spans="1:15">
      <c r="A181" s="33">
        <v>45653</v>
      </c>
      <c r="B181">
        <v>169</v>
      </c>
      <c r="C181">
        <v>497440.00000000198</v>
      </c>
      <c r="D181">
        <v>3.96</v>
      </c>
      <c r="E181">
        <v>69.930000000000007</v>
      </c>
      <c r="F181">
        <v>120.13</v>
      </c>
      <c r="G181">
        <v>133.88999999999999</v>
      </c>
      <c r="H181" s="12">
        <v>0.98839332290036497</v>
      </c>
      <c r="I181" s="12">
        <v>1</v>
      </c>
      <c r="J181" s="12">
        <v>1</v>
      </c>
      <c r="K181">
        <f t="shared" si="17"/>
        <v>87961390</v>
      </c>
      <c r="L181">
        <f t="shared" si="18"/>
        <v>18597.439999999995</v>
      </c>
      <c r="M181">
        <f t="shared" si="19"/>
        <v>20607.459999999988</v>
      </c>
      <c r="N181" s="12">
        <f t="shared" si="15"/>
        <v>0.20726666666666749</v>
      </c>
      <c r="O181" s="12">
        <f t="shared" si="16"/>
        <v>0.21686733234714003</v>
      </c>
    </row>
    <row r="182" spans="1:15">
      <c r="A182" s="33">
        <v>45654</v>
      </c>
      <c r="B182">
        <v>170</v>
      </c>
      <c r="C182">
        <v>479750</v>
      </c>
      <c r="D182">
        <v>3.68</v>
      </c>
      <c r="E182">
        <v>67.59</v>
      </c>
      <c r="F182">
        <v>121.35</v>
      </c>
      <c r="G182">
        <v>133.66999999999999</v>
      </c>
      <c r="H182" s="12">
        <v>0.99915427863541095</v>
      </c>
      <c r="I182" s="12">
        <v>1</v>
      </c>
      <c r="J182" s="12">
        <v>1</v>
      </c>
      <c r="K182">
        <f t="shared" si="17"/>
        <v>88441140</v>
      </c>
      <c r="L182">
        <f t="shared" si="18"/>
        <v>18718.789999999994</v>
      </c>
      <c r="M182">
        <f t="shared" si="19"/>
        <v>20741.129999999986</v>
      </c>
      <c r="N182" s="12">
        <f t="shared" si="15"/>
        <v>0.19989583333333333</v>
      </c>
      <c r="O182" s="12">
        <f t="shared" si="16"/>
        <v>0.2167675</v>
      </c>
    </row>
    <row r="183" spans="1:15">
      <c r="A183" s="33">
        <v>45655</v>
      </c>
      <c r="B183">
        <v>171</v>
      </c>
      <c r="C183">
        <v>523029.99999999901</v>
      </c>
      <c r="D183">
        <v>3.9750000000000001</v>
      </c>
      <c r="E183">
        <v>70.14</v>
      </c>
      <c r="F183">
        <v>121.22</v>
      </c>
      <c r="G183">
        <v>134.84</v>
      </c>
      <c r="H183" s="12">
        <v>0.99988107130964299</v>
      </c>
      <c r="I183" s="12">
        <v>1</v>
      </c>
      <c r="J183" s="12">
        <v>1</v>
      </c>
      <c r="K183">
        <f t="shared" si="17"/>
        <v>88964170</v>
      </c>
      <c r="L183">
        <f t="shared" si="18"/>
        <v>18840.009999999995</v>
      </c>
      <c r="M183">
        <f t="shared" si="19"/>
        <v>20875.969999999987</v>
      </c>
      <c r="N183" s="12">
        <f t="shared" si="15"/>
        <v>0.21792916666666626</v>
      </c>
      <c r="O183" s="12">
        <f t="shared" si="16"/>
        <v>0.21677429337231968</v>
      </c>
    </row>
    <row r="184" spans="1:15">
      <c r="A184" s="33">
        <v>45656</v>
      </c>
      <c r="B184">
        <v>172</v>
      </c>
      <c r="C184">
        <v>522010.00000000902</v>
      </c>
      <c r="D184">
        <v>4.08</v>
      </c>
      <c r="E184">
        <v>70.94</v>
      </c>
      <c r="F184">
        <v>121.19</v>
      </c>
      <c r="G184">
        <v>134.65</v>
      </c>
      <c r="H184" s="12">
        <v>0.99267321098307004</v>
      </c>
      <c r="I184" s="12">
        <v>1</v>
      </c>
      <c r="J184" s="12">
        <v>1</v>
      </c>
      <c r="K184">
        <f t="shared" si="17"/>
        <v>89486180.000000015</v>
      </c>
      <c r="L184">
        <f t="shared" si="18"/>
        <v>18961.199999999993</v>
      </c>
      <c r="M184">
        <f t="shared" si="19"/>
        <v>21010.619999999988</v>
      </c>
      <c r="N184" s="12">
        <f t="shared" si="15"/>
        <v>0.21750416666667041</v>
      </c>
      <c r="O184" s="12">
        <f t="shared" si="16"/>
        <v>0.21677853682170548</v>
      </c>
    </row>
    <row r="185" spans="1:15">
      <c r="A185" s="33">
        <v>45657</v>
      </c>
      <c r="B185">
        <v>173</v>
      </c>
      <c r="C185">
        <v>610720.00000000105</v>
      </c>
      <c r="D185">
        <v>4.5449999999999999</v>
      </c>
      <c r="E185">
        <v>81.23</v>
      </c>
      <c r="F185">
        <v>121.44</v>
      </c>
      <c r="G185">
        <v>134.47</v>
      </c>
      <c r="H185" s="12">
        <v>0.99863660074927696</v>
      </c>
      <c r="I185" s="12">
        <v>1</v>
      </c>
      <c r="J185" s="12">
        <v>1</v>
      </c>
      <c r="K185">
        <f t="shared" si="17"/>
        <v>90096900.000000015</v>
      </c>
      <c r="L185">
        <f t="shared" si="18"/>
        <v>19082.639999999992</v>
      </c>
      <c r="M185">
        <f t="shared" si="19"/>
        <v>21145.089999999989</v>
      </c>
      <c r="N185" s="12">
        <f t="shared" si="15"/>
        <v>0.25446666666666712</v>
      </c>
      <c r="O185" s="12">
        <f t="shared" si="16"/>
        <v>0.21699638728323703</v>
      </c>
    </row>
    <row r="186" spans="1:15">
      <c r="A186" s="33">
        <v>45658</v>
      </c>
      <c r="B186">
        <v>174</v>
      </c>
      <c r="C186">
        <v>680099.99999999104</v>
      </c>
      <c r="D186">
        <v>4.99</v>
      </c>
      <c r="E186">
        <v>90.11</v>
      </c>
      <c r="F186">
        <v>121.16</v>
      </c>
      <c r="G186">
        <v>135.25</v>
      </c>
      <c r="H186" s="12">
        <v>0.99976063957106598</v>
      </c>
      <c r="I186" s="12">
        <v>1</v>
      </c>
      <c r="J186" s="12">
        <v>1</v>
      </c>
      <c r="K186">
        <f t="shared" si="17"/>
        <v>90777000</v>
      </c>
      <c r="L186">
        <f t="shared" si="18"/>
        <v>19203.799999999992</v>
      </c>
      <c r="M186">
        <f t="shared" si="19"/>
        <v>21280.339999999989</v>
      </c>
      <c r="N186" s="12">
        <f t="shared" si="15"/>
        <v>0.28337499999999627</v>
      </c>
      <c r="O186" s="12">
        <f t="shared" si="16"/>
        <v>0.21737787356321839</v>
      </c>
    </row>
    <row r="187" spans="1:15">
      <c r="A187" s="33">
        <v>45659</v>
      </c>
      <c r="B187">
        <v>175</v>
      </c>
      <c r="C187">
        <v>678000</v>
      </c>
      <c r="D187">
        <v>4.97</v>
      </c>
      <c r="E187">
        <v>87.98</v>
      </c>
      <c r="F187">
        <v>121.45</v>
      </c>
      <c r="G187">
        <v>134.16999999999999</v>
      </c>
      <c r="H187" s="12">
        <v>1</v>
      </c>
      <c r="I187" s="12">
        <v>1</v>
      </c>
      <c r="J187" s="12">
        <v>1</v>
      </c>
      <c r="K187">
        <f t="shared" si="17"/>
        <v>91455000</v>
      </c>
      <c r="L187">
        <f t="shared" si="18"/>
        <v>19325.249999999993</v>
      </c>
      <c r="M187">
        <f t="shared" si="19"/>
        <v>21414.509999999987</v>
      </c>
      <c r="N187" s="12">
        <f t="shared" si="15"/>
        <v>0.28249999999999997</v>
      </c>
      <c r="O187" s="12">
        <f t="shared" si="16"/>
        <v>0.21775</v>
      </c>
    </row>
    <row r="188" spans="1:15">
      <c r="A188" s="33">
        <v>45660</v>
      </c>
      <c r="B188">
        <v>176</v>
      </c>
      <c r="C188">
        <v>667600.00000000605</v>
      </c>
      <c r="D188">
        <v>4.8849999999999998</v>
      </c>
      <c r="E188">
        <v>85.78</v>
      </c>
      <c r="F188">
        <v>121.05</v>
      </c>
      <c r="G188">
        <v>133.63999999999999</v>
      </c>
      <c r="H188" s="12">
        <v>0.99990455738487205</v>
      </c>
      <c r="I188" s="12">
        <v>1</v>
      </c>
      <c r="J188" s="12">
        <v>1</v>
      </c>
      <c r="K188">
        <f t="shared" si="17"/>
        <v>92122600</v>
      </c>
      <c r="L188">
        <f t="shared" si="18"/>
        <v>19446.299999999992</v>
      </c>
      <c r="M188">
        <f t="shared" si="19"/>
        <v>21548.149999999987</v>
      </c>
      <c r="N188" s="12">
        <f t="shared" si="15"/>
        <v>0.27816666666666917</v>
      </c>
      <c r="O188" s="12">
        <f t="shared" si="16"/>
        <v>0.21809327651515151</v>
      </c>
    </row>
    <row r="189" spans="1:15">
      <c r="A189" s="33">
        <v>45661</v>
      </c>
      <c r="B189">
        <v>177</v>
      </c>
      <c r="C189">
        <v>700380.00000000501</v>
      </c>
      <c r="D189">
        <v>5.1150000000000002</v>
      </c>
      <c r="E189">
        <v>89.52</v>
      </c>
      <c r="F189">
        <v>122.12</v>
      </c>
      <c r="G189">
        <v>135.33000000000001</v>
      </c>
      <c r="H189" s="12">
        <v>0.99984441572119298</v>
      </c>
      <c r="I189" s="12">
        <v>1</v>
      </c>
      <c r="J189" s="12">
        <v>1</v>
      </c>
      <c r="K189">
        <f t="shared" si="17"/>
        <v>92822980</v>
      </c>
      <c r="L189">
        <f t="shared" si="18"/>
        <v>19568.419999999991</v>
      </c>
      <c r="M189">
        <f t="shared" si="19"/>
        <v>21683.479999999989</v>
      </c>
      <c r="N189" s="12">
        <f t="shared" si="15"/>
        <v>0.29182500000000211</v>
      </c>
      <c r="O189" s="12">
        <f t="shared" si="16"/>
        <v>0.21850983992467043</v>
      </c>
    </row>
    <row r="190" spans="1:15">
      <c r="A190" s="33">
        <v>45662</v>
      </c>
      <c r="B190">
        <v>178</v>
      </c>
      <c r="C190">
        <v>637759.99999999499</v>
      </c>
      <c r="D190">
        <v>4.6500000000000004</v>
      </c>
      <c r="E190">
        <v>85.62</v>
      </c>
      <c r="F190">
        <v>121.11</v>
      </c>
      <c r="G190">
        <v>133.79</v>
      </c>
      <c r="H190" s="12">
        <v>0.99958243855881601</v>
      </c>
      <c r="I190" s="12">
        <v>1</v>
      </c>
      <c r="J190" s="12">
        <v>1</v>
      </c>
      <c r="K190">
        <f t="shared" si="17"/>
        <v>93460740</v>
      </c>
      <c r="L190">
        <f t="shared" si="18"/>
        <v>19689.529999999992</v>
      </c>
      <c r="M190">
        <f t="shared" si="19"/>
        <v>21817.26999999999</v>
      </c>
      <c r="N190" s="12">
        <f t="shared" si="15"/>
        <v>0.26573333333333127</v>
      </c>
      <c r="O190" s="12">
        <f t="shared" si="16"/>
        <v>0.21877514044943822</v>
      </c>
    </row>
    <row r="191" spans="1:15">
      <c r="A191" s="33">
        <v>45663</v>
      </c>
      <c r="B191">
        <v>179</v>
      </c>
      <c r="C191">
        <v>592719.99999998696</v>
      </c>
      <c r="D191">
        <v>4.3499999999999996</v>
      </c>
      <c r="E191">
        <v>76.06</v>
      </c>
      <c r="F191">
        <v>121.27</v>
      </c>
      <c r="G191">
        <v>134.21</v>
      </c>
      <c r="H191" s="12">
        <v>0.99964377315474495</v>
      </c>
      <c r="I191" s="12">
        <v>1</v>
      </c>
      <c r="J191" s="12">
        <v>1</v>
      </c>
      <c r="K191">
        <f t="shared" si="17"/>
        <v>94053459.999999985</v>
      </c>
      <c r="L191">
        <f t="shared" si="18"/>
        <v>19810.799999999992</v>
      </c>
      <c r="M191">
        <f t="shared" si="19"/>
        <v>21951.479999999989</v>
      </c>
      <c r="N191" s="12">
        <f t="shared" si="15"/>
        <v>0.24696666666666123</v>
      </c>
      <c r="O191" s="12">
        <f t="shared" si="16"/>
        <v>0.21893263500931096</v>
      </c>
    </row>
    <row r="192" spans="1:15">
      <c r="A192" s="33">
        <v>45664</v>
      </c>
      <c r="B192">
        <v>180</v>
      </c>
      <c r="C192">
        <v>597450.00000001199</v>
      </c>
      <c r="D192">
        <v>4.37</v>
      </c>
      <c r="E192">
        <v>77.06</v>
      </c>
      <c r="F192">
        <v>121.13</v>
      </c>
      <c r="G192">
        <v>134.68</v>
      </c>
      <c r="H192" s="12">
        <v>0.99906632628941505</v>
      </c>
      <c r="I192" s="12">
        <v>1</v>
      </c>
      <c r="J192" s="12">
        <v>1</v>
      </c>
      <c r="K192">
        <f t="shared" si="17"/>
        <v>94650910</v>
      </c>
      <c r="L192">
        <f t="shared" si="18"/>
        <v>19931.929999999993</v>
      </c>
      <c r="M192">
        <f t="shared" si="19"/>
        <v>22086.159999999989</v>
      </c>
      <c r="N192" s="12">
        <f t="shared" si="15"/>
        <v>0.248937500000005</v>
      </c>
      <c r="O192" s="12">
        <f t="shared" si="16"/>
        <v>0.21909932870370372</v>
      </c>
    </row>
    <row r="193" spans="1:15">
      <c r="A193" s="33">
        <v>45665</v>
      </c>
      <c r="B193">
        <v>181</v>
      </c>
      <c r="C193">
        <v>684599.99999999104</v>
      </c>
      <c r="D193">
        <v>4.9450000000000003</v>
      </c>
      <c r="E193">
        <v>86.63</v>
      </c>
      <c r="F193">
        <v>121.27</v>
      </c>
      <c r="G193">
        <v>134.37</v>
      </c>
      <c r="H193" s="12">
        <v>0.99815051927728005</v>
      </c>
      <c r="I193" s="12">
        <v>1</v>
      </c>
      <c r="J193" s="12">
        <v>1</v>
      </c>
      <c r="K193">
        <f t="shared" si="17"/>
        <v>95335509.999999985</v>
      </c>
      <c r="L193">
        <f t="shared" si="18"/>
        <v>20053.199999999993</v>
      </c>
      <c r="M193">
        <f t="shared" si="19"/>
        <v>22220.529999999988</v>
      </c>
      <c r="N193" s="12">
        <f t="shared" si="15"/>
        <v>0.28524999999999628</v>
      </c>
      <c r="O193" s="12">
        <f t="shared" si="16"/>
        <v>0.21946480202578267</v>
      </c>
    </row>
    <row r="194" spans="1:15">
      <c r="A194" s="33">
        <v>45666</v>
      </c>
      <c r="B194">
        <v>182</v>
      </c>
      <c r="C194">
        <v>656380.00000001898</v>
      </c>
      <c r="D194">
        <v>4.7350000000000003</v>
      </c>
      <c r="E194">
        <v>86.57</v>
      </c>
      <c r="F194">
        <v>121.67</v>
      </c>
      <c r="G194">
        <v>134.41</v>
      </c>
      <c r="H194" s="12">
        <v>0.99986958789775704</v>
      </c>
      <c r="I194" s="12">
        <v>1</v>
      </c>
      <c r="J194" s="12">
        <v>1</v>
      </c>
      <c r="K194">
        <f t="shared" si="17"/>
        <v>95991890</v>
      </c>
      <c r="L194">
        <f t="shared" si="18"/>
        <v>20174.869999999992</v>
      </c>
      <c r="M194">
        <f t="shared" si="19"/>
        <v>22354.939999999988</v>
      </c>
      <c r="N194" s="12">
        <f t="shared" si="15"/>
        <v>0.27349166666667457</v>
      </c>
      <c r="O194" s="12">
        <f t="shared" si="16"/>
        <v>0.21976165293040292</v>
      </c>
    </row>
    <row r="195" spans="1:15">
      <c r="A195" s="33">
        <v>45667</v>
      </c>
      <c r="B195">
        <v>183</v>
      </c>
      <c r="C195">
        <v>648989.99999999104</v>
      </c>
      <c r="D195">
        <v>4.66</v>
      </c>
      <c r="E195">
        <v>94.28</v>
      </c>
      <c r="F195">
        <v>121.7</v>
      </c>
      <c r="G195">
        <v>134.4</v>
      </c>
      <c r="H195" s="12">
        <v>0.99968089632676205</v>
      </c>
      <c r="I195" s="12">
        <v>1</v>
      </c>
      <c r="J195" s="12">
        <v>1</v>
      </c>
      <c r="K195">
        <f t="shared" si="17"/>
        <v>96640879.999999985</v>
      </c>
      <c r="L195">
        <f t="shared" si="18"/>
        <v>20296.569999999992</v>
      </c>
      <c r="M195">
        <f t="shared" si="19"/>
        <v>22489.339999999989</v>
      </c>
      <c r="N195" s="12">
        <f t="shared" si="15"/>
        <v>0.27041249999999628</v>
      </c>
      <c r="O195" s="12">
        <f t="shared" si="16"/>
        <v>0.22003843351548266</v>
      </c>
    </row>
    <row r="196" spans="1:15">
      <c r="A196" s="33">
        <v>45668</v>
      </c>
      <c r="B196">
        <v>184</v>
      </c>
      <c r="C196">
        <v>597720.00000000105</v>
      </c>
      <c r="D196">
        <v>4.3150000000000004</v>
      </c>
      <c r="E196">
        <v>80.400000000000006</v>
      </c>
      <c r="F196">
        <v>121</v>
      </c>
      <c r="G196">
        <v>134.38</v>
      </c>
      <c r="H196" s="12">
        <v>0.99798215802888701</v>
      </c>
      <c r="I196" s="12">
        <v>1</v>
      </c>
      <c r="J196" s="12">
        <v>1</v>
      </c>
      <c r="K196">
        <f t="shared" si="17"/>
        <v>97238599.999999985</v>
      </c>
      <c r="L196">
        <f t="shared" si="18"/>
        <v>20417.569999999992</v>
      </c>
      <c r="M196">
        <f t="shared" si="19"/>
        <v>22623.71999999999</v>
      </c>
      <c r="N196" s="12">
        <f t="shared" si="15"/>
        <v>0.24905000000000044</v>
      </c>
      <c r="O196" s="12">
        <f t="shared" si="16"/>
        <v>0.22019610507246373</v>
      </c>
    </row>
    <row r="197" spans="1:15">
      <c r="A197" s="33">
        <v>45669</v>
      </c>
      <c r="B197">
        <v>185</v>
      </c>
      <c r="C197">
        <v>513490.00000000501</v>
      </c>
      <c r="D197">
        <v>3.82</v>
      </c>
      <c r="E197">
        <v>65.47</v>
      </c>
      <c r="F197">
        <v>120.96</v>
      </c>
      <c r="G197">
        <v>133.34</v>
      </c>
      <c r="H197" s="12">
        <v>0.99951543516286101</v>
      </c>
      <c r="I197" s="12">
        <v>1</v>
      </c>
      <c r="J197" s="12">
        <v>1</v>
      </c>
      <c r="K197">
        <f t="shared" si="17"/>
        <v>97752089.999999985</v>
      </c>
      <c r="L197">
        <f t="shared" si="18"/>
        <v>20538.529999999992</v>
      </c>
      <c r="M197">
        <f t="shared" si="19"/>
        <v>22757.05999999999</v>
      </c>
      <c r="N197" s="12">
        <f t="shared" si="15"/>
        <v>0.21395416666666875</v>
      </c>
      <c r="O197" s="12">
        <f t="shared" si="16"/>
        <v>0.22016236486486482</v>
      </c>
    </row>
    <row r="198" spans="1:15">
      <c r="A198" s="33">
        <v>45670</v>
      </c>
      <c r="B198">
        <v>186</v>
      </c>
      <c r="C198">
        <v>420509.99999999499</v>
      </c>
      <c r="D198">
        <v>3.23</v>
      </c>
      <c r="E198">
        <v>56.37</v>
      </c>
      <c r="F198">
        <v>121.09</v>
      </c>
      <c r="G198">
        <v>133.94</v>
      </c>
      <c r="H198" s="12">
        <v>0.99969223484848502</v>
      </c>
      <c r="I198" s="12">
        <v>1</v>
      </c>
      <c r="J198" s="12">
        <v>1</v>
      </c>
      <c r="K198">
        <f t="shared" si="17"/>
        <v>98172599.999999985</v>
      </c>
      <c r="L198">
        <f t="shared" si="18"/>
        <v>20659.619999999992</v>
      </c>
      <c r="M198">
        <f t="shared" si="19"/>
        <v>22890.999999999989</v>
      </c>
      <c r="N198" s="12">
        <f t="shared" si="15"/>
        <v>0.17521249999999791</v>
      </c>
      <c r="O198" s="12">
        <f t="shared" si="16"/>
        <v>0.21992069892473115</v>
      </c>
    </row>
    <row r="199" spans="1:15">
      <c r="A199" s="33">
        <v>45671</v>
      </c>
      <c r="B199">
        <v>187</v>
      </c>
      <c r="C199">
        <v>485709.99999999203</v>
      </c>
      <c r="D199">
        <v>3.8250000000000002</v>
      </c>
      <c r="E199">
        <v>60.31</v>
      </c>
      <c r="F199">
        <v>120.9</v>
      </c>
      <c r="G199">
        <v>134.33000000000001</v>
      </c>
      <c r="H199" s="12">
        <v>0.98728312768874404</v>
      </c>
      <c r="I199" s="12">
        <v>1</v>
      </c>
      <c r="J199" s="12">
        <v>1</v>
      </c>
      <c r="K199">
        <f t="shared" si="17"/>
        <v>98658309.99999997</v>
      </c>
      <c r="L199">
        <f t="shared" si="18"/>
        <v>20780.519999999993</v>
      </c>
      <c r="M199">
        <f t="shared" si="19"/>
        <v>23025.329999999991</v>
      </c>
      <c r="N199" s="12">
        <f t="shared" si="15"/>
        <v>0.20237916666666333</v>
      </c>
      <c r="O199" s="12">
        <f t="shared" si="16"/>
        <v>0.21982689393939386</v>
      </c>
    </row>
    <row r="200" spans="1:15">
      <c r="A200" s="33">
        <v>45672</v>
      </c>
      <c r="B200">
        <v>188</v>
      </c>
      <c r="C200">
        <v>437840.000000011</v>
      </c>
      <c r="D200">
        <v>3.4049999999999998</v>
      </c>
      <c r="E200">
        <v>65.599999999999994</v>
      </c>
      <c r="F200">
        <v>121.01</v>
      </c>
      <c r="G200">
        <v>134.05000000000001</v>
      </c>
      <c r="H200" s="12">
        <v>0.99140049140049102</v>
      </c>
      <c r="I200" s="12">
        <v>1</v>
      </c>
      <c r="J200" s="12">
        <v>1</v>
      </c>
      <c r="K200">
        <f t="shared" si="17"/>
        <v>99096149.999999985</v>
      </c>
      <c r="L200">
        <f t="shared" si="18"/>
        <v>20901.529999999992</v>
      </c>
      <c r="M200">
        <f t="shared" si="19"/>
        <v>23159.37999999999</v>
      </c>
      <c r="N200" s="12">
        <f t="shared" si="15"/>
        <v>0.18243333333333792</v>
      </c>
      <c r="O200" s="12">
        <f t="shared" si="16"/>
        <v>0.21962799202127656</v>
      </c>
    </row>
    <row r="201" spans="1:15">
      <c r="A201" s="33">
        <v>45673</v>
      </c>
      <c r="B201">
        <v>189</v>
      </c>
      <c r="C201">
        <v>424959.99999999203</v>
      </c>
      <c r="D201">
        <v>3.2450000000000001</v>
      </c>
      <c r="E201">
        <v>73.16</v>
      </c>
      <c r="F201">
        <v>121.32</v>
      </c>
      <c r="G201">
        <v>133.31</v>
      </c>
      <c r="H201" s="12">
        <v>0.99219898515673199</v>
      </c>
      <c r="I201" s="12">
        <v>1</v>
      </c>
      <c r="J201" s="12">
        <v>1</v>
      </c>
      <c r="K201">
        <f t="shared" si="17"/>
        <v>99521109.99999997</v>
      </c>
      <c r="L201">
        <f t="shared" si="18"/>
        <v>21022.849999999991</v>
      </c>
      <c r="M201">
        <f t="shared" si="19"/>
        <v>23292.689999999991</v>
      </c>
      <c r="N201" s="12">
        <f t="shared" si="15"/>
        <v>0.17706666666666335</v>
      </c>
      <c r="O201" s="12">
        <f t="shared" si="16"/>
        <v>0.21940279982363309</v>
      </c>
    </row>
    <row r="202" spans="1:15">
      <c r="A202" s="33">
        <v>45674</v>
      </c>
      <c r="B202">
        <v>190</v>
      </c>
      <c r="C202">
        <v>589339.99999999697</v>
      </c>
      <c r="D202">
        <v>4.4000000000000004</v>
      </c>
      <c r="E202">
        <v>78.459999999999994</v>
      </c>
      <c r="F202">
        <v>121.66</v>
      </c>
      <c r="G202">
        <v>135.13999999999999</v>
      </c>
      <c r="H202" s="12">
        <v>0.99235409652076301</v>
      </c>
      <c r="I202" s="12">
        <v>1</v>
      </c>
      <c r="J202" s="12">
        <v>1</v>
      </c>
      <c r="K202">
        <f t="shared" si="17"/>
        <v>100110449.99999997</v>
      </c>
      <c r="L202">
        <f t="shared" si="18"/>
        <v>21144.509999999991</v>
      </c>
      <c r="M202">
        <f t="shared" si="19"/>
        <v>23427.829999999991</v>
      </c>
      <c r="N202" s="12">
        <f t="shared" si="15"/>
        <v>0.24555833333333207</v>
      </c>
      <c r="O202" s="12">
        <f t="shared" si="16"/>
        <v>0.21954046052631573</v>
      </c>
    </row>
    <row r="203" spans="1:15">
      <c r="A203" s="33">
        <v>45675</v>
      </c>
      <c r="B203">
        <v>191</v>
      </c>
      <c r="C203">
        <v>635160.00000000303</v>
      </c>
      <c r="D203">
        <v>4.7050000000000001</v>
      </c>
      <c r="E203">
        <v>78.86</v>
      </c>
      <c r="F203">
        <v>121.2</v>
      </c>
      <c r="G203">
        <v>133.66999999999999</v>
      </c>
      <c r="H203" s="12">
        <v>0.99242424242424299</v>
      </c>
      <c r="I203" s="12">
        <v>1</v>
      </c>
      <c r="J203" s="12">
        <v>1</v>
      </c>
      <c r="K203">
        <f t="shared" si="17"/>
        <v>100745609.99999997</v>
      </c>
      <c r="L203">
        <f t="shared" si="18"/>
        <v>21265.709999999992</v>
      </c>
      <c r="M203">
        <f t="shared" si="19"/>
        <v>23561.499999999989</v>
      </c>
      <c r="N203" s="12">
        <f t="shared" si="15"/>
        <v>0.26465000000000127</v>
      </c>
      <c r="O203" s="12">
        <f t="shared" si="16"/>
        <v>0.21977663612565437</v>
      </c>
    </row>
    <row r="204" spans="1:15">
      <c r="A204" s="33">
        <v>45676</v>
      </c>
      <c r="B204">
        <v>192</v>
      </c>
      <c r="C204">
        <v>675300.00000000303</v>
      </c>
      <c r="D204">
        <v>5.0250000000000004</v>
      </c>
      <c r="E204">
        <v>89.92</v>
      </c>
      <c r="F204">
        <v>121.11</v>
      </c>
      <c r="G204">
        <v>134.79</v>
      </c>
      <c r="H204" s="12">
        <v>0.99216584449142597</v>
      </c>
      <c r="I204" s="12">
        <v>1</v>
      </c>
      <c r="J204" s="12">
        <v>1</v>
      </c>
      <c r="K204">
        <f t="shared" si="17"/>
        <v>101420909.99999997</v>
      </c>
      <c r="L204">
        <f t="shared" si="18"/>
        <v>21386.819999999992</v>
      </c>
      <c r="M204">
        <f t="shared" si="19"/>
        <v>23696.28999999999</v>
      </c>
      <c r="N204" s="12">
        <f t="shared" si="15"/>
        <v>0.28137500000000126</v>
      </c>
      <c r="O204" s="12">
        <f t="shared" si="16"/>
        <v>0.22009746093749993</v>
      </c>
    </row>
    <row r="205" spans="1:15">
      <c r="A205" s="33">
        <v>45677</v>
      </c>
      <c r="B205">
        <v>193</v>
      </c>
      <c r="C205">
        <v>682300.00000000303</v>
      </c>
      <c r="D205">
        <v>5.09</v>
      </c>
      <c r="E205">
        <v>86.26</v>
      </c>
      <c r="F205">
        <v>121.3</v>
      </c>
      <c r="G205">
        <v>133.69999999999999</v>
      </c>
      <c r="H205" s="12">
        <v>0.99229524345623399</v>
      </c>
      <c r="I205" s="12">
        <v>1</v>
      </c>
      <c r="J205" s="12">
        <v>1</v>
      </c>
      <c r="K205">
        <f t="shared" si="17"/>
        <v>102103209.99999997</v>
      </c>
      <c r="L205">
        <f t="shared" si="18"/>
        <v>21508.119999999992</v>
      </c>
      <c r="M205">
        <f t="shared" si="19"/>
        <v>23829.989999999991</v>
      </c>
      <c r="N205" s="12">
        <f t="shared" si="15"/>
        <v>0.28429166666666794</v>
      </c>
      <c r="O205" s="12">
        <f t="shared" si="16"/>
        <v>0.22043007340241791</v>
      </c>
    </row>
    <row r="206" spans="1:15">
      <c r="A206" s="33">
        <v>45678</v>
      </c>
      <c r="B206">
        <v>194</v>
      </c>
      <c r="C206">
        <v>678900.00000000896</v>
      </c>
      <c r="D206">
        <v>5.08</v>
      </c>
      <c r="E206">
        <v>85.92</v>
      </c>
      <c r="F206">
        <v>121.29</v>
      </c>
      <c r="G206">
        <v>133.94999999999999</v>
      </c>
      <c r="H206" s="12">
        <v>0.991602067183463</v>
      </c>
      <c r="I206" s="12">
        <v>1</v>
      </c>
      <c r="J206" s="12">
        <v>1</v>
      </c>
      <c r="K206">
        <f t="shared" si="17"/>
        <v>102782109.99999999</v>
      </c>
      <c r="L206">
        <f t="shared" si="18"/>
        <v>21629.409999999993</v>
      </c>
      <c r="M206">
        <f t="shared" si="19"/>
        <v>23963.939999999991</v>
      </c>
      <c r="N206" s="12">
        <f t="shared" ref="N206:N269" si="20">C206/(100000*24)</f>
        <v>0.28287500000000376</v>
      </c>
      <c r="O206" s="12">
        <f t="shared" ref="O206:O269" si="21">K206/(B206*100000*24)</f>
        <v>0.22075195446735393</v>
      </c>
    </row>
    <row r="207" spans="1:15">
      <c r="A207" s="33">
        <v>45679</v>
      </c>
      <c r="B207">
        <v>195</v>
      </c>
      <c r="C207">
        <v>666799.99999998801</v>
      </c>
      <c r="D207">
        <v>5.0149999999999997</v>
      </c>
      <c r="E207">
        <v>85.26</v>
      </c>
      <c r="F207">
        <v>121.03</v>
      </c>
      <c r="G207">
        <v>134.22</v>
      </c>
      <c r="H207" s="12">
        <v>0.99130190796857498</v>
      </c>
      <c r="I207" s="12">
        <v>1</v>
      </c>
      <c r="J207" s="12">
        <v>1</v>
      </c>
      <c r="K207">
        <f t="shared" ref="K207:K270" si="22">K206+C207</f>
        <v>103448909.99999997</v>
      </c>
      <c r="L207">
        <f t="shared" ref="L207:L270" si="23">L206+F207</f>
        <v>21750.439999999991</v>
      </c>
      <c r="M207">
        <f t="shared" ref="M207:M270" si="24">M206+G207</f>
        <v>24098.159999999993</v>
      </c>
      <c r="N207" s="12">
        <f t="shared" si="20"/>
        <v>0.27783333333332833</v>
      </c>
      <c r="O207" s="12">
        <f t="shared" si="21"/>
        <v>0.22104467948717943</v>
      </c>
    </row>
    <row r="208" spans="1:15">
      <c r="A208" s="33">
        <v>45680</v>
      </c>
      <c r="B208">
        <v>196</v>
      </c>
      <c r="C208">
        <v>621699.99999999697</v>
      </c>
      <c r="D208">
        <v>4.68</v>
      </c>
      <c r="E208">
        <v>89.13</v>
      </c>
      <c r="F208">
        <v>121.18</v>
      </c>
      <c r="G208">
        <v>134.43</v>
      </c>
      <c r="H208" s="12">
        <v>0.99212027684249904</v>
      </c>
      <c r="I208" s="12">
        <v>1</v>
      </c>
      <c r="J208" s="12">
        <v>1</v>
      </c>
      <c r="K208">
        <f t="shared" si="22"/>
        <v>104070609.99999997</v>
      </c>
      <c r="L208">
        <f t="shared" si="23"/>
        <v>21871.619999999992</v>
      </c>
      <c r="M208">
        <f t="shared" si="24"/>
        <v>24232.589999999993</v>
      </c>
      <c r="N208" s="12">
        <f t="shared" si="20"/>
        <v>0.25904166666666539</v>
      </c>
      <c r="O208" s="12">
        <f t="shared" si="21"/>
        <v>0.22123854166666659</v>
      </c>
    </row>
    <row r="209" spans="1:15">
      <c r="A209" s="33">
        <v>45681</v>
      </c>
      <c r="B209">
        <v>197</v>
      </c>
      <c r="C209">
        <v>643000</v>
      </c>
      <c r="D209">
        <v>4.8849999999999998</v>
      </c>
      <c r="E209">
        <v>78.83</v>
      </c>
      <c r="F209">
        <v>121.41</v>
      </c>
      <c r="G209">
        <v>134.99</v>
      </c>
      <c r="H209" s="12">
        <v>0.988519813519813</v>
      </c>
      <c r="I209" s="12">
        <v>1</v>
      </c>
      <c r="J209" s="12">
        <v>1</v>
      </c>
      <c r="K209">
        <f t="shared" si="22"/>
        <v>104713609.99999997</v>
      </c>
      <c r="L209">
        <f t="shared" si="23"/>
        <v>21993.029999999992</v>
      </c>
      <c r="M209">
        <f t="shared" si="24"/>
        <v>24367.579999999994</v>
      </c>
      <c r="N209" s="12">
        <f t="shared" si="20"/>
        <v>0.26791666666666669</v>
      </c>
      <c r="O209" s="12">
        <f t="shared" si="21"/>
        <v>0.22147548646362092</v>
      </c>
    </row>
    <row r="210" spans="1:15">
      <c r="A210" s="33">
        <v>45682</v>
      </c>
      <c r="B210">
        <v>198</v>
      </c>
      <c r="C210">
        <v>616200.00000001199</v>
      </c>
      <c r="D210">
        <v>4.5599999999999996</v>
      </c>
      <c r="E210">
        <v>82.38</v>
      </c>
      <c r="F210">
        <v>121.14</v>
      </c>
      <c r="G210">
        <v>134.18</v>
      </c>
      <c r="H210" s="12">
        <v>0.99933770217512496</v>
      </c>
      <c r="I210" s="12">
        <v>1</v>
      </c>
      <c r="J210" s="12">
        <v>1</v>
      </c>
      <c r="K210">
        <f t="shared" si="22"/>
        <v>105329809.99999999</v>
      </c>
      <c r="L210">
        <f t="shared" si="23"/>
        <v>22114.169999999991</v>
      </c>
      <c r="M210">
        <f t="shared" si="24"/>
        <v>24501.759999999995</v>
      </c>
      <c r="N210" s="12">
        <f t="shared" si="20"/>
        <v>0.25675000000000497</v>
      </c>
      <c r="O210" s="12">
        <f t="shared" si="21"/>
        <v>0.22165364057239054</v>
      </c>
    </row>
    <row r="211" spans="1:15">
      <c r="A211" s="33">
        <v>45683</v>
      </c>
      <c r="B211">
        <v>199</v>
      </c>
      <c r="C211">
        <v>659799.99999998801</v>
      </c>
      <c r="D211">
        <v>4.84</v>
      </c>
      <c r="E211">
        <v>85.1</v>
      </c>
      <c r="F211">
        <v>121.27</v>
      </c>
      <c r="G211">
        <v>134.51</v>
      </c>
      <c r="H211" s="12">
        <v>0.99978988653873102</v>
      </c>
      <c r="I211" s="12">
        <v>1</v>
      </c>
      <c r="J211" s="12">
        <v>1</v>
      </c>
      <c r="K211">
        <f t="shared" si="22"/>
        <v>105989609.99999997</v>
      </c>
      <c r="L211">
        <f t="shared" si="23"/>
        <v>22235.439999999991</v>
      </c>
      <c r="M211">
        <f t="shared" si="24"/>
        <v>24636.269999999993</v>
      </c>
      <c r="N211" s="12">
        <f t="shared" si="20"/>
        <v>0.27491666666666165</v>
      </c>
      <c r="O211" s="12">
        <f t="shared" si="21"/>
        <v>0.22192129396984919</v>
      </c>
    </row>
    <row r="212" spans="1:15">
      <c r="A212" s="33">
        <v>45684</v>
      </c>
      <c r="B212">
        <v>200</v>
      </c>
      <c r="C212">
        <v>682000.00000001502</v>
      </c>
      <c r="D212">
        <v>5.1150000000000002</v>
      </c>
      <c r="E212">
        <v>84.44</v>
      </c>
      <c r="F212">
        <v>121.17</v>
      </c>
      <c r="G212">
        <v>133.44</v>
      </c>
      <c r="H212" s="12">
        <v>0.99934731934731902</v>
      </c>
      <c r="I212" s="12">
        <v>1</v>
      </c>
      <c r="J212" s="12">
        <v>1</v>
      </c>
      <c r="K212">
        <f t="shared" si="22"/>
        <v>106671609.99999999</v>
      </c>
      <c r="L212">
        <f t="shared" si="23"/>
        <v>22356.60999999999</v>
      </c>
      <c r="M212">
        <f t="shared" si="24"/>
        <v>24769.709999999992</v>
      </c>
      <c r="N212" s="12">
        <f t="shared" si="20"/>
        <v>0.28416666666667295</v>
      </c>
      <c r="O212" s="12">
        <f t="shared" si="21"/>
        <v>0.22223252083333331</v>
      </c>
    </row>
    <row r="213" spans="1:15">
      <c r="A213" s="33">
        <v>45685</v>
      </c>
      <c r="B213">
        <v>201</v>
      </c>
      <c r="C213">
        <v>682499.99999998498</v>
      </c>
      <c r="D213">
        <v>5.1050000000000004</v>
      </c>
      <c r="E213">
        <v>86.03</v>
      </c>
      <c r="F213">
        <v>120.87</v>
      </c>
      <c r="G213">
        <v>134.19999999999999</v>
      </c>
      <c r="H213" s="12">
        <v>0.99395104895104902</v>
      </c>
      <c r="I213" s="12">
        <v>1</v>
      </c>
      <c r="J213" s="12">
        <v>1</v>
      </c>
      <c r="K213">
        <f t="shared" si="22"/>
        <v>107354109.99999997</v>
      </c>
      <c r="L213">
        <f t="shared" si="23"/>
        <v>22477.479999999989</v>
      </c>
      <c r="M213">
        <f t="shared" si="24"/>
        <v>24903.909999999993</v>
      </c>
      <c r="N213" s="12">
        <f t="shared" si="20"/>
        <v>0.28437499999999372</v>
      </c>
      <c r="O213" s="12">
        <f t="shared" si="21"/>
        <v>0.22254168739635152</v>
      </c>
    </row>
    <row r="214" spans="1:15">
      <c r="A214" s="33">
        <v>45686</v>
      </c>
      <c r="B214">
        <v>202</v>
      </c>
      <c r="C214">
        <v>629100.00000000605</v>
      </c>
      <c r="D214">
        <v>4.7300000000000004</v>
      </c>
      <c r="E214">
        <v>79.11</v>
      </c>
      <c r="F214">
        <v>121.16</v>
      </c>
      <c r="G214">
        <v>134.02000000000001</v>
      </c>
      <c r="H214" s="12">
        <v>0.999651956007239</v>
      </c>
      <c r="I214" s="12">
        <v>1</v>
      </c>
      <c r="J214" s="12">
        <v>1</v>
      </c>
      <c r="K214">
        <f t="shared" si="22"/>
        <v>107983209.99999997</v>
      </c>
      <c r="L214">
        <f t="shared" si="23"/>
        <v>22598.639999999989</v>
      </c>
      <c r="M214">
        <f t="shared" si="24"/>
        <v>25037.929999999993</v>
      </c>
      <c r="N214" s="12">
        <f t="shared" si="20"/>
        <v>0.26212500000000249</v>
      </c>
      <c r="O214" s="12">
        <f t="shared" si="21"/>
        <v>0.22273764438943888</v>
      </c>
    </row>
    <row r="215" spans="1:15">
      <c r="A215" s="33">
        <v>45687</v>
      </c>
      <c r="B215">
        <v>203</v>
      </c>
      <c r="C215">
        <v>637899.99999999395</v>
      </c>
      <c r="D215">
        <v>4.7949999999999999</v>
      </c>
      <c r="E215">
        <v>83.48</v>
      </c>
      <c r="F215">
        <v>121.23</v>
      </c>
      <c r="G215">
        <v>134.53</v>
      </c>
      <c r="H215" s="12">
        <v>1</v>
      </c>
      <c r="I215" s="12">
        <v>1</v>
      </c>
      <c r="J215" s="12">
        <v>1</v>
      </c>
      <c r="K215">
        <f t="shared" si="22"/>
        <v>108621109.99999997</v>
      </c>
      <c r="L215">
        <f t="shared" si="23"/>
        <v>22719.869999999988</v>
      </c>
      <c r="M215">
        <f t="shared" si="24"/>
        <v>25172.459999999992</v>
      </c>
      <c r="N215" s="12">
        <f t="shared" si="20"/>
        <v>0.26579166666666415</v>
      </c>
      <c r="O215" s="12">
        <f t="shared" si="21"/>
        <v>0.22294973316912967</v>
      </c>
    </row>
    <row r="216" spans="1:15">
      <c r="A216" s="33">
        <v>45688</v>
      </c>
      <c r="B216">
        <v>204</v>
      </c>
      <c r="C216">
        <v>605300.00000000303</v>
      </c>
      <c r="D216">
        <v>4.5449999999999999</v>
      </c>
      <c r="E216">
        <v>74.42</v>
      </c>
      <c r="F216">
        <v>119.23</v>
      </c>
      <c r="G216">
        <v>134.01</v>
      </c>
      <c r="H216" s="12">
        <v>1</v>
      </c>
      <c r="I216" s="12">
        <v>1</v>
      </c>
      <c r="J216" s="12">
        <v>0.99728339788616804</v>
      </c>
      <c r="K216">
        <f t="shared" si="22"/>
        <v>109226409.99999997</v>
      </c>
      <c r="L216">
        <f t="shared" si="23"/>
        <v>22839.099999999988</v>
      </c>
      <c r="M216">
        <f t="shared" si="24"/>
        <v>25306.46999999999</v>
      </c>
      <c r="N216" s="12">
        <f t="shared" si="20"/>
        <v>0.25220833333333459</v>
      </c>
      <c r="O216" s="12">
        <f t="shared" si="21"/>
        <v>0.2230931576797385</v>
      </c>
    </row>
    <row r="217" spans="1:15">
      <c r="A217" s="33">
        <v>45689</v>
      </c>
      <c r="B217">
        <v>205</v>
      </c>
      <c r="C217">
        <v>628500</v>
      </c>
      <c r="D217">
        <v>4.7249999999999996</v>
      </c>
      <c r="E217">
        <v>75.73</v>
      </c>
      <c r="F217">
        <v>119.84</v>
      </c>
      <c r="G217">
        <v>132.22999999999999</v>
      </c>
      <c r="H217" s="12">
        <v>0.99990761271249096</v>
      </c>
      <c r="I217" s="12">
        <v>1</v>
      </c>
      <c r="J217" s="12">
        <v>0.99685121118623998</v>
      </c>
      <c r="K217">
        <f t="shared" si="22"/>
        <v>109854909.99999997</v>
      </c>
      <c r="L217">
        <f t="shared" si="23"/>
        <v>22958.939999999988</v>
      </c>
      <c r="M217">
        <f t="shared" si="24"/>
        <v>25438.69999999999</v>
      </c>
      <c r="N217" s="12">
        <f t="shared" si="20"/>
        <v>0.26187500000000002</v>
      </c>
      <c r="O217" s="12">
        <f t="shared" si="21"/>
        <v>0.22328233739837391</v>
      </c>
    </row>
    <row r="218" spans="1:15">
      <c r="A218" s="33">
        <v>45690</v>
      </c>
      <c r="B218">
        <v>206</v>
      </c>
      <c r="C218">
        <v>662100.00000000605</v>
      </c>
      <c r="D218">
        <v>4.9400000000000004</v>
      </c>
      <c r="E218">
        <v>80.739999999999995</v>
      </c>
      <c r="F218">
        <v>121.22</v>
      </c>
      <c r="G218">
        <v>134.9</v>
      </c>
      <c r="H218" s="12">
        <v>0.99958552086211705</v>
      </c>
      <c r="I218" s="12">
        <v>1</v>
      </c>
      <c r="J218" s="12">
        <v>1</v>
      </c>
      <c r="K218">
        <f t="shared" si="22"/>
        <v>110517009.99999997</v>
      </c>
      <c r="L218">
        <f t="shared" si="23"/>
        <v>23080.159999999989</v>
      </c>
      <c r="M218">
        <f t="shared" si="24"/>
        <v>25573.599999999991</v>
      </c>
      <c r="N218" s="12">
        <f t="shared" si="20"/>
        <v>0.27587500000000253</v>
      </c>
      <c r="O218" s="12">
        <f t="shared" si="21"/>
        <v>0.22353764158576045</v>
      </c>
    </row>
    <row r="219" spans="1:15">
      <c r="A219" s="33">
        <v>45691</v>
      </c>
      <c r="B219">
        <v>207</v>
      </c>
      <c r="C219">
        <v>666199.99999999697</v>
      </c>
      <c r="D219">
        <v>5.0599999999999996</v>
      </c>
      <c r="E219">
        <v>81.81</v>
      </c>
      <c r="F219">
        <v>120.67</v>
      </c>
      <c r="G219">
        <v>135.15</v>
      </c>
      <c r="H219" s="12">
        <v>0.99981634527089103</v>
      </c>
      <c r="I219" s="12">
        <v>1</v>
      </c>
      <c r="J219" s="12">
        <v>1</v>
      </c>
      <c r="K219">
        <f t="shared" si="22"/>
        <v>111183209.99999997</v>
      </c>
      <c r="L219">
        <f t="shared" si="23"/>
        <v>23200.829999999987</v>
      </c>
      <c r="M219">
        <f t="shared" si="24"/>
        <v>25708.749999999993</v>
      </c>
      <c r="N219" s="12">
        <f t="shared" si="20"/>
        <v>0.27758333333333207</v>
      </c>
      <c r="O219" s="12">
        <f t="shared" si="21"/>
        <v>0.22379873188405791</v>
      </c>
    </row>
    <row r="220" spans="1:15">
      <c r="A220" s="33">
        <v>45692</v>
      </c>
      <c r="B220">
        <v>208</v>
      </c>
      <c r="C220">
        <v>620500</v>
      </c>
      <c r="D220">
        <v>4.7450000000000001</v>
      </c>
      <c r="E220">
        <v>78.17</v>
      </c>
      <c r="F220">
        <v>121.19</v>
      </c>
      <c r="G220">
        <v>133.77000000000001</v>
      </c>
      <c r="H220" s="12">
        <v>0.99981522542498202</v>
      </c>
      <c r="I220" s="12">
        <v>1</v>
      </c>
      <c r="J220" s="12">
        <v>1</v>
      </c>
      <c r="K220">
        <f t="shared" si="22"/>
        <v>111803709.99999997</v>
      </c>
      <c r="L220">
        <f t="shared" si="23"/>
        <v>23322.019999999986</v>
      </c>
      <c r="M220">
        <f t="shared" si="24"/>
        <v>25842.519999999993</v>
      </c>
      <c r="N220" s="12">
        <f t="shared" si="20"/>
        <v>0.25854166666666667</v>
      </c>
      <c r="O220" s="12">
        <f t="shared" si="21"/>
        <v>0.2239657652243589</v>
      </c>
    </row>
    <row r="221" spans="1:15">
      <c r="A221" s="33">
        <v>45693</v>
      </c>
      <c r="B221">
        <v>209</v>
      </c>
      <c r="C221">
        <v>671099.99999999104</v>
      </c>
      <c r="D221">
        <v>5.0650000000000004</v>
      </c>
      <c r="E221">
        <v>84.73</v>
      </c>
      <c r="F221">
        <v>121.73</v>
      </c>
      <c r="G221">
        <v>134.99</v>
      </c>
      <c r="H221" s="12">
        <v>0.99965720553955795</v>
      </c>
      <c r="I221" s="12">
        <v>1</v>
      </c>
      <c r="J221" s="12">
        <v>1</v>
      </c>
      <c r="K221">
        <f t="shared" si="22"/>
        <v>112474809.99999996</v>
      </c>
      <c r="L221">
        <f t="shared" si="23"/>
        <v>23443.749999999985</v>
      </c>
      <c r="M221">
        <f t="shared" si="24"/>
        <v>25977.509999999995</v>
      </c>
      <c r="N221" s="12">
        <f t="shared" si="20"/>
        <v>0.27962499999999624</v>
      </c>
      <c r="O221" s="12">
        <f t="shared" si="21"/>
        <v>0.224232077352472</v>
      </c>
    </row>
    <row r="222" spans="1:15">
      <c r="A222" s="33">
        <v>45694</v>
      </c>
      <c r="B222">
        <v>210</v>
      </c>
      <c r="C222">
        <v>618230.00000001001</v>
      </c>
      <c r="D222">
        <v>4.63</v>
      </c>
      <c r="E222">
        <v>82.28</v>
      </c>
      <c r="F222">
        <v>121.58</v>
      </c>
      <c r="G222">
        <v>134.81</v>
      </c>
      <c r="H222" s="12">
        <v>1</v>
      </c>
      <c r="I222" s="12">
        <v>1</v>
      </c>
      <c r="J222" s="12">
        <v>1</v>
      </c>
      <c r="K222">
        <f t="shared" si="22"/>
        <v>113093039.99999997</v>
      </c>
      <c r="L222">
        <f t="shared" si="23"/>
        <v>23565.329999999987</v>
      </c>
      <c r="M222">
        <f t="shared" si="24"/>
        <v>26112.319999999996</v>
      </c>
      <c r="N222" s="12">
        <f t="shared" si="20"/>
        <v>0.25759583333333752</v>
      </c>
      <c r="O222" s="12">
        <f t="shared" si="21"/>
        <v>0.22439095238095233</v>
      </c>
    </row>
    <row r="223" spans="1:15">
      <c r="A223" s="33">
        <v>45695</v>
      </c>
      <c r="B223">
        <v>211</v>
      </c>
      <c r="C223">
        <v>642869.99999999499</v>
      </c>
      <c r="D223">
        <v>4.8099999999999996</v>
      </c>
      <c r="E223">
        <v>79.680000000000007</v>
      </c>
      <c r="F223">
        <v>121.55</v>
      </c>
      <c r="G223">
        <v>134.81</v>
      </c>
      <c r="H223" s="12">
        <v>1</v>
      </c>
      <c r="I223" s="12">
        <v>1</v>
      </c>
      <c r="J223" s="12">
        <v>1</v>
      </c>
      <c r="K223">
        <f t="shared" si="22"/>
        <v>113735909.99999997</v>
      </c>
      <c r="L223">
        <f t="shared" si="23"/>
        <v>23686.879999999986</v>
      </c>
      <c r="M223">
        <f t="shared" si="24"/>
        <v>26247.129999999997</v>
      </c>
      <c r="N223" s="12">
        <f t="shared" si="20"/>
        <v>0.26786249999999789</v>
      </c>
      <c r="O223" s="12">
        <f t="shared" si="21"/>
        <v>0.22459697867298573</v>
      </c>
    </row>
    <row r="224" spans="1:15">
      <c r="A224" s="33">
        <v>45696</v>
      </c>
      <c r="B224">
        <v>212</v>
      </c>
      <c r="C224">
        <v>697800.00000000303</v>
      </c>
      <c r="D224">
        <v>5.1749999999999998</v>
      </c>
      <c r="E224">
        <v>85.12</v>
      </c>
      <c r="F224">
        <v>121.64</v>
      </c>
      <c r="G224">
        <v>134.94999999999999</v>
      </c>
      <c r="H224" s="12">
        <v>0.99888995697152805</v>
      </c>
      <c r="I224" s="12">
        <v>1</v>
      </c>
      <c r="J224" s="12">
        <v>1</v>
      </c>
      <c r="K224">
        <f t="shared" si="22"/>
        <v>114433709.99999997</v>
      </c>
      <c r="L224">
        <f t="shared" si="23"/>
        <v>23808.519999999986</v>
      </c>
      <c r="M224">
        <f t="shared" si="24"/>
        <v>26382.079999999998</v>
      </c>
      <c r="N224" s="12">
        <f t="shared" si="20"/>
        <v>0.29075000000000129</v>
      </c>
      <c r="O224" s="12">
        <f t="shared" si="21"/>
        <v>0.22490902122641504</v>
      </c>
    </row>
    <row r="225" spans="1:15">
      <c r="A225" s="33">
        <v>45697</v>
      </c>
      <c r="B225">
        <v>213</v>
      </c>
      <c r="C225">
        <v>741300.00000000303</v>
      </c>
      <c r="D225">
        <v>5.4950000000000001</v>
      </c>
      <c r="E225">
        <v>90.49</v>
      </c>
      <c r="F225">
        <v>117.89</v>
      </c>
      <c r="G225">
        <v>134.41</v>
      </c>
      <c r="H225" s="12">
        <v>0.99952367991290103</v>
      </c>
      <c r="I225" s="12">
        <v>1</v>
      </c>
      <c r="J225" s="12">
        <v>0.97184612354756095</v>
      </c>
      <c r="K225">
        <f t="shared" si="22"/>
        <v>115175009.99999997</v>
      </c>
      <c r="L225">
        <f t="shared" si="23"/>
        <v>23926.409999999985</v>
      </c>
      <c r="M225">
        <f t="shared" si="24"/>
        <v>26516.489999999998</v>
      </c>
      <c r="N225" s="12">
        <f t="shared" si="20"/>
        <v>0.30887500000000129</v>
      </c>
      <c r="O225" s="12">
        <f t="shared" si="21"/>
        <v>0.22530322769953046</v>
      </c>
    </row>
    <row r="226" spans="1:15">
      <c r="A226" s="33">
        <v>45698</v>
      </c>
      <c r="B226">
        <v>214</v>
      </c>
      <c r="C226">
        <v>680899.99999999395</v>
      </c>
      <c r="D226">
        <v>5.125</v>
      </c>
      <c r="E226">
        <v>83.45</v>
      </c>
      <c r="F226">
        <v>120.97</v>
      </c>
      <c r="G226">
        <v>132.51</v>
      </c>
      <c r="H226" s="12">
        <v>1</v>
      </c>
      <c r="I226" s="12">
        <v>1</v>
      </c>
      <c r="J226" s="12">
        <v>1</v>
      </c>
      <c r="K226">
        <f t="shared" si="22"/>
        <v>115855909.99999997</v>
      </c>
      <c r="L226">
        <f t="shared" si="23"/>
        <v>24047.379999999986</v>
      </c>
      <c r="M226">
        <f t="shared" si="24"/>
        <v>26648.999999999996</v>
      </c>
      <c r="N226" s="12">
        <f t="shared" si="20"/>
        <v>0.28370833333333079</v>
      </c>
      <c r="O226" s="12">
        <f t="shared" si="21"/>
        <v>0.22557614875389403</v>
      </c>
    </row>
    <row r="227" spans="1:15">
      <c r="A227" s="33">
        <v>45699</v>
      </c>
      <c r="B227">
        <v>215</v>
      </c>
      <c r="C227">
        <v>630899.99999999395</v>
      </c>
      <c r="D227">
        <v>4.7850000000000001</v>
      </c>
      <c r="E227">
        <v>74.95</v>
      </c>
      <c r="F227">
        <v>120.35</v>
      </c>
      <c r="G227">
        <v>132.46</v>
      </c>
      <c r="H227" s="12">
        <v>0.99969241285030797</v>
      </c>
      <c r="I227" s="12">
        <v>1</v>
      </c>
      <c r="J227" s="12">
        <v>1</v>
      </c>
      <c r="K227">
        <f t="shared" si="22"/>
        <v>116486809.99999997</v>
      </c>
      <c r="L227">
        <f t="shared" si="23"/>
        <v>24167.729999999985</v>
      </c>
      <c r="M227">
        <f t="shared" si="24"/>
        <v>26781.459999999995</v>
      </c>
      <c r="N227" s="12">
        <f t="shared" si="20"/>
        <v>0.26287499999999747</v>
      </c>
      <c r="O227" s="12">
        <f t="shared" si="21"/>
        <v>0.22574963178294569</v>
      </c>
    </row>
    <row r="228" spans="1:15">
      <c r="A228" s="33">
        <v>45700</v>
      </c>
      <c r="B228">
        <v>216</v>
      </c>
      <c r="C228">
        <v>674000</v>
      </c>
      <c r="D228">
        <v>5.0549999999999997</v>
      </c>
      <c r="E228">
        <v>80.239999999999995</v>
      </c>
      <c r="F228">
        <v>120.72</v>
      </c>
      <c r="G228">
        <v>134.88999999999999</v>
      </c>
      <c r="H228" s="12">
        <v>0.99981799981800001</v>
      </c>
      <c r="I228" s="12">
        <v>1</v>
      </c>
      <c r="J228" s="12">
        <v>1</v>
      </c>
      <c r="K228">
        <f t="shared" si="22"/>
        <v>117160809.99999997</v>
      </c>
      <c r="L228">
        <f t="shared" si="23"/>
        <v>24288.449999999986</v>
      </c>
      <c r="M228">
        <f t="shared" si="24"/>
        <v>26916.349999999995</v>
      </c>
      <c r="N228" s="12">
        <f t="shared" si="20"/>
        <v>0.28083333333333332</v>
      </c>
      <c r="O228" s="12">
        <f t="shared" si="21"/>
        <v>0.22600464891975303</v>
      </c>
    </row>
    <row r="229" spans="1:15">
      <c r="A229" s="33">
        <v>45701</v>
      </c>
      <c r="B229">
        <v>217</v>
      </c>
      <c r="C229">
        <v>761100.00000000605</v>
      </c>
      <c r="D229">
        <v>5.6449999999999996</v>
      </c>
      <c r="E229">
        <v>90.57</v>
      </c>
      <c r="F229">
        <v>121.08</v>
      </c>
      <c r="G229">
        <v>134.56</v>
      </c>
      <c r="H229" s="12">
        <v>0.99986431478968796</v>
      </c>
      <c r="I229" s="12">
        <v>1</v>
      </c>
      <c r="J229" s="12">
        <v>1</v>
      </c>
      <c r="K229">
        <f t="shared" si="22"/>
        <v>117921909.99999997</v>
      </c>
      <c r="L229">
        <f t="shared" si="23"/>
        <v>24409.529999999988</v>
      </c>
      <c r="M229">
        <f t="shared" si="24"/>
        <v>27050.909999999996</v>
      </c>
      <c r="N229" s="12">
        <f t="shared" si="20"/>
        <v>0.31712500000000254</v>
      </c>
      <c r="O229" s="12">
        <f t="shared" si="21"/>
        <v>0.22642455837173572</v>
      </c>
    </row>
    <row r="230" spans="1:15">
      <c r="A230" s="33">
        <v>45702</v>
      </c>
      <c r="B230">
        <v>218</v>
      </c>
      <c r="C230">
        <v>812800.00000000303</v>
      </c>
      <c r="D230">
        <v>6.0549999999999997</v>
      </c>
      <c r="E230">
        <v>93.96</v>
      </c>
      <c r="F230">
        <v>121.26</v>
      </c>
      <c r="G230">
        <v>134.47999999999999</v>
      </c>
      <c r="H230" s="12">
        <v>0.99913835548990604</v>
      </c>
      <c r="I230" s="12">
        <v>1</v>
      </c>
      <c r="J230" s="12">
        <v>1</v>
      </c>
      <c r="K230">
        <f t="shared" si="22"/>
        <v>118734709.99999997</v>
      </c>
      <c r="L230">
        <f t="shared" si="23"/>
        <v>24530.789999999986</v>
      </c>
      <c r="M230">
        <f t="shared" si="24"/>
        <v>27185.389999999996</v>
      </c>
      <c r="N230" s="12">
        <f t="shared" si="20"/>
        <v>0.33866666666666795</v>
      </c>
      <c r="O230" s="12">
        <f t="shared" si="21"/>
        <v>0.2269394304281345</v>
      </c>
    </row>
    <row r="231" spans="1:15">
      <c r="A231" s="33">
        <v>45703</v>
      </c>
      <c r="B231">
        <v>219</v>
      </c>
      <c r="C231">
        <v>781899.99999999395</v>
      </c>
      <c r="D231">
        <v>5.8550000000000004</v>
      </c>
      <c r="E231">
        <v>96.06</v>
      </c>
      <c r="F231">
        <v>121.51</v>
      </c>
      <c r="G231">
        <v>134.4</v>
      </c>
      <c r="H231" s="12">
        <v>0.99923906718589095</v>
      </c>
      <c r="I231" s="12">
        <v>1</v>
      </c>
      <c r="J231" s="12">
        <v>1</v>
      </c>
      <c r="K231">
        <f t="shared" si="22"/>
        <v>119516609.99999997</v>
      </c>
      <c r="L231">
        <f t="shared" si="23"/>
        <v>24652.299999999985</v>
      </c>
      <c r="M231">
        <f t="shared" si="24"/>
        <v>27319.789999999997</v>
      </c>
      <c r="N231" s="12">
        <f t="shared" si="20"/>
        <v>0.32579166666666415</v>
      </c>
      <c r="O231" s="12">
        <f t="shared" si="21"/>
        <v>0.22739081050228305</v>
      </c>
    </row>
    <row r="232" spans="1:15">
      <c r="A232" s="33">
        <v>45704</v>
      </c>
      <c r="B232">
        <v>220</v>
      </c>
      <c r="C232">
        <v>768699.99999999697</v>
      </c>
      <c r="D232">
        <v>5.7450000000000001</v>
      </c>
      <c r="E232">
        <v>93.94</v>
      </c>
      <c r="F232">
        <v>121.17</v>
      </c>
      <c r="G232">
        <v>133.72</v>
      </c>
      <c r="H232" s="12">
        <v>0.99900259996413798</v>
      </c>
      <c r="I232" s="12">
        <v>1</v>
      </c>
      <c r="J232" s="12">
        <v>1</v>
      </c>
      <c r="K232">
        <f t="shared" si="22"/>
        <v>120285309.99999997</v>
      </c>
      <c r="L232">
        <f t="shared" si="23"/>
        <v>24773.469999999983</v>
      </c>
      <c r="M232">
        <f t="shared" si="24"/>
        <v>27453.51</v>
      </c>
      <c r="N232" s="12">
        <f t="shared" si="20"/>
        <v>0.32029166666666542</v>
      </c>
      <c r="O232" s="12">
        <f t="shared" si="21"/>
        <v>0.22781308712121207</v>
      </c>
    </row>
    <row r="233" spans="1:15">
      <c r="A233" s="33">
        <v>45705</v>
      </c>
      <c r="B233">
        <v>221</v>
      </c>
      <c r="C233">
        <v>756400.00000000896</v>
      </c>
      <c r="D233">
        <v>5.7050000000000001</v>
      </c>
      <c r="E233">
        <v>90.87</v>
      </c>
      <c r="F233">
        <v>121.13</v>
      </c>
      <c r="G233">
        <v>134.07</v>
      </c>
      <c r="H233" s="12">
        <v>0.99950470529965296</v>
      </c>
      <c r="I233" s="12">
        <v>1</v>
      </c>
      <c r="J233" s="12">
        <v>1</v>
      </c>
      <c r="K233">
        <f t="shared" si="22"/>
        <v>121041709.99999999</v>
      </c>
      <c r="L233">
        <f t="shared" si="23"/>
        <v>24894.599999999984</v>
      </c>
      <c r="M233">
        <f t="shared" si="24"/>
        <v>27587.579999999998</v>
      </c>
      <c r="N233" s="12">
        <f t="shared" si="20"/>
        <v>0.31516666666667043</v>
      </c>
      <c r="O233" s="12">
        <f t="shared" si="21"/>
        <v>0.22820835218702862</v>
      </c>
    </row>
    <row r="234" spans="1:15">
      <c r="A234" s="33">
        <v>45706</v>
      </c>
      <c r="B234">
        <v>222</v>
      </c>
      <c r="C234">
        <v>703000</v>
      </c>
      <c r="D234">
        <v>5.26</v>
      </c>
      <c r="E234">
        <v>89.12</v>
      </c>
      <c r="F234">
        <v>121.12</v>
      </c>
      <c r="G234">
        <v>133.5</v>
      </c>
      <c r="H234" s="12">
        <v>0.99949866310160396</v>
      </c>
      <c r="I234" s="12">
        <v>1</v>
      </c>
      <c r="J234" s="12">
        <v>1</v>
      </c>
      <c r="K234">
        <f t="shared" si="22"/>
        <v>121744709.99999999</v>
      </c>
      <c r="L234">
        <f t="shared" si="23"/>
        <v>25015.719999999983</v>
      </c>
      <c r="M234">
        <f t="shared" si="24"/>
        <v>27721.079999999998</v>
      </c>
      <c r="N234" s="12">
        <f t="shared" si="20"/>
        <v>0.29291666666666666</v>
      </c>
      <c r="O234" s="12">
        <f t="shared" si="21"/>
        <v>0.22849983108108105</v>
      </c>
    </row>
    <row r="235" spans="1:15">
      <c r="A235" s="33">
        <v>45707</v>
      </c>
      <c r="B235">
        <v>223</v>
      </c>
      <c r="C235">
        <v>676899.99999999395</v>
      </c>
      <c r="D235">
        <v>5.07</v>
      </c>
      <c r="E235">
        <v>83.44</v>
      </c>
      <c r="F235">
        <v>121.29</v>
      </c>
      <c r="G235">
        <v>134.63999999999999</v>
      </c>
      <c r="H235" s="12">
        <v>0.99975345167652896</v>
      </c>
      <c r="I235" s="12">
        <v>1</v>
      </c>
      <c r="J235" s="12">
        <v>1</v>
      </c>
      <c r="K235">
        <f t="shared" si="22"/>
        <v>122421609.99999999</v>
      </c>
      <c r="L235">
        <f t="shared" si="23"/>
        <v>25137.009999999984</v>
      </c>
      <c r="M235">
        <f t="shared" si="24"/>
        <v>27855.719999999998</v>
      </c>
      <c r="N235" s="12">
        <f t="shared" si="20"/>
        <v>0.28204166666666414</v>
      </c>
      <c r="O235" s="12">
        <f t="shared" si="21"/>
        <v>0.2287399289985052</v>
      </c>
    </row>
    <row r="236" spans="1:15">
      <c r="A236" s="33">
        <v>45708</v>
      </c>
      <c r="B236">
        <v>224</v>
      </c>
      <c r="C236">
        <v>738600.00000000605</v>
      </c>
      <c r="D236">
        <v>5.53</v>
      </c>
      <c r="E236">
        <v>90.23</v>
      </c>
      <c r="F236">
        <v>121.04</v>
      </c>
      <c r="G236">
        <v>134.5</v>
      </c>
      <c r="H236" s="12">
        <v>0.99984310561233602</v>
      </c>
      <c r="I236" s="12">
        <v>1</v>
      </c>
      <c r="J236" s="12">
        <v>1</v>
      </c>
      <c r="K236">
        <f t="shared" si="22"/>
        <v>123160209.99999999</v>
      </c>
      <c r="L236">
        <f t="shared" si="23"/>
        <v>25258.049999999985</v>
      </c>
      <c r="M236">
        <f t="shared" si="24"/>
        <v>27990.219999999998</v>
      </c>
      <c r="N236" s="12">
        <f t="shared" si="20"/>
        <v>0.30775000000000252</v>
      </c>
      <c r="O236" s="12">
        <f t="shared" si="21"/>
        <v>0.22909265252976188</v>
      </c>
    </row>
    <row r="237" spans="1:15">
      <c r="A237" s="33">
        <v>45709</v>
      </c>
      <c r="B237">
        <v>225</v>
      </c>
      <c r="C237">
        <v>734399.99999999395</v>
      </c>
      <c r="D237">
        <v>5.51</v>
      </c>
      <c r="E237">
        <v>90.08</v>
      </c>
      <c r="F237">
        <v>120.95</v>
      </c>
      <c r="G237">
        <v>134.02000000000001</v>
      </c>
      <c r="H237" s="12">
        <v>1</v>
      </c>
      <c r="I237" s="12">
        <v>1</v>
      </c>
      <c r="J237" s="12">
        <v>1</v>
      </c>
      <c r="K237">
        <f t="shared" si="22"/>
        <v>123894609.99999999</v>
      </c>
      <c r="L237">
        <f t="shared" si="23"/>
        <v>25378.999999999985</v>
      </c>
      <c r="M237">
        <f t="shared" si="24"/>
        <v>28124.239999999998</v>
      </c>
      <c r="N237" s="12">
        <f t="shared" si="20"/>
        <v>0.3059999999999975</v>
      </c>
      <c r="O237" s="12">
        <f t="shared" si="21"/>
        <v>0.22943446296296294</v>
      </c>
    </row>
    <row r="238" spans="1:15">
      <c r="A238" s="33">
        <v>45710</v>
      </c>
      <c r="B238">
        <v>226</v>
      </c>
      <c r="C238">
        <v>784800.00000000303</v>
      </c>
      <c r="D238">
        <v>5.86</v>
      </c>
      <c r="E238">
        <v>92.52</v>
      </c>
      <c r="F238">
        <v>121.32</v>
      </c>
      <c r="G238">
        <v>133.97</v>
      </c>
      <c r="H238" s="12">
        <v>1</v>
      </c>
      <c r="I238" s="12">
        <v>1</v>
      </c>
      <c r="J238" s="12">
        <v>1</v>
      </c>
      <c r="K238">
        <f t="shared" si="22"/>
        <v>124679409.99999999</v>
      </c>
      <c r="L238">
        <f t="shared" si="23"/>
        <v>25500.319999999985</v>
      </c>
      <c r="M238">
        <f t="shared" si="24"/>
        <v>28258.21</v>
      </c>
      <c r="N238" s="12">
        <f t="shared" si="20"/>
        <v>0.32700000000000123</v>
      </c>
      <c r="O238" s="12">
        <f t="shared" si="21"/>
        <v>0.22986616887905603</v>
      </c>
    </row>
    <row r="239" spans="1:15">
      <c r="A239" s="33">
        <v>45711</v>
      </c>
      <c r="B239">
        <v>227</v>
      </c>
      <c r="C239">
        <v>825299.99999998801</v>
      </c>
      <c r="D239">
        <v>6.16</v>
      </c>
      <c r="E239">
        <v>95.39</v>
      </c>
      <c r="F239">
        <v>121.07</v>
      </c>
      <c r="G239">
        <v>132.25</v>
      </c>
      <c r="H239" s="12">
        <v>0.99987763093490001</v>
      </c>
      <c r="I239" s="12">
        <v>1</v>
      </c>
      <c r="J239" s="12">
        <v>1</v>
      </c>
      <c r="K239">
        <f t="shared" si="22"/>
        <v>125504709.99999997</v>
      </c>
      <c r="L239">
        <f t="shared" si="23"/>
        <v>25621.389999999985</v>
      </c>
      <c r="M239">
        <f t="shared" si="24"/>
        <v>28390.46</v>
      </c>
      <c r="N239" s="12">
        <f t="shared" si="20"/>
        <v>0.34387499999999499</v>
      </c>
      <c r="O239" s="12">
        <f t="shared" si="21"/>
        <v>0.2303684104258443</v>
      </c>
    </row>
    <row r="240" spans="1:15">
      <c r="A240" s="33">
        <v>45712</v>
      </c>
      <c r="B240">
        <v>228</v>
      </c>
      <c r="C240">
        <v>771900.00000000896</v>
      </c>
      <c r="D240">
        <v>5.77</v>
      </c>
      <c r="E240">
        <v>93.84</v>
      </c>
      <c r="F240">
        <v>121.19</v>
      </c>
      <c r="G240">
        <v>134.58000000000001</v>
      </c>
      <c r="H240" s="12">
        <v>1</v>
      </c>
      <c r="I240" s="12">
        <v>1</v>
      </c>
      <c r="J240" s="12">
        <v>1</v>
      </c>
      <c r="K240">
        <f t="shared" si="22"/>
        <v>126276609.99999999</v>
      </c>
      <c r="L240">
        <f t="shared" si="23"/>
        <v>25742.579999999984</v>
      </c>
      <c r="M240">
        <f t="shared" si="24"/>
        <v>28525.040000000001</v>
      </c>
      <c r="N240" s="12">
        <f t="shared" si="20"/>
        <v>0.32162500000000371</v>
      </c>
      <c r="O240" s="12">
        <f t="shared" si="21"/>
        <v>0.23076865862573095</v>
      </c>
    </row>
    <row r="241" spans="1:15">
      <c r="A241" s="33">
        <v>45713</v>
      </c>
      <c r="B241">
        <v>229</v>
      </c>
      <c r="C241">
        <v>779500</v>
      </c>
      <c r="D241">
        <v>5.88</v>
      </c>
      <c r="E241">
        <v>94.35</v>
      </c>
      <c r="F241">
        <v>121.47</v>
      </c>
      <c r="G241">
        <v>135.24</v>
      </c>
      <c r="H241" s="12">
        <v>1</v>
      </c>
      <c r="I241" s="12">
        <v>1</v>
      </c>
      <c r="J241" s="12">
        <v>1</v>
      </c>
      <c r="K241">
        <f t="shared" si="22"/>
        <v>127056109.99999999</v>
      </c>
      <c r="L241">
        <f t="shared" si="23"/>
        <v>25864.049999999985</v>
      </c>
      <c r="M241">
        <f t="shared" si="24"/>
        <v>28660.280000000002</v>
      </c>
      <c r="N241" s="12">
        <f t="shared" si="20"/>
        <v>0.32479166666666665</v>
      </c>
      <c r="O241" s="12">
        <f t="shared" si="21"/>
        <v>0.23117923944687041</v>
      </c>
    </row>
    <row r="242" spans="1:15">
      <c r="A242" s="33">
        <v>45714</v>
      </c>
      <c r="B242">
        <v>230</v>
      </c>
      <c r="C242">
        <v>806199.99999999697</v>
      </c>
      <c r="D242">
        <v>6.2649999999999997</v>
      </c>
      <c r="E242">
        <v>94.56</v>
      </c>
      <c r="F242">
        <v>120.51</v>
      </c>
      <c r="G242">
        <v>134.11000000000001</v>
      </c>
      <c r="H242" s="12">
        <v>0.995161149062883</v>
      </c>
      <c r="I242" s="12">
        <v>1</v>
      </c>
      <c r="J242" s="12">
        <v>1</v>
      </c>
      <c r="K242">
        <f t="shared" si="22"/>
        <v>127862309.99999999</v>
      </c>
      <c r="L242">
        <f t="shared" si="23"/>
        <v>25984.559999999983</v>
      </c>
      <c r="M242">
        <f t="shared" si="24"/>
        <v>28794.390000000003</v>
      </c>
      <c r="N242" s="12">
        <f t="shared" si="20"/>
        <v>0.33591666666666542</v>
      </c>
      <c r="O242" s="12">
        <f t="shared" si="21"/>
        <v>0.23163461956521736</v>
      </c>
    </row>
    <row r="243" spans="1:15">
      <c r="A243" s="33">
        <v>45715</v>
      </c>
      <c r="B243">
        <v>231</v>
      </c>
      <c r="C243">
        <v>772899.99999999395</v>
      </c>
      <c r="D243">
        <v>5.875</v>
      </c>
      <c r="E243">
        <v>95.21</v>
      </c>
      <c r="F243">
        <v>120.66</v>
      </c>
      <c r="G243">
        <v>134.07</v>
      </c>
      <c r="H243" s="12">
        <v>0.99959317412147597</v>
      </c>
      <c r="I243" s="12">
        <v>1</v>
      </c>
      <c r="J243" s="12">
        <v>1</v>
      </c>
      <c r="K243">
        <f t="shared" si="22"/>
        <v>128635209.99999999</v>
      </c>
      <c r="L243">
        <f t="shared" si="23"/>
        <v>26105.219999999983</v>
      </c>
      <c r="M243">
        <f t="shared" si="24"/>
        <v>28928.460000000003</v>
      </c>
      <c r="N243" s="12">
        <f t="shared" si="20"/>
        <v>0.32204166666666412</v>
      </c>
      <c r="O243" s="12">
        <f t="shared" si="21"/>
        <v>0.23202599206349203</v>
      </c>
    </row>
    <row r="244" spans="1:15">
      <c r="A244" s="33">
        <v>45716</v>
      </c>
      <c r="B244">
        <v>232</v>
      </c>
      <c r="C244">
        <v>734200.00000001199</v>
      </c>
      <c r="D244">
        <v>5.665</v>
      </c>
      <c r="E244">
        <v>90.04</v>
      </c>
      <c r="F244">
        <v>120.62</v>
      </c>
      <c r="G244">
        <v>133.09</v>
      </c>
      <c r="H244" s="12">
        <v>0.99987922705314003</v>
      </c>
      <c r="I244" s="12">
        <v>1</v>
      </c>
      <c r="J244" s="12">
        <v>1</v>
      </c>
      <c r="K244">
        <f t="shared" si="22"/>
        <v>129369410</v>
      </c>
      <c r="L244">
        <f t="shared" si="23"/>
        <v>26225.839999999982</v>
      </c>
      <c r="M244">
        <f t="shared" si="24"/>
        <v>29061.550000000003</v>
      </c>
      <c r="N244" s="12">
        <f t="shared" si="20"/>
        <v>0.30591666666667167</v>
      </c>
      <c r="O244" s="12">
        <f t="shared" si="21"/>
        <v>0.23234448635057472</v>
      </c>
    </row>
    <row r="245" spans="1:15">
      <c r="A245" s="33">
        <v>45717</v>
      </c>
      <c r="B245">
        <v>233</v>
      </c>
      <c r="C245">
        <v>735100.00000000605</v>
      </c>
      <c r="D245">
        <v>5.625</v>
      </c>
      <c r="E245">
        <v>88.85</v>
      </c>
      <c r="F245">
        <v>121.17</v>
      </c>
      <c r="G245">
        <v>132.01</v>
      </c>
      <c r="H245" s="12">
        <v>1</v>
      </c>
      <c r="I245" s="12">
        <v>1</v>
      </c>
      <c r="J245" s="12">
        <v>1</v>
      </c>
      <c r="K245">
        <f t="shared" si="22"/>
        <v>130104510</v>
      </c>
      <c r="L245">
        <f t="shared" si="23"/>
        <v>26347.00999999998</v>
      </c>
      <c r="M245">
        <f t="shared" si="24"/>
        <v>29193.56</v>
      </c>
      <c r="N245" s="12">
        <f t="shared" si="20"/>
        <v>0.30629166666666918</v>
      </c>
      <c r="O245" s="12">
        <f t="shared" si="21"/>
        <v>0.23266185622317598</v>
      </c>
    </row>
    <row r="246" spans="1:15">
      <c r="A246" s="33">
        <v>45718</v>
      </c>
      <c r="B246">
        <v>234</v>
      </c>
      <c r="C246">
        <v>678099.99999999104</v>
      </c>
      <c r="D246">
        <v>5.24</v>
      </c>
      <c r="E246">
        <v>84.71</v>
      </c>
      <c r="F246">
        <v>121.26</v>
      </c>
      <c r="G246">
        <v>134.44999999999999</v>
      </c>
      <c r="H246" s="12">
        <v>0.99986843836337302</v>
      </c>
      <c r="I246" s="12">
        <v>1</v>
      </c>
      <c r="J246" s="12">
        <v>1</v>
      </c>
      <c r="K246">
        <f t="shared" si="22"/>
        <v>130782609.99999999</v>
      </c>
      <c r="L246">
        <f t="shared" si="23"/>
        <v>26468.269999999979</v>
      </c>
      <c r="M246">
        <f t="shared" si="24"/>
        <v>29328.010000000002</v>
      </c>
      <c r="N246" s="12">
        <f t="shared" si="20"/>
        <v>0.28254166666666292</v>
      </c>
      <c r="O246" s="12">
        <f t="shared" si="21"/>
        <v>0.23287501780626779</v>
      </c>
    </row>
    <row r="247" spans="1:15">
      <c r="A247" s="33">
        <v>45719</v>
      </c>
      <c r="B247">
        <v>235</v>
      </c>
      <c r="C247">
        <v>774199.99999999697</v>
      </c>
      <c r="D247">
        <v>6.085</v>
      </c>
      <c r="E247">
        <v>90.54</v>
      </c>
      <c r="F247">
        <v>121.09</v>
      </c>
      <c r="G247">
        <v>134.26</v>
      </c>
      <c r="H247" s="12">
        <v>0.99880670870555299</v>
      </c>
      <c r="I247" s="12">
        <v>1</v>
      </c>
      <c r="J247" s="12">
        <v>1</v>
      </c>
      <c r="K247">
        <f t="shared" si="22"/>
        <v>131556809.99999999</v>
      </c>
      <c r="L247">
        <f t="shared" si="23"/>
        <v>26589.359999999979</v>
      </c>
      <c r="M247">
        <f t="shared" si="24"/>
        <v>29462.27</v>
      </c>
      <c r="N247" s="12">
        <f t="shared" si="20"/>
        <v>0.32258333333333206</v>
      </c>
      <c r="O247" s="12">
        <f t="shared" si="21"/>
        <v>0.23325675531914891</v>
      </c>
    </row>
    <row r="248" spans="1:15">
      <c r="A248" s="33">
        <v>45720</v>
      </c>
      <c r="B248">
        <v>236</v>
      </c>
      <c r="C248">
        <v>780199.99999999697</v>
      </c>
      <c r="D248">
        <v>6.0750000000000002</v>
      </c>
      <c r="E248">
        <v>90.92</v>
      </c>
      <c r="F248">
        <v>120.77</v>
      </c>
      <c r="G248">
        <v>135.37</v>
      </c>
      <c r="H248" s="12">
        <v>1</v>
      </c>
      <c r="I248" s="12">
        <v>1</v>
      </c>
      <c r="J248" s="12">
        <v>1</v>
      </c>
      <c r="K248">
        <f t="shared" si="22"/>
        <v>132337009.99999999</v>
      </c>
      <c r="L248">
        <f t="shared" si="23"/>
        <v>26710.129999999979</v>
      </c>
      <c r="M248">
        <f t="shared" si="24"/>
        <v>29597.64</v>
      </c>
      <c r="N248" s="12">
        <f t="shared" si="20"/>
        <v>0.32508333333333206</v>
      </c>
      <c r="O248" s="12">
        <f t="shared" si="21"/>
        <v>0.23364585098870053</v>
      </c>
    </row>
    <row r="249" spans="1:15">
      <c r="A249" s="33">
        <v>45721</v>
      </c>
      <c r="B249">
        <v>237</v>
      </c>
      <c r="C249">
        <v>862000</v>
      </c>
      <c r="D249">
        <v>6.79</v>
      </c>
      <c r="E249">
        <v>93.41</v>
      </c>
      <c r="F249">
        <v>120.95</v>
      </c>
      <c r="G249">
        <v>134.18</v>
      </c>
      <c r="H249" s="12">
        <v>1</v>
      </c>
      <c r="I249" s="12">
        <v>1</v>
      </c>
      <c r="J249" s="12">
        <v>1</v>
      </c>
      <c r="K249">
        <f t="shared" si="22"/>
        <v>133199009.99999999</v>
      </c>
      <c r="L249">
        <f t="shared" si="23"/>
        <v>26831.07999999998</v>
      </c>
      <c r="M249">
        <f t="shared" si="24"/>
        <v>29731.82</v>
      </c>
      <c r="N249" s="12">
        <f t="shared" si="20"/>
        <v>0.35916666666666669</v>
      </c>
      <c r="O249" s="12">
        <f t="shared" si="21"/>
        <v>0.23417547468354427</v>
      </c>
    </row>
    <row r="250" spans="1:15">
      <c r="A250" s="33">
        <v>45722</v>
      </c>
      <c r="B250">
        <v>238</v>
      </c>
      <c r="C250">
        <v>878900.00000000896</v>
      </c>
      <c r="D250">
        <v>6.8849999999999998</v>
      </c>
      <c r="E250">
        <v>93.55</v>
      </c>
      <c r="F250">
        <v>120.04</v>
      </c>
      <c r="G250">
        <v>131.38999999999999</v>
      </c>
      <c r="H250" s="12">
        <v>1</v>
      </c>
      <c r="I250" s="12">
        <v>1</v>
      </c>
      <c r="J250" s="12">
        <v>1</v>
      </c>
      <c r="K250">
        <f t="shared" si="22"/>
        <v>134077910</v>
      </c>
      <c r="L250">
        <f t="shared" si="23"/>
        <v>26951.119999999981</v>
      </c>
      <c r="M250">
        <f t="shared" si="24"/>
        <v>29863.21</v>
      </c>
      <c r="N250" s="12">
        <f t="shared" si="20"/>
        <v>0.36620833333333708</v>
      </c>
      <c r="O250" s="12">
        <f t="shared" si="21"/>
        <v>0.23473023459383754</v>
      </c>
    </row>
    <row r="251" spans="1:15">
      <c r="A251" s="33">
        <v>45723</v>
      </c>
      <c r="B251">
        <v>239</v>
      </c>
      <c r="C251">
        <v>862399.99999999395</v>
      </c>
      <c r="D251">
        <v>6.78</v>
      </c>
      <c r="E251">
        <v>92.28</v>
      </c>
      <c r="F251">
        <v>121.43</v>
      </c>
      <c r="G251">
        <v>134.96</v>
      </c>
      <c r="H251" s="12">
        <v>0.99965268733177004</v>
      </c>
      <c r="I251" s="12">
        <v>1</v>
      </c>
      <c r="J251" s="12">
        <v>1</v>
      </c>
      <c r="K251">
        <f t="shared" si="22"/>
        <v>134940310</v>
      </c>
      <c r="L251">
        <f t="shared" si="23"/>
        <v>27072.549999999981</v>
      </c>
      <c r="M251">
        <f t="shared" si="24"/>
        <v>29998.17</v>
      </c>
      <c r="N251" s="12">
        <f t="shared" si="20"/>
        <v>0.35933333333333078</v>
      </c>
      <c r="O251" s="12">
        <f t="shared" si="21"/>
        <v>0.23525158647140865</v>
      </c>
    </row>
    <row r="252" spans="1:15">
      <c r="A252" s="33">
        <v>45724</v>
      </c>
      <c r="B252">
        <v>240</v>
      </c>
      <c r="C252">
        <v>780500.00000001502</v>
      </c>
      <c r="D252">
        <v>6.5</v>
      </c>
      <c r="E252">
        <v>91.2</v>
      </c>
      <c r="F252">
        <v>121.2</v>
      </c>
      <c r="G252">
        <v>134.94999999999999</v>
      </c>
      <c r="H252" s="12">
        <v>0.98484848484848497</v>
      </c>
      <c r="I252" s="12">
        <v>1</v>
      </c>
      <c r="J252" s="12">
        <v>1</v>
      </c>
      <c r="K252">
        <f t="shared" si="22"/>
        <v>135720810.00000003</v>
      </c>
      <c r="L252">
        <f t="shared" si="23"/>
        <v>27193.749999999982</v>
      </c>
      <c r="M252">
        <f t="shared" si="24"/>
        <v>30133.119999999999</v>
      </c>
      <c r="N252" s="12">
        <f t="shared" si="20"/>
        <v>0.32520833333333959</v>
      </c>
      <c r="O252" s="12">
        <f t="shared" si="21"/>
        <v>0.23562640625000006</v>
      </c>
    </row>
    <row r="253" spans="1:15">
      <c r="A253" s="33">
        <v>45725</v>
      </c>
      <c r="B253">
        <v>241</v>
      </c>
      <c r="C253">
        <v>755699.99999999697</v>
      </c>
      <c r="D253">
        <v>5.9050000000000002</v>
      </c>
      <c r="E253">
        <v>90.75</v>
      </c>
      <c r="F253">
        <v>121.23</v>
      </c>
      <c r="G253">
        <v>134.46</v>
      </c>
      <c r="H253" s="12">
        <v>1</v>
      </c>
      <c r="I253" s="12">
        <v>1</v>
      </c>
      <c r="J253" s="12">
        <v>1</v>
      </c>
      <c r="K253">
        <f t="shared" si="22"/>
        <v>136476510.00000003</v>
      </c>
      <c r="L253">
        <f t="shared" si="23"/>
        <v>27314.979999999981</v>
      </c>
      <c r="M253">
        <f t="shared" si="24"/>
        <v>30267.579999999998</v>
      </c>
      <c r="N253" s="12">
        <f t="shared" si="20"/>
        <v>0.31487499999999874</v>
      </c>
      <c r="O253" s="12">
        <f t="shared" si="21"/>
        <v>0.23595523858921166</v>
      </c>
    </row>
    <row r="254" spans="1:15">
      <c r="A254" s="33">
        <v>45726</v>
      </c>
      <c r="B254">
        <v>242</v>
      </c>
      <c r="C254">
        <v>752500</v>
      </c>
      <c r="D254">
        <v>5.8650000000000002</v>
      </c>
      <c r="E254">
        <v>91.01</v>
      </c>
      <c r="F254">
        <v>121.38</v>
      </c>
      <c r="G254">
        <v>133.88999999999999</v>
      </c>
      <c r="H254" s="12">
        <v>0.99992424242424205</v>
      </c>
      <c r="I254" s="12">
        <v>1</v>
      </c>
      <c r="J254" s="12">
        <v>1</v>
      </c>
      <c r="K254">
        <f t="shared" si="22"/>
        <v>137229010.00000003</v>
      </c>
      <c r="L254">
        <f t="shared" si="23"/>
        <v>27436.359999999982</v>
      </c>
      <c r="M254">
        <f t="shared" si="24"/>
        <v>30401.469999999998</v>
      </c>
      <c r="N254" s="12">
        <f t="shared" si="20"/>
        <v>0.31354166666666666</v>
      </c>
      <c r="O254" s="12">
        <f t="shared" si="21"/>
        <v>0.23627584366391191</v>
      </c>
    </row>
    <row r="255" spans="1:15">
      <c r="A255" s="33">
        <v>45727</v>
      </c>
      <c r="B255">
        <v>243</v>
      </c>
      <c r="C255">
        <v>794299.99999998801</v>
      </c>
      <c r="D255">
        <v>6.33</v>
      </c>
      <c r="E255">
        <v>91.03</v>
      </c>
      <c r="F255">
        <v>121</v>
      </c>
      <c r="G255">
        <v>133.72</v>
      </c>
      <c r="H255" s="12">
        <v>1</v>
      </c>
      <c r="I255" s="12">
        <v>1</v>
      </c>
      <c r="J255" s="12">
        <v>1</v>
      </c>
      <c r="K255">
        <f t="shared" si="22"/>
        <v>138023310.00000003</v>
      </c>
      <c r="L255">
        <f t="shared" si="23"/>
        <v>27557.359999999982</v>
      </c>
      <c r="M255">
        <f t="shared" si="24"/>
        <v>30535.19</v>
      </c>
      <c r="N255" s="12">
        <f t="shared" si="20"/>
        <v>0.33095833333332836</v>
      </c>
      <c r="O255" s="12">
        <f t="shared" si="21"/>
        <v>0.2366654835390947</v>
      </c>
    </row>
    <row r="256" spans="1:15">
      <c r="A256" s="33">
        <v>45728</v>
      </c>
      <c r="B256">
        <v>244</v>
      </c>
      <c r="C256">
        <v>783000</v>
      </c>
      <c r="D256">
        <v>6.24</v>
      </c>
      <c r="E256">
        <v>90.9</v>
      </c>
      <c r="F256">
        <v>120.96</v>
      </c>
      <c r="G256">
        <v>133.63999999999999</v>
      </c>
      <c r="H256" s="12">
        <v>1</v>
      </c>
      <c r="I256" s="12">
        <v>1</v>
      </c>
      <c r="J256" s="12">
        <v>1</v>
      </c>
      <c r="K256">
        <f t="shared" si="22"/>
        <v>138806310.00000003</v>
      </c>
      <c r="L256">
        <f t="shared" si="23"/>
        <v>27678.319999999982</v>
      </c>
      <c r="M256">
        <f t="shared" si="24"/>
        <v>30668.829999999998</v>
      </c>
      <c r="N256" s="12">
        <f t="shared" si="20"/>
        <v>0.32624999999999998</v>
      </c>
      <c r="O256" s="12">
        <f t="shared" si="21"/>
        <v>0.23703263319672135</v>
      </c>
    </row>
    <row r="257" spans="1:15">
      <c r="A257" s="33">
        <v>45729</v>
      </c>
      <c r="B257">
        <v>245</v>
      </c>
      <c r="C257">
        <v>732100.00000000605</v>
      </c>
      <c r="D257">
        <v>5.9749999999999996</v>
      </c>
      <c r="E257">
        <v>87.17</v>
      </c>
      <c r="F257">
        <v>120.95</v>
      </c>
      <c r="G257">
        <v>135.19999999999999</v>
      </c>
      <c r="H257" s="12">
        <v>0.992185122385983</v>
      </c>
      <c r="I257" s="12">
        <v>1</v>
      </c>
      <c r="J257" s="12">
        <v>1</v>
      </c>
      <c r="K257">
        <f t="shared" si="22"/>
        <v>139538410.00000003</v>
      </c>
      <c r="L257">
        <f t="shared" si="23"/>
        <v>27799.269999999982</v>
      </c>
      <c r="M257">
        <f t="shared" si="24"/>
        <v>30804.03</v>
      </c>
      <c r="N257" s="12">
        <f t="shared" si="20"/>
        <v>0.30504166666666921</v>
      </c>
      <c r="O257" s="12">
        <f t="shared" si="21"/>
        <v>0.23731022108843541</v>
      </c>
    </row>
    <row r="258" spans="1:15">
      <c r="A258" s="33">
        <v>45730</v>
      </c>
      <c r="B258">
        <v>246</v>
      </c>
      <c r="C258">
        <v>733700.00000001199</v>
      </c>
      <c r="D258">
        <v>5.8150000000000004</v>
      </c>
      <c r="E258">
        <v>98.39</v>
      </c>
      <c r="F258">
        <v>121.04</v>
      </c>
      <c r="G258">
        <v>133.46</v>
      </c>
      <c r="H258" s="12">
        <v>0.999237281426123</v>
      </c>
      <c r="I258" s="12">
        <v>1</v>
      </c>
      <c r="J258" s="12">
        <v>1</v>
      </c>
      <c r="K258">
        <f t="shared" si="22"/>
        <v>140272110.00000003</v>
      </c>
      <c r="L258">
        <f t="shared" si="23"/>
        <v>27920.309999999983</v>
      </c>
      <c r="M258">
        <f t="shared" si="24"/>
        <v>30937.489999999998</v>
      </c>
      <c r="N258" s="12">
        <f t="shared" si="20"/>
        <v>0.30570833333333836</v>
      </c>
      <c r="O258" s="12">
        <f t="shared" si="21"/>
        <v>0.237588262195122</v>
      </c>
    </row>
    <row r="259" spans="1:15">
      <c r="A259" s="33">
        <v>45731</v>
      </c>
      <c r="B259">
        <v>247</v>
      </c>
      <c r="C259">
        <v>649599.99999999104</v>
      </c>
      <c r="D259">
        <v>5.1749999999999998</v>
      </c>
      <c r="E259">
        <v>85.78</v>
      </c>
      <c r="F259">
        <v>120.6</v>
      </c>
      <c r="G259">
        <v>133.96</v>
      </c>
      <c r="H259" s="12">
        <v>0.999431281655078</v>
      </c>
      <c r="I259" s="12">
        <v>1</v>
      </c>
      <c r="J259" s="12">
        <v>1</v>
      </c>
      <c r="K259">
        <f t="shared" si="22"/>
        <v>140921710.00000003</v>
      </c>
      <c r="L259">
        <f t="shared" si="23"/>
        <v>28040.909999999982</v>
      </c>
      <c r="M259">
        <f t="shared" si="24"/>
        <v>31071.449999999997</v>
      </c>
      <c r="N259" s="12">
        <f t="shared" si="20"/>
        <v>0.27066666666666295</v>
      </c>
      <c r="O259" s="12">
        <f t="shared" si="21"/>
        <v>0.23772218286099869</v>
      </c>
    </row>
    <row r="260" spans="1:15">
      <c r="A260" s="33">
        <v>45732</v>
      </c>
      <c r="B260">
        <v>248</v>
      </c>
      <c r="C260">
        <v>676500</v>
      </c>
      <c r="D260">
        <v>5.34</v>
      </c>
      <c r="E260">
        <v>81.93</v>
      </c>
      <c r="F260">
        <v>120.84</v>
      </c>
      <c r="G260">
        <v>134.37</v>
      </c>
      <c r="H260" s="12">
        <v>1</v>
      </c>
      <c r="I260" s="12">
        <v>1</v>
      </c>
      <c r="J260" s="12">
        <v>1</v>
      </c>
      <c r="K260">
        <f t="shared" si="22"/>
        <v>141598210.00000003</v>
      </c>
      <c r="L260">
        <f t="shared" si="23"/>
        <v>28161.749999999982</v>
      </c>
      <c r="M260">
        <f t="shared" si="24"/>
        <v>31205.819999999996</v>
      </c>
      <c r="N260" s="12">
        <f t="shared" si="20"/>
        <v>0.28187499999999999</v>
      </c>
      <c r="O260" s="12">
        <f t="shared" si="21"/>
        <v>0.23790021841397854</v>
      </c>
    </row>
    <row r="261" spans="1:15">
      <c r="A261" s="33">
        <v>45733</v>
      </c>
      <c r="B261">
        <v>249</v>
      </c>
      <c r="C261">
        <v>712400.00000000896</v>
      </c>
      <c r="D261">
        <v>5.68</v>
      </c>
      <c r="E261">
        <v>86.56</v>
      </c>
      <c r="F261">
        <v>120.84</v>
      </c>
      <c r="G261">
        <v>133.78</v>
      </c>
      <c r="H261" s="12">
        <v>1</v>
      </c>
      <c r="I261" s="12">
        <v>1</v>
      </c>
      <c r="J261" s="12">
        <v>1</v>
      </c>
      <c r="K261">
        <f t="shared" si="22"/>
        <v>142310610.00000003</v>
      </c>
      <c r="L261">
        <f t="shared" si="23"/>
        <v>28282.589999999982</v>
      </c>
      <c r="M261">
        <f t="shared" si="24"/>
        <v>31339.599999999995</v>
      </c>
      <c r="N261" s="12">
        <f t="shared" si="20"/>
        <v>0.29683333333333706</v>
      </c>
      <c r="O261" s="12">
        <f t="shared" si="21"/>
        <v>0.2381368975903615</v>
      </c>
    </row>
    <row r="262" spans="1:15">
      <c r="A262" s="33">
        <v>45734</v>
      </c>
      <c r="B262">
        <v>250</v>
      </c>
      <c r="C262">
        <v>793499.99999998498</v>
      </c>
      <c r="D262">
        <v>6.35</v>
      </c>
      <c r="E262">
        <v>91.19</v>
      </c>
      <c r="F262">
        <v>121.81</v>
      </c>
      <c r="G262">
        <v>134.09</v>
      </c>
      <c r="H262" s="12">
        <v>0.99987213911264505</v>
      </c>
      <c r="I262" s="12">
        <v>1</v>
      </c>
      <c r="J262" s="12">
        <v>1</v>
      </c>
      <c r="K262">
        <f t="shared" si="22"/>
        <v>143104110</v>
      </c>
      <c r="L262">
        <f t="shared" si="23"/>
        <v>28404.399999999983</v>
      </c>
      <c r="M262">
        <f t="shared" si="24"/>
        <v>31473.689999999995</v>
      </c>
      <c r="N262" s="12">
        <f t="shared" si="20"/>
        <v>0.33062499999999373</v>
      </c>
      <c r="O262" s="12">
        <f t="shared" si="21"/>
        <v>0.23850684999999999</v>
      </c>
    </row>
    <row r="263" spans="1:15">
      <c r="A263" s="33">
        <v>45735</v>
      </c>
      <c r="B263">
        <v>251</v>
      </c>
      <c r="C263">
        <v>612100.00000000605</v>
      </c>
      <c r="D263">
        <v>4.8849999999999998</v>
      </c>
      <c r="E263">
        <v>75.38</v>
      </c>
      <c r="F263">
        <v>121.26</v>
      </c>
      <c r="G263">
        <v>134.38</v>
      </c>
      <c r="H263" s="12">
        <v>1</v>
      </c>
      <c r="I263" s="12">
        <v>1</v>
      </c>
      <c r="J263" s="12">
        <v>1</v>
      </c>
      <c r="K263">
        <f t="shared" si="22"/>
        <v>143716210</v>
      </c>
      <c r="L263">
        <f t="shared" si="23"/>
        <v>28525.659999999982</v>
      </c>
      <c r="M263">
        <f t="shared" si="24"/>
        <v>31608.069999999996</v>
      </c>
      <c r="N263" s="12">
        <f t="shared" si="20"/>
        <v>0.25504166666666916</v>
      </c>
      <c r="O263" s="12">
        <f t="shared" si="21"/>
        <v>0.23857272576361221</v>
      </c>
    </row>
    <row r="264" spans="1:15">
      <c r="A264" s="33">
        <v>45736</v>
      </c>
      <c r="B264">
        <v>252</v>
      </c>
      <c r="C264">
        <v>676599.99999999104</v>
      </c>
      <c r="D264">
        <v>5.49</v>
      </c>
      <c r="E264">
        <v>85.59</v>
      </c>
      <c r="F264">
        <v>121.43</v>
      </c>
      <c r="G264">
        <v>134.53</v>
      </c>
      <c r="H264" s="12">
        <v>0.99637262455059095</v>
      </c>
      <c r="I264" s="12">
        <v>1</v>
      </c>
      <c r="J264" s="12">
        <v>1</v>
      </c>
      <c r="K264">
        <f t="shared" si="22"/>
        <v>144392810</v>
      </c>
      <c r="L264">
        <f t="shared" si="23"/>
        <v>28647.089999999982</v>
      </c>
      <c r="M264">
        <f t="shared" si="24"/>
        <v>31742.599999999995</v>
      </c>
      <c r="N264" s="12">
        <f t="shared" si="20"/>
        <v>0.28191666666666293</v>
      </c>
      <c r="O264" s="12">
        <f t="shared" si="21"/>
        <v>0.23874472552910053</v>
      </c>
    </row>
    <row r="265" spans="1:15">
      <c r="A265" s="33">
        <v>45737</v>
      </c>
      <c r="B265">
        <v>253</v>
      </c>
      <c r="C265">
        <v>591500</v>
      </c>
      <c r="D265">
        <v>4.79</v>
      </c>
      <c r="E265">
        <v>88.85</v>
      </c>
      <c r="F265">
        <v>120.88</v>
      </c>
      <c r="G265">
        <v>134.05000000000001</v>
      </c>
      <c r="H265" s="12">
        <v>0.99960949703217705</v>
      </c>
      <c r="I265" s="12">
        <v>1</v>
      </c>
      <c r="J265" s="12">
        <v>1</v>
      </c>
      <c r="K265">
        <f t="shared" si="22"/>
        <v>144984310</v>
      </c>
      <c r="L265">
        <f t="shared" si="23"/>
        <v>28767.969999999983</v>
      </c>
      <c r="M265">
        <f t="shared" si="24"/>
        <v>31876.649999999994</v>
      </c>
      <c r="N265" s="12">
        <f t="shared" si="20"/>
        <v>0.24645833333333333</v>
      </c>
      <c r="O265" s="12">
        <f t="shared" si="21"/>
        <v>0.23877521409749672</v>
      </c>
    </row>
    <row r="266" spans="1:15">
      <c r="A266" s="33">
        <v>45738</v>
      </c>
      <c r="B266">
        <v>254</v>
      </c>
      <c r="C266">
        <v>779200.00000001199</v>
      </c>
      <c r="D266">
        <v>6.2</v>
      </c>
      <c r="E266">
        <v>88.85</v>
      </c>
      <c r="F266">
        <v>116.79</v>
      </c>
      <c r="G266">
        <v>130.5</v>
      </c>
      <c r="H266" s="12">
        <v>0.99952582594504003</v>
      </c>
      <c r="I266" s="12">
        <v>1</v>
      </c>
      <c r="J266" s="12">
        <v>1</v>
      </c>
      <c r="K266">
        <f t="shared" si="22"/>
        <v>145763510</v>
      </c>
      <c r="L266">
        <f t="shared" si="23"/>
        <v>28884.759999999984</v>
      </c>
      <c r="M266">
        <f t="shared" si="24"/>
        <v>32007.149999999994</v>
      </c>
      <c r="N266" s="12">
        <f t="shared" si="20"/>
        <v>0.32466666666667165</v>
      </c>
      <c r="O266" s="12">
        <f t="shared" si="21"/>
        <v>0.23911336942257219</v>
      </c>
    </row>
    <row r="267" spans="1:15">
      <c r="A267" s="33">
        <v>45739</v>
      </c>
      <c r="B267">
        <v>255</v>
      </c>
      <c r="C267">
        <v>666699.99999999697</v>
      </c>
      <c r="D267">
        <v>5.4349999999999996</v>
      </c>
      <c r="E267">
        <v>89.66</v>
      </c>
      <c r="F267">
        <v>116.95</v>
      </c>
      <c r="G267">
        <v>129.44999999999999</v>
      </c>
      <c r="H267" s="12">
        <v>0.99876936277830497</v>
      </c>
      <c r="I267" s="12">
        <v>1</v>
      </c>
      <c r="J267" s="12">
        <v>1</v>
      </c>
      <c r="K267">
        <f t="shared" si="22"/>
        <v>146430210</v>
      </c>
      <c r="L267">
        <f t="shared" si="23"/>
        <v>29001.709999999985</v>
      </c>
      <c r="M267">
        <f t="shared" si="24"/>
        <v>32136.599999999995</v>
      </c>
      <c r="N267" s="12">
        <f t="shared" si="20"/>
        <v>0.27779166666666538</v>
      </c>
      <c r="O267" s="12">
        <f t="shared" si="21"/>
        <v>0.23926504901960785</v>
      </c>
    </row>
    <row r="268" spans="1:15">
      <c r="A268" s="33">
        <v>45740</v>
      </c>
      <c r="B268">
        <v>256</v>
      </c>
      <c r="C268">
        <v>800100.00000000605</v>
      </c>
      <c r="D268">
        <v>6.36</v>
      </c>
      <c r="E268">
        <v>92.45</v>
      </c>
      <c r="F268">
        <v>116.62</v>
      </c>
      <c r="G268">
        <v>130.27000000000001</v>
      </c>
      <c r="H268" s="12">
        <v>0.99988908114823205</v>
      </c>
      <c r="I268" s="12">
        <v>1</v>
      </c>
      <c r="J268" s="12">
        <v>1</v>
      </c>
      <c r="K268">
        <f t="shared" si="22"/>
        <v>147230310</v>
      </c>
      <c r="L268">
        <f t="shared" si="23"/>
        <v>29118.329999999984</v>
      </c>
      <c r="M268">
        <f t="shared" si="24"/>
        <v>32266.869999999995</v>
      </c>
      <c r="N268" s="12">
        <f t="shared" si="20"/>
        <v>0.33337500000000253</v>
      </c>
      <c r="O268" s="12">
        <f t="shared" si="21"/>
        <v>0.239632666015625</v>
      </c>
    </row>
    <row r="269" spans="1:15">
      <c r="A269" s="33">
        <v>45741</v>
      </c>
      <c r="B269">
        <v>257</v>
      </c>
      <c r="C269">
        <v>812999.99999998498</v>
      </c>
      <c r="D269">
        <v>6.4749999999999996</v>
      </c>
      <c r="E269">
        <v>94.62</v>
      </c>
      <c r="F269">
        <v>116.56</v>
      </c>
      <c r="G269">
        <v>129.75</v>
      </c>
      <c r="H269" s="12">
        <v>1</v>
      </c>
      <c r="I269" s="12">
        <v>1</v>
      </c>
      <c r="J269" s="12">
        <v>1</v>
      </c>
      <c r="K269">
        <f t="shared" si="22"/>
        <v>148043309.99999997</v>
      </c>
      <c r="L269">
        <f t="shared" si="23"/>
        <v>29234.889999999985</v>
      </c>
      <c r="M269">
        <f t="shared" si="24"/>
        <v>32396.619999999995</v>
      </c>
      <c r="N269" s="12">
        <f t="shared" si="20"/>
        <v>0.33874999999999372</v>
      </c>
      <c r="O269" s="12">
        <f t="shared" si="21"/>
        <v>0.24001833657587543</v>
      </c>
    </row>
    <row r="270" spans="1:15">
      <c r="A270" s="33">
        <v>45742</v>
      </c>
      <c r="B270">
        <v>258</v>
      </c>
      <c r="C270">
        <v>776899.99999999395</v>
      </c>
      <c r="D270">
        <v>6.085</v>
      </c>
      <c r="E270">
        <v>94.95</v>
      </c>
      <c r="F270">
        <v>116.56</v>
      </c>
      <c r="G270">
        <v>130.36000000000001</v>
      </c>
      <c r="H270" s="12">
        <v>1</v>
      </c>
      <c r="I270" s="12">
        <v>1</v>
      </c>
      <c r="J270" s="12">
        <v>1</v>
      </c>
      <c r="K270">
        <f t="shared" si="22"/>
        <v>148820209.99999997</v>
      </c>
      <c r="L270">
        <f t="shared" si="23"/>
        <v>29351.449999999986</v>
      </c>
      <c r="M270">
        <f t="shared" si="24"/>
        <v>32526.979999999996</v>
      </c>
      <c r="N270" s="12">
        <f t="shared" ref="N270:N333" si="25">C270/(100000*24)</f>
        <v>0.32370833333333082</v>
      </c>
      <c r="O270" s="12">
        <f t="shared" ref="O270:O333" si="26">K270/(B270*100000*24)</f>
        <v>0.24034271640826868</v>
      </c>
    </row>
    <row r="271" spans="1:15">
      <c r="A271" s="33">
        <v>45743</v>
      </c>
      <c r="B271">
        <v>259</v>
      </c>
      <c r="C271">
        <v>753300.000000017</v>
      </c>
      <c r="D271">
        <v>5.94</v>
      </c>
      <c r="E271">
        <v>92.18</v>
      </c>
      <c r="F271">
        <v>116.92100000000001</v>
      </c>
      <c r="G271">
        <v>129.32</v>
      </c>
      <c r="H271" s="12">
        <v>1</v>
      </c>
      <c r="I271" s="12">
        <v>1</v>
      </c>
      <c r="J271" s="12">
        <v>1</v>
      </c>
      <c r="K271">
        <f t="shared" ref="K271:K334" si="27">K270+C271</f>
        <v>149573510</v>
      </c>
      <c r="L271">
        <f t="shared" ref="L271:L334" si="28">L270+F271</f>
        <v>29468.370999999985</v>
      </c>
      <c r="M271">
        <f t="shared" ref="M271:M334" si="29">M270+G271</f>
        <v>32656.299999999996</v>
      </c>
      <c r="N271" s="12">
        <f t="shared" si="25"/>
        <v>0.31387500000000707</v>
      </c>
      <c r="O271" s="12">
        <f t="shared" si="26"/>
        <v>0.24062662483912484</v>
      </c>
    </row>
    <row r="272" spans="1:15">
      <c r="A272" s="33">
        <v>45744</v>
      </c>
      <c r="B272">
        <v>260</v>
      </c>
      <c r="C272">
        <v>702500</v>
      </c>
      <c r="D272">
        <v>5.62</v>
      </c>
      <c r="E272">
        <v>87.03</v>
      </c>
      <c r="F272">
        <v>120.93</v>
      </c>
      <c r="G272">
        <v>129.85</v>
      </c>
      <c r="H272" s="12">
        <v>1</v>
      </c>
      <c r="I272" s="12">
        <v>1</v>
      </c>
      <c r="J272" s="12">
        <v>1</v>
      </c>
      <c r="K272">
        <f t="shared" si="27"/>
        <v>150276010</v>
      </c>
      <c r="L272">
        <f t="shared" si="28"/>
        <v>29589.300999999985</v>
      </c>
      <c r="M272">
        <f t="shared" si="29"/>
        <v>32786.149999999994</v>
      </c>
      <c r="N272" s="12">
        <f t="shared" si="25"/>
        <v>0.29270833333333335</v>
      </c>
      <c r="O272" s="12">
        <f t="shared" si="26"/>
        <v>0.24082693910256411</v>
      </c>
    </row>
    <row r="273" spans="1:15">
      <c r="A273" s="33">
        <v>45745</v>
      </c>
      <c r="B273">
        <v>261</v>
      </c>
      <c r="C273">
        <v>714600.00000000605</v>
      </c>
      <c r="D273">
        <v>5.71</v>
      </c>
      <c r="E273">
        <v>86.9</v>
      </c>
      <c r="F273">
        <v>120.93</v>
      </c>
      <c r="G273">
        <v>134.69</v>
      </c>
      <c r="H273" s="12">
        <v>1</v>
      </c>
      <c r="I273" s="12">
        <v>1</v>
      </c>
      <c r="J273" s="12">
        <v>1</v>
      </c>
      <c r="K273">
        <f t="shared" si="27"/>
        <v>150990610</v>
      </c>
      <c r="L273">
        <f t="shared" si="28"/>
        <v>29710.230999999985</v>
      </c>
      <c r="M273">
        <f t="shared" si="29"/>
        <v>32920.839999999997</v>
      </c>
      <c r="N273" s="12">
        <f t="shared" si="25"/>
        <v>0.29775000000000251</v>
      </c>
      <c r="O273" s="12">
        <f t="shared" si="26"/>
        <v>0.24104503512132822</v>
      </c>
    </row>
    <row r="274" spans="1:15">
      <c r="A274" s="33">
        <v>45746</v>
      </c>
      <c r="B274">
        <v>262</v>
      </c>
      <c r="C274">
        <v>756199.999999983</v>
      </c>
      <c r="D274">
        <v>6.0350000000000001</v>
      </c>
      <c r="E274">
        <v>91.54</v>
      </c>
      <c r="F274">
        <v>120.77</v>
      </c>
      <c r="G274">
        <v>134.19</v>
      </c>
      <c r="H274" s="12">
        <v>1</v>
      </c>
      <c r="I274" s="12">
        <v>1</v>
      </c>
      <c r="J274" s="12">
        <v>1</v>
      </c>
      <c r="K274">
        <f t="shared" si="27"/>
        <v>151746809.99999997</v>
      </c>
      <c r="L274">
        <f t="shared" si="28"/>
        <v>29831.000999999986</v>
      </c>
      <c r="M274">
        <f t="shared" si="29"/>
        <v>33055.03</v>
      </c>
      <c r="N274" s="12">
        <f t="shared" si="25"/>
        <v>0.31508333333332628</v>
      </c>
      <c r="O274" s="12">
        <f t="shared" si="26"/>
        <v>0.24132762404580149</v>
      </c>
    </row>
    <row r="275" spans="1:15">
      <c r="A275" s="33">
        <v>45747</v>
      </c>
      <c r="B275">
        <v>263</v>
      </c>
      <c r="C275">
        <v>685000.00000001502</v>
      </c>
      <c r="D275">
        <v>5.5</v>
      </c>
      <c r="E275">
        <v>84.16</v>
      </c>
      <c r="F275">
        <v>120.77</v>
      </c>
      <c r="G275">
        <v>133.66</v>
      </c>
      <c r="H275" s="12">
        <v>1</v>
      </c>
      <c r="I275" s="12">
        <v>1</v>
      </c>
      <c r="J275" s="12">
        <v>1</v>
      </c>
      <c r="K275">
        <f t="shared" si="27"/>
        <v>152431810</v>
      </c>
      <c r="L275">
        <f t="shared" si="28"/>
        <v>29951.770999999986</v>
      </c>
      <c r="M275">
        <f t="shared" si="29"/>
        <v>33188.69</v>
      </c>
      <c r="N275" s="12">
        <f t="shared" si="25"/>
        <v>0.28541666666667292</v>
      </c>
      <c r="O275" s="12">
        <f t="shared" si="26"/>
        <v>0.241495262991128</v>
      </c>
    </row>
    <row r="276" spans="1:15">
      <c r="A276" s="33">
        <v>45748</v>
      </c>
      <c r="B276">
        <v>1</v>
      </c>
      <c r="C276">
        <v>590499.99999998498</v>
      </c>
      <c r="D276">
        <v>4.6100000000000003</v>
      </c>
      <c r="E276">
        <v>64.400000000000006</v>
      </c>
      <c r="F276">
        <v>120.92</v>
      </c>
      <c r="G276">
        <v>133.78</v>
      </c>
      <c r="H276" s="12">
        <v>1</v>
      </c>
      <c r="I276" s="12">
        <v>1</v>
      </c>
      <c r="J276" s="12">
        <v>1</v>
      </c>
      <c r="K276">
        <f>C276</f>
        <v>590499.99999998498</v>
      </c>
      <c r="L276">
        <f>F276</f>
        <v>120.92</v>
      </c>
      <c r="M276">
        <f>G276</f>
        <v>133.78</v>
      </c>
      <c r="N276" s="12">
        <f t="shared" si="25"/>
        <v>0.24604166666666041</v>
      </c>
      <c r="O276" s="12">
        <f t="shared" si="26"/>
        <v>0.24604166666666041</v>
      </c>
    </row>
    <row r="277" spans="1:15">
      <c r="A277" s="33">
        <v>45749</v>
      </c>
      <c r="B277">
        <v>2</v>
      </c>
      <c r="C277">
        <v>485900.00000002299</v>
      </c>
      <c r="D277">
        <v>3.86</v>
      </c>
      <c r="E277">
        <v>74.83</v>
      </c>
      <c r="F277">
        <v>120.86</v>
      </c>
      <c r="G277">
        <v>133.83000000000001</v>
      </c>
      <c r="H277" s="12">
        <v>0.99989898989898995</v>
      </c>
      <c r="I277" s="12">
        <v>1</v>
      </c>
      <c r="J277" s="12">
        <v>1</v>
      </c>
      <c r="K277">
        <f t="shared" si="27"/>
        <v>1076400.0000000079</v>
      </c>
      <c r="L277">
        <f t="shared" si="28"/>
        <v>241.78</v>
      </c>
      <c r="M277">
        <f t="shared" si="29"/>
        <v>267.61</v>
      </c>
      <c r="N277" s="12">
        <f t="shared" si="25"/>
        <v>0.20245833333334293</v>
      </c>
      <c r="O277" s="12">
        <f t="shared" si="26"/>
        <v>0.22425000000000164</v>
      </c>
    </row>
    <row r="278" spans="1:15">
      <c r="A278" s="33">
        <v>45750</v>
      </c>
      <c r="B278">
        <v>3</v>
      </c>
      <c r="C278">
        <v>465599.99999999098</v>
      </c>
      <c r="D278">
        <v>3.7050000000000001</v>
      </c>
      <c r="E278">
        <v>72.319999999999993</v>
      </c>
      <c r="F278">
        <v>120.69</v>
      </c>
      <c r="G278">
        <v>133.88999999999999</v>
      </c>
      <c r="H278" s="12">
        <v>0.99985078053259901</v>
      </c>
      <c r="I278" s="12">
        <v>1</v>
      </c>
      <c r="J278" s="12">
        <v>1</v>
      </c>
      <c r="K278">
        <f t="shared" si="27"/>
        <v>1541999.9999999988</v>
      </c>
      <c r="L278">
        <f t="shared" si="28"/>
        <v>362.47</v>
      </c>
      <c r="M278">
        <f t="shared" si="29"/>
        <v>401.5</v>
      </c>
      <c r="N278" s="12">
        <f t="shared" si="25"/>
        <v>0.19399999999999623</v>
      </c>
      <c r="O278" s="12">
        <f t="shared" si="26"/>
        <v>0.21416666666666651</v>
      </c>
    </row>
    <row r="279" spans="1:15">
      <c r="A279" s="33">
        <v>45751</v>
      </c>
      <c r="B279">
        <v>4</v>
      </c>
      <c r="C279">
        <v>645600.00000000605</v>
      </c>
      <c r="D279">
        <v>5.2549999999999999</v>
      </c>
      <c r="E279">
        <v>87.15</v>
      </c>
      <c r="F279">
        <v>120.89</v>
      </c>
      <c r="G279">
        <v>133.62</v>
      </c>
      <c r="H279" s="12">
        <v>1</v>
      </c>
      <c r="I279" s="12">
        <v>1</v>
      </c>
      <c r="J279" s="12">
        <v>1</v>
      </c>
      <c r="K279">
        <f t="shared" si="27"/>
        <v>2187600.0000000047</v>
      </c>
      <c r="L279">
        <f t="shared" si="28"/>
        <v>483.36</v>
      </c>
      <c r="M279">
        <f t="shared" si="29"/>
        <v>535.12</v>
      </c>
      <c r="N279" s="12">
        <f t="shared" si="25"/>
        <v>0.26900000000000251</v>
      </c>
      <c r="O279" s="12">
        <f>K279/(B279*100000*24)</f>
        <v>0.22787500000000049</v>
      </c>
    </row>
    <row r="280" spans="1:15">
      <c r="A280" s="33">
        <v>45752</v>
      </c>
      <c r="B280">
        <v>5</v>
      </c>
      <c r="C280">
        <v>798299.99999998801</v>
      </c>
      <c r="D280">
        <v>6.6150000000000002</v>
      </c>
      <c r="E280">
        <v>94.46</v>
      </c>
      <c r="F280">
        <v>120.62</v>
      </c>
      <c r="G280">
        <v>129.16</v>
      </c>
      <c r="H280" s="12">
        <v>1</v>
      </c>
      <c r="I280" s="12">
        <v>1</v>
      </c>
      <c r="J280" s="12">
        <v>1</v>
      </c>
      <c r="K280">
        <f t="shared" si="27"/>
        <v>2985899.9999999925</v>
      </c>
      <c r="L280">
        <f t="shared" si="28"/>
        <v>603.98</v>
      </c>
      <c r="M280">
        <f t="shared" si="29"/>
        <v>664.28</v>
      </c>
      <c r="N280" s="12">
        <f t="shared" si="25"/>
        <v>0.33262499999999501</v>
      </c>
      <c r="O280" s="12">
        <f t="shared" si="26"/>
        <v>0.24882499999999938</v>
      </c>
    </row>
    <row r="281" spans="1:15">
      <c r="A281" s="33">
        <v>45753</v>
      </c>
      <c r="B281">
        <v>6</v>
      </c>
      <c r="C281">
        <v>805499.99999998498</v>
      </c>
      <c r="D281">
        <v>6.72</v>
      </c>
      <c r="E281">
        <v>95.55</v>
      </c>
      <c r="F281">
        <v>120.78</v>
      </c>
      <c r="G281">
        <v>135.02000000000001</v>
      </c>
      <c r="H281" s="12">
        <v>0.99985829518203595</v>
      </c>
      <c r="I281" s="12">
        <v>1</v>
      </c>
      <c r="J281" s="12">
        <v>1</v>
      </c>
      <c r="K281">
        <f t="shared" si="27"/>
        <v>3791399.9999999776</v>
      </c>
      <c r="L281">
        <f t="shared" si="28"/>
        <v>724.76</v>
      </c>
      <c r="M281">
        <f t="shared" si="29"/>
        <v>799.3</v>
      </c>
      <c r="N281" s="12">
        <f t="shared" si="25"/>
        <v>0.33562499999999373</v>
      </c>
      <c r="O281" s="12">
        <f t="shared" si="26"/>
        <v>0.26329166666666509</v>
      </c>
    </row>
    <row r="282" spans="1:15">
      <c r="A282" s="33">
        <v>45754</v>
      </c>
      <c r="B282">
        <v>7</v>
      </c>
      <c r="C282">
        <v>750300.000000017</v>
      </c>
      <c r="D282">
        <v>6.2450000000000001</v>
      </c>
      <c r="E282">
        <v>89.32</v>
      </c>
      <c r="F282">
        <v>121.25</v>
      </c>
      <c r="G282">
        <v>135.38999999999999</v>
      </c>
      <c r="H282" s="12">
        <v>1</v>
      </c>
      <c r="I282" s="12">
        <v>1</v>
      </c>
      <c r="J282" s="12">
        <v>1</v>
      </c>
      <c r="K282">
        <f t="shared" si="27"/>
        <v>4541699.9999999944</v>
      </c>
      <c r="L282">
        <f t="shared" si="28"/>
        <v>846.01</v>
      </c>
      <c r="M282">
        <f t="shared" si="29"/>
        <v>934.68999999999994</v>
      </c>
      <c r="N282" s="12">
        <f t="shared" si="25"/>
        <v>0.31262500000000709</v>
      </c>
      <c r="O282" s="12">
        <f t="shared" si="26"/>
        <v>0.27033928571428539</v>
      </c>
    </row>
    <row r="283" spans="1:15">
      <c r="A283" s="33">
        <v>45755</v>
      </c>
      <c r="B283">
        <v>8</v>
      </c>
      <c r="C283">
        <v>779500</v>
      </c>
      <c r="D283">
        <v>6.46</v>
      </c>
      <c r="E283">
        <v>88.45</v>
      </c>
      <c r="F283">
        <v>121</v>
      </c>
      <c r="G283">
        <v>135.18</v>
      </c>
      <c r="H283" s="12">
        <v>1</v>
      </c>
      <c r="I283" s="12">
        <v>1</v>
      </c>
      <c r="J283" s="12">
        <v>1</v>
      </c>
      <c r="K283">
        <f t="shared" si="27"/>
        <v>5321199.9999999944</v>
      </c>
      <c r="L283">
        <f t="shared" si="28"/>
        <v>967.01</v>
      </c>
      <c r="M283">
        <f t="shared" si="29"/>
        <v>1069.8699999999999</v>
      </c>
      <c r="N283" s="12">
        <f t="shared" si="25"/>
        <v>0.32479166666666665</v>
      </c>
      <c r="O283" s="12">
        <f t="shared" si="26"/>
        <v>0.27714583333333304</v>
      </c>
    </row>
    <row r="284" spans="1:15">
      <c r="A284" s="33">
        <v>45756</v>
      </c>
      <c r="B284">
        <v>9</v>
      </c>
      <c r="C284">
        <v>796399.99999999395</v>
      </c>
      <c r="D284">
        <v>6.6349999999999998</v>
      </c>
      <c r="E284">
        <v>89.71</v>
      </c>
      <c r="F284">
        <v>120.66800000000001</v>
      </c>
      <c r="G284">
        <v>135.35</v>
      </c>
      <c r="H284" s="12">
        <v>1</v>
      </c>
      <c r="I284" s="12">
        <v>1</v>
      </c>
      <c r="J284" s="12">
        <v>1</v>
      </c>
      <c r="K284">
        <f t="shared" si="27"/>
        <v>6117599.9999999888</v>
      </c>
      <c r="L284">
        <f t="shared" si="28"/>
        <v>1087.6779999999999</v>
      </c>
      <c r="M284">
        <f t="shared" si="29"/>
        <v>1205.2199999999998</v>
      </c>
      <c r="N284" s="12">
        <f t="shared" si="25"/>
        <v>0.33183333333333082</v>
      </c>
      <c r="O284" s="12">
        <f t="shared" si="26"/>
        <v>0.28322222222222171</v>
      </c>
    </row>
    <row r="285" spans="1:15">
      <c r="A285" s="33">
        <v>45757</v>
      </c>
      <c r="B285">
        <v>10</v>
      </c>
      <c r="C285">
        <v>831599.99999999104</v>
      </c>
      <c r="D285">
        <v>6.8</v>
      </c>
      <c r="E285">
        <v>91.27</v>
      </c>
      <c r="F285">
        <v>120.99</v>
      </c>
      <c r="G285">
        <v>134.41999999999999</v>
      </c>
      <c r="H285" s="12">
        <v>1</v>
      </c>
      <c r="I285" s="12">
        <v>1</v>
      </c>
      <c r="J285" s="12">
        <v>1</v>
      </c>
      <c r="K285">
        <f t="shared" si="27"/>
        <v>6949199.9999999795</v>
      </c>
      <c r="L285">
        <f t="shared" si="28"/>
        <v>1208.6679999999999</v>
      </c>
      <c r="M285">
        <f t="shared" si="29"/>
        <v>1339.6399999999999</v>
      </c>
      <c r="N285" s="12">
        <f t="shared" si="25"/>
        <v>0.34649999999999626</v>
      </c>
      <c r="O285" s="12">
        <f t="shared" si="26"/>
        <v>0.28954999999999914</v>
      </c>
    </row>
    <row r="286" spans="1:15">
      <c r="A286" s="33">
        <v>45758</v>
      </c>
      <c r="B286">
        <v>11</v>
      </c>
      <c r="C286">
        <v>767900.00000000896</v>
      </c>
      <c r="D286">
        <v>6.2249999999999996</v>
      </c>
      <c r="E286">
        <v>90.02</v>
      </c>
      <c r="F286">
        <v>120.97</v>
      </c>
      <c r="G286">
        <v>133.69999999999999</v>
      </c>
      <c r="H286" s="12">
        <v>1</v>
      </c>
      <c r="I286" s="12">
        <v>1</v>
      </c>
      <c r="J286" s="12">
        <v>1</v>
      </c>
      <c r="K286">
        <f t="shared" si="27"/>
        <v>7717099.9999999888</v>
      </c>
      <c r="L286">
        <f t="shared" si="28"/>
        <v>1329.6379999999999</v>
      </c>
      <c r="M286">
        <f t="shared" si="29"/>
        <v>1473.34</v>
      </c>
      <c r="N286" s="12">
        <f t="shared" si="25"/>
        <v>0.31995833333333706</v>
      </c>
      <c r="O286" s="12">
        <f t="shared" si="26"/>
        <v>0.29231439393939351</v>
      </c>
    </row>
    <row r="287" spans="1:15">
      <c r="A287" s="33">
        <v>45759</v>
      </c>
      <c r="B287">
        <v>12</v>
      </c>
      <c r="C287">
        <v>704000</v>
      </c>
      <c r="D287">
        <v>5.7850000000000001</v>
      </c>
      <c r="E287">
        <v>89.34</v>
      </c>
      <c r="F287">
        <v>120.71</v>
      </c>
      <c r="G287">
        <v>133.31</v>
      </c>
      <c r="H287" s="12">
        <v>0.99985990775464495</v>
      </c>
      <c r="I287" s="12">
        <v>1</v>
      </c>
      <c r="J287" s="12">
        <v>1</v>
      </c>
      <c r="K287">
        <f t="shared" si="27"/>
        <v>8421099.9999999888</v>
      </c>
      <c r="L287">
        <f t="shared" si="28"/>
        <v>1450.348</v>
      </c>
      <c r="M287">
        <f t="shared" si="29"/>
        <v>1606.6499999999999</v>
      </c>
      <c r="N287" s="12">
        <f t="shared" si="25"/>
        <v>0.29333333333333333</v>
      </c>
      <c r="O287" s="12">
        <f t="shared" si="26"/>
        <v>0.29239930555555516</v>
      </c>
    </row>
    <row r="288" spans="1:15">
      <c r="A288" s="33">
        <v>45760</v>
      </c>
      <c r="B288">
        <v>13</v>
      </c>
      <c r="C288">
        <v>744699.99999999697</v>
      </c>
      <c r="D288">
        <v>6.07</v>
      </c>
      <c r="E288">
        <v>92.32</v>
      </c>
      <c r="F288">
        <v>120.83</v>
      </c>
      <c r="G288">
        <v>134.6</v>
      </c>
      <c r="H288" s="12">
        <v>1</v>
      </c>
      <c r="I288" s="12">
        <v>1</v>
      </c>
      <c r="J288" s="12">
        <v>1</v>
      </c>
      <c r="K288">
        <f t="shared" si="27"/>
        <v>9165799.9999999851</v>
      </c>
      <c r="L288">
        <f t="shared" si="28"/>
        <v>1571.1779999999999</v>
      </c>
      <c r="M288">
        <f t="shared" si="29"/>
        <v>1741.2499999999998</v>
      </c>
      <c r="N288" s="12">
        <f t="shared" si="25"/>
        <v>0.31029166666666541</v>
      </c>
      <c r="O288" s="12">
        <f t="shared" si="26"/>
        <v>0.29377564102564052</v>
      </c>
    </row>
    <row r="289" spans="1:15">
      <c r="A289" s="33">
        <v>45761</v>
      </c>
      <c r="B289">
        <v>14</v>
      </c>
      <c r="C289">
        <v>549800.00000000303</v>
      </c>
      <c r="D289">
        <v>4.6550000000000002</v>
      </c>
      <c r="E289">
        <v>93.05</v>
      </c>
      <c r="F289">
        <v>120.72</v>
      </c>
      <c r="G289">
        <v>135.30000000000001</v>
      </c>
      <c r="H289" s="12">
        <v>0.99990301306090801</v>
      </c>
      <c r="I289" s="12">
        <v>1</v>
      </c>
      <c r="J289" s="12">
        <v>1</v>
      </c>
      <c r="K289">
        <f t="shared" si="27"/>
        <v>9715599.9999999888</v>
      </c>
      <c r="L289">
        <f t="shared" si="28"/>
        <v>1691.8979999999999</v>
      </c>
      <c r="M289">
        <f t="shared" si="29"/>
        <v>1876.5499999999997</v>
      </c>
      <c r="N289" s="12">
        <f t="shared" si="25"/>
        <v>0.22908333333333458</v>
      </c>
      <c r="O289" s="12">
        <f t="shared" si="26"/>
        <v>0.28915476190476158</v>
      </c>
    </row>
    <row r="290" spans="1:15">
      <c r="A290" s="33">
        <v>45762</v>
      </c>
      <c r="B290">
        <v>15</v>
      </c>
      <c r="C290">
        <v>621299.99999998801</v>
      </c>
      <c r="D290">
        <v>5.2350000000000003</v>
      </c>
      <c r="E290">
        <v>92.85</v>
      </c>
      <c r="F290">
        <v>121.22</v>
      </c>
      <c r="G290">
        <v>132.46</v>
      </c>
      <c r="H290" s="12">
        <v>0.999651810584958</v>
      </c>
      <c r="I290" s="12">
        <v>1</v>
      </c>
      <c r="J290" s="12">
        <v>1</v>
      </c>
      <c r="K290">
        <f t="shared" si="27"/>
        <v>10336899.999999978</v>
      </c>
      <c r="L290">
        <f t="shared" si="28"/>
        <v>1813.1179999999999</v>
      </c>
      <c r="M290">
        <f t="shared" si="29"/>
        <v>2009.0099999999998</v>
      </c>
      <c r="N290" s="12">
        <f t="shared" si="25"/>
        <v>0.25887499999999503</v>
      </c>
      <c r="O290" s="12">
        <f t="shared" si="26"/>
        <v>0.28713611111111048</v>
      </c>
    </row>
    <row r="291" spans="1:15">
      <c r="A291" s="33">
        <v>45763</v>
      </c>
      <c r="B291">
        <v>16</v>
      </c>
      <c r="C291">
        <v>838300.000000017</v>
      </c>
      <c r="D291">
        <v>6.9050000000000002</v>
      </c>
      <c r="E291">
        <v>93.72</v>
      </c>
      <c r="F291">
        <v>121.39</v>
      </c>
      <c r="G291">
        <v>134.26</v>
      </c>
      <c r="H291" s="12">
        <v>1</v>
      </c>
      <c r="I291" s="12">
        <v>1</v>
      </c>
      <c r="J291" s="12">
        <v>1</v>
      </c>
      <c r="K291">
        <f t="shared" si="27"/>
        <v>11175199.999999994</v>
      </c>
      <c r="L291">
        <f t="shared" si="28"/>
        <v>1934.508</v>
      </c>
      <c r="M291">
        <f t="shared" si="29"/>
        <v>2143.2699999999995</v>
      </c>
      <c r="N291" s="12">
        <f t="shared" si="25"/>
        <v>0.34929166666667377</v>
      </c>
      <c r="O291" s="12">
        <f t="shared" si="26"/>
        <v>0.29102083333333317</v>
      </c>
    </row>
    <row r="292" spans="1:15">
      <c r="A292" s="33">
        <v>45764</v>
      </c>
      <c r="B292">
        <v>17</v>
      </c>
      <c r="C292">
        <v>801500</v>
      </c>
      <c r="D292">
        <v>6.61</v>
      </c>
      <c r="E292">
        <v>92.97</v>
      </c>
      <c r="F292">
        <v>121.05</v>
      </c>
      <c r="G292">
        <v>134.13</v>
      </c>
      <c r="H292" s="12">
        <v>0.99950986659847396</v>
      </c>
      <c r="I292" s="12">
        <v>1</v>
      </c>
      <c r="J292" s="12">
        <v>1</v>
      </c>
      <c r="K292">
        <f t="shared" si="27"/>
        <v>11976699.999999994</v>
      </c>
      <c r="L292">
        <f t="shared" si="28"/>
        <v>2055.558</v>
      </c>
      <c r="M292">
        <f t="shared" si="29"/>
        <v>2277.3999999999996</v>
      </c>
      <c r="N292" s="12">
        <f t="shared" si="25"/>
        <v>0.33395833333333336</v>
      </c>
      <c r="O292" s="12">
        <f t="shared" si="26"/>
        <v>0.29354656862745082</v>
      </c>
    </row>
    <row r="293" spans="1:15">
      <c r="A293" s="33">
        <v>45765</v>
      </c>
      <c r="B293">
        <v>18</v>
      </c>
      <c r="C293">
        <v>793100.00000000605</v>
      </c>
      <c r="D293">
        <v>6.58</v>
      </c>
      <c r="E293">
        <v>88.48</v>
      </c>
      <c r="F293">
        <v>121.09</v>
      </c>
      <c r="G293">
        <v>134.49</v>
      </c>
      <c r="H293" s="12">
        <v>1</v>
      </c>
      <c r="I293" s="12">
        <v>1</v>
      </c>
      <c r="J293" s="12">
        <v>1</v>
      </c>
      <c r="K293">
        <f t="shared" si="27"/>
        <v>12769800</v>
      </c>
      <c r="L293">
        <f t="shared" si="28"/>
        <v>2176.6480000000001</v>
      </c>
      <c r="M293">
        <f t="shared" si="29"/>
        <v>2411.8899999999994</v>
      </c>
      <c r="N293" s="12">
        <f t="shared" si="25"/>
        <v>0.33045833333333585</v>
      </c>
      <c r="O293" s="12">
        <f t="shared" si="26"/>
        <v>0.29559722222222223</v>
      </c>
    </row>
    <row r="294" spans="1:15">
      <c r="A294" s="33">
        <v>45766</v>
      </c>
      <c r="B294">
        <v>19</v>
      </c>
      <c r="C294">
        <v>745500</v>
      </c>
      <c r="D294">
        <v>6.24</v>
      </c>
      <c r="E294">
        <v>89.41</v>
      </c>
      <c r="F294">
        <v>121.14</v>
      </c>
      <c r="G294">
        <v>133.66999999999999</v>
      </c>
      <c r="H294" s="12">
        <v>1</v>
      </c>
      <c r="I294" s="12">
        <v>1</v>
      </c>
      <c r="J294" s="12">
        <v>1</v>
      </c>
      <c r="K294">
        <f t="shared" si="27"/>
        <v>13515300</v>
      </c>
      <c r="L294">
        <f t="shared" si="28"/>
        <v>2297.788</v>
      </c>
      <c r="M294">
        <f t="shared" si="29"/>
        <v>2545.5599999999995</v>
      </c>
      <c r="N294" s="12">
        <f t="shared" si="25"/>
        <v>0.31062499999999998</v>
      </c>
      <c r="O294" s="12">
        <f t="shared" si="26"/>
        <v>0.29638815789473683</v>
      </c>
    </row>
    <row r="295" spans="1:15">
      <c r="A295" s="33">
        <v>45767</v>
      </c>
      <c r="B295">
        <v>20</v>
      </c>
      <c r="C295">
        <v>793500</v>
      </c>
      <c r="D295">
        <v>6.7249999999999996</v>
      </c>
      <c r="E295">
        <v>90.51</v>
      </c>
      <c r="F295">
        <v>121.07</v>
      </c>
      <c r="G295">
        <v>134.88999999999999</v>
      </c>
      <c r="H295" s="12">
        <v>1</v>
      </c>
      <c r="I295" s="12">
        <v>1</v>
      </c>
      <c r="J295" s="12">
        <v>1</v>
      </c>
      <c r="K295">
        <f t="shared" si="27"/>
        <v>14308800</v>
      </c>
      <c r="L295">
        <f t="shared" si="28"/>
        <v>2418.8580000000002</v>
      </c>
      <c r="M295">
        <f t="shared" si="29"/>
        <v>2680.4499999999994</v>
      </c>
      <c r="N295" s="12">
        <f t="shared" si="25"/>
        <v>0.330625</v>
      </c>
      <c r="O295" s="12">
        <f t="shared" si="26"/>
        <v>0.29809999999999998</v>
      </c>
    </row>
    <row r="296" spans="1:15">
      <c r="A296" s="33">
        <v>45768</v>
      </c>
      <c r="B296">
        <v>21</v>
      </c>
      <c r="C296">
        <v>800899.99999999395</v>
      </c>
      <c r="D296">
        <v>6.7450000000000001</v>
      </c>
      <c r="E296">
        <v>91.36</v>
      </c>
      <c r="F296">
        <v>121.1</v>
      </c>
      <c r="G296">
        <v>134.66999999999999</v>
      </c>
      <c r="H296" s="12">
        <v>1</v>
      </c>
      <c r="I296" s="12">
        <v>1</v>
      </c>
      <c r="J296" s="12">
        <v>1</v>
      </c>
      <c r="K296">
        <f t="shared" si="27"/>
        <v>15109699.999999994</v>
      </c>
      <c r="L296">
        <f t="shared" si="28"/>
        <v>2539.9580000000001</v>
      </c>
      <c r="M296">
        <f t="shared" si="29"/>
        <v>2815.1199999999994</v>
      </c>
      <c r="N296" s="12">
        <f t="shared" si="25"/>
        <v>0.33370833333333083</v>
      </c>
      <c r="O296" s="12">
        <f t="shared" si="26"/>
        <v>0.29979563492063482</v>
      </c>
    </row>
    <row r="297" spans="1:15">
      <c r="A297" s="33">
        <v>45769</v>
      </c>
      <c r="B297">
        <v>22</v>
      </c>
      <c r="C297">
        <v>703100.00000000605</v>
      </c>
      <c r="D297">
        <v>7.0149999999999997</v>
      </c>
      <c r="E297">
        <v>90.09</v>
      </c>
      <c r="F297">
        <v>120.79</v>
      </c>
      <c r="G297">
        <v>132.33000000000001</v>
      </c>
      <c r="H297" s="12">
        <v>1</v>
      </c>
      <c r="I297" s="12">
        <v>0.941958041958042</v>
      </c>
      <c r="J297" s="12">
        <v>1</v>
      </c>
      <c r="K297">
        <f t="shared" si="27"/>
        <v>15812800</v>
      </c>
      <c r="L297">
        <f t="shared" si="28"/>
        <v>2660.748</v>
      </c>
      <c r="M297">
        <f t="shared" si="29"/>
        <v>2947.4499999999994</v>
      </c>
      <c r="N297" s="12">
        <f t="shared" si="25"/>
        <v>0.29295833333333587</v>
      </c>
      <c r="O297" s="12">
        <f t="shared" si="26"/>
        <v>0.29948484848484846</v>
      </c>
    </row>
    <row r="298" spans="1:15">
      <c r="A298" s="33">
        <v>45770</v>
      </c>
      <c r="B298">
        <v>23</v>
      </c>
      <c r="C298">
        <v>777399.99999999395</v>
      </c>
      <c r="D298">
        <v>6.58</v>
      </c>
      <c r="E298">
        <v>89.7</v>
      </c>
      <c r="F298">
        <v>120.88</v>
      </c>
      <c r="G298">
        <v>134.26</v>
      </c>
      <c r="H298" s="12">
        <v>0.99936103105117202</v>
      </c>
      <c r="I298" s="12">
        <v>1</v>
      </c>
      <c r="J298" s="12">
        <v>1</v>
      </c>
      <c r="K298">
        <f t="shared" si="27"/>
        <v>16590199.999999994</v>
      </c>
      <c r="L298">
        <f t="shared" si="28"/>
        <v>2781.6280000000002</v>
      </c>
      <c r="M298">
        <f t="shared" si="29"/>
        <v>3081.7099999999991</v>
      </c>
      <c r="N298" s="12">
        <f t="shared" si="25"/>
        <v>0.32391666666666413</v>
      </c>
      <c r="O298" s="12">
        <f t="shared" si="26"/>
        <v>0.30054710144927527</v>
      </c>
    </row>
    <row r="299" spans="1:15">
      <c r="A299" s="33">
        <v>45771</v>
      </c>
      <c r="B299">
        <v>24</v>
      </c>
      <c r="C299">
        <v>806999.99999997101</v>
      </c>
      <c r="D299">
        <v>6.7949999999999999</v>
      </c>
      <c r="E299">
        <v>90.58</v>
      </c>
      <c r="F299">
        <v>120.96</v>
      </c>
      <c r="G299">
        <v>136.13</v>
      </c>
      <c r="H299" s="12">
        <v>1</v>
      </c>
      <c r="I299" s="12">
        <v>1</v>
      </c>
      <c r="J299" s="12">
        <v>1</v>
      </c>
      <c r="K299">
        <f t="shared" si="27"/>
        <v>17397199.999999966</v>
      </c>
      <c r="L299">
        <f t="shared" si="28"/>
        <v>2902.5880000000002</v>
      </c>
      <c r="M299">
        <f t="shared" si="29"/>
        <v>3217.8399999999992</v>
      </c>
      <c r="N299" s="12">
        <f t="shared" si="25"/>
        <v>0.33624999999998795</v>
      </c>
      <c r="O299" s="12">
        <f t="shared" si="26"/>
        <v>0.30203472222222166</v>
      </c>
    </row>
    <row r="300" spans="1:15">
      <c r="A300" s="33">
        <v>45772</v>
      </c>
      <c r="B300">
        <v>25</v>
      </c>
      <c r="C300">
        <v>776900.00000002305</v>
      </c>
      <c r="D300">
        <v>6.67</v>
      </c>
      <c r="E300">
        <v>90.27</v>
      </c>
      <c r="F300">
        <v>120.78</v>
      </c>
      <c r="G300">
        <v>135.22</v>
      </c>
      <c r="H300" s="12">
        <v>1</v>
      </c>
      <c r="I300" s="12">
        <v>1</v>
      </c>
      <c r="J300" s="12">
        <v>1</v>
      </c>
      <c r="K300">
        <f t="shared" si="27"/>
        <v>18174099.999999989</v>
      </c>
      <c r="L300">
        <f t="shared" si="28"/>
        <v>3023.3680000000004</v>
      </c>
      <c r="M300">
        <f t="shared" si="29"/>
        <v>3353.059999999999</v>
      </c>
      <c r="N300" s="12">
        <f t="shared" si="25"/>
        <v>0.32370833333334292</v>
      </c>
      <c r="O300" s="12">
        <f t="shared" si="26"/>
        <v>0.30290166666666646</v>
      </c>
    </row>
    <row r="301" spans="1:15">
      <c r="A301" s="33">
        <v>45773</v>
      </c>
      <c r="B301">
        <v>26</v>
      </c>
      <c r="C301">
        <v>769799.99999998801</v>
      </c>
      <c r="D301">
        <v>6.4</v>
      </c>
      <c r="E301">
        <v>91.62</v>
      </c>
      <c r="F301">
        <v>121.17</v>
      </c>
      <c r="G301">
        <v>133.88</v>
      </c>
      <c r="H301" s="12">
        <v>0.999788386659895</v>
      </c>
      <c r="I301" s="12">
        <v>1</v>
      </c>
      <c r="J301" s="12">
        <v>1</v>
      </c>
      <c r="K301">
        <f t="shared" si="27"/>
        <v>18943899.999999978</v>
      </c>
      <c r="L301">
        <f t="shared" si="28"/>
        <v>3144.5380000000005</v>
      </c>
      <c r="M301">
        <f t="shared" si="29"/>
        <v>3486.9399999999991</v>
      </c>
      <c r="N301" s="12">
        <f t="shared" si="25"/>
        <v>0.32074999999999498</v>
      </c>
      <c r="O301" s="12">
        <f t="shared" si="26"/>
        <v>0.30358814102564069</v>
      </c>
    </row>
    <row r="302" spans="1:15">
      <c r="A302" s="33">
        <v>45774</v>
      </c>
      <c r="B302">
        <v>27</v>
      </c>
      <c r="C302">
        <v>709299.99999998801</v>
      </c>
      <c r="D302">
        <v>5.85</v>
      </c>
      <c r="E302">
        <v>90.76</v>
      </c>
      <c r="F302">
        <v>120.65</v>
      </c>
      <c r="G302">
        <v>134.69</v>
      </c>
      <c r="H302" s="12">
        <v>0.999616131508829</v>
      </c>
      <c r="I302" s="12">
        <v>1</v>
      </c>
      <c r="J302" s="12">
        <v>1</v>
      </c>
      <c r="K302">
        <f t="shared" si="27"/>
        <v>19653199.999999966</v>
      </c>
      <c r="L302">
        <f t="shared" si="28"/>
        <v>3265.1880000000006</v>
      </c>
      <c r="M302">
        <f t="shared" si="29"/>
        <v>3621.6299999999992</v>
      </c>
      <c r="N302" s="12">
        <f t="shared" si="25"/>
        <v>0.29554166666666165</v>
      </c>
      <c r="O302" s="12">
        <f t="shared" si="26"/>
        <v>0.30329012345678963</v>
      </c>
    </row>
    <row r="303" spans="1:15">
      <c r="A303" s="33">
        <v>45775</v>
      </c>
      <c r="B303">
        <v>28</v>
      </c>
      <c r="C303">
        <v>819300.000000017</v>
      </c>
      <c r="D303">
        <v>6.665</v>
      </c>
      <c r="E303">
        <v>90.19</v>
      </c>
      <c r="F303">
        <v>121</v>
      </c>
      <c r="G303">
        <v>133.41999999999999</v>
      </c>
      <c r="H303" s="12">
        <v>1</v>
      </c>
      <c r="I303" s="12">
        <v>1</v>
      </c>
      <c r="J303" s="12">
        <v>1</v>
      </c>
      <c r="K303">
        <f t="shared" si="27"/>
        <v>20472499.999999985</v>
      </c>
      <c r="L303">
        <f t="shared" si="28"/>
        <v>3386.1880000000006</v>
      </c>
      <c r="M303">
        <f t="shared" si="29"/>
        <v>3755.0499999999993</v>
      </c>
      <c r="N303" s="12">
        <f t="shared" si="25"/>
        <v>0.34137500000000709</v>
      </c>
      <c r="O303" s="12">
        <f t="shared" si="26"/>
        <v>0.30465029761904738</v>
      </c>
    </row>
    <row r="304" spans="1:15">
      <c r="A304" s="33">
        <v>45776</v>
      </c>
      <c r="B304">
        <v>29</v>
      </c>
      <c r="C304">
        <v>680600.00000000605</v>
      </c>
      <c r="D304">
        <v>5.6349999999999998</v>
      </c>
      <c r="E304">
        <v>96.52</v>
      </c>
      <c r="F304">
        <v>120.53</v>
      </c>
      <c r="G304">
        <v>134.65</v>
      </c>
      <c r="H304" s="12">
        <v>1</v>
      </c>
      <c r="I304" s="12">
        <v>1</v>
      </c>
      <c r="J304" s="12">
        <v>1</v>
      </c>
      <c r="K304">
        <f t="shared" si="27"/>
        <v>21153099.999999993</v>
      </c>
      <c r="L304">
        <f t="shared" si="28"/>
        <v>3506.7180000000008</v>
      </c>
      <c r="M304">
        <f t="shared" si="29"/>
        <v>3889.6999999999994</v>
      </c>
      <c r="N304" s="12">
        <f t="shared" si="25"/>
        <v>0.28358333333333585</v>
      </c>
      <c r="O304" s="12">
        <f t="shared" si="26"/>
        <v>0.30392385057471255</v>
      </c>
    </row>
    <row r="305" spans="1:15">
      <c r="A305" s="33">
        <v>45777</v>
      </c>
      <c r="B305">
        <v>30</v>
      </c>
      <c r="C305">
        <v>814000</v>
      </c>
      <c r="D305">
        <v>6.8250000000000002</v>
      </c>
      <c r="E305">
        <v>90.24</v>
      </c>
      <c r="F305">
        <v>120.42</v>
      </c>
      <c r="G305">
        <v>133.28</v>
      </c>
      <c r="H305" s="12">
        <v>0.999067437864118</v>
      </c>
      <c r="I305" s="12">
        <v>1</v>
      </c>
      <c r="J305" s="12">
        <v>1</v>
      </c>
      <c r="K305">
        <f t="shared" si="27"/>
        <v>21967099.999999993</v>
      </c>
      <c r="L305">
        <f t="shared" si="28"/>
        <v>3627.1380000000008</v>
      </c>
      <c r="M305">
        <f t="shared" si="29"/>
        <v>4022.9799999999996</v>
      </c>
      <c r="N305" s="12">
        <f t="shared" si="25"/>
        <v>0.33916666666666667</v>
      </c>
      <c r="O305" s="12">
        <f t="shared" si="26"/>
        <v>0.30509861111111103</v>
      </c>
    </row>
    <row r="306" spans="1:15">
      <c r="A306" s="33">
        <v>45778</v>
      </c>
      <c r="B306">
        <v>31</v>
      </c>
      <c r="C306">
        <v>766500</v>
      </c>
      <c r="D306">
        <v>6.4</v>
      </c>
      <c r="E306">
        <v>90.16</v>
      </c>
      <c r="F306">
        <v>120.4</v>
      </c>
      <c r="G306">
        <v>133.31</v>
      </c>
      <c r="H306" s="12">
        <v>0.99853801169590595</v>
      </c>
      <c r="I306" s="12">
        <v>1</v>
      </c>
      <c r="J306" s="12">
        <v>1</v>
      </c>
      <c r="K306">
        <f t="shared" si="27"/>
        <v>22733599.999999993</v>
      </c>
      <c r="L306">
        <f t="shared" si="28"/>
        <v>3747.5380000000009</v>
      </c>
      <c r="M306">
        <f t="shared" si="29"/>
        <v>4156.29</v>
      </c>
      <c r="N306" s="12">
        <f t="shared" si="25"/>
        <v>0.31937500000000002</v>
      </c>
      <c r="O306" s="12">
        <f t="shared" si="26"/>
        <v>0.30555913978494614</v>
      </c>
    </row>
    <row r="307" spans="1:15">
      <c r="A307" s="33">
        <v>45779</v>
      </c>
      <c r="B307">
        <v>32</v>
      </c>
      <c r="C307">
        <v>798099.99999997695</v>
      </c>
      <c r="D307">
        <v>6.6050000000000004</v>
      </c>
      <c r="E307">
        <v>90.27</v>
      </c>
      <c r="F307">
        <v>121.03</v>
      </c>
      <c r="G307">
        <v>133.44999999999999</v>
      </c>
      <c r="H307" s="12">
        <v>1</v>
      </c>
      <c r="I307" s="12">
        <v>1</v>
      </c>
      <c r="J307" s="12">
        <v>1</v>
      </c>
      <c r="K307">
        <f t="shared" si="27"/>
        <v>23531699.99999997</v>
      </c>
      <c r="L307">
        <f t="shared" si="28"/>
        <v>3868.5680000000011</v>
      </c>
      <c r="M307">
        <f t="shared" si="29"/>
        <v>4289.74</v>
      </c>
      <c r="N307" s="12">
        <f t="shared" si="25"/>
        <v>0.33254166666665708</v>
      </c>
      <c r="O307" s="12">
        <f t="shared" si="26"/>
        <v>0.30640234374999964</v>
      </c>
    </row>
    <row r="308" spans="1:15">
      <c r="A308" s="33">
        <v>45780</v>
      </c>
      <c r="B308">
        <v>33</v>
      </c>
      <c r="C308">
        <v>708700.00000004098</v>
      </c>
      <c r="D308">
        <v>5.8849999999999998</v>
      </c>
      <c r="E308">
        <v>90.22</v>
      </c>
      <c r="F308">
        <v>120.43</v>
      </c>
      <c r="G308">
        <v>133.57</v>
      </c>
      <c r="H308" s="12">
        <v>1</v>
      </c>
      <c r="I308" s="12">
        <v>1</v>
      </c>
      <c r="J308" s="12">
        <v>1</v>
      </c>
      <c r="K308">
        <f t="shared" si="27"/>
        <v>24240400.000000011</v>
      </c>
      <c r="L308">
        <f t="shared" si="28"/>
        <v>3988.998000000001</v>
      </c>
      <c r="M308">
        <f t="shared" si="29"/>
        <v>4423.3099999999995</v>
      </c>
      <c r="N308" s="12">
        <f t="shared" si="25"/>
        <v>0.29529166666668372</v>
      </c>
      <c r="O308" s="12">
        <f t="shared" si="26"/>
        <v>0.30606565656565671</v>
      </c>
    </row>
    <row r="309" spans="1:15">
      <c r="A309" s="33">
        <v>45781</v>
      </c>
      <c r="B309">
        <v>34</v>
      </c>
      <c r="C309">
        <v>840499.99999997101</v>
      </c>
      <c r="D309">
        <v>7.0949999999999998</v>
      </c>
      <c r="E309">
        <v>90.12</v>
      </c>
      <c r="F309">
        <v>120.91</v>
      </c>
      <c r="G309">
        <v>133.75</v>
      </c>
      <c r="H309" s="12">
        <v>0.99946574347138495</v>
      </c>
      <c r="I309" s="12">
        <v>1</v>
      </c>
      <c r="J309" s="12">
        <v>1</v>
      </c>
      <c r="K309">
        <f t="shared" si="27"/>
        <v>25080899.999999981</v>
      </c>
      <c r="L309">
        <f t="shared" si="28"/>
        <v>4109.9080000000013</v>
      </c>
      <c r="M309">
        <f t="shared" si="29"/>
        <v>4557.0599999999995</v>
      </c>
      <c r="N309" s="12">
        <f t="shared" si="25"/>
        <v>0.35020833333332124</v>
      </c>
      <c r="O309" s="12">
        <f t="shared" si="26"/>
        <v>0.30736397058823506</v>
      </c>
    </row>
    <row r="310" spans="1:15">
      <c r="A310" s="33">
        <v>45782</v>
      </c>
      <c r="B310">
        <v>35</v>
      </c>
      <c r="C310">
        <v>693000</v>
      </c>
      <c r="D310">
        <v>5.875</v>
      </c>
      <c r="E310">
        <v>86.49</v>
      </c>
      <c r="F310">
        <v>121.31</v>
      </c>
      <c r="G310">
        <v>133.58000000000001</v>
      </c>
      <c r="H310" s="12">
        <v>1</v>
      </c>
      <c r="I310" s="12">
        <v>1</v>
      </c>
      <c r="J310" s="12">
        <v>1</v>
      </c>
      <c r="K310">
        <f t="shared" si="27"/>
        <v>25773899.999999981</v>
      </c>
      <c r="L310">
        <f t="shared" si="28"/>
        <v>4231.2180000000017</v>
      </c>
      <c r="M310">
        <f t="shared" si="29"/>
        <v>4690.6399999999994</v>
      </c>
      <c r="N310" s="12">
        <f t="shared" si="25"/>
        <v>0.28875000000000001</v>
      </c>
      <c r="O310" s="12">
        <f t="shared" si="26"/>
        <v>0.30683214285714261</v>
      </c>
    </row>
    <row r="311" spans="1:15">
      <c r="A311" s="33">
        <v>45783</v>
      </c>
      <c r="B311">
        <v>36</v>
      </c>
      <c r="C311">
        <v>838300.000000017</v>
      </c>
      <c r="D311">
        <v>7.1349999999999998</v>
      </c>
      <c r="E311">
        <v>92.45</v>
      </c>
      <c r="F311">
        <v>120.78</v>
      </c>
      <c r="G311">
        <v>130.61000000000001</v>
      </c>
      <c r="H311" s="12">
        <v>0.99979726845924</v>
      </c>
      <c r="I311" s="12">
        <v>1</v>
      </c>
      <c r="J311" s="12">
        <v>1</v>
      </c>
      <c r="K311">
        <f t="shared" si="27"/>
        <v>26612200</v>
      </c>
      <c r="L311">
        <f t="shared" si="28"/>
        <v>4351.9980000000014</v>
      </c>
      <c r="M311">
        <f t="shared" si="29"/>
        <v>4821.2499999999991</v>
      </c>
      <c r="N311" s="12">
        <f t="shared" si="25"/>
        <v>0.34929166666667377</v>
      </c>
      <c r="O311" s="12">
        <f t="shared" si="26"/>
        <v>0.30801157407407409</v>
      </c>
    </row>
    <row r="312" spans="1:15">
      <c r="A312" s="33">
        <v>45784</v>
      </c>
      <c r="B312">
        <v>37</v>
      </c>
      <c r="C312">
        <v>836000</v>
      </c>
      <c r="D312">
        <v>7.24</v>
      </c>
      <c r="E312">
        <v>91.19</v>
      </c>
      <c r="F312">
        <v>120.7</v>
      </c>
      <c r="G312">
        <v>134.38</v>
      </c>
      <c r="H312" s="12">
        <v>0.99978985415878596</v>
      </c>
      <c r="I312" s="12">
        <v>1</v>
      </c>
      <c r="J312" s="12">
        <v>1</v>
      </c>
      <c r="K312">
        <f t="shared" si="27"/>
        <v>27448200</v>
      </c>
      <c r="L312">
        <f t="shared" si="28"/>
        <v>4472.6980000000012</v>
      </c>
      <c r="M312">
        <f t="shared" si="29"/>
        <v>4955.6299999999992</v>
      </c>
      <c r="N312" s="12">
        <f t="shared" si="25"/>
        <v>0.34833333333333333</v>
      </c>
      <c r="O312" s="12">
        <f t="shared" si="26"/>
        <v>0.30910135135135136</v>
      </c>
    </row>
    <row r="313" spans="1:15">
      <c r="A313" s="33">
        <v>45785</v>
      </c>
      <c r="B313">
        <v>38</v>
      </c>
      <c r="C313">
        <v>783899.99999999395</v>
      </c>
      <c r="D313">
        <v>6.55</v>
      </c>
      <c r="E313">
        <v>90.08</v>
      </c>
      <c r="F313">
        <v>120.96</v>
      </c>
      <c r="G313">
        <v>134.44</v>
      </c>
      <c r="H313" s="12">
        <v>0.99986453253303298</v>
      </c>
      <c r="I313" s="12">
        <v>1</v>
      </c>
      <c r="J313" s="12">
        <v>1</v>
      </c>
      <c r="K313">
        <f t="shared" si="27"/>
        <v>28232099.999999993</v>
      </c>
      <c r="L313">
        <f t="shared" si="28"/>
        <v>4593.6580000000013</v>
      </c>
      <c r="M313">
        <f t="shared" si="29"/>
        <v>5090.0699999999988</v>
      </c>
      <c r="N313" s="12">
        <f t="shared" si="25"/>
        <v>0.3266249999999975</v>
      </c>
      <c r="O313" s="12">
        <f t="shared" si="26"/>
        <v>0.30956249999999991</v>
      </c>
    </row>
    <row r="314" spans="1:15">
      <c r="A314" s="33">
        <v>45786</v>
      </c>
      <c r="B314">
        <v>39</v>
      </c>
      <c r="C314">
        <v>824100.00000000605</v>
      </c>
      <c r="D314">
        <v>7.1</v>
      </c>
      <c r="E314">
        <v>90.05</v>
      </c>
      <c r="F314">
        <v>120.71</v>
      </c>
      <c r="G314">
        <v>134.25</v>
      </c>
      <c r="H314" s="12">
        <v>1</v>
      </c>
      <c r="I314" s="12">
        <v>1</v>
      </c>
      <c r="J314" s="12">
        <v>1</v>
      </c>
      <c r="K314">
        <f t="shared" si="27"/>
        <v>29056200</v>
      </c>
      <c r="L314">
        <f t="shared" si="28"/>
        <v>4714.3680000000013</v>
      </c>
      <c r="M314">
        <f t="shared" si="29"/>
        <v>5224.3199999999988</v>
      </c>
      <c r="N314" s="12">
        <f t="shared" si="25"/>
        <v>0.34337500000000254</v>
      </c>
      <c r="O314" s="12">
        <f t="shared" si="26"/>
        <v>0.31042948717948721</v>
      </c>
    </row>
    <row r="315" spans="1:15">
      <c r="A315" s="33">
        <v>45787</v>
      </c>
      <c r="B315">
        <v>40</v>
      </c>
      <c r="C315">
        <v>738500</v>
      </c>
      <c r="D315">
        <v>6.2350000000000003</v>
      </c>
      <c r="E315">
        <v>90.36</v>
      </c>
      <c r="F315">
        <v>120.58</v>
      </c>
      <c r="G315">
        <v>134.97999999999999</v>
      </c>
      <c r="H315" s="12">
        <v>0.99943078324225898</v>
      </c>
      <c r="I315" s="12">
        <v>1</v>
      </c>
      <c r="J315" s="12">
        <v>1</v>
      </c>
      <c r="K315">
        <f t="shared" si="27"/>
        <v>29794700</v>
      </c>
      <c r="L315">
        <f t="shared" si="28"/>
        <v>4834.9480000000012</v>
      </c>
      <c r="M315">
        <f t="shared" si="29"/>
        <v>5359.2999999999984</v>
      </c>
      <c r="N315" s="12">
        <f t="shared" si="25"/>
        <v>0.30770833333333331</v>
      </c>
      <c r="O315" s="12">
        <f t="shared" si="26"/>
        <v>0.31036145833333334</v>
      </c>
    </row>
    <row r="316" spans="1:15">
      <c r="A316" s="33">
        <v>45788</v>
      </c>
      <c r="B316">
        <v>41</v>
      </c>
      <c r="C316">
        <v>761199.999999983</v>
      </c>
      <c r="D316">
        <v>6.585</v>
      </c>
      <c r="E316">
        <v>90.13</v>
      </c>
      <c r="F316">
        <v>120.77</v>
      </c>
      <c r="G316">
        <v>133.33000000000001</v>
      </c>
      <c r="H316" s="12">
        <v>0.99389385659877505</v>
      </c>
      <c r="I316" s="12">
        <v>1</v>
      </c>
      <c r="J316" s="12">
        <v>1</v>
      </c>
      <c r="K316">
        <f t="shared" si="27"/>
        <v>30555899.999999981</v>
      </c>
      <c r="L316">
        <f t="shared" si="28"/>
        <v>4955.7180000000017</v>
      </c>
      <c r="M316">
        <f t="shared" si="29"/>
        <v>5492.6299999999983</v>
      </c>
      <c r="N316" s="12">
        <f t="shared" si="25"/>
        <v>0.3171666666666596</v>
      </c>
      <c r="O316" s="12">
        <f t="shared" si="26"/>
        <v>0.31052743902439006</v>
      </c>
    </row>
    <row r="317" spans="1:15">
      <c r="A317" s="33">
        <v>45789</v>
      </c>
      <c r="B317">
        <v>42</v>
      </c>
      <c r="C317">
        <v>759500</v>
      </c>
      <c r="D317">
        <v>6.36</v>
      </c>
      <c r="E317">
        <v>93.49</v>
      </c>
      <c r="F317">
        <v>120.69</v>
      </c>
      <c r="G317">
        <v>134.27000000000001</v>
      </c>
      <c r="H317" s="12">
        <v>0.99198221534287101</v>
      </c>
      <c r="I317" s="12">
        <v>1</v>
      </c>
      <c r="J317" s="12">
        <v>1</v>
      </c>
      <c r="K317">
        <f t="shared" si="27"/>
        <v>31315399.999999981</v>
      </c>
      <c r="L317">
        <f t="shared" si="28"/>
        <v>5076.4080000000013</v>
      </c>
      <c r="M317">
        <f t="shared" si="29"/>
        <v>5626.8999999999987</v>
      </c>
      <c r="N317" s="12">
        <f t="shared" si="25"/>
        <v>0.31645833333333334</v>
      </c>
      <c r="O317" s="12">
        <f t="shared" si="26"/>
        <v>0.31066865079365064</v>
      </c>
    </row>
    <row r="318" spans="1:15">
      <c r="A318" s="33">
        <v>45790</v>
      </c>
      <c r="B318">
        <v>43</v>
      </c>
      <c r="C318">
        <v>774000</v>
      </c>
      <c r="D318">
        <v>6.7350000000000003</v>
      </c>
      <c r="E318">
        <v>90.09</v>
      </c>
      <c r="F318">
        <v>120.69</v>
      </c>
      <c r="G318">
        <v>134.18</v>
      </c>
      <c r="H318" s="12">
        <v>0.99753861413525302</v>
      </c>
      <c r="I318" s="12">
        <v>1</v>
      </c>
      <c r="J318" s="12">
        <v>1</v>
      </c>
      <c r="K318">
        <f t="shared" si="27"/>
        <v>32089399.999999981</v>
      </c>
      <c r="L318">
        <f t="shared" si="28"/>
        <v>5197.0980000000009</v>
      </c>
      <c r="M318">
        <f t="shared" si="29"/>
        <v>5761.079999999999</v>
      </c>
      <c r="N318" s="12">
        <f t="shared" si="25"/>
        <v>0.32250000000000001</v>
      </c>
      <c r="O318" s="12">
        <f t="shared" si="26"/>
        <v>0.31094379844961223</v>
      </c>
    </row>
    <row r="319" spans="1:15">
      <c r="A319" s="33">
        <v>45791</v>
      </c>
      <c r="B319">
        <v>44</v>
      </c>
      <c r="C319">
        <v>777800.000000017</v>
      </c>
      <c r="D319">
        <v>6.6</v>
      </c>
      <c r="E319">
        <v>90.74</v>
      </c>
      <c r="F319">
        <v>120.41</v>
      </c>
      <c r="G319">
        <v>133.36000000000001</v>
      </c>
      <c r="H319" s="12">
        <v>0.99864084864084901</v>
      </c>
      <c r="I319" s="12">
        <v>1</v>
      </c>
      <c r="J319" s="12">
        <v>1</v>
      </c>
      <c r="K319">
        <f t="shared" si="27"/>
        <v>32867200</v>
      </c>
      <c r="L319">
        <f t="shared" si="28"/>
        <v>5317.5080000000007</v>
      </c>
      <c r="M319">
        <f t="shared" si="29"/>
        <v>5894.4399999999987</v>
      </c>
      <c r="N319" s="12">
        <f t="shared" si="25"/>
        <v>0.32408333333334044</v>
      </c>
      <c r="O319" s="12">
        <f t="shared" si="26"/>
        <v>0.31124242424242426</v>
      </c>
    </row>
    <row r="320" spans="1:15">
      <c r="A320" s="33">
        <v>45792</v>
      </c>
      <c r="B320">
        <v>45</v>
      </c>
      <c r="C320">
        <v>619700.00000001199</v>
      </c>
      <c r="D320">
        <v>5.26</v>
      </c>
      <c r="E320">
        <v>90.93</v>
      </c>
      <c r="F320">
        <v>117.16</v>
      </c>
      <c r="G320">
        <v>123.38</v>
      </c>
      <c r="H320" s="12">
        <v>0.99910946378337695</v>
      </c>
      <c r="I320" s="12">
        <v>1</v>
      </c>
      <c r="J320" s="12">
        <v>0.999475201864373</v>
      </c>
      <c r="K320">
        <f t="shared" si="27"/>
        <v>33486900.000000011</v>
      </c>
      <c r="L320">
        <f t="shared" si="28"/>
        <v>5434.6680000000006</v>
      </c>
      <c r="M320">
        <f t="shared" si="29"/>
        <v>6017.8199999999988</v>
      </c>
      <c r="N320" s="12">
        <f t="shared" si="25"/>
        <v>0.25820833333333831</v>
      </c>
      <c r="O320" s="12">
        <f t="shared" si="26"/>
        <v>0.31006388888888897</v>
      </c>
    </row>
    <row r="321" spans="1:15">
      <c r="A321" s="33">
        <v>45793</v>
      </c>
      <c r="B321">
        <v>46</v>
      </c>
      <c r="C321">
        <v>751100.00000000605</v>
      </c>
      <c r="D321">
        <v>6.22</v>
      </c>
      <c r="E321">
        <v>89.65</v>
      </c>
      <c r="F321">
        <v>120.59</v>
      </c>
      <c r="G321">
        <v>135.54</v>
      </c>
      <c r="H321" s="12">
        <v>1</v>
      </c>
      <c r="I321" s="12">
        <v>1</v>
      </c>
      <c r="J321" s="12">
        <v>1</v>
      </c>
      <c r="K321">
        <f t="shared" si="27"/>
        <v>34238000.000000015</v>
      </c>
      <c r="L321">
        <f t="shared" si="28"/>
        <v>5555.2580000000007</v>
      </c>
      <c r="M321">
        <f t="shared" si="29"/>
        <v>6153.3599999999988</v>
      </c>
      <c r="N321" s="12">
        <f t="shared" si="25"/>
        <v>0.31295833333333584</v>
      </c>
      <c r="O321" s="12">
        <f t="shared" si="26"/>
        <v>0.31012681159420302</v>
      </c>
    </row>
    <row r="322" spans="1:15">
      <c r="A322" s="33">
        <v>45794</v>
      </c>
      <c r="B322">
        <v>47</v>
      </c>
      <c r="C322">
        <v>602299.99999995902</v>
      </c>
      <c r="D322">
        <v>4.88</v>
      </c>
      <c r="E322">
        <v>89.95</v>
      </c>
      <c r="F322">
        <v>120.79</v>
      </c>
      <c r="G322">
        <v>135.66999999999999</v>
      </c>
      <c r="H322" s="12">
        <v>0.99968866749688701</v>
      </c>
      <c r="I322" s="12">
        <v>1</v>
      </c>
      <c r="J322" s="12">
        <v>1</v>
      </c>
      <c r="K322">
        <f t="shared" si="27"/>
        <v>34840299.99999997</v>
      </c>
      <c r="L322">
        <f t="shared" si="28"/>
        <v>5676.0480000000007</v>
      </c>
      <c r="M322">
        <f t="shared" si="29"/>
        <v>6289.0299999999988</v>
      </c>
      <c r="N322" s="12">
        <f t="shared" si="25"/>
        <v>0.25095833333331624</v>
      </c>
      <c r="O322" s="12">
        <f t="shared" si="26"/>
        <v>0.30886790780141815</v>
      </c>
    </row>
    <row r="323" spans="1:15">
      <c r="A323" s="33">
        <v>45795</v>
      </c>
      <c r="B323">
        <v>48</v>
      </c>
      <c r="C323">
        <v>569600.00000000605</v>
      </c>
      <c r="D323">
        <v>4.93</v>
      </c>
      <c r="E323">
        <v>93.62</v>
      </c>
      <c r="F323">
        <v>121.24</v>
      </c>
      <c r="G323">
        <v>135.84</v>
      </c>
      <c r="H323" s="12">
        <v>0.99986283447286195</v>
      </c>
      <c r="I323" s="12">
        <v>1</v>
      </c>
      <c r="J323" s="12">
        <v>1</v>
      </c>
      <c r="K323">
        <f t="shared" si="27"/>
        <v>35409899.999999978</v>
      </c>
      <c r="L323">
        <f t="shared" si="28"/>
        <v>5797.2880000000005</v>
      </c>
      <c r="M323">
        <f t="shared" si="29"/>
        <v>6424.869999999999</v>
      </c>
      <c r="N323" s="12">
        <f t="shared" si="25"/>
        <v>0.23733333333333587</v>
      </c>
      <c r="O323" s="12">
        <f t="shared" si="26"/>
        <v>0.30737760416666648</v>
      </c>
    </row>
    <row r="324" spans="1:15">
      <c r="A324" s="33">
        <v>45796</v>
      </c>
      <c r="B324">
        <v>49</v>
      </c>
      <c r="C324">
        <v>773500</v>
      </c>
      <c r="D324">
        <v>6.5949999999999998</v>
      </c>
      <c r="E324">
        <v>90.31</v>
      </c>
      <c r="F324">
        <v>120.78</v>
      </c>
      <c r="G324">
        <v>134.30000000000001</v>
      </c>
      <c r="H324" s="12">
        <v>0.99952779830828598</v>
      </c>
      <c r="I324" s="12">
        <v>1</v>
      </c>
      <c r="J324" s="12">
        <v>1</v>
      </c>
      <c r="K324">
        <f t="shared" si="27"/>
        <v>36183399.999999978</v>
      </c>
      <c r="L324">
        <f t="shared" si="28"/>
        <v>5918.0680000000002</v>
      </c>
      <c r="M324">
        <f t="shared" si="29"/>
        <v>6559.1699999999992</v>
      </c>
      <c r="N324" s="12">
        <f t="shared" si="25"/>
        <v>0.32229166666666664</v>
      </c>
      <c r="O324" s="12">
        <f t="shared" si="26"/>
        <v>0.30768197278911547</v>
      </c>
    </row>
    <row r="325" spans="1:15">
      <c r="A325" s="33">
        <v>45797</v>
      </c>
      <c r="B325">
        <v>50</v>
      </c>
      <c r="C325">
        <v>663900.00000002305</v>
      </c>
      <c r="D325">
        <v>5.5</v>
      </c>
      <c r="E325">
        <v>89.48</v>
      </c>
      <c r="F325">
        <v>120.59</v>
      </c>
      <c r="G325">
        <v>134.41</v>
      </c>
      <c r="H325" s="12">
        <v>1</v>
      </c>
      <c r="I325" s="12">
        <v>1</v>
      </c>
      <c r="J325" s="12">
        <v>1</v>
      </c>
      <c r="K325">
        <f t="shared" si="27"/>
        <v>36847300</v>
      </c>
      <c r="L325">
        <f t="shared" si="28"/>
        <v>6038.6580000000004</v>
      </c>
      <c r="M325">
        <f t="shared" si="29"/>
        <v>6693.579999999999</v>
      </c>
      <c r="N325" s="12">
        <f t="shared" si="25"/>
        <v>0.27662500000000961</v>
      </c>
      <c r="O325" s="12">
        <f t="shared" si="26"/>
        <v>0.30706083333333334</v>
      </c>
    </row>
    <row r="326" spans="1:15">
      <c r="A326" s="33">
        <v>45798</v>
      </c>
      <c r="B326">
        <v>51</v>
      </c>
      <c r="C326">
        <v>649100.00000000605</v>
      </c>
      <c r="D326">
        <v>5.63</v>
      </c>
      <c r="E326">
        <v>91.32</v>
      </c>
      <c r="F326">
        <v>120.6</v>
      </c>
      <c r="G326">
        <v>133.49</v>
      </c>
      <c r="H326" s="12">
        <v>0.99970252260828196</v>
      </c>
      <c r="I326" s="12">
        <v>1</v>
      </c>
      <c r="J326" s="12">
        <v>1</v>
      </c>
      <c r="K326">
        <f t="shared" si="27"/>
        <v>37496400.000000007</v>
      </c>
      <c r="L326">
        <f t="shared" si="28"/>
        <v>6159.2580000000007</v>
      </c>
      <c r="M326">
        <f t="shared" si="29"/>
        <v>6827.0699999999988</v>
      </c>
      <c r="N326" s="12">
        <f t="shared" si="25"/>
        <v>0.27045833333333585</v>
      </c>
      <c r="O326" s="12">
        <f t="shared" si="26"/>
        <v>0.30634313725490203</v>
      </c>
    </row>
    <row r="327" spans="1:15">
      <c r="A327" s="33">
        <v>45799</v>
      </c>
      <c r="B327">
        <v>52</v>
      </c>
      <c r="C327">
        <v>427699.999999983</v>
      </c>
      <c r="D327">
        <v>3.3650000000000002</v>
      </c>
      <c r="E327">
        <v>89.12</v>
      </c>
      <c r="F327">
        <v>119.2</v>
      </c>
      <c r="G327">
        <v>125.69</v>
      </c>
      <c r="H327" s="12">
        <v>0.99959078317804095</v>
      </c>
      <c r="I327" s="12">
        <v>1</v>
      </c>
      <c r="J327" s="12">
        <v>1</v>
      </c>
      <c r="K327">
        <f t="shared" si="27"/>
        <v>37924099.999999993</v>
      </c>
      <c r="L327">
        <f t="shared" si="28"/>
        <v>6278.4580000000005</v>
      </c>
      <c r="M327">
        <f t="shared" si="29"/>
        <v>6952.7599999999984</v>
      </c>
      <c r="N327" s="12">
        <f t="shared" si="25"/>
        <v>0.17820833333332625</v>
      </c>
      <c r="O327" s="12">
        <f t="shared" si="26"/>
        <v>0.30387900641025634</v>
      </c>
    </row>
    <row r="328" spans="1:15">
      <c r="A328" s="33">
        <v>45800</v>
      </c>
      <c r="B328">
        <v>53</v>
      </c>
      <c r="C328">
        <v>577699.999999983</v>
      </c>
      <c r="D328">
        <v>4.8849999999999998</v>
      </c>
      <c r="E328">
        <v>91.3</v>
      </c>
      <c r="F328">
        <v>120.3</v>
      </c>
      <c r="G328">
        <v>138.19</v>
      </c>
      <c r="H328" s="12">
        <v>0.99920982971830397</v>
      </c>
      <c r="I328" s="12">
        <v>1</v>
      </c>
      <c r="J328" s="12">
        <v>1</v>
      </c>
      <c r="K328">
        <f t="shared" si="27"/>
        <v>38501799.999999978</v>
      </c>
      <c r="L328">
        <f t="shared" si="28"/>
        <v>6398.7580000000007</v>
      </c>
      <c r="M328">
        <f t="shared" si="29"/>
        <v>7090.949999999998</v>
      </c>
      <c r="N328" s="12">
        <f t="shared" si="25"/>
        <v>0.24070833333332625</v>
      </c>
      <c r="O328" s="12">
        <f t="shared" si="26"/>
        <v>0.3026871069182388</v>
      </c>
    </row>
    <row r="329" spans="1:15">
      <c r="A329" s="33">
        <v>45801</v>
      </c>
      <c r="B329">
        <v>54</v>
      </c>
      <c r="C329">
        <v>369000.00000002899</v>
      </c>
      <c r="D329">
        <v>3.06</v>
      </c>
      <c r="E329">
        <v>82.14</v>
      </c>
      <c r="F329">
        <v>117.9</v>
      </c>
      <c r="G329">
        <v>129.99</v>
      </c>
      <c r="H329" s="12">
        <v>0.99938732640914896</v>
      </c>
      <c r="I329" s="12">
        <v>1</v>
      </c>
      <c r="J329" s="12">
        <v>0.99808603032889098</v>
      </c>
      <c r="K329">
        <f t="shared" si="27"/>
        <v>38870800.000000007</v>
      </c>
      <c r="L329">
        <f t="shared" si="28"/>
        <v>6516.6580000000004</v>
      </c>
      <c r="M329">
        <f t="shared" si="29"/>
        <v>7220.9399999999978</v>
      </c>
      <c r="N329" s="12">
        <f t="shared" si="25"/>
        <v>0.15375000000001207</v>
      </c>
      <c r="O329" s="12">
        <f t="shared" si="26"/>
        <v>0.29992901234567909</v>
      </c>
    </row>
    <row r="330" spans="1:15">
      <c r="A330" s="33">
        <v>45802</v>
      </c>
      <c r="B330">
        <v>55</v>
      </c>
      <c r="C330">
        <v>568699.999999983</v>
      </c>
      <c r="D330">
        <v>4.9249999999999998</v>
      </c>
      <c r="E330">
        <v>84.92</v>
      </c>
      <c r="F330">
        <v>99.18</v>
      </c>
      <c r="G330">
        <v>137.43</v>
      </c>
      <c r="H330" s="12">
        <v>0.999941650134205</v>
      </c>
      <c r="I330" s="12">
        <v>1</v>
      </c>
      <c r="J330" s="12">
        <v>1</v>
      </c>
      <c r="K330">
        <f t="shared" si="27"/>
        <v>39439499.999999993</v>
      </c>
      <c r="L330">
        <f t="shared" si="28"/>
        <v>6615.8380000000006</v>
      </c>
      <c r="M330">
        <f t="shared" si="29"/>
        <v>7358.3699999999981</v>
      </c>
      <c r="N330" s="12">
        <f t="shared" si="25"/>
        <v>0.23695833333332625</v>
      </c>
      <c r="O330" s="12">
        <f t="shared" si="26"/>
        <v>0.29878409090909086</v>
      </c>
    </row>
    <row r="331" spans="1:15">
      <c r="A331" s="33">
        <v>45803</v>
      </c>
      <c r="B331">
        <v>56</v>
      </c>
      <c r="C331">
        <v>560000</v>
      </c>
      <c r="D331">
        <v>4.8550000000000004</v>
      </c>
      <c r="E331">
        <v>87.57</v>
      </c>
      <c r="F331">
        <v>120.78</v>
      </c>
      <c r="G331">
        <v>133.71</v>
      </c>
      <c r="H331" s="12">
        <v>1</v>
      </c>
      <c r="I331" s="12">
        <v>1</v>
      </c>
      <c r="J331" s="12">
        <v>1</v>
      </c>
      <c r="K331">
        <f t="shared" si="27"/>
        <v>39999499.999999993</v>
      </c>
      <c r="L331">
        <f t="shared" si="28"/>
        <v>6736.6180000000004</v>
      </c>
      <c r="M331">
        <f t="shared" si="29"/>
        <v>7492.0799999999981</v>
      </c>
      <c r="N331" s="12">
        <f t="shared" si="25"/>
        <v>0.23333333333333334</v>
      </c>
      <c r="O331" s="12">
        <f t="shared" si="26"/>
        <v>0.29761532738095231</v>
      </c>
    </row>
    <row r="332" spans="1:15">
      <c r="A332" s="33">
        <v>45804</v>
      </c>
      <c r="B332">
        <v>57</v>
      </c>
      <c r="C332">
        <v>639899.99999999395</v>
      </c>
      <c r="D332">
        <v>5.0599999999999996</v>
      </c>
      <c r="E332">
        <v>85.63</v>
      </c>
      <c r="F332">
        <v>121.14</v>
      </c>
      <c r="G332">
        <v>134.22999999999999</v>
      </c>
      <c r="H332" s="12">
        <v>0.99949887984907404</v>
      </c>
      <c r="I332" s="12">
        <v>1</v>
      </c>
      <c r="J332" s="12">
        <v>1</v>
      </c>
      <c r="K332">
        <f t="shared" si="27"/>
        <v>40639399.999999985</v>
      </c>
      <c r="L332">
        <f t="shared" si="28"/>
        <v>6857.7580000000007</v>
      </c>
      <c r="M332">
        <f t="shared" si="29"/>
        <v>7626.3099999999977</v>
      </c>
      <c r="N332" s="12">
        <f t="shared" si="25"/>
        <v>0.2666249999999975</v>
      </c>
      <c r="O332" s="12">
        <f t="shared" si="26"/>
        <v>0.29707163742690046</v>
      </c>
    </row>
    <row r="333" spans="1:15">
      <c r="A333" s="33">
        <v>45805</v>
      </c>
      <c r="B333">
        <v>58</v>
      </c>
      <c r="C333">
        <v>592400.00000002305</v>
      </c>
      <c r="D333">
        <v>4.8899999999999997</v>
      </c>
      <c r="E333">
        <v>90.29</v>
      </c>
      <c r="F333">
        <v>120.79</v>
      </c>
      <c r="G333">
        <v>133.43</v>
      </c>
      <c r="H333" s="12">
        <v>0.99948977328186706</v>
      </c>
      <c r="I333" s="12">
        <v>1</v>
      </c>
      <c r="J333" s="12">
        <v>1</v>
      </c>
      <c r="K333">
        <f t="shared" si="27"/>
        <v>41231800.000000007</v>
      </c>
      <c r="L333">
        <f t="shared" si="28"/>
        <v>6978.5480000000007</v>
      </c>
      <c r="M333">
        <f t="shared" si="29"/>
        <v>7759.739999999998</v>
      </c>
      <c r="N333" s="12">
        <f t="shared" si="25"/>
        <v>0.24683333333334292</v>
      </c>
      <c r="O333" s="12">
        <f t="shared" si="26"/>
        <v>0.29620545977011498</v>
      </c>
    </row>
    <row r="334" spans="1:15">
      <c r="A334" s="33">
        <v>45806</v>
      </c>
      <c r="B334">
        <v>59</v>
      </c>
      <c r="C334">
        <v>695199.999999983</v>
      </c>
      <c r="D334">
        <v>5.95</v>
      </c>
      <c r="E334">
        <v>79.239999999999995</v>
      </c>
      <c r="F334">
        <v>120.76</v>
      </c>
      <c r="G334">
        <v>135.30000000000001</v>
      </c>
      <c r="H334" s="12">
        <v>0.99583674583674597</v>
      </c>
      <c r="I334" s="12">
        <v>1</v>
      </c>
      <c r="J334" s="12">
        <v>1</v>
      </c>
      <c r="K334">
        <f t="shared" si="27"/>
        <v>41926999.999999993</v>
      </c>
      <c r="L334">
        <f t="shared" si="28"/>
        <v>7099.3080000000009</v>
      </c>
      <c r="M334">
        <f t="shared" si="29"/>
        <v>7895.0399999999981</v>
      </c>
      <c r="N334" s="12">
        <f t="shared" ref="N334:N397" si="30">C334/(100000*24)</f>
        <v>0.28966666666665958</v>
      </c>
      <c r="O334" s="12">
        <f t="shared" ref="O334:O397" si="31">K334/(B334*100000*24)</f>
        <v>0.29609463276836151</v>
      </c>
    </row>
    <row r="335" spans="1:15">
      <c r="A335" s="33">
        <v>45807</v>
      </c>
      <c r="B335">
        <v>60</v>
      </c>
      <c r="C335">
        <v>707000</v>
      </c>
      <c r="D335">
        <v>5.94</v>
      </c>
      <c r="E335">
        <v>90.03</v>
      </c>
      <c r="F335">
        <v>120.74</v>
      </c>
      <c r="G335">
        <v>133.74</v>
      </c>
      <c r="H335" s="12">
        <v>0.99953439646141296</v>
      </c>
      <c r="I335" s="12">
        <v>1</v>
      </c>
      <c r="J335" s="12">
        <v>1</v>
      </c>
      <c r="K335">
        <f t="shared" ref="K335:K398" si="32">K334+C335</f>
        <v>42633999.999999993</v>
      </c>
      <c r="L335">
        <f t="shared" ref="L335:M398" si="33">L334+F335</f>
        <v>7220.0480000000007</v>
      </c>
      <c r="M335">
        <f t="shared" si="33"/>
        <v>8028.7799999999979</v>
      </c>
      <c r="N335" s="12">
        <f t="shared" si="30"/>
        <v>0.29458333333333331</v>
      </c>
      <c r="O335" s="12">
        <f t="shared" si="31"/>
        <v>0.29606944444444439</v>
      </c>
    </row>
    <row r="336" spans="1:15">
      <c r="A336" s="33">
        <v>45808</v>
      </c>
      <c r="B336">
        <v>61</v>
      </c>
      <c r="C336">
        <v>554500</v>
      </c>
      <c r="D336">
        <v>4.3499999999999996</v>
      </c>
      <c r="E336">
        <v>82.44</v>
      </c>
      <c r="F336">
        <v>121.05</v>
      </c>
      <c r="G336">
        <v>133.61000000000001</v>
      </c>
      <c r="H336" s="12">
        <v>0.99985431235431199</v>
      </c>
      <c r="I336" s="12">
        <v>1</v>
      </c>
      <c r="J336" s="12">
        <v>1</v>
      </c>
      <c r="K336">
        <f t="shared" si="32"/>
        <v>43188499.999999993</v>
      </c>
      <c r="L336">
        <f t="shared" si="33"/>
        <v>7341.0980000000009</v>
      </c>
      <c r="M336">
        <f t="shared" si="33"/>
        <v>8162.3899999999976</v>
      </c>
      <c r="N336" s="12">
        <f t="shared" si="30"/>
        <v>0.23104166666666667</v>
      </c>
      <c r="O336" s="12">
        <f t="shared" si="31"/>
        <v>0.29500341530054641</v>
      </c>
    </row>
    <row r="337" spans="1:15">
      <c r="A337" s="33">
        <v>45809</v>
      </c>
      <c r="B337">
        <v>62</v>
      </c>
      <c r="C337">
        <v>803100.00000000605</v>
      </c>
      <c r="D337">
        <v>6.82</v>
      </c>
      <c r="E337">
        <v>90.11</v>
      </c>
      <c r="F337">
        <v>120.87</v>
      </c>
      <c r="G337">
        <v>133.43</v>
      </c>
      <c r="H337" s="12">
        <v>1</v>
      </c>
      <c r="I337" s="12">
        <v>1</v>
      </c>
      <c r="J337" s="12">
        <v>1</v>
      </c>
      <c r="K337">
        <f t="shared" si="32"/>
        <v>43991600</v>
      </c>
      <c r="L337">
        <f t="shared" si="33"/>
        <v>7461.9680000000008</v>
      </c>
      <c r="M337">
        <f t="shared" si="33"/>
        <v>8295.8199999999979</v>
      </c>
      <c r="N337" s="12">
        <f t="shared" si="30"/>
        <v>0.3346250000000025</v>
      </c>
      <c r="O337" s="12">
        <f t="shared" si="31"/>
        <v>0.29564247311827957</v>
      </c>
    </row>
    <row r="338" spans="1:15">
      <c r="A338" s="33">
        <v>45810</v>
      </c>
      <c r="B338">
        <v>63</v>
      </c>
      <c r="C338">
        <v>745100.00000000605</v>
      </c>
      <c r="D338">
        <v>6.2750000000000004</v>
      </c>
      <c r="E338">
        <v>91.16</v>
      </c>
      <c r="F338">
        <v>121.87</v>
      </c>
      <c r="G338">
        <v>134.01</v>
      </c>
      <c r="H338" s="12">
        <v>1</v>
      </c>
      <c r="I338" s="12">
        <v>1</v>
      </c>
      <c r="J338" s="12">
        <v>1</v>
      </c>
      <c r="K338">
        <f t="shared" si="32"/>
        <v>44736700.000000007</v>
      </c>
      <c r="L338">
        <f t="shared" si="33"/>
        <v>7583.8380000000006</v>
      </c>
      <c r="M338">
        <f t="shared" si="33"/>
        <v>8429.8299999999981</v>
      </c>
      <c r="N338" s="12">
        <f t="shared" si="30"/>
        <v>0.31045833333333583</v>
      </c>
      <c r="O338" s="12">
        <f t="shared" si="31"/>
        <v>0.29587764550264556</v>
      </c>
    </row>
    <row r="339" spans="1:15">
      <c r="A339" s="33">
        <v>45811</v>
      </c>
      <c r="B339">
        <v>64</v>
      </c>
      <c r="C339">
        <v>810899.99999999395</v>
      </c>
      <c r="D339">
        <v>6.9649999999999999</v>
      </c>
      <c r="E339">
        <v>89.8</v>
      </c>
      <c r="F339">
        <v>120.89</v>
      </c>
      <c r="G339">
        <v>135.63</v>
      </c>
      <c r="H339" s="12">
        <v>1</v>
      </c>
      <c r="I339" s="12">
        <v>1</v>
      </c>
      <c r="J339" s="12">
        <v>1</v>
      </c>
      <c r="K339">
        <f t="shared" si="32"/>
        <v>45547600</v>
      </c>
      <c r="L339">
        <f t="shared" si="33"/>
        <v>7704.728000000001</v>
      </c>
      <c r="M339">
        <f t="shared" si="33"/>
        <v>8565.4599999999973</v>
      </c>
      <c r="N339" s="12">
        <f t="shared" si="30"/>
        <v>0.33787499999999748</v>
      </c>
      <c r="O339" s="12">
        <f t="shared" si="31"/>
        <v>0.29653385416666667</v>
      </c>
    </row>
    <row r="340" spans="1:15">
      <c r="A340" s="33">
        <v>45812</v>
      </c>
      <c r="B340">
        <v>65</v>
      </c>
      <c r="C340">
        <v>681600.00000000605</v>
      </c>
      <c r="D340">
        <v>5.915</v>
      </c>
      <c r="E340">
        <v>90.54</v>
      </c>
      <c r="F340">
        <v>120.87</v>
      </c>
      <c r="G340">
        <v>132.84</v>
      </c>
      <c r="H340" s="12">
        <v>1</v>
      </c>
      <c r="I340" s="12">
        <v>1</v>
      </c>
      <c r="J340" s="12">
        <v>1</v>
      </c>
      <c r="K340">
        <f t="shared" si="32"/>
        <v>46229200.000000007</v>
      </c>
      <c r="L340">
        <f t="shared" si="33"/>
        <v>7825.5980000000009</v>
      </c>
      <c r="M340">
        <f t="shared" si="33"/>
        <v>8698.2999999999975</v>
      </c>
      <c r="N340" s="12">
        <f t="shared" si="30"/>
        <v>0.28400000000000253</v>
      </c>
      <c r="O340" s="12">
        <f t="shared" si="31"/>
        <v>0.29634102564102571</v>
      </c>
    </row>
    <row r="341" spans="1:15">
      <c r="A341" s="33">
        <v>45813</v>
      </c>
      <c r="B341">
        <v>66</v>
      </c>
      <c r="C341">
        <v>630000</v>
      </c>
      <c r="D341">
        <v>5.29</v>
      </c>
      <c r="E341">
        <v>92.27</v>
      </c>
      <c r="F341">
        <v>120.76</v>
      </c>
      <c r="G341">
        <v>135.13</v>
      </c>
      <c r="H341" s="12">
        <v>1</v>
      </c>
      <c r="I341" s="12">
        <v>1</v>
      </c>
      <c r="J341" s="12">
        <v>1</v>
      </c>
      <c r="K341">
        <f t="shared" si="32"/>
        <v>46859200.000000007</v>
      </c>
      <c r="L341">
        <f t="shared" si="33"/>
        <v>7946.3580000000011</v>
      </c>
      <c r="M341">
        <f t="shared" si="33"/>
        <v>8833.4299999999967</v>
      </c>
      <c r="N341" s="12">
        <f t="shared" si="30"/>
        <v>0.26250000000000001</v>
      </c>
      <c r="O341" s="12">
        <f t="shared" si="31"/>
        <v>0.29582828282828288</v>
      </c>
    </row>
    <row r="342" spans="1:15">
      <c r="A342" s="33">
        <v>45814</v>
      </c>
      <c r="B342">
        <v>67</v>
      </c>
      <c r="C342">
        <v>769200.00000001199</v>
      </c>
      <c r="D342">
        <v>6.7149999999999999</v>
      </c>
      <c r="E342">
        <v>91.69</v>
      </c>
      <c r="F342">
        <v>121.35</v>
      </c>
      <c r="G342">
        <v>133.57</v>
      </c>
      <c r="H342" s="12">
        <v>1</v>
      </c>
      <c r="I342" s="12">
        <v>1</v>
      </c>
      <c r="J342" s="12">
        <v>1</v>
      </c>
      <c r="K342">
        <f t="shared" si="32"/>
        <v>47628400.000000022</v>
      </c>
      <c r="L342">
        <f t="shared" si="33"/>
        <v>8067.7080000000014</v>
      </c>
      <c r="M342">
        <f t="shared" si="33"/>
        <v>8966.9999999999964</v>
      </c>
      <c r="N342" s="12">
        <f t="shared" si="30"/>
        <v>0.320500000000005</v>
      </c>
      <c r="O342" s="12">
        <f t="shared" si="31"/>
        <v>0.29619651741293546</v>
      </c>
    </row>
    <row r="343" spans="1:15">
      <c r="A343" s="33">
        <v>45815</v>
      </c>
      <c r="B343">
        <v>68</v>
      </c>
      <c r="C343">
        <v>775299.99999995902</v>
      </c>
      <c r="D343">
        <v>6.72</v>
      </c>
      <c r="E343">
        <v>86.72</v>
      </c>
      <c r="F343">
        <v>120.97</v>
      </c>
      <c r="G343">
        <v>134.85</v>
      </c>
      <c r="H343" s="12">
        <v>1</v>
      </c>
      <c r="I343" s="12">
        <v>1</v>
      </c>
      <c r="J343" s="12">
        <v>1</v>
      </c>
      <c r="K343">
        <f t="shared" si="32"/>
        <v>48403699.999999985</v>
      </c>
      <c r="L343">
        <f t="shared" si="33"/>
        <v>8188.6780000000017</v>
      </c>
      <c r="M343">
        <f t="shared" si="33"/>
        <v>9101.8499999999967</v>
      </c>
      <c r="N343" s="12">
        <f t="shared" si="30"/>
        <v>0.32304166666664957</v>
      </c>
      <c r="O343" s="12">
        <f t="shared" si="31"/>
        <v>0.29659129901960773</v>
      </c>
    </row>
    <row r="344" spans="1:15">
      <c r="A344" s="33">
        <v>45816</v>
      </c>
      <c r="B344">
        <v>69</v>
      </c>
      <c r="C344">
        <v>760300.000000017</v>
      </c>
      <c r="D344">
        <v>6.65</v>
      </c>
      <c r="E344">
        <v>90.76</v>
      </c>
      <c r="F344">
        <v>120.72</v>
      </c>
      <c r="G344">
        <v>133.6</v>
      </c>
      <c r="H344" s="12">
        <v>1</v>
      </c>
      <c r="I344" s="12">
        <v>1</v>
      </c>
      <c r="J344" s="12">
        <v>1</v>
      </c>
      <c r="K344">
        <f t="shared" si="32"/>
        <v>49164000</v>
      </c>
      <c r="L344">
        <f t="shared" si="33"/>
        <v>8309.398000000001</v>
      </c>
      <c r="M344">
        <f t="shared" si="33"/>
        <v>9235.4499999999971</v>
      </c>
      <c r="N344" s="12">
        <f t="shared" si="30"/>
        <v>0.31679166666667374</v>
      </c>
      <c r="O344" s="12">
        <f t="shared" si="31"/>
        <v>0.29688405797101447</v>
      </c>
    </row>
    <row r="345" spans="1:15">
      <c r="A345" s="33">
        <v>45817</v>
      </c>
      <c r="B345">
        <v>70</v>
      </c>
      <c r="C345">
        <v>640000</v>
      </c>
      <c r="D345">
        <v>5.48</v>
      </c>
      <c r="E345">
        <v>90.6</v>
      </c>
      <c r="F345">
        <v>120.52</v>
      </c>
      <c r="G345">
        <v>130.11000000000001</v>
      </c>
      <c r="H345" s="12">
        <v>1</v>
      </c>
      <c r="I345" s="12">
        <v>1</v>
      </c>
      <c r="J345" s="12">
        <v>1</v>
      </c>
      <c r="K345">
        <f t="shared" si="32"/>
        <v>49804000</v>
      </c>
      <c r="L345">
        <f t="shared" si="33"/>
        <v>8429.9180000000015</v>
      </c>
      <c r="M345">
        <f t="shared" si="33"/>
        <v>9365.5599999999977</v>
      </c>
      <c r="N345" s="12">
        <f t="shared" si="30"/>
        <v>0.26666666666666666</v>
      </c>
      <c r="O345" s="12">
        <f t="shared" si="31"/>
        <v>0.29645238095238097</v>
      </c>
    </row>
    <row r="346" spans="1:15">
      <c r="A346" s="33">
        <v>45818</v>
      </c>
      <c r="B346">
        <v>71</v>
      </c>
      <c r="C346">
        <v>617799.99999998801</v>
      </c>
      <c r="D346">
        <v>5.2350000000000003</v>
      </c>
      <c r="E346">
        <v>76.31</v>
      </c>
      <c r="F346">
        <v>119.35</v>
      </c>
      <c r="G346">
        <v>130.44999999999999</v>
      </c>
      <c r="H346" s="12">
        <v>1</v>
      </c>
      <c r="I346" s="12">
        <v>1</v>
      </c>
      <c r="J346" s="12">
        <v>1</v>
      </c>
      <c r="K346">
        <f t="shared" si="32"/>
        <v>50421799.999999985</v>
      </c>
      <c r="L346">
        <f t="shared" si="33"/>
        <v>8549.2680000000018</v>
      </c>
      <c r="M346">
        <f t="shared" si="33"/>
        <v>9496.0099999999984</v>
      </c>
      <c r="N346" s="12">
        <f t="shared" si="30"/>
        <v>0.25741666666666169</v>
      </c>
      <c r="O346" s="12">
        <f t="shared" si="31"/>
        <v>0.29590258215962434</v>
      </c>
    </row>
    <row r="347" spans="1:15">
      <c r="A347" s="33">
        <v>45819</v>
      </c>
      <c r="B347">
        <v>72</v>
      </c>
      <c r="C347">
        <v>729100.00000000605</v>
      </c>
      <c r="D347">
        <v>6</v>
      </c>
      <c r="E347">
        <v>88.44</v>
      </c>
      <c r="F347">
        <v>119.29</v>
      </c>
      <c r="G347">
        <v>133.44</v>
      </c>
      <c r="H347" s="12">
        <v>1</v>
      </c>
      <c r="I347" s="12">
        <v>1</v>
      </c>
      <c r="J347" s="12">
        <v>0.99802428937175902</v>
      </c>
      <c r="K347">
        <f t="shared" si="32"/>
        <v>51150899.999999993</v>
      </c>
      <c r="L347">
        <f t="shared" si="33"/>
        <v>8668.5580000000027</v>
      </c>
      <c r="M347">
        <f t="shared" si="33"/>
        <v>9629.4499999999989</v>
      </c>
      <c r="N347" s="12">
        <f t="shared" si="30"/>
        <v>0.30379166666666918</v>
      </c>
      <c r="O347" s="12">
        <f t="shared" si="31"/>
        <v>0.29601215277777776</v>
      </c>
    </row>
    <row r="348" spans="1:15">
      <c r="A348" s="33">
        <v>45820</v>
      </c>
      <c r="B348">
        <v>73</v>
      </c>
      <c r="C348">
        <v>714700.00000001199</v>
      </c>
      <c r="D348">
        <v>6.09</v>
      </c>
      <c r="E348">
        <v>96.39</v>
      </c>
      <c r="F348">
        <v>120.82</v>
      </c>
      <c r="G348">
        <v>135.79</v>
      </c>
      <c r="H348" s="12">
        <v>1</v>
      </c>
      <c r="I348" s="12">
        <v>1</v>
      </c>
      <c r="J348" s="12">
        <v>1</v>
      </c>
      <c r="K348">
        <f t="shared" si="32"/>
        <v>51865600.000000007</v>
      </c>
      <c r="L348">
        <f t="shared" si="33"/>
        <v>8789.3780000000024</v>
      </c>
      <c r="M348">
        <f t="shared" si="33"/>
        <v>9765.24</v>
      </c>
      <c r="N348" s="12">
        <f t="shared" si="30"/>
        <v>0.29779166666667167</v>
      </c>
      <c r="O348" s="12">
        <f t="shared" si="31"/>
        <v>0.29603652968036531</v>
      </c>
    </row>
    <row r="349" spans="1:15">
      <c r="A349" s="33">
        <v>45821</v>
      </c>
      <c r="B349">
        <v>74</v>
      </c>
      <c r="C349">
        <v>611200.00000001199</v>
      </c>
      <c r="D349">
        <v>5.3949999999999996</v>
      </c>
      <c r="E349">
        <v>91.92</v>
      </c>
      <c r="F349">
        <v>120.85</v>
      </c>
      <c r="G349">
        <v>135.19999999999999</v>
      </c>
      <c r="H349" s="12">
        <v>1</v>
      </c>
      <c r="I349" s="12">
        <v>1</v>
      </c>
      <c r="J349" s="12">
        <v>1</v>
      </c>
      <c r="K349">
        <f t="shared" si="32"/>
        <v>52476800.000000022</v>
      </c>
      <c r="L349">
        <f t="shared" si="33"/>
        <v>8910.2280000000028</v>
      </c>
      <c r="M349">
        <f t="shared" si="33"/>
        <v>9900.44</v>
      </c>
      <c r="N349" s="12">
        <f t="shared" si="30"/>
        <v>0.25466666666667165</v>
      </c>
      <c r="O349" s="12">
        <f t="shared" si="31"/>
        <v>0.2954774774774776</v>
      </c>
    </row>
    <row r="350" spans="1:15">
      <c r="A350" s="33">
        <v>45822</v>
      </c>
      <c r="B350">
        <v>75</v>
      </c>
      <c r="C350">
        <v>572299.99999998801</v>
      </c>
      <c r="D350">
        <v>4.88</v>
      </c>
      <c r="E350">
        <v>85.45</v>
      </c>
      <c r="F350">
        <v>120.96</v>
      </c>
      <c r="G350">
        <v>133.44999999999999</v>
      </c>
      <c r="H350" s="12">
        <v>1</v>
      </c>
      <c r="I350" s="12">
        <v>1</v>
      </c>
      <c r="J350" s="12">
        <v>1</v>
      </c>
      <c r="K350">
        <f t="shared" si="32"/>
        <v>53049100.000000007</v>
      </c>
      <c r="L350">
        <f t="shared" si="33"/>
        <v>9031.1880000000019</v>
      </c>
      <c r="M350">
        <f t="shared" si="33"/>
        <v>10033.890000000001</v>
      </c>
      <c r="N350" s="12">
        <f t="shared" si="30"/>
        <v>0.23845833333332833</v>
      </c>
      <c r="O350" s="12">
        <f t="shared" si="31"/>
        <v>0.29471722222222224</v>
      </c>
    </row>
    <row r="351" spans="1:15">
      <c r="A351" s="33">
        <v>45823</v>
      </c>
      <c r="B351">
        <v>76</v>
      </c>
      <c r="C351">
        <v>724600.00000000605</v>
      </c>
      <c r="D351">
        <v>6.55</v>
      </c>
      <c r="E351">
        <v>87.54</v>
      </c>
      <c r="F351">
        <v>120.57</v>
      </c>
      <c r="G351">
        <v>133.86000000000001</v>
      </c>
      <c r="H351" s="12">
        <v>1</v>
      </c>
      <c r="I351" s="12">
        <v>1</v>
      </c>
      <c r="J351" s="12">
        <v>1</v>
      </c>
      <c r="K351">
        <f t="shared" si="32"/>
        <v>53773700.000000015</v>
      </c>
      <c r="L351">
        <f t="shared" si="33"/>
        <v>9151.7580000000016</v>
      </c>
      <c r="M351">
        <f t="shared" si="33"/>
        <v>10167.750000000002</v>
      </c>
      <c r="N351" s="12">
        <f t="shared" si="30"/>
        <v>0.30191666666666916</v>
      </c>
      <c r="O351" s="12">
        <f t="shared" si="31"/>
        <v>0.29481195175438607</v>
      </c>
    </row>
    <row r="352" spans="1:15">
      <c r="A352" s="33">
        <v>45824</v>
      </c>
      <c r="B352">
        <v>77</v>
      </c>
      <c r="C352">
        <v>578600.00000000605</v>
      </c>
      <c r="D352">
        <v>4.74</v>
      </c>
      <c r="E352">
        <v>84.75</v>
      </c>
      <c r="F352">
        <v>120.28</v>
      </c>
      <c r="G352">
        <v>134.1</v>
      </c>
      <c r="H352" s="12">
        <v>0.99935649935649895</v>
      </c>
      <c r="I352" s="12">
        <v>1</v>
      </c>
      <c r="J352" s="12">
        <v>1</v>
      </c>
      <c r="K352">
        <f t="shared" si="32"/>
        <v>54352300.000000022</v>
      </c>
      <c r="L352">
        <f t="shared" si="33"/>
        <v>9272.0380000000023</v>
      </c>
      <c r="M352">
        <f t="shared" si="33"/>
        <v>10301.850000000002</v>
      </c>
      <c r="N352" s="12">
        <f t="shared" si="30"/>
        <v>0.24108333333333584</v>
      </c>
      <c r="O352" s="12">
        <f t="shared" si="31"/>
        <v>0.29411417748917762</v>
      </c>
    </row>
    <row r="353" spans="1:15">
      <c r="A353" s="33">
        <v>45825</v>
      </c>
      <c r="B353">
        <v>78</v>
      </c>
      <c r="C353">
        <v>427399.99999996502</v>
      </c>
      <c r="D353">
        <v>3.49</v>
      </c>
      <c r="E353">
        <v>77.66</v>
      </c>
      <c r="F353">
        <v>120.34</v>
      </c>
      <c r="G353">
        <v>133.24</v>
      </c>
      <c r="H353" s="12">
        <v>1</v>
      </c>
      <c r="I353" s="12">
        <v>1</v>
      </c>
      <c r="J353" s="12">
        <v>1</v>
      </c>
      <c r="K353">
        <f t="shared" si="32"/>
        <v>54779699.999999985</v>
      </c>
      <c r="L353">
        <f t="shared" si="33"/>
        <v>9392.3780000000024</v>
      </c>
      <c r="M353">
        <f t="shared" si="33"/>
        <v>10435.090000000002</v>
      </c>
      <c r="N353" s="12">
        <f t="shared" si="30"/>
        <v>0.17808333333331874</v>
      </c>
      <c r="O353" s="12">
        <f t="shared" si="31"/>
        <v>0.2926266025641025</v>
      </c>
    </row>
    <row r="354" spans="1:15">
      <c r="A354" s="33">
        <v>45826</v>
      </c>
      <c r="B354">
        <v>79</v>
      </c>
      <c r="C354">
        <v>505900.00000002299</v>
      </c>
      <c r="D354">
        <v>3.9649999999999999</v>
      </c>
      <c r="E354">
        <v>86.33</v>
      </c>
      <c r="F354">
        <v>120.24</v>
      </c>
      <c r="G354">
        <v>133.36000000000001</v>
      </c>
      <c r="H354" s="12">
        <v>1</v>
      </c>
      <c r="I354" s="12">
        <v>1</v>
      </c>
      <c r="J354" s="12">
        <v>1</v>
      </c>
      <c r="K354">
        <f t="shared" si="32"/>
        <v>55285600.000000007</v>
      </c>
      <c r="L354">
        <f t="shared" si="33"/>
        <v>9512.6180000000022</v>
      </c>
      <c r="M354">
        <f t="shared" si="33"/>
        <v>10568.450000000003</v>
      </c>
      <c r="N354" s="12">
        <f t="shared" si="30"/>
        <v>0.21079166666667626</v>
      </c>
      <c r="O354" s="12">
        <f t="shared" si="31"/>
        <v>0.29159071729957808</v>
      </c>
    </row>
    <row r="355" spans="1:15">
      <c r="A355" s="33">
        <v>45827</v>
      </c>
      <c r="B355">
        <v>80</v>
      </c>
      <c r="C355">
        <v>304199.999999983</v>
      </c>
      <c r="D355">
        <v>2.36</v>
      </c>
      <c r="E355">
        <v>41.87</v>
      </c>
      <c r="F355">
        <v>73.69</v>
      </c>
      <c r="G355">
        <v>83.67</v>
      </c>
      <c r="H355" s="12">
        <v>1</v>
      </c>
      <c r="I355" s="12">
        <v>1</v>
      </c>
      <c r="J355" s="12">
        <v>1</v>
      </c>
      <c r="K355">
        <f t="shared" si="32"/>
        <v>55589799.999999993</v>
      </c>
      <c r="L355">
        <f t="shared" si="33"/>
        <v>9586.3080000000027</v>
      </c>
      <c r="M355">
        <f t="shared" si="33"/>
        <v>10652.120000000003</v>
      </c>
      <c r="N355" s="12">
        <f t="shared" si="30"/>
        <v>0.12674999999999292</v>
      </c>
      <c r="O355" s="12">
        <f t="shared" si="31"/>
        <v>0.28953020833333332</v>
      </c>
    </row>
    <row r="356" spans="1:15">
      <c r="A356" s="33">
        <v>45828</v>
      </c>
      <c r="B356">
        <v>81</v>
      </c>
      <c r="C356">
        <v>374500</v>
      </c>
      <c r="D356">
        <v>3.55</v>
      </c>
      <c r="E356">
        <v>80.989999999999995</v>
      </c>
      <c r="F356">
        <v>39.54</v>
      </c>
      <c r="G356">
        <v>130.22999999999999</v>
      </c>
      <c r="H356" s="12">
        <v>0.99902499902499897</v>
      </c>
      <c r="I356" s="12">
        <v>1</v>
      </c>
      <c r="J356" s="12">
        <v>1</v>
      </c>
      <c r="K356">
        <f t="shared" si="32"/>
        <v>55964299.999999993</v>
      </c>
      <c r="L356">
        <f t="shared" si="33"/>
        <v>9625.8480000000036</v>
      </c>
      <c r="M356">
        <f t="shared" si="33"/>
        <v>10782.350000000002</v>
      </c>
      <c r="N356" s="12">
        <f t="shared" si="30"/>
        <v>0.15604166666666666</v>
      </c>
      <c r="O356" s="12">
        <f t="shared" si="31"/>
        <v>0.28788220164609052</v>
      </c>
    </row>
    <row r="357" spans="1:15">
      <c r="A357" s="33">
        <v>45829</v>
      </c>
      <c r="B357">
        <v>82</v>
      </c>
      <c r="C357">
        <v>682000.00000002899</v>
      </c>
      <c r="D357">
        <v>6.26</v>
      </c>
      <c r="E357">
        <v>91.69</v>
      </c>
      <c r="F357">
        <v>117.88</v>
      </c>
      <c r="G357">
        <v>134.88</v>
      </c>
      <c r="H357" s="12">
        <v>0.99392391346414299</v>
      </c>
      <c r="I357" s="12">
        <v>1</v>
      </c>
      <c r="J357" s="12">
        <v>1</v>
      </c>
      <c r="K357">
        <f t="shared" si="32"/>
        <v>56646300.000000022</v>
      </c>
      <c r="L357">
        <f t="shared" si="33"/>
        <v>9743.7280000000028</v>
      </c>
      <c r="M357">
        <f t="shared" si="33"/>
        <v>10917.230000000001</v>
      </c>
      <c r="N357" s="12">
        <f t="shared" si="30"/>
        <v>0.28416666666667872</v>
      </c>
      <c r="O357" s="12">
        <f t="shared" si="31"/>
        <v>0.28783689024390258</v>
      </c>
    </row>
    <row r="358" spans="1:15">
      <c r="A358" s="33">
        <v>45830</v>
      </c>
      <c r="B358">
        <v>83</v>
      </c>
      <c r="C358">
        <v>414199.999999983</v>
      </c>
      <c r="D358">
        <v>2.56</v>
      </c>
      <c r="E358">
        <v>62.47</v>
      </c>
      <c r="F358">
        <v>160.24</v>
      </c>
      <c r="G358">
        <v>90.64</v>
      </c>
      <c r="H358" s="12">
        <v>1</v>
      </c>
      <c r="I358" s="12">
        <v>1</v>
      </c>
      <c r="J358" s="12">
        <v>1</v>
      </c>
      <c r="K358">
        <f t="shared" si="32"/>
        <v>57060500.000000007</v>
      </c>
      <c r="L358">
        <f t="shared" si="33"/>
        <v>9903.9680000000026</v>
      </c>
      <c r="M358">
        <f t="shared" si="33"/>
        <v>11007.87</v>
      </c>
      <c r="N358" s="12">
        <f t="shared" si="30"/>
        <v>0.17258333333332626</v>
      </c>
      <c r="O358" s="12">
        <f t="shared" si="31"/>
        <v>0.28644829317269083</v>
      </c>
    </row>
    <row r="359" spans="1:15">
      <c r="A359" s="33">
        <v>45831</v>
      </c>
      <c r="B359">
        <v>84</v>
      </c>
      <c r="C359">
        <v>426199.999999983</v>
      </c>
      <c r="D359">
        <v>3.665</v>
      </c>
      <c r="E359">
        <v>92.67</v>
      </c>
      <c r="F359">
        <v>79.89</v>
      </c>
      <c r="G359">
        <v>113.17</v>
      </c>
      <c r="H359" s="12">
        <v>1</v>
      </c>
      <c r="I359" s="12">
        <v>1</v>
      </c>
      <c r="J359" s="12">
        <v>1</v>
      </c>
      <c r="K359">
        <f t="shared" si="32"/>
        <v>57486699.999999993</v>
      </c>
      <c r="L359">
        <f t="shared" si="33"/>
        <v>9983.858000000002</v>
      </c>
      <c r="M359">
        <f t="shared" si="33"/>
        <v>11121.04</v>
      </c>
      <c r="N359" s="12">
        <f t="shared" si="30"/>
        <v>0.17758333333332624</v>
      </c>
      <c r="O359" s="12">
        <f t="shared" si="31"/>
        <v>0.28515228174603169</v>
      </c>
    </row>
    <row r="360" spans="1:15">
      <c r="A360" s="33">
        <v>45832</v>
      </c>
      <c r="B360">
        <v>85</v>
      </c>
      <c r="C360">
        <v>287100.00000003498</v>
      </c>
      <c r="D360">
        <v>1.875</v>
      </c>
      <c r="E360">
        <v>40.65</v>
      </c>
      <c r="F360">
        <v>52.76</v>
      </c>
      <c r="G360">
        <v>23.16</v>
      </c>
      <c r="H360" s="12">
        <v>0.99756529437804298</v>
      </c>
      <c r="I360" s="12">
        <v>1</v>
      </c>
      <c r="J360" s="12">
        <v>1</v>
      </c>
      <c r="K360">
        <f t="shared" si="32"/>
        <v>57773800.00000003</v>
      </c>
      <c r="L360">
        <f t="shared" si="33"/>
        <v>10036.618000000002</v>
      </c>
      <c r="M360">
        <f t="shared" si="33"/>
        <v>11144.2</v>
      </c>
      <c r="N360" s="12">
        <f t="shared" si="30"/>
        <v>0.11962500000001458</v>
      </c>
      <c r="O360" s="12">
        <f t="shared" si="31"/>
        <v>0.28320490196078446</v>
      </c>
    </row>
    <row r="361" spans="1:15">
      <c r="A361" s="33">
        <v>45833</v>
      </c>
      <c r="B361">
        <v>86</v>
      </c>
      <c r="C361">
        <v>274299.99999998801</v>
      </c>
      <c r="D361">
        <v>2.21</v>
      </c>
      <c r="E361">
        <v>51.74</v>
      </c>
      <c r="F361">
        <v>36.82</v>
      </c>
      <c r="G361">
        <v>42.53</v>
      </c>
      <c r="H361" s="12">
        <v>1</v>
      </c>
      <c r="I361" s="12">
        <v>1</v>
      </c>
      <c r="J361" s="12">
        <v>1</v>
      </c>
      <c r="K361">
        <f t="shared" si="32"/>
        <v>58048100.000000015</v>
      </c>
      <c r="L361">
        <f t="shared" si="33"/>
        <v>10073.438000000002</v>
      </c>
      <c r="M361">
        <f t="shared" si="33"/>
        <v>11186.730000000001</v>
      </c>
      <c r="N361" s="12">
        <f t="shared" si="30"/>
        <v>0.11429166666666167</v>
      </c>
      <c r="O361" s="12">
        <f t="shared" si="31"/>
        <v>0.28124079457364348</v>
      </c>
    </row>
    <row r="362" spans="1:15">
      <c r="A362" s="33">
        <v>45834</v>
      </c>
      <c r="B362">
        <v>87</v>
      </c>
      <c r="C362">
        <v>344000</v>
      </c>
      <c r="D362">
        <v>3.165</v>
      </c>
      <c r="E362">
        <v>72.3</v>
      </c>
      <c r="F362">
        <v>73.08</v>
      </c>
      <c r="G362">
        <v>134.72999999999999</v>
      </c>
      <c r="H362" s="12">
        <v>1</v>
      </c>
      <c r="I362" s="12">
        <v>1</v>
      </c>
      <c r="J362" s="12">
        <v>0.99632641305061398</v>
      </c>
      <c r="K362">
        <f t="shared" si="32"/>
        <v>58392100.000000015</v>
      </c>
      <c r="L362">
        <f t="shared" si="33"/>
        <v>10146.518000000002</v>
      </c>
      <c r="M362">
        <f t="shared" si="33"/>
        <v>11321.460000000001</v>
      </c>
      <c r="N362" s="12">
        <f t="shared" si="30"/>
        <v>0.14333333333333334</v>
      </c>
      <c r="O362" s="12">
        <f t="shared" si="31"/>
        <v>0.27965565134099624</v>
      </c>
    </row>
    <row r="363" spans="1:15">
      <c r="A363" s="33">
        <v>45835</v>
      </c>
      <c r="B363">
        <v>88</v>
      </c>
      <c r="C363">
        <v>472200.00000001199</v>
      </c>
      <c r="D363">
        <v>3.8849999999999998</v>
      </c>
      <c r="E363">
        <v>89.34</v>
      </c>
      <c r="F363">
        <v>115.14</v>
      </c>
      <c r="G363">
        <v>133</v>
      </c>
      <c r="H363" s="12">
        <v>1</v>
      </c>
      <c r="I363" s="12">
        <v>1</v>
      </c>
      <c r="J363" s="12">
        <v>0.99632641305061398</v>
      </c>
      <c r="K363">
        <f t="shared" si="32"/>
        <v>58864300.00000003</v>
      </c>
      <c r="L363">
        <f t="shared" si="33"/>
        <v>10261.658000000001</v>
      </c>
      <c r="M363">
        <f t="shared" si="33"/>
        <v>11454.460000000001</v>
      </c>
      <c r="N363" s="12">
        <f t="shared" si="30"/>
        <v>0.196750000000005</v>
      </c>
      <c r="O363" s="12">
        <f t="shared" si="31"/>
        <v>0.27871354166666679</v>
      </c>
    </row>
    <row r="364" spans="1:15">
      <c r="A364" s="33">
        <v>45836</v>
      </c>
      <c r="B364">
        <v>89</v>
      </c>
      <c r="C364">
        <v>372799.99999998801</v>
      </c>
      <c r="D364">
        <v>2.5049999999999999</v>
      </c>
      <c r="E364">
        <v>73.599999999999994</v>
      </c>
      <c r="F364">
        <v>123.94</v>
      </c>
      <c r="G364">
        <v>97.69</v>
      </c>
      <c r="H364" s="12">
        <v>1</v>
      </c>
      <c r="I364" s="12">
        <v>1</v>
      </c>
      <c r="J364" s="12">
        <v>1</v>
      </c>
      <c r="K364">
        <f t="shared" si="32"/>
        <v>59237100.000000015</v>
      </c>
      <c r="L364">
        <f t="shared" si="33"/>
        <v>10385.598000000002</v>
      </c>
      <c r="M364">
        <f t="shared" si="33"/>
        <v>11552.150000000001</v>
      </c>
      <c r="N364" s="12">
        <f t="shared" si="30"/>
        <v>0.15533333333332833</v>
      </c>
      <c r="O364" s="12">
        <f t="shared" si="31"/>
        <v>0.27732724719101132</v>
      </c>
    </row>
    <row r="365" spans="1:15">
      <c r="A365" s="33">
        <v>45837</v>
      </c>
      <c r="B365">
        <v>90</v>
      </c>
      <c r="C365">
        <v>280200.00000001199</v>
      </c>
      <c r="D365">
        <v>1.9</v>
      </c>
      <c r="E365">
        <v>39.83</v>
      </c>
      <c r="F365">
        <v>68.55</v>
      </c>
      <c r="G365">
        <v>63.42</v>
      </c>
      <c r="H365" s="12">
        <v>1</v>
      </c>
      <c r="I365" s="12">
        <v>1</v>
      </c>
      <c r="J365" s="12">
        <v>1</v>
      </c>
      <c r="K365">
        <f t="shared" si="32"/>
        <v>59517300.00000003</v>
      </c>
      <c r="L365">
        <f t="shared" si="33"/>
        <v>10454.148000000001</v>
      </c>
      <c r="M365">
        <f t="shared" si="33"/>
        <v>11615.570000000002</v>
      </c>
      <c r="N365" s="12">
        <f t="shared" si="30"/>
        <v>0.116750000000005</v>
      </c>
      <c r="O365" s="12">
        <f t="shared" si="31"/>
        <v>0.27554305555555569</v>
      </c>
    </row>
    <row r="366" spans="1:15">
      <c r="A366" s="33">
        <v>45838</v>
      </c>
      <c r="B366">
        <v>91</v>
      </c>
      <c r="C366">
        <v>299899.999999994</v>
      </c>
      <c r="D366">
        <v>2.6850000000000001</v>
      </c>
      <c r="E366">
        <v>69.27</v>
      </c>
      <c r="F366">
        <v>74.97</v>
      </c>
      <c r="G366">
        <v>124.13</v>
      </c>
      <c r="H366" s="12">
        <v>1</v>
      </c>
      <c r="I366" s="12">
        <v>1</v>
      </c>
      <c r="J366" s="12">
        <v>1</v>
      </c>
      <c r="K366">
        <f t="shared" si="32"/>
        <v>59817200.000000022</v>
      </c>
      <c r="L366">
        <f t="shared" si="33"/>
        <v>10529.118</v>
      </c>
      <c r="M366">
        <f t="shared" si="33"/>
        <v>11739.7</v>
      </c>
      <c r="N366" s="12">
        <f t="shared" si="30"/>
        <v>0.12495833333333084</v>
      </c>
      <c r="O366" s="12">
        <f t="shared" si="31"/>
        <v>0.27388827838827851</v>
      </c>
    </row>
    <row r="367" spans="1:15">
      <c r="A367" s="33">
        <v>45839</v>
      </c>
      <c r="B367">
        <v>92</v>
      </c>
      <c r="C367">
        <v>352299.99999998801</v>
      </c>
      <c r="D367">
        <v>2.2400000000000002</v>
      </c>
      <c r="E367">
        <v>87.93</v>
      </c>
      <c r="F367">
        <v>105.96</v>
      </c>
      <c r="G367">
        <v>74.55</v>
      </c>
      <c r="H367" s="12">
        <v>1</v>
      </c>
      <c r="I367" s="12">
        <v>1</v>
      </c>
      <c r="J367" s="12">
        <v>1</v>
      </c>
      <c r="K367">
        <f t="shared" si="32"/>
        <v>60169500.000000007</v>
      </c>
      <c r="L367">
        <f t="shared" si="33"/>
        <v>10635.078</v>
      </c>
      <c r="M367">
        <f t="shared" si="33"/>
        <v>11814.25</v>
      </c>
      <c r="N367" s="12">
        <f t="shared" si="30"/>
        <v>0.14679166666666166</v>
      </c>
      <c r="O367" s="12">
        <f t="shared" si="31"/>
        <v>0.2725067934782609</v>
      </c>
    </row>
    <row r="368" spans="1:15">
      <c r="A368" s="33">
        <v>45840</v>
      </c>
      <c r="B368">
        <v>93</v>
      </c>
      <c r="C368">
        <v>222700.00000001199</v>
      </c>
      <c r="D368">
        <v>1.56</v>
      </c>
      <c r="E368">
        <v>40.26</v>
      </c>
      <c r="F368">
        <v>32.17</v>
      </c>
      <c r="G368">
        <v>33.229999999999997</v>
      </c>
      <c r="H368" s="12">
        <v>1</v>
      </c>
      <c r="I368" s="12">
        <v>1</v>
      </c>
      <c r="J368" s="12">
        <v>1</v>
      </c>
      <c r="K368">
        <f t="shared" si="32"/>
        <v>60392200.000000022</v>
      </c>
      <c r="L368">
        <f t="shared" si="33"/>
        <v>10667.248</v>
      </c>
      <c r="M368">
        <f t="shared" si="33"/>
        <v>11847.48</v>
      </c>
      <c r="N368" s="12">
        <f t="shared" si="30"/>
        <v>9.2791666666671657E-2</v>
      </c>
      <c r="O368" s="12">
        <f t="shared" si="31"/>
        <v>0.27057437275985674</v>
      </c>
    </row>
    <row r="369" spans="1:15">
      <c r="A369" s="33">
        <v>45841</v>
      </c>
      <c r="B369">
        <v>94</v>
      </c>
      <c r="C369">
        <v>188100.000000006</v>
      </c>
      <c r="D369">
        <v>1.3149999999999999</v>
      </c>
      <c r="E369">
        <v>35.31</v>
      </c>
      <c r="F369">
        <v>0</v>
      </c>
      <c r="G369">
        <v>0</v>
      </c>
      <c r="H369" s="12">
        <v>1</v>
      </c>
      <c r="I369" s="12">
        <v>1</v>
      </c>
      <c r="J369" s="12">
        <v>1</v>
      </c>
      <c r="K369">
        <f t="shared" si="32"/>
        <v>60580300.00000003</v>
      </c>
      <c r="L369">
        <f t="shared" si="33"/>
        <v>10667.248</v>
      </c>
      <c r="M369">
        <f t="shared" si="33"/>
        <v>11847.48</v>
      </c>
      <c r="N369" s="12">
        <f t="shared" si="30"/>
        <v>7.8375000000002498E-2</v>
      </c>
      <c r="O369" s="12">
        <f t="shared" si="31"/>
        <v>0.26852969858156039</v>
      </c>
    </row>
    <row r="370" spans="1:15">
      <c r="A370" s="33">
        <v>45842</v>
      </c>
      <c r="B370">
        <v>95</v>
      </c>
      <c r="C370">
        <v>379399.999999994</v>
      </c>
      <c r="D370">
        <v>3.0950000000000002</v>
      </c>
      <c r="E370">
        <v>57.37</v>
      </c>
      <c r="F370">
        <v>73.69</v>
      </c>
      <c r="G370">
        <v>103.98</v>
      </c>
      <c r="H370" s="12">
        <v>1</v>
      </c>
      <c r="I370" s="12">
        <v>1</v>
      </c>
      <c r="J370" s="12">
        <v>1</v>
      </c>
      <c r="K370">
        <f t="shared" si="32"/>
        <v>60959700.000000022</v>
      </c>
      <c r="L370">
        <f t="shared" si="33"/>
        <v>10740.938</v>
      </c>
      <c r="M370">
        <f t="shared" si="33"/>
        <v>11951.46</v>
      </c>
      <c r="N370" s="12">
        <f t="shared" si="30"/>
        <v>0.15808333333333083</v>
      </c>
      <c r="O370" s="12">
        <f t="shared" si="31"/>
        <v>0.26736710526315799</v>
      </c>
    </row>
    <row r="371" spans="1:15">
      <c r="A371" s="33">
        <v>45843</v>
      </c>
      <c r="B371">
        <v>96</v>
      </c>
      <c r="C371">
        <v>345199.999999983</v>
      </c>
      <c r="D371">
        <v>2.57</v>
      </c>
      <c r="E371">
        <v>61.13</v>
      </c>
      <c r="F371">
        <v>92.2</v>
      </c>
      <c r="G371">
        <v>92.67</v>
      </c>
      <c r="H371" s="12">
        <v>1</v>
      </c>
      <c r="I371" s="12">
        <v>1</v>
      </c>
      <c r="J371" s="12">
        <v>0.99632641305061398</v>
      </c>
      <c r="K371">
        <f t="shared" si="32"/>
        <v>61304900.000000007</v>
      </c>
      <c r="L371">
        <f t="shared" si="33"/>
        <v>10833.138000000001</v>
      </c>
      <c r="M371">
        <f t="shared" si="33"/>
        <v>12044.13</v>
      </c>
      <c r="N371" s="12">
        <f t="shared" si="30"/>
        <v>0.14383333333332626</v>
      </c>
      <c r="O371" s="12">
        <f t="shared" si="31"/>
        <v>0.26608029513888892</v>
      </c>
    </row>
    <row r="372" spans="1:15">
      <c r="A372" s="33">
        <v>45844</v>
      </c>
      <c r="B372">
        <v>97</v>
      </c>
      <c r="C372">
        <v>201500.00000002899</v>
      </c>
      <c r="D372">
        <v>1.43</v>
      </c>
      <c r="E372">
        <v>39.590000000000003</v>
      </c>
      <c r="F372">
        <v>35.659999999999997</v>
      </c>
      <c r="G372">
        <v>29.77</v>
      </c>
      <c r="H372" s="12">
        <v>1</v>
      </c>
      <c r="I372" s="12">
        <v>1</v>
      </c>
      <c r="J372" s="12">
        <v>1</v>
      </c>
      <c r="K372">
        <f t="shared" si="32"/>
        <v>61506400.000000037</v>
      </c>
      <c r="L372">
        <f t="shared" si="33"/>
        <v>10868.798000000001</v>
      </c>
      <c r="M372">
        <f t="shared" si="33"/>
        <v>12073.9</v>
      </c>
      <c r="N372" s="12">
        <f t="shared" si="30"/>
        <v>8.3958333333345417E-2</v>
      </c>
      <c r="O372" s="12">
        <f t="shared" si="31"/>
        <v>0.26420274914089364</v>
      </c>
    </row>
    <row r="373" spans="1:15">
      <c r="A373" s="33">
        <v>45845</v>
      </c>
      <c r="B373">
        <v>98</v>
      </c>
      <c r="C373">
        <v>163299.99999998801</v>
      </c>
      <c r="D373">
        <v>1.145</v>
      </c>
      <c r="E373">
        <v>39.58</v>
      </c>
      <c r="F373">
        <v>11.16</v>
      </c>
      <c r="G373">
        <v>12.98</v>
      </c>
      <c r="H373" s="12">
        <v>1</v>
      </c>
      <c r="I373" s="12">
        <v>1</v>
      </c>
      <c r="J373" s="12">
        <v>1</v>
      </c>
      <c r="K373">
        <f t="shared" si="32"/>
        <v>61669700.000000022</v>
      </c>
      <c r="L373">
        <f t="shared" si="33"/>
        <v>10879.958000000001</v>
      </c>
      <c r="M373">
        <f t="shared" si="33"/>
        <v>12086.88</v>
      </c>
      <c r="N373" s="12">
        <f t="shared" si="30"/>
        <v>6.8041666666661671E-2</v>
      </c>
      <c r="O373" s="12">
        <f t="shared" si="31"/>
        <v>0.26220110544217695</v>
      </c>
    </row>
    <row r="374" spans="1:15">
      <c r="A374" s="33">
        <v>45846</v>
      </c>
      <c r="B374">
        <v>99</v>
      </c>
      <c r="C374">
        <v>162699.999999983</v>
      </c>
      <c r="D374">
        <v>1.1499999999999999</v>
      </c>
      <c r="E374">
        <v>40.85</v>
      </c>
      <c r="F374">
        <v>0</v>
      </c>
      <c r="G374">
        <v>0</v>
      </c>
      <c r="H374" s="12">
        <v>1</v>
      </c>
      <c r="I374" s="12">
        <v>1</v>
      </c>
      <c r="J374" s="12">
        <v>1</v>
      </c>
      <c r="K374">
        <f t="shared" si="32"/>
        <v>61832400.000000007</v>
      </c>
      <c r="L374">
        <f t="shared" si="33"/>
        <v>10879.958000000001</v>
      </c>
      <c r="M374">
        <f t="shared" si="33"/>
        <v>12086.88</v>
      </c>
      <c r="N374" s="12">
        <f t="shared" si="30"/>
        <v>6.7791666666659589E-2</v>
      </c>
      <c r="O374" s="12">
        <f t="shared" si="31"/>
        <v>0.26023737373737377</v>
      </c>
    </row>
    <row r="375" spans="1:15">
      <c r="A375" s="33">
        <v>45847</v>
      </c>
      <c r="B375">
        <v>100</v>
      </c>
      <c r="C375">
        <v>179600.000000006</v>
      </c>
      <c r="D375">
        <v>1.4</v>
      </c>
      <c r="E375">
        <v>71.400000000000006</v>
      </c>
      <c r="F375">
        <v>42.84</v>
      </c>
      <c r="G375">
        <v>48.75</v>
      </c>
      <c r="H375" s="12">
        <v>1</v>
      </c>
      <c r="I375" s="12">
        <v>1</v>
      </c>
      <c r="J375" s="12">
        <v>1</v>
      </c>
      <c r="K375">
        <f t="shared" si="32"/>
        <v>62012000.000000015</v>
      </c>
      <c r="L375">
        <f t="shared" si="33"/>
        <v>10922.798000000001</v>
      </c>
      <c r="M375">
        <f t="shared" si="33"/>
        <v>12135.63</v>
      </c>
      <c r="N375" s="12">
        <f t="shared" si="30"/>
        <v>7.4833333333335833E-2</v>
      </c>
      <c r="O375" s="12">
        <f t="shared" si="31"/>
        <v>0.25838333333333341</v>
      </c>
    </row>
    <row r="376" spans="1:15">
      <c r="A376" s="33">
        <v>45848</v>
      </c>
      <c r="B376">
        <v>101</v>
      </c>
      <c r="C376">
        <v>442500</v>
      </c>
      <c r="D376">
        <v>3.96</v>
      </c>
      <c r="E376">
        <v>78.069999999999993</v>
      </c>
      <c r="F376">
        <v>73.89</v>
      </c>
      <c r="G376">
        <v>136.36000000000001</v>
      </c>
      <c r="H376" s="12">
        <v>0.99917018119337697</v>
      </c>
      <c r="I376" s="12">
        <v>1</v>
      </c>
      <c r="J376" s="12">
        <v>1</v>
      </c>
      <c r="K376">
        <f t="shared" si="32"/>
        <v>62454500.000000015</v>
      </c>
      <c r="L376">
        <f t="shared" si="33"/>
        <v>10996.688</v>
      </c>
      <c r="M376">
        <f t="shared" si="33"/>
        <v>12271.99</v>
      </c>
      <c r="N376" s="12">
        <f t="shared" si="30"/>
        <v>0.18437500000000001</v>
      </c>
      <c r="O376" s="12">
        <f t="shared" si="31"/>
        <v>0.25765057755775583</v>
      </c>
    </row>
    <row r="377" spans="1:15">
      <c r="A377" s="33">
        <v>45849</v>
      </c>
      <c r="B377">
        <v>102</v>
      </c>
      <c r="C377">
        <v>600200.00000001199</v>
      </c>
      <c r="D377">
        <v>4.7850000000000001</v>
      </c>
      <c r="E377">
        <v>98.62</v>
      </c>
      <c r="F377">
        <v>118.52</v>
      </c>
      <c r="G377">
        <v>125.56</v>
      </c>
      <c r="H377" s="12">
        <v>0.99944615871508802</v>
      </c>
      <c r="I377" s="12">
        <v>1</v>
      </c>
      <c r="J377" s="12">
        <v>1</v>
      </c>
      <c r="K377">
        <f t="shared" si="32"/>
        <v>63054700.00000003</v>
      </c>
      <c r="L377">
        <f t="shared" si="33"/>
        <v>11115.208000000001</v>
      </c>
      <c r="M377">
        <f t="shared" si="33"/>
        <v>12397.55</v>
      </c>
      <c r="N377" s="12">
        <f t="shared" si="30"/>
        <v>0.25008333333333832</v>
      </c>
      <c r="O377" s="12">
        <f t="shared" si="31"/>
        <v>0.25757638888888901</v>
      </c>
    </row>
    <row r="378" spans="1:15">
      <c r="A378" s="32">
        <v>45850</v>
      </c>
      <c r="B378">
        <v>103</v>
      </c>
      <c r="C378">
        <v>681100.00000000582</v>
      </c>
      <c r="D378">
        <v>5.73</v>
      </c>
      <c r="E378">
        <v>86.49</v>
      </c>
      <c r="F378">
        <v>115.54</v>
      </c>
      <c r="G378">
        <v>132.41</v>
      </c>
      <c r="H378" s="12">
        <v>1</v>
      </c>
      <c r="I378" s="12">
        <v>1</v>
      </c>
      <c r="J378" s="12">
        <v>1</v>
      </c>
      <c r="K378">
        <f t="shared" si="32"/>
        <v>63735800.000000037</v>
      </c>
      <c r="L378">
        <f t="shared" si="33"/>
        <v>11230.748000000001</v>
      </c>
      <c r="M378">
        <f t="shared" si="33"/>
        <v>12529.96</v>
      </c>
      <c r="N378" s="12">
        <f t="shared" si="30"/>
        <v>0.28379166666666911</v>
      </c>
      <c r="O378" s="12">
        <f t="shared" si="31"/>
        <v>0.25783090614886744</v>
      </c>
    </row>
    <row r="379" spans="1:15">
      <c r="A379" s="32">
        <v>45851</v>
      </c>
      <c r="B379">
        <v>104</v>
      </c>
      <c r="C379">
        <v>723799.99999998836</v>
      </c>
      <c r="D379">
        <v>5.9399999999999995</v>
      </c>
      <c r="E379">
        <v>93.87</v>
      </c>
      <c r="F379">
        <v>116.46</v>
      </c>
      <c r="G379">
        <v>131.6</v>
      </c>
      <c r="H379" s="12">
        <v>1</v>
      </c>
      <c r="I379" s="12">
        <v>1</v>
      </c>
      <c r="J379" s="12">
        <v>1</v>
      </c>
      <c r="K379">
        <f t="shared" si="32"/>
        <v>64459600.000000022</v>
      </c>
      <c r="L379">
        <f t="shared" si="33"/>
        <v>11347.208000000001</v>
      </c>
      <c r="M379">
        <f t="shared" si="33"/>
        <v>12661.56</v>
      </c>
      <c r="N379" s="12">
        <f t="shared" si="30"/>
        <v>0.30158333333332848</v>
      </c>
      <c r="O379" s="12">
        <f t="shared" si="31"/>
        <v>0.25825160256410268</v>
      </c>
    </row>
    <row r="380" spans="1:15">
      <c r="A380" s="32">
        <v>45852</v>
      </c>
      <c r="B380">
        <v>105</v>
      </c>
      <c r="C380">
        <v>666399.99999999418</v>
      </c>
      <c r="D380">
        <v>5.37</v>
      </c>
      <c r="E380">
        <v>93.3</v>
      </c>
      <c r="F380">
        <v>116.57</v>
      </c>
      <c r="G380">
        <v>131.39999999999998</v>
      </c>
      <c r="H380" s="12">
        <v>1</v>
      </c>
      <c r="I380" s="12">
        <v>1</v>
      </c>
      <c r="J380" s="12">
        <v>1</v>
      </c>
      <c r="K380">
        <f t="shared" si="32"/>
        <v>65126000.000000015</v>
      </c>
      <c r="L380">
        <f t="shared" si="33"/>
        <v>11463.778</v>
      </c>
      <c r="M380">
        <f t="shared" si="33"/>
        <v>12792.96</v>
      </c>
      <c r="N380" s="12">
        <f t="shared" si="30"/>
        <v>0.27766666666666423</v>
      </c>
      <c r="O380" s="12">
        <f t="shared" si="31"/>
        <v>0.25843650793650802</v>
      </c>
    </row>
    <row r="381" spans="1:15">
      <c r="A381" s="32">
        <v>45853</v>
      </c>
      <c r="B381">
        <v>106</v>
      </c>
      <c r="C381">
        <v>611000</v>
      </c>
      <c r="D381">
        <v>5.58</v>
      </c>
      <c r="E381">
        <v>91.14</v>
      </c>
      <c r="F381">
        <v>116.26</v>
      </c>
      <c r="G381">
        <v>130.5</v>
      </c>
      <c r="H381" s="12">
        <v>0.99851887434450182</v>
      </c>
      <c r="I381" s="12">
        <v>1</v>
      </c>
      <c r="J381" s="12">
        <v>1</v>
      </c>
      <c r="K381">
        <f t="shared" si="32"/>
        <v>65737000.000000015</v>
      </c>
      <c r="L381">
        <f t="shared" si="33"/>
        <v>11580.038</v>
      </c>
      <c r="M381">
        <f t="shared" si="33"/>
        <v>12923.46</v>
      </c>
      <c r="N381" s="12">
        <f t="shared" si="30"/>
        <v>0.25458333333333333</v>
      </c>
      <c r="O381" s="12">
        <f t="shared" si="31"/>
        <v>0.25840015723270449</v>
      </c>
    </row>
    <row r="382" spans="1:15">
      <c r="A382" s="32">
        <v>45854</v>
      </c>
      <c r="B382">
        <v>107</v>
      </c>
      <c r="C382">
        <v>382200.00000001164</v>
      </c>
      <c r="D382">
        <v>2.93</v>
      </c>
      <c r="E382">
        <v>75.569999999999993</v>
      </c>
      <c r="F382">
        <v>116.58</v>
      </c>
      <c r="G382">
        <v>130.38999999999999</v>
      </c>
      <c r="H382" s="12">
        <v>0.99821963268178404</v>
      </c>
      <c r="I382" s="12">
        <v>1</v>
      </c>
      <c r="J382" s="12">
        <v>1</v>
      </c>
      <c r="K382">
        <f t="shared" si="32"/>
        <v>66119200.00000003</v>
      </c>
      <c r="L382">
        <f t="shared" si="33"/>
        <v>11696.618</v>
      </c>
      <c r="M382">
        <f t="shared" si="33"/>
        <v>13053.849999999999</v>
      </c>
      <c r="N382" s="12">
        <f t="shared" si="30"/>
        <v>0.15925000000000486</v>
      </c>
      <c r="O382" s="12">
        <f t="shared" si="31"/>
        <v>0.25747352024922132</v>
      </c>
    </row>
    <row r="383" spans="1:15">
      <c r="A383" s="32">
        <v>45855</v>
      </c>
      <c r="B383">
        <v>108</v>
      </c>
      <c r="C383">
        <v>613100.00000000582</v>
      </c>
      <c r="D383">
        <v>5.05</v>
      </c>
      <c r="E383">
        <v>82.07</v>
      </c>
      <c r="F383">
        <v>115.53999999999999</v>
      </c>
      <c r="G383">
        <v>130.54999999999998</v>
      </c>
      <c r="H383" s="12">
        <v>1</v>
      </c>
      <c r="I383" s="12">
        <v>0.94222539229671809</v>
      </c>
      <c r="J383" s="12">
        <v>1</v>
      </c>
      <c r="K383">
        <f t="shared" si="32"/>
        <v>66732300.000000037</v>
      </c>
      <c r="L383">
        <f t="shared" si="33"/>
        <v>11812.158000000001</v>
      </c>
      <c r="M383">
        <f t="shared" si="33"/>
        <v>13184.399999999998</v>
      </c>
      <c r="N383" s="12">
        <f t="shared" si="30"/>
        <v>0.25545833333333579</v>
      </c>
      <c r="O383" s="12">
        <f t="shared" si="31"/>
        <v>0.25745486111111127</v>
      </c>
    </row>
    <row r="384" spans="1:15">
      <c r="A384" s="32">
        <v>45856</v>
      </c>
      <c r="B384">
        <v>109</v>
      </c>
      <c r="C384">
        <v>633199.99999998254</v>
      </c>
      <c r="D384">
        <v>5.085</v>
      </c>
      <c r="E384">
        <v>81.37</v>
      </c>
      <c r="F384">
        <v>116.86</v>
      </c>
      <c r="G384">
        <v>127.75</v>
      </c>
      <c r="H384" s="12">
        <v>1</v>
      </c>
      <c r="I384" s="12">
        <v>1</v>
      </c>
      <c r="J384" s="12">
        <v>1</v>
      </c>
      <c r="K384">
        <f t="shared" si="32"/>
        <v>67365500.000000015</v>
      </c>
      <c r="L384">
        <f t="shared" si="33"/>
        <v>11929.018000000002</v>
      </c>
      <c r="M384">
        <f t="shared" si="33"/>
        <v>13312.149999999998</v>
      </c>
      <c r="N384" s="12">
        <f t="shared" si="30"/>
        <v>0.26383333333332604</v>
      </c>
      <c r="O384" s="12">
        <f t="shared" si="31"/>
        <v>0.25751337920489303</v>
      </c>
    </row>
    <row r="385" spans="1:15">
      <c r="A385" s="32">
        <v>45857</v>
      </c>
      <c r="B385">
        <v>110</v>
      </c>
      <c r="C385">
        <v>709300.00000001746</v>
      </c>
      <c r="D385">
        <v>5.9749999999999996</v>
      </c>
      <c r="E385">
        <v>90.02</v>
      </c>
      <c r="F385">
        <v>116.95000000000002</v>
      </c>
      <c r="G385">
        <v>128.09</v>
      </c>
      <c r="H385" s="12">
        <v>1</v>
      </c>
      <c r="I385" s="12">
        <v>1</v>
      </c>
      <c r="J385" s="12">
        <v>1</v>
      </c>
      <c r="K385">
        <f t="shared" si="32"/>
        <v>68074800.00000003</v>
      </c>
      <c r="L385">
        <f t="shared" si="33"/>
        <v>12045.968000000003</v>
      </c>
      <c r="M385">
        <f t="shared" si="33"/>
        <v>13440.239999999998</v>
      </c>
      <c r="N385" s="12">
        <f t="shared" si="30"/>
        <v>0.29554166666667392</v>
      </c>
      <c r="O385" s="12">
        <f t="shared" si="31"/>
        <v>0.25785909090909104</v>
      </c>
    </row>
    <row r="386" spans="1:15">
      <c r="A386" s="32">
        <v>45858</v>
      </c>
      <c r="B386">
        <v>111</v>
      </c>
      <c r="C386">
        <v>363899.99999999418</v>
      </c>
      <c r="D386">
        <v>2.74</v>
      </c>
      <c r="E386">
        <v>61.9</v>
      </c>
      <c r="F386">
        <v>117.57000000000001</v>
      </c>
      <c r="G386">
        <v>126.12</v>
      </c>
      <c r="H386" s="12">
        <v>1</v>
      </c>
      <c r="I386" s="12">
        <v>1</v>
      </c>
      <c r="J386" s="12">
        <v>1</v>
      </c>
      <c r="K386">
        <f t="shared" si="32"/>
        <v>68438700.00000003</v>
      </c>
      <c r="L386">
        <f t="shared" si="33"/>
        <v>12163.538000000002</v>
      </c>
      <c r="M386">
        <f t="shared" si="33"/>
        <v>13566.359999999999</v>
      </c>
      <c r="N386" s="12">
        <f t="shared" si="30"/>
        <v>0.15162499999999757</v>
      </c>
      <c r="O386" s="12">
        <f t="shared" si="31"/>
        <v>0.25690202702702714</v>
      </c>
    </row>
    <row r="387" spans="1:15">
      <c r="A387" s="32">
        <v>45859</v>
      </c>
      <c r="B387">
        <v>112</v>
      </c>
      <c r="C387">
        <v>456799.99999998836</v>
      </c>
      <c r="D387">
        <v>3.6349999999999998</v>
      </c>
      <c r="E387">
        <v>86.96</v>
      </c>
      <c r="F387">
        <v>116.25</v>
      </c>
      <c r="G387">
        <v>131.15</v>
      </c>
      <c r="H387" s="12">
        <v>1</v>
      </c>
      <c r="I387" s="12">
        <v>1</v>
      </c>
      <c r="J387" s="12">
        <v>1</v>
      </c>
      <c r="K387">
        <f t="shared" si="32"/>
        <v>68895500.000000015</v>
      </c>
      <c r="L387">
        <f t="shared" si="33"/>
        <v>12279.788000000002</v>
      </c>
      <c r="M387">
        <f t="shared" si="33"/>
        <v>13697.509999999998</v>
      </c>
      <c r="N387" s="12">
        <f t="shared" si="30"/>
        <v>0.19033333333332847</v>
      </c>
      <c r="O387" s="12">
        <f t="shared" si="31"/>
        <v>0.25630766369047625</v>
      </c>
    </row>
    <row r="388" spans="1:15">
      <c r="A388" s="32">
        <v>45860</v>
      </c>
      <c r="B388">
        <v>113</v>
      </c>
      <c r="C388">
        <v>467400.00000002328</v>
      </c>
      <c r="D388">
        <v>3.72</v>
      </c>
      <c r="E388">
        <v>73.540000000000006</v>
      </c>
      <c r="F388">
        <v>116.53999999999999</v>
      </c>
      <c r="G388">
        <v>128.76</v>
      </c>
      <c r="H388" s="12">
        <v>1</v>
      </c>
      <c r="I388" s="12">
        <v>1</v>
      </c>
      <c r="J388" s="12">
        <v>1</v>
      </c>
      <c r="K388">
        <f t="shared" si="32"/>
        <v>69362900.000000045</v>
      </c>
      <c r="L388">
        <f t="shared" si="33"/>
        <v>12396.328000000003</v>
      </c>
      <c r="M388">
        <f t="shared" si="33"/>
        <v>13826.269999999999</v>
      </c>
      <c r="N388" s="12">
        <f t="shared" si="30"/>
        <v>0.19475000000000969</v>
      </c>
      <c r="O388" s="12">
        <f t="shared" si="31"/>
        <v>0.25576290560471993</v>
      </c>
    </row>
    <row r="389" spans="1:15">
      <c r="A389" s="32">
        <v>45861</v>
      </c>
      <c r="B389">
        <v>114</v>
      </c>
      <c r="C389">
        <v>630499.9999999709</v>
      </c>
      <c r="D389">
        <v>5.1400000000000006</v>
      </c>
      <c r="E389">
        <v>84.22</v>
      </c>
      <c r="F389">
        <v>116.41000000000001</v>
      </c>
      <c r="G389">
        <v>131.4</v>
      </c>
      <c r="H389" s="12">
        <v>1</v>
      </c>
      <c r="I389" s="12">
        <v>1</v>
      </c>
      <c r="J389" s="12">
        <v>1</v>
      </c>
      <c r="K389">
        <f t="shared" si="32"/>
        <v>69993400.000000015</v>
      </c>
      <c r="L389">
        <f t="shared" si="33"/>
        <v>12512.738000000003</v>
      </c>
      <c r="M389">
        <f t="shared" si="33"/>
        <v>13957.669999999998</v>
      </c>
      <c r="N389" s="12">
        <f t="shared" si="30"/>
        <v>0.26270833333332122</v>
      </c>
      <c r="O389" s="12">
        <f t="shared" si="31"/>
        <v>0.2558238304093568</v>
      </c>
    </row>
    <row r="390" spans="1:15">
      <c r="A390" s="32">
        <v>45862</v>
      </c>
      <c r="B390">
        <v>115</v>
      </c>
      <c r="C390">
        <v>466799.99999998836</v>
      </c>
      <c r="D390">
        <v>3.6349999999999998</v>
      </c>
      <c r="E390">
        <v>71.88</v>
      </c>
      <c r="F390">
        <v>116.63000000000001</v>
      </c>
      <c r="G390">
        <v>130.35999999999999</v>
      </c>
      <c r="H390" s="12">
        <v>1</v>
      </c>
      <c r="I390" s="12">
        <v>1</v>
      </c>
      <c r="J390" s="12">
        <v>1</v>
      </c>
      <c r="K390">
        <f t="shared" si="32"/>
        <v>70460200</v>
      </c>
      <c r="L390">
        <f t="shared" si="33"/>
        <v>12629.368000000002</v>
      </c>
      <c r="M390">
        <f t="shared" si="33"/>
        <v>14088.029999999999</v>
      </c>
      <c r="N390" s="12">
        <f t="shared" si="30"/>
        <v>0.19449999999999515</v>
      </c>
      <c r="O390" s="12">
        <f t="shared" si="31"/>
        <v>0.2552905797101449</v>
      </c>
    </row>
    <row r="391" spans="1:15">
      <c r="A391" s="32">
        <v>45863</v>
      </c>
      <c r="B391">
        <v>116</v>
      </c>
      <c r="C391">
        <v>281500.0000000291</v>
      </c>
      <c r="D391">
        <v>1.67</v>
      </c>
      <c r="E391">
        <v>42.29</v>
      </c>
      <c r="F391">
        <v>95.259999999999991</v>
      </c>
      <c r="G391">
        <v>54.93</v>
      </c>
      <c r="H391" s="12">
        <v>1</v>
      </c>
      <c r="I391" s="12">
        <v>1</v>
      </c>
      <c r="J391" s="12">
        <v>1</v>
      </c>
      <c r="K391">
        <f t="shared" si="32"/>
        <v>70741700.00000003</v>
      </c>
      <c r="L391">
        <f t="shared" si="33"/>
        <v>12724.628000000002</v>
      </c>
      <c r="M391">
        <f t="shared" si="33"/>
        <v>14142.96</v>
      </c>
      <c r="N391" s="12">
        <f t="shared" si="30"/>
        <v>0.1172916666666788</v>
      </c>
      <c r="O391" s="12">
        <f t="shared" si="31"/>
        <v>0.25410093390804611</v>
      </c>
    </row>
    <row r="392" spans="1:15">
      <c r="A392" s="32">
        <v>45864</v>
      </c>
      <c r="B392">
        <v>117</v>
      </c>
      <c r="C392">
        <v>143099.99999997672</v>
      </c>
      <c r="D392">
        <v>1.0550000000000002</v>
      </c>
      <c r="E392">
        <v>41.95</v>
      </c>
      <c r="F392">
        <v>12.85</v>
      </c>
      <c r="G392">
        <v>14.19</v>
      </c>
      <c r="H392" s="12">
        <v>1</v>
      </c>
      <c r="I392" s="12">
        <v>1</v>
      </c>
      <c r="J392" s="12">
        <v>1</v>
      </c>
      <c r="K392">
        <f t="shared" si="32"/>
        <v>70884800</v>
      </c>
      <c r="L392">
        <f t="shared" si="33"/>
        <v>12737.478000000003</v>
      </c>
      <c r="M392">
        <f t="shared" si="33"/>
        <v>14157.15</v>
      </c>
      <c r="N392" s="12">
        <f t="shared" si="30"/>
        <v>5.9624999999990297E-2</v>
      </c>
      <c r="O392" s="12">
        <f t="shared" si="31"/>
        <v>0.25243874643874642</v>
      </c>
    </row>
    <row r="393" spans="1:15">
      <c r="A393" s="32">
        <v>45865</v>
      </c>
      <c r="B393">
        <v>118</v>
      </c>
      <c r="C393">
        <v>339200.00000001164</v>
      </c>
      <c r="D393">
        <v>2.69</v>
      </c>
      <c r="E393">
        <v>61.05</v>
      </c>
      <c r="F393">
        <v>73.569999999999993</v>
      </c>
      <c r="G393">
        <v>109.47</v>
      </c>
      <c r="H393" s="12">
        <v>0.99877834943624411</v>
      </c>
      <c r="I393" s="12">
        <v>1</v>
      </c>
      <c r="J393" s="12">
        <v>1</v>
      </c>
      <c r="K393">
        <f t="shared" si="32"/>
        <v>71224000.000000015</v>
      </c>
      <c r="L393">
        <f t="shared" si="33"/>
        <v>12811.048000000003</v>
      </c>
      <c r="M393">
        <f t="shared" si="33"/>
        <v>14266.619999999999</v>
      </c>
      <c r="N393" s="12">
        <f t="shared" si="30"/>
        <v>0.1413333333333382</v>
      </c>
      <c r="O393" s="12">
        <f t="shared" si="31"/>
        <v>0.25149717514124298</v>
      </c>
    </row>
    <row r="394" spans="1:15">
      <c r="A394" s="32">
        <v>45866</v>
      </c>
      <c r="B394">
        <v>119</v>
      </c>
      <c r="C394">
        <v>431000</v>
      </c>
      <c r="D394">
        <v>3.4050000000000002</v>
      </c>
      <c r="E394">
        <v>89.76</v>
      </c>
      <c r="F394">
        <v>98.2</v>
      </c>
      <c r="G394">
        <v>108.13999999999999</v>
      </c>
      <c r="H394" s="12">
        <v>0.99935649935649939</v>
      </c>
      <c r="I394" s="12">
        <v>1</v>
      </c>
      <c r="J394" s="12">
        <v>1</v>
      </c>
      <c r="K394">
        <f t="shared" si="32"/>
        <v>71655000.000000015</v>
      </c>
      <c r="L394">
        <f t="shared" si="33"/>
        <v>12909.248000000003</v>
      </c>
      <c r="M394">
        <f t="shared" si="33"/>
        <v>14374.759999999998</v>
      </c>
      <c r="N394" s="12">
        <f t="shared" si="30"/>
        <v>0.17958333333333334</v>
      </c>
      <c r="O394" s="12">
        <f t="shared" si="31"/>
        <v>0.2508928571428572</v>
      </c>
    </row>
    <row r="395" spans="1:15">
      <c r="A395" s="32">
        <v>45867</v>
      </c>
      <c r="B395">
        <v>120</v>
      </c>
      <c r="C395">
        <v>219800.00000001746</v>
      </c>
      <c r="D395">
        <v>1.4849999999999999</v>
      </c>
      <c r="E395">
        <v>39.83</v>
      </c>
      <c r="F395">
        <v>50.589999999999996</v>
      </c>
      <c r="G395">
        <v>30.11</v>
      </c>
      <c r="H395" s="12">
        <v>0.99935649935649939</v>
      </c>
      <c r="I395" s="12">
        <v>1</v>
      </c>
      <c r="J395" s="12">
        <v>1</v>
      </c>
      <c r="K395">
        <f t="shared" si="32"/>
        <v>71874800.00000003</v>
      </c>
      <c r="L395">
        <f t="shared" si="33"/>
        <v>12959.838000000003</v>
      </c>
      <c r="M395">
        <f t="shared" si="33"/>
        <v>14404.869999999999</v>
      </c>
      <c r="N395" s="12">
        <f t="shared" si="30"/>
        <v>9.1583333333340608E-2</v>
      </c>
      <c r="O395" s="12">
        <f t="shared" si="31"/>
        <v>0.24956527777777787</v>
      </c>
    </row>
    <row r="396" spans="1:15">
      <c r="A396" s="32">
        <v>45868</v>
      </c>
      <c r="B396">
        <v>121</v>
      </c>
      <c r="C396">
        <v>364799.99999998836</v>
      </c>
      <c r="D396">
        <v>3.24</v>
      </c>
      <c r="E396">
        <v>94.08</v>
      </c>
      <c r="F396">
        <v>73.849999999999994</v>
      </c>
      <c r="G396">
        <v>121.32000000000002</v>
      </c>
      <c r="H396" s="12">
        <v>1</v>
      </c>
      <c r="I396" s="12">
        <v>1</v>
      </c>
      <c r="J396" s="12">
        <v>1</v>
      </c>
      <c r="K396">
        <f t="shared" si="32"/>
        <v>72239600.000000015</v>
      </c>
      <c r="L396">
        <f t="shared" si="33"/>
        <v>13033.688000000004</v>
      </c>
      <c r="M396">
        <f t="shared" si="33"/>
        <v>14526.189999999999</v>
      </c>
      <c r="N396" s="12">
        <f t="shared" si="30"/>
        <v>0.15199999999999514</v>
      </c>
      <c r="O396" s="12">
        <f t="shared" si="31"/>
        <v>0.24875895316804414</v>
      </c>
    </row>
    <row r="397" spans="1:15">
      <c r="A397" s="32">
        <v>45869</v>
      </c>
      <c r="B397">
        <v>122</v>
      </c>
      <c r="C397">
        <v>680799.99999998836</v>
      </c>
      <c r="D397">
        <v>5.7650000000000006</v>
      </c>
      <c r="E397">
        <v>96.43</v>
      </c>
      <c r="F397">
        <v>108.38999999999999</v>
      </c>
      <c r="G397">
        <v>131.31</v>
      </c>
      <c r="H397" s="12">
        <v>1</v>
      </c>
      <c r="I397" s="12">
        <v>1</v>
      </c>
      <c r="J397" s="12">
        <v>1</v>
      </c>
      <c r="K397">
        <f t="shared" si="32"/>
        <v>72920400</v>
      </c>
      <c r="L397">
        <f t="shared" si="33"/>
        <v>13142.078000000003</v>
      </c>
      <c r="M397">
        <f t="shared" si="33"/>
        <v>14657.499999999998</v>
      </c>
      <c r="N397" s="12">
        <f t="shared" si="30"/>
        <v>0.28366666666666179</v>
      </c>
      <c r="O397" s="12">
        <f t="shared" si="31"/>
        <v>0.24904508196721312</v>
      </c>
    </row>
    <row r="398" spans="1:15">
      <c r="A398" s="32">
        <v>45870</v>
      </c>
      <c r="B398">
        <v>123</v>
      </c>
      <c r="C398">
        <v>801300.00000001746</v>
      </c>
      <c r="D398">
        <v>6.6750000000000007</v>
      </c>
      <c r="E398">
        <v>93.43</v>
      </c>
      <c r="F398">
        <v>118.14</v>
      </c>
      <c r="G398">
        <v>131.47</v>
      </c>
      <c r="H398" s="12">
        <v>1</v>
      </c>
      <c r="I398" s="12">
        <v>1</v>
      </c>
      <c r="J398" s="12">
        <v>1</v>
      </c>
      <c r="K398">
        <f t="shared" si="32"/>
        <v>73721700.000000015</v>
      </c>
      <c r="L398">
        <f t="shared" si="33"/>
        <v>13260.218000000003</v>
      </c>
      <c r="M398">
        <f t="shared" si="33"/>
        <v>14788.969999999998</v>
      </c>
      <c r="N398" s="12">
        <f t="shared" ref="N398:N461" si="34">C398/(100000*24)</f>
        <v>0.33387500000000725</v>
      </c>
      <c r="O398" s="12">
        <f t="shared" ref="O398:O462" si="35">K398/(B398*100000*24)</f>
        <v>0.24973475609756102</v>
      </c>
    </row>
    <row r="399" spans="1:15">
      <c r="A399" s="32">
        <v>45871</v>
      </c>
      <c r="B399">
        <v>124</v>
      </c>
      <c r="C399">
        <v>566600.00000000582</v>
      </c>
      <c r="D399">
        <v>4.68</v>
      </c>
      <c r="E399">
        <v>86.93</v>
      </c>
      <c r="F399">
        <v>116.11999999999999</v>
      </c>
      <c r="G399">
        <v>131</v>
      </c>
      <c r="H399" s="12">
        <v>0.99975339330808077</v>
      </c>
      <c r="I399" s="12">
        <v>1</v>
      </c>
      <c r="J399" s="12">
        <v>1</v>
      </c>
      <c r="K399">
        <f t="shared" ref="K399:K462" si="36">K398+C399</f>
        <v>74288300.000000015</v>
      </c>
      <c r="L399">
        <f t="shared" ref="L399:M462" si="37">L398+F399</f>
        <v>13376.338000000003</v>
      </c>
      <c r="M399">
        <f t="shared" si="37"/>
        <v>14919.969999999998</v>
      </c>
      <c r="N399" s="12">
        <f t="shared" si="34"/>
        <v>0.23608333333333575</v>
      </c>
      <c r="O399" s="12">
        <f t="shared" si="35"/>
        <v>0.24962466397849467</v>
      </c>
    </row>
    <row r="400" spans="1:15">
      <c r="A400" s="32">
        <v>45872</v>
      </c>
      <c r="B400">
        <v>125</v>
      </c>
      <c r="C400">
        <v>800700.00000001164</v>
      </c>
      <c r="D400">
        <v>6.6099999999999994</v>
      </c>
      <c r="E400">
        <v>90.07</v>
      </c>
      <c r="F400">
        <v>116.62</v>
      </c>
      <c r="G400">
        <v>130.82999999999998</v>
      </c>
      <c r="H400" s="12">
        <v>1</v>
      </c>
      <c r="I400" s="12">
        <v>1</v>
      </c>
      <c r="J400" s="12">
        <v>1</v>
      </c>
      <c r="K400">
        <f t="shared" si="36"/>
        <v>75089000.00000003</v>
      </c>
      <c r="L400">
        <f t="shared" si="37"/>
        <v>13492.958000000004</v>
      </c>
      <c r="M400">
        <f t="shared" si="37"/>
        <v>15050.799999999997</v>
      </c>
      <c r="N400" s="12">
        <f t="shared" si="34"/>
        <v>0.33362500000000483</v>
      </c>
      <c r="O400" s="12">
        <f t="shared" si="35"/>
        <v>0.25029666666666678</v>
      </c>
    </row>
    <row r="401" spans="1:15">
      <c r="A401" s="32">
        <v>45873</v>
      </c>
      <c r="B401">
        <v>126</v>
      </c>
      <c r="C401">
        <v>604999.9999999709</v>
      </c>
      <c r="D401">
        <v>4.32</v>
      </c>
      <c r="E401">
        <v>82.57</v>
      </c>
      <c r="F401">
        <v>158.27000000000001</v>
      </c>
      <c r="G401">
        <v>130.47999999999999</v>
      </c>
      <c r="H401" s="12">
        <v>1</v>
      </c>
      <c r="I401" s="12">
        <v>1</v>
      </c>
      <c r="J401" s="12">
        <v>1</v>
      </c>
      <c r="K401">
        <f t="shared" si="36"/>
        <v>75694000</v>
      </c>
      <c r="L401">
        <f t="shared" si="37"/>
        <v>13651.228000000005</v>
      </c>
      <c r="M401">
        <f t="shared" si="37"/>
        <v>15181.279999999997</v>
      </c>
      <c r="N401" s="12">
        <f t="shared" si="34"/>
        <v>0.25208333333332122</v>
      </c>
      <c r="O401" s="12">
        <f t="shared" si="35"/>
        <v>0.25031084656084657</v>
      </c>
    </row>
    <row r="402" spans="1:15">
      <c r="A402" s="32">
        <v>45874</v>
      </c>
      <c r="B402">
        <v>127</v>
      </c>
      <c r="C402">
        <v>711100.00000000582</v>
      </c>
      <c r="D402">
        <v>6.0500000000000007</v>
      </c>
      <c r="E402">
        <v>87.52</v>
      </c>
      <c r="F402">
        <v>116.69</v>
      </c>
      <c r="G402">
        <v>130.68</v>
      </c>
      <c r="H402" s="12">
        <v>1</v>
      </c>
      <c r="I402" s="12">
        <v>1</v>
      </c>
      <c r="J402" s="12">
        <v>1</v>
      </c>
      <c r="K402">
        <f t="shared" si="36"/>
        <v>76405100</v>
      </c>
      <c r="L402">
        <f t="shared" si="37"/>
        <v>13767.918000000005</v>
      </c>
      <c r="M402">
        <f t="shared" si="37"/>
        <v>15311.959999999997</v>
      </c>
      <c r="N402" s="12">
        <f t="shared" si="34"/>
        <v>0.29629166666666912</v>
      </c>
      <c r="O402" s="12">
        <f t="shared" si="35"/>
        <v>0.25067290026246719</v>
      </c>
    </row>
    <row r="403" spans="1:15">
      <c r="A403" s="32">
        <v>45875</v>
      </c>
      <c r="B403">
        <v>128</v>
      </c>
      <c r="C403">
        <v>737299.99999998836</v>
      </c>
      <c r="D403">
        <v>6.32</v>
      </c>
      <c r="E403">
        <v>91.5</v>
      </c>
      <c r="F403">
        <v>116.52</v>
      </c>
      <c r="G403">
        <v>128.05000000000001</v>
      </c>
      <c r="H403" s="12">
        <v>1</v>
      </c>
      <c r="I403" s="12">
        <v>1</v>
      </c>
      <c r="J403" s="12">
        <v>1</v>
      </c>
      <c r="K403">
        <f t="shared" si="36"/>
        <v>77142399.999999985</v>
      </c>
      <c r="L403">
        <f t="shared" si="37"/>
        <v>13884.438000000006</v>
      </c>
      <c r="M403">
        <f t="shared" si="37"/>
        <v>15440.009999999997</v>
      </c>
      <c r="N403" s="12">
        <f t="shared" si="34"/>
        <v>0.30720833333332848</v>
      </c>
      <c r="O403" s="12">
        <f t="shared" si="35"/>
        <v>0.25111458333333331</v>
      </c>
    </row>
    <row r="404" spans="1:15">
      <c r="A404" s="32">
        <v>45876</v>
      </c>
      <c r="B404">
        <v>129</v>
      </c>
      <c r="C404">
        <v>347700.00000001164</v>
      </c>
      <c r="D404">
        <v>2.7</v>
      </c>
      <c r="E404">
        <v>77.05</v>
      </c>
      <c r="F404">
        <v>52.859999999999992</v>
      </c>
      <c r="G404">
        <v>54.599999999999994</v>
      </c>
      <c r="H404" s="12">
        <v>1</v>
      </c>
      <c r="I404" s="12">
        <v>1</v>
      </c>
      <c r="J404" s="12">
        <v>1</v>
      </c>
      <c r="K404">
        <f t="shared" si="36"/>
        <v>77490100</v>
      </c>
      <c r="L404">
        <f t="shared" si="37"/>
        <v>13937.298000000006</v>
      </c>
      <c r="M404">
        <f t="shared" si="37"/>
        <v>15494.609999999997</v>
      </c>
      <c r="N404" s="12">
        <f t="shared" si="34"/>
        <v>0.14487500000000486</v>
      </c>
      <c r="O404" s="12">
        <f t="shared" si="35"/>
        <v>0.25029102067183462</v>
      </c>
    </row>
    <row r="405" spans="1:15">
      <c r="A405" s="32">
        <v>45877</v>
      </c>
      <c r="B405">
        <v>130</v>
      </c>
      <c r="C405">
        <v>547600.00000000582</v>
      </c>
      <c r="D405">
        <v>4.34</v>
      </c>
      <c r="E405">
        <v>94.02</v>
      </c>
      <c r="F405">
        <v>116.37</v>
      </c>
      <c r="G405">
        <v>128.66</v>
      </c>
      <c r="H405" s="12">
        <v>1</v>
      </c>
      <c r="I405" s="12">
        <v>1</v>
      </c>
      <c r="J405" s="12">
        <v>1</v>
      </c>
      <c r="K405">
        <f t="shared" si="36"/>
        <v>78037700</v>
      </c>
      <c r="L405">
        <f t="shared" si="37"/>
        <v>14053.668000000007</v>
      </c>
      <c r="M405">
        <f t="shared" si="37"/>
        <v>15623.269999999997</v>
      </c>
      <c r="N405" s="12">
        <f t="shared" si="34"/>
        <v>0.2281666666666691</v>
      </c>
      <c r="O405" s="12">
        <f t="shared" si="35"/>
        <v>0.25012083333333335</v>
      </c>
    </row>
    <row r="406" spans="1:15">
      <c r="A406" s="32">
        <v>45878</v>
      </c>
      <c r="B406">
        <v>131</v>
      </c>
      <c r="C406">
        <v>676600.00000000582</v>
      </c>
      <c r="D406">
        <v>5.79</v>
      </c>
      <c r="E406">
        <v>93.11</v>
      </c>
      <c r="F406">
        <v>116.67999999999999</v>
      </c>
      <c r="G406">
        <v>127.54</v>
      </c>
      <c r="H406" s="12">
        <v>1</v>
      </c>
      <c r="I406" s="12">
        <v>1</v>
      </c>
      <c r="J406" s="12">
        <v>1</v>
      </c>
      <c r="K406">
        <f t="shared" si="36"/>
        <v>78714300</v>
      </c>
      <c r="L406">
        <f t="shared" si="37"/>
        <v>14170.348000000007</v>
      </c>
      <c r="M406">
        <f t="shared" si="37"/>
        <v>15750.809999999998</v>
      </c>
      <c r="N406" s="12">
        <f t="shared" si="34"/>
        <v>0.28191666666666909</v>
      </c>
      <c r="O406" s="12">
        <f t="shared" si="35"/>
        <v>0.25036354961832064</v>
      </c>
    </row>
    <row r="407" spans="1:15">
      <c r="A407" s="32">
        <v>45879</v>
      </c>
      <c r="B407">
        <v>132</v>
      </c>
      <c r="C407">
        <v>718799.99999998836</v>
      </c>
      <c r="D407">
        <v>6.0350000000000001</v>
      </c>
      <c r="E407">
        <v>94.72</v>
      </c>
      <c r="F407">
        <v>116.56</v>
      </c>
      <c r="G407">
        <v>129.17999999999998</v>
      </c>
      <c r="H407" s="12">
        <v>0.99980063795853269</v>
      </c>
      <c r="I407" s="12">
        <v>1</v>
      </c>
      <c r="J407" s="12">
        <v>1</v>
      </c>
      <c r="K407">
        <f t="shared" si="36"/>
        <v>79433099.999999985</v>
      </c>
      <c r="L407">
        <f t="shared" si="37"/>
        <v>14286.908000000007</v>
      </c>
      <c r="M407">
        <f t="shared" si="37"/>
        <v>15879.989999999998</v>
      </c>
      <c r="N407" s="12">
        <f t="shared" si="34"/>
        <v>0.29949999999999516</v>
      </c>
      <c r="O407" s="12">
        <f t="shared" si="35"/>
        <v>0.25073579545454538</v>
      </c>
    </row>
    <row r="408" spans="1:15">
      <c r="A408" s="32">
        <v>45880</v>
      </c>
      <c r="B408">
        <v>133</v>
      </c>
      <c r="C408">
        <v>732799.99999998836</v>
      </c>
      <c r="D408">
        <v>5.99</v>
      </c>
      <c r="E408">
        <v>93.83</v>
      </c>
      <c r="F408">
        <v>116.12999999999998</v>
      </c>
      <c r="G408">
        <v>127.94</v>
      </c>
      <c r="H408" s="12">
        <v>1</v>
      </c>
      <c r="I408" s="12">
        <v>1</v>
      </c>
      <c r="J408" s="12">
        <v>1</v>
      </c>
      <c r="K408">
        <f t="shared" si="36"/>
        <v>80165899.99999997</v>
      </c>
      <c r="L408">
        <f t="shared" si="37"/>
        <v>14403.038000000006</v>
      </c>
      <c r="M408">
        <f t="shared" si="37"/>
        <v>16007.929999999998</v>
      </c>
      <c r="N408" s="12">
        <f t="shared" si="34"/>
        <v>0.30533333333332846</v>
      </c>
      <c r="O408" s="12">
        <f t="shared" si="35"/>
        <v>0.25114630325814524</v>
      </c>
    </row>
    <row r="409" spans="1:15">
      <c r="A409" s="32">
        <v>45881</v>
      </c>
      <c r="B409">
        <v>134</v>
      </c>
      <c r="C409">
        <v>635100.00000000582</v>
      </c>
      <c r="D409">
        <v>4.93</v>
      </c>
      <c r="E409">
        <v>86.8</v>
      </c>
      <c r="F409">
        <v>116.32000000000001</v>
      </c>
      <c r="G409">
        <v>127.73</v>
      </c>
      <c r="H409" s="12">
        <v>1</v>
      </c>
      <c r="I409" s="12">
        <v>1</v>
      </c>
      <c r="J409" s="12">
        <v>1</v>
      </c>
      <c r="K409">
        <f t="shared" si="36"/>
        <v>80800999.99999997</v>
      </c>
      <c r="L409">
        <f t="shared" si="37"/>
        <v>14519.358000000006</v>
      </c>
      <c r="M409">
        <f t="shared" si="37"/>
        <v>16135.659999999998</v>
      </c>
      <c r="N409" s="12">
        <f t="shared" si="34"/>
        <v>0.26462500000000244</v>
      </c>
      <c r="O409" s="12">
        <f t="shared" si="35"/>
        <v>0.25124689054726357</v>
      </c>
    </row>
    <row r="410" spans="1:15">
      <c r="A410" s="32">
        <v>45882</v>
      </c>
      <c r="B410">
        <v>135</v>
      </c>
      <c r="C410">
        <v>448200.00000001164</v>
      </c>
      <c r="D410">
        <v>3.3250000000000002</v>
      </c>
      <c r="E410">
        <v>86.2</v>
      </c>
      <c r="F410">
        <v>96.259999999999991</v>
      </c>
      <c r="G410">
        <v>106.12</v>
      </c>
      <c r="H410" s="12">
        <v>1</v>
      </c>
      <c r="I410" s="12">
        <v>1</v>
      </c>
      <c r="J410" s="12">
        <v>1</v>
      </c>
      <c r="K410">
        <f t="shared" si="36"/>
        <v>81249199.999999985</v>
      </c>
      <c r="L410">
        <f t="shared" si="37"/>
        <v>14615.618000000006</v>
      </c>
      <c r="M410">
        <f t="shared" si="37"/>
        <v>16241.779999999999</v>
      </c>
      <c r="N410" s="12">
        <f t="shared" si="34"/>
        <v>0.18675000000000486</v>
      </c>
      <c r="O410" s="12">
        <f t="shared" si="35"/>
        <v>0.25076913580246907</v>
      </c>
    </row>
    <row r="411" spans="1:15">
      <c r="A411" s="32">
        <v>45883</v>
      </c>
      <c r="B411">
        <v>136</v>
      </c>
      <c r="C411">
        <v>588199.99999998254</v>
      </c>
      <c r="D411">
        <v>4.76</v>
      </c>
      <c r="E411">
        <v>90.44</v>
      </c>
      <c r="F411">
        <v>116.65</v>
      </c>
      <c r="G411">
        <v>129.16999999999999</v>
      </c>
      <c r="H411" s="12">
        <v>1</v>
      </c>
      <c r="I411" s="12">
        <v>1</v>
      </c>
      <c r="J411" s="12">
        <v>1</v>
      </c>
      <c r="K411">
        <f t="shared" si="36"/>
        <v>81837399.99999997</v>
      </c>
      <c r="L411">
        <f t="shared" si="37"/>
        <v>14732.268000000005</v>
      </c>
      <c r="M411">
        <f t="shared" si="37"/>
        <v>16370.949999999999</v>
      </c>
      <c r="N411" s="12">
        <f t="shared" si="34"/>
        <v>0.24508333333332605</v>
      </c>
      <c r="O411" s="12">
        <f t="shared" si="35"/>
        <v>0.25072732843137246</v>
      </c>
    </row>
    <row r="412" spans="1:15">
      <c r="A412" s="32">
        <v>45884</v>
      </c>
      <c r="B412">
        <v>137</v>
      </c>
      <c r="C412">
        <v>295400.00000002328</v>
      </c>
      <c r="D412">
        <v>2.4500000000000002</v>
      </c>
      <c r="E412">
        <v>81.239999999999995</v>
      </c>
      <c r="F412">
        <v>59.35</v>
      </c>
      <c r="G412">
        <v>64.86</v>
      </c>
      <c r="H412" s="12">
        <v>1</v>
      </c>
      <c r="I412" s="12">
        <v>1</v>
      </c>
      <c r="J412" s="12">
        <v>1</v>
      </c>
      <c r="K412">
        <f t="shared" si="36"/>
        <v>82132800</v>
      </c>
      <c r="L412">
        <f t="shared" si="37"/>
        <v>14791.618000000006</v>
      </c>
      <c r="M412">
        <f t="shared" si="37"/>
        <v>16435.809999999998</v>
      </c>
      <c r="N412" s="12">
        <f t="shared" si="34"/>
        <v>0.12308333333334304</v>
      </c>
      <c r="O412" s="12">
        <f t="shared" si="35"/>
        <v>0.2497956204379562</v>
      </c>
    </row>
    <row r="413" spans="1:15">
      <c r="A413" s="32">
        <v>45885</v>
      </c>
      <c r="B413">
        <v>138</v>
      </c>
      <c r="C413">
        <v>459599.99999997672</v>
      </c>
      <c r="D413">
        <v>3.12</v>
      </c>
      <c r="E413">
        <v>85.12</v>
      </c>
      <c r="F413">
        <v>115.71</v>
      </c>
      <c r="G413">
        <v>128.37</v>
      </c>
      <c r="H413" s="12">
        <v>1</v>
      </c>
      <c r="I413" s="12">
        <v>1</v>
      </c>
      <c r="J413" s="12">
        <v>1</v>
      </c>
      <c r="K413">
        <f t="shared" si="36"/>
        <v>82592399.99999997</v>
      </c>
      <c r="L413">
        <f t="shared" si="37"/>
        <v>14907.328000000005</v>
      </c>
      <c r="M413">
        <f t="shared" si="37"/>
        <v>16564.179999999997</v>
      </c>
      <c r="N413" s="12">
        <f t="shared" si="34"/>
        <v>0.19149999999999029</v>
      </c>
      <c r="O413" s="12">
        <f t="shared" si="35"/>
        <v>0.249373188405797</v>
      </c>
    </row>
    <row r="414" spans="1:15">
      <c r="A414" s="32">
        <v>45886</v>
      </c>
      <c r="B414">
        <v>139</v>
      </c>
      <c r="C414">
        <v>545500.0000000291</v>
      </c>
      <c r="D414">
        <v>4.08</v>
      </c>
      <c r="E414">
        <v>96.54</v>
      </c>
      <c r="F414">
        <v>116.64</v>
      </c>
      <c r="G414">
        <v>129.49</v>
      </c>
      <c r="H414" s="12">
        <v>1</v>
      </c>
      <c r="I414" s="12">
        <v>1</v>
      </c>
      <c r="J414" s="12">
        <v>1</v>
      </c>
      <c r="K414">
        <f t="shared" si="36"/>
        <v>83137900</v>
      </c>
      <c r="L414">
        <f t="shared" si="37"/>
        <v>15023.968000000004</v>
      </c>
      <c r="M414">
        <f t="shared" si="37"/>
        <v>16693.669999999998</v>
      </c>
      <c r="N414" s="12">
        <f t="shared" si="34"/>
        <v>0.2272916666666788</v>
      </c>
      <c r="O414" s="12">
        <f t="shared" si="35"/>
        <v>0.24921432853717027</v>
      </c>
    </row>
    <row r="415" spans="1:15">
      <c r="A415" s="32">
        <v>45887</v>
      </c>
      <c r="B415">
        <v>140</v>
      </c>
      <c r="C415">
        <v>489299.99999998836</v>
      </c>
      <c r="D415">
        <v>3.6</v>
      </c>
      <c r="E415">
        <v>89.55</v>
      </c>
      <c r="F415">
        <v>114.39</v>
      </c>
      <c r="G415">
        <v>128.45999999999998</v>
      </c>
      <c r="H415" s="12">
        <v>0.99907554410865673</v>
      </c>
      <c r="I415" s="12">
        <v>1</v>
      </c>
      <c r="J415" s="12">
        <v>0.99870343990021659</v>
      </c>
      <c r="K415">
        <f t="shared" si="36"/>
        <v>83627199.999999985</v>
      </c>
      <c r="L415">
        <f t="shared" si="37"/>
        <v>15138.358000000004</v>
      </c>
      <c r="M415">
        <f t="shared" si="37"/>
        <v>16822.129999999997</v>
      </c>
      <c r="N415" s="12">
        <f t="shared" si="34"/>
        <v>0.20387499999999514</v>
      </c>
      <c r="O415" s="12">
        <f t="shared" si="35"/>
        <v>0.24889047619047613</v>
      </c>
    </row>
    <row r="416" spans="1:15">
      <c r="A416" s="32">
        <v>45888</v>
      </c>
      <c r="B416">
        <v>141</v>
      </c>
      <c r="C416">
        <v>253799.99999998836</v>
      </c>
      <c r="D416">
        <v>2.0099999999999998</v>
      </c>
      <c r="E416">
        <v>78.64</v>
      </c>
      <c r="F416">
        <v>53.16</v>
      </c>
      <c r="G416">
        <v>57.92</v>
      </c>
      <c r="H416" s="12">
        <v>1</v>
      </c>
      <c r="I416" s="12">
        <v>1</v>
      </c>
      <c r="J416" s="12">
        <v>1</v>
      </c>
      <c r="K416">
        <f t="shared" si="36"/>
        <v>83880999.99999997</v>
      </c>
      <c r="L416">
        <f t="shared" si="37"/>
        <v>15191.518000000004</v>
      </c>
      <c r="M416">
        <f t="shared" si="37"/>
        <v>16880.049999999996</v>
      </c>
      <c r="N416" s="12">
        <f t="shared" si="34"/>
        <v>0.10574999999999515</v>
      </c>
      <c r="O416" s="12">
        <f t="shared" si="35"/>
        <v>0.24787529550827414</v>
      </c>
    </row>
    <row r="417" spans="1:15">
      <c r="A417" s="32">
        <v>45889</v>
      </c>
      <c r="B417">
        <v>142</v>
      </c>
      <c r="C417">
        <v>339600.00000000582</v>
      </c>
      <c r="D417">
        <v>2.1800000000000002</v>
      </c>
      <c r="E417">
        <v>58.19</v>
      </c>
      <c r="F417">
        <v>101.82000000000001</v>
      </c>
      <c r="G417">
        <v>113.26</v>
      </c>
      <c r="H417" s="12">
        <v>0.99877880084727444</v>
      </c>
      <c r="I417" s="12">
        <v>1</v>
      </c>
      <c r="J417" s="12">
        <v>1</v>
      </c>
      <c r="K417">
        <f t="shared" si="36"/>
        <v>84220599.99999997</v>
      </c>
      <c r="L417">
        <f t="shared" si="37"/>
        <v>15293.338000000003</v>
      </c>
      <c r="M417">
        <f t="shared" si="37"/>
        <v>16993.309999999994</v>
      </c>
      <c r="N417" s="12">
        <f t="shared" si="34"/>
        <v>0.14150000000000243</v>
      </c>
      <c r="O417" s="12">
        <f t="shared" si="35"/>
        <v>0.24712617370892009</v>
      </c>
    </row>
    <row r="418" spans="1:15">
      <c r="A418" s="32">
        <v>45890</v>
      </c>
      <c r="B418">
        <v>143</v>
      </c>
      <c r="C418">
        <v>715700.00000001164</v>
      </c>
      <c r="D418">
        <v>5.83</v>
      </c>
      <c r="E418">
        <v>94.57</v>
      </c>
      <c r="F418">
        <v>116.41999999999999</v>
      </c>
      <c r="G418">
        <v>132.51999999999998</v>
      </c>
      <c r="H418" s="12">
        <v>0.99990848078096395</v>
      </c>
      <c r="I418" s="12">
        <v>1</v>
      </c>
      <c r="J418" s="12">
        <v>1</v>
      </c>
      <c r="K418">
        <f t="shared" si="36"/>
        <v>84936299.999999985</v>
      </c>
      <c r="L418">
        <f t="shared" si="37"/>
        <v>15409.758000000003</v>
      </c>
      <c r="M418">
        <f t="shared" si="37"/>
        <v>17125.829999999994</v>
      </c>
      <c r="N418" s="12">
        <f t="shared" si="34"/>
        <v>0.29820833333333818</v>
      </c>
      <c r="O418" s="12">
        <f t="shared" si="35"/>
        <v>0.24748339160839156</v>
      </c>
    </row>
    <row r="419" spans="1:15">
      <c r="A419" s="32">
        <v>45891</v>
      </c>
      <c r="B419">
        <v>144</v>
      </c>
      <c r="C419">
        <v>484299.99999998836</v>
      </c>
      <c r="D419">
        <v>3.835</v>
      </c>
      <c r="E419">
        <v>79.09</v>
      </c>
      <c r="F419">
        <v>116.27000000000001</v>
      </c>
      <c r="G419">
        <v>128.54</v>
      </c>
      <c r="H419" s="12">
        <v>0.99986451700311607</v>
      </c>
      <c r="I419" s="12">
        <v>1</v>
      </c>
      <c r="J419" s="12">
        <v>1</v>
      </c>
      <c r="K419">
        <f t="shared" si="36"/>
        <v>85420599.99999997</v>
      </c>
      <c r="L419">
        <f t="shared" si="37"/>
        <v>15526.028000000004</v>
      </c>
      <c r="M419">
        <f t="shared" si="37"/>
        <v>17254.369999999995</v>
      </c>
      <c r="N419" s="12">
        <f t="shared" si="34"/>
        <v>0.20179166666666182</v>
      </c>
      <c r="O419" s="12">
        <f t="shared" si="35"/>
        <v>0.24716608796296288</v>
      </c>
    </row>
    <row r="420" spans="1:15">
      <c r="A420" s="32">
        <v>45892</v>
      </c>
      <c r="B420">
        <v>145</v>
      </c>
      <c r="C420">
        <v>292500</v>
      </c>
      <c r="D420">
        <v>2.1800000000000002</v>
      </c>
      <c r="E420">
        <v>70.91</v>
      </c>
      <c r="F420">
        <v>54.790000000000006</v>
      </c>
      <c r="G420">
        <v>55.239999999999995</v>
      </c>
      <c r="H420" s="12">
        <v>1</v>
      </c>
      <c r="I420" s="12">
        <v>1</v>
      </c>
      <c r="J420" s="12">
        <v>1</v>
      </c>
      <c r="K420">
        <f t="shared" si="36"/>
        <v>85713099.99999997</v>
      </c>
      <c r="L420">
        <f t="shared" si="37"/>
        <v>15580.818000000005</v>
      </c>
      <c r="M420">
        <f t="shared" si="37"/>
        <v>17309.609999999997</v>
      </c>
      <c r="N420" s="12">
        <f t="shared" si="34"/>
        <v>0.121875</v>
      </c>
      <c r="O420" s="12">
        <f t="shared" si="35"/>
        <v>0.24630201149425279</v>
      </c>
    </row>
    <row r="421" spans="1:15">
      <c r="A421" s="32">
        <v>45893</v>
      </c>
      <c r="B421">
        <v>146</v>
      </c>
      <c r="C421">
        <v>270100.00000000582</v>
      </c>
      <c r="D421">
        <v>2.21</v>
      </c>
      <c r="E421">
        <v>53.82</v>
      </c>
      <c r="F421">
        <v>61.11</v>
      </c>
      <c r="G421">
        <v>68.72</v>
      </c>
      <c r="H421" s="12">
        <v>1</v>
      </c>
      <c r="I421" s="12">
        <v>1</v>
      </c>
      <c r="J421" s="12">
        <v>1</v>
      </c>
      <c r="K421">
        <f t="shared" si="36"/>
        <v>85983199.99999997</v>
      </c>
      <c r="L421">
        <f t="shared" si="37"/>
        <v>15641.928000000005</v>
      </c>
      <c r="M421">
        <f t="shared" si="37"/>
        <v>17378.329999999998</v>
      </c>
      <c r="N421" s="12">
        <f t="shared" si="34"/>
        <v>0.11254166666666909</v>
      </c>
      <c r="O421" s="12">
        <f t="shared" si="35"/>
        <v>0.24538584474885836</v>
      </c>
    </row>
    <row r="422" spans="1:15">
      <c r="A422" s="32">
        <v>45894</v>
      </c>
      <c r="B422">
        <v>147</v>
      </c>
      <c r="C422">
        <v>396100.00000000582</v>
      </c>
      <c r="D422">
        <v>3.0049999999999999</v>
      </c>
      <c r="E422">
        <v>87.81</v>
      </c>
      <c r="F422">
        <v>96.510000000000019</v>
      </c>
      <c r="G422">
        <v>108.16</v>
      </c>
      <c r="H422" s="12">
        <v>1</v>
      </c>
      <c r="I422" s="12">
        <v>1</v>
      </c>
      <c r="J422" s="12">
        <v>1</v>
      </c>
      <c r="K422">
        <f t="shared" si="36"/>
        <v>86379299.99999997</v>
      </c>
      <c r="L422">
        <f t="shared" si="37"/>
        <v>15738.438000000006</v>
      </c>
      <c r="M422">
        <f t="shared" si="37"/>
        <v>17486.489999999998</v>
      </c>
      <c r="N422" s="12">
        <f t="shared" si="34"/>
        <v>0.16504166666666908</v>
      </c>
      <c r="O422" s="12">
        <f t="shared" si="35"/>
        <v>0.24483928571428562</v>
      </c>
    </row>
    <row r="423" spans="1:15">
      <c r="A423" s="32">
        <v>45895</v>
      </c>
      <c r="B423">
        <v>148</v>
      </c>
      <c r="C423">
        <v>569500</v>
      </c>
      <c r="D423">
        <v>4.5049999999999999</v>
      </c>
      <c r="E423">
        <v>86.96</v>
      </c>
      <c r="F423">
        <v>103.35</v>
      </c>
      <c r="G423">
        <v>113.69</v>
      </c>
      <c r="H423" s="12">
        <v>1</v>
      </c>
      <c r="I423" s="12">
        <v>1</v>
      </c>
      <c r="J423" s="12">
        <v>1</v>
      </c>
      <c r="K423">
        <f t="shared" si="36"/>
        <v>86948799.99999997</v>
      </c>
      <c r="L423">
        <f t="shared" si="37"/>
        <v>15841.788000000006</v>
      </c>
      <c r="M423">
        <f t="shared" si="37"/>
        <v>17600.179999999997</v>
      </c>
      <c r="N423" s="12">
        <f t="shared" si="34"/>
        <v>0.23729166666666668</v>
      </c>
      <c r="O423" s="12">
        <f t="shared" si="35"/>
        <v>0.24478828828828819</v>
      </c>
    </row>
    <row r="424" spans="1:15">
      <c r="A424" s="32">
        <v>45896</v>
      </c>
      <c r="B424">
        <v>149</v>
      </c>
      <c r="C424">
        <v>622799.99999998836</v>
      </c>
      <c r="D424">
        <v>5.0600000000000005</v>
      </c>
      <c r="E424">
        <v>84.68</v>
      </c>
      <c r="F424">
        <v>107.93</v>
      </c>
      <c r="G424">
        <v>118.88999999999999</v>
      </c>
      <c r="H424" s="12">
        <v>1</v>
      </c>
      <c r="I424" s="12">
        <v>1</v>
      </c>
      <c r="J424" s="12">
        <v>1</v>
      </c>
      <c r="K424">
        <f t="shared" si="36"/>
        <v>87571599.999999955</v>
      </c>
      <c r="L424">
        <f t="shared" si="37"/>
        <v>15949.718000000006</v>
      </c>
      <c r="M424">
        <f t="shared" si="37"/>
        <v>17719.069999999996</v>
      </c>
      <c r="N424" s="12">
        <f t="shared" si="34"/>
        <v>0.25949999999999512</v>
      </c>
      <c r="O424" s="12">
        <f t="shared" si="35"/>
        <v>0.24488702460850098</v>
      </c>
    </row>
    <row r="425" spans="1:15">
      <c r="A425" s="32">
        <v>45897</v>
      </c>
      <c r="B425">
        <v>150</v>
      </c>
      <c r="C425">
        <v>430200.00000001164</v>
      </c>
      <c r="D425">
        <v>3.2949999999999999</v>
      </c>
      <c r="E425">
        <v>73.77</v>
      </c>
      <c r="F425">
        <v>110.63</v>
      </c>
      <c r="G425">
        <v>121.24999999999999</v>
      </c>
      <c r="H425" s="12">
        <v>0.99951687841782821</v>
      </c>
      <c r="I425" s="12">
        <v>1</v>
      </c>
      <c r="J425" s="12">
        <v>1</v>
      </c>
      <c r="K425">
        <f t="shared" si="36"/>
        <v>88001799.99999997</v>
      </c>
      <c r="L425">
        <f t="shared" si="37"/>
        <v>16060.348000000005</v>
      </c>
      <c r="M425">
        <f t="shared" si="37"/>
        <v>17840.319999999996</v>
      </c>
      <c r="N425" s="12">
        <f t="shared" si="34"/>
        <v>0.17925000000000485</v>
      </c>
      <c r="O425" s="12">
        <f t="shared" si="35"/>
        <v>0.24444944444444436</v>
      </c>
    </row>
    <row r="426" spans="1:15">
      <c r="A426" s="32">
        <v>45898</v>
      </c>
      <c r="B426">
        <v>151</v>
      </c>
      <c r="C426">
        <v>635200.00000001164</v>
      </c>
      <c r="D426">
        <v>5.415</v>
      </c>
      <c r="E426">
        <v>98.32</v>
      </c>
      <c r="F426">
        <v>116.57000000000001</v>
      </c>
      <c r="G426">
        <v>129.89999999999998</v>
      </c>
      <c r="H426" s="12">
        <v>1</v>
      </c>
      <c r="I426" s="12">
        <v>1</v>
      </c>
      <c r="J426" s="12">
        <v>1</v>
      </c>
      <c r="K426">
        <f t="shared" si="36"/>
        <v>88636999.999999985</v>
      </c>
      <c r="L426">
        <f t="shared" si="37"/>
        <v>16176.918000000005</v>
      </c>
      <c r="M426">
        <f t="shared" si="37"/>
        <v>17970.219999999998</v>
      </c>
      <c r="N426" s="12">
        <f t="shared" si="34"/>
        <v>0.26466666666667149</v>
      </c>
      <c r="O426" s="12">
        <f t="shared" si="35"/>
        <v>0.24458333333333329</v>
      </c>
    </row>
    <row r="427" spans="1:15">
      <c r="A427" s="32">
        <v>45899</v>
      </c>
      <c r="B427">
        <v>152</v>
      </c>
      <c r="C427">
        <v>438699.99999998254</v>
      </c>
      <c r="D427">
        <v>3.4249999999999998</v>
      </c>
      <c r="E427">
        <v>73.819999999999993</v>
      </c>
      <c r="F427">
        <v>80.100000000000009</v>
      </c>
      <c r="G427">
        <v>87.9</v>
      </c>
      <c r="H427" s="12">
        <v>1</v>
      </c>
      <c r="I427" s="12">
        <v>1</v>
      </c>
      <c r="J427" s="12">
        <v>1</v>
      </c>
      <c r="K427">
        <f t="shared" si="36"/>
        <v>89075699.99999997</v>
      </c>
      <c r="L427">
        <f t="shared" si="37"/>
        <v>16257.018000000005</v>
      </c>
      <c r="M427">
        <f t="shared" si="37"/>
        <v>18058.12</v>
      </c>
      <c r="N427" s="12">
        <f t="shared" si="34"/>
        <v>0.18279166666665939</v>
      </c>
      <c r="O427" s="12">
        <f t="shared" si="35"/>
        <v>0.24417680921052623</v>
      </c>
    </row>
    <row r="428" spans="1:15">
      <c r="A428" s="32">
        <v>45900</v>
      </c>
      <c r="B428">
        <v>153</v>
      </c>
      <c r="C428">
        <v>519600.00000000582</v>
      </c>
      <c r="D428">
        <v>4.01</v>
      </c>
      <c r="E428">
        <v>84.11</v>
      </c>
      <c r="F428">
        <v>116.22999999999999</v>
      </c>
      <c r="G428">
        <v>129.06</v>
      </c>
      <c r="H428" s="12">
        <v>1</v>
      </c>
      <c r="I428" s="12">
        <v>1</v>
      </c>
      <c r="J428" s="12">
        <v>1</v>
      </c>
      <c r="K428">
        <f t="shared" si="36"/>
        <v>89595299.99999997</v>
      </c>
      <c r="L428">
        <f t="shared" si="37"/>
        <v>16373.248000000005</v>
      </c>
      <c r="M428">
        <f t="shared" si="37"/>
        <v>18187.18</v>
      </c>
      <c r="N428" s="12">
        <f t="shared" si="34"/>
        <v>0.21650000000000241</v>
      </c>
      <c r="O428" s="12">
        <f t="shared" si="35"/>
        <v>0.24399591503267964</v>
      </c>
    </row>
    <row r="429" spans="1:15">
      <c r="A429" s="32">
        <v>45901</v>
      </c>
      <c r="B429">
        <v>154</v>
      </c>
      <c r="C429">
        <v>199899.99999999418</v>
      </c>
      <c r="D429">
        <v>1.62</v>
      </c>
      <c r="E429">
        <v>52.5</v>
      </c>
      <c r="F429">
        <v>0</v>
      </c>
      <c r="G429">
        <v>0</v>
      </c>
      <c r="H429" s="12">
        <v>1</v>
      </c>
      <c r="I429" s="12">
        <v>1</v>
      </c>
      <c r="J429" s="12">
        <v>1</v>
      </c>
      <c r="K429">
        <f t="shared" si="36"/>
        <v>89795199.99999997</v>
      </c>
      <c r="L429">
        <f t="shared" si="37"/>
        <v>16373.248000000005</v>
      </c>
      <c r="M429">
        <f t="shared" si="37"/>
        <v>18187.18</v>
      </c>
      <c r="N429" s="12">
        <f t="shared" si="34"/>
        <v>8.3291666666664238E-2</v>
      </c>
      <c r="O429" s="12">
        <f t="shared" si="35"/>
        <v>0.24295238095238086</v>
      </c>
    </row>
    <row r="430" spans="1:15">
      <c r="A430" s="32">
        <v>45902</v>
      </c>
      <c r="B430">
        <v>155</v>
      </c>
      <c r="C430">
        <v>546799.99999998836</v>
      </c>
      <c r="D430">
        <v>4.6500000000000004</v>
      </c>
      <c r="E430">
        <v>82.18</v>
      </c>
      <c r="F430">
        <v>114.55</v>
      </c>
      <c r="G430">
        <v>129.77000000000001</v>
      </c>
      <c r="H430" s="12">
        <v>0.99943078324225854</v>
      </c>
      <c r="I430" s="12">
        <v>1</v>
      </c>
      <c r="J430" s="12">
        <v>0.99203541652990224</v>
      </c>
      <c r="K430">
        <f t="shared" si="36"/>
        <v>90341999.999999955</v>
      </c>
      <c r="L430">
        <f t="shared" si="37"/>
        <v>16487.798000000006</v>
      </c>
      <c r="M430">
        <f t="shared" si="37"/>
        <v>18316.95</v>
      </c>
      <c r="N430" s="12">
        <f t="shared" si="34"/>
        <v>0.22783333333332847</v>
      </c>
      <c r="O430" s="12">
        <f t="shared" si="35"/>
        <v>0.24285483870967731</v>
      </c>
    </row>
    <row r="431" spans="1:15">
      <c r="A431" s="32">
        <v>45903</v>
      </c>
      <c r="B431">
        <v>156</v>
      </c>
      <c r="C431">
        <v>504600.00000000582</v>
      </c>
      <c r="D431">
        <v>4.1950000000000003</v>
      </c>
      <c r="E431">
        <v>72.81</v>
      </c>
      <c r="F431">
        <v>116.41999999999999</v>
      </c>
      <c r="G431">
        <v>128.69</v>
      </c>
      <c r="H431" s="12">
        <v>1</v>
      </c>
      <c r="I431" s="12">
        <v>1</v>
      </c>
      <c r="J431" s="12">
        <v>1</v>
      </c>
      <c r="K431">
        <f t="shared" si="36"/>
        <v>90846599.999999955</v>
      </c>
      <c r="L431">
        <f t="shared" si="37"/>
        <v>16604.218000000004</v>
      </c>
      <c r="M431">
        <f t="shared" si="37"/>
        <v>18445.64</v>
      </c>
      <c r="N431" s="12">
        <f t="shared" si="34"/>
        <v>0.21025000000000243</v>
      </c>
      <c r="O431" s="12">
        <f t="shared" si="35"/>
        <v>0.24264583333333323</v>
      </c>
    </row>
    <row r="432" spans="1:15">
      <c r="A432" s="32">
        <v>45904</v>
      </c>
      <c r="B432">
        <v>157</v>
      </c>
      <c r="C432">
        <v>320300.00000001746</v>
      </c>
      <c r="D432">
        <v>2.3600000000000003</v>
      </c>
      <c r="E432">
        <v>69.680000000000007</v>
      </c>
      <c r="F432">
        <v>72.59</v>
      </c>
      <c r="G432">
        <v>76.349999999999994</v>
      </c>
      <c r="H432" s="12">
        <v>1</v>
      </c>
      <c r="I432" s="12">
        <v>1</v>
      </c>
      <c r="J432" s="12">
        <v>1</v>
      </c>
      <c r="K432">
        <f t="shared" si="36"/>
        <v>91166899.99999997</v>
      </c>
      <c r="L432">
        <f t="shared" si="37"/>
        <v>16676.808000000005</v>
      </c>
      <c r="M432">
        <f t="shared" si="37"/>
        <v>18521.989999999998</v>
      </c>
      <c r="N432" s="12">
        <f t="shared" si="34"/>
        <v>0.13345833333334062</v>
      </c>
      <c r="O432" s="12">
        <f t="shared" si="35"/>
        <v>0.24195037154989377</v>
      </c>
    </row>
    <row r="433" spans="1:15">
      <c r="A433" s="32">
        <v>45905</v>
      </c>
      <c r="B433">
        <v>158</v>
      </c>
      <c r="C433">
        <v>676799.99999998836</v>
      </c>
      <c r="D433">
        <v>5.64</v>
      </c>
      <c r="E433">
        <v>92.35</v>
      </c>
      <c r="F433">
        <v>116.47</v>
      </c>
      <c r="G433">
        <v>129.26</v>
      </c>
      <c r="H433" s="12">
        <v>1</v>
      </c>
      <c r="I433" s="12">
        <v>1</v>
      </c>
      <c r="J433" s="12">
        <v>1</v>
      </c>
      <c r="K433">
        <f t="shared" si="36"/>
        <v>91843699.999999955</v>
      </c>
      <c r="L433">
        <f t="shared" si="37"/>
        <v>16793.278000000006</v>
      </c>
      <c r="M433">
        <f t="shared" si="37"/>
        <v>18651.249999999996</v>
      </c>
      <c r="N433" s="12">
        <f t="shared" si="34"/>
        <v>0.28199999999999514</v>
      </c>
      <c r="O433" s="12">
        <f t="shared" si="35"/>
        <v>0.24220385021097035</v>
      </c>
    </row>
    <row r="434" spans="1:15">
      <c r="A434" s="32">
        <v>45906</v>
      </c>
      <c r="B434">
        <v>159</v>
      </c>
      <c r="C434">
        <v>723600.00000000582</v>
      </c>
      <c r="D434">
        <v>5.8849999999999998</v>
      </c>
      <c r="E434">
        <v>92.24</v>
      </c>
      <c r="F434">
        <v>116.08</v>
      </c>
      <c r="G434">
        <v>128.93</v>
      </c>
      <c r="H434" s="12">
        <v>1</v>
      </c>
      <c r="I434" s="12">
        <v>1</v>
      </c>
      <c r="J434" s="12">
        <v>1</v>
      </c>
      <c r="K434">
        <f t="shared" si="36"/>
        <v>92567299.999999955</v>
      </c>
      <c r="L434">
        <f t="shared" si="37"/>
        <v>16909.358000000007</v>
      </c>
      <c r="M434">
        <f t="shared" si="37"/>
        <v>18780.179999999997</v>
      </c>
      <c r="N434" s="12">
        <f t="shared" si="34"/>
        <v>0.30150000000000243</v>
      </c>
      <c r="O434" s="12">
        <f t="shared" si="35"/>
        <v>0.24257678197064977</v>
      </c>
    </row>
    <row r="435" spans="1:15">
      <c r="A435" s="32">
        <v>45907</v>
      </c>
      <c r="B435">
        <v>160</v>
      </c>
      <c r="C435">
        <v>692699.99999998254</v>
      </c>
      <c r="D435">
        <v>5.875</v>
      </c>
      <c r="E435">
        <v>94.75</v>
      </c>
      <c r="F435">
        <v>116.19</v>
      </c>
      <c r="G435">
        <v>129.07000000000002</v>
      </c>
      <c r="H435" s="12">
        <v>1</v>
      </c>
      <c r="I435" s="12">
        <v>1</v>
      </c>
      <c r="J435" s="12">
        <v>1</v>
      </c>
      <c r="K435">
        <f t="shared" si="36"/>
        <v>93259999.99999994</v>
      </c>
      <c r="L435">
        <f t="shared" si="37"/>
        <v>17025.548000000006</v>
      </c>
      <c r="M435">
        <f t="shared" si="37"/>
        <v>18909.249999999996</v>
      </c>
      <c r="N435" s="12">
        <f t="shared" si="34"/>
        <v>0.28862499999999275</v>
      </c>
      <c r="O435" s="12">
        <f t="shared" si="35"/>
        <v>0.24286458333333319</v>
      </c>
    </row>
    <row r="436" spans="1:15">
      <c r="A436" s="32">
        <v>45908</v>
      </c>
      <c r="B436">
        <v>161</v>
      </c>
      <c r="C436">
        <v>625500</v>
      </c>
      <c r="D436">
        <v>5.19</v>
      </c>
      <c r="E436">
        <v>88.12</v>
      </c>
      <c r="F436">
        <v>116.66000000000001</v>
      </c>
      <c r="G436">
        <v>129.92000000000002</v>
      </c>
      <c r="H436" s="12">
        <v>1</v>
      </c>
      <c r="I436" s="12">
        <v>1</v>
      </c>
      <c r="J436" s="12">
        <v>1</v>
      </c>
      <c r="K436">
        <f t="shared" si="36"/>
        <v>93885499.99999994</v>
      </c>
      <c r="L436">
        <f t="shared" si="37"/>
        <v>17142.208000000006</v>
      </c>
      <c r="M436">
        <f t="shared" si="37"/>
        <v>19039.169999999995</v>
      </c>
      <c r="N436" s="12">
        <f t="shared" si="34"/>
        <v>0.260625</v>
      </c>
      <c r="O436" s="12">
        <f t="shared" si="35"/>
        <v>0.2429748964803311</v>
      </c>
    </row>
    <row r="437" spans="1:15">
      <c r="A437" s="32">
        <v>45909</v>
      </c>
      <c r="B437">
        <v>162</v>
      </c>
      <c r="C437">
        <v>648100.00000000582</v>
      </c>
      <c r="D437">
        <v>5.34</v>
      </c>
      <c r="E437">
        <v>88.61</v>
      </c>
      <c r="F437">
        <v>117.11000000000001</v>
      </c>
      <c r="G437">
        <v>128.76000000000002</v>
      </c>
      <c r="H437" s="12">
        <v>1</v>
      </c>
      <c r="I437" s="12">
        <v>1</v>
      </c>
      <c r="J437" s="12">
        <v>1</v>
      </c>
      <c r="K437">
        <f t="shared" si="36"/>
        <v>94533599.99999994</v>
      </c>
      <c r="L437">
        <f t="shared" si="37"/>
        <v>17259.318000000007</v>
      </c>
      <c r="M437">
        <f t="shared" si="37"/>
        <v>19167.929999999993</v>
      </c>
      <c r="N437" s="12">
        <f t="shared" si="34"/>
        <v>0.27004166666666907</v>
      </c>
      <c r="O437" s="12">
        <f t="shared" si="35"/>
        <v>0.24314197530864182</v>
      </c>
    </row>
    <row r="438" spans="1:15">
      <c r="A438" s="32">
        <v>45910</v>
      </c>
      <c r="B438">
        <v>163</v>
      </c>
      <c r="C438">
        <v>678899.99999999418</v>
      </c>
      <c r="D438">
        <v>5.59</v>
      </c>
      <c r="E438">
        <v>87.22</v>
      </c>
      <c r="F438">
        <v>116.54999999999998</v>
      </c>
      <c r="G438">
        <v>129.05000000000001</v>
      </c>
      <c r="H438" s="12">
        <v>1</v>
      </c>
      <c r="I438" s="12">
        <v>1</v>
      </c>
      <c r="J438" s="12">
        <v>1</v>
      </c>
      <c r="K438">
        <f t="shared" si="36"/>
        <v>95212499.99999994</v>
      </c>
      <c r="L438">
        <f t="shared" si="37"/>
        <v>17375.868000000006</v>
      </c>
      <c r="M438">
        <f t="shared" si="37"/>
        <v>19296.979999999992</v>
      </c>
      <c r="N438" s="12">
        <f t="shared" si="34"/>
        <v>0.2828749999999976</v>
      </c>
      <c r="O438" s="12">
        <f t="shared" si="35"/>
        <v>0.24338573619631887</v>
      </c>
    </row>
    <row r="439" spans="1:15">
      <c r="A439" s="32">
        <v>45911</v>
      </c>
      <c r="B439">
        <v>164</v>
      </c>
      <c r="C439">
        <v>539199.99999998254</v>
      </c>
      <c r="D439">
        <v>4.3250000000000002</v>
      </c>
      <c r="E439">
        <v>92.6</v>
      </c>
      <c r="F439">
        <v>62.58</v>
      </c>
      <c r="G439">
        <v>68.319999999999993</v>
      </c>
      <c r="H439" s="12">
        <v>1</v>
      </c>
      <c r="I439" s="12">
        <v>1</v>
      </c>
      <c r="J439" s="12">
        <v>1</v>
      </c>
      <c r="K439">
        <f t="shared" si="36"/>
        <v>95751699.999999925</v>
      </c>
      <c r="L439">
        <f t="shared" si="37"/>
        <v>17438.448000000008</v>
      </c>
      <c r="M439">
        <f t="shared" si="37"/>
        <v>19365.299999999992</v>
      </c>
      <c r="N439" s="12">
        <f t="shared" si="34"/>
        <v>0.22466666666665938</v>
      </c>
      <c r="O439" s="12">
        <f t="shared" si="35"/>
        <v>0.24327159552845509</v>
      </c>
    </row>
    <row r="440" spans="1:15">
      <c r="A440" s="32">
        <v>45912</v>
      </c>
      <c r="B440">
        <v>165</v>
      </c>
      <c r="C440">
        <v>561000.0000000291</v>
      </c>
      <c r="D440">
        <v>4.5</v>
      </c>
      <c r="E440">
        <v>88.08</v>
      </c>
      <c r="F440">
        <v>116.18</v>
      </c>
      <c r="G440">
        <v>128.79999999999998</v>
      </c>
      <c r="H440" s="12">
        <v>1</v>
      </c>
      <c r="I440" s="12">
        <v>1</v>
      </c>
      <c r="J440" s="12">
        <v>1</v>
      </c>
      <c r="K440">
        <f t="shared" si="36"/>
        <v>96312699.999999955</v>
      </c>
      <c r="L440">
        <f t="shared" si="37"/>
        <v>17554.628000000008</v>
      </c>
      <c r="M440">
        <f t="shared" si="37"/>
        <v>19494.099999999991</v>
      </c>
      <c r="N440" s="12">
        <f t="shared" si="34"/>
        <v>0.23375000000001211</v>
      </c>
      <c r="O440" s="12">
        <f t="shared" si="35"/>
        <v>0.24321388888888879</v>
      </c>
    </row>
    <row r="441" spans="1:15">
      <c r="A441" s="32">
        <v>45913</v>
      </c>
      <c r="B441">
        <v>166</v>
      </c>
      <c r="C441">
        <v>559100.00000000582</v>
      </c>
      <c r="D441">
        <v>4.51</v>
      </c>
      <c r="E441">
        <v>92.58</v>
      </c>
      <c r="F441">
        <v>109.50999999999999</v>
      </c>
      <c r="G441">
        <v>120.72</v>
      </c>
      <c r="H441" s="12">
        <v>1</v>
      </c>
      <c r="I441" s="12">
        <v>1</v>
      </c>
      <c r="J441" s="12">
        <v>1</v>
      </c>
      <c r="K441">
        <f t="shared" si="36"/>
        <v>96871799.999999955</v>
      </c>
      <c r="L441">
        <f t="shared" si="37"/>
        <v>17664.138000000006</v>
      </c>
      <c r="M441">
        <f t="shared" si="37"/>
        <v>19614.819999999992</v>
      </c>
      <c r="N441" s="12">
        <f t="shared" si="34"/>
        <v>0.23295833333333577</v>
      </c>
      <c r="O441" s="12">
        <f t="shared" si="35"/>
        <v>0.24315210843373483</v>
      </c>
    </row>
    <row r="442" spans="1:15">
      <c r="A442" s="32">
        <v>45914</v>
      </c>
      <c r="B442">
        <v>167</v>
      </c>
      <c r="C442">
        <v>716000</v>
      </c>
      <c r="D442">
        <v>5.75</v>
      </c>
      <c r="E442">
        <v>91.32</v>
      </c>
      <c r="F442">
        <v>116.41</v>
      </c>
      <c r="G442">
        <v>129.47</v>
      </c>
      <c r="H442" s="12">
        <v>1</v>
      </c>
      <c r="I442" s="12">
        <v>1</v>
      </c>
      <c r="J442" s="12">
        <v>1</v>
      </c>
      <c r="K442">
        <f t="shared" si="36"/>
        <v>97587799.999999955</v>
      </c>
      <c r="L442">
        <f t="shared" si="37"/>
        <v>17780.548000000006</v>
      </c>
      <c r="M442">
        <f t="shared" si="37"/>
        <v>19744.289999999994</v>
      </c>
      <c r="N442" s="12">
        <f t="shared" si="34"/>
        <v>0.29833333333333334</v>
      </c>
      <c r="O442" s="12">
        <f t="shared" si="35"/>
        <v>0.2434825349301396</v>
      </c>
    </row>
    <row r="443" spans="1:15">
      <c r="A443" s="32">
        <v>45915</v>
      </c>
      <c r="B443">
        <v>168</v>
      </c>
      <c r="C443">
        <v>331299.99999998836</v>
      </c>
      <c r="D443">
        <v>2.42</v>
      </c>
      <c r="E443">
        <v>80.52</v>
      </c>
      <c r="F443">
        <v>71.02000000000001</v>
      </c>
      <c r="G443">
        <v>79.850000000000009</v>
      </c>
      <c r="H443" s="12">
        <v>1</v>
      </c>
      <c r="I443" s="12">
        <v>1</v>
      </c>
      <c r="J443" s="12">
        <v>1</v>
      </c>
      <c r="K443">
        <f t="shared" si="36"/>
        <v>97919099.99999994</v>
      </c>
      <c r="L443">
        <f t="shared" si="37"/>
        <v>17851.568000000007</v>
      </c>
      <c r="M443">
        <f t="shared" si="37"/>
        <v>19824.139999999992</v>
      </c>
      <c r="N443" s="12">
        <f t="shared" si="34"/>
        <v>0.13804166666666182</v>
      </c>
      <c r="O443" s="12">
        <f t="shared" si="35"/>
        <v>0.24285491071428555</v>
      </c>
    </row>
    <row r="444" spans="1:15">
      <c r="A444" s="32">
        <v>45916</v>
      </c>
      <c r="B444">
        <v>169</v>
      </c>
      <c r="C444">
        <v>270799.99999998836</v>
      </c>
      <c r="D444">
        <v>2.2000000000000002</v>
      </c>
      <c r="E444">
        <v>49.74</v>
      </c>
      <c r="F444">
        <v>48.25</v>
      </c>
      <c r="G444">
        <v>52.429999999999993</v>
      </c>
      <c r="H444" s="12">
        <v>1</v>
      </c>
      <c r="I444" s="12">
        <v>1</v>
      </c>
      <c r="J444" s="12">
        <v>1</v>
      </c>
      <c r="K444">
        <f t="shared" si="36"/>
        <v>98189899.999999925</v>
      </c>
      <c r="L444">
        <f t="shared" si="37"/>
        <v>17899.818000000007</v>
      </c>
      <c r="M444">
        <f t="shared" si="37"/>
        <v>19876.569999999992</v>
      </c>
      <c r="N444" s="12">
        <f t="shared" si="34"/>
        <v>0.11283333333332848</v>
      </c>
      <c r="O444" s="12">
        <f t="shared" si="35"/>
        <v>0.24208555226824438</v>
      </c>
    </row>
    <row r="445" spans="1:15">
      <c r="A445" s="32">
        <v>45917</v>
      </c>
      <c r="B445">
        <v>170</v>
      </c>
      <c r="C445">
        <v>602100.00000000582</v>
      </c>
      <c r="D445">
        <v>4.71</v>
      </c>
      <c r="E445">
        <v>83.52</v>
      </c>
      <c r="F445">
        <v>116.28999999999999</v>
      </c>
      <c r="G445">
        <v>128.99</v>
      </c>
      <c r="H445" s="12">
        <v>1</v>
      </c>
      <c r="I445" s="12">
        <v>1</v>
      </c>
      <c r="J445" s="12">
        <v>1</v>
      </c>
      <c r="K445">
        <f t="shared" si="36"/>
        <v>98791999.999999925</v>
      </c>
      <c r="L445">
        <f t="shared" si="37"/>
        <v>18016.108000000007</v>
      </c>
      <c r="M445">
        <f t="shared" si="37"/>
        <v>20005.559999999994</v>
      </c>
      <c r="N445" s="12">
        <f t="shared" si="34"/>
        <v>0.2508750000000024</v>
      </c>
      <c r="O445" s="12">
        <f t="shared" si="35"/>
        <v>0.24213725490196061</v>
      </c>
    </row>
    <row r="446" spans="1:15">
      <c r="A446" s="32">
        <v>45918</v>
      </c>
      <c r="B446">
        <v>171</v>
      </c>
      <c r="C446">
        <v>679800.00000001746</v>
      </c>
      <c r="D446">
        <v>5.43</v>
      </c>
      <c r="E446">
        <v>87.43</v>
      </c>
      <c r="F446">
        <v>116.54</v>
      </c>
      <c r="G446">
        <v>129.26000000000002</v>
      </c>
      <c r="H446" s="12">
        <v>1</v>
      </c>
      <c r="I446" s="12">
        <v>1</v>
      </c>
      <c r="J446" s="12">
        <v>1</v>
      </c>
      <c r="K446">
        <f t="shared" si="36"/>
        <v>99471799.99999994</v>
      </c>
      <c r="L446">
        <f t="shared" si="37"/>
        <v>18132.648000000008</v>
      </c>
      <c r="M446">
        <f t="shared" si="37"/>
        <v>20134.819999999992</v>
      </c>
      <c r="N446" s="12">
        <f t="shared" si="34"/>
        <v>0.28325000000000727</v>
      </c>
      <c r="O446" s="12">
        <f t="shared" si="35"/>
        <v>0.24237768031189069</v>
      </c>
    </row>
    <row r="447" spans="1:15">
      <c r="A447" s="32">
        <v>45919</v>
      </c>
      <c r="B447">
        <v>172</v>
      </c>
      <c r="C447">
        <v>740799.99999998836</v>
      </c>
      <c r="D447">
        <v>5.8049999999999997</v>
      </c>
      <c r="E447">
        <v>91.08</v>
      </c>
      <c r="F447">
        <v>116.84</v>
      </c>
      <c r="G447">
        <v>130.21</v>
      </c>
      <c r="H447" s="12">
        <v>1</v>
      </c>
      <c r="I447" s="12">
        <v>1</v>
      </c>
      <c r="J447" s="12">
        <v>1</v>
      </c>
      <c r="K447">
        <f t="shared" si="36"/>
        <v>100212599.99999993</v>
      </c>
      <c r="L447">
        <f t="shared" si="37"/>
        <v>18249.488000000008</v>
      </c>
      <c r="M447">
        <f t="shared" si="37"/>
        <v>20265.029999999992</v>
      </c>
      <c r="N447" s="12">
        <f t="shared" si="34"/>
        <v>0.30866666666666182</v>
      </c>
      <c r="O447" s="12">
        <f t="shared" si="35"/>
        <v>0.24276308139534866</v>
      </c>
    </row>
    <row r="448" spans="1:15">
      <c r="A448" s="32">
        <v>45920</v>
      </c>
      <c r="B448">
        <v>173</v>
      </c>
      <c r="C448">
        <v>729899.99999999418</v>
      </c>
      <c r="D448">
        <v>5.98</v>
      </c>
      <c r="E448">
        <v>87.35</v>
      </c>
      <c r="F448">
        <v>116.31</v>
      </c>
      <c r="G448">
        <v>129.38999999999999</v>
      </c>
      <c r="H448" s="12">
        <v>1</v>
      </c>
      <c r="I448" s="12">
        <v>1</v>
      </c>
      <c r="J448" s="12">
        <v>1</v>
      </c>
      <c r="K448">
        <f t="shared" si="36"/>
        <v>100942499.99999993</v>
      </c>
      <c r="L448">
        <f t="shared" si="37"/>
        <v>18365.79800000001</v>
      </c>
      <c r="M448">
        <f t="shared" si="37"/>
        <v>20394.419999999991</v>
      </c>
      <c r="N448" s="12">
        <f t="shared" si="34"/>
        <v>0.30412499999999759</v>
      </c>
      <c r="O448" s="12">
        <f t="shared" si="35"/>
        <v>0.24311777456647382</v>
      </c>
    </row>
    <row r="449" spans="1:15">
      <c r="A449" s="32">
        <v>45921</v>
      </c>
      <c r="B449">
        <v>174</v>
      </c>
      <c r="C449">
        <v>707500</v>
      </c>
      <c r="D449">
        <v>5.7</v>
      </c>
      <c r="E449">
        <v>94.16</v>
      </c>
      <c r="F449">
        <v>116.77</v>
      </c>
      <c r="G449">
        <v>128.97999999999999</v>
      </c>
      <c r="H449" s="12">
        <v>0.99790275637733261</v>
      </c>
      <c r="I449" s="12">
        <v>1</v>
      </c>
      <c r="J449" s="12">
        <v>1</v>
      </c>
      <c r="K449">
        <f t="shared" si="36"/>
        <v>101649999.99999993</v>
      </c>
      <c r="L449">
        <f t="shared" si="37"/>
        <v>18482.56800000001</v>
      </c>
      <c r="M449">
        <f t="shared" si="37"/>
        <v>20523.399999999991</v>
      </c>
      <c r="N449" s="12">
        <f t="shared" si="34"/>
        <v>0.29479166666666667</v>
      </c>
      <c r="O449" s="12">
        <f t="shared" si="35"/>
        <v>0.24341475095785423</v>
      </c>
    </row>
    <row r="450" spans="1:15">
      <c r="A450" s="32">
        <v>45922</v>
      </c>
      <c r="B450">
        <v>175</v>
      </c>
      <c r="C450">
        <v>602799.99999998836</v>
      </c>
      <c r="D450">
        <v>4.68</v>
      </c>
      <c r="E450">
        <v>99.58</v>
      </c>
      <c r="F450">
        <v>117.48000000000002</v>
      </c>
      <c r="G450">
        <v>129.83000000000001</v>
      </c>
      <c r="H450" s="12">
        <v>1</v>
      </c>
      <c r="I450" s="12">
        <v>1</v>
      </c>
      <c r="J450" s="12">
        <v>1</v>
      </c>
      <c r="K450">
        <f t="shared" si="36"/>
        <v>102252799.99999991</v>
      </c>
      <c r="L450">
        <f t="shared" si="37"/>
        <v>18600.04800000001</v>
      </c>
      <c r="M450">
        <f t="shared" si="37"/>
        <v>20653.229999999992</v>
      </c>
      <c r="N450" s="12">
        <f t="shared" si="34"/>
        <v>0.25116666666666182</v>
      </c>
      <c r="O450" s="12">
        <f t="shared" si="35"/>
        <v>0.24345904761904741</v>
      </c>
    </row>
    <row r="451" spans="1:15">
      <c r="A451" s="32">
        <v>45923</v>
      </c>
      <c r="B451">
        <v>176</v>
      </c>
      <c r="C451">
        <v>582500</v>
      </c>
      <c r="D451">
        <v>4.5950000000000006</v>
      </c>
      <c r="E451">
        <v>86.79</v>
      </c>
      <c r="F451">
        <v>116.72999999999999</v>
      </c>
      <c r="G451">
        <v>124.77000000000001</v>
      </c>
      <c r="H451" s="12">
        <v>1</v>
      </c>
      <c r="I451" s="12">
        <v>1</v>
      </c>
      <c r="J451" s="12">
        <v>1</v>
      </c>
      <c r="K451">
        <f t="shared" si="36"/>
        <v>102835299.99999991</v>
      </c>
      <c r="L451">
        <f t="shared" si="37"/>
        <v>18716.778000000009</v>
      </c>
      <c r="M451">
        <f t="shared" si="37"/>
        <v>20777.999999999993</v>
      </c>
      <c r="N451" s="12">
        <f t="shared" si="34"/>
        <v>0.24270833333333333</v>
      </c>
      <c r="O451" s="12">
        <f t="shared" si="35"/>
        <v>0.24345478219696948</v>
      </c>
    </row>
    <row r="452" spans="1:15">
      <c r="A452" s="32">
        <v>45924</v>
      </c>
      <c r="B452">
        <v>177</v>
      </c>
      <c r="C452">
        <v>114900.00000002328</v>
      </c>
      <c r="D452">
        <v>0.79500000000000004</v>
      </c>
      <c r="E452">
        <v>26.3</v>
      </c>
      <c r="F452">
        <v>0</v>
      </c>
      <c r="G452">
        <v>0</v>
      </c>
      <c r="H452" s="12">
        <v>1</v>
      </c>
      <c r="I452" s="12">
        <v>1</v>
      </c>
      <c r="J452" s="12">
        <v>1</v>
      </c>
      <c r="K452">
        <f t="shared" si="36"/>
        <v>102950199.99999994</v>
      </c>
      <c r="L452">
        <f t="shared" si="37"/>
        <v>18716.778000000009</v>
      </c>
      <c r="M452">
        <f t="shared" si="37"/>
        <v>20777.999999999993</v>
      </c>
      <c r="N452" s="12">
        <f t="shared" si="34"/>
        <v>4.7875000000009701E-2</v>
      </c>
      <c r="O452" s="12">
        <f t="shared" si="35"/>
        <v>0.24234981167608272</v>
      </c>
    </row>
    <row r="453" spans="1:15">
      <c r="A453" s="32">
        <v>45925</v>
      </c>
      <c r="B453">
        <v>178</v>
      </c>
      <c r="C453">
        <v>518399.99999999418</v>
      </c>
      <c r="D453">
        <v>4.3</v>
      </c>
      <c r="E453">
        <v>80.819999999999993</v>
      </c>
      <c r="F453">
        <v>115.88999999999999</v>
      </c>
      <c r="G453">
        <v>127.97</v>
      </c>
      <c r="H453" s="12">
        <v>1</v>
      </c>
      <c r="I453" s="12">
        <v>1</v>
      </c>
      <c r="J453" s="12">
        <v>1</v>
      </c>
      <c r="K453">
        <f t="shared" si="36"/>
        <v>103468599.99999994</v>
      </c>
      <c r="L453">
        <f t="shared" si="37"/>
        <v>18832.668000000009</v>
      </c>
      <c r="M453">
        <f t="shared" si="37"/>
        <v>20905.969999999994</v>
      </c>
      <c r="N453" s="12">
        <f t="shared" si="34"/>
        <v>0.21599999999999758</v>
      </c>
      <c r="O453" s="12">
        <f t="shared" si="35"/>
        <v>0.24220177902621709</v>
      </c>
    </row>
    <row r="454" spans="1:15">
      <c r="A454" s="32">
        <v>45926</v>
      </c>
      <c r="B454">
        <v>179</v>
      </c>
      <c r="C454">
        <v>610199.99999998254</v>
      </c>
      <c r="D454">
        <v>4.88</v>
      </c>
      <c r="E454">
        <v>88.23</v>
      </c>
      <c r="F454">
        <v>116.34</v>
      </c>
      <c r="G454">
        <v>129.16</v>
      </c>
      <c r="H454" s="12">
        <v>1</v>
      </c>
      <c r="I454" s="12">
        <v>1</v>
      </c>
      <c r="J454" s="12">
        <v>1</v>
      </c>
      <c r="K454">
        <f t="shared" si="36"/>
        <v>104078799.99999993</v>
      </c>
      <c r="L454">
        <f t="shared" si="37"/>
        <v>18949.008000000009</v>
      </c>
      <c r="M454">
        <f t="shared" si="37"/>
        <v>21035.129999999994</v>
      </c>
      <c r="N454" s="12">
        <f t="shared" si="34"/>
        <v>0.2542499999999927</v>
      </c>
      <c r="O454" s="12">
        <f t="shared" si="35"/>
        <v>0.2422690875232773</v>
      </c>
    </row>
    <row r="455" spans="1:15">
      <c r="A455" s="32">
        <v>45927</v>
      </c>
      <c r="B455">
        <v>180</v>
      </c>
      <c r="C455">
        <v>299000</v>
      </c>
      <c r="D455">
        <v>2.4000000000000004</v>
      </c>
      <c r="E455">
        <v>72.849999999999994</v>
      </c>
      <c r="F455">
        <v>99.77000000000001</v>
      </c>
      <c r="G455">
        <v>110.49000000000001</v>
      </c>
      <c r="H455" s="12">
        <v>1</v>
      </c>
      <c r="I455" s="12">
        <v>1</v>
      </c>
      <c r="J455" s="12">
        <v>1</v>
      </c>
      <c r="K455">
        <f t="shared" si="36"/>
        <v>104377799.99999993</v>
      </c>
      <c r="L455">
        <f t="shared" si="37"/>
        <v>19048.778000000009</v>
      </c>
      <c r="M455">
        <f t="shared" si="37"/>
        <v>21145.619999999995</v>
      </c>
      <c r="N455" s="12">
        <f t="shared" si="34"/>
        <v>0.12458333333333334</v>
      </c>
      <c r="O455" s="12">
        <f t="shared" si="35"/>
        <v>0.24161527777777761</v>
      </c>
    </row>
    <row r="456" spans="1:15">
      <c r="A456" s="32">
        <v>45928</v>
      </c>
      <c r="B456">
        <v>181</v>
      </c>
      <c r="C456">
        <v>550700.00000001164</v>
      </c>
      <c r="D456">
        <v>4.4399999999999995</v>
      </c>
      <c r="E456">
        <v>84.43</v>
      </c>
      <c r="F456">
        <v>116.32000000000002</v>
      </c>
      <c r="G456">
        <v>128.97999999999999</v>
      </c>
      <c r="H456" s="12">
        <v>1</v>
      </c>
      <c r="I456" s="12">
        <v>1</v>
      </c>
      <c r="J456" s="12">
        <v>1</v>
      </c>
      <c r="K456">
        <f t="shared" si="36"/>
        <v>104928499.99999994</v>
      </c>
      <c r="L456">
        <f t="shared" si="37"/>
        <v>19165.098000000009</v>
      </c>
      <c r="M456">
        <f t="shared" si="37"/>
        <v>21274.599999999995</v>
      </c>
      <c r="N456" s="12">
        <f t="shared" si="34"/>
        <v>0.22945833333333818</v>
      </c>
      <c r="O456" s="12">
        <f t="shared" si="35"/>
        <v>0.24154811233885806</v>
      </c>
    </row>
    <row r="457" spans="1:15">
      <c r="A457" s="32">
        <v>45929</v>
      </c>
      <c r="B457">
        <v>182</v>
      </c>
      <c r="C457">
        <v>595000</v>
      </c>
      <c r="D457">
        <v>4.7200000000000006</v>
      </c>
      <c r="E457">
        <v>85.56</v>
      </c>
      <c r="F457">
        <v>116.69</v>
      </c>
      <c r="G457">
        <v>129.1</v>
      </c>
      <c r="H457" s="12">
        <v>1</v>
      </c>
      <c r="I457" s="12">
        <v>1</v>
      </c>
      <c r="J457" s="12">
        <v>1</v>
      </c>
      <c r="K457">
        <f t="shared" si="36"/>
        <v>105523499.99999994</v>
      </c>
      <c r="L457">
        <f t="shared" si="37"/>
        <v>19281.788000000008</v>
      </c>
      <c r="M457">
        <f t="shared" si="37"/>
        <v>21403.699999999993</v>
      </c>
      <c r="N457" s="12">
        <f t="shared" si="34"/>
        <v>0.24791666666666667</v>
      </c>
      <c r="O457" s="12">
        <f t="shared" si="35"/>
        <v>0.24158310439560426</v>
      </c>
    </row>
    <row r="458" spans="1:15">
      <c r="A458" s="32">
        <v>45930</v>
      </c>
      <c r="B458">
        <v>183</v>
      </c>
      <c r="C458">
        <v>653700.00000001164</v>
      </c>
      <c r="D458">
        <v>5.4399999999999995</v>
      </c>
      <c r="E458">
        <v>91.14</v>
      </c>
      <c r="F458">
        <v>116.45</v>
      </c>
      <c r="G458">
        <v>128.82</v>
      </c>
      <c r="H458" s="12">
        <v>1</v>
      </c>
      <c r="I458" s="12">
        <v>1</v>
      </c>
      <c r="J458" s="12">
        <v>1</v>
      </c>
      <c r="K458">
        <f t="shared" si="36"/>
        <v>106177199.99999996</v>
      </c>
      <c r="L458">
        <f t="shared" si="37"/>
        <v>19398.238000000008</v>
      </c>
      <c r="M458">
        <f t="shared" si="37"/>
        <v>21532.519999999993</v>
      </c>
      <c r="N458" s="12">
        <f t="shared" si="34"/>
        <v>0.27237500000000486</v>
      </c>
      <c r="O458" s="12">
        <f t="shared" si="35"/>
        <v>0.24175136612021847</v>
      </c>
    </row>
    <row r="459" spans="1:15">
      <c r="A459" s="32">
        <v>45931</v>
      </c>
      <c r="B459">
        <v>184</v>
      </c>
      <c r="C459">
        <v>621599.99999997672</v>
      </c>
      <c r="D459">
        <v>4.5150000000000006</v>
      </c>
      <c r="E459">
        <v>93.01</v>
      </c>
      <c r="F459">
        <v>98.36</v>
      </c>
      <c r="G459">
        <v>106.56</v>
      </c>
      <c r="H459" s="12">
        <v>1</v>
      </c>
      <c r="I459" s="12">
        <v>1</v>
      </c>
      <c r="J459" s="12">
        <v>1</v>
      </c>
      <c r="K459">
        <f t="shared" si="36"/>
        <v>106798799.99999993</v>
      </c>
      <c r="L459">
        <f t="shared" si="37"/>
        <v>19496.598000000009</v>
      </c>
      <c r="M459">
        <f t="shared" si="37"/>
        <v>21639.079999999994</v>
      </c>
      <c r="N459" s="12">
        <f t="shared" si="34"/>
        <v>0.25899999999999029</v>
      </c>
      <c r="O459" s="12">
        <f t="shared" si="35"/>
        <v>0.24184510869565201</v>
      </c>
    </row>
    <row r="460" spans="1:15">
      <c r="A460" s="32">
        <v>45932</v>
      </c>
      <c r="B460">
        <v>185</v>
      </c>
      <c r="C460">
        <v>565700.00000001164</v>
      </c>
      <c r="D460">
        <v>4.46</v>
      </c>
      <c r="E460">
        <v>88.65</v>
      </c>
      <c r="F460">
        <v>116.3</v>
      </c>
      <c r="G460">
        <v>128.88999999999999</v>
      </c>
      <c r="H460" s="12">
        <v>1</v>
      </c>
      <c r="I460" s="12">
        <v>1</v>
      </c>
      <c r="J460" s="12">
        <v>1</v>
      </c>
      <c r="K460">
        <f t="shared" si="36"/>
        <v>107364499.99999994</v>
      </c>
      <c r="L460">
        <f t="shared" si="37"/>
        <v>19612.898000000008</v>
      </c>
      <c r="M460">
        <f t="shared" si="37"/>
        <v>21767.969999999994</v>
      </c>
      <c r="N460" s="12">
        <f t="shared" si="34"/>
        <v>0.23570833333333818</v>
      </c>
      <c r="O460" s="12">
        <f t="shared" si="35"/>
        <v>0.24181193693693681</v>
      </c>
    </row>
    <row r="461" spans="1:15">
      <c r="A461" s="32">
        <v>45933</v>
      </c>
      <c r="B461">
        <v>186</v>
      </c>
      <c r="C461" s="8">
        <v>374899.99999999418</v>
      </c>
      <c r="D461" s="8">
        <v>2.8650000000000002</v>
      </c>
      <c r="E461" s="8">
        <v>49.91</v>
      </c>
      <c r="F461" s="8">
        <v>116.51</v>
      </c>
      <c r="G461">
        <v>129.09</v>
      </c>
      <c r="H461" s="12">
        <v>1</v>
      </c>
      <c r="I461" s="12">
        <v>1</v>
      </c>
      <c r="J461" s="12">
        <v>1</v>
      </c>
      <c r="K461">
        <f t="shared" si="36"/>
        <v>107739399.99999994</v>
      </c>
      <c r="L461">
        <f t="shared" si="37"/>
        <v>19729.408000000007</v>
      </c>
      <c r="M461">
        <f t="shared" si="37"/>
        <v>21897.059999999994</v>
      </c>
      <c r="N461" s="12">
        <f t="shared" si="34"/>
        <v>0.1562083333333309</v>
      </c>
      <c r="O461" s="12">
        <f t="shared" si="35"/>
        <v>0.24135170250896043</v>
      </c>
    </row>
    <row r="462" spans="1:15">
      <c r="A462" s="32">
        <v>45934</v>
      </c>
      <c r="B462">
        <v>187</v>
      </c>
      <c r="C462" s="8">
        <v>433200.00000001164</v>
      </c>
      <c r="D462" s="8">
        <v>3.4000000000000004</v>
      </c>
      <c r="E462" s="8">
        <v>78.66</v>
      </c>
      <c r="F462" s="8">
        <v>106.74</v>
      </c>
      <c r="G462">
        <v>118.5</v>
      </c>
      <c r="H462" s="39">
        <v>1</v>
      </c>
      <c r="I462" s="39">
        <v>1</v>
      </c>
      <c r="J462" s="12">
        <v>1</v>
      </c>
      <c r="K462">
        <f t="shared" si="36"/>
        <v>108172599.99999996</v>
      </c>
      <c r="L462">
        <f t="shared" si="37"/>
        <v>19836.148000000008</v>
      </c>
      <c r="M462">
        <f t="shared" si="37"/>
        <v>22015.559999999994</v>
      </c>
      <c r="N462" s="12">
        <f t="shared" ref="N462:N506" si="38">C462/(100000*24)</f>
        <v>0.18050000000000485</v>
      </c>
      <c r="O462" s="12">
        <f t="shared" si="35"/>
        <v>0.24102629233511577</v>
      </c>
    </row>
    <row r="463" spans="1:15">
      <c r="A463" s="32">
        <v>45935</v>
      </c>
      <c r="B463">
        <v>188</v>
      </c>
      <c r="C463" s="8">
        <v>368699.99999998254</v>
      </c>
      <c r="D463" s="8">
        <v>2.9450000000000003</v>
      </c>
      <c r="E463" s="8">
        <v>74.77</v>
      </c>
      <c r="F463" s="8">
        <v>101.33000000000001</v>
      </c>
      <c r="G463">
        <v>113.31</v>
      </c>
      <c r="H463" s="39">
        <v>1</v>
      </c>
      <c r="I463" s="39">
        <v>1</v>
      </c>
      <c r="J463" s="12">
        <v>1</v>
      </c>
      <c r="K463">
        <f t="shared" ref="K463:K506" si="39">K462+C463</f>
        <v>108541299.99999994</v>
      </c>
      <c r="L463">
        <f t="shared" ref="L463:M506" si="40">L462+F463</f>
        <v>19937.47800000001</v>
      </c>
      <c r="M463">
        <f t="shared" si="40"/>
        <v>22128.869999999995</v>
      </c>
      <c r="N463" s="12">
        <f t="shared" si="38"/>
        <v>0.15362499999999271</v>
      </c>
      <c r="O463" s="12">
        <f t="shared" ref="O463:O506" si="41">K463/(B463*100000*24)</f>
        <v>0.24056139184397149</v>
      </c>
    </row>
    <row r="464" spans="1:15">
      <c r="A464" s="32">
        <v>45936</v>
      </c>
      <c r="B464">
        <v>189</v>
      </c>
      <c r="C464" s="8">
        <v>498200.00000001164</v>
      </c>
      <c r="D464" s="8">
        <v>4.1150000000000002</v>
      </c>
      <c r="E464" s="8">
        <v>84.29</v>
      </c>
      <c r="F464" s="8">
        <v>116.62</v>
      </c>
      <c r="G464">
        <v>128.93</v>
      </c>
      <c r="H464" s="39">
        <v>1</v>
      </c>
      <c r="I464" s="39">
        <v>1</v>
      </c>
      <c r="J464" s="12">
        <v>1</v>
      </c>
      <c r="K464">
        <f t="shared" si="39"/>
        <v>109039499.99999996</v>
      </c>
      <c r="L464">
        <f t="shared" si="40"/>
        <v>20054.098000000009</v>
      </c>
      <c r="M464">
        <f t="shared" si="40"/>
        <v>22257.799999999996</v>
      </c>
      <c r="N464" s="12">
        <f t="shared" si="38"/>
        <v>0.20758333333333817</v>
      </c>
      <c r="O464" s="12">
        <f t="shared" si="41"/>
        <v>0.24038690476190466</v>
      </c>
    </row>
    <row r="465" spans="1:15">
      <c r="A465" s="32">
        <v>45937</v>
      </c>
      <c r="B465">
        <v>190</v>
      </c>
      <c r="C465" s="8">
        <v>602000</v>
      </c>
      <c r="D465" s="8">
        <v>4.92</v>
      </c>
      <c r="E465" s="8">
        <v>90.42</v>
      </c>
      <c r="F465" s="8">
        <v>116.47</v>
      </c>
      <c r="G465">
        <v>129.03</v>
      </c>
      <c r="H465" s="39">
        <v>1</v>
      </c>
      <c r="I465" s="39">
        <v>1</v>
      </c>
      <c r="J465" s="12">
        <v>1</v>
      </c>
      <c r="K465">
        <f t="shared" si="39"/>
        <v>109641499.99999996</v>
      </c>
      <c r="L465">
        <f t="shared" si="40"/>
        <v>20170.56800000001</v>
      </c>
      <c r="M465">
        <f t="shared" si="40"/>
        <v>22386.829999999994</v>
      </c>
      <c r="N465" s="12">
        <f t="shared" si="38"/>
        <v>0.25083333333333335</v>
      </c>
      <c r="O465" s="12">
        <f t="shared" si="41"/>
        <v>0.24044188596491217</v>
      </c>
    </row>
    <row r="466" spans="1:15">
      <c r="A466" s="32">
        <v>45938</v>
      </c>
      <c r="B466">
        <v>191</v>
      </c>
      <c r="C466" s="8">
        <v>653799.99999998836</v>
      </c>
      <c r="D466" s="8">
        <v>5.3849999999999998</v>
      </c>
      <c r="E466" s="8">
        <v>87.94</v>
      </c>
      <c r="F466" s="8">
        <v>116.88</v>
      </c>
      <c r="G466">
        <v>128.16999999999999</v>
      </c>
      <c r="H466" s="39">
        <v>1</v>
      </c>
      <c r="I466" s="39">
        <v>1</v>
      </c>
      <c r="J466" s="12">
        <v>1</v>
      </c>
      <c r="K466">
        <f t="shared" si="39"/>
        <v>110295299.99999994</v>
      </c>
      <c r="L466">
        <f t="shared" si="40"/>
        <v>20287.448000000011</v>
      </c>
      <c r="M466">
        <f t="shared" si="40"/>
        <v>22514.999999999993</v>
      </c>
      <c r="N466" s="12">
        <f t="shared" si="38"/>
        <v>0.27241666666666181</v>
      </c>
      <c r="O466" s="12">
        <f t="shared" si="41"/>
        <v>0.24060929319371716</v>
      </c>
    </row>
    <row r="467" spans="1:15">
      <c r="A467" s="32">
        <v>45939</v>
      </c>
      <c r="B467">
        <v>192</v>
      </c>
      <c r="C467" s="8">
        <v>754400.00000002328</v>
      </c>
      <c r="D467" s="8">
        <v>6.07</v>
      </c>
      <c r="E467" s="8">
        <v>90.77</v>
      </c>
      <c r="F467" s="8">
        <v>116.59</v>
      </c>
      <c r="G467">
        <v>130.24</v>
      </c>
      <c r="H467" s="39">
        <v>1</v>
      </c>
      <c r="I467" s="39">
        <v>1</v>
      </c>
      <c r="J467" s="12">
        <v>1</v>
      </c>
      <c r="K467">
        <f t="shared" si="39"/>
        <v>111049699.99999997</v>
      </c>
      <c r="L467">
        <f t="shared" si="40"/>
        <v>20404.038000000011</v>
      </c>
      <c r="M467">
        <f t="shared" si="40"/>
        <v>22645.239999999994</v>
      </c>
      <c r="N467" s="12">
        <f t="shared" si="38"/>
        <v>0.31433333333334301</v>
      </c>
      <c r="O467" s="12">
        <f t="shared" si="41"/>
        <v>0.24099327256944439</v>
      </c>
    </row>
    <row r="468" spans="1:15">
      <c r="A468" s="32">
        <v>45940</v>
      </c>
      <c r="B468">
        <v>193</v>
      </c>
      <c r="C468" s="8">
        <v>441299.99999998836</v>
      </c>
      <c r="D468" s="8">
        <v>3.5150000000000001</v>
      </c>
      <c r="E468" s="8">
        <v>64.180000000000007</v>
      </c>
      <c r="F468" s="8">
        <v>116.70000000000002</v>
      </c>
      <c r="G468">
        <v>128.88</v>
      </c>
      <c r="H468" s="39">
        <v>1</v>
      </c>
      <c r="I468" s="39">
        <v>1</v>
      </c>
      <c r="J468" s="12">
        <v>1</v>
      </c>
      <c r="K468">
        <f t="shared" si="39"/>
        <v>111490999.99999996</v>
      </c>
      <c r="L468">
        <f t="shared" si="40"/>
        <v>20520.738000000012</v>
      </c>
      <c r="M468">
        <f t="shared" si="40"/>
        <v>22774.119999999995</v>
      </c>
      <c r="N468" s="12">
        <f t="shared" si="38"/>
        <v>0.18387499999999515</v>
      </c>
      <c r="O468" s="12">
        <f t="shared" si="41"/>
        <v>0.24069732297063895</v>
      </c>
    </row>
    <row r="469" spans="1:15">
      <c r="A469" s="32">
        <v>45941</v>
      </c>
      <c r="B469">
        <v>194</v>
      </c>
      <c r="C469" s="8">
        <v>472399.99999999418</v>
      </c>
      <c r="D469" s="8">
        <v>3.84</v>
      </c>
      <c r="E469" s="8">
        <v>74.239999999999995</v>
      </c>
      <c r="F469" s="8">
        <v>116.63</v>
      </c>
      <c r="G469">
        <v>129.32999999999998</v>
      </c>
      <c r="H469" s="39">
        <v>1</v>
      </c>
      <c r="I469" s="39">
        <v>1</v>
      </c>
      <c r="J469" s="12">
        <v>1</v>
      </c>
      <c r="K469">
        <f t="shared" si="39"/>
        <v>111963399.99999996</v>
      </c>
      <c r="L469">
        <f t="shared" si="40"/>
        <v>20637.368000000013</v>
      </c>
      <c r="M469">
        <f t="shared" si="40"/>
        <v>22903.449999999997</v>
      </c>
      <c r="N469" s="12">
        <f t="shared" si="38"/>
        <v>0.19683333333333092</v>
      </c>
      <c r="O469" s="12">
        <f t="shared" si="41"/>
        <v>0.24047121993127138</v>
      </c>
    </row>
    <row r="470" spans="1:15">
      <c r="A470" s="32">
        <v>45942</v>
      </c>
      <c r="B470">
        <v>195</v>
      </c>
      <c r="C470" s="8">
        <v>566400.00000002328</v>
      </c>
      <c r="D470" s="8">
        <v>4.4800000000000004</v>
      </c>
      <c r="E470" s="8">
        <v>78.92</v>
      </c>
      <c r="F470" s="8">
        <v>116.62</v>
      </c>
      <c r="G470">
        <v>128.78</v>
      </c>
      <c r="H470" s="39">
        <v>1</v>
      </c>
      <c r="I470" s="39">
        <v>1</v>
      </c>
      <c r="J470" s="12">
        <v>1</v>
      </c>
      <c r="K470">
        <f t="shared" si="39"/>
        <v>112529799.99999999</v>
      </c>
      <c r="L470">
        <f t="shared" si="40"/>
        <v>20753.988000000012</v>
      </c>
      <c r="M470">
        <f t="shared" si="40"/>
        <v>23032.229999999996</v>
      </c>
      <c r="N470" s="12">
        <f t="shared" si="38"/>
        <v>0.2360000000000097</v>
      </c>
      <c r="O470" s="12">
        <f t="shared" si="41"/>
        <v>0.24044829059829056</v>
      </c>
    </row>
    <row r="471" spans="1:15">
      <c r="A471" s="32">
        <v>45943</v>
      </c>
      <c r="B471">
        <v>196</v>
      </c>
      <c r="C471" s="8">
        <v>695499.9999999709</v>
      </c>
      <c r="D471" s="8">
        <v>5.3849999999999998</v>
      </c>
      <c r="E471" s="8">
        <v>89.06</v>
      </c>
      <c r="F471" s="8">
        <v>116.74</v>
      </c>
      <c r="G471">
        <v>128.84</v>
      </c>
      <c r="H471" s="39">
        <v>1</v>
      </c>
      <c r="I471" s="39">
        <v>1</v>
      </c>
      <c r="J471" s="12">
        <v>1</v>
      </c>
      <c r="K471">
        <f t="shared" si="39"/>
        <v>113225299.99999996</v>
      </c>
      <c r="L471">
        <f t="shared" si="40"/>
        <v>20870.728000000014</v>
      </c>
      <c r="M471">
        <f t="shared" si="40"/>
        <v>23161.069999999996</v>
      </c>
      <c r="N471" s="12">
        <f t="shared" si="38"/>
        <v>0.28979166666665451</v>
      </c>
      <c r="O471" s="12">
        <f t="shared" si="41"/>
        <v>0.24070004251700672</v>
      </c>
    </row>
    <row r="472" spans="1:15">
      <c r="A472" s="32">
        <v>45944</v>
      </c>
      <c r="B472">
        <v>197</v>
      </c>
      <c r="C472" s="8">
        <v>711800.00000001746</v>
      </c>
      <c r="D472" s="8">
        <v>5.5500000000000007</v>
      </c>
      <c r="E472" s="8">
        <v>89.63</v>
      </c>
      <c r="F472" s="8">
        <v>117.03</v>
      </c>
      <c r="G472">
        <v>128.32000000000002</v>
      </c>
      <c r="H472" s="39">
        <v>1</v>
      </c>
      <c r="I472" s="39">
        <v>1</v>
      </c>
      <c r="J472" s="12">
        <v>1</v>
      </c>
      <c r="K472">
        <f t="shared" si="39"/>
        <v>113937099.99999997</v>
      </c>
      <c r="L472">
        <f t="shared" si="40"/>
        <v>20987.758000000013</v>
      </c>
      <c r="M472">
        <f t="shared" si="40"/>
        <v>23289.389999999996</v>
      </c>
      <c r="N472" s="12">
        <f t="shared" si="38"/>
        <v>0.29658333333334058</v>
      </c>
      <c r="O472" s="12">
        <f t="shared" si="41"/>
        <v>0.24098371404399316</v>
      </c>
    </row>
    <row r="473" spans="1:15">
      <c r="A473" s="32">
        <v>45945</v>
      </c>
      <c r="B473">
        <v>198</v>
      </c>
      <c r="C473" s="8">
        <v>660399.99999999418</v>
      </c>
      <c r="D473" s="8">
        <v>5.2249999999999996</v>
      </c>
      <c r="E473" s="8">
        <v>85.52</v>
      </c>
      <c r="F473" s="8">
        <v>116.75</v>
      </c>
      <c r="G473">
        <v>128.74</v>
      </c>
      <c r="H473" s="39">
        <v>0.99864561310782241</v>
      </c>
      <c r="I473" s="39">
        <v>1</v>
      </c>
      <c r="J473" s="12">
        <v>1</v>
      </c>
      <c r="K473">
        <f t="shared" si="39"/>
        <v>114597499.99999997</v>
      </c>
      <c r="L473">
        <f t="shared" si="40"/>
        <v>21104.508000000013</v>
      </c>
      <c r="M473">
        <f t="shared" si="40"/>
        <v>23418.129999999997</v>
      </c>
      <c r="N473" s="12">
        <f t="shared" si="38"/>
        <v>0.27516666666666423</v>
      </c>
      <c r="O473" s="12">
        <f t="shared" si="41"/>
        <v>0.24115635521885515</v>
      </c>
    </row>
    <row r="474" spans="1:15">
      <c r="A474" s="32">
        <v>45946</v>
      </c>
      <c r="B474">
        <v>199</v>
      </c>
      <c r="C474" s="8">
        <v>616971</v>
      </c>
      <c r="D474" s="8">
        <v>4.54</v>
      </c>
      <c r="E474" s="8">
        <v>87.22</v>
      </c>
      <c r="F474" s="8">
        <v>116.53</v>
      </c>
      <c r="G474" s="8">
        <v>129.05000000000001</v>
      </c>
      <c r="H474" s="39">
        <v>1</v>
      </c>
      <c r="I474" s="39">
        <v>1</v>
      </c>
      <c r="J474" s="12">
        <v>1</v>
      </c>
      <c r="K474">
        <f t="shared" si="39"/>
        <v>115214470.99999997</v>
      </c>
      <c r="L474">
        <f t="shared" si="40"/>
        <v>21221.038000000011</v>
      </c>
      <c r="M474">
        <f t="shared" si="40"/>
        <v>23547.179999999997</v>
      </c>
      <c r="N474" s="12">
        <f t="shared" si="38"/>
        <v>0.25707124999999997</v>
      </c>
      <c r="O474" s="12">
        <f t="shared" si="41"/>
        <v>0.24123632956448904</v>
      </c>
    </row>
    <row r="475" spans="1:15">
      <c r="A475" s="32">
        <v>45947</v>
      </c>
      <c r="B475">
        <v>200</v>
      </c>
      <c r="C475" s="8">
        <v>597400</v>
      </c>
      <c r="D475" s="8">
        <v>4.7</v>
      </c>
      <c r="E475" s="8">
        <v>79.959999999999994</v>
      </c>
      <c r="F475" s="8">
        <v>116.57</v>
      </c>
      <c r="G475" s="8">
        <v>129</v>
      </c>
      <c r="H475" s="39">
        <v>1</v>
      </c>
      <c r="I475" s="39">
        <v>1</v>
      </c>
      <c r="J475" s="12">
        <v>1</v>
      </c>
      <c r="K475">
        <f t="shared" si="39"/>
        <v>115811870.99999997</v>
      </c>
      <c r="L475">
        <f t="shared" si="40"/>
        <v>21337.608000000011</v>
      </c>
      <c r="M475">
        <f t="shared" si="40"/>
        <v>23676.179999999997</v>
      </c>
      <c r="N475" s="12">
        <f t="shared" si="38"/>
        <v>0.24891666666666667</v>
      </c>
      <c r="O475" s="12">
        <f t="shared" si="41"/>
        <v>0.24127473124999993</v>
      </c>
    </row>
    <row r="476" spans="1:15">
      <c r="A476" s="32">
        <v>45948</v>
      </c>
      <c r="B476">
        <v>201</v>
      </c>
      <c r="C476" s="8">
        <v>697516</v>
      </c>
      <c r="D476" s="8">
        <v>5.2</v>
      </c>
      <c r="E476" s="8">
        <v>86.73</v>
      </c>
      <c r="F476" s="8">
        <v>116.62</v>
      </c>
      <c r="G476" s="8">
        <v>129.31</v>
      </c>
      <c r="H476" s="39">
        <v>1</v>
      </c>
      <c r="I476" s="39">
        <v>1</v>
      </c>
      <c r="J476" s="12">
        <v>1</v>
      </c>
      <c r="K476">
        <f t="shared" si="39"/>
        <v>116509386.99999997</v>
      </c>
      <c r="L476">
        <f t="shared" si="40"/>
        <v>21454.22800000001</v>
      </c>
      <c r="M476">
        <f t="shared" si="40"/>
        <v>23805.489999999998</v>
      </c>
      <c r="N476" s="12">
        <f t="shared" si="38"/>
        <v>0.29063166666666668</v>
      </c>
      <c r="O476" s="12">
        <f t="shared" si="41"/>
        <v>0.24152028814262017</v>
      </c>
    </row>
    <row r="477" spans="1:15">
      <c r="A477" s="32">
        <v>45949</v>
      </c>
      <c r="B477">
        <v>202</v>
      </c>
      <c r="C477" s="8">
        <v>745122</v>
      </c>
      <c r="D477" s="8">
        <v>5.45</v>
      </c>
      <c r="E477" s="8">
        <v>90.08</v>
      </c>
      <c r="F477" s="8">
        <v>116.71</v>
      </c>
      <c r="G477" s="8">
        <v>128.99</v>
      </c>
      <c r="H477" s="39">
        <v>1</v>
      </c>
      <c r="I477" s="39">
        <v>1</v>
      </c>
      <c r="J477" s="12">
        <v>1</v>
      </c>
      <c r="K477">
        <f t="shared" si="39"/>
        <v>117254508.99999997</v>
      </c>
      <c r="L477">
        <f t="shared" si="40"/>
        <v>21570.938000000009</v>
      </c>
      <c r="M477">
        <f t="shared" si="40"/>
        <v>23934.48</v>
      </c>
      <c r="N477" s="12">
        <f t="shared" si="38"/>
        <v>0.31046750000000001</v>
      </c>
      <c r="O477" s="12">
        <f t="shared" si="41"/>
        <v>0.24186161097359729</v>
      </c>
    </row>
    <row r="478" spans="1:15">
      <c r="A478" s="32">
        <v>45950</v>
      </c>
      <c r="B478">
        <v>203</v>
      </c>
      <c r="C478" s="8">
        <v>541607.5</v>
      </c>
      <c r="D478" s="8">
        <v>4.09</v>
      </c>
      <c r="E478" s="8">
        <v>76.11</v>
      </c>
      <c r="F478" s="8">
        <v>116.49</v>
      </c>
      <c r="G478" s="8">
        <v>129.02000000000001</v>
      </c>
      <c r="H478" s="39">
        <v>1</v>
      </c>
      <c r="I478" s="39">
        <v>1</v>
      </c>
      <c r="J478" s="12">
        <v>1</v>
      </c>
      <c r="K478">
        <f t="shared" si="39"/>
        <v>117796116.49999997</v>
      </c>
      <c r="L478">
        <f t="shared" si="40"/>
        <v>21687.428000000011</v>
      </c>
      <c r="M478">
        <f t="shared" si="40"/>
        <v>24063.5</v>
      </c>
      <c r="N478" s="12">
        <f t="shared" si="38"/>
        <v>0.22566979166666667</v>
      </c>
      <c r="O478" s="12">
        <f t="shared" si="41"/>
        <v>0.24178184831691291</v>
      </c>
    </row>
    <row r="479" spans="1:15">
      <c r="A479" s="32">
        <v>45951</v>
      </c>
      <c r="B479">
        <v>204</v>
      </c>
      <c r="C479" s="8">
        <v>600813.19999999995</v>
      </c>
      <c r="D479" s="8">
        <v>4.4400000000000004</v>
      </c>
      <c r="E479" s="8">
        <v>92.66</v>
      </c>
      <c r="F479" s="8">
        <v>116.67</v>
      </c>
      <c r="G479" s="8">
        <v>128.80000000000001</v>
      </c>
      <c r="H479" s="39">
        <v>1</v>
      </c>
      <c r="I479" s="39">
        <v>1</v>
      </c>
      <c r="J479" s="12">
        <v>1</v>
      </c>
      <c r="K479">
        <f t="shared" si="39"/>
        <v>118396929.69999997</v>
      </c>
      <c r="L479">
        <f t="shared" si="40"/>
        <v>21804.098000000009</v>
      </c>
      <c r="M479">
        <f t="shared" si="40"/>
        <v>24192.3</v>
      </c>
      <c r="N479" s="12">
        <f t="shared" si="38"/>
        <v>0.25033883333333329</v>
      </c>
      <c r="O479" s="12">
        <f t="shared" si="41"/>
        <v>0.24182379432189538</v>
      </c>
    </row>
    <row r="480" spans="1:15">
      <c r="A480" s="32">
        <v>45952</v>
      </c>
      <c r="B480">
        <v>205</v>
      </c>
      <c r="C480" s="8">
        <v>678041.59999999998</v>
      </c>
      <c r="D480" s="8">
        <v>4.88</v>
      </c>
      <c r="E480" s="8">
        <v>89.25</v>
      </c>
      <c r="F480" s="8">
        <v>116.59</v>
      </c>
      <c r="G480" s="8">
        <v>128.91999999999999</v>
      </c>
      <c r="H480" s="39">
        <v>1</v>
      </c>
      <c r="I480" s="39">
        <v>1</v>
      </c>
      <c r="J480" s="12">
        <v>1</v>
      </c>
      <c r="K480">
        <f t="shared" si="39"/>
        <v>119074971.29999997</v>
      </c>
      <c r="L480">
        <f t="shared" si="40"/>
        <v>21920.688000000009</v>
      </c>
      <c r="M480">
        <f t="shared" si="40"/>
        <v>24321.219999999998</v>
      </c>
      <c r="N480" s="12">
        <f t="shared" si="38"/>
        <v>0.28251733333333334</v>
      </c>
      <c r="O480" s="12">
        <f t="shared" si="41"/>
        <v>0.24202229939024383</v>
      </c>
    </row>
    <row r="481" spans="1:16">
      <c r="A481" s="32">
        <v>45953</v>
      </c>
      <c r="B481">
        <v>206</v>
      </c>
      <c r="C481" s="8">
        <v>657900</v>
      </c>
      <c r="D481" s="8">
        <v>5.08</v>
      </c>
      <c r="E481" s="8">
        <v>90.23</v>
      </c>
      <c r="F481" s="8">
        <v>116.7</v>
      </c>
      <c r="G481" s="8">
        <v>128.87</v>
      </c>
      <c r="H481" s="39">
        <v>1</v>
      </c>
      <c r="I481" s="39">
        <v>1</v>
      </c>
      <c r="J481" s="12">
        <v>1</v>
      </c>
      <c r="K481">
        <f t="shared" si="39"/>
        <v>119732871.29999997</v>
      </c>
      <c r="L481">
        <f t="shared" si="40"/>
        <v>22037.38800000001</v>
      </c>
      <c r="M481">
        <f t="shared" si="40"/>
        <v>24450.089999999997</v>
      </c>
      <c r="N481" s="12">
        <f t="shared" si="38"/>
        <v>0.27412500000000001</v>
      </c>
      <c r="O481" s="12">
        <f t="shared" si="41"/>
        <v>0.24217813774271837</v>
      </c>
    </row>
    <row r="482" spans="1:16">
      <c r="A482" s="32">
        <v>45954</v>
      </c>
      <c r="B482">
        <v>207</v>
      </c>
      <c r="C482" s="8">
        <v>643667</v>
      </c>
      <c r="D482" s="8">
        <v>4.9000000000000004</v>
      </c>
      <c r="E482" s="8">
        <v>84.18</v>
      </c>
      <c r="F482" s="8">
        <v>116.51</v>
      </c>
      <c r="G482" s="8">
        <v>128.65</v>
      </c>
      <c r="H482" s="39">
        <v>1</v>
      </c>
      <c r="I482" s="39">
        <v>1</v>
      </c>
      <c r="J482" s="12">
        <v>1</v>
      </c>
      <c r="K482">
        <f t="shared" si="39"/>
        <v>120376538.29999997</v>
      </c>
      <c r="L482">
        <f t="shared" si="40"/>
        <v>22153.898000000008</v>
      </c>
      <c r="M482">
        <f t="shared" si="40"/>
        <v>24578.739999999998</v>
      </c>
      <c r="N482" s="12">
        <f t="shared" si="38"/>
        <v>0.26819458333333335</v>
      </c>
      <c r="O482" s="12">
        <f t="shared" si="41"/>
        <v>0.24230382105475035</v>
      </c>
    </row>
    <row r="483" spans="1:16">
      <c r="A483" s="32">
        <v>45955</v>
      </c>
      <c r="B483">
        <v>208</v>
      </c>
      <c r="C483" s="8">
        <v>352070</v>
      </c>
      <c r="D483" s="8">
        <v>2.65</v>
      </c>
      <c r="E483" s="8">
        <v>71.03</v>
      </c>
      <c r="F483" s="8">
        <v>81.489999999999995</v>
      </c>
      <c r="G483" s="8">
        <v>93.96</v>
      </c>
      <c r="H483" s="39">
        <v>1</v>
      </c>
      <c r="I483" s="39">
        <v>1</v>
      </c>
      <c r="J483" s="12">
        <v>1</v>
      </c>
      <c r="K483">
        <f>K482+C483</f>
        <v>120728608.29999997</v>
      </c>
      <c r="L483">
        <f>L482+F483</f>
        <v>22235.38800000001</v>
      </c>
      <c r="M483">
        <f>M482+G483</f>
        <v>24672.699999999997</v>
      </c>
      <c r="N483" s="12">
        <f>C483/(100000*24)</f>
        <v>0.14669583333333333</v>
      </c>
      <c r="O483" s="12">
        <f t="shared" si="41"/>
        <v>0.24184416726762814</v>
      </c>
      <c r="P483" s="59" t="s">
        <v>97</v>
      </c>
    </row>
    <row r="484" spans="1:16">
      <c r="A484" s="32">
        <v>45956</v>
      </c>
      <c r="B484">
        <v>209</v>
      </c>
      <c r="C484" s="8">
        <v>467613</v>
      </c>
      <c r="D484" s="8">
        <v>3.35</v>
      </c>
      <c r="E484" s="8">
        <v>69.44</v>
      </c>
      <c r="F484" s="8">
        <v>116.68</v>
      </c>
      <c r="G484" s="8">
        <v>128.78</v>
      </c>
      <c r="H484" s="39">
        <v>1</v>
      </c>
      <c r="I484" s="39">
        <v>1</v>
      </c>
      <c r="J484" s="12">
        <v>1</v>
      </c>
      <c r="K484">
        <f>K483+C484</f>
        <v>121196221.29999997</v>
      </c>
      <c r="L484">
        <f>L483+F484</f>
        <v>22352.06800000001</v>
      </c>
      <c r="M484">
        <f>M483+G484</f>
        <v>24801.479999999996</v>
      </c>
      <c r="N484" s="12">
        <f>C484/(100000*24)</f>
        <v>0.19483875</v>
      </c>
      <c r="O484" s="12">
        <f t="shared" si="41"/>
        <v>0.24161926096491221</v>
      </c>
    </row>
    <row r="485" spans="1:16">
      <c r="A485" s="32">
        <v>45957</v>
      </c>
      <c r="B485">
        <v>210</v>
      </c>
      <c r="C485" s="8">
        <v>553592</v>
      </c>
      <c r="D485" s="8">
        <v>3.95</v>
      </c>
      <c r="E485" s="8">
        <v>87.85</v>
      </c>
      <c r="F485" s="8">
        <v>114.41</v>
      </c>
      <c r="G485" s="8">
        <v>128.96</v>
      </c>
      <c r="H485" s="39">
        <v>1</v>
      </c>
      <c r="I485" s="39">
        <v>1</v>
      </c>
      <c r="J485" s="12">
        <v>1</v>
      </c>
      <c r="K485">
        <f t="shared" si="39"/>
        <v>121749813.29999997</v>
      </c>
      <c r="L485">
        <f t="shared" si="40"/>
        <v>22466.47800000001</v>
      </c>
      <c r="M485">
        <f t="shared" si="40"/>
        <v>24930.439999999995</v>
      </c>
      <c r="N485" s="12">
        <f t="shared" si="38"/>
        <v>0.23066333333333333</v>
      </c>
      <c r="O485" s="12">
        <f t="shared" si="41"/>
        <v>0.24156708988095232</v>
      </c>
      <c r="P485" s="59" t="s">
        <v>97</v>
      </c>
    </row>
    <row r="486" spans="1:16">
      <c r="A486" s="32">
        <v>45958</v>
      </c>
      <c r="B486">
        <v>211</v>
      </c>
      <c r="C486" s="8">
        <v>236143</v>
      </c>
      <c r="D486" s="8">
        <v>1.79</v>
      </c>
      <c r="E486" s="8">
        <v>60.01</v>
      </c>
      <c r="F486" s="8">
        <v>35.4</v>
      </c>
      <c r="G486" s="8">
        <v>38.24</v>
      </c>
      <c r="H486" s="39">
        <v>1</v>
      </c>
      <c r="I486" s="39">
        <v>1</v>
      </c>
      <c r="J486" s="12">
        <v>1</v>
      </c>
      <c r="K486">
        <f t="shared" si="39"/>
        <v>121985956.29999997</v>
      </c>
      <c r="L486">
        <f t="shared" si="40"/>
        <v>22501.878000000012</v>
      </c>
      <c r="M486">
        <f t="shared" si="40"/>
        <v>24968.679999999997</v>
      </c>
      <c r="N486" s="12">
        <f t="shared" si="38"/>
        <v>9.8392916666666663E-2</v>
      </c>
      <c r="O486" s="12">
        <f t="shared" si="41"/>
        <v>0.24088853929699836</v>
      </c>
      <c r="P486" s="59" t="s">
        <v>97</v>
      </c>
    </row>
    <row r="487" spans="1:16">
      <c r="A487" s="32">
        <v>45959</v>
      </c>
      <c r="B487">
        <v>212</v>
      </c>
      <c r="C487" s="8">
        <v>215225.7</v>
      </c>
      <c r="D487" s="8">
        <v>1.6</v>
      </c>
      <c r="E487" s="8">
        <v>53.88</v>
      </c>
      <c r="F487" s="8">
        <v>22.78</v>
      </c>
      <c r="G487" s="8">
        <v>25.41</v>
      </c>
      <c r="H487" s="39">
        <v>1</v>
      </c>
      <c r="I487" s="39">
        <v>1</v>
      </c>
      <c r="J487" s="12">
        <v>1</v>
      </c>
      <c r="K487">
        <f t="shared" si="39"/>
        <v>122201181.99999997</v>
      </c>
      <c r="L487">
        <f t="shared" si="40"/>
        <v>22524.65800000001</v>
      </c>
      <c r="M487">
        <f t="shared" si="40"/>
        <v>24994.089999999997</v>
      </c>
      <c r="N487" s="12">
        <f t="shared" si="38"/>
        <v>8.9677375000000004E-2</v>
      </c>
      <c r="O487" s="12">
        <f t="shared" si="41"/>
        <v>0.24017527908805025</v>
      </c>
      <c r="P487" s="59" t="s">
        <v>97</v>
      </c>
    </row>
    <row r="488" spans="1:16">
      <c r="A488" s="32">
        <v>45960</v>
      </c>
      <c r="B488">
        <v>213</v>
      </c>
      <c r="C488" s="8">
        <v>102167.5</v>
      </c>
      <c r="D488" s="8">
        <v>0.74</v>
      </c>
      <c r="E488" s="8">
        <v>22.57</v>
      </c>
      <c r="F488" s="8">
        <v>0</v>
      </c>
      <c r="G488" s="8">
        <v>0</v>
      </c>
      <c r="H488" s="39">
        <v>1</v>
      </c>
      <c r="I488" s="39">
        <v>1</v>
      </c>
      <c r="J488" s="12">
        <v>1</v>
      </c>
      <c r="K488">
        <f t="shared" si="39"/>
        <v>122303349.49999997</v>
      </c>
      <c r="L488">
        <f t="shared" si="40"/>
        <v>22524.65800000001</v>
      </c>
      <c r="M488">
        <f t="shared" si="40"/>
        <v>24994.089999999997</v>
      </c>
      <c r="N488" s="12">
        <f t="shared" si="38"/>
        <v>4.2569791666666669E-2</v>
      </c>
      <c r="O488" s="12">
        <f t="shared" si="41"/>
        <v>0.23924755379499213</v>
      </c>
      <c r="P488" s="59" t="s">
        <v>103</v>
      </c>
    </row>
    <row r="489" spans="1:16">
      <c r="A489" s="32">
        <v>45961</v>
      </c>
      <c r="B489">
        <v>214</v>
      </c>
      <c r="C489" s="8">
        <v>228151.8</v>
      </c>
      <c r="D489" s="8">
        <v>1.72</v>
      </c>
      <c r="E489" s="8">
        <v>47.65</v>
      </c>
      <c r="F489" s="8">
        <v>13.72</v>
      </c>
      <c r="G489" s="8">
        <v>17.34</v>
      </c>
      <c r="H489" s="39">
        <v>1</v>
      </c>
      <c r="I489" s="39">
        <v>1</v>
      </c>
      <c r="J489" s="12">
        <v>1</v>
      </c>
      <c r="K489">
        <f t="shared" si="39"/>
        <v>122531501.29999997</v>
      </c>
      <c r="L489">
        <f t="shared" si="40"/>
        <v>22538.378000000012</v>
      </c>
      <c r="M489">
        <f t="shared" si="40"/>
        <v>25011.429999999997</v>
      </c>
      <c r="N489" s="12">
        <f t="shared" si="38"/>
        <v>9.5063250000000002E-2</v>
      </c>
      <c r="O489" s="12">
        <f t="shared" si="41"/>
        <v>0.23857379536604356</v>
      </c>
      <c r="P489" s="59" t="s">
        <v>97</v>
      </c>
    </row>
    <row r="490" spans="1:16">
      <c r="A490" s="32">
        <v>45962</v>
      </c>
      <c r="B490">
        <v>215</v>
      </c>
      <c r="C490" s="8">
        <v>546300</v>
      </c>
      <c r="D490" s="8">
        <v>4.3099999999999996</v>
      </c>
      <c r="E490" s="8">
        <v>85.11</v>
      </c>
      <c r="F490" s="8">
        <v>116.51</v>
      </c>
      <c r="G490" s="8">
        <v>129.71</v>
      </c>
      <c r="H490" s="39">
        <v>1</v>
      </c>
      <c r="I490" s="39">
        <v>1</v>
      </c>
      <c r="J490" s="12">
        <v>1</v>
      </c>
      <c r="K490">
        <f t="shared" si="39"/>
        <v>123077801.29999997</v>
      </c>
      <c r="L490">
        <f t="shared" si="40"/>
        <v>22654.88800000001</v>
      </c>
      <c r="M490">
        <f t="shared" si="40"/>
        <v>25141.139999999996</v>
      </c>
      <c r="N490" s="12">
        <f t="shared" si="38"/>
        <v>0.22762499999999999</v>
      </c>
      <c r="O490" s="12">
        <f t="shared" si="41"/>
        <v>0.23852287073643405</v>
      </c>
    </row>
    <row r="491" spans="1:16">
      <c r="A491" s="32">
        <v>45963</v>
      </c>
      <c r="B491">
        <v>216</v>
      </c>
      <c r="C491" s="8">
        <v>555517</v>
      </c>
      <c r="D491" s="8">
        <v>4.04</v>
      </c>
      <c r="E491" s="8">
        <v>82.44</v>
      </c>
      <c r="F491" s="8">
        <v>112.02</v>
      </c>
      <c r="G491" s="8">
        <v>125.73</v>
      </c>
      <c r="H491" s="39">
        <v>1</v>
      </c>
      <c r="I491" s="39">
        <v>1</v>
      </c>
      <c r="J491" s="76">
        <f>(100-2.63)%</f>
        <v>0.97370000000000001</v>
      </c>
      <c r="K491">
        <f t="shared" si="39"/>
        <v>123633318.29999997</v>
      </c>
      <c r="L491">
        <f t="shared" si="40"/>
        <v>22766.90800000001</v>
      </c>
      <c r="M491">
        <f t="shared" si="40"/>
        <v>25266.869999999995</v>
      </c>
      <c r="N491" s="12">
        <f t="shared" si="38"/>
        <v>0.23146541666666667</v>
      </c>
      <c r="O491" s="12">
        <f t="shared" si="41"/>
        <v>0.23849019733796289</v>
      </c>
    </row>
    <row r="492" spans="1:16">
      <c r="A492" s="32">
        <v>45964</v>
      </c>
      <c r="B492">
        <v>217</v>
      </c>
      <c r="C492" s="8">
        <v>670551.4</v>
      </c>
      <c r="D492" s="8">
        <v>4.79</v>
      </c>
      <c r="E492" s="59">
        <v>92.48</v>
      </c>
      <c r="F492" s="8">
        <v>90.95</v>
      </c>
      <c r="G492" s="8">
        <v>104.7</v>
      </c>
      <c r="H492" s="39">
        <v>1</v>
      </c>
      <c r="I492" s="39">
        <v>1</v>
      </c>
      <c r="J492" s="12">
        <v>1</v>
      </c>
      <c r="K492">
        <f t="shared" si="39"/>
        <v>124303869.69999997</v>
      </c>
      <c r="L492">
        <f t="shared" si="40"/>
        <v>22857.858000000011</v>
      </c>
      <c r="M492">
        <f t="shared" si="40"/>
        <v>25371.569999999996</v>
      </c>
      <c r="N492" s="12">
        <f t="shared" si="38"/>
        <v>0.2793964166666667</v>
      </c>
      <c r="O492" s="12">
        <f t="shared" si="41"/>
        <v>0.23867870526113666</v>
      </c>
    </row>
    <row r="493" spans="1:16">
      <c r="A493" s="32">
        <v>45965</v>
      </c>
      <c r="B493">
        <v>218</v>
      </c>
      <c r="C493" s="8">
        <v>700201.9</v>
      </c>
      <c r="D493" s="8">
        <v>5.05</v>
      </c>
      <c r="E493" s="59">
        <v>90.84</v>
      </c>
      <c r="F493" s="59">
        <v>116.74</v>
      </c>
      <c r="G493" s="8">
        <v>128.53</v>
      </c>
      <c r="H493" s="39">
        <v>1</v>
      </c>
      <c r="I493" s="39">
        <v>1</v>
      </c>
      <c r="J493" s="12">
        <v>1</v>
      </c>
      <c r="K493">
        <f t="shared" si="39"/>
        <v>125004071.59999998</v>
      </c>
      <c r="L493">
        <f t="shared" si="40"/>
        <v>22974.598000000013</v>
      </c>
      <c r="M493">
        <f t="shared" si="40"/>
        <v>25500.099999999995</v>
      </c>
      <c r="N493" s="12">
        <f t="shared" si="38"/>
        <v>0.29175079166666668</v>
      </c>
      <c r="O493" s="12">
        <f t="shared" si="41"/>
        <v>0.23892215519877671</v>
      </c>
    </row>
    <row r="494" spans="1:16">
      <c r="A494" s="32">
        <v>45966</v>
      </c>
      <c r="B494">
        <v>219</v>
      </c>
      <c r="C494" s="8">
        <v>669022</v>
      </c>
      <c r="D494" s="8">
        <v>4.8499999999999996</v>
      </c>
      <c r="E494" s="8">
        <v>85.61</v>
      </c>
      <c r="F494" s="8">
        <v>116.65</v>
      </c>
      <c r="G494" s="8">
        <v>128.19999999999999</v>
      </c>
      <c r="H494" s="39">
        <v>1</v>
      </c>
      <c r="I494" s="39">
        <v>1</v>
      </c>
      <c r="J494" s="12">
        <v>1</v>
      </c>
      <c r="K494">
        <f t="shared" si="39"/>
        <v>125673093.59999998</v>
      </c>
      <c r="L494">
        <f t="shared" si="40"/>
        <v>23091.248000000014</v>
      </c>
      <c r="M494">
        <f t="shared" si="40"/>
        <v>25628.299999999996</v>
      </c>
      <c r="N494" s="12">
        <f t="shared" si="38"/>
        <v>0.27875916666666667</v>
      </c>
      <c r="O494" s="12">
        <f t="shared" si="41"/>
        <v>0.23910405936073056</v>
      </c>
    </row>
    <row r="495" spans="1:16">
      <c r="A495" s="32">
        <v>45967</v>
      </c>
      <c r="B495">
        <v>220</v>
      </c>
      <c r="C495" s="8">
        <v>602129</v>
      </c>
      <c r="D495" s="8">
        <v>4.34</v>
      </c>
      <c r="E495" s="8">
        <v>90</v>
      </c>
      <c r="F495" s="8">
        <v>116.03</v>
      </c>
      <c r="G495" s="8">
        <v>128.51</v>
      </c>
      <c r="H495" s="39">
        <v>1</v>
      </c>
      <c r="I495" s="39">
        <v>1</v>
      </c>
      <c r="J495" s="12">
        <v>1</v>
      </c>
      <c r="K495">
        <f t="shared" si="39"/>
        <v>126275222.59999998</v>
      </c>
      <c r="L495">
        <f t="shared" si="40"/>
        <v>23207.278000000013</v>
      </c>
      <c r="M495">
        <f t="shared" si="40"/>
        <v>25756.809999999994</v>
      </c>
      <c r="N495" s="12">
        <f t="shared" si="38"/>
        <v>0.25088708333333332</v>
      </c>
      <c r="O495" s="12">
        <f t="shared" si="41"/>
        <v>0.23915761856060602</v>
      </c>
    </row>
    <row r="496" spans="1:16">
      <c r="A496" s="32">
        <v>45968</v>
      </c>
      <c r="B496">
        <v>221</v>
      </c>
      <c r="C496" s="8">
        <v>685359</v>
      </c>
      <c r="D496" s="8">
        <v>4.9400000000000004</v>
      </c>
      <c r="E496" s="8">
        <v>94.09</v>
      </c>
      <c r="F496" s="8">
        <v>113.85</v>
      </c>
      <c r="G496" s="8">
        <v>128.58000000000001</v>
      </c>
      <c r="H496" s="39">
        <v>1</v>
      </c>
      <c r="I496" s="39">
        <v>1</v>
      </c>
      <c r="J496" s="12">
        <v>1</v>
      </c>
      <c r="K496">
        <f t="shared" si="39"/>
        <v>126960581.59999998</v>
      </c>
      <c r="L496">
        <f t="shared" si="40"/>
        <v>23321.128000000012</v>
      </c>
      <c r="M496">
        <f t="shared" si="40"/>
        <v>25885.389999999996</v>
      </c>
      <c r="N496" s="12">
        <f t="shared" si="38"/>
        <v>0.28556625000000002</v>
      </c>
      <c r="O496" s="12">
        <f t="shared" si="41"/>
        <v>0.23936761236802409</v>
      </c>
    </row>
    <row r="497" spans="1:15">
      <c r="A497" s="32">
        <v>45969</v>
      </c>
      <c r="B497">
        <v>222</v>
      </c>
      <c r="C497" s="8">
        <v>734839</v>
      </c>
      <c r="D497" s="8">
        <v>5.21</v>
      </c>
      <c r="E497" s="8">
        <v>90.86</v>
      </c>
      <c r="F497" s="8">
        <v>116.66</v>
      </c>
      <c r="G497" s="8">
        <v>128.41999999999999</v>
      </c>
      <c r="H497" s="39">
        <v>1</v>
      </c>
      <c r="I497" s="39">
        <v>1</v>
      </c>
      <c r="J497" s="12">
        <v>1</v>
      </c>
      <c r="K497">
        <f t="shared" si="39"/>
        <v>127695420.59999998</v>
      </c>
      <c r="L497">
        <f t="shared" si="40"/>
        <v>23437.788000000011</v>
      </c>
      <c r="M497">
        <f t="shared" si="40"/>
        <v>26013.809999999994</v>
      </c>
      <c r="N497" s="12">
        <f t="shared" si="38"/>
        <v>0.30618291666666669</v>
      </c>
      <c r="O497" s="12">
        <f t="shared" si="41"/>
        <v>0.23966858220720716</v>
      </c>
    </row>
    <row r="498" spans="1:15">
      <c r="A498" s="32">
        <v>45970</v>
      </c>
      <c r="B498">
        <v>223</v>
      </c>
      <c r="C498" s="8">
        <v>754888.6</v>
      </c>
      <c r="D498" s="8">
        <v>5.34</v>
      </c>
      <c r="E498" s="8">
        <v>90.77</v>
      </c>
      <c r="F498" s="8">
        <v>116.13</v>
      </c>
      <c r="G498" s="8">
        <v>128.5</v>
      </c>
      <c r="H498" s="39">
        <v>1</v>
      </c>
      <c r="I498" s="39">
        <v>1</v>
      </c>
      <c r="J498" s="12">
        <v>1</v>
      </c>
      <c r="K498">
        <f t="shared" si="39"/>
        <v>128450309.19999997</v>
      </c>
      <c r="L498">
        <f t="shared" si="40"/>
        <v>23553.918000000012</v>
      </c>
      <c r="M498">
        <f t="shared" si="40"/>
        <v>26142.309999999994</v>
      </c>
      <c r="N498" s="12">
        <f t="shared" si="38"/>
        <v>0.31453691666666667</v>
      </c>
      <c r="O498" s="12">
        <f t="shared" si="41"/>
        <v>0.2400043146487294</v>
      </c>
    </row>
    <row r="499" spans="1:15">
      <c r="A499" s="32">
        <v>45971</v>
      </c>
      <c r="B499">
        <v>224</v>
      </c>
      <c r="C499" s="8">
        <v>731356</v>
      </c>
      <c r="D499" s="8">
        <v>5.18</v>
      </c>
      <c r="E499" s="8">
        <v>90.75</v>
      </c>
      <c r="F499" s="8">
        <v>115.38</v>
      </c>
      <c r="G499" s="8">
        <v>129.12</v>
      </c>
      <c r="H499" s="39">
        <v>1</v>
      </c>
      <c r="I499" s="39">
        <v>1</v>
      </c>
      <c r="J499" s="12">
        <v>1</v>
      </c>
      <c r="K499">
        <f t="shared" si="39"/>
        <v>129181665.19999997</v>
      </c>
      <c r="L499">
        <f t="shared" si="40"/>
        <v>23669.298000000013</v>
      </c>
      <c r="M499">
        <f t="shared" si="40"/>
        <v>26271.429999999993</v>
      </c>
      <c r="N499" s="12">
        <f t="shared" si="38"/>
        <v>0.30473166666666668</v>
      </c>
      <c r="O499" s="12">
        <f t="shared" si="41"/>
        <v>0.24029327604166661</v>
      </c>
    </row>
    <row r="500" spans="1:15">
      <c r="A500" s="32">
        <v>45972</v>
      </c>
      <c r="B500">
        <v>225</v>
      </c>
      <c r="C500" s="8">
        <v>756064</v>
      </c>
      <c r="D500" s="8">
        <v>5.36</v>
      </c>
      <c r="E500" s="8">
        <v>90.73</v>
      </c>
      <c r="F500" s="8">
        <v>116.54</v>
      </c>
      <c r="G500" s="8">
        <v>129.94999999999999</v>
      </c>
      <c r="H500" s="39">
        <v>1</v>
      </c>
      <c r="I500" s="39">
        <v>1</v>
      </c>
      <c r="J500" s="12">
        <v>1</v>
      </c>
      <c r="K500">
        <f t="shared" si="39"/>
        <v>129937729.19999997</v>
      </c>
      <c r="L500">
        <f t="shared" si="40"/>
        <v>23785.838000000014</v>
      </c>
      <c r="M500">
        <f t="shared" si="40"/>
        <v>26401.379999999994</v>
      </c>
      <c r="N500" s="12">
        <f t="shared" si="38"/>
        <v>0.31502666666666668</v>
      </c>
      <c r="O500" s="12">
        <f t="shared" si="41"/>
        <v>0.2406254244444444</v>
      </c>
    </row>
    <row r="501" spans="1:15">
      <c r="A501" s="32">
        <v>45973</v>
      </c>
      <c r="B501">
        <v>226</v>
      </c>
      <c r="C501" s="8">
        <v>726664</v>
      </c>
      <c r="D501" s="8">
        <v>5.14</v>
      </c>
      <c r="E501" s="8">
        <v>90.76</v>
      </c>
      <c r="F501" s="8">
        <v>116.66</v>
      </c>
      <c r="G501" s="8">
        <v>129.15</v>
      </c>
      <c r="H501" s="39">
        <v>1</v>
      </c>
      <c r="I501" s="39">
        <v>1</v>
      </c>
      <c r="J501" s="12">
        <v>1</v>
      </c>
      <c r="K501">
        <f t="shared" si="39"/>
        <v>130664393.19999997</v>
      </c>
      <c r="L501">
        <f t="shared" si="40"/>
        <v>23902.498000000014</v>
      </c>
      <c r="M501">
        <f t="shared" si="40"/>
        <v>26530.529999999995</v>
      </c>
      <c r="N501" s="12">
        <f t="shared" si="38"/>
        <v>0.30277666666666669</v>
      </c>
      <c r="O501" s="12">
        <f t="shared" si="41"/>
        <v>0.24090042994100291</v>
      </c>
    </row>
    <row r="502" spans="1:15">
      <c r="A502" s="32">
        <v>45974</v>
      </c>
      <c r="B502">
        <v>227</v>
      </c>
      <c r="C502" s="8">
        <v>709011.6</v>
      </c>
      <c r="D502" s="8">
        <v>4.97</v>
      </c>
      <c r="E502" s="8">
        <v>90.82</v>
      </c>
      <c r="F502" s="8">
        <v>116.69</v>
      </c>
      <c r="G502" s="8">
        <v>129.34</v>
      </c>
      <c r="H502" s="39">
        <v>1</v>
      </c>
      <c r="I502" s="39">
        <v>1</v>
      </c>
      <c r="J502" s="12">
        <v>1</v>
      </c>
      <c r="K502">
        <f t="shared" si="39"/>
        <v>131373404.79999997</v>
      </c>
      <c r="L502">
        <f t="shared" si="40"/>
        <v>24019.188000000013</v>
      </c>
      <c r="M502">
        <f t="shared" si="40"/>
        <v>26659.869999999995</v>
      </c>
      <c r="N502" s="12">
        <f t="shared" si="38"/>
        <v>0.2954215</v>
      </c>
      <c r="O502" s="12">
        <f t="shared" si="41"/>
        <v>0.24114061086637292</v>
      </c>
    </row>
    <row r="503" spans="1:15">
      <c r="A503" s="32">
        <v>45975</v>
      </c>
      <c r="B503">
        <v>228</v>
      </c>
      <c r="C503" s="8">
        <v>700339.5</v>
      </c>
      <c r="D503" s="8">
        <v>4.8899999999999997</v>
      </c>
      <c r="E503" s="8">
        <v>90.65</v>
      </c>
      <c r="F503" s="8">
        <v>116.9</v>
      </c>
      <c r="G503" s="8">
        <v>127.19</v>
      </c>
      <c r="H503" s="39">
        <v>1</v>
      </c>
      <c r="I503" s="39">
        <v>1</v>
      </c>
      <c r="J503" s="12">
        <v>1</v>
      </c>
      <c r="K503">
        <f t="shared" si="39"/>
        <v>132073744.29999997</v>
      </c>
      <c r="L503">
        <f t="shared" si="40"/>
        <v>24136.088000000014</v>
      </c>
      <c r="M503">
        <f t="shared" si="40"/>
        <v>26787.059999999994</v>
      </c>
      <c r="N503" s="12">
        <f t="shared" si="38"/>
        <v>0.29180812499999997</v>
      </c>
      <c r="O503" s="12">
        <f t="shared" si="41"/>
        <v>0.24136283680555551</v>
      </c>
    </row>
    <row r="504" spans="1:15">
      <c r="A504" s="32">
        <v>45976</v>
      </c>
      <c r="B504">
        <v>229</v>
      </c>
      <c r="C504" s="8">
        <v>683728</v>
      </c>
      <c r="D504" s="8">
        <v>4.76</v>
      </c>
      <c r="E504" s="8">
        <v>89.69</v>
      </c>
      <c r="F504" s="8">
        <v>116.7</v>
      </c>
      <c r="G504" s="8">
        <v>129.47</v>
      </c>
      <c r="H504" s="39">
        <v>1</v>
      </c>
      <c r="I504" s="39">
        <v>1</v>
      </c>
      <c r="J504" s="12">
        <v>1</v>
      </c>
      <c r="K504">
        <f t="shared" si="39"/>
        <v>132757472.29999997</v>
      </c>
      <c r="L504">
        <f t="shared" si="40"/>
        <v>24252.788000000015</v>
      </c>
      <c r="M504">
        <f t="shared" si="40"/>
        <v>26916.529999999995</v>
      </c>
      <c r="N504" s="12">
        <f t="shared" si="38"/>
        <v>0.28488666666666668</v>
      </c>
      <c r="O504" s="12">
        <f t="shared" si="41"/>
        <v>0.24155289719796211</v>
      </c>
    </row>
    <row r="505" spans="1:15">
      <c r="A505" s="32">
        <v>45977</v>
      </c>
      <c r="B505">
        <v>230</v>
      </c>
      <c r="C505" s="8">
        <v>689267</v>
      </c>
      <c r="D505" s="8">
        <v>4.8</v>
      </c>
      <c r="E505" s="8">
        <v>90.6</v>
      </c>
      <c r="F505" s="8">
        <v>115.36</v>
      </c>
      <c r="G505" s="8">
        <v>129.38</v>
      </c>
      <c r="H505" s="39">
        <v>1</v>
      </c>
      <c r="I505" s="39">
        <v>1</v>
      </c>
      <c r="J505" s="12">
        <v>1</v>
      </c>
      <c r="K505">
        <f t="shared" si="39"/>
        <v>133446739.29999997</v>
      </c>
      <c r="L505">
        <f t="shared" si="40"/>
        <v>24368.148000000016</v>
      </c>
      <c r="M505">
        <f t="shared" si="40"/>
        <v>27045.909999999996</v>
      </c>
      <c r="N505" s="12">
        <f t="shared" si="38"/>
        <v>0.28719458333333331</v>
      </c>
      <c r="O505" s="12">
        <f t="shared" si="41"/>
        <v>0.24175133931159415</v>
      </c>
    </row>
    <row r="506" spans="1:15">
      <c r="A506" s="32">
        <v>45978</v>
      </c>
      <c r="B506">
        <v>231</v>
      </c>
      <c r="C506" s="8">
        <v>673904.9</v>
      </c>
      <c r="D506" s="8">
        <v>4.7</v>
      </c>
      <c r="E506" s="8">
        <v>89.72</v>
      </c>
      <c r="F506" s="8">
        <v>116.65</v>
      </c>
      <c r="G506" s="8">
        <v>129.68</v>
      </c>
      <c r="H506" s="39">
        <v>1</v>
      </c>
      <c r="I506" s="39">
        <v>1</v>
      </c>
      <c r="J506" s="12">
        <v>1</v>
      </c>
      <c r="K506">
        <f t="shared" si="39"/>
        <v>134120644.19999997</v>
      </c>
      <c r="L506">
        <f t="shared" si="40"/>
        <v>24484.798000000017</v>
      </c>
      <c r="M506">
        <f t="shared" si="40"/>
        <v>27175.589999999997</v>
      </c>
      <c r="N506" s="12">
        <f t="shared" si="38"/>
        <v>0.28079370833333334</v>
      </c>
      <c r="O506" s="12">
        <f t="shared" si="41"/>
        <v>0.24192035389610383</v>
      </c>
    </row>
    <row r="507" spans="1:15">
      <c r="A507" s="32">
        <v>45979</v>
      </c>
      <c r="B507">
        <v>232</v>
      </c>
      <c r="C507" s="8">
        <v>664772.1</v>
      </c>
      <c r="D507" s="8">
        <v>4.6500000000000004</v>
      </c>
      <c r="E507" s="8">
        <v>88.37</v>
      </c>
      <c r="F507" s="8">
        <v>116.63</v>
      </c>
      <c r="G507" s="8">
        <v>128.65</v>
      </c>
      <c r="H507" s="39">
        <v>1</v>
      </c>
      <c r="I507" s="39">
        <v>1</v>
      </c>
      <c r="J507" s="12">
        <v>1</v>
      </c>
      <c r="K507">
        <f t="shared" ref="K507:K570" si="42">K506+C507</f>
        <v>134785416.29999998</v>
      </c>
      <c r="L507">
        <f t="shared" ref="L507:L570" si="43">L506+F507</f>
        <v>24601.428000000018</v>
      </c>
      <c r="M507">
        <f t="shared" ref="M507:M570" si="44">M506+G507</f>
        <v>27304.239999999998</v>
      </c>
      <c r="N507" s="12">
        <f t="shared" ref="N507:N570" si="45">C507/(100000*24)</f>
        <v>0.27698837500000001</v>
      </c>
      <c r="O507" s="12">
        <f t="shared" ref="O507:O570" si="46">K507/(B507*100000*24)</f>
        <v>0.24207150915948272</v>
      </c>
    </row>
    <row r="508" spans="1:15">
      <c r="A508" s="32">
        <v>45980</v>
      </c>
      <c r="B508">
        <v>233</v>
      </c>
      <c r="C508" s="8">
        <v>656845</v>
      </c>
      <c r="D508" s="8">
        <v>4.5599999999999996</v>
      </c>
      <c r="E508" s="8">
        <v>87.89</v>
      </c>
      <c r="F508" s="8">
        <v>116.94</v>
      </c>
      <c r="G508" s="8">
        <v>129.18</v>
      </c>
      <c r="H508" s="39">
        <v>1</v>
      </c>
      <c r="I508" s="39">
        <v>1</v>
      </c>
      <c r="J508" s="12">
        <v>1</v>
      </c>
      <c r="K508">
        <f t="shared" si="42"/>
        <v>135442261.29999998</v>
      </c>
      <c r="L508">
        <f t="shared" si="43"/>
        <v>24718.368000000017</v>
      </c>
      <c r="M508">
        <f t="shared" si="44"/>
        <v>27433.42</v>
      </c>
      <c r="N508" s="12">
        <f t="shared" si="45"/>
        <v>0.27368541666666668</v>
      </c>
      <c r="O508" s="12">
        <f t="shared" si="46"/>
        <v>0.24220719116595132</v>
      </c>
    </row>
    <row r="509" spans="1:15">
      <c r="A509" s="32">
        <v>45981</v>
      </c>
      <c r="B509">
        <v>234</v>
      </c>
      <c r="C509" s="8">
        <v>649767.5</v>
      </c>
      <c r="D509" s="8">
        <v>4.54</v>
      </c>
      <c r="E509" s="8">
        <v>85.79</v>
      </c>
      <c r="F509" s="8">
        <v>116.66</v>
      </c>
      <c r="G509" s="8">
        <v>129.35</v>
      </c>
      <c r="H509" s="39">
        <v>1</v>
      </c>
      <c r="I509" s="39">
        <v>1</v>
      </c>
      <c r="J509" s="12">
        <v>1</v>
      </c>
      <c r="K509">
        <f t="shared" si="42"/>
        <v>136092028.79999998</v>
      </c>
      <c r="L509">
        <f t="shared" si="43"/>
        <v>24835.028000000017</v>
      </c>
      <c r="M509">
        <f t="shared" si="44"/>
        <v>27562.769999999997</v>
      </c>
      <c r="N509" s="12">
        <f t="shared" si="45"/>
        <v>0.27073645833333332</v>
      </c>
      <c r="O509" s="12">
        <f t="shared" si="46"/>
        <v>0.24232911111111108</v>
      </c>
    </row>
    <row r="510" spans="1:15">
      <c r="A510" s="32">
        <v>45982</v>
      </c>
      <c r="B510">
        <v>235</v>
      </c>
      <c r="C510" s="8">
        <v>657470</v>
      </c>
      <c r="D510" s="8">
        <v>4.62</v>
      </c>
      <c r="E510" s="8">
        <v>85.73</v>
      </c>
      <c r="F510" s="8">
        <v>116.51</v>
      </c>
      <c r="G510" s="8">
        <v>129.43</v>
      </c>
      <c r="H510" s="39">
        <v>1</v>
      </c>
      <c r="I510" s="39">
        <v>1</v>
      </c>
      <c r="J510" s="12">
        <v>1</v>
      </c>
      <c r="K510">
        <f t="shared" si="42"/>
        <v>136749498.79999998</v>
      </c>
      <c r="L510">
        <f t="shared" si="43"/>
        <v>24951.538000000015</v>
      </c>
      <c r="M510">
        <f t="shared" si="44"/>
        <v>27692.199999999997</v>
      </c>
      <c r="N510" s="12">
        <f t="shared" si="45"/>
        <v>0.27394583333333333</v>
      </c>
      <c r="O510" s="12">
        <f t="shared" si="46"/>
        <v>0.2424636503546099</v>
      </c>
    </row>
    <row r="511" spans="1:15">
      <c r="A511" s="32">
        <v>45983</v>
      </c>
      <c r="B511">
        <v>236</v>
      </c>
      <c r="C511" s="8">
        <v>526987</v>
      </c>
      <c r="D511" s="8">
        <v>4.51</v>
      </c>
      <c r="E511" s="8">
        <v>69.48</v>
      </c>
      <c r="F511" s="8">
        <v>116.68</v>
      </c>
      <c r="G511" s="8">
        <v>129.26</v>
      </c>
      <c r="H511" s="39">
        <v>1</v>
      </c>
      <c r="I511" s="39">
        <v>1</v>
      </c>
      <c r="J511" s="12">
        <v>1</v>
      </c>
      <c r="K511">
        <f t="shared" si="42"/>
        <v>137276485.79999998</v>
      </c>
      <c r="L511">
        <f t="shared" si="43"/>
        <v>25068.218000000015</v>
      </c>
      <c r="M511">
        <f t="shared" si="44"/>
        <v>27821.459999999995</v>
      </c>
      <c r="N511" s="12">
        <f t="shared" si="45"/>
        <v>0.21957791666666668</v>
      </c>
      <c r="O511" s="12">
        <f t="shared" si="46"/>
        <v>0.24236667690677963</v>
      </c>
    </row>
    <row r="512" spans="1:15">
      <c r="A512" s="32">
        <v>45984</v>
      </c>
      <c r="B512">
        <v>237</v>
      </c>
      <c r="C512" s="8">
        <v>654735</v>
      </c>
      <c r="D512" s="8">
        <v>4.51</v>
      </c>
      <c r="E512" s="8">
        <v>88.26</v>
      </c>
      <c r="F512" s="8">
        <v>116.9</v>
      </c>
      <c r="G512" s="8">
        <v>129.05000000000001</v>
      </c>
      <c r="H512" s="39">
        <v>1</v>
      </c>
      <c r="I512" s="39">
        <v>1</v>
      </c>
      <c r="J512" s="12">
        <v>1</v>
      </c>
      <c r="K512">
        <f t="shared" si="42"/>
        <v>137931220.79999998</v>
      </c>
      <c r="L512">
        <f t="shared" si="43"/>
        <v>25185.118000000017</v>
      </c>
      <c r="M512">
        <f t="shared" si="44"/>
        <v>27950.509999999995</v>
      </c>
      <c r="N512" s="12">
        <f t="shared" si="45"/>
        <v>0.27280624999999997</v>
      </c>
      <c r="O512" s="12">
        <f t="shared" si="46"/>
        <v>0.2424951139240506</v>
      </c>
    </row>
    <row r="513" spans="1:15">
      <c r="A513" s="32">
        <v>45985</v>
      </c>
      <c r="B513">
        <v>238</v>
      </c>
      <c r="C513" s="8">
        <v>570406</v>
      </c>
      <c r="D513" s="8">
        <v>4.03</v>
      </c>
      <c r="E513" s="8">
        <v>76</v>
      </c>
      <c r="F513" s="8">
        <v>116.81</v>
      </c>
      <c r="G513" s="8">
        <v>129.47</v>
      </c>
      <c r="H513" s="39">
        <v>1</v>
      </c>
      <c r="I513" s="39">
        <v>1</v>
      </c>
      <c r="J513" s="12">
        <v>1</v>
      </c>
      <c r="K513">
        <f t="shared" si="42"/>
        <v>138501626.79999998</v>
      </c>
      <c r="L513">
        <f t="shared" si="43"/>
        <v>25301.928000000018</v>
      </c>
      <c r="M513">
        <f t="shared" si="44"/>
        <v>28079.979999999996</v>
      </c>
      <c r="N513" s="12">
        <f t="shared" si="45"/>
        <v>0.23766916666666665</v>
      </c>
      <c r="O513" s="12">
        <f t="shared" si="46"/>
        <v>0.24247483683473386</v>
      </c>
    </row>
    <row r="514" spans="1:15">
      <c r="A514" s="32">
        <v>45986</v>
      </c>
      <c r="B514">
        <v>239</v>
      </c>
      <c r="C514" s="8">
        <v>551422.80000000005</v>
      </c>
      <c r="D514" s="8">
        <v>3.92</v>
      </c>
      <c r="E514" s="8">
        <v>73.66</v>
      </c>
      <c r="F514" s="8">
        <v>116.51</v>
      </c>
      <c r="G514" s="8">
        <v>129.30000000000001</v>
      </c>
      <c r="H514" s="39">
        <v>1</v>
      </c>
      <c r="I514" s="39">
        <v>1</v>
      </c>
      <c r="J514" s="12">
        <v>1</v>
      </c>
      <c r="K514">
        <f t="shared" si="42"/>
        <v>139053049.59999999</v>
      </c>
      <c r="L514">
        <f t="shared" si="43"/>
        <v>25418.438000000016</v>
      </c>
      <c r="M514">
        <f t="shared" si="44"/>
        <v>28209.279999999995</v>
      </c>
      <c r="N514" s="12">
        <f t="shared" si="45"/>
        <v>0.22975950000000003</v>
      </c>
      <c r="O514" s="12">
        <f t="shared" si="46"/>
        <v>0.24242163458856344</v>
      </c>
    </row>
    <row r="515" spans="1:15">
      <c r="A515" s="32">
        <v>45987</v>
      </c>
      <c r="B515">
        <v>240</v>
      </c>
      <c r="C515" s="8">
        <v>512374.4</v>
      </c>
      <c r="D515" s="8">
        <v>3.68</v>
      </c>
      <c r="E515" s="8">
        <v>66.709999999999994</v>
      </c>
      <c r="F515" s="8">
        <v>116.93</v>
      </c>
      <c r="G515" s="8">
        <v>129.22999999999999</v>
      </c>
      <c r="H515" s="39">
        <v>1</v>
      </c>
      <c r="I515" s="39">
        <v>1</v>
      </c>
      <c r="J515" s="12">
        <v>1</v>
      </c>
      <c r="K515">
        <f t="shared" si="42"/>
        <v>139565424</v>
      </c>
      <c r="L515">
        <f t="shared" si="43"/>
        <v>25535.368000000017</v>
      </c>
      <c r="M515">
        <f t="shared" si="44"/>
        <v>28338.509999999995</v>
      </c>
      <c r="N515" s="12">
        <f t="shared" si="45"/>
        <v>0.21348933333333334</v>
      </c>
      <c r="O515" s="12">
        <f t="shared" si="46"/>
        <v>0.24230108333333333</v>
      </c>
    </row>
    <row r="516" spans="1:15">
      <c r="A516" s="32">
        <v>45988</v>
      </c>
      <c r="B516">
        <v>241</v>
      </c>
      <c r="C516" s="8">
        <v>576302.5</v>
      </c>
      <c r="D516" s="8">
        <v>4.0599999999999996</v>
      </c>
      <c r="E516" s="8">
        <v>74.400000000000006</v>
      </c>
      <c r="F516" s="8">
        <v>116.63</v>
      </c>
      <c r="G516" s="8">
        <v>129.69999999999999</v>
      </c>
      <c r="H516" s="39">
        <v>1</v>
      </c>
      <c r="I516" s="39">
        <v>1</v>
      </c>
      <c r="J516" s="12">
        <v>1</v>
      </c>
      <c r="K516">
        <f t="shared" si="42"/>
        <v>140141726.5</v>
      </c>
      <c r="L516">
        <f t="shared" si="43"/>
        <v>25651.998000000018</v>
      </c>
      <c r="M516">
        <f t="shared" si="44"/>
        <v>28468.209999999995</v>
      </c>
      <c r="N516" s="12">
        <f t="shared" si="45"/>
        <v>0.24012604166666668</v>
      </c>
      <c r="O516" s="12">
        <f t="shared" si="46"/>
        <v>0.24229205826417705</v>
      </c>
    </row>
    <row r="517" spans="1:15">
      <c r="A517" s="32">
        <v>45989</v>
      </c>
      <c r="B517">
        <v>242</v>
      </c>
      <c r="C517" s="8">
        <v>621328</v>
      </c>
      <c r="D517" s="8">
        <v>4.33</v>
      </c>
      <c r="E517" s="8">
        <v>83.6</v>
      </c>
      <c r="F517" s="8">
        <v>116.51</v>
      </c>
      <c r="G517" s="8">
        <v>128.75</v>
      </c>
      <c r="H517" s="39">
        <v>1</v>
      </c>
      <c r="I517" s="39">
        <v>1</v>
      </c>
      <c r="J517" s="12">
        <v>1</v>
      </c>
      <c r="K517">
        <f>K516+C517</f>
        <v>140763054.5</v>
      </c>
      <c r="L517">
        <f t="shared" si="43"/>
        <v>25768.508000000016</v>
      </c>
      <c r="M517">
        <f t="shared" si="44"/>
        <v>28596.959999999995</v>
      </c>
      <c r="N517" s="12">
        <f>C517/(100000*24)</f>
        <v>0.25888666666666665</v>
      </c>
      <c r="O517" s="12">
        <f t="shared" si="46"/>
        <v>0.24236063102617081</v>
      </c>
    </row>
    <row r="518" spans="1:15">
      <c r="A518" s="32">
        <v>45990</v>
      </c>
      <c r="B518">
        <v>243</v>
      </c>
      <c r="C518" s="8">
        <v>622875.5</v>
      </c>
      <c r="D518" s="8">
        <v>4.3600000000000003</v>
      </c>
      <c r="E518" s="8">
        <v>84.01</v>
      </c>
      <c r="F518" s="8">
        <v>116.6</v>
      </c>
      <c r="G518" s="8">
        <v>128.97</v>
      </c>
      <c r="H518" s="39">
        <v>1</v>
      </c>
      <c r="I518" s="39">
        <v>1</v>
      </c>
      <c r="J518" s="12">
        <v>1</v>
      </c>
      <c r="K518">
        <f>K517+C518</f>
        <v>141385930</v>
      </c>
      <c r="L518">
        <f t="shared" si="43"/>
        <v>25885.108000000015</v>
      </c>
      <c r="M518">
        <f t="shared" si="44"/>
        <v>28725.929999999997</v>
      </c>
      <c r="N518" s="12">
        <f>C518/(100000*24)</f>
        <v>0.25953145833333335</v>
      </c>
      <c r="O518" s="12">
        <f t="shared" si="46"/>
        <v>0.24243129286694101</v>
      </c>
    </row>
    <row r="519" spans="1:15">
      <c r="A519" s="32">
        <v>45991</v>
      </c>
      <c r="B519">
        <v>244</v>
      </c>
      <c r="C519" s="8">
        <v>554379.80000000005</v>
      </c>
      <c r="D519" s="8">
        <v>3.8</v>
      </c>
      <c r="E519" s="8">
        <v>84.33</v>
      </c>
      <c r="F519" s="8">
        <v>117.07</v>
      </c>
      <c r="G519" s="8">
        <v>129.02000000000001</v>
      </c>
      <c r="H519" s="39">
        <v>1</v>
      </c>
      <c r="I519" s="39">
        <v>1</v>
      </c>
      <c r="J519" s="12">
        <v>1</v>
      </c>
      <c r="K519">
        <f t="shared" si="42"/>
        <v>141940309.80000001</v>
      </c>
      <c r="L519">
        <f t="shared" si="43"/>
        <v>26002.178000000014</v>
      </c>
      <c r="M519">
        <f t="shared" si="44"/>
        <v>28854.949999999997</v>
      </c>
      <c r="N519" s="12">
        <f t="shared" si="45"/>
        <v>0.23099158333333336</v>
      </c>
      <c r="O519" s="12">
        <f t="shared" si="46"/>
        <v>0.24238440881147544</v>
      </c>
    </row>
    <row r="520" spans="1:15">
      <c r="A520" s="32">
        <v>45992</v>
      </c>
      <c r="B520">
        <v>245</v>
      </c>
      <c r="C520" s="8">
        <v>586937.1</v>
      </c>
      <c r="D520" s="8">
        <v>4.13</v>
      </c>
      <c r="E520" s="8">
        <v>100.84</v>
      </c>
      <c r="F520" s="8">
        <v>116.76</v>
      </c>
      <c r="G520" s="8">
        <v>130.13999999999999</v>
      </c>
      <c r="H520" s="39">
        <v>1</v>
      </c>
      <c r="I520" s="39">
        <v>1</v>
      </c>
      <c r="J520" s="12">
        <v>1</v>
      </c>
      <c r="K520">
        <f t="shared" si="42"/>
        <v>142527246.90000001</v>
      </c>
      <c r="L520">
        <f t="shared" si="43"/>
        <v>26118.938000000013</v>
      </c>
      <c r="M520">
        <f t="shared" si="44"/>
        <v>28985.089999999997</v>
      </c>
      <c r="N520" s="12">
        <f t="shared" si="45"/>
        <v>0.24455712499999999</v>
      </c>
      <c r="O520" s="12">
        <f t="shared" si="46"/>
        <v>0.24239327704081634</v>
      </c>
    </row>
    <row r="521" spans="1:15">
      <c r="A521" s="32">
        <v>45993</v>
      </c>
      <c r="B521">
        <v>246</v>
      </c>
      <c r="C521" s="8">
        <v>555343</v>
      </c>
      <c r="D521" s="8">
        <v>3.92</v>
      </c>
      <c r="E521" s="8">
        <v>75.23</v>
      </c>
      <c r="F521" s="8">
        <v>116.71</v>
      </c>
      <c r="G521" s="8">
        <v>129.02000000000001</v>
      </c>
      <c r="H521" s="39">
        <v>1</v>
      </c>
      <c r="I521" s="39">
        <v>1</v>
      </c>
      <c r="J521" s="12">
        <v>1</v>
      </c>
      <c r="K521">
        <f t="shared" si="42"/>
        <v>143082589.90000001</v>
      </c>
      <c r="L521">
        <f t="shared" si="43"/>
        <v>26235.648000000012</v>
      </c>
      <c r="M521">
        <f t="shared" si="44"/>
        <v>29114.109999999997</v>
      </c>
      <c r="N521" s="12">
        <f t="shared" si="45"/>
        <v>0.23139291666666667</v>
      </c>
      <c r="O521" s="12">
        <f t="shared" si="46"/>
        <v>0.2423485601287263</v>
      </c>
    </row>
    <row r="522" spans="1:15">
      <c r="A522" s="32">
        <v>45994</v>
      </c>
      <c r="B522">
        <v>247</v>
      </c>
      <c r="C522" s="8">
        <v>585910</v>
      </c>
      <c r="D522" s="8">
        <v>4</v>
      </c>
      <c r="E522" s="8">
        <v>76.099999999999994</v>
      </c>
      <c r="F522" s="8">
        <v>116.75</v>
      </c>
      <c r="G522" s="8">
        <v>129.21</v>
      </c>
      <c r="H522" s="39">
        <v>1</v>
      </c>
      <c r="I522" s="39">
        <v>1</v>
      </c>
      <c r="J522" s="12">
        <v>1</v>
      </c>
      <c r="K522">
        <f t="shared" si="42"/>
        <v>143668499.90000001</v>
      </c>
      <c r="L522">
        <f t="shared" si="43"/>
        <v>26352.398000000012</v>
      </c>
      <c r="M522">
        <f t="shared" si="44"/>
        <v>29243.319999999996</v>
      </c>
      <c r="N522" s="12">
        <f t="shared" si="45"/>
        <v>0.24412916666666667</v>
      </c>
      <c r="O522" s="12">
        <f t="shared" si="46"/>
        <v>0.24235576906207829</v>
      </c>
    </row>
    <row r="523" spans="1:15">
      <c r="A523" s="32">
        <v>45995</v>
      </c>
      <c r="B523">
        <v>248</v>
      </c>
      <c r="C523" s="8">
        <v>647809.6</v>
      </c>
      <c r="D523" s="8">
        <v>4.43</v>
      </c>
      <c r="E523" s="8">
        <v>85.85</v>
      </c>
      <c r="F523" s="8">
        <v>116.84</v>
      </c>
      <c r="G523" s="8">
        <v>129.25</v>
      </c>
      <c r="H523" s="39">
        <v>1</v>
      </c>
      <c r="I523" s="39">
        <v>1</v>
      </c>
      <c r="J523" s="12">
        <v>1</v>
      </c>
      <c r="K523">
        <f t="shared" si="42"/>
        <v>144316309.5</v>
      </c>
      <c r="L523">
        <f t="shared" si="43"/>
        <v>26469.238000000012</v>
      </c>
      <c r="M523">
        <f t="shared" si="44"/>
        <v>29372.569999999996</v>
      </c>
      <c r="N523" s="12">
        <f t="shared" si="45"/>
        <v>0.26992066666666664</v>
      </c>
      <c r="O523" s="12">
        <f t="shared" si="46"/>
        <v>0.24246691784274194</v>
      </c>
    </row>
    <row r="524" spans="1:15">
      <c r="A524" s="32">
        <v>45996</v>
      </c>
      <c r="B524">
        <v>249</v>
      </c>
      <c r="C524" s="8">
        <v>605728</v>
      </c>
      <c r="D524" s="8">
        <v>4.1500000000000004</v>
      </c>
      <c r="E524" s="8">
        <v>82.48</v>
      </c>
      <c r="F524" s="59">
        <v>116.59</v>
      </c>
      <c r="G524" s="8">
        <v>129.31</v>
      </c>
      <c r="H524" s="39">
        <v>1</v>
      </c>
      <c r="I524" s="39">
        <v>1</v>
      </c>
      <c r="J524" s="12">
        <v>1</v>
      </c>
      <c r="K524">
        <f t="shared" si="42"/>
        <v>144922037.5</v>
      </c>
      <c r="L524">
        <f t="shared" si="43"/>
        <v>26585.828000000012</v>
      </c>
      <c r="M524">
        <f t="shared" si="44"/>
        <v>29501.879999999997</v>
      </c>
      <c r="N524" s="12">
        <f t="shared" si="45"/>
        <v>0.25238666666666665</v>
      </c>
      <c r="O524" s="12">
        <f t="shared" si="46"/>
        <v>0.24250675619143239</v>
      </c>
    </row>
    <row r="525" spans="1:15">
      <c r="A525" s="32">
        <v>45997</v>
      </c>
      <c r="B525">
        <v>250</v>
      </c>
      <c r="C525" s="8">
        <v>629267</v>
      </c>
      <c r="D525" s="8">
        <v>4.38</v>
      </c>
      <c r="E525" s="8">
        <v>88.17</v>
      </c>
      <c r="F525" s="8">
        <v>116.5</v>
      </c>
      <c r="G525" s="8">
        <v>129.52000000000001</v>
      </c>
      <c r="H525" s="39">
        <v>1</v>
      </c>
      <c r="I525" s="39">
        <v>1</v>
      </c>
      <c r="J525" s="12">
        <v>1</v>
      </c>
      <c r="K525">
        <f t="shared" si="42"/>
        <v>145551304.5</v>
      </c>
      <c r="L525">
        <f t="shared" si="43"/>
        <v>26702.328000000012</v>
      </c>
      <c r="M525">
        <f t="shared" si="44"/>
        <v>29631.399999999998</v>
      </c>
      <c r="N525" s="12">
        <f t="shared" si="45"/>
        <v>0.26219458333333334</v>
      </c>
      <c r="O525" s="12">
        <f t="shared" si="46"/>
        <v>0.24258550749999999</v>
      </c>
    </row>
    <row r="526" spans="1:15">
      <c r="A526" s="32">
        <v>45998</v>
      </c>
      <c r="B526">
        <v>251</v>
      </c>
      <c r="C526" s="8">
        <v>646752</v>
      </c>
      <c r="D526" s="8">
        <v>4.38</v>
      </c>
      <c r="E526" s="8">
        <v>84.33</v>
      </c>
      <c r="F526" s="8">
        <v>116.57</v>
      </c>
      <c r="G526" s="8">
        <v>129.37</v>
      </c>
      <c r="H526" s="39">
        <v>1</v>
      </c>
      <c r="I526" s="39">
        <v>1</v>
      </c>
      <c r="J526" s="12">
        <v>1</v>
      </c>
      <c r="K526">
        <f t="shared" si="42"/>
        <v>146198056.5</v>
      </c>
      <c r="L526">
        <f t="shared" si="43"/>
        <v>26818.898000000012</v>
      </c>
      <c r="M526">
        <f t="shared" si="44"/>
        <v>29760.769999999997</v>
      </c>
      <c r="N526" s="12">
        <f t="shared" si="45"/>
        <v>0.26948</v>
      </c>
      <c r="O526" s="12">
        <f t="shared" si="46"/>
        <v>0.24269265687250996</v>
      </c>
    </row>
    <row r="527" spans="1:15">
      <c r="A527" s="32">
        <v>45999</v>
      </c>
      <c r="B527">
        <v>252</v>
      </c>
      <c r="C527" s="56">
        <v>664442.69999999995</v>
      </c>
      <c r="D527" s="8">
        <v>4.5</v>
      </c>
      <c r="E527" s="8">
        <v>84.49</v>
      </c>
      <c r="F527" s="8">
        <v>116.55</v>
      </c>
      <c r="G527" s="8">
        <v>129.61000000000001</v>
      </c>
      <c r="H527" s="39">
        <v>1</v>
      </c>
      <c r="I527" s="39">
        <v>1</v>
      </c>
      <c r="J527" s="12">
        <v>1</v>
      </c>
      <c r="K527">
        <f t="shared" si="42"/>
        <v>146862499.19999999</v>
      </c>
      <c r="L527">
        <f t="shared" si="43"/>
        <v>26935.448000000011</v>
      </c>
      <c r="M527">
        <f t="shared" si="44"/>
        <v>29890.379999999997</v>
      </c>
      <c r="N527" s="12">
        <f t="shared" si="45"/>
        <v>0.27685112499999998</v>
      </c>
      <c r="O527" s="12">
        <f t="shared" si="46"/>
        <v>0.24282820634920632</v>
      </c>
    </row>
    <row r="528" spans="1:15">
      <c r="A528" s="32">
        <v>46000</v>
      </c>
      <c r="B528">
        <v>253</v>
      </c>
      <c r="C528" s="8">
        <v>696290</v>
      </c>
      <c r="D528" s="8">
        <v>4.6399999999999997</v>
      </c>
      <c r="E528" s="8">
        <v>90.94</v>
      </c>
      <c r="F528" s="8">
        <v>116.5</v>
      </c>
      <c r="G528" s="8">
        <v>128.52000000000001</v>
      </c>
      <c r="H528" s="39">
        <v>1</v>
      </c>
      <c r="I528" s="39">
        <v>1</v>
      </c>
      <c r="J528" s="12">
        <v>1</v>
      </c>
      <c r="K528">
        <f t="shared" si="42"/>
        <v>147558789.19999999</v>
      </c>
      <c r="L528">
        <f t="shared" si="43"/>
        <v>27051.948000000011</v>
      </c>
      <c r="M528">
        <f t="shared" si="44"/>
        <v>30018.899999999998</v>
      </c>
      <c r="N528" s="12">
        <f t="shared" si="45"/>
        <v>0.29012083333333333</v>
      </c>
      <c r="O528" s="12">
        <f t="shared" si="46"/>
        <v>0.24301513372859024</v>
      </c>
    </row>
    <row r="529" spans="1:15">
      <c r="A529" s="32">
        <v>46001</v>
      </c>
      <c r="B529">
        <v>254</v>
      </c>
      <c r="C529" s="8">
        <v>699389.9</v>
      </c>
      <c r="D529" s="8">
        <v>4.6399999999999997</v>
      </c>
      <c r="E529" s="8">
        <v>90.3</v>
      </c>
      <c r="F529" s="8">
        <v>114.33</v>
      </c>
      <c r="G529" s="8">
        <v>129.41999999999999</v>
      </c>
      <c r="H529" s="39">
        <v>1</v>
      </c>
      <c r="I529" s="39">
        <v>1</v>
      </c>
      <c r="J529" s="12">
        <v>1</v>
      </c>
      <c r="K529">
        <f t="shared" si="42"/>
        <v>148258179.09999999</v>
      </c>
      <c r="L529">
        <f t="shared" si="43"/>
        <v>27166.278000000013</v>
      </c>
      <c r="M529">
        <f t="shared" si="44"/>
        <v>30148.319999999996</v>
      </c>
      <c r="N529" s="12">
        <f t="shared" si="45"/>
        <v>0.29141245833333335</v>
      </c>
      <c r="O529" s="12">
        <f t="shared" si="46"/>
        <v>0.24320567437664042</v>
      </c>
    </row>
    <row r="530" spans="1:15">
      <c r="A530" s="32">
        <v>46002</v>
      </c>
      <c r="B530">
        <v>255</v>
      </c>
      <c r="C530" s="8">
        <v>679406.3</v>
      </c>
      <c r="D530" s="8">
        <v>4.54</v>
      </c>
      <c r="E530" s="8">
        <v>88.71</v>
      </c>
      <c r="F530" s="8">
        <v>116.58</v>
      </c>
      <c r="G530" s="8">
        <v>127.62</v>
      </c>
      <c r="H530" s="39">
        <v>1</v>
      </c>
      <c r="I530" s="39">
        <v>1</v>
      </c>
      <c r="J530" s="12">
        <v>1</v>
      </c>
      <c r="K530">
        <f t="shared" si="42"/>
        <v>148937585.40000001</v>
      </c>
      <c r="L530">
        <f t="shared" si="43"/>
        <v>27282.858000000015</v>
      </c>
      <c r="M530">
        <f t="shared" si="44"/>
        <v>30275.939999999995</v>
      </c>
      <c r="N530" s="12">
        <f t="shared" si="45"/>
        <v>0.28308595833333333</v>
      </c>
      <c r="O530" s="12">
        <f t="shared" si="46"/>
        <v>0.24336206764705884</v>
      </c>
    </row>
    <row r="531" spans="1:15">
      <c r="A531" s="32">
        <v>46003</v>
      </c>
      <c r="B531">
        <v>256</v>
      </c>
      <c r="C531" s="8">
        <v>652094</v>
      </c>
      <c r="D531" s="8">
        <v>4.2699999999999996</v>
      </c>
      <c r="E531" s="8">
        <v>85.63</v>
      </c>
      <c r="F531" s="8">
        <v>116.55</v>
      </c>
      <c r="G531" s="8">
        <v>129.09</v>
      </c>
      <c r="H531" s="39">
        <v>1</v>
      </c>
      <c r="I531" s="39">
        <v>1</v>
      </c>
      <c r="J531" s="12">
        <v>1</v>
      </c>
      <c r="K531">
        <f t="shared" si="42"/>
        <v>149589679.40000001</v>
      </c>
      <c r="L531">
        <f t="shared" si="43"/>
        <v>27399.408000000014</v>
      </c>
      <c r="M531">
        <f t="shared" si="44"/>
        <v>30405.029999999995</v>
      </c>
      <c r="N531" s="12">
        <f t="shared" si="45"/>
        <v>0.27170583333333331</v>
      </c>
      <c r="O531" s="12">
        <f t="shared" si="46"/>
        <v>0.24347278548177084</v>
      </c>
    </row>
    <row r="532" spans="1:15">
      <c r="A532" s="32">
        <v>46004</v>
      </c>
      <c r="B532">
        <v>257</v>
      </c>
      <c r="C532" s="8">
        <v>617997</v>
      </c>
      <c r="D532" s="8">
        <v>4.08</v>
      </c>
      <c r="E532" s="8">
        <v>79.739999999999995</v>
      </c>
      <c r="F532" s="8">
        <v>116.54</v>
      </c>
      <c r="G532" s="8">
        <v>129.12</v>
      </c>
      <c r="H532" s="39">
        <v>1</v>
      </c>
      <c r="I532" s="39">
        <v>1</v>
      </c>
      <c r="J532" s="12">
        <v>1</v>
      </c>
      <c r="K532">
        <f t="shared" si="42"/>
        <v>150207676.40000001</v>
      </c>
      <c r="L532">
        <f t="shared" si="43"/>
        <v>27515.948000000015</v>
      </c>
      <c r="M532">
        <f t="shared" si="44"/>
        <v>30534.149999999994</v>
      </c>
      <c r="N532" s="12">
        <f t="shared" si="45"/>
        <v>0.25749875</v>
      </c>
      <c r="O532" s="12">
        <f t="shared" si="46"/>
        <v>0.24352736121919585</v>
      </c>
    </row>
    <row r="533" spans="1:15">
      <c r="A533" s="32">
        <v>46005</v>
      </c>
      <c r="B533">
        <v>258</v>
      </c>
      <c r="C533" s="8">
        <v>595342</v>
      </c>
      <c r="D533" s="8">
        <v>3.95</v>
      </c>
      <c r="E533" s="8">
        <v>76.72</v>
      </c>
      <c r="F533" s="8">
        <v>116.5</v>
      </c>
      <c r="G533" s="8">
        <v>129.31</v>
      </c>
      <c r="H533" s="39">
        <v>1</v>
      </c>
      <c r="I533" s="39">
        <v>1</v>
      </c>
      <c r="J533" s="12">
        <v>1</v>
      </c>
      <c r="K533">
        <f t="shared" si="42"/>
        <v>150803018.40000001</v>
      </c>
      <c r="L533">
        <f t="shared" si="43"/>
        <v>27632.448000000015</v>
      </c>
      <c r="M533">
        <f t="shared" si="44"/>
        <v>30663.459999999995</v>
      </c>
      <c r="N533" s="12">
        <f t="shared" si="45"/>
        <v>0.24805916666666666</v>
      </c>
      <c r="O533" s="12">
        <f t="shared" si="46"/>
        <v>0.24354492635658917</v>
      </c>
    </row>
    <row r="534" spans="1:15">
      <c r="A534" s="32">
        <v>46006</v>
      </c>
      <c r="B534">
        <v>259</v>
      </c>
      <c r="C534" s="8">
        <v>551040.4</v>
      </c>
      <c r="D534" s="8">
        <v>3.95</v>
      </c>
      <c r="E534" s="8">
        <v>73.180000000000007</v>
      </c>
      <c r="F534" s="8">
        <v>116.7</v>
      </c>
      <c r="G534" s="8">
        <v>129.05000000000001</v>
      </c>
      <c r="H534" s="39">
        <v>1</v>
      </c>
      <c r="I534" s="39">
        <v>1</v>
      </c>
      <c r="J534" s="12">
        <v>1</v>
      </c>
      <c r="K534">
        <f t="shared" si="42"/>
        <v>151354058.80000001</v>
      </c>
      <c r="L534">
        <f t="shared" si="43"/>
        <v>27749.148000000016</v>
      </c>
      <c r="M534">
        <f t="shared" si="44"/>
        <v>30792.509999999995</v>
      </c>
      <c r="N534" s="12">
        <f t="shared" si="45"/>
        <v>0.22960016666666669</v>
      </c>
      <c r="O534" s="12">
        <f t="shared" si="46"/>
        <v>0.2434910855855856</v>
      </c>
    </row>
    <row r="535" spans="1:15">
      <c r="A535" s="32">
        <v>46007</v>
      </c>
      <c r="B535">
        <v>260</v>
      </c>
      <c r="C535" s="8">
        <v>535786.6</v>
      </c>
      <c r="D535" s="8">
        <v>3.72</v>
      </c>
      <c r="E535" s="8">
        <v>69.38</v>
      </c>
      <c r="F535" s="8">
        <v>116.63</v>
      </c>
      <c r="G535" s="8">
        <v>129.30000000000001</v>
      </c>
      <c r="H535" s="39">
        <v>1</v>
      </c>
      <c r="I535" s="39">
        <v>1</v>
      </c>
      <c r="J535" s="12">
        <v>1</v>
      </c>
      <c r="K535">
        <f t="shared" si="42"/>
        <v>151889845.40000001</v>
      </c>
      <c r="L535">
        <f t="shared" si="43"/>
        <v>27865.778000000017</v>
      </c>
      <c r="M535">
        <f t="shared" si="44"/>
        <v>30921.809999999994</v>
      </c>
      <c r="N535" s="12">
        <f t="shared" si="45"/>
        <v>0.22324441666666667</v>
      </c>
      <c r="O535" s="12">
        <f t="shared" si="46"/>
        <v>0.2434132137820513</v>
      </c>
    </row>
    <row r="536" spans="1:15">
      <c r="A536" s="32">
        <v>46008</v>
      </c>
      <c r="B536">
        <v>261</v>
      </c>
      <c r="C536" s="8">
        <v>662075.69999999995</v>
      </c>
      <c r="D536" s="8">
        <v>4.54</v>
      </c>
      <c r="E536" s="8">
        <v>85.39</v>
      </c>
      <c r="F536" s="8">
        <v>116.7</v>
      </c>
      <c r="G536" s="8">
        <v>128.69</v>
      </c>
      <c r="H536" s="39">
        <v>1</v>
      </c>
      <c r="I536" s="39">
        <v>1</v>
      </c>
      <c r="J536" s="12">
        <v>1</v>
      </c>
      <c r="K536">
        <f t="shared" si="42"/>
        <v>152551921.09999999</v>
      </c>
      <c r="L536">
        <f t="shared" si="43"/>
        <v>27982.478000000017</v>
      </c>
      <c r="M536">
        <f t="shared" si="44"/>
        <v>31050.499999999993</v>
      </c>
      <c r="N536" s="12">
        <f t="shared" si="45"/>
        <v>0.27586487499999995</v>
      </c>
      <c r="O536" s="12">
        <f t="shared" si="46"/>
        <v>0.24353754964878671</v>
      </c>
    </row>
    <row r="537" spans="1:15">
      <c r="A537" s="32">
        <v>46009</v>
      </c>
      <c r="B537">
        <v>262</v>
      </c>
      <c r="C537" s="8">
        <v>629734.19999999995</v>
      </c>
      <c r="D537" s="8">
        <v>4.55</v>
      </c>
      <c r="E537" s="8">
        <v>76.599999999999994</v>
      </c>
      <c r="F537" s="8">
        <v>116.94</v>
      </c>
      <c r="G537" s="8">
        <v>128.66999999999999</v>
      </c>
      <c r="H537" s="39">
        <v>1</v>
      </c>
      <c r="I537" s="39">
        <v>1</v>
      </c>
      <c r="J537" s="12">
        <v>1</v>
      </c>
      <c r="K537">
        <f t="shared" si="42"/>
        <v>153181655.29999998</v>
      </c>
      <c r="L537">
        <f t="shared" si="43"/>
        <v>28099.418000000016</v>
      </c>
      <c r="M537">
        <f t="shared" si="44"/>
        <v>31179.169999999991</v>
      </c>
      <c r="N537" s="12">
        <f t="shared" si="45"/>
        <v>0.26238924999999996</v>
      </c>
      <c r="O537" s="12">
        <f t="shared" si="46"/>
        <v>0.24360950270356233</v>
      </c>
    </row>
    <row r="538" spans="1:15">
      <c r="A538" s="32">
        <v>46010</v>
      </c>
      <c r="B538">
        <v>263</v>
      </c>
      <c r="C538" s="8">
        <v>692381.9</v>
      </c>
      <c r="D538" s="8">
        <v>4.6100000000000003</v>
      </c>
      <c r="E538" s="8">
        <v>89.03</v>
      </c>
      <c r="F538" s="8">
        <v>116.56</v>
      </c>
      <c r="G538" s="8">
        <v>127.96</v>
      </c>
      <c r="H538" s="39">
        <v>1</v>
      </c>
      <c r="I538" s="39">
        <v>1</v>
      </c>
      <c r="J538" s="12">
        <v>1</v>
      </c>
      <c r="K538">
        <f t="shared" si="42"/>
        <v>153874037.19999999</v>
      </c>
      <c r="L538">
        <f t="shared" si="43"/>
        <v>28215.978000000017</v>
      </c>
      <c r="M538">
        <f t="shared" si="44"/>
        <v>31307.12999999999</v>
      </c>
      <c r="N538" s="12">
        <f t="shared" si="45"/>
        <v>0.28849245833333337</v>
      </c>
      <c r="O538" s="12">
        <f t="shared" si="46"/>
        <v>0.24378016032953104</v>
      </c>
    </row>
    <row r="539" spans="1:15">
      <c r="A539" s="32">
        <v>46011</v>
      </c>
      <c r="B539">
        <v>264</v>
      </c>
      <c r="C539" s="8">
        <v>654873</v>
      </c>
      <c r="D539" s="8">
        <v>4.3899999999999997</v>
      </c>
      <c r="E539" s="8">
        <v>81.650000000000006</v>
      </c>
      <c r="F539" s="8">
        <v>116.52</v>
      </c>
      <c r="G539" s="8">
        <v>128.08000000000001</v>
      </c>
      <c r="H539" s="39">
        <v>1</v>
      </c>
      <c r="I539" s="39">
        <v>1</v>
      </c>
      <c r="J539" s="12">
        <v>1</v>
      </c>
      <c r="K539">
        <f t="shared" si="42"/>
        <v>154528910.19999999</v>
      </c>
      <c r="L539">
        <f t="shared" si="43"/>
        <v>28332.498000000018</v>
      </c>
      <c r="M539">
        <f t="shared" si="44"/>
        <v>31435.209999999992</v>
      </c>
      <c r="N539" s="12">
        <f t="shared" si="45"/>
        <v>0.27286375000000002</v>
      </c>
      <c r="O539" s="12">
        <f t="shared" si="46"/>
        <v>0.24389032544191919</v>
      </c>
    </row>
    <row r="540" spans="1:15">
      <c r="A540" s="32">
        <v>46012</v>
      </c>
      <c r="B540">
        <v>265</v>
      </c>
      <c r="C540" s="8">
        <v>643472.9</v>
      </c>
      <c r="D540" s="8">
        <v>4.34</v>
      </c>
      <c r="E540" s="8">
        <v>82.7</v>
      </c>
      <c r="F540" s="8">
        <v>116.67</v>
      </c>
      <c r="G540" s="8">
        <v>128.38999999999999</v>
      </c>
      <c r="H540" s="39">
        <v>1</v>
      </c>
      <c r="I540" s="39">
        <v>1</v>
      </c>
      <c r="J540" s="12">
        <v>1</v>
      </c>
      <c r="K540">
        <f t="shared" si="42"/>
        <v>155172383.09999999</v>
      </c>
      <c r="L540">
        <f t="shared" si="43"/>
        <v>28449.168000000016</v>
      </c>
      <c r="M540">
        <f t="shared" si="44"/>
        <v>31563.599999999991</v>
      </c>
      <c r="N540" s="12">
        <f t="shared" si="45"/>
        <v>0.26811370833333337</v>
      </c>
      <c r="O540" s="12">
        <f t="shared" si="46"/>
        <v>0.24398173443396226</v>
      </c>
    </row>
    <row r="541" spans="1:15">
      <c r="A541" s="32">
        <v>46013</v>
      </c>
      <c r="B541">
        <v>266</v>
      </c>
      <c r="C541" s="8">
        <v>599113.5</v>
      </c>
      <c r="D541" s="8">
        <v>3.91</v>
      </c>
      <c r="E541" s="8">
        <v>78.989999999999995</v>
      </c>
      <c r="F541" s="8">
        <v>116.73</v>
      </c>
      <c r="G541" s="8">
        <v>128.52000000000001</v>
      </c>
      <c r="H541" s="39">
        <v>1</v>
      </c>
      <c r="I541" s="39">
        <v>1</v>
      </c>
      <c r="J541" s="12">
        <v>1</v>
      </c>
      <c r="K541">
        <f t="shared" si="42"/>
        <v>155771496.59999999</v>
      </c>
      <c r="L541">
        <f t="shared" si="43"/>
        <v>28565.898000000016</v>
      </c>
      <c r="M541">
        <f t="shared" si="44"/>
        <v>31692.119999999992</v>
      </c>
      <c r="N541" s="12">
        <f t="shared" si="45"/>
        <v>0.24963062499999999</v>
      </c>
      <c r="O541" s="12">
        <f t="shared" si="46"/>
        <v>0.24400297086466163</v>
      </c>
    </row>
    <row r="542" spans="1:15">
      <c r="A542" s="32">
        <v>46014</v>
      </c>
      <c r="B542">
        <v>267</v>
      </c>
      <c r="C542" s="8">
        <v>631420.69999999995</v>
      </c>
      <c r="D542" s="8">
        <v>4.2300000000000004</v>
      </c>
      <c r="E542" s="8">
        <v>77.239999999999995</v>
      </c>
      <c r="F542" s="8">
        <v>116.78</v>
      </c>
      <c r="G542" s="8">
        <v>128.54</v>
      </c>
      <c r="H542" s="39">
        <v>1</v>
      </c>
      <c r="I542" s="39">
        <v>1</v>
      </c>
      <c r="J542" s="12">
        <v>1</v>
      </c>
      <c r="K542">
        <f t="shared" si="42"/>
        <v>156402917.29999998</v>
      </c>
      <c r="L542">
        <f t="shared" si="43"/>
        <v>28682.678000000014</v>
      </c>
      <c r="M542">
        <f t="shared" si="44"/>
        <v>31820.659999999993</v>
      </c>
      <c r="N542" s="12">
        <f t="shared" si="45"/>
        <v>0.26309195833333332</v>
      </c>
      <c r="O542" s="12">
        <f t="shared" si="46"/>
        <v>0.24407446519975029</v>
      </c>
    </row>
    <row r="543" spans="1:15">
      <c r="A543" s="32">
        <v>46015</v>
      </c>
      <c r="B543">
        <v>268</v>
      </c>
      <c r="C543" s="8">
        <v>689794.9</v>
      </c>
      <c r="D543" s="8">
        <v>4.47</v>
      </c>
      <c r="E543" s="8">
        <v>87.7</v>
      </c>
      <c r="F543" s="8">
        <v>116.64</v>
      </c>
      <c r="G543" s="8">
        <v>128.79</v>
      </c>
      <c r="H543" s="39">
        <v>1</v>
      </c>
      <c r="I543" s="39">
        <v>1</v>
      </c>
      <c r="J543" s="12">
        <v>1</v>
      </c>
      <c r="K543">
        <f t="shared" si="42"/>
        <v>157092712.19999999</v>
      </c>
      <c r="L543">
        <f t="shared" si="43"/>
        <v>28799.318000000014</v>
      </c>
      <c r="M543">
        <f t="shared" si="44"/>
        <v>31949.449999999993</v>
      </c>
      <c r="N543" s="12">
        <f t="shared" si="45"/>
        <v>0.28741454166666669</v>
      </c>
      <c r="O543" s="12">
        <f t="shared" si="46"/>
        <v>0.24423618190298504</v>
      </c>
    </row>
    <row r="544" spans="1:15">
      <c r="A544" s="32">
        <v>46016</v>
      </c>
      <c r="B544">
        <v>269</v>
      </c>
      <c r="C544" s="8">
        <v>644770.4</v>
      </c>
      <c r="D544" s="8">
        <v>4.29</v>
      </c>
      <c r="E544" s="8">
        <v>82.68</v>
      </c>
      <c r="F544" s="8">
        <v>116.72</v>
      </c>
      <c r="G544" s="8">
        <v>128.88</v>
      </c>
      <c r="H544" s="39">
        <v>1</v>
      </c>
      <c r="I544" s="39">
        <v>1</v>
      </c>
      <c r="J544" s="12">
        <v>1</v>
      </c>
      <c r="K544">
        <f t="shared" si="42"/>
        <v>157737482.59999999</v>
      </c>
      <c r="L544">
        <f t="shared" si="43"/>
        <v>28916.038000000015</v>
      </c>
      <c r="M544">
        <f t="shared" si="44"/>
        <v>32078.329999999994</v>
      </c>
      <c r="N544" s="12">
        <f t="shared" si="45"/>
        <v>0.26865433333333333</v>
      </c>
      <c r="O544" s="12">
        <f t="shared" si="46"/>
        <v>0.24432695570012392</v>
      </c>
    </row>
    <row r="545" spans="1:15">
      <c r="A545" s="32">
        <v>46017</v>
      </c>
      <c r="B545">
        <v>270</v>
      </c>
      <c r="C545" s="8">
        <v>677824</v>
      </c>
      <c r="D545" s="8">
        <v>4.4800000000000004</v>
      </c>
      <c r="E545" s="8">
        <v>85.33</v>
      </c>
      <c r="F545" s="8">
        <v>117.87</v>
      </c>
      <c r="G545" s="8">
        <v>129.25</v>
      </c>
      <c r="H545" s="39">
        <v>1</v>
      </c>
      <c r="I545" s="39">
        <v>1</v>
      </c>
      <c r="J545" s="12">
        <v>1</v>
      </c>
      <c r="K545">
        <f t="shared" si="42"/>
        <v>158415306.59999999</v>
      </c>
      <c r="L545">
        <f t="shared" si="43"/>
        <v>29033.908000000014</v>
      </c>
      <c r="M545">
        <f t="shared" si="44"/>
        <v>32207.579999999994</v>
      </c>
      <c r="N545" s="12">
        <f t="shared" si="45"/>
        <v>0.28242666666666666</v>
      </c>
      <c r="O545" s="12">
        <f t="shared" si="46"/>
        <v>0.24446806574074073</v>
      </c>
    </row>
    <row r="546" spans="1:15">
      <c r="A546" s="32">
        <v>46018</v>
      </c>
      <c r="B546">
        <v>271</v>
      </c>
      <c r="C546" s="8">
        <v>594365</v>
      </c>
      <c r="D546" s="8">
        <v>4.3899999999999997</v>
      </c>
      <c r="E546" s="8">
        <v>73</v>
      </c>
      <c r="F546" s="8">
        <v>116.63</v>
      </c>
      <c r="G546" s="8">
        <v>128.81</v>
      </c>
      <c r="H546" s="39">
        <v>1</v>
      </c>
      <c r="I546" s="39">
        <v>1</v>
      </c>
      <c r="J546" s="12">
        <v>1</v>
      </c>
      <c r="K546">
        <f t="shared" si="42"/>
        <v>159009671.59999999</v>
      </c>
      <c r="L546">
        <f t="shared" si="43"/>
        <v>29150.538000000015</v>
      </c>
      <c r="M546">
        <f t="shared" si="44"/>
        <v>32336.389999999996</v>
      </c>
      <c r="N546" s="12">
        <f t="shared" si="45"/>
        <v>0.24765208333333333</v>
      </c>
      <c r="O546" s="12">
        <f t="shared" si="46"/>
        <v>0.24447981488314882</v>
      </c>
    </row>
    <row r="547" spans="1:15">
      <c r="A547" s="32">
        <v>46019</v>
      </c>
      <c r="B547">
        <v>272</v>
      </c>
      <c r="C547" s="8">
        <v>681568.8</v>
      </c>
      <c r="D547" s="8">
        <v>4.51</v>
      </c>
      <c r="E547" s="8">
        <v>85.82</v>
      </c>
      <c r="F547" s="8">
        <v>116.52</v>
      </c>
      <c r="G547" s="8">
        <v>130.28</v>
      </c>
      <c r="H547" s="39">
        <v>1</v>
      </c>
      <c r="I547" s="39">
        <v>1</v>
      </c>
      <c r="J547" s="12">
        <v>1</v>
      </c>
      <c r="K547">
        <f t="shared" si="42"/>
        <v>159691240.40000001</v>
      </c>
      <c r="L547">
        <f t="shared" si="43"/>
        <v>29267.058000000015</v>
      </c>
      <c r="M547">
        <f t="shared" si="44"/>
        <v>32466.669999999995</v>
      </c>
      <c r="N547" s="12">
        <f t="shared" si="45"/>
        <v>0.28398700000000004</v>
      </c>
      <c r="O547" s="12">
        <f t="shared" si="46"/>
        <v>0.24462506188725491</v>
      </c>
    </row>
    <row r="548" spans="1:15">
      <c r="A548" s="32">
        <v>46020</v>
      </c>
      <c r="B548">
        <v>273</v>
      </c>
      <c r="C548" s="8">
        <v>673557.9</v>
      </c>
      <c r="D548" s="8">
        <v>4.4800000000000004</v>
      </c>
      <c r="E548" s="59">
        <v>84.54</v>
      </c>
      <c r="F548" s="8">
        <v>116.69</v>
      </c>
      <c r="G548" s="8">
        <v>128.4</v>
      </c>
      <c r="H548" s="39">
        <v>1</v>
      </c>
      <c r="I548" s="39">
        <v>1</v>
      </c>
      <c r="J548" s="12">
        <v>1</v>
      </c>
      <c r="K548">
        <f t="shared" si="42"/>
        <v>160364798.30000001</v>
      </c>
      <c r="L548">
        <f t="shared" si="43"/>
        <v>29383.748000000014</v>
      </c>
      <c r="M548">
        <f t="shared" si="44"/>
        <v>32595.069999999996</v>
      </c>
      <c r="N548" s="12">
        <f t="shared" si="45"/>
        <v>0.280649125</v>
      </c>
      <c r="O548" s="12">
        <f t="shared" si="46"/>
        <v>0.24475701816239318</v>
      </c>
    </row>
    <row r="549" spans="1:15">
      <c r="A549" s="32">
        <v>46021</v>
      </c>
      <c r="B549">
        <v>274</v>
      </c>
      <c r="C549" s="8">
        <v>658300</v>
      </c>
      <c r="D549" s="8">
        <v>4.3899999999999997</v>
      </c>
      <c r="E549" s="8">
        <v>81.900000000000006</v>
      </c>
      <c r="F549" s="8">
        <v>116.01</v>
      </c>
      <c r="G549" s="8">
        <v>129.34</v>
      </c>
      <c r="H549" s="39">
        <v>1</v>
      </c>
      <c r="I549" s="39">
        <v>1</v>
      </c>
      <c r="J549" s="12">
        <v>1</v>
      </c>
      <c r="K549">
        <f t="shared" si="42"/>
        <v>161023098.30000001</v>
      </c>
      <c r="L549">
        <f t="shared" si="43"/>
        <v>29499.758000000013</v>
      </c>
      <c r="M549">
        <f t="shared" si="44"/>
        <v>32724.409999999996</v>
      </c>
      <c r="N549" s="12">
        <f t="shared" si="45"/>
        <v>0.27429166666666666</v>
      </c>
      <c r="O549" s="12">
        <f t="shared" si="46"/>
        <v>0.24486480885036499</v>
      </c>
    </row>
    <row r="550" spans="1:15">
      <c r="A550" s="32">
        <v>46022</v>
      </c>
      <c r="B550">
        <v>275</v>
      </c>
      <c r="C550" s="8">
        <v>698038</v>
      </c>
      <c r="D550" s="8">
        <v>4.7300000000000004</v>
      </c>
      <c r="E550" s="8">
        <v>85.84</v>
      </c>
      <c r="F550" s="8">
        <v>116.4</v>
      </c>
      <c r="G550" s="8">
        <v>128.72</v>
      </c>
      <c r="H550" s="39">
        <v>1</v>
      </c>
      <c r="I550" s="39">
        <v>1</v>
      </c>
      <c r="J550" s="12">
        <v>1</v>
      </c>
      <c r="K550">
        <f t="shared" si="42"/>
        <v>161721136.30000001</v>
      </c>
      <c r="L550">
        <f t="shared" si="43"/>
        <v>29616.158000000014</v>
      </c>
      <c r="M550">
        <f t="shared" si="44"/>
        <v>32853.129999999997</v>
      </c>
      <c r="N550" s="12">
        <f t="shared" si="45"/>
        <v>0.29084916666666666</v>
      </c>
      <c r="O550" s="12">
        <f t="shared" si="46"/>
        <v>0.24503202469696972</v>
      </c>
    </row>
    <row r="551" spans="1:15">
      <c r="A551" s="32">
        <v>46023</v>
      </c>
      <c r="B551">
        <v>276</v>
      </c>
      <c r="C551" s="8">
        <v>632612.6</v>
      </c>
      <c r="D551" s="8">
        <v>4.29</v>
      </c>
      <c r="E551" s="8">
        <v>78.52</v>
      </c>
      <c r="F551" s="8">
        <v>116.31</v>
      </c>
      <c r="G551" s="8">
        <v>129.35</v>
      </c>
      <c r="H551" s="39">
        <v>1</v>
      </c>
      <c r="I551" s="39">
        <v>1</v>
      </c>
      <c r="J551" s="12">
        <v>1</v>
      </c>
      <c r="K551">
        <f t="shared" si="42"/>
        <v>162353748.90000001</v>
      </c>
      <c r="L551">
        <f t="shared" si="43"/>
        <v>29732.468000000015</v>
      </c>
      <c r="M551">
        <f t="shared" si="44"/>
        <v>32982.479999999996</v>
      </c>
      <c r="N551" s="12">
        <f t="shared" si="45"/>
        <v>0.26358858333333335</v>
      </c>
      <c r="O551" s="12">
        <f t="shared" si="46"/>
        <v>0.24509925860507248</v>
      </c>
    </row>
    <row r="552" spans="1:15">
      <c r="A552" s="32">
        <v>46024</v>
      </c>
      <c r="B552">
        <v>277</v>
      </c>
      <c r="C552" s="8">
        <v>574497.69999999995</v>
      </c>
      <c r="D552" s="8">
        <v>3.96</v>
      </c>
      <c r="E552" s="8">
        <v>71.459999999999994</v>
      </c>
      <c r="F552" s="8">
        <v>116.17</v>
      </c>
      <c r="G552" s="8">
        <v>129.28</v>
      </c>
      <c r="H552" s="39">
        <v>1</v>
      </c>
      <c r="I552" s="39">
        <v>1</v>
      </c>
      <c r="J552" s="12">
        <v>1</v>
      </c>
      <c r="K552">
        <f t="shared" si="42"/>
        <v>162928246.59999999</v>
      </c>
      <c r="L552">
        <f t="shared" si="43"/>
        <v>29848.638000000014</v>
      </c>
      <c r="M552">
        <f t="shared" si="44"/>
        <v>33111.759999999995</v>
      </c>
      <c r="N552" s="12">
        <f t="shared" si="45"/>
        <v>0.23937404166666665</v>
      </c>
      <c r="O552" s="12">
        <f t="shared" si="46"/>
        <v>0.24507858995186521</v>
      </c>
    </row>
    <row r="553" spans="1:15">
      <c r="A553" s="32">
        <v>46025</v>
      </c>
      <c r="B553">
        <v>278</v>
      </c>
      <c r="C553" s="8">
        <v>519109.7</v>
      </c>
      <c r="D553" s="8">
        <v>3.65</v>
      </c>
      <c r="E553" s="8">
        <v>62.86</v>
      </c>
      <c r="F553" s="8">
        <v>116.2</v>
      </c>
      <c r="G553" s="8">
        <v>129.21</v>
      </c>
      <c r="H553" s="39">
        <v>1</v>
      </c>
      <c r="I553" s="39">
        <v>1</v>
      </c>
      <c r="J553" s="12">
        <v>1</v>
      </c>
      <c r="K553">
        <f t="shared" si="42"/>
        <v>163447356.29999998</v>
      </c>
      <c r="L553">
        <f t="shared" si="43"/>
        <v>29964.838000000014</v>
      </c>
      <c r="M553">
        <f t="shared" si="44"/>
        <v>33240.969999999994</v>
      </c>
      <c r="N553" s="12">
        <f t="shared" si="45"/>
        <v>0.21629570833333334</v>
      </c>
      <c r="O553" s="12">
        <f t="shared" si="46"/>
        <v>0.2449750544064748</v>
      </c>
    </row>
    <row r="554" spans="1:15">
      <c r="A554" s="32">
        <v>46026</v>
      </c>
      <c r="B554">
        <v>279</v>
      </c>
      <c r="C554" s="8">
        <v>462466.7</v>
      </c>
      <c r="D554" s="8">
        <v>3.77</v>
      </c>
      <c r="E554" s="8">
        <v>59.12</v>
      </c>
      <c r="F554" s="8">
        <v>116.62</v>
      </c>
      <c r="G554" s="8">
        <v>130.06</v>
      </c>
      <c r="H554" s="39">
        <v>1</v>
      </c>
      <c r="I554" s="39">
        <v>1</v>
      </c>
      <c r="J554" s="12">
        <v>1</v>
      </c>
      <c r="K554">
        <f t="shared" si="42"/>
        <v>163909822.99999997</v>
      </c>
      <c r="L554">
        <f t="shared" si="43"/>
        <v>30081.458000000013</v>
      </c>
      <c r="M554">
        <f t="shared" si="44"/>
        <v>33371.029999999992</v>
      </c>
      <c r="N554" s="12">
        <f t="shared" si="45"/>
        <v>0.19269445833333335</v>
      </c>
      <c r="O554" s="12">
        <f t="shared" si="46"/>
        <v>0.2447876687574671</v>
      </c>
    </row>
    <row r="555" spans="1:15">
      <c r="A555" s="32">
        <v>46027</v>
      </c>
      <c r="B555">
        <v>280</v>
      </c>
      <c r="C555" s="8">
        <v>585207.6</v>
      </c>
      <c r="D555" s="8">
        <v>4.17</v>
      </c>
      <c r="E555" s="8">
        <v>69.69</v>
      </c>
      <c r="F555" s="8">
        <v>116.5</v>
      </c>
      <c r="G555" s="8">
        <v>130.1</v>
      </c>
      <c r="H555" s="39">
        <v>1</v>
      </c>
      <c r="I555" s="39">
        <v>1</v>
      </c>
      <c r="J555" s="12">
        <v>1</v>
      </c>
      <c r="K555">
        <f t="shared" si="42"/>
        <v>164495030.59999996</v>
      </c>
      <c r="L555">
        <f t="shared" si="43"/>
        <v>30197.958000000013</v>
      </c>
      <c r="M555">
        <f t="shared" si="44"/>
        <v>33501.12999999999</v>
      </c>
      <c r="N555" s="12">
        <f t="shared" si="45"/>
        <v>0.24383649999999998</v>
      </c>
      <c r="O555" s="12">
        <f t="shared" si="46"/>
        <v>0.24478427172619041</v>
      </c>
    </row>
    <row r="556" spans="1:15">
      <c r="A556" s="32">
        <v>46028</v>
      </c>
      <c r="B556">
        <v>281</v>
      </c>
      <c r="H556" s="39">
        <v>1</v>
      </c>
      <c r="I556" s="39">
        <v>1</v>
      </c>
      <c r="J556" s="12">
        <v>1</v>
      </c>
      <c r="K556">
        <f t="shared" si="42"/>
        <v>164495030.59999996</v>
      </c>
      <c r="L556">
        <f t="shared" si="43"/>
        <v>30197.958000000013</v>
      </c>
      <c r="M556">
        <f t="shared" si="44"/>
        <v>33501.12999999999</v>
      </c>
      <c r="N556" s="12">
        <f t="shared" si="45"/>
        <v>0</v>
      </c>
      <c r="O556" s="12">
        <f t="shared" si="46"/>
        <v>0.24391315332147087</v>
      </c>
    </row>
    <row r="557" spans="1:15">
      <c r="A557" s="32">
        <v>46029</v>
      </c>
      <c r="B557">
        <v>282</v>
      </c>
      <c r="H557" s="39">
        <v>1</v>
      </c>
      <c r="I557" s="39">
        <v>1</v>
      </c>
      <c r="J557" s="12">
        <v>1</v>
      </c>
      <c r="K557">
        <f t="shared" si="42"/>
        <v>164495030.59999996</v>
      </c>
      <c r="L557">
        <f t="shared" si="43"/>
        <v>30197.958000000013</v>
      </c>
      <c r="M557">
        <f t="shared" si="44"/>
        <v>33501.12999999999</v>
      </c>
      <c r="N557" s="12">
        <f t="shared" si="45"/>
        <v>0</v>
      </c>
      <c r="O557" s="12">
        <f t="shared" si="46"/>
        <v>0.24304821306146568</v>
      </c>
    </row>
    <row r="558" spans="1:15">
      <c r="A558" s="32">
        <v>46030</v>
      </c>
      <c r="B558">
        <v>283</v>
      </c>
      <c r="H558" s="39">
        <v>1</v>
      </c>
      <c r="I558" s="39">
        <v>1</v>
      </c>
      <c r="J558" s="12">
        <v>1</v>
      </c>
      <c r="K558">
        <f t="shared" si="42"/>
        <v>164495030.59999996</v>
      </c>
      <c r="L558">
        <f t="shared" si="43"/>
        <v>30197.958000000013</v>
      </c>
      <c r="M558">
        <f t="shared" si="44"/>
        <v>33501.12999999999</v>
      </c>
      <c r="N558" s="12">
        <f t="shared" si="45"/>
        <v>0</v>
      </c>
      <c r="O558" s="12">
        <f t="shared" si="46"/>
        <v>0.24218938545347463</v>
      </c>
    </row>
    <row r="559" spans="1:15">
      <c r="A559" s="32">
        <v>46031</v>
      </c>
      <c r="B559">
        <v>284</v>
      </c>
      <c r="H559" s="39">
        <v>1</v>
      </c>
      <c r="I559" s="39">
        <v>1</v>
      </c>
      <c r="J559" s="12">
        <v>1</v>
      </c>
      <c r="K559">
        <f t="shared" si="42"/>
        <v>164495030.59999996</v>
      </c>
      <c r="L559">
        <f t="shared" si="43"/>
        <v>30197.958000000013</v>
      </c>
      <c r="M559">
        <f t="shared" si="44"/>
        <v>33501.12999999999</v>
      </c>
      <c r="N559" s="12">
        <f t="shared" si="45"/>
        <v>0</v>
      </c>
      <c r="O559" s="12">
        <f t="shared" si="46"/>
        <v>0.24133660592723</v>
      </c>
    </row>
    <row r="560" spans="1:15">
      <c r="A560" s="32">
        <v>46032</v>
      </c>
      <c r="B560">
        <v>285</v>
      </c>
      <c r="H560" s="39">
        <v>1</v>
      </c>
      <c r="I560" s="39">
        <v>1</v>
      </c>
      <c r="J560" s="12">
        <v>1</v>
      </c>
      <c r="K560">
        <f t="shared" si="42"/>
        <v>164495030.59999996</v>
      </c>
      <c r="L560">
        <f t="shared" si="43"/>
        <v>30197.958000000013</v>
      </c>
      <c r="M560">
        <f t="shared" si="44"/>
        <v>33501.12999999999</v>
      </c>
      <c r="N560" s="12">
        <f t="shared" si="45"/>
        <v>0</v>
      </c>
      <c r="O560" s="12">
        <f t="shared" si="46"/>
        <v>0.2404898108187134</v>
      </c>
    </row>
    <row r="561" spans="1:15">
      <c r="A561" s="32">
        <v>46033</v>
      </c>
      <c r="B561">
        <v>286</v>
      </c>
      <c r="H561" s="39">
        <v>1</v>
      </c>
      <c r="I561" s="39">
        <v>1</v>
      </c>
      <c r="J561" s="12">
        <v>1</v>
      </c>
      <c r="K561">
        <f t="shared" si="42"/>
        <v>164495030.59999996</v>
      </c>
      <c r="L561">
        <f t="shared" si="43"/>
        <v>30197.958000000013</v>
      </c>
      <c r="M561">
        <f t="shared" si="44"/>
        <v>33501.12999999999</v>
      </c>
      <c r="N561" s="12">
        <f t="shared" si="45"/>
        <v>0</v>
      </c>
      <c r="O561" s="12">
        <f t="shared" si="46"/>
        <v>0.23964893735431231</v>
      </c>
    </row>
    <row r="562" spans="1:15">
      <c r="A562" s="32">
        <v>46034</v>
      </c>
      <c r="B562">
        <v>287</v>
      </c>
      <c r="H562" s="39">
        <v>1</v>
      </c>
      <c r="I562" s="39">
        <v>1</v>
      </c>
      <c r="J562" s="12">
        <v>1</v>
      </c>
      <c r="K562">
        <f t="shared" si="42"/>
        <v>164495030.59999996</v>
      </c>
      <c r="L562">
        <f t="shared" si="43"/>
        <v>30197.958000000013</v>
      </c>
      <c r="M562">
        <f t="shared" si="44"/>
        <v>33501.12999999999</v>
      </c>
      <c r="N562" s="12">
        <f t="shared" si="45"/>
        <v>0</v>
      </c>
      <c r="O562" s="12">
        <f t="shared" si="46"/>
        <v>0.23881392363530773</v>
      </c>
    </row>
    <row r="563" spans="1:15">
      <c r="A563" s="32">
        <v>46035</v>
      </c>
      <c r="B563">
        <v>288</v>
      </c>
      <c r="H563" s="39">
        <v>1</v>
      </c>
      <c r="I563" s="39">
        <v>1</v>
      </c>
      <c r="J563" s="12">
        <v>1</v>
      </c>
      <c r="K563">
        <f t="shared" si="42"/>
        <v>164495030.59999996</v>
      </c>
      <c r="L563">
        <f t="shared" si="43"/>
        <v>30197.958000000013</v>
      </c>
      <c r="M563">
        <f t="shared" si="44"/>
        <v>33501.12999999999</v>
      </c>
      <c r="N563" s="12">
        <f t="shared" si="45"/>
        <v>0</v>
      </c>
      <c r="O563" s="12">
        <f t="shared" si="46"/>
        <v>0.23798470862268514</v>
      </c>
    </row>
    <row r="564" spans="1:15">
      <c r="A564" s="32">
        <v>46036</v>
      </c>
      <c r="B564">
        <v>289</v>
      </c>
      <c r="H564" s="39">
        <v>1</v>
      </c>
      <c r="I564" s="39">
        <v>1</v>
      </c>
      <c r="J564" s="12">
        <v>1</v>
      </c>
      <c r="K564">
        <f t="shared" si="42"/>
        <v>164495030.59999996</v>
      </c>
      <c r="L564">
        <f t="shared" si="43"/>
        <v>30197.958000000013</v>
      </c>
      <c r="M564">
        <f t="shared" si="44"/>
        <v>33501.12999999999</v>
      </c>
      <c r="N564" s="12">
        <f t="shared" si="45"/>
        <v>0</v>
      </c>
      <c r="O564" s="12">
        <f t="shared" si="46"/>
        <v>0.23716123212226062</v>
      </c>
    </row>
    <row r="565" spans="1:15">
      <c r="A565" s="32">
        <v>46037</v>
      </c>
      <c r="B565">
        <v>290</v>
      </c>
      <c r="H565" s="39">
        <v>1</v>
      </c>
      <c r="I565" s="39">
        <v>1</v>
      </c>
      <c r="J565" s="12">
        <v>1</v>
      </c>
      <c r="K565">
        <f t="shared" si="42"/>
        <v>164495030.59999996</v>
      </c>
      <c r="L565">
        <f t="shared" si="43"/>
        <v>30197.958000000013</v>
      </c>
      <c r="M565">
        <f t="shared" si="44"/>
        <v>33501.12999999999</v>
      </c>
      <c r="N565" s="12">
        <f t="shared" si="45"/>
        <v>0</v>
      </c>
      <c r="O565" s="12">
        <f t="shared" si="46"/>
        <v>0.23634343477011488</v>
      </c>
    </row>
    <row r="566" spans="1:15">
      <c r="A566" s="32">
        <v>46038</v>
      </c>
      <c r="B566">
        <v>291</v>
      </c>
      <c r="H566" s="39">
        <v>1</v>
      </c>
      <c r="I566" s="39">
        <v>1</v>
      </c>
      <c r="J566" s="12">
        <v>1</v>
      </c>
      <c r="K566">
        <f t="shared" si="42"/>
        <v>164495030.59999996</v>
      </c>
      <c r="L566">
        <f t="shared" si="43"/>
        <v>30197.958000000013</v>
      </c>
      <c r="M566">
        <f t="shared" si="44"/>
        <v>33501.12999999999</v>
      </c>
      <c r="N566" s="12">
        <f t="shared" si="45"/>
        <v>0</v>
      </c>
      <c r="O566" s="12">
        <f t="shared" si="46"/>
        <v>0.23553125801832756</v>
      </c>
    </row>
    <row r="567" spans="1:15">
      <c r="A567" s="32">
        <v>46039</v>
      </c>
      <c r="B567">
        <v>292</v>
      </c>
      <c r="H567" s="39">
        <v>1</v>
      </c>
      <c r="I567" s="39">
        <v>1</v>
      </c>
      <c r="J567" s="12">
        <v>1</v>
      </c>
      <c r="K567">
        <f t="shared" si="42"/>
        <v>164495030.59999996</v>
      </c>
      <c r="L567">
        <f t="shared" si="43"/>
        <v>30197.958000000013</v>
      </c>
      <c r="M567">
        <f t="shared" si="44"/>
        <v>33501.12999999999</v>
      </c>
      <c r="N567" s="12">
        <f t="shared" si="45"/>
        <v>0</v>
      </c>
      <c r="O567" s="12">
        <f t="shared" si="46"/>
        <v>0.23472464412100452</v>
      </c>
    </row>
    <row r="568" spans="1:15">
      <c r="A568" s="32">
        <v>46040</v>
      </c>
      <c r="B568">
        <v>293</v>
      </c>
      <c r="H568" s="39">
        <v>1</v>
      </c>
      <c r="I568" s="39">
        <v>1</v>
      </c>
      <c r="J568" s="12">
        <v>1</v>
      </c>
      <c r="K568">
        <f t="shared" si="42"/>
        <v>164495030.59999996</v>
      </c>
      <c r="L568">
        <f t="shared" si="43"/>
        <v>30197.958000000013</v>
      </c>
      <c r="M568">
        <f t="shared" si="44"/>
        <v>33501.12999999999</v>
      </c>
      <c r="N568" s="12">
        <f t="shared" si="45"/>
        <v>0</v>
      </c>
      <c r="O568" s="12">
        <f t="shared" si="46"/>
        <v>0.23392353612059152</v>
      </c>
    </row>
    <row r="569" spans="1:15">
      <c r="A569" s="32">
        <v>46041</v>
      </c>
      <c r="B569">
        <v>294</v>
      </c>
      <c r="H569" s="39">
        <v>1</v>
      </c>
      <c r="I569" s="39">
        <v>1</v>
      </c>
      <c r="J569" s="12">
        <v>1</v>
      </c>
      <c r="K569">
        <f t="shared" si="42"/>
        <v>164495030.59999996</v>
      </c>
      <c r="L569">
        <f t="shared" si="43"/>
        <v>30197.958000000013</v>
      </c>
      <c r="M569">
        <f t="shared" si="44"/>
        <v>33501.12999999999</v>
      </c>
      <c r="N569" s="12">
        <f t="shared" si="45"/>
        <v>0</v>
      </c>
      <c r="O569" s="12">
        <f t="shared" si="46"/>
        <v>0.23312787783446706</v>
      </c>
    </row>
    <row r="570" spans="1:15">
      <c r="A570" s="32">
        <v>46042</v>
      </c>
      <c r="B570">
        <v>295</v>
      </c>
      <c r="H570" s="39">
        <v>1</v>
      </c>
      <c r="I570" s="39">
        <v>1</v>
      </c>
      <c r="J570" s="12">
        <v>1</v>
      </c>
      <c r="K570">
        <f t="shared" si="42"/>
        <v>164495030.59999996</v>
      </c>
      <c r="L570">
        <f t="shared" si="43"/>
        <v>30197.958000000013</v>
      </c>
      <c r="M570">
        <f t="shared" si="44"/>
        <v>33501.12999999999</v>
      </c>
      <c r="N570" s="12">
        <f t="shared" si="45"/>
        <v>0</v>
      </c>
      <c r="O570" s="12">
        <f t="shared" si="46"/>
        <v>0.23233761384180787</v>
      </c>
    </row>
    <row r="571" spans="1:15">
      <c r="A571" s="32">
        <v>46043</v>
      </c>
      <c r="B571">
        <v>296</v>
      </c>
      <c r="H571" s="39">
        <v>1</v>
      </c>
      <c r="I571" s="39">
        <v>1</v>
      </c>
      <c r="J571" s="12">
        <v>1</v>
      </c>
      <c r="K571">
        <f t="shared" ref="K571:K619" si="47">K570+C571</f>
        <v>164495030.59999996</v>
      </c>
      <c r="L571">
        <f t="shared" ref="L571:M619" si="48">L570+F571</f>
        <v>30197.958000000013</v>
      </c>
      <c r="M571">
        <f t="shared" si="48"/>
        <v>33501.12999999999</v>
      </c>
      <c r="N571" s="12">
        <f t="shared" ref="N571:N619" si="49">C571/(100000*24)</f>
        <v>0</v>
      </c>
      <c r="O571" s="12">
        <f t="shared" ref="O571:O619" si="50">K571/(B571*100000*24)</f>
        <v>0.23155268947072066</v>
      </c>
    </row>
    <row r="572" spans="1:15">
      <c r="A572" s="32">
        <v>46044</v>
      </c>
      <c r="B572">
        <v>297</v>
      </c>
      <c r="H572" s="39">
        <v>1</v>
      </c>
      <c r="I572" s="39">
        <v>1</v>
      </c>
      <c r="J572" s="12">
        <v>1</v>
      </c>
      <c r="K572">
        <f t="shared" si="47"/>
        <v>164495030.59999996</v>
      </c>
      <c r="L572">
        <f t="shared" si="48"/>
        <v>30197.958000000013</v>
      </c>
      <c r="M572">
        <f t="shared" si="48"/>
        <v>33501.12999999999</v>
      </c>
      <c r="N572" s="12">
        <f t="shared" si="49"/>
        <v>0</v>
      </c>
      <c r="O572" s="12">
        <f t="shared" si="50"/>
        <v>0.23077305078563407</v>
      </c>
    </row>
    <row r="573" spans="1:15">
      <c r="A573" s="32">
        <v>46045</v>
      </c>
      <c r="B573">
        <v>298</v>
      </c>
      <c r="H573" s="39">
        <v>1</v>
      </c>
      <c r="I573" s="39">
        <v>1</v>
      </c>
      <c r="J573" s="12">
        <v>1</v>
      </c>
      <c r="K573">
        <f t="shared" si="47"/>
        <v>164495030.59999996</v>
      </c>
      <c r="L573">
        <f t="shared" si="48"/>
        <v>30197.958000000013</v>
      </c>
      <c r="M573">
        <f t="shared" si="48"/>
        <v>33501.12999999999</v>
      </c>
      <c r="N573" s="12">
        <f t="shared" si="49"/>
        <v>0</v>
      </c>
      <c r="O573" s="12">
        <f t="shared" si="50"/>
        <v>0.22999864457494401</v>
      </c>
    </row>
    <row r="574" spans="1:15">
      <c r="A574" s="32">
        <v>46046</v>
      </c>
      <c r="B574">
        <v>299</v>
      </c>
      <c r="H574" s="39">
        <v>1</v>
      </c>
      <c r="I574" s="39">
        <v>1</v>
      </c>
      <c r="J574" s="12">
        <v>1</v>
      </c>
      <c r="K574">
        <f t="shared" si="47"/>
        <v>164495030.59999996</v>
      </c>
      <c r="L574">
        <f t="shared" si="48"/>
        <v>30197.958000000013</v>
      </c>
      <c r="M574">
        <f t="shared" si="48"/>
        <v>33501.12999999999</v>
      </c>
      <c r="N574" s="12">
        <f t="shared" si="49"/>
        <v>0</v>
      </c>
      <c r="O574" s="12">
        <f t="shared" si="50"/>
        <v>0.22922941833890742</v>
      </c>
    </row>
    <row r="575" spans="1:15">
      <c r="A575" s="32">
        <v>46047</v>
      </c>
      <c r="B575">
        <v>300</v>
      </c>
      <c r="H575" s="39">
        <v>1</v>
      </c>
      <c r="I575" s="39">
        <v>1</v>
      </c>
      <c r="J575" s="12">
        <v>1</v>
      </c>
      <c r="K575">
        <f t="shared" si="47"/>
        <v>164495030.59999996</v>
      </c>
      <c r="L575">
        <f t="shared" si="48"/>
        <v>30197.958000000013</v>
      </c>
      <c r="M575">
        <f t="shared" si="48"/>
        <v>33501.12999999999</v>
      </c>
      <c r="N575" s="12">
        <f t="shared" si="49"/>
        <v>0</v>
      </c>
      <c r="O575" s="12">
        <f t="shared" si="50"/>
        <v>0.22846532027777772</v>
      </c>
    </row>
    <row r="576" spans="1:15">
      <c r="A576" s="32">
        <v>46048</v>
      </c>
      <c r="B576">
        <v>301</v>
      </c>
      <c r="H576" s="39">
        <v>1</v>
      </c>
      <c r="I576" s="39">
        <v>1</v>
      </c>
      <c r="J576" s="12">
        <v>1</v>
      </c>
      <c r="K576">
        <f t="shared" si="47"/>
        <v>164495030.59999996</v>
      </c>
      <c r="L576">
        <f t="shared" si="48"/>
        <v>30197.958000000013</v>
      </c>
      <c r="M576">
        <f t="shared" si="48"/>
        <v>33501.12999999999</v>
      </c>
      <c r="N576" s="12">
        <f t="shared" si="49"/>
        <v>0</v>
      </c>
      <c r="O576" s="12">
        <f t="shared" si="50"/>
        <v>0.22770629928017713</v>
      </c>
    </row>
    <row r="577" spans="1:15">
      <c r="A577" s="32">
        <v>46049</v>
      </c>
      <c r="B577">
        <v>302</v>
      </c>
      <c r="H577" s="39">
        <v>1</v>
      </c>
      <c r="I577" s="39">
        <v>1</v>
      </c>
      <c r="J577" s="12">
        <v>1</v>
      </c>
      <c r="K577">
        <f t="shared" si="47"/>
        <v>164495030.59999996</v>
      </c>
      <c r="L577">
        <f t="shared" si="48"/>
        <v>30197.958000000013</v>
      </c>
      <c r="M577">
        <f t="shared" si="48"/>
        <v>33501.12999999999</v>
      </c>
      <c r="N577" s="12">
        <f t="shared" si="49"/>
        <v>0</v>
      </c>
      <c r="O577" s="12">
        <f t="shared" si="50"/>
        <v>0.22695230491169974</v>
      </c>
    </row>
    <row r="578" spans="1:15">
      <c r="A578" s="32">
        <v>46050</v>
      </c>
      <c r="B578">
        <v>303</v>
      </c>
      <c r="H578" s="39">
        <v>1</v>
      </c>
      <c r="I578" s="39">
        <v>1</v>
      </c>
      <c r="J578" s="12">
        <v>1</v>
      </c>
      <c r="K578">
        <f t="shared" si="47"/>
        <v>164495030.59999996</v>
      </c>
      <c r="L578">
        <f t="shared" si="48"/>
        <v>30197.958000000013</v>
      </c>
      <c r="M578">
        <f t="shared" si="48"/>
        <v>33501.12999999999</v>
      </c>
      <c r="N578" s="12">
        <f t="shared" si="49"/>
        <v>0</v>
      </c>
      <c r="O578" s="12">
        <f t="shared" si="50"/>
        <v>0.22620328740374032</v>
      </c>
    </row>
    <row r="579" spans="1:15">
      <c r="A579" s="32">
        <v>46051</v>
      </c>
      <c r="B579">
        <v>304</v>
      </c>
      <c r="H579" s="39">
        <v>1</v>
      </c>
      <c r="I579" s="39">
        <v>1</v>
      </c>
      <c r="J579" s="12">
        <v>1</v>
      </c>
      <c r="K579">
        <f t="shared" si="47"/>
        <v>164495030.59999996</v>
      </c>
      <c r="L579">
        <f t="shared" si="48"/>
        <v>30197.958000000013</v>
      </c>
      <c r="M579">
        <f t="shared" si="48"/>
        <v>33501.12999999999</v>
      </c>
      <c r="N579" s="12">
        <f t="shared" si="49"/>
        <v>0</v>
      </c>
      <c r="O579" s="12">
        <f t="shared" si="50"/>
        <v>0.22545919764254382</v>
      </c>
    </row>
    <row r="580" spans="1:15">
      <c r="A580" s="32">
        <v>46052</v>
      </c>
      <c r="B580">
        <v>305</v>
      </c>
      <c r="H580" s="39">
        <v>1</v>
      </c>
      <c r="I580" s="39">
        <v>1</v>
      </c>
      <c r="J580" s="12">
        <v>1</v>
      </c>
      <c r="K580">
        <f t="shared" si="47"/>
        <v>164495030.59999996</v>
      </c>
      <c r="L580">
        <f t="shared" si="48"/>
        <v>30197.958000000013</v>
      </c>
      <c r="M580">
        <f t="shared" si="48"/>
        <v>33501.12999999999</v>
      </c>
      <c r="N580" s="12">
        <f t="shared" si="49"/>
        <v>0</v>
      </c>
      <c r="O580" s="12">
        <f t="shared" si="50"/>
        <v>0.22471998715846989</v>
      </c>
    </row>
    <row r="581" spans="1:15">
      <c r="A581" s="32">
        <v>46053</v>
      </c>
      <c r="B581">
        <v>306</v>
      </c>
      <c r="H581" s="39">
        <v>1</v>
      </c>
      <c r="I581" s="39">
        <v>1</v>
      </c>
      <c r="J581" s="12">
        <v>1</v>
      </c>
      <c r="K581">
        <f t="shared" si="47"/>
        <v>164495030.59999996</v>
      </c>
      <c r="L581">
        <f t="shared" si="48"/>
        <v>30197.958000000013</v>
      </c>
      <c r="M581">
        <f t="shared" si="48"/>
        <v>33501.12999999999</v>
      </c>
      <c r="N581" s="12">
        <f t="shared" si="49"/>
        <v>0</v>
      </c>
      <c r="O581" s="12">
        <f t="shared" si="50"/>
        <v>0.22398560811546836</v>
      </c>
    </row>
    <row r="582" spans="1:15">
      <c r="A582" s="32">
        <v>46054</v>
      </c>
      <c r="B582">
        <v>307</v>
      </c>
      <c r="H582" s="39">
        <v>1</v>
      </c>
      <c r="I582" s="39">
        <v>1</v>
      </c>
      <c r="J582" s="12">
        <v>1</v>
      </c>
      <c r="K582">
        <f t="shared" si="47"/>
        <v>164495030.59999996</v>
      </c>
      <c r="L582">
        <f t="shared" si="48"/>
        <v>30197.958000000013</v>
      </c>
      <c r="M582">
        <f t="shared" si="48"/>
        <v>33501.12999999999</v>
      </c>
      <c r="N582" s="12">
        <f t="shared" si="49"/>
        <v>0</v>
      </c>
      <c r="O582" s="12">
        <f t="shared" si="50"/>
        <v>0.22325601330076</v>
      </c>
    </row>
    <row r="583" spans="1:15">
      <c r="A583" s="32">
        <v>46055</v>
      </c>
      <c r="B583">
        <v>308</v>
      </c>
      <c r="H583" s="39">
        <v>1</v>
      </c>
      <c r="I583" s="39">
        <v>1</v>
      </c>
      <c r="J583" s="12">
        <v>1</v>
      </c>
      <c r="K583">
        <f t="shared" si="47"/>
        <v>164495030.59999996</v>
      </c>
      <c r="L583">
        <f t="shared" si="48"/>
        <v>30197.958000000013</v>
      </c>
      <c r="M583">
        <f t="shared" si="48"/>
        <v>33501.12999999999</v>
      </c>
      <c r="N583" s="12">
        <f t="shared" si="49"/>
        <v>0</v>
      </c>
      <c r="O583" s="12">
        <f t="shared" si="50"/>
        <v>0.22253115611471858</v>
      </c>
    </row>
    <row r="584" spans="1:15">
      <c r="A584" s="32">
        <v>46056</v>
      </c>
      <c r="B584">
        <v>309</v>
      </c>
      <c r="H584" s="39">
        <v>1</v>
      </c>
      <c r="I584" s="39">
        <v>1</v>
      </c>
      <c r="J584" s="12">
        <v>1</v>
      </c>
      <c r="K584">
        <f t="shared" si="47"/>
        <v>164495030.59999996</v>
      </c>
      <c r="L584">
        <f t="shared" si="48"/>
        <v>30197.958000000013</v>
      </c>
      <c r="M584">
        <f t="shared" si="48"/>
        <v>33501.12999999999</v>
      </c>
      <c r="N584" s="12">
        <f t="shared" si="49"/>
        <v>0</v>
      </c>
      <c r="O584" s="12">
        <f t="shared" si="50"/>
        <v>0.22181099056094924</v>
      </c>
    </row>
    <row r="585" spans="1:15">
      <c r="A585" s="32">
        <v>46057</v>
      </c>
      <c r="B585">
        <v>310</v>
      </c>
      <c r="H585" s="39">
        <v>1</v>
      </c>
      <c r="I585" s="39">
        <v>1</v>
      </c>
      <c r="J585" s="12">
        <v>1</v>
      </c>
      <c r="K585">
        <f t="shared" si="47"/>
        <v>164495030.59999996</v>
      </c>
      <c r="L585">
        <f t="shared" si="48"/>
        <v>30197.958000000013</v>
      </c>
      <c r="M585">
        <f t="shared" si="48"/>
        <v>33501.12999999999</v>
      </c>
      <c r="N585" s="12">
        <f t="shared" si="49"/>
        <v>0</v>
      </c>
      <c r="O585" s="12">
        <f t="shared" si="50"/>
        <v>0.22109547123655909</v>
      </c>
    </row>
    <row r="586" spans="1:15">
      <c r="A586" s="32">
        <v>46058</v>
      </c>
      <c r="B586">
        <v>311</v>
      </c>
      <c r="H586" s="39">
        <v>1</v>
      </c>
      <c r="I586" s="39">
        <v>1</v>
      </c>
      <c r="J586" s="12">
        <v>1</v>
      </c>
      <c r="K586">
        <f t="shared" si="47"/>
        <v>164495030.59999996</v>
      </c>
      <c r="L586">
        <f t="shared" si="48"/>
        <v>30197.958000000013</v>
      </c>
      <c r="M586">
        <f t="shared" si="48"/>
        <v>33501.12999999999</v>
      </c>
      <c r="N586" s="12">
        <f t="shared" si="49"/>
        <v>0</v>
      </c>
      <c r="O586" s="12">
        <f t="shared" si="50"/>
        <v>0.22038455332261517</v>
      </c>
    </row>
    <row r="587" spans="1:15">
      <c r="A587" s="32">
        <v>46059</v>
      </c>
      <c r="B587">
        <v>312</v>
      </c>
      <c r="H587" s="39">
        <v>1</v>
      </c>
      <c r="I587" s="39">
        <v>1</v>
      </c>
      <c r="J587" s="12">
        <v>1</v>
      </c>
      <c r="K587">
        <f t="shared" si="47"/>
        <v>164495030.59999996</v>
      </c>
      <c r="L587">
        <f t="shared" si="48"/>
        <v>30197.958000000013</v>
      </c>
      <c r="M587">
        <f t="shared" si="48"/>
        <v>33501.12999999999</v>
      </c>
      <c r="N587" s="12">
        <f t="shared" si="49"/>
        <v>0</v>
      </c>
      <c r="O587" s="12">
        <f t="shared" si="50"/>
        <v>0.21967819257478627</v>
      </c>
    </row>
    <row r="588" spans="1:15">
      <c r="A588" s="32">
        <v>46060</v>
      </c>
      <c r="B588">
        <v>313</v>
      </c>
      <c r="H588" s="39">
        <v>1</v>
      </c>
      <c r="I588" s="39">
        <v>1</v>
      </c>
      <c r="J588" s="12">
        <v>1</v>
      </c>
      <c r="K588">
        <f t="shared" si="47"/>
        <v>164495030.59999996</v>
      </c>
      <c r="L588">
        <f t="shared" si="48"/>
        <v>30197.958000000013</v>
      </c>
      <c r="M588">
        <f t="shared" si="48"/>
        <v>33501.12999999999</v>
      </c>
      <c r="N588" s="12">
        <f t="shared" si="49"/>
        <v>0</v>
      </c>
      <c r="O588" s="12">
        <f t="shared" si="50"/>
        <v>0.21897634531416396</v>
      </c>
    </row>
    <row r="589" spans="1:15">
      <c r="A589" s="32">
        <v>46061</v>
      </c>
      <c r="B589">
        <v>314</v>
      </c>
      <c r="H589" s="39">
        <v>1</v>
      </c>
      <c r="I589" s="39">
        <v>1</v>
      </c>
      <c r="J589" s="12">
        <v>1</v>
      </c>
      <c r="K589">
        <f t="shared" si="47"/>
        <v>164495030.59999996</v>
      </c>
      <c r="L589">
        <f t="shared" si="48"/>
        <v>30197.958000000013</v>
      </c>
      <c r="M589">
        <f t="shared" si="48"/>
        <v>33501.12999999999</v>
      </c>
      <c r="N589" s="12">
        <f t="shared" si="49"/>
        <v>0</v>
      </c>
      <c r="O589" s="12">
        <f t="shared" si="50"/>
        <v>0.21827896841825897</v>
      </c>
    </row>
    <row r="590" spans="1:15">
      <c r="A590" s="32">
        <v>46062</v>
      </c>
      <c r="B590">
        <v>315</v>
      </c>
      <c r="H590" s="39">
        <v>1</v>
      </c>
      <c r="I590" s="39">
        <v>1</v>
      </c>
      <c r="J590" s="12">
        <v>1</v>
      </c>
      <c r="K590">
        <f t="shared" si="47"/>
        <v>164495030.59999996</v>
      </c>
      <c r="L590">
        <f t="shared" si="48"/>
        <v>30197.958000000013</v>
      </c>
      <c r="M590">
        <f t="shared" si="48"/>
        <v>33501.12999999999</v>
      </c>
      <c r="N590" s="12">
        <f t="shared" si="49"/>
        <v>0</v>
      </c>
      <c r="O590" s="12">
        <f t="shared" si="50"/>
        <v>0.21758601931216925</v>
      </c>
    </row>
    <row r="591" spans="1:15">
      <c r="A591" s="32">
        <v>46063</v>
      </c>
      <c r="B591">
        <v>316</v>
      </c>
      <c r="H591" s="39">
        <v>1</v>
      </c>
      <c r="I591" s="39">
        <v>1</v>
      </c>
      <c r="J591" s="12">
        <v>1</v>
      </c>
      <c r="K591">
        <f t="shared" si="47"/>
        <v>164495030.59999996</v>
      </c>
      <c r="L591">
        <f t="shared" si="48"/>
        <v>30197.958000000013</v>
      </c>
      <c r="M591">
        <f t="shared" si="48"/>
        <v>33501.12999999999</v>
      </c>
      <c r="N591" s="12">
        <f t="shared" si="49"/>
        <v>0</v>
      </c>
      <c r="O591" s="12">
        <f t="shared" si="50"/>
        <v>0.21689745595991555</v>
      </c>
    </row>
    <row r="592" spans="1:15">
      <c r="A592" s="32">
        <v>46064</v>
      </c>
      <c r="B592">
        <v>317</v>
      </c>
      <c r="H592" s="39">
        <v>1</v>
      </c>
      <c r="I592" s="39">
        <v>1</v>
      </c>
      <c r="J592" s="12">
        <v>1</v>
      </c>
      <c r="K592">
        <f t="shared" si="47"/>
        <v>164495030.59999996</v>
      </c>
      <c r="L592">
        <f t="shared" si="48"/>
        <v>30197.958000000013</v>
      </c>
      <c r="M592">
        <f t="shared" si="48"/>
        <v>33501.12999999999</v>
      </c>
      <c r="N592" s="12">
        <f t="shared" si="49"/>
        <v>0</v>
      </c>
      <c r="O592" s="12">
        <f t="shared" si="50"/>
        <v>0.21621323685594107</v>
      </c>
    </row>
    <row r="593" spans="1:15">
      <c r="A593" s="32">
        <v>46065</v>
      </c>
      <c r="B593">
        <v>318</v>
      </c>
      <c r="H593" s="39">
        <v>1</v>
      </c>
      <c r="I593" s="39">
        <v>1</v>
      </c>
      <c r="J593" s="12">
        <v>1</v>
      </c>
      <c r="K593">
        <f t="shared" si="47"/>
        <v>164495030.59999996</v>
      </c>
      <c r="L593">
        <f t="shared" si="48"/>
        <v>30197.958000000013</v>
      </c>
      <c r="M593">
        <f t="shared" si="48"/>
        <v>33501.12999999999</v>
      </c>
      <c r="N593" s="12">
        <f t="shared" si="49"/>
        <v>0</v>
      </c>
      <c r="O593" s="12">
        <f t="shared" si="50"/>
        <v>0.21553332101677145</v>
      </c>
    </row>
    <row r="594" spans="1:15">
      <c r="A594" s="32">
        <v>46066</v>
      </c>
      <c r="B594">
        <v>319</v>
      </c>
      <c r="H594" s="39">
        <v>1</v>
      </c>
      <c r="I594" s="39">
        <v>1</v>
      </c>
      <c r="J594" s="12">
        <v>1</v>
      </c>
      <c r="K594">
        <f t="shared" si="47"/>
        <v>164495030.59999996</v>
      </c>
      <c r="L594">
        <f t="shared" si="48"/>
        <v>30197.958000000013</v>
      </c>
      <c r="M594">
        <f t="shared" si="48"/>
        <v>33501.12999999999</v>
      </c>
      <c r="N594" s="12">
        <f t="shared" si="49"/>
        <v>0</v>
      </c>
      <c r="O594" s="12">
        <f t="shared" si="50"/>
        <v>0.21485766797283171</v>
      </c>
    </row>
    <row r="595" spans="1:15">
      <c r="A595" s="32">
        <v>46067</v>
      </c>
      <c r="B595">
        <v>320</v>
      </c>
      <c r="H595" s="39">
        <v>1</v>
      </c>
      <c r="I595" s="39">
        <v>1</v>
      </c>
      <c r="J595" s="12">
        <v>1</v>
      </c>
      <c r="K595">
        <f t="shared" si="47"/>
        <v>164495030.59999996</v>
      </c>
      <c r="L595">
        <f t="shared" si="48"/>
        <v>30197.958000000013</v>
      </c>
      <c r="M595">
        <f t="shared" si="48"/>
        <v>33501.12999999999</v>
      </c>
      <c r="N595" s="12">
        <f t="shared" si="49"/>
        <v>0</v>
      </c>
      <c r="O595" s="12">
        <f t="shared" si="50"/>
        <v>0.21418623776041662</v>
      </c>
    </row>
    <row r="596" spans="1:15">
      <c r="A596" s="32">
        <v>46068</v>
      </c>
      <c r="B596">
        <v>321</v>
      </c>
      <c r="H596" s="39">
        <v>1</v>
      </c>
      <c r="I596" s="39">
        <v>1</v>
      </c>
      <c r="J596" s="12">
        <v>1</v>
      </c>
      <c r="K596">
        <f t="shared" si="47"/>
        <v>164495030.59999996</v>
      </c>
      <c r="L596">
        <f t="shared" si="48"/>
        <v>30197.958000000013</v>
      </c>
      <c r="M596">
        <f t="shared" si="48"/>
        <v>33501.12999999999</v>
      </c>
      <c r="N596" s="12">
        <f t="shared" si="49"/>
        <v>0</v>
      </c>
      <c r="O596" s="12">
        <f t="shared" si="50"/>
        <v>0.21351899091381096</v>
      </c>
    </row>
    <row r="597" spans="1:15">
      <c r="A597" s="32">
        <v>46069</v>
      </c>
      <c r="B597">
        <v>322</v>
      </c>
      <c r="H597" s="39">
        <v>1</v>
      </c>
      <c r="I597" s="39">
        <v>1</v>
      </c>
      <c r="J597" s="12">
        <v>1</v>
      </c>
      <c r="K597">
        <f t="shared" si="47"/>
        <v>164495030.59999996</v>
      </c>
      <c r="L597">
        <f t="shared" si="48"/>
        <v>30197.958000000013</v>
      </c>
      <c r="M597">
        <f t="shared" si="48"/>
        <v>33501.12999999999</v>
      </c>
      <c r="N597" s="12">
        <f t="shared" si="49"/>
        <v>0</v>
      </c>
      <c r="O597" s="12">
        <f t="shared" si="50"/>
        <v>0.2128558884575569</v>
      </c>
    </row>
    <row r="598" spans="1:15">
      <c r="A598" s="32">
        <v>46070</v>
      </c>
      <c r="B598">
        <v>323</v>
      </c>
      <c r="H598" s="39">
        <v>1</v>
      </c>
      <c r="I598" s="39">
        <v>1</v>
      </c>
      <c r="J598" s="12">
        <v>1</v>
      </c>
      <c r="K598">
        <f t="shared" si="47"/>
        <v>164495030.59999996</v>
      </c>
      <c r="L598">
        <f t="shared" si="48"/>
        <v>30197.958000000013</v>
      </c>
      <c r="M598">
        <f t="shared" si="48"/>
        <v>33501.12999999999</v>
      </c>
      <c r="N598" s="12">
        <f t="shared" si="49"/>
        <v>0</v>
      </c>
      <c r="O598" s="12">
        <f t="shared" si="50"/>
        <v>0.21219689189886476</v>
      </c>
    </row>
    <row r="599" spans="1:15">
      <c r="A599" s="32">
        <v>46071</v>
      </c>
      <c r="B599">
        <v>324</v>
      </c>
      <c r="H599" s="39">
        <v>1</v>
      </c>
      <c r="I599" s="39">
        <v>1</v>
      </c>
      <c r="J599" s="12">
        <v>1</v>
      </c>
      <c r="K599">
        <f t="shared" si="47"/>
        <v>164495030.59999996</v>
      </c>
      <c r="L599">
        <f t="shared" si="48"/>
        <v>30197.958000000013</v>
      </c>
      <c r="M599">
        <f t="shared" si="48"/>
        <v>33501.12999999999</v>
      </c>
      <c r="N599" s="12">
        <f t="shared" si="49"/>
        <v>0</v>
      </c>
      <c r="O599" s="12">
        <f t="shared" si="50"/>
        <v>0.21154196322016455</v>
      </c>
    </row>
    <row r="600" spans="1:15">
      <c r="A600" s="32">
        <v>46072</v>
      </c>
      <c r="B600">
        <v>325</v>
      </c>
      <c r="H600" s="39">
        <v>1</v>
      </c>
      <c r="I600" s="39">
        <v>1</v>
      </c>
      <c r="J600" s="12">
        <v>1</v>
      </c>
      <c r="K600">
        <f t="shared" si="47"/>
        <v>164495030.59999996</v>
      </c>
      <c r="L600">
        <f t="shared" si="48"/>
        <v>30197.958000000013</v>
      </c>
      <c r="M600">
        <f t="shared" si="48"/>
        <v>33501.12999999999</v>
      </c>
      <c r="N600" s="12">
        <f t="shared" si="49"/>
        <v>0</v>
      </c>
      <c r="O600" s="12">
        <f t="shared" si="50"/>
        <v>0.21089106487179482</v>
      </c>
    </row>
    <row r="601" spans="1:15">
      <c r="A601" s="32">
        <v>46073</v>
      </c>
      <c r="B601">
        <v>326</v>
      </c>
      <c r="H601" s="39">
        <v>1</v>
      </c>
      <c r="I601" s="39">
        <v>1</v>
      </c>
      <c r="J601" s="12">
        <v>1</v>
      </c>
      <c r="K601">
        <f t="shared" si="47"/>
        <v>164495030.59999996</v>
      </c>
      <c r="L601">
        <f t="shared" si="48"/>
        <v>30197.958000000013</v>
      </c>
      <c r="M601">
        <f t="shared" si="48"/>
        <v>33501.12999999999</v>
      </c>
      <c r="N601" s="12">
        <f t="shared" si="49"/>
        <v>0</v>
      </c>
      <c r="O601" s="12">
        <f t="shared" si="50"/>
        <v>0.21024415976482613</v>
      </c>
    </row>
    <row r="602" spans="1:15">
      <c r="A602" s="32">
        <v>46074</v>
      </c>
      <c r="B602">
        <v>327</v>
      </c>
      <c r="H602" s="39">
        <v>1</v>
      </c>
      <c r="I602" s="39">
        <v>1</v>
      </c>
      <c r="J602" s="12">
        <v>1</v>
      </c>
      <c r="K602">
        <f t="shared" si="47"/>
        <v>164495030.59999996</v>
      </c>
      <c r="L602">
        <f t="shared" si="48"/>
        <v>30197.958000000013</v>
      </c>
      <c r="M602">
        <f t="shared" si="48"/>
        <v>33501.12999999999</v>
      </c>
      <c r="N602" s="12">
        <f t="shared" si="49"/>
        <v>0</v>
      </c>
      <c r="O602" s="12">
        <f t="shared" si="50"/>
        <v>0.20960121126401626</v>
      </c>
    </row>
    <row r="603" spans="1:15">
      <c r="A603" s="32">
        <v>46075</v>
      </c>
      <c r="B603">
        <v>328</v>
      </c>
      <c r="H603" s="39">
        <v>1</v>
      </c>
      <c r="I603" s="39">
        <v>1</v>
      </c>
      <c r="J603" s="12">
        <v>1</v>
      </c>
      <c r="K603">
        <f t="shared" si="47"/>
        <v>164495030.59999996</v>
      </c>
      <c r="L603">
        <f t="shared" si="48"/>
        <v>30197.958000000013</v>
      </c>
      <c r="M603">
        <f t="shared" si="48"/>
        <v>33501.12999999999</v>
      </c>
      <c r="N603" s="12">
        <f t="shared" si="49"/>
        <v>0</v>
      </c>
      <c r="O603" s="12">
        <f t="shared" si="50"/>
        <v>0.20896218318089427</v>
      </c>
    </row>
    <row r="604" spans="1:15">
      <c r="A604" s="32">
        <v>46076</v>
      </c>
      <c r="B604">
        <v>329</v>
      </c>
      <c r="H604" s="39">
        <v>1</v>
      </c>
      <c r="I604" s="39">
        <v>1</v>
      </c>
      <c r="J604" s="12">
        <v>1</v>
      </c>
      <c r="K604">
        <f t="shared" si="47"/>
        <v>164495030.59999996</v>
      </c>
      <c r="L604">
        <f t="shared" si="48"/>
        <v>30197.958000000013</v>
      </c>
      <c r="M604">
        <f t="shared" si="48"/>
        <v>33501.12999999999</v>
      </c>
      <c r="N604" s="12">
        <f t="shared" si="49"/>
        <v>0</v>
      </c>
      <c r="O604" s="12">
        <f t="shared" si="50"/>
        <v>0.20832703976697056</v>
      </c>
    </row>
    <row r="605" spans="1:15">
      <c r="A605" s="32">
        <v>46077</v>
      </c>
      <c r="B605">
        <v>330</v>
      </c>
      <c r="H605" s="39">
        <v>1</v>
      </c>
      <c r="I605" s="39">
        <v>1</v>
      </c>
      <c r="J605" s="12">
        <v>1</v>
      </c>
      <c r="K605">
        <f t="shared" si="47"/>
        <v>164495030.59999996</v>
      </c>
      <c r="L605">
        <f t="shared" si="48"/>
        <v>30197.958000000013</v>
      </c>
      <c r="M605">
        <f t="shared" si="48"/>
        <v>33501.12999999999</v>
      </c>
      <c r="N605" s="12">
        <f t="shared" si="49"/>
        <v>0</v>
      </c>
      <c r="O605" s="12">
        <f t="shared" si="50"/>
        <v>0.20769574570707067</v>
      </c>
    </row>
    <row r="606" spans="1:15">
      <c r="A606" s="32">
        <v>46078</v>
      </c>
      <c r="B606">
        <v>331</v>
      </c>
      <c r="H606" s="39">
        <v>1</v>
      </c>
      <c r="I606" s="39">
        <v>1</v>
      </c>
      <c r="J606" s="12">
        <v>1</v>
      </c>
      <c r="K606">
        <f t="shared" si="47"/>
        <v>164495030.59999996</v>
      </c>
      <c r="L606">
        <f t="shared" si="48"/>
        <v>30197.958000000013</v>
      </c>
      <c r="M606">
        <f t="shared" si="48"/>
        <v>33501.12999999999</v>
      </c>
      <c r="N606" s="12">
        <f t="shared" si="49"/>
        <v>0</v>
      </c>
      <c r="O606" s="12">
        <f t="shared" si="50"/>
        <v>0.20706826611278947</v>
      </c>
    </row>
    <row r="607" spans="1:15">
      <c r="A607" s="32">
        <v>46079</v>
      </c>
      <c r="B607">
        <v>332</v>
      </c>
      <c r="H607" s="39">
        <v>1</v>
      </c>
      <c r="I607" s="39">
        <v>1</v>
      </c>
      <c r="J607" s="12">
        <v>1</v>
      </c>
      <c r="K607">
        <f t="shared" si="47"/>
        <v>164495030.59999996</v>
      </c>
      <c r="L607">
        <f t="shared" si="48"/>
        <v>30197.958000000013</v>
      </c>
      <c r="M607">
        <f t="shared" si="48"/>
        <v>33501.12999999999</v>
      </c>
      <c r="N607" s="12">
        <f t="shared" si="49"/>
        <v>0</v>
      </c>
      <c r="O607" s="12">
        <f t="shared" si="50"/>
        <v>0.20644456651606422</v>
      </c>
    </row>
    <row r="608" spans="1:15">
      <c r="A608" s="32">
        <v>46080</v>
      </c>
      <c r="B608">
        <v>333</v>
      </c>
      <c r="H608" s="39">
        <v>1</v>
      </c>
      <c r="I608" s="39">
        <v>1</v>
      </c>
      <c r="J608" s="12">
        <v>1</v>
      </c>
      <c r="K608">
        <f t="shared" si="47"/>
        <v>164495030.59999996</v>
      </c>
      <c r="L608">
        <f t="shared" si="48"/>
        <v>30197.958000000013</v>
      </c>
      <c r="M608">
        <f t="shared" si="48"/>
        <v>33501.12999999999</v>
      </c>
      <c r="N608" s="12">
        <f t="shared" si="49"/>
        <v>0</v>
      </c>
      <c r="O608" s="12">
        <f t="shared" si="50"/>
        <v>0.20582461286286283</v>
      </c>
    </row>
    <row r="609" spans="1:15">
      <c r="A609" s="32">
        <v>46081</v>
      </c>
      <c r="B609">
        <v>334</v>
      </c>
      <c r="H609" s="39">
        <v>1</v>
      </c>
      <c r="I609" s="39">
        <v>1</v>
      </c>
      <c r="J609" s="12">
        <v>1</v>
      </c>
      <c r="K609">
        <f t="shared" si="47"/>
        <v>164495030.59999996</v>
      </c>
      <c r="L609">
        <f t="shared" si="48"/>
        <v>30197.958000000013</v>
      </c>
      <c r="M609">
        <f t="shared" si="48"/>
        <v>33501.12999999999</v>
      </c>
      <c r="N609" s="12">
        <f t="shared" si="49"/>
        <v>0</v>
      </c>
      <c r="O609" s="12">
        <f t="shared" si="50"/>
        <v>0.20520837150698598</v>
      </c>
    </row>
    <row r="610" spans="1:15">
      <c r="A610" s="32">
        <v>46082</v>
      </c>
      <c r="B610">
        <v>335</v>
      </c>
      <c r="H610" s="39">
        <v>1</v>
      </c>
      <c r="I610" s="39">
        <v>1</v>
      </c>
      <c r="J610" s="12">
        <v>1</v>
      </c>
      <c r="K610">
        <f t="shared" si="47"/>
        <v>164495030.59999996</v>
      </c>
      <c r="L610">
        <f t="shared" si="48"/>
        <v>30197.958000000013</v>
      </c>
      <c r="M610">
        <f t="shared" si="48"/>
        <v>33501.12999999999</v>
      </c>
      <c r="N610" s="12">
        <f t="shared" si="49"/>
        <v>0</v>
      </c>
      <c r="O610" s="12">
        <f t="shared" si="50"/>
        <v>0.20459580920398004</v>
      </c>
    </row>
    <row r="611" spans="1:15">
      <c r="A611" s="32">
        <v>46083</v>
      </c>
      <c r="B611">
        <v>336</v>
      </c>
      <c r="H611" s="39">
        <v>1</v>
      </c>
      <c r="I611" s="39">
        <v>1</v>
      </c>
      <c r="J611" s="12">
        <v>1</v>
      </c>
      <c r="K611">
        <f t="shared" si="47"/>
        <v>164495030.59999996</v>
      </c>
      <c r="L611">
        <f t="shared" si="48"/>
        <v>30197.958000000013</v>
      </c>
      <c r="M611">
        <f t="shared" si="48"/>
        <v>33501.12999999999</v>
      </c>
      <c r="N611" s="12">
        <f t="shared" si="49"/>
        <v>0</v>
      </c>
      <c r="O611" s="12">
        <f t="shared" si="50"/>
        <v>0.20398689310515869</v>
      </c>
    </row>
    <row r="612" spans="1:15">
      <c r="A612" s="32">
        <v>46084</v>
      </c>
      <c r="B612">
        <v>337</v>
      </c>
      <c r="H612" s="39">
        <v>1</v>
      </c>
      <c r="I612" s="39">
        <v>1</v>
      </c>
      <c r="J612" s="12">
        <v>1</v>
      </c>
      <c r="K612">
        <f t="shared" si="47"/>
        <v>164495030.59999996</v>
      </c>
      <c r="L612">
        <f t="shared" si="48"/>
        <v>30197.958000000013</v>
      </c>
      <c r="M612">
        <f t="shared" si="48"/>
        <v>33501.12999999999</v>
      </c>
      <c r="N612" s="12">
        <f t="shared" si="49"/>
        <v>0</v>
      </c>
      <c r="O612" s="12">
        <f t="shared" si="50"/>
        <v>0.20338159075173093</v>
      </c>
    </row>
    <row r="613" spans="1:15">
      <c r="A613" s="32">
        <v>46085</v>
      </c>
      <c r="B613">
        <v>338</v>
      </c>
      <c r="H613" s="39">
        <v>1</v>
      </c>
      <c r="I613" s="39">
        <v>1</v>
      </c>
      <c r="J613" s="12">
        <v>1</v>
      </c>
      <c r="K613">
        <f t="shared" si="47"/>
        <v>164495030.59999996</v>
      </c>
      <c r="L613">
        <f t="shared" si="48"/>
        <v>30197.958000000013</v>
      </c>
      <c r="M613">
        <f t="shared" si="48"/>
        <v>33501.12999999999</v>
      </c>
      <c r="N613" s="12">
        <f t="shared" si="49"/>
        <v>0</v>
      </c>
      <c r="O613" s="12">
        <f t="shared" si="50"/>
        <v>0.20277987006903347</v>
      </c>
    </row>
    <row r="614" spans="1:15">
      <c r="A614" s="32">
        <v>46086</v>
      </c>
      <c r="B614">
        <v>339</v>
      </c>
      <c r="H614" s="39">
        <v>1</v>
      </c>
      <c r="I614" s="39">
        <v>1</v>
      </c>
      <c r="J614" s="12">
        <v>1</v>
      </c>
      <c r="K614">
        <f t="shared" si="47"/>
        <v>164495030.59999996</v>
      </c>
      <c r="L614">
        <f t="shared" si="48"/>
        <v>30197.958000000013</v>
      </c>
      <c r="M614">
        <f t="shared" si="48"/>
        <v>33501.12999999999</v>
      </c>
      <c r="N614" s="12">
        <f t="shared" si="49"/>
        <v>0</v>
      </c>
      <c r="O614" s="12">
        <f t="shared" si="50"/>
        <v>0.20218169936086525</v>
      </c>
    </row>
    <row r="615" spans="1:15">
      <c r="A615" s="32">
        <v>46087</v>
      </c>
      <c r="B615">
        <v>340</v>
      </c>
      <c r="H615" s="39">
        <v>1</v>
      </c>
      <c r="I615" s="39">
        <v>1</v>
      </c>
      <c r="J615" s="12">
        <v>1</v>
      </c>
      <c r="K615">
        <f t="shared" si="47"/>
        <v>164495030.59999996</v>
      </c>
      <c r="L615">
        <f t="shared" si="48"/>
        <v>30197.958000000013</v>
      </c>
      <c r="M615">
        <f t="shared" si="48"/>
        <v>33501.12999999999</v>
      </c>
      <c r="N615" s="12">
        <f t="shared" si="49"/>
        <v>0</v>
      </c>
      <c r="O615" s="12">
        <f t="shared" si="50"/>
        <v>0.20158704730392152</v>
      </c>
    </row>
    <row r="616" spans="1:15">
      <c r="A616" s="32">
        <v>46088</v>
      </c>
      <c r="B616">
        <v>341</v>
      </c>
      <c r="H616" s="39">
        <v>1</v>
      </c>
      <c r="I616" s="39">
        <v>1</v>
      </c>
      <c r="J616" s="12">
        <v>1</v>
      </c>
      <c r="K616">
        <f t="shared" si="47"/>
        <v>164495030.59999996</v>
      </c>
      <c r="L616">
        <f t="shared" si="48"/>
        <v>30197.958000000013</v>
      </c>
      <c r="M616">
        <f t="shared" si="48"/>
        <v>33501.12999999999</v>
      </c>
      <c r="N616" s="12">
        <f t="shared" si="49"/>
        <v>0</v>
      </c>
      <c r="O616" s="12">
        <f t="shared" si="50"/>
        <v>0.20099588294232645</v>
      </c>
    </row>
    <row r="617" spans="1:15">
      <c r="A617" s="32">
        <v>46089</v>
      </c>
      <c r="B617">
        <v>342</v>
      </c>
      <c r="H617" s="39">
        <v>1</v>
      </c>
      <c r="I617" s="39">
        <v>1</v>
      </c>
      <c r="J617" s="12">
        <v>1</v>
      </c>
      <c r="K617">
        <f t="shared" si="47"/>
        <v>164495030.59999996</v>
      </c>
      <c r="L617">
        <f t="shared" si="48"/>
        <v>30197.958000000013</v>
      </c>
      <c r="M617">
        <f t="shared" si="48"/>
        <v>33501.12999999999</v>
      </c>
      <c r="N617" s="12">
        <f t="shared" si="49"/>
        <v>0</v>
      </c>
      <c r="O617" s="12">
        <f t="shared" si="50"/>
        <v>0.20040817568226116</v>
      </c>
    </row>
    <row r="618" spans="1:15">
      <c r="A618" s="32">
        <v>46090</v>
      </c>
      <c r="B618">
        <v>343</v>
      </c>
      <c r="H618" s="39">
        <v>1</v>
      </c>
      <c r="I618" s="39">
        <v>1</v>
      </c>
      <c r="J618" s="12">
        <v>1</v>
      </c>
      <c r="K618">
        <f t="shared" si="47"/>
        <v>164495030.59999996</v>
      </c>
      <c r="L618">
        <f t="shared" si="48"/>
        <v>30197.958000000013</v>
      </c>
      <c r="M618">
        <f t="shared" si="48"/>
        <v>33501.12999999999</v>
      </c>
      <c r="N618" s="12">
        <f t="shared" si="49"/>
        <v>0</v>
      </c>
      <c r="O618" s="12">
        <f t="shared" si="50"/>
        <v>0.19982389528668607</v>
      </c>
    </row>
    <row r="619" spans="1:15">
      <c r="A619" s="32">
        <v>46091</v>
      </c>
      <c r="B619">
        <v>344</v>
      </c>
      <c r="H619" s="39">
        <v>1</v>
      </c>
      <c r="I619" s="39">
        <v>1</v>
      </c>
      <c r="J619" s="12">
        <v>1</v>
      </c>
      <c r="K619">
        <f t="shared" si="47"/>
        <v>164495030.59999996</v>
      </c>
      <c r="L619">
        <f t="shared" si="48"/>
        <v>30197.958000000013</v>
      </c>
      <c r="M619">
        <f t="shared" si="48"/>
        <v>33501.12999999999</v>
      </c>
      <c r="N619" s="12">
        <f t="shared" si="49"/>
        <v>0</v>
      </c>
      <c r="O619" s="12">
        <f t="shared" si="50"/>
        <v>0.199243011870155</v>
      </c>
    </row>
  </sheetData>
  <autoFilter ref="A1:O1" xr:uid="{2FFAD146-6C3E-1644-A24B-891A702BF225}">
    <sortState xmlns:xlrd2="http://schemas.microsoft.com/office/spreadsheetml/2017/richdata2" ref="A2:O461">
      <sortCondition ref="A1:A461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SECI O&amp;M Dashboard</vt:lpstr>
      <vt:lpstr>DRDO Kolar Dashboard</vt:lpstr>
      <vt:lpstr>DRDO Kolar Data</vt:lpstr>
      <vt:lpstr>Agatti Dashboard</vt:lpstr>
      <vt:lpstr>Kaveratti 1.4 MW Solar+BESS DB</vt:lpstr>
      <vt:lpstr>Agatti Data</vt:lpstr>
      <vt:lpstr>Kaveratti Data</vt:lpstr>
      <vt:lpstr>BADI SID Dashboard</vt:lpstr>
      <vt:lpstr>BADI SID DATA</vt:lpstr>
      <vt:lpstr>Rajnandgaon Dashboard</vt:lpstr>
      <vt:lpstr>Rajnandgaon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jain</dc:creator>
  <cp:lastModifiedBy>Anurag Sharma</cp:lastModifiedBy>
  <cp:lastPrinted>2025-10-22T06:29:39Z</cp:lastPrinted>
  <dcterms:created xsi:type="dcterms:W3CDTF">2025-08-08T06:16:19Z</dcterms:created>
  <dcterms:modified xsi:type="dcterms:W3CDTF">2026-01-06T06:47:41Z</dcterms:modified>
</cp:coreProperties>
</file>