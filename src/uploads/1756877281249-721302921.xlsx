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472" documentId="8_{6638DCEE-8897-4F43-B610-BC3A44F1456F}" xr6:coauthVersionLast="47" xr6:coauthVersionMax="47" xr10:uidLastSave="{A893FA11-6E59-4412-B68C-1BD376574075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50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01" i="50" l="1"/>
  <c r="T300" i="50"/>
  <c r="R300" i="50"/>
  <c r="Q300" i="50"/>
  <c r="P300" i="50"/>
  <c r="J300" i="50"/>
  <c r="H300" i="50"/>
  <c r="K300" i="50" s="1"/>
  <c r="P299" i="50"/>
  <c r="T298" i="50"/>
  <c r="Q298" i="50"/>
  <c r="P298" i="50"/>
  <c r="I298" i="50"/>
  <c r="J298" i="50" s="1"/>
  <c r="G298" i="50"/>
  <c r="H298" i="50" s="1"/>
  <c r="H297" i="50"/>
  <c r="Q296" i="50"/>
  <c r="P296" i="50"/>
  <c r="T295" i="50"/>
  <c r="P295" i="50"/>
  <c r="J295" i="50"/>
  <c r="H295" i="50"/>
  <c r="G294" i="50"/>
  <c r="H293" i="50"/>
  <c r="H292" i="50"/>
  <c r="H291" i="50"/>
  <c r="T289" i="50"/>
  <c r="Q289" i="50"/>
  <c r="P289" i="50"/>
  <c r="I289" i="50"/>
  <c r="G289" i="50"/>
  <c r="J289" i="50" s="1"/>
  <c r="H288" i="50"/>
  <c r="H287" i="50"/>
  <c r="P286" i="50"/>
  <c r="T285" i="50"/>
  <c r="Q285" i="50"/>
  <c r="P285" i="50"/>
  <c r="I285" i="50"/>
  <c r="J285" i="50" s="1"/>
  <c r="G285" i="50"/>
  <c r="H285" i="50" s="1"/>
  <c r="H283" i="50"/>
  <c r="H282" i="50"/>
  <c r="T281" i="50"/>
  <c r="P281" i="50"/>
  <c r="H281" i="50"/>
  <c r="H280" i="50"/>
  <c r="G280" i="50"/>
  <c r="H279" i="50"/>
  <c r="G279" i="50"/>
  <c r="G278" i="50"/>
  <c r="H278" i="50" s="1"/>
  <c r="P277" i="50"/>
  <c r="T276" i="50"/>
  <c r="Q276" i="50"/>
  <c r="P276" i="50"/>
  <c r="J276" i="50"/>
  <c r="I276" i="50"/>
  <c r="P275" i="50"/>
  <c r="T274" i="50"/>
  <c r="Q274" i="50"/>
  <c r="P274" i="50"/>
  <c r="I274" i="50"/>
  <c r="J274" i="50" s="1"/>
  <c r="G274" i="50"/>
  <c r="H274" i="50" s="1"/>
  <c r="K274" i="50" s="1"/>
  <c r="G273" i="50"/>
  <c r="H273" i="50" s="1"/>
  <c r="T272" i="50"/>
  <c r="P272" i="50"/>
  <c r="G272" i="50"/>
  <c r="G271" i="50"/>
  <c r="H271" i="50" s="1"/>
  <c r="G270" i="50"/>
  <c r="H270" i="50" s="1"/>
  <c r="H269" i="50"/>
  <c r="G269" i="50"/>
  <c r="P268" i="50"/>
  <c r="O268" i="50"/>
  <c r="T267" i="50"/>
  <c r="Q267" i="50"/>
  <c r="P267" i="50"/>
  <c r="J267" i="50"/>
  <c r="H267" i="50"/>
  <c r="G267" i="50"/>
  <c r="P266" i="50"/>
  <c r="O266" i="50"/>
  <c r="T265" i="50"/>
  <c r="Q265" i="50"/>
  <c r="P265" i="50"/>
  <c r="G265" i="50"/>
  <c r="H265" i="50" s="1"/>
  <c r="H264" i="50"/>
  <c r="P263" i="50"/>
  <c r="Q261" i="50"/>
  <c r="P261" i="50"/>
  <c r="U260" i="50"/>
  <c r="T260" i="50"/>
  <c r="R260" i="50"/>
  <c r="K260" i="50" s="1"/>
  <c r="Q260" i="50"/>
  <c r="P260" i="50"/>
  <c r="J260" i="50"/>
  <c r="H260" i="50"/>
  <c r="P259" i="50"/>
  <c r="Q258" i="50"/>
  <c r="P258" i="50"/>
  <c r="T257" i="50"/>
  <c r="R257" i="50"/>
  <c r="Q257" i="50"/>
  <c r="P257" i="50"/>
  <c r="K257" i="50"/>
  <c r="J257" i="50"/>
  <c r="I257" i="50"/>
  <c r="H257" i="50"/>
  <c r="H256" i="50"/>
  <c r="A256" i="50"/>
  <c r="A257" i="50" s="1"/>
  <c r="A260" i="50" s="1"/>
  <c r="A264" i="50" s="1"/>
  <c r="A265" i="50" s="1"/>
  <c r="A267" i="50" s="1"/>
  <c r="A269" i="50" s="1"/>
  <c r="A270" i="50" s="1"/>
  <c r="A271" i="50" s="1"/>
  <c r="A272" i="50" s="1"/>
  <c r="A273" i="50" s="1"/>
  <c r="A274" i="50" s="1"/>
  <c r="A278" i="50" s="1"/>
  <c r="A279" i="50" s="1"/>
  <c r="A280" i="50" s="1"/>
  <c r="A281" i="50" s="1"/>
  <c r="A282" i="50" s="1"/>
  <c r="A283" i="50" s="1"/>
  <c r="A284" i="50" s="1"/>
  <c r="A285" i="50" s="1"/>
  <c r="A287" i="50" s="1"/>
  <c r="A288" i="50" s="1"/>
  <c r="A289" i="50" s="1"/>
  <c r="A292" i="50" s="1"/>
  <c r="A293" i="50" s="1"/>
  <c r="A294" i="50" s="1"/>
  <c r="P255" i="50"/>
  <c r="T254" i="50"/>
  <c r="I254" i="50"/>
  <c r="J254" i="50" s="1"/>
  <c r="H254" i="50"/>
  <c r="H253" i="50"/>
  <c r="H252" i="50"/>
  <c r="H251" i="50"/>
  <c r="H250" i="50"/>
  <c r="T248" i="50"/>
  <c r="P248" i="50"/>
  <c r="I248" i="50"/>
  <c r="J248" i="50" s="1"/>
  <c r="H248" i="50"/>
  <c r="H247" i="50"/>
  <c r="H246" i="50"/>
  <c r="H245" i="50"/>
  <c r="T243" i="50"/>
  <c r="Q243" i="50"/>
  <c r="P243" i="50"/>
  <c r="J243" i="50"/>
  <c r="H243" i="50"/>
  <c r="T242" i="50"/>
  <c r="R242" i="50"/>
  <c r="P242" i="50"/>
  <c r="J242" i="50"/>
  <c r="H242" i="50"/>
  <c r="K242" i="50" s="1"/>
  <c r="H241" i="50"/>
  <c r="H240" i="50"/>
  <c r="H239" i="50"/>
  <c r="T238" i="50"/>
  <c r="P238" i="50"/>
  <c r="I238" i="50"/>
  <c r="J238" i="50" s="1"/>
  <c r="H238" i="50"/>
  <c r="H237" i="50"/>
  <c r="H236" i="50"/>
  <c r="T235" i="50"/>
  <c r="H235" i="50"/>
  <c r="H234" i="50"/>
  <c r="H233" i="50"/>
  <c r="P232" i="50"/>
  <c r="Q231" i="50"/>
  <c r="P231" i="50"/>
  <c r="T230" i="50"/>
  <c r="P230" i="50"/>
  <c r="I230" i="50"/>
  <c r="J230" i="50" s="1"/>
  <c r="H230" i="50"/>
  <c r="P229" i="50"/>
  <c r="T228" i="50"/>
  <c r="P228" i="50"/>
  <c r="I228" i="50"/>
  <c r="J228" i="50" s="1"/>
  <c r="H228" i="50"/>
  <c r="P227" i="50"/>
  <c r="Q226" i="50"/>
  <c r="P226" i="50"/>
  <c r="T225" i="50"/>
  <c r="R225" i="50"/>
  <c r="Q225" i="50"/>
  <c r="P225" i="50"/>
  <c r="K225" i="50"/>
  <c r="J225" i="50"/>
  <c r="H225" i="50"/>
  <c r="H224" i="50"/>
  <c r="H223" i="50"/>
  <c r="I222" i="50"/>
  <c r="J222" i="50" s="1"/>
  <c r="H222" i="50"/>
  <c r="T221" i="50"/>
  <c r="P221" i="50"/>
  <c r="J221" i="50"/>
  <c r="I221" i="50"/>
  <c r="H221" i="50"/>
  <c r="Q219" i="50"/>
  <c r="P219" i="50"/>
  <c r="T218" i="50"/>
  <c r="P218" i="50"/>
  <c r="J218" i="50"/>
  <c r="H218" i="50"/>
  <c r="P217" i="50"/>
  <c r="Q216" i="50"/>
  <c r="P216" i="50"/>
  <c r="T215" i="50"/>
  <c r="P215" i="50"/>
  <c r="J215" i="50"/>
  <c r="H215" i="50"/>
  <c r="H214" i="50"/>
  <c r="T212" i="50"/>
  <c r="R212" i="50"/>
  <c r="K212" i="50" s="1"/>
  <c r="P212" i="50"/>
  <c r="J212" i="50"/>
  <c r="H212" i="50"/>
  <c r="P211" i="50"/>
  <c r="T209" i="50"/>
  <c r="R209" i="50"/>
  <c r="Q209" i="50"/>
  <c r="P209" i="50"/>
  <c r="K209" i="50"/>
  <c r="J209" i="50"/>
  <c r="H209" i="50"/>
  <c r="H208" i="50"/>
  <c r="J207" i="50"/>
  <c r="I207" i="50"/>
  <c r="H207" i="50"/>
  <c r="P206" i="50"/>
  <c r="Q205" i="50"/>
  <c r="P205" i="50"/>
  <c r="T204" i="50"/>
  <c r="R204" i="50"/>
  <c r="Q204" i="50"/>
  <c r="P204" i="50"/>
  <c r="J204" i="50"/>
  <c r="H204" i="50"/>
  <c r="K204" i="50" s="1"/>
  <c r="P203" i="50"/>
  <c r="Q202" i="50"/>
  <c r="P202" i="50"/>
  <c r="T201" i="50"/>
  <c r="R201" i="50"/>
  <c r="K201" i="50" s="1"/>
  <c r="Q201" i="50"/>
  <c r="P201" i="50"/>
  <c r="J201" i="50"/>
  <c r="H201" i="50"/>
  <c r="P200" i="50"/>
  <c r="T199" i="50"/>
  <c r="R199" i="50"/>
  <c r="Q199" i="50"/>
  <c r="P199" i="50"/>
  <c r="K199" i="50"/>
  <c r="J199" i="50"/>
  <c r="H199" i="50"/>
  <c r="P198" i="50"/>
  <c r="Q197" i="50"/>
  <c r="P197" i="50"/>
  <c r="T196" i="50"/>
  <c r="R196" i="50"/>
  <c r="Q196" i="50"/>
  <c r="P196" i="50"/>
  <c r="J196" i="50"/>
  <c r="H196" i="50"/>
  <c r="K196" i="50" s="1"/>
  <c r="H195" i="50"/>
  <c r="H194" i="50"/>
  <c r="T192" i="50"/>
  <c r="I192" i="50"/>
  <c r="J192" i="50" s="1"/>
  <c r="H192" i="50"/>
  <c r="H191" i="50"/>
  <c r="Q190" i="50"/>
  <c r="P190" i="50"/>
  <c r="Q189" i="50"/>
  <c r="P189" i="50"/>
  <c r="P188" i="50"/>
  <c r="Q187" i="50"/>
  <c r="P187" i="50"/>
  <c r="T186" i="50"/>
  <c r="R186" i="50"/>
  <c r="K186" i="50" s="1"/>
  <c r="Q186" i="50"/>
  <c r="P186" i="50"/>
  <c r="J186" i="50"/>
  <c r="H186" i="50"/>
  <c r="P185" i="50"/>
  <c r="R184" i="50"/>
  <c r="Q184" i="50"/>
  <c r="P184" i="50"/>
  <c r="K184" i="50"/>
  <c r="J184" i="50"/>
  <c r="T183" i="50"/>
  <c r="P183" i="50"/>
  <c r="I183" i="50"/>
  <c r="J183" i="50" s="1"/>
  <c r="H183" i="50"/>
  <c r="H182" i="50"/>
  <c r="J181" i="50"/>
  <c r="H181" i="50"/>
  <c r="T180" i="50"/>
  <c r="H179" i="50"/>
  <c r="H178" i="50"/>
  <c r="H177" i="50"/>
  <c r="H176" i="50"/>
  <c r="H175" i="50"/>
  <c r="H174" i="50"/>
  <c r="I173" i="50"/>
  <c r="J173" i="50" s="1"/>
  <c r="H173" i="50"/>
  <c r="H172" i="50"/>
  <c r="H171" i="50"/>
  <c r="H170" i="50"/>
  <c r="H169" i="50"/>
  <c r="T168" i="50"/>
  <c r="J168" i="50"/>
  <c r="H168" i="50"/>
  <c r="H167" i="50"/>
  <c r="H166" i="50"/>
  <c r="H165" i="50"/>
  <c r="T163" i="50"/>
  <c r="Q163" i="50"/>
  <c r="P163" i="50"/>
  <c r="J163" i="50"/>
  <c r="H163" i="50"/>
  <c r="P161" i="50"/>
  <c r="Q160" i="50"/>
  <c r="P160" i="50"/>
  <c r="T159" i="50"/>
  <c r="Q159" i="50"/>
  <c r="P159" i="50"/>
  <c r="I159" i="50"/>
  <c r="J159" i="50" s="1"/>
  <c r="H159" i="50"/>
  <c r="T158" i="50"/>
  <c r="P158" i="50"/>
  <c r="I158" i="50"/>
  <c r="H158" i="50"/>
  <c r="I157" i="50"/>
  <c r="H157" i="50"/>
  <c r="P156" i="50"/>
  <c r="T155" i="50"/>
  <c r="Q155" i="50"/>
  <c r="P155" i="50"/>
  <c r="I155" i="50"/>
  <c r="J155" i="50" s="1"/>
  <c r="H155" i="50"/>
  <c r="P154" i="50"/>
  <c r="P152" i="50"/>
  <c r="T151" i="50"/>
  <c r="P151" i="50"/>
  <c r="I151" i="50"/>
  <c r="J151" i="50" s="1"/>
  <c r="H151" i="50"/>
  <c r="Q149" i="50"/>
  <c r="P149" i="50"/>
  <c r="Q148" i="50"/>
  <c r="P148" i="50"/>
  <c r="T147" i="50"/>
  <c r="Q147" i="50"/>
  <c r="P147" i="50"/>
  <c r="J147" i="50"/>
  <c r="H147" i="50"/>
  <c r="P146" i="50"/>
  <c r="T145" i="50"/>
  <c r="R145" i="50"/>
  <c r="K145" i="50" s="1"/>
  <c r="Q145" i="50"/>
  <c r="P145" i="50"/>
  <c r="J145" i="50"/>
  <c r="H145" i="50"/>
  <c r="P144" i="50"/>
  <c r="T143" i="50"/>
  <c r="Q143" i="50"/>
  <c r="P143" i="50"/>
  <c r="J143" i="50"/>
  <c r="H143" i="50"/>
  <c r="P142" i="50"/>
  <c r="Q141" i="50"/>
  <c r="P141" i="50"/>
  <c r="Q140" i="50"/>
  <c r="P140" i="50"/>
  <c r="T139" i="50"/>
  <c r="R139" i="50"/>
  <c r="Q139" i="50"/>
  <c r="P139" i="50"/>
  <c r="K139" i="50"/>
  <c r="J139" i="50"/>
  <c r="I139" i="50"/>
  <c r="H139" i="50"/>
  <c r="H138" i="50"/>
  <c r="H137" i="50"/>
  <c r="H136" i="50"/>
  <c r="T134" i="50"/>
  <c r="R134" i="50"/>
  <c r="K134" i="50" s="1"/>
  <c r="I134" i="50"/>
  <c r="J134" i="50" s="1"/>
  <c r="H134" i="50"/>
  <c r="T130" i="50"/>
  <c r="R130" i="50"/>
  <c r="Q130" i="50"/>
  <c r="P130" i="50"/>
  <c r="K130" i="50"/>
  <c r="I130" i="50"/>
  <c r="J130" i="50" s="1"/>
  <c r="H130" i="50"/>
  <c r="H129" i="50"/>
  <c r="H128" i="50"/>
  <c r="H127" i="50"/>
  <c r="H126" i="50"/>
  <c r="H125" i="50"/>
  <c r="T124" i="50"/>
  <c r="R124" i="50"/>
  <c r="P124" i="50"/>
  <c r="I124" i="50"/>
  <c r="J124" i="50" s="1"/>
  <c r="H124" i="50"/>
  <c r="K124" i="50" s="1"/>
  <c r="H123" i="50"/>
  <c r="H122" i="50"/>
  <c r="H121" i="50"/>
  <c r="P120" i="50"/>
  <c r="J120" i="50"/>
  <c r="H120" i="50"/>
  <c r="H119" i="50"/>
  <c r="H118" i="50"/>
  <c r="H117" i="50"/>
  <c r="H116" i="50"/>
  <c r="H115" i="50"/>
  <c r="H114" i="50"/>
  <c r="H113" i="50"/>
  <c r="H112" i="50"/>
  <c r="P111" i="50"/>
  <c r="I111" i="50"/>
  <c r="J111" i="50" s="1"/>
  <c r="H111" i="50"/>
  <c r="P110" i="50"/>
  <c r="T109" i="50"/>
  <c r="R109" i="50"/>
  <c r="Q109" i="50"/>
  <c r="P109" i="50"/>
  <c r="K109" i="50"/>
  <c r="J109" i="50"/>
  <c r="I109" i="50"/>
  <c r="H109" i="50"/>
  <c r="P108" i="50"/>
  <c r="Q107" i="50"/>
  <c r="P107" i="50"/>
  <c r="T106" i="50"/>
  <c r="S106" i="50"/>
  <c r="R106" i="50"/>
  <c r="Q106" i="50"/>
  <c r="P106" i="50"/>
  <c r="K106" i="50"/>
  <c r="J106" i="50"/>
  <c r="H106" i="50"/>
  <c r="P105" i="50"/>
  <c r="T104" i="50"/>
  <c r="Q104" i="50"/>
  <c r="P104" i="50"/>
  <c r="I104" i="50"/>
  <c r="J104" i="50" s="1"/>
  <c r="H104" i="50"/>
  <c r="T103" i="50"/>
  <c r="I103" i="50"/>
  <c r="H103" i="50"/>
  <c r="T102" i="50"/>
  <c r="P102" i="50"/>
  <c r="I102" i="50"/>
  <c r="H102" i="50"/>
  <c r="K102" i="50" s="1"/>
  <c r="T101" i="50"/>
  <c r="P101" i="50"/>
  <c r="I101" i="50"/>
  <c r="J101" i="50" s="1"/>
  <c r="H101" i="50"/>
  <c r="T100" i="50"/>
  <c r="P100" i="50"/>
  <c r="I100" i="50"/>
  <c r="J100" i="50" s="1"/>
  <c r="H100" i="50"/>
  <c r="I99" i="50"/>
  <c r="J99" i="50" s="1"/>
  <c r="H99" i="50"/>
  <c r="H97" i="50"/>
  <c r="H96" i="50"/>
  <c r="P95" i="50"/>
  <c r="T94" i="50"/>
  <c r="P94" i="50"/>
  <c r="I94" i="50"/>
  <c r="J94" i="50" s="1"/>
  <c r="H94" i="50"/>
  <c r="P93" i="50"/>
  <c r="Q92" i="50"/>
  <c r="P92" i="50"/>
  <c r="T91" i="50"/>
  <c r="P91" i="50"/>
  <c r="K91" i="50"/>
  <c r="J91" i="50"/>
  <c r="I91" i="50"/>
  <c r="H91" i="50"/>
  <c r="P90" i="50"/>
  <c r="Q89" i="50"/>
  <c r="P89" i="50"/>
  <c r="T88" i="50"/>
  <c r="P88" i="50"/>
  <c r="I88" i="50"/>
  <c r="J88" i="50" s="1"/>
  <c r="H88" i="50"/>
  <c r="I85" i="50"/>
  <c r="J85" i="50" s="1"/>
  <c r="H85" i="50"/>
  <c r="P84" i="50"/>
  <c r="O84" i="50"/>
  <c r="T84" i="50" s="1"/>
  <c r="I84" i="50"/>
  <c r="J84" i="50" s="1"/>
  <c r="P83" i="50"/>
  <c r="P82" i="50"/>
  <c r="T80" i="50"/>
  <c r="Q80" i="50"/>
  <c r="P80" i="50"/>
  <c r="K80" i="50"/>
  <c r="J80" i="50"/>
  <c r="H80" i="50"/>
  <c r="Q78" i="50"/>
  <c r="P78" i="50"/>
  <c r="T77" i="50"/>
  <c r="J77" i="50"/>
  <c r="H77" i="50"/>
  <c r="P76" i="50"/>
  <c r="Q75" i="50"/>
  <c r="P75" i="50"/>
  <c r="Q74" i="50"/>
  <c r="P74" i="50"/>
  <c r="T73" i="50"/>
  <c r="Q73" i="50"/>
  <c r="P73" i="50"/>
  <c r="J73" i="50"/>
  <c r="H73" i="50"/>
  <c r="H72" i="50"/>
  <c r="H71" i="50"/>
  <c r="H70" i="50"/>
  <c r="H69" i="50"/>
  <c r="H68" i="50"/>
  <c r="H67" i="50"/>
  <c r="T66" i="50"/>
  <c r="P66" i="50"/>
  <c r="J66" i="50"/>
  <c r="I66" i="50"/>
  <c r="H66" i="50"/>
  <c r="P65" i="50"/>
  <c r="T64" i="50"/>
  <c r="R64" i="50"/>
  <c r="Q64" i="50"/>
  <c r="P64" i="50"/>
  <c r="I64" i="50"/>
  <c r="K64" i="50" s="1"/>
  <c r="H64" i="50"/>
  <c r="T63" i="50"/>
  <c r="R63" i="50"/>
  <c r="I63" i="50"/>
  <c r="K63" i="50" s="1"/>
  <c r="H63" i="50"/>
  <c r="T62" i="50"/>
  <c r="P62" i="50"/>
  <c r="K62" i="50"/>
  <c r="J62" i="50"/>
  <c r="H62" i="50"/>
  <c r="P60" i="50"/>
  <c r="Q59" i="50"/>
  <c r="P59" i="50"/>
  <c r="Q58" i="50"/>
  <c r="P58" i="50"/>
  <c r="T57" i="50"/>
  <c r="Q57" i="50"/>
  <c r="P57" i="50"/>
  <c r="J57" i="50"/>
  <c r="H57" i="50"/>
  <c r="R56" i="50"/>
  <c r="P56" i="50"/>
  <c r="K56" i="50"/>
  <c r="J56" i="50"/>
  <c r="H56" i="50"/>
  <c r="T55" i="50"/>
  <c r="P55" i="50"/>
  <c r="J55" i="50"/>
  <c r="H55" i="50"/>
  <c r="P54" i="50"/>
  <c r="K54" i="50"/>
  <c r="J54" i="50"/>
  <c r="H54" i="50"/>
  <c r="P53" i="50"/>
  <c r="T52" i="50"/>
  <c r="R52" i="50"/>
  <c r="Q52" i="50"/>
  <c r="P52" i="50"/>
  <c r="J52" i="50"/>
  <c r="H52" i="50"/>
  <c r="K52" i="50" s="1"/>
  <c r="P51" i="50"/>
  <c r="P50" i="50"/>
  <c r="P49" i="50"/>
  <c r="Q48" i="50"/>
  <c r="P48" i="50"/>
  <c r="Q47" i="50"/>
  <c r="P47" i="50"/>
  <c r="T46" i="50"/>
  <c r="R46" i="50"/>
  <c r="Q46" i="50"/>
  <c r="P46" i="50"/>
  <c r="J46" i="50"/>
  <c r="H46" i="50"/>
  <c r="K46" i="50" s="1"/>
  <c r="P45" i="50"/>
  <c r="T44" i="50"/>
  <c r="Q44" i="50"/>
  <c r="P44" i="50"/>
  <c r="J44" i="50"/>
  <c r="H44" i="50"/>
  <c r="K44" i="50" s="1"/>
  <c r="P43" i="50"/>
  <c r="T42" i="50"/>
  <c r="R42" i="50"/>
  <c r="Q42" i="50"/>
  <c r="P42" i="50"/>
  <c r="K42" i="50"/>
  <c r="J42" i="50"/>
  <c r="H42" i="50"/>
  <c r="P41" i="50"/>
  <c r="P40" i="50"/>
  <c r="P39" i="50"/>
  <c r="Q38" i="50"/>
  <c r="P38" i="50"/>
  <c r="Q37" i="50"/>
  <c r="P37" i="50"/>
  <c r="T36" i="50"/>
  <c r="R36" i="50"/>
  <c r="K36" i="50" s="1"/>
  <c r="Q36" i="50"/>
  <c r="P36" i="50"/>
  <c r="J36" i="50"/>
  <c r="H36" i="50"/>
  <c r="T34" i="50"/>
  <c r="R34" i="50"/>
  <c r="Q34" i="50"/>
  <c r="P34" i="50"/>
  <c r="J34" i="50"/>
  <c r="H34" i="50"/>
  <c r="K34" i="50" s="1"/>
  <c r="T32" i="50"/>
  <c r="R32" i="50"/>
  <c r="Q32" i="50"/>
  <c r="P32" i="50"/>
  <c r="J32" i="50"/>
  <c r="H32" i="50"/>
  <c r="K32" i="50" s="1"/>
  <c r="P31" i="50"/>
  <c r="Q30" i="50"/>
  <c r="P30" i="50"/>
  <c r="T29" i="50"/>
  <c r="R29" i="50"/>
  <c r="K29" i="50" s="1"/>
  <c r="Q29" i="50"/>
  <c r="P29" i="50"/>
  <c r="J29" i="50"/>
  <c r="H29" i="50"/>
  <c r="H28" i="50"/>
  <c r="H27" i="50"/>
  <c r="T26" i="50"/>
  <c r="R26" i="50"/>
  <c r="K26" i="50" s="1"/>
  <c r="P26" i="50"/>
  <c r="J26" i="50"/>
  <c r="H26" i="50"/>
  <c r="P25" i="50"/>
  <c r="Q24" i="50"/>
  <c r="P24" i="50"/>
  <c r="T23" i="50"/>
  <c r="R23" i="50"/>
  <c r="Q23" i="50"/>
  <c r="P23" i="50"/>
  <c r="K23" i="50"/>
  <c r="J23" i="50"/>
  <c r="H23" i="50"/>
  <c r="T19" i="50"/>
  <c r="R19" i="50"/>
  <c r="Q19" i="50"/>
  <c r="P19" i="50"/>
  <c r="J19" i="50"/>
  <c r="H19" i="50"/>
  <c r="K19" i="50" s="1"/>
  <c r="T17" i="50"/>
  <c r="P17" i="50"/>
  <c r="I17" i="50"/>
  <c r="J17" i="50" s="1"/>
  <c r="H17" i="50"/>
  <c r="P16" i="50"/>
  <c r="T15" i="50"/>
  <c r="R15" i="50"/>
  <c r="Q15" i="50"/>
  <c r="P15" i="50"/>
  <c r="K15" i="50"/>
  <c r="J15" i="50"/>
  <c r="H15" i="50"/>
  <c r="P14" i="50"/>
  <c r="R13" i="50"/>
  <c r="Q13" i="50"/>
  <c r="P13" i="50"/>
  <c r="J13" i="50"/>
  <c r="H13" i="50"/>
  <c r="K13" i="50" s="1"/>
  <c r="H12" i="50"/>
  <c r="P11" i="50"/>
  <c r="T10" i="50"/>
  <c r="Q10" i="50"/>
  <c r="P10" i="50"/>
  <c r="J10" i="50"/>
  <c r="H10" i="50"/>
  <c r="H9" i="50"/>
  <c r="P8" i="50"/>
  <c r="T7" i="50"/>
  <c r="S7" i="50"/>
  <c r="R7" i="50"/>
  <c r="K7" i="50" s="1"/>
  <c r="Q7" i="50"/>
  <c r="P7" i="50"/>
  <c r="J7" i="50"/>
  <c r="H7" i="50"/>
  <c r="Q5" i="50"/>
  <c r="P5" i="50"/>
  <c r="Q4" i="50"/>
  <c r="P4" i="50"/>
  <c r="J3" i="50"/>
  <c r="H3" i="50"/>
  <c r="V1" i="50"/>
  <c r="I1" i="50"/>
  <c r="Q301" i="50" s="1"/>
  <c r="J293" i="50" l="1"/>
  <c r="K293" i="50"/>
  <c r="J121" i="50"/>
  <c r="K173" i="50"/>
  <c r="K234" i="50"/>
  <c r="Q248" i="50"/>
  <c r="K267" i="50"/>
  <c r="J280" i="50"/>
  <c r="K57" i="50"/>
  <c r="K143" i="50"/>
  <c r="K181" i="50"/>
  <c r="K221" i="50"/>
  <c r="Q254" i="50"/>
  <c r="K27" i="50"/>
  <c r="K69" i="50"/>
  <c r="K116" i="50"/>
  <c r="J127" i="50"/>
  <c r="K147" i="50"/>
  <c r="J167" i="50"/>
  <c r="K174" i="50"/>
  <c r="K235" i="50"/>
  <c r="K240" i="50"/>
  <c r="Q272" i="50"/>
  <c r="J287" i="50"/>
  <c r="J294" i="50"/>
  <c r="J113" i="50"/>
  <c r="K126" i="50"/>
  <c r="J166" i="50"/>
  <c r="K243" i="50"/>
  <c r="P254" i="50"/>
  <c r="J272" i="50"/>
  <c r="K127" i="50"/>
  <c r="K167" i="50"/>
  <c r="K207" i="50"/>
  <c r="J234" i="50"/>
  <c r="K276" i="50"/>
  <c r="Q17" i="50"/>
  <c r="K28" i="50"/>
  <c r="K70" i="50"/>
  <c r="K96" i="50"/>
  <c r="K104" i="50"/>
  <c r="J116" i="50"/>
  <c r="K123" i="50"/>
  <c r="K158" i="50"/>
  <c r="J174" i="50"/>
  <c r="P181" i="50"/>
  <c r="Q203" i="50"/>
  <c r="K218" i="50"/>
  <c r="Q221" i="50"/>
  <c r="J235" i="50"/>
  <c r="K241" i="50"/>
  <c r="K288" i="50"/>
  <c r="P61" i="50"/>
  <c r="P150" i="50"/>
  <c r="K166" i="50"/>
  <c r="Q100" i="50"/>
  <c r="K55" i="50"/>
  <c r="J70" i="50"/>
  <c r="J96" i="50"/>
  <c r="K117" i="50"/>
  <c r="J128" i="50"/>
  <c r="K182" i="50"/>
  <c r="K245" i="50"/>
  <c r="J251" i="50"/>
  <c r="K282" i="50"/>
  <c r="K88" i="50"/>
  <c r="Q101" i="50"/>
  <c r="J117" i="50"/>
  <c r="J245" i="50"/>
  <c r="J282" i="50"/>
  <c r="J71" i="50"/>
  <c r="J97" i="50"/>
  <c r="J136" i="50"/>
  <c r="Q144" i="50"/>
  <c r="Q158" i="50"/>
  <c r="K169" i="50"/>
  <c r="K176" i="50"/>
  <c r="K214" i="50"/>
  <c r="Q218" i="50"/>
  <c r="Q230" i="50"/>
  <c r="K252" i="50"/>
  <c r="J256" i="50"/>
  <c r="K121" i="50"/>
  <c r="K151" i="50"/>
  <c r="K163" i="50"/>
  <c r="J241" i="50"/>
  <c r="K71" i="50"/>
  <c r="J182" i="50"/>
  <c r="K251" i="50"/>
  <c r="K66" i="50"/>
  <c r="Q88" i="50"/>
  <c r="K137" i="50"/>
  <c r="J169" i="50"/>
  <c r="K177" i="50"/>
  <c r="K191" i="50"/>
  <c r="J214" i="50"/>
  <c r="K237" i="50"/>
  <c r="J252" i="50"/>
  <c r="K287" i="50"/>
  <c r="J67" i="50"/>
  <c r="J126" i="50"/>
  <c r="Q84" i="50"/>
  <c r="K230" i="50"/>
  <c r="Q91" i="50"/>
  <c r="K136" i="50"/>
  <c r="K265" i="50"/>
  <c r="Q11" i="50"/>
  <c r="K112" i="50"/>
  <c r="K120" i="50"/>
  <c r="J137" i="50"/>
  <c r="K155" i="50"/>
  <c r="K170" i="50"/>
  <c r="J177" i="50"/>
  <c r="K192" i="50"/>
  <c r="K215" i="50"/>
  <c r="K223" i="50"/>
  <c r="K238" i="50"/>
  <c r="K247" i="50"/>
  <c r="K279" i="50"/>
  <c r="K12" i="50"/>
  <c r="K84" i="50"/>
  <c r="K100" i="50"/>
  <c r="J102" i="50"/>
  <c r="J112" i="50"/>
  <c r="J170" i="50"/>
  <c r="K178" i="50"/>
  <c r="Q183" i="50"/>
  <c r="K224" i="50"/>
  <c r="K228" i="50"/>
  <c r="K248" i="50"/>
  <c r="J253" i="50"/>
  <c r="K269" i="50"/>
  <c r="J279" i="50"/>
  <c r="K291" i="50"/>
  <c r="K297" i="50"/>
  <c r="K67" i="50"/>
  <c r="K73" i="50"/>
  <c r="K113" i="50"/>
  <c r="K165" i="50"/>
  <c r="J178" i="50"/>
  <c r="J224" i="50"/>
  <c r="K270" i="50"/>
  <c r="J64" i="50"/>
  <c r="J270" i="50"/>
  <c r="K285" i="50"/>
  <c r="J288" i="50"/>
  <c r="J291" i="50"/>
  <c r="H294" i="50"/>
  <c r="K294" i="50" s="1"/>
  <c r="J297" i="50"/>
  <c r="J265" i="50"/>
  <c r="P35" i="50"/>
  <c r="J118" i="50"/>
  <c r="K128" i="50"/>
  <c r="J194" i="50"/>
  <c r="Q228" i="50"/>
  <c r="K253" i="50"/>
  <c r="K280" i="50"/>
  <c r="K10" i="50"/>
  <c r="J68" i="50"/>
  <c r="J72" i="50"/>
  <c r="K114" i="50"/>
  <c r="K118" i="50"/>
  <c r="J122" i="50"/>
  <c r="J138" i="50"/>
  <c r="K171" i="50"/>
  <c r="J175" i="50"/>
  <c r="J179" i="50"/>
  <c r="K194" i="50"/>
  <c r="J208" i="50"/>
  <c r="Q215" i="50"/>
  <c r="K222" i="50"/>
  <c r="J236" i="50"/>
  <c r="J239" i="50"/>
  <c r="J246" i="50"/>
  <c r="J278" i="50"/>
  <c r="J283" i="50"/>
  <c r="H289" i="50"/>
  <c r="K289" i="50" s="1"/>
  <c r="J292" i="50"/>
  <c r="P6" i="50"/>
  <c r="K97" i="50"/>
  <c r="J114" i="50"/>
  <c r="K256" i="50"/>
  <c r="J63" i="50"/>
  <c r="K68" i="50"/>
  <c r="K72" i="50"/>
  <c r="Q105" i="50"/>
  <c r="K111" i="50"/>
  <c r="K122" i="50"/>
  <c r="J125" i="50"/>
  <c r="J129" i="50"/>
  <c r="K138" i="50"/>
  <c r="P153" i="50"/>
  <c r="J157" i="50"/>
  <c r="K159" i="50"/>
  <c r="K168" i="50"/>
  <c r="K175" i="50"/>
  <c r="K179" i="50"/>
  <c r="K208" i="50"/>
  <c r="P220" i="50"/>
  <c r="P222" i="50"/>
  <c r="K236" i="50"/>
  <c r="K239" i="50"/>
  <c r="K246" i="50"/>
  <c r="J250" i="50"/>
  <c r="J271" i="50"/>
  <c r="K278" i="50"/>
  <c r="K283" i="50"/>
  <c r="Q286" i="50"/>
  <c r="K292" i="50"/>
  <c r="K295" i="50"/>
  <c r="H272" i="50"/>
  <c r="K272" i="50" s="1"/>
  <c r="Q55" i="50"/>
  <c r="J171" i="50"/>
  <c r="P20" i="50"/>
  <c r="K17" i="50"/>
  <c r="Q82" i="50"/>
  <c r="K85" i="50"/>
  <c r="K94" i="50"/>
  <c r="K101" i="50"/>
  <c r="J103" i="50"/>
  <c r="J115" i="50"/>
  <c r="J119" i="50"/>
  <c r="K125" i="50"/>
  <c r="K129" i="50"/>
  <c r="K157" i="50"/>
  <c r="P168" i="50"/>
  <c r="J172" i="50"/>
  <c r="P180" i="50"/>
  <c r="K183" i="50"/>
  <c r="J195" i="50"/>
  <c r="Q212" i="50"/>
  <c r="Q229" i="50"/>
  <c r="J233" i="50"/>
  <c r="K250" i="50"/>
  <c r="J264" i="50"/>
  <c r="K271" i="50"/>
  <c r="J273" i="50"/>
  <c r="J281" i="50"/>
  <c r="K298" i="50"/>
  <c r="P33" i="50"/>
  <c r="J69" i="50"/>
  <c r="K77" i="50"/>
  <c r="K99" i="50"/>
  <c r="K103" i="50"/>
  <c r="Q111" i="50"/>
  <c r="K115" i="50"/>
  <c r="K119" i="50"/>
  <c r="J123" i="50"/>
  <c r="P157" i="50"/>
  <c r="J165" i="50"/>
  <c r="K172" i="50"/>
  <c r="J176" i="50"/>
  <c r="J191" i="50"/>
  <c r="K195" i="50"/>
  <c r="J223" i="50"/>
  <c r="K233" i="50"/>
  <c r="J237" i="50"/>
  <c r="J240" i="50"/>
  <c r="J247" i="50"/>
  <c r="K254" i="50"/>
  <c r="K264" i="50"/>
  <c r="J269" i="50"/>
  <c r="K273" i="50"/>
  <c r="K281" i="50"/>
  <c r="Q295" i="50"/>
  <c r="GQ3" i="11" l="1"/>
  <c r="GR3" i="11"/>
  <c r="GS3" i="11"/>
  <c r="GT3" i="11"/>
  <c r="GI3" i="11"/>
  <c r="GJ3" i="11"/>
  <c r="GK3" i="11"/>
  <c r="GL3" i="11"/>
  <c r="GM3" i="11"/>
  <c r="GN3" i="11"/>
  <c r="GO3" i="11"/>
  <c r="GP3" i="11"/>
  <c r="FQ3" i="11"/>
  <c r="FR3" i="11"/>
  <c r="FS3" i="11"/>
  <c r="FT3" i="11"/>
  <c r="FU3" i="11"/>
  <c r="FV3" i="11"/>
  <c r="FW3" i="11"/>
  <c r="FX3" i="11"/>
  <c r="FY3" i="11"/>
  <c r="FZ3" i="11"/>
  <c r="GA3" i="11"/>
  <c r="GB3" i="11"/>
  <c r="GC3" i="11"/>
  <c r="GD3" i="11"/>
  <c r="GE3" i="11"/>
  <c r="GF3" i="11"/>
  <c r="GG3" i="11"/>
  <c r="GH3" i="11"/>
  <c r="L7" i="8"/>
  <c r="T6" i="11" l="1"/>
  <c r="T7" i="11"/>
  <c r="T8" i="11"/>
  <c r="T9" i="11"/>
  <c r="T10" i="11"/>
  <c r="T5" i="11"/>
  <c r="T4" i="11"/>
  <c r="L11" i="8" a="1"/>
  <c r="L11" i="8" s="1"/>
  <c r="L22" i="8" l="1" a="1"/>
  <c r="L22" i="8" s="1"/>
  <c r="L23" i="8" a="1"/>
  <c r="L23" i="8" s="1"/>
  <c r="L24" i="8" a="1"/>
  <c r="L24" i="8" s="1"/>
  <c r="L25" i="8" a="1"/>
  <c r="L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E22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23" i="8" l="1" a="1"/>
  <c r="K23" i="8" s="1"/>
  <c r="K22" i="8" a="1"/>
  <c r="K22" i="8" s="1"/>
  <c r="K24" i="8" a="1"/>
  <c r="K24" i="8" s="1"/>
  <c r="K25" i="8" a="1"/>
  <c r="K25" i="8" s="1"/>
  <c r="K15" i="8" a="1"/>
  <c r="K15" i="8" s="1"/>
  <c r="K16" i="8" a="1"/>
  <c r="K16" i="8" s="1"/>
  <c r="K17" i="8" a="1"/>
  <c r="K17" i="8" s="1"/>
  <c r="K14" i="8" a="1"/>
  <c r="K14" i="8" s="1"/>
  <c r="K18" i="8" a="1"/>
  <c r="K18" i="8" s="1"/>
  <c r="A26" i="14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5" i="11"/>
  <c r="Q15" i="11" s="1"/>
  <c r="R15" i="11" s="1"/>
  <c r="S14" i="11"/>
  <c r="Q14" i="11" s="1"/>
  <c r="S12" i="11"/>
  <c r="Q12" i="11" s="1"/>
  <c r="P12" i="11" l="1"/>
  <c r="R12" i="11"/>
  <c r="D21" i="8"/>
  <c r="R14" i="11"/>
  <c r="R13" i="11"/>
  <c r="P13" i="11"/>
  <c r="H21" i="8" l="1"/>
  <c r="G21" i="8" s="1"/>
  <c r="G59" i="8" s="1"/>
  <c r="C72" i="8" s="1"/>
  <c r="C73" i="8" s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<sst xmlns="http://schemas.openxmlformats.org/spreadsheetml/2006/main" count="2722" uniqueCount="878">
  <si>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</si>
  <si>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</si>
  <si>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</si>
  <si>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</si>
  <si>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</si>
  <si>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</si>
  <si>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</si>
  <si>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</si>
  <si>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</si>
  <si>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</si>
  <si>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</si>
  <si>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</si>
  <si>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</si>
  <si>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</si>
  <si>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</si>
  <si>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</si>
  <si>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</si>
  <si>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</si>
  <si>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</si>
  <si>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</si>
  <si>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</si>
  <si>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</si>
  <si>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</si>
  <si>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</si>
  <si>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</si>
  <si>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</si>
  <si>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</si>
  <si>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</si>
  <si>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</si>
  <si>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</si>
  <si>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</si>
  <si>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</si>
  <si>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</si>
  <si>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</si>
  <si>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</si>
  <si>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</si>
  <si>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</si>
  <si>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</si>
  <si>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</si>
  <si>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</si>
  <si>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</si>
  <si>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</si>
  <si>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</si>
  <si>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</si>
  <si>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</si>
  <si>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</si>
  <si>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</si>
  <si>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</si>
  <si>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</si>
  <si>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</si>
  <si>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</si>
  <si>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</si>
  <si>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</si>
  <si>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</si>
  <si>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</si>
  <si>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</si>
  <si>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</si>
  <si>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</si>
  <si>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</si>
  <si>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</si>
  <si>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</si>
  <si>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</si>
  <si>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</si>
  <si>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</si>
  <si>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</si>
  <si>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</si>
  <si>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</si>
  <si>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</si>
  <si>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</si>
  <si>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</si>
  <si>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</si>
  <si>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</si>
  <si>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</si>
  <si>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</si>
  <si>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</si>
  <si>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</si>
  <si>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</si>
  <si>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</si>
  <si>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</si>
  <si>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</si>
  <si>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</si>
  <si>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</si>
  <si>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</si>
  <si>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</si>
  <si>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</si>
  <si>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</si>
  <si>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</si>
  <si>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</si>
  <si>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</si>
  <si>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</si>
  <si>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</si>
  <si>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</si>
  <si>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</si>
  <si>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</si>
  <si>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</si>
  <si>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</si>
  <si>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</si>
  <si>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</si>
  <si>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</si>
  <si>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</si>
  <si>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</si>
  <si>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</si>
  <si>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</si>
  <si>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</si>
  <si>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</si>
  <si>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</si>
  <si>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</si>
  <si>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</si>
  <si>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</si>
  <si>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</si>
  <si>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</si>
  <si>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</si>
  <si>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</si>
  <si>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</si>
  <si>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</si>
  <si>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</si>
  <si>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</si>
  <si>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</si>
  <si>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</si>
  <si>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</si>
  <si>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</si>
  <si>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</si>
  <si>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</si>
  <si>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</si>
  <si>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</si>
  <si>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</si>
  <si>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</si>
  <si>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</si>
  <si>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</si>
  <si>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</si>
  <si>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</si>
  <si>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</si>
  <si>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</si>
  <si>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</si>
  <si>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</si>
  <si>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</si>
  <si>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</si>
  <si>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</si>
  <si>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</si>
  <si>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</si>
  <si>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</si>
  <si>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</si>
  <si>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</si>
  <si>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</si>
  <si>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</si>
  <si>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</si>
  <si>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</si>
  <si>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</si>
  <si>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</si>
  <si>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</si>
  <si>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</si>
  <si>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</si>
  <si>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</si>
  <si>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</si>
  <si>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</si>
  <si>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</si>
  <si>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</si>
  <si>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</si>
  <si>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</si>
  <si>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</si>
  <si>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</si>
  <si>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</si>
  <si>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</si>
  <si>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</si>
  <si>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</si>
  <si>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</si>
  <si>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</si>
  <si>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</si>
  <si>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</si>
  <si>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</si>
  <si>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</si>
  <si>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</si>
  <si>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</si>
  <si>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</si>
  <si>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</si>
  <si>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</si>
  <si>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</si>
  <si>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</si>
  <si>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</si>
  <si>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</si>
  <si>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</si>
  <si>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</si>
  <si>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</si>
  <si>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</si>
  <si>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</si>
  <si>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</si>
  <si>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</si>
  <si>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</si>
  <si>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</si>
  <si>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</si>
  <si>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</si>
  <si>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</si>
  <si>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</si>
  <si>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</si>
  <si>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</si>
  <si>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</si>
  <si>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</si>
  <si>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</si>
  <si>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</si>
  <si>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</si>
  <si>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</si>
  <si>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</si>
  <si>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</si>
  <si>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</si>
  <si>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</si>
  <si>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</si>
  <si>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</si>
  <si>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</si>
  <si>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</si>
  <si>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</si>
  <si>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</si>
  <si>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</si>
  <si>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</si>
  <si>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</si>
  <si>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</si>
  <si>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</si>
  <si>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</si>
  <si>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</si>
  <si>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</si>
  <si>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</si>
  <si>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</si>
  <si>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</si>
  <si>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</si>
  <si>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</si>
  <si>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</si>
  <si>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</si>
  <si>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</si>
  <si>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</si>
  <si>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</si>
  <si>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</si>
  <si>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</si>
  <si>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</si>
  <si>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</si>
  <si>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</si>
  <si>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</si>
  <si>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</si>
  <si>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</si>
  <si>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</si>
  <si>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</si>
  <si>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</si>
  <si>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</si>
  <si>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</si>
  <si>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</si>
  <si>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</si>
  <si>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</si>
  <si>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</si>
  <si>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</si>
  <si>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</si>
  <si>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</si>
  <si>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</si>
  <si>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</si>
  <si>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</si>
  <si>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</si>
  <si>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</si>
  <si>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</si>
  <si>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</si>
  <si>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</si>
  <si>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</si>
  <si>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</si>
  <si>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</si>
  <si>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</si>
  <si>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</si>
  <si>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</si>
  <si>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</si>
  <si>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</si>
  <si>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</si>
  <si>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</si>
  <si>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</si>
  <si>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</si>
  <si>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</si>
  <si>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</si>
  <si>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</si>
  <si>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</si>
  <si>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</si>
  <si>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</si>
  <si>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</si>
  <si>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</si>
  <si>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</si>
  <si>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</si>
  <si>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</si>
  <si>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</si>
  <si>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</si>
  <si>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</si>
  <si>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</si>
  <si>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</si>
  <si>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</si>
  <si>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</si>
  <si>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</si>
  <si>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</si>
  <si>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</si>
  <si>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</si>
  <si>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</si>
  <si>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</si>
  <si>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</si>
  <si>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</si>
  <si>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</si>
  <si>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</si>
  <si>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</si>
  <si>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</si>
  <si>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</si>
  <si>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</si>
  <si>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</si>
  <si>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</si>
  <si>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</si>
  <si>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</si>
  <si>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</si>
  <si>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</si>
  <si>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</si>
  <si>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</si>
  <si>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</si>
  <si>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</si>
  <si>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</si>
  <si>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</si>
  <si>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</si>
  <si>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</si>
  <si>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</si>
  <si>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</si>
  <si>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</si>
  <si>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</si>
  <si>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</si>
  <si>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</si>
  <si>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</si>
  <si>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</si>
  <si>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</si>
  <si>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</si>
  <si>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</si>
  <si>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</si>
  <si>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</si>
  <si>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</si>
  <si>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</si>
  <si>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</si>
  <si>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</si>
  <si>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</si>
  <si>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</si>
  <si>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</si>
  <si>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</si>
  <si>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</si>
  <si>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</si>
  <si>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</si>
  <si>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</si>
  <si>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</si>
  <si>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</si>
  <si>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</si>
  <si>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</si>
  <si>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</si>
  <si>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</si>
  <si>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</si>
  <si>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</si>
  <si>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</si>
  <si>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</si>
  <si>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</si>
  <si>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</si>
  <si>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</si>
  <si>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</si>
  <si>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</si>
  <si>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</si>
  <si>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</si>
  <si>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</si>
  <si>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</si>
  <si>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</si>
  <si>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</si>
  <si>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</si>
  <si>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</si>
  <si>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</si>
  <si>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</si>
  <si>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</si>
  <si>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</si>
  <si>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</si>
  <si>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</si>
  <si>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</si>
  <si>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</si>
  <si>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</si>
  <si>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</si>
  <si>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</si>
  <si>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</si>
  <si>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</si>
  <si>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</si>
  <si>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</si>
  <si>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</si>
  <si>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</si>
  <si>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</si>
  <si>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</si>
  <si>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</si>
  <si>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</si>
  <si>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</si>
  <si>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</si>
  <si>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</si>
  <si>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</si>
  <si>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</si>
  <si>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</si>
  <si>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</si>
  <si>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</si>
  <si>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</si>
  <si>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</si>
  <si>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</si>
  <si>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</si>
  <si>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</si>
  <si>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</si>
  <si>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</si>
  <si>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</si>
  <si>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</si>
  <si>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</si>
  <si>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</si>
  <si>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</si>
  <si>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</si>
  <si>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</si>
  <si>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</si>
  <si>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</si>
  <si>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</si>
  <si>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</si>
  <si>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</si>
  <si>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</si>
  <si>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</si>
  <si>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</si>
  <si>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</si>
  <si>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</si>
  <si>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</si>
  <si>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</si>
  <si>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</si>
  <si>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</si>
  <si>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</si>
  <si>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</si>
  <si>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</si>
  <si>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</si>
  <si>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</si>
  <si>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</si>
  <si>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</si>
  <si>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</si>
  <si>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</si>
  <si>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</si>
  <si>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</si>
  <si>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</si>
  <si>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</si>
  <si>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</si>
  <si>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</si>
  <si>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</si>
  <si>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</si>
  <si>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</si>
  <si>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</si>
  <si>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</si>
  <si>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</si>
  <si>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</si>
  <si>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</si>
  <si>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</si>
  <si>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</si>
  <si>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</si>
  <si>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</si>
  <si>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</si>
  <si>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</si>
  <si>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</si>
  <si>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</si>
  <si>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</si>
  <si>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</si>
  <si>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</si>
  <si>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</si>
  <si>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</si>
  <si>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</si>
  <si>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</si>
  <si>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</si>
  <si>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</si>
  <si>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</si>
  <si>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</si>
  <si>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</si>
  <si>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</si>
  <si>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</si>
  <si>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</si>
  <si>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</si>
  <si>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</si>
  <si>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</si>
  <si>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</si>
  <si>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</si>
  <si>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</si>
  <si>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</si>
  <si>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</si>
  <si>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</si>
  <si>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</si>
  <si>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</si>
  <si>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</si>
  <si>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</si>
  <si>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</si>
  <si>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</si>
  <si>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</si>
  <si>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</si>
  <si>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</si>
  <si>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</si>
  <si>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</si>
  <si>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</si>
  <si>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</si>
  <si>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</si>
  <si>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</si>
  <si>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</si>
  <si>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</si>
  <si>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</si>
  <si>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</si>
  <si>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</si>
  <si>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</si>
  <si>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</si>
  <si>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</si>
  <si>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</si>
  <si>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</si>
  <si>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</si>
  <si>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</si>
  <si>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</si>
  <si>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</si>
  <si>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</si>
  <si>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</si>
  <si>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</si>
  <si>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</si>
  <si>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</si>
  <si>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</si>
  <si>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</si>
  <si>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</si>
  <si>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</si>
  <si>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</si>
  <si>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</si>
  <si>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</si>
  <si>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</si>
  <si>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</si>
  <si>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</si>
  <si>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</si>
  <si>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</si>
  <si>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</si>
  <si>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</si>
  <si>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</si>
  <si>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</si>
  <si>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</si>
  <si>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</si>
  <si>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</si>
  <si>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</si>
  <si>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</si>
  <si>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</si>
  <si>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</si>
  <si>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</si>
  <si>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</si>
  <si>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</si>
  <si>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</si>
  <si>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</si>
  <si>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</si>
  <si>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</si>
  <si>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</si>
  <si>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</si>
  <si>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</si>
  <si>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</si>
  <si>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</si>
  <si>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</si>
  <si>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</si>
  <si>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</si>
  <si>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</si>
  <si>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</si>
  <si>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</si>
  <si>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</si>
  <si>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</si>
  <si>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</si>
  <si>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</si>
  <si>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</si>
  <si>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</si>
  <si>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</si>
  <si>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</si>
  <si>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</si>
  <si>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</si>
  <si>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</si>
  <si>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</si>
  <si>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</si>
  <si>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</si>
  <si>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</si>
  <si>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</si>
  <si>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</si>
  <si>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</si>
  <si>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</si>
  <si>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</si>
  <si>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</si>
  <si>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</si>
  <si>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</si>
  <si>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</si>
  <si>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</si>
  <si>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</si>
  <si>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</si>
  <si>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</si>
  <si>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</si>
  <si>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</si>
  <si>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</si>
  <si>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</si>
  <si>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</si>
  <si>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</si>
  <si>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</si>
  <si>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</si>
  <si>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</si>
  <si>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</si>
  <si>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</si>
  <si>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</si>
  <si>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</si>
  <si>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</si>
  <si>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</si>
  <si>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</si>
  <si>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</si>
  <si>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</si>
  <si>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</si>
  <si>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</si>
  <si>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</si>
  <si>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</si>
  <si>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</si>
  <si>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</si>
  <si>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</si>
  <si>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</si>
  <si>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</si>
  <si>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</si>
  <si>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</si>
  <si>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</si>
  <si>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</si>
  <si>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</si>
  <si>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</si>
  <si>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</si>
  <si>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</si>
  <si>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</si>
  <si>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</si>
  <si>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</si>
  <si>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</si>
  <si>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</si>
  <si>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</si>
  <si>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</si>
  <si>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</si>
  <si>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</si>
  <si>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</si>
  <si>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</si>
  <si>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</si>
  <si>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</si>
  <si>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</si>
  <si>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</si>
  <si>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</si>
  <si>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</si>
  <si>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</si>
  <si>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</si>
  <si>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</si>
  <si>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</si>
  <si>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</si>
  <si>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</si>
  <si>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</si>
  <si>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</si>
  <si>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</si>
  <si>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</si>
  <si>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</si>
  <si>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</si>
  <si>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</si>
  <si>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</si>
  <si>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</si>
  <si>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</si>
  <si>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</si>
  <si>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</si>
  <si>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</si>
  <si>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</si>
  <si>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</si>
  <si>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</si>
  <si>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</si>
  <si>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</si>
  <si>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</si>
  <si>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</si>
  <si>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</si>
  <si>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</si>
  <si>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</si>
  <si>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</si>
  <si>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</si>
  <si>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</si>
  <si>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</si>
  <si>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</si>
  <si>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</si>
  <si>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</si>
  <si>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</si>
  <si>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</si>
  <si>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</si>
  <si>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</si>
  <si>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</si>
  <si>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</si>
  <si>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</si>
  <si>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</si>
  <si>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</si>
  <si>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</si>
  <si>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</si>
  <si>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</si>
  <si>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</si>
  <si>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</si>
  <si>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</si>
  <si>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</si>
  <si>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</si>
  <si>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</si>
  <si>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</si>
  <si>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</si>
  <si>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</si>
  <si>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</si>
  <si>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</si>
  <si>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</si>
  <si>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</si>
  <si>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</si>
  <si>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</si>
  <si>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</si>
  <si>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</si>
  <si>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</si>
  <si>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</si>
  <si>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</si>
  <si>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</si>
  <si>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</si>
  <si>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</si>
  <si>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</si>
  <si>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</si>
  <si>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</si>
  <si>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</si>
  <si>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</si>
  <si>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</si>
  <si>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</si>
  <si>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</si>
  <si>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</si>
  <si>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</si>
  <si>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</si>
  <si>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</si>
  <si>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</si>
  <si>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</si>
  <si>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</si>
  <si>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</si>
  <si>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</si>
  <si>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</si>
  <si>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</si>
  <si>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</si>
  <si>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</si>
  <si>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</si>
  <si>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</si>
  <si>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</si>
  <si>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</si>
  <si>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</si>
  <si>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</si>
  <si>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</si>
  <si>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</si>
  <si>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</si>
  <si>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</si>
  <si>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</si>
  <si>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</si>
  <si>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</si>
  <si>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</si>
  <si>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</si>
  <si>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</si>
  <si>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</si>
  <si>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</si>
  <si>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</si>
  <si>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</si>
  <si>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</si>
  <si>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</si>
  <si>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</si>
  <si>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</si>
  <si>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</si>
  <si>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</si>
  <si>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</si>
  <si>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</si>
  <si>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</si>
  <si>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</si>
  <si>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</si>
  <si>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</si>
  <si>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</si>
  <si>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</si>
  <si>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</si>
  <si>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</si>
  <si>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</si>
  <si>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</si>
  <si>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</si>
  <si>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</si>
  <si>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</si>
  <si>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</si>
  <si>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</si>
  <si>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</si>
  <si>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</si>
  <si>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</si>
  <si>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</si>
  <si>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</si>
  <si>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</si>
  <si>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</si>
  <si>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</si>
  <si>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</si>
  <si>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</si>
  <si>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</si>
  <si>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</si>
  <si>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</si>
  <si>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</si>
  <si>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</si>
  <si>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</si>
  <si>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</si>
  <si>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</si>
  <si>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</si>
  <si>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</si>
  <si>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</si>
  <si>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</si>
  <si>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</si>
  <si>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</si>
  <si>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</si>
  <si>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</si>
  <si>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</si>
  <si>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</si>
  <si>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</si>
  <si>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</si>
  <si>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</si>
  <si>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</si>
  <si>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</si>
  <si>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</si>
  <si>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</si>
  <si>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</si>
  <si>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</si>
  <si>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</si>
  <si>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</si>
  <si>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</si>
  <si>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</si>
  <si>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</si>
  <si>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</si>
  <si>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</si>
  <si>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</si>
  <si>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</si>
  <si>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</si>
  <si>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</si>
  <si>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</si>
  <si>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</si>
  <si>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</si>
  <si>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</si>
  <si>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</si>
  <si>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</si>
  <si>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</si>
  <si>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</si>
  <si>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</si>
  <si>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</si>
  <si>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</si>
  <si>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</si>
  <si>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</si>
  <si>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</si>
  <si>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</si>
  <si>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</si>
  <si>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</si>
  <si>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</si>
  <si>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</si>
  <si>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</si>
  <si>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</si>
  <si>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</si>
  <si>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</si>
  <si>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</si>
  <si>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</si>
  <si>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</si>
  <si>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</si>
  <si>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</si>
  <si>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</si>
  <si>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</si>
  <si>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</si>
  <si>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</si>
  <si>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</si>
  <si>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</si>
  <si>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</si>
  <si>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</si>
  <si>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</si>
  <si>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</si>
  <si>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</si>
  <si>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</si>
  <si>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</si>
  <si>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</si>
  <si>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</si>
  <si>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</si>
  <si>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</si>
  <si>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</si>
  <si>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</si>
  <si>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</si>
  <si>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</si>
  <si>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</si>
  <si>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</si>
  <si>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</si>
  <si>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</si>
  <si>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</si>
  <si>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</si>
  <si>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</si>
  <si>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</si>
  <si>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</si>
  <si>
    <t>Yet to be submitted</t>
  </si>
  <si>
    <t>DC power cable -MQP</t>
  </si>
  <si>
    <t>SECI-RG300-PL-MQP-010B</t>
  </si>
  <si>
    <t xml:space="preserve">MCR - Structural drawing of 
foundation, plinth beam &amp; column </t>
  </si>
  <si>
    <t>SECI-RG300-PL-CIV-203C</t>
  </si>
  <si>
    <t>emerson</t>
  </si>
  <si>
    <t>Re-Submission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</si>
</sst>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6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2" borderId="51" xfId="0" applyFont="1" applyFill="1" applyBorder="1" applyAlignment="1">
      <alignment vertic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32" borderId="41" xfId="0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164" fontId="49" fillId="23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/>
    </xf>
    <xf numFmtId="0" fontId="49" fillId="23" borderId="52" xfId="0" applyFont="1" applyFill="1" applyBorder="1" applyAlignment="1">
      <alignment horizontal="center" vertical="center"/>
    </xf>
    <xf numFmtId="171" fontId="49" fillId="23" borderId="41" xfId="0" applyNumberFormat="1" applyFont="1" applyFill="1" applyBorder="1" applyAlignment="1">
      <alignment horizontal="center" vertical="center"/>
    </xf>
    <xf numFmtId="0" fontId="46" fillId="29" borderId="41" xfId="0" applyFont="1" applyFill="1" applyBorder="1" applyAlignment="1">
      <alignment horizontal="center" vertical="center"/>
    </xf>
    <xf numFmtId="0" fontId="46" fillId="0" borderId="0" xfId="0" applyFont="1"/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/>
    <xf numFmtId="0" fontId="46" fillId="22" borderId="0" xfId="0" applyFont="1" applyFill="1"/>
    <xf numFmtId="0" fontId="46" fillId="22" borderId="5" xfId="0" applyFont="1" applyFill="1" applyBorder="1"/>
    <xf numFmtId="0" fontId="46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wrapText="1"/>
    </xf>
    <xf numFmtId="0" fontId="46" fillId="22" borderId="0" xfId="0" applyFont="1" applyFill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15" fontId="46" fillId="0" borderId="0" xfId="0" applyNumberFormat="1" applyFont="1" applyAlignment="1">
      <alignment horizontal="center" vertical="center"/>
    </xf>
    <xf numFmtId="0" fontId="49" fillId="23" borderId="45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0" fontId="49" fillId="21" borderId="51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4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4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164" fontId="49" fillId="24" borderId="41" xfId="0" applyNumberFormat="1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164" fontId="49" fillId="23" borderId="41" xfId="0" applyNumberFormat="1" applyFont="1" applyFill="1" applyBorder="1" applyAlignment="1">
      <alignment horizontal="center"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23" borderId="52" xfId="0" applyFont="1" applyFill="1" applyBorder="1" applyAlignment="1">
      <alignment horizontal="center" vertical="center"/>
    </xf>
    <xf numFmtId="15" fontId="49" fillId="30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9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29" borderId="59" xfId="0" applyFont="1" applyFill="1" applyBorder="1" applyAlignment="1">
      <alignment horizontal="center" vertical="center"/>
    </xf>
    <xf numFmtId="0" fontId="49" fillId="29" borderId="61" xfId="0" applyFont="1" applyFill="1" applyBorder="1" applyAlignment="1">
      <alignment horizontal="center" vertical="center"/>
    </xf>
    <xf numFmtId="0" fontId="49" fillId="29" borderId="60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53" xfId="0" applyFont="1" applyFill="1" applyBorder="1" applyAlignment="1">
      <alignment horizontal="center" vertical="center"/>
    </xf>
    <xf numFmtId="0" fontId="49" fillId="21" borderId="54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0" fontId="49" fillId="21" borderId="59" xfId="0" applyFont="1" applyFill="1" applyBorder="1" applyAlignment="1">
      <alignment horizontal="center" vertical="center"/>
    </xf>
    <xf numFmtId="0" fontId="49" fillId="21" borderId="60" xfId="0" applyFont="1" applyFill="1" applyBorder="1" applyAlignment="1">
      <alignment horizontal="center" vertical="center"/>
    </xf>
    <xf numFmtId="0" fontId="49" fillId="21" borderId="61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53" xfId="0" applyFont="1" applyFill="1" applyBorder="1" applyAlignment="1">
      <alignment horizontal="center" vertical="center"/>
    </xf>
    <xf numFmtId="0" fontId="49" fillId="29" borderId="54" xfId="0" applyFont="1" applyFill="1" applyBorder="1" applyAlignment="1">
      <alignment horizontal="center" vertical="center"/>
    </xf>
    <xf numFmtId="0" fontId="49" fillId="29" borderId="55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left" vertical="center" wrapText="1"/>
    </xf>
    <xf numFmtId="0" fontId="49" fillId="29" borderId="46" xfId="0" applyFont="1" applyFill="1" applyBorder="1" applyAlignment="1">
      <alignment horizontal="left" vertical="center" wrapText="1"/>
    </xf>
    <xf numFmtId="0" fontId="49" fillId="29" borderId="47" xfId="0" applyFont="1" applyFill="1" applyBorder="1" applyAlignment="1">
      <alignment horizontal="left" vertical="center" wrapText="1"/>
    </xf>
    <xf numFmtId="164" fontId="49" fillId="29" borderId="45" xfId="0" applyNumberFormat="1" applyFont="1" applyFill="1" applyBorder="1" applyAlignment="1">
      <alignment horizontal="center" vertical="center"/>
    </xf>
    <xf numFmtId="164" fontId="49" fillId="29" borderId="46" xfId="0" applyNumberFormat="1" applyFont="1" applyFill="1" applyBorder="1" applyAlignment="1">
      <alignment horizontal="center" vertical="center"/>
    </xf>
    <xf numFmtId="164" fontId="49" fillId="29" borderId="47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23" borderId="41" xfId="0" applyFont="1" applyFill="1" applyBorder="1" applyAlignment="1">
      <alignment vertical="center"/>
    </xf>
    <xf numFmtId="0" fontId="49" fillId="30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0" fontId="49" fillId="25" borderId="5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0" fontId="49" fillId="25" borderId="41" xfId="0" applyFont="1" applyFill="1" applyBorder="1" applyAlignment="1">
      <alignment horizontal="center" vertical="center" wrapText="1"/>
    </xf>
    <xf numFmtId="0" fontId="49" fillId="32" borderId="51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41" xfId="7" applyFont="1" applyFill="1" applyBorder="1" applyAlignment="1">
      <alignment vertical="center" wrapText="1"/>
    </xf>
    <xf numFmtId="164" fontId="49" fillId="32" borderId="41" xfId="0" applyNumberFormat="1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0" fontId="49" fillId="22" borderId="41" xfId="0" applyFont="1" applyFill="1" applyBorder="1" applyAlignment="1">
      <alignment vertical="center"/>
    </xf>
    <xf numFmtId="15" fontId="49" fillId="22" borderId="41" xfId="0" applyNumberFormat="1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4" borderId="41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center"/>
    </xf>
    <xf numFmtId="171" fontId="49" fillId="23" borderId="41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vertical="center" wrapText="1"/>
    </xf>
    <xf numFmtId="0" fontId="49" fillId="21" borderId="46" xfId="0" applyFont="1" applyFill="1" applyBorder="1" applyAlignment="1">
      <alignment vertical="center" wrapText="1"/>
    </xf>
    <xf numFmtId="0" fontId="49" fillId="21" borderId="47" xfId="0" applyFont="1" applyFill="1" applyBorder="1" applyAlignment="1">
      <alignment vertical="center" wrapText="1"/>
    </xf>
    <xf numFmtId="171" fontId="49" fillId="21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 wrapText="1"/>
    </xf>
    <xf numFmtId="171" fontId="49" fillId="32" borderId="41" xfId="0" applyNumberFormat="1" applyFont="1" applyFill="1" applyBorder="1" applyAlignment="1">
      <alignment horizontal="center" vertical="center"/>
    </xf>
    <xf numFmtId="0" fontId="49" fillId="21" borderId="45" xfId="7" applyFont="1" applyFill="1" applyBorder="1" applyAlignment="1">
      <alignment vertical="center" wrapText="1"/>
    </xf>
    <xf numFmtId="0" fontId="49" fillId="21" borderId="47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171" fontId="49" fillId="23" borderId="45" xfId="0" applyNumberFormat="1" applyFont="1" applyFill="1" applyBorder="1" applyAlignment="1">
      <alignment horizontal="center" vertical="center"/>
    </xf>
    <xf numFmtId="171" fontId="49" fillId="32" borderId="47" xfId="0" applyNumberFormat="1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/>
    </xf>
    <xf numFmtId="0" fontId="49" fillId="32" borderId="47" xfId="0" applyFont="1" applyFill="1" applyBorder="1" applyAlignment="1">
      <alignment horizontal="center" vertical="center"/>
    </xf>
    <xf numFmtId="0" fontId="49" fillId="23" borderId="59" xfId="0" applyFont="1" applyFill="1" applyBorder="1" applyAlignment="1">
      <alignment horizontal="center" vertical="center"/>
    </xf>
    <xf numFmtId="0" fontId="49" fillId="32" borderId="61" xfId="0" applyFont="1" applyFill="1" applyBorder="1" applyAlignment="1">
      <alignment horizontal="center" vertical="center"/>
    </xf>
    <xf numFmtId="0" fontId="49" fillId="23" borderId="53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 wrapText="1"/>
    </xf>
    <xf numFmtId="0" fontId="49" fillId="32" borderId="47" xfId="0" applyFont="1" applyFill="1" applyBorder="1" applyAlignment="1">
      <alignment horizontal="center" vertical="center" wrapText="1"/>
    </xf>
    <xf numFmtId="0" fontId="49" fillId="23" borderId="45" xfId="7" applyFont="1" applyFill="1" applyBorder="1" applyAlignment="1">
      <alignment horizontal="center" vertical="center" wrapText="1"/>
    </xf>
    <xf numFmtId="0" fontId="49" fillId="32" borderId="47" xfId="7" applyFont="1" applyFill="1" applyBorder="1" applyAlignment="1">
      <alignment horizontal="center" vertical="center" wrapText="1"/>
    </xf>
    <xf numFmtId="0" fontId="49" fillId="23" borderId="47" xfId="0" applyFont="1" applyFill="1" applyBorder="1" applyAlignment="1">
      <alignment horizontal="center" vertical="center"/>
    </xf>
    <xf numFmtId="0" fontId="49" fillId="23" borderId="61" xfId="0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171" fontId="49" fillId="23" borderId="47" xfId="0" applyNumberFormat="1" applyFont="1" applyFill="1" applyBorder="1" applyAlignment="1">
      <alignment horizontal="center" vertical="center"/>
    </xf>
    <xf numFmtId="0" fontId="49" fillId="23" borderId="55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vertical="center" wrapText="1"/>
    </xf>
    <xf numFmtId="0" fontId="49" fillId="23" borderId="47" xfId="0" applyFont="1" applyFill="1" applyBorder="1" applyAlignment="1">
      <alignment vertical="center" wrapText="1"/>
    </xf>
    <xf numFmtId="0" fontId="49" fillId="23" borderId="47" xfId="7" applyFont="1" applyFill="1" applyBorder="1" applyAlignment="1">
      <alignment horizontal="center" vertical="center" wrapText="1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0" fontId="49" fillId="29" borderId="45" xfId="7" applyFont="1" applyFill="1" applyBorder="1" applyAlignment="1">
      <alignment horizontal="center" vertical="center" wrapText="1"/>
    </xf>
    <xf numFmtId="0" fontId="49" fillId="29" borderId="47" xfId="7" applyFont="1" applyFill="1" applyBorder="1" applyAlignment="1">
      <alignment horizontal="center" vertical="center" wrapText="1"/>
    </xf>
    <xf numFmtId="171" fontId="49" fillId="29" borderId="45" xfId="0" applyNumberFormat="1" applyFont="1" applyFill="1" applyBorder="1" applyAlignment="1">
      <alignment horizontal="center" vertical="center"/>
    </xf>
    <xf numFmtId="171" fontId="49" fillId="29" borderId="47" xfId="0" applyNumberFormat="1" applyFont="1" applyFill="1" applyBorder="1" applyAlignment="1">
      <alignment horizontal="center" vertical="center"/>
    </xf>
    <xf numFmtId="16" fontId="49" fillId="23" borderId="41" xfId="0" applyNumberFormat="1" applyFont="1" applyFill="1" applyBorder="1" applyAlignment="1">
      <alignment horizontal="center" vertical="center"/>
    </xf>
    <xf numFmtId="0" fontId="49" fillId="22" borderId="56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57" xfId="0" applyNumberFormat="1" applyFont="1" applyFill="1" applyBorder="1" applyAlignment="1">
      <alignment horizontal="center" vertical="center"/>
    </xf>
    <xf numFmtId="16" fontId="49" fillId="0" borderId="41" xfId="0" applyNumberFormat="1" applyFont="1" applyBorder="1" applyAlignment="1">
      <alignment horizontal="center" vertical="center"/>
    </xf>
    <xf numFmtId="0" fontId="49" fillId="29" borderId="58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left" vertical="center" wrapText="1"/>
    </xf>
    <xf numFmtId="0" fontId="49" fillId="23" borderId="41" xfId="7" applyFont="1" applyFill="1" applyBorder="1" applyAlignment="1">
      <alignment horizontal="left" vertical="center" wrapText="1"/>
    </xf>
    <xf numFmtId="0" fontId="49" fillId="23" borderId="60" xfId="0" applyFont="1" applyFill="1" applyBorder="1" applyAlignment="1">
      <alignment horizontal="center" vertical="center"/>
    </xf>
    <xf numFmtId="0" fontId="49" fillId="23" borderId="45" xfId="7" applyFont="1" applyFill="1" applyBorder="1" applyAlignment="1">
      <alignment vertical="center" wrapText="1"/>
    </xf>
    <xf numFmtId="0" fontId="49" fillId="23" borderId="47" xfId="7" applyFont="1" applyFill="1" applyBorder="1" applyAlignment="1">
      <alignment vertical="center" wrapText="1"/>
    </xf>
    <xf numFmtId="0" fontId="49" fillId="23" borderId="45" xfId="0" applyFont="1" applyFill="1" applyBorder="1" applyAlignment="1">
      <alignment horizontal="left" vertical="center" wrapText="1"/>
    </xf>
    <xf numFmtId="0" fontId="49" fillId="23" borderId="47" xfId="0" applyFont="1" applyFill="1" applyBorder="1" applyAlignment="1">
      <alignment horizontal="left" vertical="center" wrapText="1"/>
    </xf>
    <xf numFmtId="0" fontId="46" fillId="23" borderId="41" xfId="0" applyFont="1" applyFill="1" applyBorder="1" applyAlignment="1">
      <alignment horizontal="center" vertical="center"/>
    </xf>
    <xf numFmtId="0" fontId="49" fillId="23" borderId="47" xfId="0" applyFont="1" applyFill="1" applyBorder="1" applyAlignment="1">
      <alignment horizontal="center" vertical="center" wrapText="1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G25" activePane="bottomRight" state="frozen"/>
      <selection pane="topRight" activeCell="G1" sqref="G1"/>
      <selection pane="bottomLeft" activeCell="A8" sqref="A8"/>
      <selection pane="bottomRight" activeCell="K11" sqref="K11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9.08984375" customWidth="1"/>
    <col min="14" max="14" width="6.453125" hidden="1" customWidth="1"/>
    <col min="15" max="15" width="5.1796875" hidden="1" customWidth="1"/>
  </cols>
  <sheetData>
    <row r="1" spans="1:15" s="10" customFormat="1" ht="37" customHeight="1" x14ac:dyDescent="0.35">
      <c r="A1" s="351" t="s">
        <v>52</v>
      </c>
      <c r="B1" s="352"/>
      <c r="C1" s="352"/>
      <c r="D1" s="352"/>
      <c r="E1" s="352"/>
      <c r="F1" s="352"/>
      <c r="G1" s="353"/>
      <c r="H1" s="353"/>
      <c r="I1" s="353"/>
      <c r="J1" s="353"/>
      <c r="K1" s="353"/>
      <c r="L1" s="354"/>
    </row>
    <row r="2" spans="1:15" s="13" customFormat="1" ht="12" x14ac:dyDescent="0.35">
      <c r="A2" s="117" t="s">
        <v>48</v>
      </c>
      <c r="B2" s="343" t="s">
        <v>49</v>
      </c>
      <c r="C2" s="344"/>
      <c r="D2" s="344"/>
      <c r="E2" s="344"/>
      <c r="F2" s="344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45">
        <v>390</v>
      </c>
      <c r="C3" s="346"/>
      <c r="D3" s="346"/>
      <c r="E3" s="346"/>
      <c r="F3" s="347"/>
      <c r="G3" s="114"/>
      <c r="H3" s="114"/>
      <c r="I3" s="114"/>
      <c r="J3" s="114"/>
      <c r="K3" s="114"/>
      <c r="L3" s="115"/>
      <c r="N3" s="141">
        <v>45901</v>
      </c>
      <c r="O3" s="141">
        <v>45901</v>
      </c>
    </row>
    <row r="4" spans="1:15" s="13" customFormat="1" ht="12" x14ac:dyDescent="0.35">
      <c r="A4" s="116" t="s">
        <v>51</v>
      </c>
      <c r="B4" s="348">
        <v>45694</v>
      </c>
      <c r="C4" s="349"/>
      <c r="D4" s="349"/>
      <c r="E4" s="349"/>
      <c r="F4" s="350"/>
      <c r="G4" s="114"/>
      <c r="H4" s="114"/>
      <c r="I4" s="114"/>
      <c r="J4" s="114"/>
      <c r="K4" s="114"/>
      <c r="L4" s="115"/>
      <c r="N4" s="141">
        <f>N3+5</f>
        <v>45906</v>
      </c>
      <c r="O4" s="141">
        <v>45930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45903</v>
      </c>
      <c r="C6" s="12"/>
      <c r="D6" s="12"/>
      <c r="E6" s="12"/>
      <c r="F6" s="120"/>
      <c r="G6" s="114"/>
      <c r="H6" s="114"/>
      <c r="I6" s="114"/>
      <c r="J6" s="114"/>
      <c r="K6" s="163">
        <f>N3</f>
        <v>45901</v>
      </c>
      <c r="L6" s="162">
        <v>45901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45906</v>
      </c>
      <c r="L7" s="215">
        <f>L6+29</f>
        <v>45930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946.23</v>
      </c>
      <c r="E11" s="6">
        <f>B11-D11</f>
        <v>86.769999999999982</v>
      </c>
      <c r="F11" s="165">
        <v>0.01</v>
      </c>
      <c r="G11" s="113">
        <f>F11*H11</f>
        <v>9.1600193610842217E-3</v>
      </c>
      <c r="H11" s="18">
        <f>D11/B11</f>
        <v>0.91600193610842207</v>
      </c>
      <c r="I11" s="7">
        <v>1</v>
      </c>
      <c r="J11" s="7">
        <v>3</v>
      </c>
      <c r="K11" s="7">
        <v>3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5</v>
      </c>
      <c r="K12" s="7">
        <v>3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14362</v>
      </c>
      <c r="E21" s="6">
        <f t="shared" si="0"/>
        <v>102138</v>
      </c>
      <c r="F21" s="165">
        <v>0.21</v>
      </c>
      <c r="G21" s="113">
        <f t="shared" si="1"/>
        <v>2.5888583690987121E-2</v>
      </c>
      <c r="H21" s="18">
        <f t="shared" si="2"/>
        <v>0.12327896995708154</v>
      </c>
      <c r="I21" s="7">
        <v>500</v>
      </c>
      <c r="J21" s="7">
        <v>1100</v>
      </c>
      <c r="K21" s="7">
        <v>839</v>
      </c>
      <c r="L21" s="7">
        <v>839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9"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6295</v>
      </c>
      <c r="E26" s="9"/>
      <c r="F26" s="165">
        <v>0.02</v>
      </c>
      <c r="G26" s="113">
        <f t="shared" si="1"/>
        <v>5.995238095238096E-3</v>
      </c>
      <c r="H26" s="18">
        <f t="shared" si="2"/>
        <v>0.29976190476190478</v>
      </c>
      <c r="I26" s="8">
        <v>100</v>
      </c>
      <c r="J26" s="8">
        <v>500</v>
      </c>
      <c r="K26" s="7">
        <v>238</v>
      </c>
      <c r="L26" s="7">
        <v>238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8.7132224496777017E-2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8.7132224496777017E-2</v>
      </c>
    </row>
    <row r="73" spans="2:3" x14ac:dyDescent="0.35">
      <c r="B73" s="20" t="s">
        <v>8</v>
      </c>
      <c r="C73" s="21">
        <f>C71-C72</f>
        <v>0.91286777550322318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D108-7F9C-4978-A1ED-FDDF34727DD7}">
  <dimension ref="A1:AC303"/>
  <sheetViews>
    <sheetView topLeftCell="D1" workbookViewId="0">
      <selection activeCell="J1" sqref="J1:K1048576"/>
    </sheetView>
  </sheetViews>
  <sheetFormatPr defaultColWidth="9" defaultRowHeight="10.5" x14ac:dyDescent="0.25"/>
  <cols>
    <col min="1" max="1" width="5.7265625" style="335" customWidth="1"/>
    <col min="2" max="2" width="11.54296875" style="336" customWidth="1"/>
    <col min="3" max="3" width="15.26953125" style="336" customWidth="1"/>
    <col min="4" max="4" width="30.26953125" style="340" customWidth="1"/>
    <col min="5" max="5" width="22.7265625" style="335" bestFit="1" customWidth="1"/>
    <col min="6" max="6" width="14.90625" style="330" customWidth="1"/>
    <col min="7" max="8" width="16.7265625" style="335" bestFit="1" customWidth="1"/>
    <col min="9" max="9" width="18.08984375" style="335" bestFit="1" customWidth="1"/>
    <col min="10" max="10" width="11.1796875" style="335" hidden="1" customWidth="1"/>
    <col min="11" max="11" width="8.81640625" style="330" hidden="1" customWidth="1"/>
    <col min="12" max="12" width="8.36328125" style="335" bestFit="1" customWidth="1"/>
    <col min="13" max="13" width="12.54296875" style="341" customWidth="1"/>
    <col min="14" max="14" width="16.7265625" style="341" bestFit="1" customWidth="1"/>
    <col min="15" max="15" width="14.08984375" style="335" customWidth="1"/>
    <col min="16" max="16" width="12" style="335" customWidth="1"/>
    <col min="17" max="17" width="14.08984375" style="335" customWidth="1"/>
    <col min="18" max="18" width="10.54296875" style="335" hidden="1" customWidth="1"/>
    <col min="19" max="19" width="11.453125" style="335" customWidth="1"/>
    <col min="20" max="20" width="12.1796875" style="335" customWidth="1"/>
    <col min="21" max="21" width="22.36328125" style="335" bestFit="1" customWidth="1"/>
    <col min="22" max="22" width="15.08984375" style="335" hidden="1" customWidth="1"/>
    <col min="23" max="24" width="0" style="330" hidden="1" customWidth="1"/>
    <col min="25" max="25" width="22.26953125" style="330" hidden="1" customWidth="1"/>
    <col min="26" max="28" width="9" style="330"/>
    <col min="29" max="29" width="23.81640625" style="330" bestFit="1" customWidth="1"/>
    <col min="30" max="16384" width="9" style="330"/>
  </cols>
  <sheetData>
    <row r="1" spans="1:25" x14ac:dyDescent="0.25">
      <c r="A1" s="355" t="s">
        <v>839</v>
      </c>
      <c r="B1" s="356"/>
      <c r="C1" s="356"/>
      <c r="D1" s="356"/>
      <c r="E1" s="356"/>
      <c r="F1" s="356"/>
      <c r="G1" s="356"/>
      <c r="H1" s="294"/>
      <c r="I1" s="295">
        <f ca="1">TODAY()</f>
        <v>45903</v>
      </c>
      <c r="J1" s="296"/>
      <c r="K1" s="297"/>
      <c r="L1" s="298"/>
      <c r="M1" s="299" t="s">
        <v>857</v>
      </c>
      <c r="N1" s="300" t="s">
        <v>858</v>
      </c>
      <c r="O1" s="301" t="s">
        <v>859</v>
      </c>
      <c r="P1" s="302" t="s">
        <v>397</v>
      </c>
      <c r="Q1" s="298"/>
      <c r="R1" s="298"/>
      <c r="S1" s="298"/>
      <c r="T1" s="298"/>
      <c r="U1" s="298"/>
      <c r="V1" s="303">
        <f ca="1">TODAY()</f>
        <v>45903</v>
      </c>
    </row>
    <row r="2" spans="1:25" ht="31.5" x14ac:dyDescent="0.25">
      <c r="A2" s="304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843</v>
      </c>
      <c r="H2" s="261" t="s">
        <v>844</v>
      </c>
      <c r="I2" s="260" t="s">
        <v>845</v>
      </c>
      <c r="J2" s="262" t="s">
        <v>846</v>
      </c>
      <c r="K2" s="262" t="s">
        <v>847</v>
      </c>
      <c r="L2" s="290" t="s">
        <v>448</v>
      </c>
      <c r="M2" s="290" t="s">
        <v>449</v>
      </c>
      <c r="N2" s="290" t="s">
        <v>450</v>
      </c>
      <c r="O2" s="290" t="s">
        <v>848</v>
      </c>
      <c r="P2" s="290" t="s">
        <v>849</v>
      </c>
      <c r="Q2" s="290" t="s">
        <v>850</v>
      </c>
      <c r="R2" s="290" t="s">
        <v>451</v>
      </c>
      <c r="S2" s="290" t="s">
        <v>452</v>
      </c>
      <c r="T2" s="290" t="s">
        <v>851</v>
      </c>
      <c r="U2" s="290" t="s">
        <v>319</v>
      </c>
      <c r="V2" s="305"/>
    </row>
    <row r="3" spans="1:25" x14ac:dyDescent="0.25">
      <c r="A3" s="357">
        <v>1</v>
      </c>
      <c r="B3" s="359" t="s">
        <v>453</v>
      </c>
      <c r="C3" s="361" t="s">
        <v>454</v>
      </c>
      <c r="D3" s="363" t="s">
        <v>455</v>
      </c>
      <c r="E3" s="359" t="s">
        <v>456</v>
      </c>
      <c r="F3" s="359" t="s">
        <v>457</v>
      </c>
      <c r="G3" s="365">
        <v>45698</v>
      </c>
      <c r="H3" s="365">
        <f>G3+15</f>
        <v>45713</v>
      </c>
      <c r="I3" s="365">
        <v>45698</v>
      </c>
      <c r="J3" s="359">
        <f>I3-G3</f>
        <v>0</v>
      </c>
      <c r="K3" s="359"/>
      <c r="L3" s="263" t="s">
        <v>458</v>
      </c>
      <c r="M3" s="266">
        <v>45698</v>
      </c>
      <c r="N3" s="266"/>
      <c r="O3" s="267"/>
      <c r="P3" s="263"/>
      <c r="Q3" s="263"/>
      <c r="R3" s="359"/>
      <c r="S3" s="359" t="s">
        <v>397</v>
      </c>
      <c r="T3" s="359" t="s">
        <v>459</v>
      </c>
      <c r="U3" s="359" t="s">
        <v>461</v>
      </c>
      <c r="V3" s="367"/>
    </row>
    <row r="4" spans="1:25" x14ac:dyDescent="0.25">
      <c r="A4" s="358"/>
      <c r="B4" s="360"/>
      <c r="C4" s="362"/>
      <c r="D4" s="364"/>
      <c r="E4" s="360"/>
      <c r="F4" s="360"/>
      <c r="G4" s="366"/>
      <c r="H4" s="366"/>
      <c r="I4" s="366"/>
      <c r="J4" s="360"/>
      <c r="K4" s="360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60"/>
      <c r="S4" s="360"/>
      <c r="T4" s="360"/>
      <c r="U4" s="360"/>
      <c r="V4" s="368"/>
      <c r="Y4" s="331" t="s">
        <v>461</v>
      </c>
    </row>
    <row r="5" spans="1:25" x14ac:dyDescent="0.25">
      <c r="A5" s="358"/>
      <c r="B5" s="360"/>
      <c r="C5" s="362"/>
      <c r="D5" s="364"/>
      <c r="E5" s="360"/>
      <c r="F5" s="360"/>
      <c r="G5" s="366"/>
      <c r="H5" s="366"/>
      <c r="I5" s="366"/>
      <c r="J5" s="360"/>
      <c r="K5" s="360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60"/>
      <c r="S5" s="360"/>
      <c r="T5" s="360"/>
      <c r="U5" s="360"/>
      <c r="V5" s="368"/>
      <c r="Y5" s="332" t="s">
        <v>397</v>
      </c>
    </row>
    <row r="6" spans="1:25" x14ac:dyDescent="0.25">
      <c r="A6" s="358"/>
      <c r="B6" s="360"/>
      <c r="C6" s="362"/>
      <c r="D6" s="364"/>
      <c r="E6" s="360"/>
      <c r="F6" s="360"/>
      <c r="G6" s="366"/>
      <c r="H6" s="366"/>
      <c r="I6" s="366"/>
      <c r="J6" s="360"/>
      <c r="K6" s="360"/>
      <c r="L6" s="263" t="s">
        <v>463</v>
      </c>
      <c r="M6" s="266">
        <v>45707</v>
      </c>
      <c r="N6" s="266"/>
      <c r="O6" s="267"/>
      <c r="P6" s="263">
        <f ca="1">I1-M6</f>
        <v>196</v>
      </c>
      <c r="Q6" s="263"/>
      <c r="R6" s="360"/>
      <c r="S6" s="360"/>
      <c r="T6" s="360"/>
      <c r="U6" s="360"/>
      <c r="V6" s="368"/>
      <c r="Y6" s="332" t="s">
        <v>464</v>
      </c>
    </row>
    <row r="7" spans="1:25" s="333" customFormat="1" x14ac:dyDescent="0.25">
      <c r="A7" s="369">
        <v>2</v>
      </c>
      <c r="B7" s="371" t="s">
        <v>453</v>
      </c>
      <c r="C7" s="373" t="s">
        <v>454</v>
      </c>
      <c r="D7" s="375" t="s">
        <v>465</v>
      </c>
      <c r="E7" s="371" t="s">
        <v>466</v>
      </c>
      <c r="F7" s="371" t="s">
        <v>467</v>
      </c>
      <c r="G7" s="377">
        <v>45740</v>
      </c>
      <c r="H7" s="377">
        <f>G7+15</f>
        <v>45755</v>
      </c>
      <c r="I7" s="377">
        <v>45740</v>
      </c>
      <c r="J7" s="371">
        <f>I7-G7</f>
        <v>0</v>
      </c>
      <c r="K7" s="371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386">
        <f>N8</f>
        <v>45755</v>
      </c>
      <c r="S7" s="371" t="str">
        <f>U7</f>
        <v>Approved</v>
      </c>
      <c r="T7" s="371" t="str">
        <f>O8</f>
        <v>CAT -IV</v>
      </c>
      <c r="U7" s="371" t="s">
        <v>397</v>
      </c>
      <c r="V7" s="379"/>
      <c r="Y7" s="334" t="s">
        <v>871</v>
      </c>
    </row>
    <row r="8" spans="1:25" x14ac:dyDescent="0.25">
      <c r="A8" s="370"/>
      <c r="B8" s="372"/>
      <c r="C8" s="374"/>
      <c r="D8" s="376"/>
      <c r="E8" s="372"/>
      <c r="F8" s="372"/>
      <c r="G8" s="378"/>
      <c r="H8" s="378"/>
      <c r="I8" s="378"/>
      <c r="J8" s="372"/>
      <c r="K8" s="372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387"/>
      <c r="S8" s="372"/>
      <c r="T8" s="372"/>
      <c r="U8" s="372"/>
      <c r="V8" s="380"/>
    </row>
    <row r="9" spans="1:25" s="333" customFormat="1" ht="21" x14ac:dyDescent="0.25">
      <c r="A9" s="310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311"/>
    </row>
    <row r="10" spans="1:25" s="335" customFormat="1" x14ac:dyDescent="0.35">
      <c r="A10" s="381">
        <v>4</v>
      </c>
      <c r="B10" s="382" t="s">
        <v>453</v>
      </c>
      <c r="C10" s="383" t="s">
        <v>454</v>
      </c>
      <c r="D10" s="384" t="s">
        <v>473</v>
      </c>
      <c r="E10" s="382" t="s">
        <v>474</v>
      </c>
      <c r="F10" s="382" t="s">
        <v>467</v>
      </c>
      <c r="G10" s="385">
        <v>45768</v>
      </c>
      <c r="H10" s="385">
        <f>G10+21</f>
        <v>45789</v>
      </c>
      <c r="I10" s="385">
        <v>45768</v>
      </c>
      <c r="J10" s="382">
        <f>I10-G10</f>
        <v>0</v>
      </c>
      <c r="K10" s="382">
        <f ca="1">I1-H10</f>
        <v>114</v>
      </c>
      <c r="L10" s="322" t="s">
        <v>458</v>
      </c>
      <c r="M10" s="325">
        <v>45768</v>
      </c>
      <c r="N10" s="325">
        <v>45776</v>
      </c>
      <c r="O10" s="326" t="s">
        <v>468</v>
      </c>
      <c r="P10" s="322">
        <f>N10-M10</f>
        <v>8</v>
      </c>
      <c r="Q10" s="322">
        <f>M11-N10</f>
        <v>51</v>
      </c>
      <c r="R10" s="389"/>
      <c r="S10" s="382" t="s">
        <v>482</v>
      </c>
      <c r="T10" s="382" t="str">
        <f>O10</f>
        <v>CAT -IV R</v>
      </c>
      <c r="U10" s="382" t="s">
        <v>464</v>
      </c>
      <c r="V10" s="388"/>
    </row>
    <row r="11" spans="1:25" x14ac:dyDescent="0.25">
      <c r="A11" s="370"/>
      <c r="B11" s="372"/>
      <c r="C11" s="374"/>
      <c r="D11" s="376"/>
      <c r="E11" s="372"/>
      <c r="F11" s="372"/>
      <c r="G11" s="378"/>
      <c r="H11" s="378"/>
      <c r="I11" s="378"/>
      <c r="J11" s="372"/>
      <c r="K11" s="372"/>
      <c r="L11" s="322" t="s">
        <v>460</v>
      </c>
      <c r="M11" s="325">
        <v>45827</v>
      </c>
      <c r="N11" s="325">
        <v>45866</v>
      </c>
      <c r="O11" s="326" t="s">
        <v>468</v>
      </c>
      <c r="P11" s="322">
        <f>N11-M11</f>
        <v>39</v>
      </c>
      <c r="Q11" s="322">
        <f ca="1">I1-N11</f>
        <v>37</v>
      </c>
      <c r="R11" s="387"/>
      <c r="S11" s="372"/>
      <c r="T11" s="372"/>
      <c r="U11" s="372"/>
      <c r="V11" s="380"/>
    </row>
    <row r="12" spans="1:25" ht="21" x14ac:dyDescent="0.25">
      <c r="A12" s="308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74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312"/>
    </row>
    <row r="13" spans="1:25" s="333" customFormat="1" x14ac:dyDescent="0.25">
      <c r="A13" s="369">
        <v>6</v>
      </c>
      <c r="B13" s="371" t="s">
        <v>453</v>
      </c>
      <c r="C13" s="373" t="s">
        <v>454</v>
      </c>
      <c r="D13" s="375" t="s">
        <v>477</v>
      </c>
      <c r="E13" s="371" t="s">
        <v>478</v>
      </c>
      <c r="F13" s="371" t="s">
        <v>467</v>
      </c>
      <c r="G13" s="377">
        <v>45814</v>
      </c>
      <c r="H13" s="377">
        <f>G13+14</f>
        <v>45828</v>
      </c>
      <c r="I13" s="377">
        <v>45815</v>
      </c>
      <c r="J13" s="371">
        <f>I13-G13</f>
        <v>1</v>
      </c>
      <c r="K13" s="371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77">
        <f>N14</f>
        <v>45846</v>
      </c>
      <c r="S13" s="371" t="s">
        <v>397</v>
      </c>
      <c r="T13" s="371" t="s">
        <v>469</v>
      </c>
      <c r="U13" s="371" t="s">
        <v>397</v>
      </c>
      <c r="V13" s="379"/>
    </row>
    <row r="14" spans="1:25" x14ac:dyDescent="0.25">
      <c r="A14" s="370"/>
      <c r="B14" s="372"/>
      <c r="C14" s="374"/>
      <c r="D14" s="376"/>
      <c r="E14" s="372"/>
      <c r="F14" s="372"/>
      <c r="G14" s="378"/>
      <c r="H14" s="378"/>
      <c r="I14" s="378"/>
      <c r="J14" s="372"/>
      <c r="K14" s="372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71"/>
      <c r="S14" s="372"/>
      <c r="T14" s="372"/>
      <c r="U14" s="372"/>
      <c r="V14" s="380"/>
    </row>
    <row r="15" spans="1:25" s="333" customFormat="1" x14ac:dyDescent="0.25">
      <c r="A15" s="369">
        <v>7</v>
      </c>
      <c r="B15" s="371" t="s">
        <v>453</v>
      </c>
      <c r="C15" s="373" t="s">
        <v>454</v>
      </c>
      <c r="D15" s="375" t="s">
        <v>479</v>
      </c>
      <c r="E15" s="371" t="s">
        <v>480</v>
      </c>
      <c r="F15" s="371" t="s">
        <v>457</v>
      </c>
      <c r="G15" s="377">
        <v>45742</v>
      </c>
      <c r="H15" s="377">
        <f>G15+15</f>
        <v>45757</v>
      </c>
      <c r="I15" s="377">
        <v>45742</v>
      </c>
      <c r="J15" s="371">
        <f>I15-G15</f>
        <v>0</v>
      </c>
      <c r="K15" s="371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77">
        <f>N16</f>
        <v>45833</v>
      </c>
      <c r="S15" s="371" t="s">
        <v>397</v>
      </c>
      <c r="T15" s="371" t="str">
        <f>O16</f>
        <v>CAT - I</v>
      </c>
      <c r="U15" s="371" t="s">
        <v>397</v>
      </c>
      <c r="V15" s="379"/>
    </row>
    <row r="16" spans="1:25" s="333" customFormat="1" x14ac:dyDescent="0.25">
      <c r="A16" s="358"/>
      <c r="B16" s="360"/>
      <c r="C16" s="362"/>
      <c r="D16" s="364"/>
      <c r="E16" s="360"/>
      <c r="F16" s="360"/>
      <c r="G16" s="366"/>
      <c r="H16" s="366"/>
      <c r="I16" s="366"/>
      <c r="J16" s="360"/>
      <c r="K16" s="360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71"/>
      <c r="S16" s="360"/>
      <c r="T16" s="360"/>
      <c r="U16" s="360"/>
      <c r="V16" s="368"/>
    </row>
    <row r="17" spans="1:22" x14ac:dyDescent="0.25">
      <c r="A17" s="321">
        <v>8</v>
      </c>
      <c r="B17" s="322" t="s">
        <v>453</v>
      </c>
      <c r="C17" s="323" t="s">
        <v>454</v>
      </c>
      <c r="D17" s="324" t="s">
        <v>483</v>
      </c>
      <c r="E17" s="322" t="s">
        <v>484</v>
      </c>
      <c r="F17" s="322" t="s">
        <v>467</v>
      </c>
      <c r="G17" s="325">
        <v>45771</v>
      </c>
      <c r="H17" s="325">
        <f>G17+21</f>
        <v>45792</v>
      </c>
      <c r="I17" s="325">
        <f>M17</f>
        <v>45772</v>
      </c>
      <c r="J17" s="322">
        <f>I17-G17</f>
        <v>1</v>
      </c>
      <c r="K17" s="322">
        <f ca="1">I1-H17</f>
        <v>111</v>
      </c>
      <c r="L17" s="322" t="s">
        <v>458</v>
      </c>
      <c r="M17" s="325">
        <v>45772</v>
      </c>
      <c r="N17" s="325">
        <v>45833</v>
      </c>
      <c r="O17" s="326" t="s">
        <v>468</v>
      </c>
      <c r="P17" s="322">
        <f>N17-M17</f>
        <v>61</v>
      </c>
      <c r="Q17" s="322">
        <f ca="1">I1-N17</f>
        <v>70</v>
      </c>
      <c r="R17" s="291"/>
      <c r="S17" s="322" t="s">
        <v>489</v>
      </c>
      <c r="T17" s="322" t="str">
        <f>O17</f>
        <v>CAT -IV R</v>
      </c>
      <c r="U17" s="322" t="s">
        <v>464</v>
      </c>
      <c r="V17" s="327"/>
    </row>
    <row r="18" spans="1:22" s="333" customFormat="1" x14ac:dyDescent="0.25">
      <c r="A18" s="308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309"/>
    </row>
    <row r="19" spans="1:22" s="333" customFormat="1" x14ac:dyDescent="0.25">
      <c r="A19" s="369">
        <v>10</v>
      </c>
      <c r="B19" s="371" t="s">
        <v>453</v>
      </c>
      <c r="C19" s="373" t="s">
        <v>454</v>
      </c>
      <c r="D19" s="375" t="s">
        <v>487</v>
      </c>
      <c r="E19" s="371" t="s">
        <v>488</v>
      </c>
      <c r="F19" s="371" t="s">
        <v>467</v>
      </c>
      <c r="G19" s="377">
        <v>45772</v>
      </c>
      <c r="H19" s="377">
        <f>G19+7</f>
        <v>45779</v>
      </c>
      <c r="I19" s="377">
        <v>45772</v>
      </c>
      <c r="J19" s="371">
        <f>I19-G19</f>
        <v>0</v>
      </c>
      <c r="K19" s="371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77">
        <f>N22</f>
        <v>45867</v>
      </c>
      <c r="S19" s="371" t="s">
        <v>482</v>
      </c>
      <c r="T19" s="371" t="str">
        <f>O22</f>
        <v>CAT -IV</v>
      </c>
      <c r="U19" s="371" t="s">
        <v>397</v>
      </c>
      <c r="V19" s="379"/>
    </row>
    <row r="20" spans="1:22" x14ac:dyDescent="0.25">
      <c r="A20" s="370"/>
      <c r="B20" s="372"/>
      <c r="C20" s="374"/>
      <c r="D20" s="376"/>
      <c r="E20" s="372"/>
      <c r="F20" s="372"/>
      <c r="G20" s="378"/>
      <c r="H20" s="378"/>
      <c r="I20" s="378"/>
      <c r="J20" s="372"/>
      <c r="K20" s="372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55</v>
      </c>
      <c r="Q20" s="271"/>
      <c r="R20" s="371"/>
      <c r="S20" s="372"/>
      <c r="T20" s="372"/>
      <c r="U20" s="372"/>
      <c r="V20" s="380"/>
    </row>
    <row r="21" spans="1:22" x14ac:dyDescent="0.25">
      <c r="A21" s="370"/>
      <c r="B21" s="372"/>
      <c r="C21" s="374"/>
      <c r="D21" s="376"/>
      <c r="E21" s="372"/>
      <c r="F21" s="372"/>
      <c r="G21" s="378"/>
      <c r="H21" s="378"/>
      <c r="I21" s="378"/>
      <c r="J21" s="372"/>
      <c r="K21" s="372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71"/>
      <c r="S21" s="372"/>
      <c r="T21" s="372"/>
      <c r="U21" s="372"/>
      <c r="V21" s="380"/>
    </row>
    <row r="22" spans="1:22" x14ac:dyDescent="0.25">
      <c r="A22" s="370"/>
      <c r="B22" s="372"/>
      <c r="C22" s="374"/>
      <c r="D22" s="376"/>
      <c r="E22" s="372"/>
      <c r="F22" s="372"/>
      <c r="G22" s="378"/>
      <c r="H22" s="378"/>
      <c r="I22" s="378"/>
      <c r="J22" s="372"/>
      <c r="K22" s="372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71"/>
      <c r="S22" s="372"/>
      <c r="T22" s="372"/>
      <c r="U22" s="372"/>
      <c r="V22" s="380"/>
    </row>
    <row r="23" spans="1:22" s="333" customFormat="1" x14ac:dyDescent="0.25">
      <c r="A23" s="369">
        <v>11</v>
      </c>
      <c r="B23" s="371" t="s">
        <v>453</v>
      </c>
      <c r="C23" s="373" t="s">
        <v>454</v>
      </c>
      <c r="D23" s="375" t="s">
        <v>490</v>
      </c>
      <c r="E23" s="371" t="s">
        <v>491</v>
      </c>
      <c r="F23" s="371" t="s">
        <v>457</v>
      </c>
      <c r="G23" s="377">
        <v>45769</v>
      </c>
      <c r="H23" s="377">
        <f>G23+21</f>
        <v>45790</v>
      </c>
      <c r="I23" s="377">
        <v>45769</v>
      </c>
      <c r="J23" s="371">
        <f>I23-G23</f>
        <v>0</v>
      </c>
      <c r="K23" s="371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386">
        <f>N25</f>
        <v>45793</v>
      </c>
      <c r="S23" s="371" t="s">
        <v>482</v>
      </c>
      <c r="T23" s="371" t="str">
        <f>O25</f>
        <v>CAT - I</v>
      </c>
      <c r="U23" s="371" t="s">
        <v>397</v>
      </c>
      <c r="V23" s="379"/>
    </row>
    <row r="24" spans="1:22" x14ac:dyDescent="0.25">
      <c r="A24" s="370"/>
      <c r="B24" s="372"/>
      <c r="C24" s="374"/>
      <c r="D24" s="376"/>
      <c r="E24" s="372"/>
      <c r="F24" s="372"/>
      <c r="G24" s="378"/>
      <c r="H24" s="378"/>
      <c r="I24" s="378"/>
      <c r="J24" s="372"/>
      <c r="K24" s="372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387"/>
      <c r="S24" s="372"/>
      <c r="T24" s="372"/>
      <c r="U24" s="372"/>
      <c r="V24" s="380"/>
    </row>
    <row r="25" spans="1:22" x14ac:dyDescent="0.25">
      <c r="A25" s="370"/>
      <c r="B25" s="372"/>
      <c r="C25" s="374"/>
      <c r="D25" s="376"/>
      <c r="E25" s="372"/>
      <c r="F25" s="372"/>
      <c r="G25" s="378"/>
      <c r="H25" s="378"/>
      <c r="I25" s="378"/>
      <c r="J25" s="372"/>
      <c r="K25" s="372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387"/>
      <c r="S25" s="372"/>
      <c r="T25" s="372"/>
      <c r="U25" s="372"/>
      <c r="V25" s="380"/>
    </row>
    <row r="26" spans="1:22" s="333" customFormat="1" x14ac:dyDescent="0.25">
      <c r="A26" s="310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311"/>
    </row>
    <row r="27" spans="1:22" x14ac:dyDescent="0.25">
      <c r="A27" s="308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147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312"/>
    </row>
    <row r="28" spans="1:22" x14ac:dyDescent="0.25">
      <c r="A28" s="308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148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12"/>
    </row>
    <row r="29" spans="1:22" s="333" customFormat="1" x14ac:dyDescent="0.25">
      <c r="A29" s="369">
        <v>1</v>
      </c>
      <c r="B29" s="371" t="s">
        <v>6</v>
      </c>
      <c r="C29" s="373" t="s">
        <v>498</v>
      </c>
      <c r="D29" s="375" t="s">
        <v>499</v>
      </c>
      <c r="E29" s="371" t="s">
        <v>500</v>
      </c>
      <c r="F29" s="371" t="s">
        <v>457</v>
      </c>
      <c r="G29" s="377">
        <v>45727</v>
      </c>
      <c r="H29" s="377">
        <f>G29+21</f>
        <v>45748</v>
      </c>
      <c r="I29" s="377">
        <v>45727</v>
      </c>
      <c r="J29" s="371">
        <f>I29-G29</f>
        <v>0</v>
      </c>
      <c r="K29" s="371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77">
        <f>N31</f>
        <v>45810</v>
      </c>
      <c r="S29" s="371" t="s">
        <v>397</v>
      </c>
      <c r="T29" s="371" t="str">
        <f>O31</f>
        <v>CAT - I</v>
      </c>
      <c r="U29" s="371" t="s">
        <v>397</v>
      </c>
      <c r="V29" s="379"/>
    </row>
    <row r="30" spans="1:22" x14ac:dyDescent="0.25">
      <c r="A30" s="370"/>
      <c r="B30" s="372"/>
      <c r="C30" s="374"/>
      <c r="D30" s="376"/>
      <c r="E30" s="372"/>
      <c r="F30" s="372"/>
      <c r="G30" s="378"/>
      <c r="H30" s="378"/>
      <c r="I30" s="378"/>
      <c r="J30" s="372"/>
      <c r="K30" s="372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372"/>
      <c r="S30" s="372"/>
      <c r="T30" s="372"/>
      <c r="U30" s="372"/>
      <c r="V30" s="380"/>
    </row>
    <row r="31" spans="1:22" x14ac:dyDescent="0.25">
      <c r="A31" s="370"/>
      <c r="B31" s="372"/>
      <c r="C31" s="374"/>
      <c r="D31" s="376"/>
      <c r="E31" s="372"/>
      <c r="F31" s="372"/>
      <c r="G31" s="378"/>
      <c r="H31" s="378"/>
      <c r="I31" s="378"/>
      <c r="J31" s="372"/>
      <c r="K31" s="372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372"/>
      <c r="S31" s="372"/>
      <c r="T31" s="372"/>
      <c r="U31" s="372"/>
      <c r="V31" s="380"/>
    </row>
    <row r="32" spans="1:22" s="333" customFormat="1" x14ac:dyDescent="0.25">
      <c r="A32" s="369">
        <v>2</v>
      </c>
      <c r="B32" s="371" t="s">
        <v>6</v>
      </c>
      <c r="C32" s="373" t="s">
        <v>498</v>
      </c>
      <c r="D32" s="375" t="s">
        <v>813</v>
      </c>
      <c r="E32" s="371" t="s">
        <v>501</v>
      </c>
      <c r="F32" s="371" t="s">
        <v>457</v>
      </c>
      <c r="G32" s="377">
        <v>45805</v>
      </c>
      <c r="H32" s="377">
        <f>G32+21</f>
        <v>45826</v>
      </c>
      <c r="I32" s="377">
        <v>45811</v>
      </c>
      <c r="J32" s="371">
        <f>I32-G32</f>
        <v>6</v>
      </c>
      <c r="K32" s="371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77">
        <f>N33</f>
        <v>45846</v>
      </c>
      <c r="S32" s="371" t="s">
        <v>397</v>
      </c>
      <c r="T32" s="371" t="str">
        <f>O33</f>
        <v>CAT - I</v>
      </c>
      <c r="U32" s="371" t="s">
        <v>397</v>
      </c>
      <c r="V32" s="379"/>
    </row>
    <row r="33" spans="1:22" x14ac:dyDescent="0.25">
      <c r="A33" s="370"/>
      <c r="B33" s="372"/>
      <c r="C33" s="374"/>
      <c r="D33" s="376"/>
      <c r="E33" s="372"/>
      <c r="F33" s="372"/>
      <c r="G33" s="378"/>
      <c r="H33" s="378"/>
      <c r="I33" s="378"/>
      <c r="J33" s="372"/>
      <c r="K33" s="372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70</v>
      </c>
      <c r="Q33" s="271"/>
      <c r="R33" s="372"/>
      <c r="S33" s="372"/>
      <c r="T33" s="372"/>
      <c r="U33" s="372"/>
      <c r="V33" s="380"/>
    </row>
    <row r="34" spans="1:22" s="333" customFormat="1" x14ac:dyDescent="0.25">
      <c r="A34" s="369">
        <v>3</v>
      </c>
      <c r="B34" s="371" t="s">
        <v>6</v>
      </c>
      <c r="C34" s="373" t="s">
        <v>498</v>
      </c>
      <c r="D34" s="375" t="s">
        <v>502</v>
      </c>
      <c r="E34" s="371" t="s">
        <v>503</v>
      </c>
      <c r="F34" s="371" t="s">
        <v>457</v>
      </c>
      <c r="G34" s="377">
        <v>45795</v>
      </c>
      <c r="H34" s="377">
        <f>G34+21</f>
        <v>45816</v>
      </c>
      <c r="I34" s="377">
        <v>45813</v>
      </c>
      <c r="J34" s="371">
        <f>I34-G34</f>
        <v>18</v>
      </c>
      <c r="K34" s="371">
        <f>R34-H34</f>
        <v>52</v>
      </c>
      <c r="L34" s="271" t="s">
        <v>458</v>
      </c>
      <c r="M34" s="274">
        <v>45813</v>
      </c>
      <c r="N34" s="274">
        <v>45828</v>
      </c>
      <c r="O34" s="391" t="s">
        <v>472</v>
      </c>
      <c r="P34" s="271">
        <f t="shared" ref="P34:P40" si="0">N34-M34</f>
        <v>15</v>
      </c>
      <c r="Q34" s="271">
        <f>M35-N34</f>
        <v>21</v>
      </c>
      <c r="R34" s="377">
        <f>N35</f>
        <v>45868</v>
      </c>
      <c r="S34" s="371" t="s">
        <v>397</v>
      </c>
      <c r="T34" s="371" t="str">
        <f>O34</f>
        <v>CAT - I</v>
      </c>
      <c r="U34" s="371" t="s">
        <v>397</v>
      </c>
      <c r="V34" s="379"/>
    </row>
    <row r="35" spans="1:22" x14ac:dyDescent="0.25">
      <c r="A35" s="370"/>
      <c r="B35" s="372"/>
      <c r="C35" s="374"/>
      <c r="D35" s="376"/>
      <c r="E35" s="372"/>
      <c r="F35" s="372"/>
      <c r="G35" s="378"/>
      <c r="H35" s="378"/>
      <c r="I35" s="378"/>
      <c r="J35" s="372"/>
      <c r="K35" s="372"/>
      <c r="L35" s="271" t="s">
        <v>460</v>
      </c>
      <c r="M35" s="274">
        <v>45849</v>
      </c>
      <c r="N35" s="274">
        <v>45868</v>
      </c>
      <c r="O35" s="391"/>
      <c r="P35" s="271">
        <f ca="1">I1-M35</f>
        <v>54</v>
      </c>
      <c r="Q35" s="271"/>
      <c r="R35" s="372"/>
      <c r="S35" s="372"/>
      <c r="T35" s="372"/>
      <c r="U35" s="372"/>
      <c r="V35" s="380"/>
    </row>
    <row r="36" spans="1:22" s="333" customFormat="1" x14ac:dyDescent="0.25">
      <c r="A36" s="369">
        <v>4</v>
      </c>
      <c r="B36" s="371" t="s">
        <v>6</v>
      </c>
      <c r="C36" s="373" t="s">
        <v>498</v>
      </c>
      <c r="D36" s="375" t="s">
        <v>504</v>
      </c>
      <c r="E36" s="371" t="s">
        <v>505</v>
      </c>
      <c r="F36" s="371" t="s">
        <v>457</v>
      </c>
      <c r="G36" s="377">
        <v>45751</v>
      </c>
      <c r="H36" s="377">
        <f>G36+21</f>
        <v>45772</v>
      </c>
      <c r="I36" s="377">
        <v>45727</v>
      </c>
      <c r="J36" s="371">
        <f>I36-G36</f>
        <v>-24</v>
      </c>
      <c r="K36" s="371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392">
        <f>N40</f>
        <v>45825</v>
      </c>
      <c r="S36" s="371" t="s">
        <v>397</v>
      </c>
      <c r="T36" s="371" t="str">
        <f>O41</f>
        <v>CAT - I</v>
      </c>
      <c r="U36" s="371" t="s">
        <v>397</v>
      </c>
      <c r="V36" s="379"/>
    </row>
    <row r="37" spans="1:22" x14ac:dyDescent="0.25">
      <c r="A37" s="370"/>
      <c r="B37" s="372"/>
      <c r="C37" s="390"/>
      <c r="D37" s="376"/>
      <c r="E37" s="372"/>
      <c r="F37" s="372"/>
      <c r="G37" s="378"/>
      <c r="H37" s="378"/>
      <c r="I37" s="378"/>
      <c r="J37" s="372"/>
      <c r="K37" s="372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392"/>
      <c r="S37" s="372"/>
      <c r="T37" s="372"/>
      <c r="U37" s="372"/>
      <c r="V37" s="380"/>
    </row>
    <row r="38" spans="1:22" x14ac:dyDescent="0.25">
      <c r="A38" s="370"/>
      <c r="B38" s="372"/>
      <c r="C38" s="390"/>
      <c r="D38" s="376"/>
      <c r="E38" s="372"/>
      <c r="F38" s="372"/>
      <c r="G38" s="378"/>
      <c r="H38" s="378"/>
      <c r="I38" s="378"/>
      <c r="J38" s="372"/>
      <c r="K38" s="372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392"/>
      <c r="S38" s="372"/>
      <c r="T38" s="372"/>
      <c r="U38" s="372"/>
      <c r="V38" s="380"/>
    </row>
    <row r="39" spans="1:22" x14ac:dyDescent="0.25">
      <c r="A39" s="370"/>
      <c r="B39" s="372"/>
      <c r="C39" s="390"/>
      <c r="D39" s="376"/>
      <c r="E39" s="372"/>
      <c r="F39" s="372"/>
      <c r="G39" s="378"/>
      <c r="H39" s="378"/>
      <c r="I39" s="378"/>
      <c r="J39" s="372"/>
      <c r="K39" s="372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392"/>
      <c r="S39" s="372"/>
      <c r="T39" s="372"/>
      <c r="U39" s="372"/>
      <c r="V39" s="380"/>
    </row>
    <row r="40" spans="1:22" x14ac:dyDescent="0.25">
      <c r="A40" s="370"/>
      <c r="B40" s="372"/>
      <c r="C40" s="390"/>
      <c r="D40" s="376"/>
      <c r="E40" s="372"/>
      <c r="F40" s="372"/>
      <c r="G40" s="378"/>
      <c r="H40" s="378"/>
      <c r="I40" s="378"/>
      <c r="J40" s="372"/>
      <c r="K40" s="372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392"/>
      <c r="S40" s="372"/>
      <c r="T40" s="372"/>
      <c r="U40" s="372"/>
      <c r="V40" s="380"/>
    </row>
    <row r="41" spans="1:22" x14ac:dyDescent="0.25">
      <c r="A41" s="370"/>
      <c r="B41" s="372"/>
      <c r="C41" s="390"/>
      <c r="D41" s="376"/>
      <c r="E41" s="372"/>
      <c r="F41" s="372"/>
      <c r="G41" s="378"/>
      <c r="H41" s="378"/>
      <c r="I41" s="378"/>
      <c r="J41" s="372"/>
      <c r="K41" s="372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392"/>
      <c r="S41" s="372"/>
      <c r="T41" s="372"/>
      <c r="U41" s="372"/>
      <c r="V41" s="380"/>
    </row>
    <row r="42" spans="1:22" s="333" customFormat="1" x14ac:dyDescent="0.25">
      <c r="A42" s="369">
        <v>5</v>
      </c>
      <c r="B42" s="371" t="s">
        <v>6</v>
      </c>
      <c r="C42" s="373" t="s">
        <v>498</v>
      </c>
      <c r="D42" s="375" t="s">
        <v>506</v>
      </c>
      <c r="E42" s="371" t="s">
        <v>508</v>
      </c>
      <c r="F42" s="371" t="s">
        <v>457</v>
      </c>
      <c r="G42" s="377">
        <v>45811</v>
      </c>
      <c r="H42" s="377">
        <f>G42+15</f>
        <v>45826</v>
      </c>
      <c r="I42" s="377">
        <v>45811</v>
      </c>
      <c r="J42" s="371">
        <f>I42-G42</f>
        <v>0</v>
      </c>
      <c r="K42" s="371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77">
        <f>N43</f>
        <v>45846</v>
      </c>
      <c r="S42" s="371" t="s">
        <v>397</v>
      </c>
      <c r="T42" s="371" t="str">
        <f>O43</f>
        <v>CAT - I</v>
      </c>
      <c r="U42" s="371" t="s">
        <v>397</v>
      </c>
      <c r="V42" s="393"/>
    </row>
    <row r="43" spans="1:22" x14ac:dyDescent="0.25">
      <c r="A43" s="370"/>
      <c r="B43" s="372"/>
      <c r="C43" s="374"/>
      <c r="D43" s="376"/>
      <c r="E43" s="372"/>
      <c r="F43" s="372"/>
      <c r="G43" s="378"/>
      <c r="H43" s="378"/>
      <c r="I43" s="378"/>
      <c r="J43" s="372"/>
      <c r="K43" s="372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71"/>
      <c r="S43" s="372"/>
      <c r="T43" s="372"/>
      <c r="U43" s="372"/>
      <c r="V43" s="394"/>
    </row>
    <row r="44" spans="1:22" s="333" customFormat="1" x14ac:dyDescent="0.25">
      <c r="A44" s="369">
        <v>6</v>
      </c>
      <c r="B44" s="371" t="s">
        <v>6</v>
      </c>
      <c r="C44" s="373" t="s">
        <v>498</v>
      </c>
      <c r="D44" s="375" t="s">
        <v>507</v>
      </c>
      <c r="E44" s="371" t="s">
        <v>508</v>
      </c>
      <c r="F44" s="371" t="s">
        <v>457</v>
      </c>
      <c r="G44" s="377">
        <v>45751</v>
      </c>
      <c r="H44" s="377">
        <f>G44+21</f>
        <v>45772</v>
      </c>
      <c r="I44" s="377">
        <v>45727</v>
      </c>
      <c r="J44" s="371">
        <f>I44-G44</f>
        <v>-24</v>
      </c>
      <c r="K44" s="371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392">
        <v>45758</v>
      </c>
      <c r="S44" s="371" t="s">
        <v>397</v>
      </c>
      <c r="T44" s="371" t="str">
        <f>O45</f>
        <v>CAT - I</v>
      </c>
      <c r="U44" s="371" t="s">
        <v>397</v>
      </c>
      <c r="V44" s="379"/>
    </row>
    <row r="45" spans="1:22" x14ac:dyDescent="0.25">
      <c r="A45" s="370"/>
      <c r="B45" s="372"/>
      <c r="C45" s="374"/>
      <c r="D45" s="376"/>
      <c r="E45" s="372"/>
      <c r="F45" s="372"/>
      <c r="G45" s="378"/>
      <c r="H45" s="378"/>
      <c r="I45" s="378"/>
      <c r="J45" s="372"/>
      <c r="K45" s="372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392"/>
      <c r="S45" s="372"/>
      <c r="T45" s="372"/>
      <c r="U45" s="372"/>
      <c r="V45" s="380"/>
    </row>
    <row r="46" spans="1:22" s="333" customFormat="1" x14ac:dyDescent="0.25">
      <c r="A46" s="369">
        <v>7</v>
      </c>
      <c r="B46" s="371" t="s">
        <v>6</v>
      </c>
      <c r="C46" s="373" t="s">
        <v>498</v>
      </c>
      <c r="D46" s="375" t="s">
        <v>509</v>
      </c>
      <c r="E46" s="371" t="s">
        <v>510</v>
      </c>
      <c r="F46" s="371" t="s">
        <v>467</v>
      </c>
      <c r="G46" s="377">
        <v>45769</v>
      </c>
      <c r="H46" s="377">
        <f>G46+15</f>
        <v>45784</v>
      </c>
      <c r="I46" s="377">
        <v>45769</v>
      </c>
      <c r="J46" s="371">
        <f>I46-G46</f>
        <v>0</v>
      </c>
      <c r="K46" s="371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386">
        <f>N46</f>
        <v>45779</v>
      </c>
      <c r="S46" s="371" t="s">
        <v>397</v>
      </c>
      <c r="T46" s="371" t="str">
        <f>O47</f>
        <v xml:space="preserve">CAT -IV </v>
      </c>
      <c r="U46" s="371" t="s">
        <v>397</v>
      </c>
      <c r="V46" s="393"/>
    </row>
    <row r="47" spans="1:22" x14ac:dyDescent="0.25">
      <c r="A47" s="370"/>
      <c r="B47" s="372"/>
      <c r="C47" s="390"/>
      <c r="D47" s="376"/>
      <c r="E47" s="372"/>
      <c r="F47" s="372"/>
      <c r="G47" s="378"/>
      <c r="H47" s="378"/>
      <c r="I47" s="378"/>
      <c r="J47" s="372"/>
      <c r="K47" s="372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386"/>
      <c r="S47" s="372"/>
      <c r="T47" s="372"/>
      <c r="U47" s="372"/>
      <c r="V47" s="395"/>
    </row>
    <row r="48" spans="1:22" x14ac:dyDescent="0.25">
      <c r="A48" s="370"/>
      <c r="B48" s="372"/>
      <c r="C48" s="390"/>
      <c r="D48" s="376"/>
      <c r="E48" s="372"/>
      <c r="F48" s="372"/>
      <c r="G48" s="378"/>
      <c r="H48" s="378"/>
      <c r="I48" s="378"/>
      <c r="J48" s="372"/>
      <c r="K48" s="372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386"/>
      <c r="S48" s="372"/>
      <c r="T48" s="372"/>
      <c r="U48" s="372"/>
      <c r="V48" s="395"/>
    </row>
    <row r="49" spans="1:22" x14ac:dyDescent="0.25">
      <c r="A49" s="370"/>
      <c r="B49" s="372"/>
      <c r="C49" s="390"/>
      <c r="D49" s="376"/>
      <c r="E49" s="372"/>
      <c r="F49" s="372"/>
      <c r="G49" s="378"/>
      <c r="H49" s="378"/>
      <c r="I49" s="378"/>
      <c r="J49" s="372"/>
      <c r="K49" s="372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386"/>
      <c r="S49" s="372"/>
      <c r="T49" s="372"/>
      <c r="U49" s="372"/>
      <c r="V49" s="395"/>
    </row>
    <row r="50" spans="1:22" x14ac:dyDescent="0.25">
      <c r="A50" s="370"/>
      <c r="B50" s="372"/>
      <c r="C50" s="390"/>
      <c r="D50" s="376"/>
      <c r="E50" s="372"/>
      <c r="F50" s="372"/>
      <c r="G50" s="378"/>
      <c r="H50" s="378"/>
      <c r="I50" s="378"/>
      <c r="J50" s="372"/>
      <c r="K50" s="372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386"/>
      <c r="S50" s="372"/>
      <c r="T50" s="372"/>
      <c r="U50" s="372"/>
      <c r="V50" s="395"/>
    </row>
    <row r="51" spans="1:22" x14ac:dyDescent="0.25">
      <c r="A51" s="370"/>
      <c r="B51" s="372"/>
      <c r="C51" s="390"/>
      <c r="D51" s="376"/>
      <c r="E51" s="372"/>
      <c r="F51" s="372"/>
      <c r="G51" s="378"/>
      <c r="H51" s="378"/>
      <c r="I51" s="378"/>
      <c r="J51" s="372"/>
      <c r="K51" s="372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386"/>
      <c r="S51" s="372"/>
      <c r="T51" s="372"/>
      <c r="U51" s="372"/>
      <c r="V51" s="394"/>
    </row>
    <row r="52" spans="1:22" s="333" customFormat="1" x14ac:dyDescent="0.25">
      <c r="A52" s="369">
        <v>8</v>
      </c>
      <c r="B52" s="371" t="s">
        <v>6</v>
      </c>
      <c r="C52" s="373" t="s">
        <v>498</v>
      </c>
      <c r="D52" s="375" t="s">
        <v>512</v>
      </c>
      <c r="E52" s="371" t="s">
        <v>513</v>
      </c>
      <c r="F52" s="371" t="s">
        <v>467</v>
      </c>
      <c r="G52" s="377">
        <v>45811</v>
      </c>
      <c r="H52" s="377">
        <f>G52+15</f>
        <v>45826</v>
      </c>
      <c r="I52" s="377">
        <v>45811</v>
      </c>
      <c r="J52" s="371">
        <f>I52-G52</f>
        <v>0</v>
      </c>
      <c r="K52" s="371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77">
        <f>N53</f>
        <v>45846</v>
      </c>
      <c r="S52" s="371" t="s">
        <v>397</v>
      </c>
      <c r="T52" s="371" t="str">
        <f>O53</f>
        <v xml:space="preserve">CAT -IV </v>
      </c>
      <c r="U52" s="371" t="s">
        <v>397</v>
      </c>
      <c r="V52" s="393"/>
    </row>
    <row r="53" spans="1:22" x14ac:dyDescent="0.25">
      <c r="A53" s="370"/>
      <c r="B53" s="372"/>
      <c r="C53" s="374"/>
      <c r="D53" s="376"/>
      <c r="E53" s="372"/>
      <c r="F53" s="372"/>
      <c r="G53" s="378"/>
      <c r="H53" s="378"/>
      <c r="I53" s="378"/>
      <c r="J53" s="372"/>
      <c r="K53" s="372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372"/>
      <c r="S53" s="372"/>
      <c r="T53" s="372"/>
      <c r="U53" s="372"/>
      <c r="V53" s="394"/>
    </row>
    <row r="54" spans="1:22" s="333" customFormat="1" x14ac:dyDescent="0.25">
      <c r="A54" s="310">
        <v>9</v>
      </c>
      <c r="B54" s="271" t="s">
        <v>6</v>
      </c>
      <c r="C54" s="272" t="s">
        <v>498</v>
      </c>
      <c r="D54" s="273" t="s">
        <v>514</v>
      </c>
      <c r="E54" s="271" t="s">
        <v>860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311"/>
    </row>
    <row r="55" spans="1:22" x14ac:dyDescent="0.25">
      <c r="A55" s="321">
        <v>10</v>
      </c>
      <c r="B55" s="322" t="s">
        <v>6</v>
      </c>
      <c r="C55" s="323" t="s">
        <v>498</v>
      </c>
      <c r="D55" s="324" t="s">
        <v>824</v>
      </c>
      <c r="E55" s="322" t="s">
        <v>825</v>
      </c>
      <c r="F55" s="322" t="s">
        <v>467</v>
      </c>
      <c r="G55" s="325">
        <v>45824</v>
      </c>
      <c r="H55" s="325">
        <f>G55+5</f>
        <v>45829</v>
      </c>
      <c r="I55" s="325">
        <v>45848</v>
      </c>
      <c r="J55" s="322">
        <f>I55-G55</f>
        <v>24</v>
      </c>
      <c r="K55" s="322">
        <f ca="1">I1-H55</f>
        <v>74</v>
      </c>
      <c r="L55" s="322" t="s">
        <v>458</v>
      </c>
      <c r="M55" s="325">
        <v>45848</v>
      </c>
      <c r="N55" s="325">
        <v>45850</v>
      </c>
      <c r="O55" s="326" t="s">
        <v>468</v>
      </c>
      <c r="P55" s="322">
        <f t="shared" si="1"/>
        <v>2</v>
      </c>
      <c r="Q55" s="322">
        <f ca="1">I1-N55</f>
        <v>53</v>
      </c>
      <c r="R55" s="292"/>
      <c r="S55" s="322" t="s">
        <v>489</v>
      </c>
      <c r="T55" s="322" t="str">
        <f>O55</f>
        <v>CAT -IV R</v>
      </c>
      <c r="U55" s="322" t="s">
        <v>464</v>
      </c>
      <c r="V55" s="327"/>
    </row>
    <row r="56" spans="1:22" s="333" customFormat="1" x14ac:dyDescent="0.25">
      <c r="A56" s="310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N56-I56</f>
        <v>2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311"/>
    </row>
    <row r="57" spans="1:22" x14ac:dyDescent="0.25">
      <c r="A57" s="357">
        <v>1</v>
      </c>
      <c r="B57" s="359" t="s">
        <v>6</v>
      </c>
      <c r="C57" s="361" t="s">
        <v>515</v>
      </c>
      <c r="D57" s="363" t="s">
        <v>516</v>
      </c>
      <c r="E57" s="359" t="s">
        <v>517</v>
      </c>
      <c r="F57" s="359" t="s">
        <v>457</v>
      </c>
      <c r="G57" s="365">
        <v>45763</v>
      </c>
      <c r="H57" s="365">
        <f>G57+21</f>
        <v>45784</v>
      </c>
      <c r="I57" s="365">
        <v>45763</v>
      </c>
      <c r="J57" s="359">
        <f>I57-G57</f>
        <v>0</v>
      </c>
      <c r="K57" s="359">
        <f ca="1">I1-H57</f>
        <v>119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59" t="s">
        <v>489</v>
      </c>
      <c r="T57" s="359" t="str">
        <f>O61</f>
        <v>CAT - II</v>
      </c>
      <c r="U57" s="359" t="s">
        <v>461</v>
      </c>
      <c r="V57" s="367"/>
    </row>
    <row r="58" spans="1:22" x14ac:dyDescent="0.25">
      <c r="A58" s="357"/>
      <c r="B58" s="359"/>
      <c r="C58" s="361"/>
      <c r="D58" s="363"/>
      <c r="E58" s="396"/>
      <c r="F58" s="396"/>
      <c r="G58" s="398"/>
      <c r="H58" s="398"/>
      <c r="I58" s="398"/>
      <c r="J58" s="396"/>
      <c r="K58" s="396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96"/>
      <c r="T58" s="396"/>
      <c r="U58" s="396"/>
      <c r="V58" s="397"/>
    </row>
    <row r="59" spans="1:22" x14ac:dyDescent="0.25">
      <c r="A59" s="357"/>
      <c r="B59" s="359"/>
      <c r="C59" s="361"/>
      <c r="D59" s="363"/>
      <c r="E59" s="396"/>
      <c r="F59" s="396"/>
      <c r="G59" s="398"/>
      <c r="H59" s="398"/>
      <c r="I59" s="398"/>
      <c r="J59" s="396"/>
      <c r="K59" s="396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96"/>
      <c r="T59" s="396"/>
      <c r="U59" s="396"/>
      <c r="V59" s="397"/>
    </row>
    <row r="60" spans="1:22" x14ac:dyDescent="0.25">
      <c r="A60" s="357"/>
      <c r="B60" s="359"/>
      <c r="C60" s="361"/>
      <c r="D60" s="363"/>
      <c r="E60" s="396"/>
      <c r="F60" s="396"/>
      <c r="G60" s="398"/>
      <c r="H60" s="398"/>
      <c r="I60" s="398"/>
      <c r="J60" s="396"/>
      <c r="K60" s="396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96"/>
      <c r="T60" s="396"/>
      <c r="U60" s="396"/>
      <c r="V60" s="397"/>
    </row>
    <row r="61" spans="1:22" x14ac:dyDescent="0.25">
      <c r="A61" s="357"/>
      <c r="B61" s="359"/>
      <c r="C61" s="361"/>
      <c r="D61" s="363"/>
      <c r="E61" s="396"/>
      <c r="F61" s="396"/>
      <c r="G61" s="398"/>
      <c r="H61" s="398"/>
      <c r="I61" s="398"/>
      <c r="J61" s="396"/>
      <c r="K61" s="396"/>
      <c r="L61" s="263" t="s">
        <v>816</v>
      </c>
      <c r="M61" s="266">
        <v>45853</v>
      </c>
      <c r="N61" s="266"/>
      <c r="O61" s="267" t="s">
        <v>481</v>
      </c>
      <c r="P61" s="263">
        <f ca="1">I1-M61</f>
        <v>50</v>
      </c>
      <c r="Q61" s="263"/>
      <c r="R61" s="263"/>
      <c r="S61" s="396"/>
      <c r="T61" s="396"/>
      <c r="U61" s="396"/>
      <c r="V61" s="397"/>
    </row>
    <row r="62" spans="1:22" ht="21" x14ac:dyDescent="0.25">
      <c r="A62" s="310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N62-I62</f>
        <v>19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311"/>
    </row>
    <row r="63" spans="1:22" s="333" customFormat="1" ht="21" x14ac:dyDescent="0.25">
      <c r="A63" s="310">
        <v>3</v>
      </c>
      <c r="B63" s="271" t="s">
        <v>6</v>
      </c>
      <c r="C63" s="272" t="s">
        <v>515</v>
      </c>
      <c r="D63" s="273" t="s">
        <v>520</v>
      </c>
      <c r="E63" s="271" t="s">
        <v>852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N63-I63</f>
        <v>5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311"/>
    </row>
    <row r="64" spans="1:22" s="333" customFormat="1" ht="29" customHeight="1" x14ac:dyDescent="0.25">
      <c r="A64" s="369">
        <v>3</v>
      </c>
      <c r="B64" s="371" t="s">
        <v>6</v>
      </c>
      <c r="C64" s="373" t="s">
        <v>515</v>
      </c>
      <c r="D64" s="373" t="s">
        <v>520</v>
      </c>
      <c r="E64" s="371" t="s">
        <v>853</v>
      </c>
      <c r="F64" s="371" t="s">
        <v>457</v>
      </c>
      <c r="G64" s="377">
        <v>45813</v>
      </c>
      <c r="H64" s="377">
        <f>G64+15</f>
        <v>45828</v>
      </c>
      <c r="I64" s="377">
        <f>M64</f>
        <v>45867</v>
      </c>
      <c r="J64" s="371">
        <f>I64-G64</f>
        <v>54</v>
      </c>
      <c r="K64" s="371">
        <f>N65-I64</f>
        <v>16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77">
        <f>N65</f>
        <v>45883</v>
      </c>
      <c r="S64" s="371" t="s">
        <v>397</v>
      </c>
      <c r="T64" s="371" t="str">
        <f>O65</f>
        <v>CAT - I</v>
      </c>
      <c r="U64" s="371" t="s">
        <v>397</v>
      </c>
      <c r="V64" s="379"/>
    </row>
    <row r="65" spans="1:29" x14ac:dyDescent="0.25">
      <c r="A65" s="370"/>
      <c r="B65" s="372"/>
      <c r="C65" s="373"/>
      <c r="D65" s="374"/>
      <c r="E65" s="372"/>
      <c r="F65" s="372"/>
      <c r="G65" s="378"/>
      <c r="H65" s="378"/>
      <c r="I65" s="378"/>
      <c r="J65" s="372"/>
      <c r="K65" s="372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71"/>
      <c r="S65" s="372"/>
      <c r="T65" s="372"/>
      <c r="U65" s="372"/>
      <c r="V65" s="380"/>
    </row>
    <row r="66" spans="1:29" ht="21" x14ac:dyDescent="0.25">
      <c r="A66" s="321">
        <v>3</v>
      </c>
      <c r="B66" s="322" t="s">
        <v>6</v>
      </c>
      <c r="C66" s="323" t="s">
        <v>515</v>
      </c>
      <c r="D66" s="323" t="s">
        <v>874</v>
      </c>
      <c r="E66" s="322" t="s">
        <v>875</v>
      </c>
      <c r="F66" s="322" t="s">
        <v>457</v>
      </c>
      <c r="G66" s="325">
        <v>45813</v>
      </c>
      <c r="H66" s="325">
        <f>G66+15</f>
        <v>45828</v>
      </c>
      <c r="I66" s="325">
        <f>M66</f>
        <v>45895</v>
      </c>
      <c r="J66" s="322">
        <f>I66-G66</f>
        <v>82</v>
      </c>
      <c r="K66" s="322">
        <f ca="1">I1-H66</f>
        <v>75</v>
      </c>
      <c r="L66" s="322" t="s">
        <v>458</v>
      </c>
      <c r="M66" s="325">
        <v>45895</v>
      </c>
      <c r="N66" s="325">
        <v>45901</v>
      </c>
      <c r="O66" s="326" t="s">
        <v>459</v>
      </c>
      <c r="P66" s="322">
        <f>N66-M66</f>
        <v>6</v>
      </c>
      <c r="Q66" s="322"/>
      <c r="R66" s="322"/>
      <c r="S66" s="322" t="s">
        <v>489</v>
      </c>
      <c r="T66" s="322" t="str">
        <f>O66</f>
        <v>CAT - III</v>
      </c>
      <c r="U66" s="322" t="s">
        <v>464</v>
      </c>
      <c r="V66" s="327"/>
    </row>
    <row r="67" spans="1:29" x14ac:dyDescent="0.25">
      <c r="A67" s="308">
        <v>4</v>
      </c>
      <c r="B67" s="257" t="s">
        <v>6</v>
      </c>
      <c r="C67" s="268" t="s">
        <v>515</v>
      </c>
      <c r="D67" s="269" t="s">
        <v>521</v>
      </c>
      <c r="E67" s="259" t="s">
        <v>522</v>
      </c>
      <c r="F67" s="259" t="s">
        <v>457</v>
      </c>
      <c r="G67" s="276">
        <v>45838</v>
      </c>
      <c r="H67" s="276">
        <f>G67+7</f>
        <v>45845</v>
      </c>
      <c r="I67" s="276"/>
      <c r="J67" s="259">
        <f ca="1">$I$1-G67</f>
        <v>65</v>
      </c>
      <c r="K67" s="257">
        <f ca="1">$I$1-H67</f>
        <v>58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312"/>
      <c r="AC67" s="330" t="s">
        <v>876</v>
      </c>
    </row>
    <row r="68" spans="1:29" ht="21" x14ac:dyDescent="0.25">
      <c r="A68" s="308">
        <v>5</v>
      </c>
      <c r="B68" s="257" t="s">
        <v>6</v>
      </c>
      <c r="C68" s="268" t="s">
        <v>515</v>
      </c>
      <c r="D68" s="269" t="s">
        <v>523</v>
      </c>
      <c r="E68" s="259" t="s">
        <v>524</v>
      </c>
      <c r="F68" s="259" t="s">
        <v>457</v>
      </c>
      <c r="G68" s="276">
        <v>45874</v>
      </c>
      <c r="H68" s="276">
        <f>G68+12</f>
        <v>45886</v>
      </c>
      <c r="I68" s="276"/>
      <c r="J68" s="259">
        <f t="shared" ref="J68:K72" ca="1" si="2">$I$1-G68</f>
        <v>29</v>
      </c>
      <c r="K68" s="257">
        <f ca="1">$I$1-H68</f>
        <v>17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312"/>
    </row>
    <row r="69" spans="1:29" x14ac:dyDescent="0.25">
      <c r="A69" s="308">
        <v>6</v>
      </c>
      <c r="B69" s="257" t="s">
        <v>6</v>
      </c>
      <c r="C69" s="268" t="s">
        <v>515</v>
      </c>
      <c r="D69" s="269" t="s">
        <v>525</v>
      </c>
      <c r="E69" s="259" t="s">
        <v>526</v>
      </c>
      <c r="F69" s="259" t="s">
        <v>457</v>
      </c>
      <c r="G69" s="276">
        <v>45905</v>
      </c>
      <c r="H69" s="276">
        <f>G69+15</f>
        <v>45920</v>
      </c>
      <c r="I69" s="276"/>
      <c r="J69" s="259">
        <f t="shared" ca="1" si="2"/>
        <v>-2</v>
      </c>
      <c r="K69" s="257">
        <f t="shared" ca="1" si="2"/>
        <v>-17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312"/>
    </row>
    <row r="70" spans="1:29" x14ac:dyDescent="0.25">
      <c r="A70" s="308">
        <v>7</v>
      </c>
      <c r="B70" s="257" t="s">
        <v>6</v>
      </c>
      <c r="C70" s="268" t="s">
        <v>515</v>
      </c>
      <c r="D70" s="269" t="s">
        <v>527</v>
      </c>
      <c r="E70" s="259" t="s">
        <v>528</v>
      </c>
      <c r="F70" s="259" t="s">
        <v>457</v>
      </c>
      <c r="G70" s="276">
        <v>45908</v>
      </c>
      <c r="H70" s="276">
        <f>G70+15</f>
        <v>45923</v>
      </c>
      <c r="I70" s="276"/>
      <c r="J70" s="259">
        <f t="shared" ca="1" si="2"/>
        <v>-5</v>
      </c>
      <c r="K70" s="257">
        <f t="shared" ca="1" si="2"/>
        <v>-20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12"/>
    </row>
    <row r="71" spans="1:29" x14ac:dyDescent="0.25">
      <c r="A71" s="308">
        <v>8</v>
      </c>
      <c r="B71" s="257" t="s">
        <v>6</v>
      </c>
      <c r="C71" s="268" t="s">
        <v>515</v>
      </c>
      <c r="D71" s="269" t="s">
        <v>529</v>
      </c>
      <c r="E71" s="259" t="s">
        <v>530</v>
      </c>
      <c r="F71" s="259" t="s">
        <v>457</v>
      </c>
      <c r="G71" s="276">
        <v>45858</v>
      </c>
      <c r="H71" s="276">
        <f>G71+15</f>
        <v>45873</v>
      </c>
      <c r="I71" s="276"/>
      <c r="J71" s="259">
        <f t="shared" ca="1" si="2"/>
        <v>45</v>
      </c>
      <c r="K71" s="257">
        <f t="shared" ca="1" si="2"/>
        <v>30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12"/>
    </row>
    <row r="72" spans="1:29" x14ac:dyDescent="0.25">
      <c r="A72" s="308">
        <v>9</v>
      </c>
      <c r="B72" s="257" t="s">
        <v>6</v>
      </c>
      <c r="C72" s="268" t="s">
        <v>515</v>
      </c>
      <c r="D72" s="269" t="s">
        <v>531</v>
      </c>
      <c r="E72" s="259" t="s">
        <v>532</v>
      </c>
      <c r="F72" s="259" t="s">
        <v>457</v>
      </c>
      <c r="G72" s="276">
        <v>45868</v>
      </c>
      <c r="H72" s="276">
        <f>G72+15</f>
        <v>45883</v>
      </c>
      <c r="I72" s="276"/>
      <c r="J72" s="259">
        <f t="shared" ca="1" si="2"/>
        <v>35</v>
      </c>
      <c r="K72" s="257">
        <f t="shared" ca="1" si="2"/>
        <v>20</v>
      </c>
      <c r="L72" s="259"/>
      <c r="M72" s="276"/>
      <c r="N72" s="276"/>
      <c r="O72" s="277"/>
      <c r="P72" s="259"/>
      <c r="Q72" s="259"/>
      <c r="R72" s="259"/>
      <c r="S72" s="259"/>
      <c r="T72" s="259"/>
      <c r="U72" s="259"/>
      <c r="V72" s="312"/>
    </row>
    <row r="73" spans="1:29" ht="29" customHeight="1" x14ac:dyDescent="0.25">
      <c r="A73" s="381">
        <v>1</v>
      </c>
      <c r="B73" s="382" t="s">
        <v>6</v>
      </c>
      <c r="C73" s="560" t="s">
        <v>533</v>
      </c>
      <c r="D73" s="561" t="s">
        <v>862</v>
      </c>
      <c r="E73" s="382" t="s">
        <v>832</v>
      </c>
      <c r="F73" s="382" t="s">
        <v>457</v>
      </c>
      <c r="G73" s="385">
        <v>45794</v>
      </c>
      <c r="H73" s="385">
        <f>G73+7</f>
        <v>45801</v>
      </c>
      <c r="I73" s="385">
        <v>45834</v>
      </c>
      <c r="J73" s="382">
        <f>I73-G73</f>
        <v>40</v>
      </c>
      <c r="K73" s="382">
        <f ca="1">I1-H73</f>
        <v>102</v>
      </c>
      <c r="L73" s="322" t="s">
        <v>458</v>
      </c>
      <c r="M73" s="325">
        <v>45834</v>
      </c>
      <c r="N73" s="325">
        <v>45845</v>
      </c>
      <c r="O73" s="326" t="s">
        <v>459</v>
      </c>
      <c r="P73" s="322">
        <f>N73-M73</f>
        <v>11</v>
      </c>
      <c r="Q73" s="322">
        <f>M74-N73</f>
        <v>11</v>
      </c>
      <c r="R73" s="382"/>
      <c r="S73" s="382" t="s">
        <v>489</v>
      </c>
      <c r="T73" s="382" t="str">
        <f>O73</f>
        <v>CAT - III</v>
      </c>
      <c r="U73" s="382" t="s">
        <v>464</v>
      </c>
      <c r="V73" s="388"/>
    </row>
    <row r="74" spans="1:29" x14ac:dyDescent="0.25">
      <c r="A74" s="381"/>
      <c r="B74" s="382"/>
      <c r="C74" s="560"/>
      <c r="D74" s="561"/>
      <c r="E74" s="382"/>
      <c r="F74" s="382"/>
      <c r="G74" s="385"/>
      <c r="H74" s="385"/>
      <c r="I74" s="385"/>
      <c r="J74" s="382"/>
      <c r="K74" s="382"/>
      <c r="L74" s="322" t="s">
        <v>460</v>
      </c>
      <c r="M74" s="325">
        <v>45856</v>
      </c>
      <c r="N74" s="325">
        <v>45862</v>
      </c>
      <c r="O74" s="326" t="s">
        <v>459</v>
      </c>
      <c r="P74" s="322">
        <f>N74-M74</f>
        <v>6</v>
      </c>
      <c r="Q74" s="322">
        <f>M75-N74</f>
        <v>5</v>
      </c>
      <c r="R74" s="382"/>
      <c r="S74" s="382"/>
      <c r="T74" s="382"/>
      <c r="U74" s="382"/>
      <c r="V74" s="388"/>
    </row>
    <row r="75" spans="1:29" x14ac:dyDescent="0.25">
      <c r="A75" s="381"/>
      <c r="B75" s="382"/>
      <c r="C75" s="560"/>
      <c r="D75" s="561"/>
      <c r="E75" s="382"/>
      <c r="F75" s="382"/>
      <c r="G75" s="385"/>
      <c r="H75" s="385"/>
      <c r="I75" s="385"/>
      <c r="J75" s="382"/>
      <c r="K75" s="382"/>
      <c r="L75" s="322" t="s">
        <v>462</v>
      </c>
      <c r="M75" s="325">
        <v>45867</v>
      </c>
      <c r="N75" s="325">
        <v>45888</v>
      </c>
      <c r="O75" s="326" t="s">
        <v>459</v>
      </c>
      <c r="P75" s="322">
        <f>N75-M75</f>
        <v>21</v>
      </c>
      <c r="Q75" s="322">
        <f>M76-N75</f>
        <v>3</v>
      </c>
      <c r="R75" s="382"/>
      <c r="S75" s="382"/>
      <c r="T75" s="382"/>
      <c r="U75" s="382"/>
      <c r="V75" s="388"/>
    </row>
    <row r="76" spans="1:29" x14ac:dyDescent="0.25">
      <c r="A76" s="381"/>
      <c r="B76" s="382"/>
      <c r="C76" s="560"/>
      <c r="D76" s="561"/>
      <c r="E76" s="382"/>
      <c r="F76" s="382"/>
      <c r="G76" s="385"/>
      <c r="H76" s="385"/>
      <c r="I76" s="385"/>
      <c r="J76" s="382"/>
      <c r="K76" s="382"/>
      <c r="L76" s="322" t="s">
        <v>463</v>
      </c>
      <c r="M76" s="325">
        <v>45891</v>
      </c>
      <c r="N76" s="325">
        <v>45901</v>
      </c>
      <c r="O76" s="326" t="s">
        <v>459</v>
      </c>
      <c r="P76" s="322">
        <f>N76-M76</f>
        <v>10</v>
      </c>
      <c r="Q76" s="322"/>
      <c r="R76" s="382"/>
      <c r="S76" s="382"/>
      <c r="T76" s="382"/>
      <c r="U76" s="382"/>
      <c r="V76" s="388"/>
    </row>
    <row r="77" spans="1:29" ht="29" customHeight="1" x14ac:dyDescent="0.25">
      <c r="A77" s="357">
        <v>2</v>
      </c>
      <c r="B77" s="359" t="s">
        <v>6</v>
      </c>
      <c r="C77" s="399" t="s">
        <v>533</v>
      </c>
      <c r="D77" s="400" t="s">
        <v>863</v>
      </c>
      <c r="E77" s="359" t="s">
        <v>864</v>
      </c>
      <c r="F77" s="359" t="s">
        <v>457</v>
      </c>
      <c r="G77" s="365">
        <v>45794</v>
      </c>
      <c r="H77" s="365">
        <f>G77+7</f>
        <v>45801</v>
      </c>
      <c r="I77" s="365">
        <v>45860</v>
      </c>
      <c r="J77" s="359">
        <f>I77-G77</f>
        <v>66</v>
      </c>
      <c r="K77" s="359">
        <f ca="1">I1-H77</f>
        <v>102</v>
      </c>
      <c r="L77" s="263" t="s">
        <v>458</v>
      </c>
      <c r="M77" s="266">
        <v>45861</v>
      </c>
      <c r="N77" s="266"/>
      <c r="O77" s="267"/>
      <c r="P77" s="263"/>
      <c r="Q77" s="263"/>
      <c r="R77" s="359"/>
      <c r="S77" s="359" t="s">
        <v>482</v>
      </c>
      <c r="T77" s="359" t="str">
        <f>O78</f>
        <v>CAT - III</v>
      </c>
      <c r="U77" s="359" t="s">
        <v>461</v>
      </c>
      <c r="V77" s="367"/>
    </row>
    <row r="78" spans="1:29" x14ac:dyDescent="0.25">
      <c r="A78" s="357"/>
      <c r="B78" s="359"/>
      <c r="C78" s="399"/>
      <c r="D78" s="400"/>
      <c r="E78" s="359"/>
      <c r="F78" s="359"/>
      <c r="G78" s="365"/>
      <c r="H78" s="365"/>
      <c r="I78" s="365"/>
      <c r="J78" s="359"/>
      <c r="K78" s="359"/>
      <c r="L78" s="263" t="s">
        <v>458</v>
      </c>
      <c r="M78" s="266">
        <v>45870</v>
      </c>
      <c r="N78" s="266">
        <v>45891</v>
      </c>
      <c r="O78" s="267" t="s">
        <v>459</v>
      </c>
      <c r="P78" s="263">
        <f>N78-M78</f>
        <v>21</v>
      </c>
      <c r="Q78" s="263">
        <f>M79-N78</f>
        <v>4</v>
      </c>
      <c r="R78" s="359"/>
      <c r="S78" s="359"/>
      <c r="T78" s="359"/>
      <c r="U78" s="359"/>
      <c r="V78" s="367"/>
    </row>
    <row r="79" spans="1:29" x14ac:dyDescent="0.25">
      <c r="A79" s="357"/>
      <c r="B79" s="359"/>
      <c r="C79" s="399"/>
      <c r="D79" s="400"/>
      <c r="E79" s="359"/>
      <c r="F79" s="359"/>
      <c r="G79" s="365"/>
      <c r="H79" s="365"/>
      <c r="I79" s="365"/>
      <c r="J79" s="359"/>
      <c r="K79" s="359"/>
      <c r="L79" s="263" t="s">
        <v>460</v>
      </c>
      <c r="M79" s="266">
        <v>45895</v>
      </c>
      <c r="N79" s="266"/>
      <c r="O79" s="267"/>
      <c r="P79" s="263"/>
      <c r="Q79" s="263"/>
      <c r="R79" s="359"/>
      <c r="S79" s="359"/>
      <c r="T79" s="359"/>
      <c r="U79" s="359"/>
      <c r="V79" s="367"/>
    </row>
    <row r="80" spans="1:29" x14ac:dyDescent="0.25">
      <c r="A80" s="369">
        <v>3</v>
      </c>
      <c r="B80" s="371" t="s">
        <v>6</v>
      </c>
      <c r="C80" s="401" t="s">
        <v>533</v>
      </c>
      <c r="D80" s="402" t="s">
        <v>534</v>
      </c>
      <c r="E80" s="371" t="s">
        <v>840</v>
      </c>
      <c r="F80" s="371" t="s">
        <v>457</v>
      </c>
      <c r="G80" s="377">
        <v>45794</v>
      </c>
      <c r="H80" s="377">
        <f>G80+7</f>
        <v>45801</v>
      </c>
      <c r="I80" s="377">
        <v>45834</v>
      </c>
      <c r="J80" s="371">
        <f>I80-G80</f>
        <v>40</v>
      </c>
      <c r="K80" s="371">
        <f>N83-I80</f>
        <v>41</v>
      </c>
      <c r="L80" s="271" t="s">
        <v>458</v>
      </c>
      <c r="M80" s="274">
        <v>45834</v>
      </c>
      <c r="N80" s="274">
        <v>45845</v>
      </c>
      <c r="O80" s="275" t="s">
        <v>459</v>
      </c>
      <c r="P80" s="271">
        <f>N80-M80</f>
        <v>11</v>
      </c>
      <c r="Q80" s="271">
        <f>M81-N80</f>
        <v>10</v>
      </c>
      <c r="R80" s="371"/>
      <c r="S80" s="371" t="s">
        <v>397</v>
      </c>
      <c r="T80" s="371" t="str">
        <f>O83</f>
        <v>CAT - I</v>
      </c>
      <c r="U80" s="371" t="s">
        <v>397</v>
      </c>
      <c r="V80" s="379"/>
    </row>
    <row r="81" spans="1:22" x14ac:dyDescent="0.25">
      <c r="A81" s="369"/>
      <c r="B81" s="371"/>
      <c r="C81" s="401"/>
      <c r="D81" s="402"/>
      <c r="E81" s="371"/>
      <c r="F81" s="371"/>
      <c r="G81" s="377"/>
      <c r="H81" s="377"/>
      <c r="I81" s="377"/>
      <c r="J81" s="371"/>
      <c r="K81" s="371"/>
      <c r="L81" s="271" t="s">
        <v>460</v>
      </c>
      <c r="M81" s="274">
        <v>45855</v>
      </c>
      <c r="N81" s="274"/>
      <c r="O81" s="275" t="s">
        <v>459</v>
      </c>
      <c r="P81" s="271"/>
      <c r="Q81" s="271"/>
      <c r="R81" s="371"/>
      <c r="S81" s="371"/>
      <c r="T81" s="371"/>
      <c r="U81" s="371"/>
      <c r="V81" s="379"/>
    </row>
    <row r="82" spans="1:22" x14ac:dyDescent="0.25">
      <c r="A82" s="369"/>
      <c r="B82" s="371"/>
      <c r="C82" s="401"/>
      <c r="D82" s="402"/>
      <c r="E82" s="371"/>
      <c r="F82" s="371"/>
      <c r="G82" s="377"/>
      <c r="H82" s="377"/>
      <c r="I82" s="377"/>
      <c r="J82" s="371"/>
      <c r="K82" s="371"/>
      <c r="L82" s="271" t="s">
        <v>458</v>
      </c>
      <c r="M82" s="274">
        <v>45867</v>
      </c>
      <c r="N82" s="274">
        <v>45872</v>
      </c>
      <c r="O82" s="275" t="s">
        <v>481</v>
      </c>
      <c r="P82" s="271">
        <f>N82-M82</f>
        <v>5</v>
      </c>
      <c r="Q82" s="271">
        <f ca="1">I1-N82</f>
        <v>31</v>
      </c>
      <c r="R82" s="371"/>
      <c r="S82" s="371"/>
      <c r="T82" s="371"/>
      <c r="U82" s="371"/>
      <c r="V82" s="379"/>
    </row>
    <row r="83" spans="1:22" x14ac:dyDescent="0.25">
      <c r="A83" s="369"/>
      <c r="B83" s="371"/>
      <c r="C83" s="401"/>
      <c r="D83" s="402"/>
      <c r="E83" s="371"/>
      <c r="F83" s="371"/>
      <c r="G83" s="377"/>
      <c r="H83" s="377"/>
      <c r="I83" s="377"/>
      <c r="J83" s="371"/>
      <c r="K83" s="371"/>
      <c r="L83" s="271" t="s">
        <v>460</v>
      </c>
      <c r="M83" s="274">
        <v>45873</v>
      </c>
      <c r="N83" s="274">
        <v>45875</v>
      </c>
      <c r="O83" s="275" t="s">
        <v>472</v>
      </c>
      <c r="P83" s="271">
        <f>N83-M83</f>
        <v>2</v>
      </c>
      <c r="Q83" s="271"/>
      <c r="R83" s="371"/>
      <c r="S83" s="371"/>
      <c r="T83" s="371"/>
      <c r="U83" s="371"/>
      <c r="V83" s="379"/>
    </row>
    <row r="84" spans="1:22" ht="21" x14ac:dyDescent="0.25">
      <c r="A84" s="321">
        <v>3</v>
      </c>
      <c r="B84" s="322" t="s">
        <v>6</v>
      </c>
      <c r="C84" s="323" t="s">
        <v>533</v>
      </c>
      <c r="D84" s="324" t="s">
        <v>534</v>
      </c>
      <c r="E84" s="322" t="s">
        <v>861</v>
      </c>
      <c r="F84" s="322" t="s">
        <v>457</v>
      </c>
      <c r="G84" s="325">
        <v>45794</v>
      </c>
      <c r="H84" s="325">
        <v>45801</v>
      </c>
      <c r="I84" s="325">
        <f>I80</f>
        <v>45834</v>
      </c>
      <c r="J84" s="322">
        <f>I84-G84</f>
        <v>40</v>
      </c>
      <c r="K84" s="322">
        <f ca="1">I1-H84</f>
        <v>102</v>
      </c>
      <c r="L84" s="322" t="s">
        <v>460</v>
      </c>
      <c r="M84" s="325">
        <v>45882</v>
      </c>
      <c r="N84" s="325">
        <v>45887</v>
      </c>
      <c r="O84" s="326" t="str">
        <f>O82</f>
        <v>CAT - II</v>
      </c>
      <c r="P84" s="322">
        <f>N84-M84</f>
        <v>5</v>
      </c>
      <c r="Q84" s="322">
        <f ca="1">I1-N84</f>
        <v>16</v>
      </c>
      <c r="R84" s="291"/>
      <c r="S84" s="322" t="s">
        <v>489</v>
      </c>
      <c r="T84" s="322" t="str">
        <f>O84</f>
        <v>CAT - II</v>
      </c>
      <c r="U84" s="322" t="s">
        <v>464</v>
      </c>
      <c r="V84" s="327"/>
    </row>
    <row r="85" spans="1:22" ht="14.5" customHeight="1" x14ac:dyDescent="0.25">
      <c r="A85" s="403">
        <v>4</v>
      </c>
      <c r="B85" s="406" t="s">
        <v>6</v>
      </c>
      <c r="C85" s="409" t="s">
        <v>533</v>
      </c>
      <c r="D85" s="412" t="s">
        <v>535</v>
      </c>
      <c r="E85" s="406" t="s">
        <v>536</v>
      </c>
      <c r="F85" s="406" t="s">
        <v>457</v>
      </c>
      <c r="G85" s="415">
        <v>45797</v>
      </c>
      <c r="H85" s="415">
        <f>G85+12</f>
        <v>45809</v>
      </c>
      <c r="I85" s="415">
        <f>M85</f>
        <v>45860</v>
      </c>
      <c r="J85" s="406">
        <f>I85-G85</f>
        <v>63</v>
      </c>
      <c r="K85" s="406">
        <f ca="1">I1-H85</f>
        <v>94</v>
      </c>
      <c r="L85" s="263" t="s">
        <v>458</v>
      </c>
      <c r="M85" s="266">
        <v>45860</v>
      </c>
      <c r="N85" s="266"/>
      <c r="O85" s="267"/>
      <c r="P85" s="263"/>
      <c r="Q85" s="263"/>
      <c r="R85" s="263"/>
      <c r="S85" s="406" t="s">
        <v>482</v>
      </c>
      <c r="T85" s="406" t="s">
        <v>458</v>
      </c>
      <c r="U85" s="406" t="s">
        <v>461</v>
      </c>
      <c r="V85" s="418"/>
    </row>
    <row r="86" spans="1:22" x14ac:dyDescent="0.25">
      <c r="A86" s="404"/>
      <c r="B86" s="407"/>
      <c r="C86" s="410"/>
      <c r="D86" s="413"/>
      <c r="E86" s="407"/>
      <c r="F86" s="407"/>
      <c r="G86" s="416"/>
      <c r="H86" s="416"/>
      <c r="I86" s="416"/>
      <c r="J86" s="407"/>
      <c r="K86" s="407"/>
      <c r="L86" s="263" t="s">
        <v>458</v>
      </c>
      <c r="M86" s="266">
        <v>45870</v>
      </c>
      <c r="N86" s="266">
        <v>45891</v>
      </c>
      <c r="O86" s="267"/>
      <c r="P86" s="263"/>
      <c r="Q86" s="263"/>
      <c r="R86" s="263"/>
      <c r="S86" s="407"/>
      <c r="T86" s="407"/>
      <c r="U86" s="407"/>
      <c r="V86" s="419"/>
    </row>
    <row r="87" spans="1:22" x14ac:dyDescent="0.25">
      <c r="A87" s="405"/>
      <c r="B87" s="408"/>
      <c r="C87" s="411"/>
      <c r="D87" s="414"/>
      <c r="E87" s="408"/>
      <c r="F87" s="408"/>
      <c r="G87" s="417"/>
      <c r="H87" s="417"/>
      <c r="I87" s="417"/>
      <c r="J87" s="408"/>
      <c r="K87" s="408"/>
      <c r="L87" s="263" t="s">
        <v>460</v>
      </c>
      <c r="M87" s="266">
        <v>45895</v>
      </c>
      <c r="N87" s="266"/>
      <c r="O87" s="267"/>
      <c r="P87" s="263"/>
      <c r="Q87" s="263"/>
      <c r="R87" s="263"/>
      <c r="S87" s="408"/>
      <c r="T87" s="408"/>
      <c r="U87" s="408"/>
      <c r="V87" s="420"/>
    </row>
    <row r="88" spans="1:22" ht="14.5" customHeight="1" x14ac:dyDescent="0.25">
      <c r="A88" s="424">
        <v>5</v>
      </c>
      <c r="B88" s="421" t="s">
        <v>6</v>
      </c>
      <c r="C88" s="427" t="s">
        <v>533</v>
      </c>
      <c r="D88" s="427" t="s">
        <v>537</v>
      </c>
      <c r="E88" s="421" t="s">
        <v>841</v>
      </c>
      <c r="F88" s="421" t="s">
        <v>457</v>
      </c>
      <c r="G88" s="430">
        <v>45792</v>
      </c>
      <c r="H88" s="430">
        <f>G88+12</f>
        <v>45804</v>
      </c>
      <c r="I88" s="430">
        <f>M88</f>
        <v>45861</v>
      </c>
      <c r="J88" s="421">
        <f>I88-G88</f>
        <v>69</v>
      </c>
      <c r="K88" s="421">
        <f ca="1">I1-H88</f>
        <v>99</v>
      </c>
      <c r="L88" s="271" t="s">
        <v>458</v>
      </c>
      <c r="M88" s="274">
        <v>45861</v>
      </c>
      <c r="N88" s="274">
        <v>45872</v>
      </c>
      <c r="O88" s="275" t="s">
        <v>459</v>
      </c>
      <c r="P88" s="271">
        <f>N88-M88</f>
        <v>11</v>
      </c>
      <c r="Q88" s="271">
        <f ca="1">I1-N88</f>
        <v>31</v>
      </c>
      <c r="R88" s="271"/>
      <c r="S88" s="421" t="s">
        <v>397</v>
      </c>
      <c r="T88" s="421" t="str">
        <f>O90</f>
        <v>CAT - I</v>
      </c>
      <c r="U88" s="421" t="s">
        <v>397</v>
      </c>
      <c r="V88" s="393"/>
    </row>
    <row r="89" spans="1:22" x14ac:dyDescent="0.25">
      <c r="A89" s="425"/>
      <c r="B89" s="422"/>
      <c r="C89" s="428"/>
      <c r="D89" s="428"/>
      <c r="E89" s="422"/>
      <c r="F89" s="422"/>
      <c r="G89" s="431"/>
      <c r="H89" s="431"/>
      <c r="I89" s="431"/>
      <c r="J89" s="422"/>
      <c r="K89" s="422"/>
      <c r="L89" s="271" t="s">
        <v>460</v>
      </c>
      <c r="M89" s="274">
        <v>45880</v>
      </c>
      <c r="N89" s="274">
        <v>45888</v>
      </c>
      <c r="O89" s="275" t="s">
        <v>481</v>
      </c>
      <c r="P89" s="271">
        <f>N89-M89</f>
        <v>8</v>
      </c>
      <c r="Q89" s="271">
        <f>M90-N89</f>
        <v>4</v>
      </c>
      <c r="R89" s="271"/>
      <c r="S89" s="422"/>
      <c r="T89" s="422"/>
      <c r="U89" s="422"/>
      <c r="V89" s="395"/>
    </row>
    <row r="90" spans="1:22" x14ac:dyDescent="0.25">
      <c r="A90" s="426"/>
      <c r="B90" s="423"/>
      <c r="C90" s="429"/>
      <c r="D90" s="429"/>
      <c r="E90" s="423"/>
      <c r="F90" s="423"/>
      <c r="G90" s="432"/>
      <c r="H90" s="432"/>
      <c r="I90" s="432"/>
      <c r="J90" s="423"/>
      <c r="K90" s="423"/>
      <c r="L90" s="271" t="s">
        <v>462</v>
      </c>
      <c r="M90" s="274">
        <v>45892</v>
      </c>
      <c r="N90" s="274">
        <v>45902</v>
      </c>
      <c r="O90" s="275" t="s">
        <v>472</v>
      </c>
      <c r="P90" s="271">
        <f>N90-M90</f>
        <v>10</v>
      </c>
      <c r="Q90" s="271"/>
      <c r="R90" s="271"/>
      <c r="S90" s="423"/>
      <c r="T90" s="423"/>
      <c r="U90" s="423"/>
      <c r="V90" s="394"/>
    </row>
    <row r="91" spans="1:22" ht="14.5" customHeight="1" x14ac:dyDescent="0.25">
      <c r="A91" s="424">
        <v>6</v>
      </c>
      <c r="B91" s="421" t="s">
        <v>6</v>
      </c>
      <c r="C91" s="427" t="s">
        <v>533</v>
      </c>
      <c r="D91" s="427" t="s">
        <v>538</v>
      </c>
      <c r="E91" s="421" t="s">
        <v>842</v>
      </c>
      <c r="F91" s="421" t="s">
        <v>457</v>
      </c>
      <c r="G91" s="430">
        <v>45802</v>
      </c>
      <c r="H91" s="430">
        <f>G91+15</f>
        <v>45817</v>
      </c>
      <c r="I91" s="430">
        <f>M91</f>
        <v>45861</v>
      </c>
      <c r="J91" s="421">
        <f>I91-G91</f>
        <v>59</v>
      </c>
      <c r="K91" s="421">
        <f>N93-I91</f>
        <v>35</v>
      </c>
      <c r="L91" s="271" t="s">
        <v>458</v>
      </c>
      <c r="M91" s="274">
        <v>45861</v>
      </c>
      <c r="N91" s="274">
        <v>45872</v>
      </c>
      <c r="O91" s="275" t="s">
        <v>459</v>
      </c>
      <c r="P91" s="271">
        <f>N91-M91</f>
        <v>11</v>
      </c>
      <c r="Q91" s="271">
        <f ca="1">I1-N91</f>
        <v>31</v>
      </c>
      <c r="R91" s="271"/>
      <c r="S91" s="421" t="s">
        <v>397</v>
      </c>
      <c r="T91" s="421" t="str">
        <f>O93</f>
        <v>CAT - I</v>
      </c>
      <c r="U91" s="421" t="s">
        <v>397</v>
      </c>
      <c r="V91" s="393"/>
    </row>
    <row r="92" spans="1:22" x14ac:dyDescent="0.25">
      <c r="A92" s="425"/>
      <c r="B92" s="422"/>
      <c r="C92" s="428"/>
      <c r="D92" s="428"/>
      <c r="E92" s="422"/>
      <c r="F92" s="422"/>
      <c r="G92" s="431"/>
      <c r="H92" s="431"/>
      <c r="I92" s="431"/>
      <c r="J92" s="422"/>
      <c r="K92" s="422"/>
      <c r="L92" s="271" t="s">
        <v>460</v>
      </c>
      <c r="M92" s="274">
        <v>45880</v>
      </c>
      <c r="N92" s="274">
        <v>45888</v>
      </c>
      <c r="O92" s="275" t="s">
        <v>481</v>
      </c>
      <c r="P92" s="271">
        <f>M92-N91</f>
        <v>8</v>
      </c>
      <c r="Q92" s="271">
        <f>M93-N92</f>
        <v>4</v>
      </c>
      <c r="R92" s="271"/>
      <c r="S92" s="422"/>
      <c r="T92" s="422"/>
      <c r="U92" s="422"/>
      <c r="V92" s="395"/>
    </row>
    <row r="93" spans="1:22" x14ac:dyDescent="0.25">
      <c r="A93" s="426"/>
      <c r="B93" s="423"/>
      <c r="C93" s="429"/>
      <c r="D93" s="429"/>
      <c r="E93" s="423"/>
      <c r="F93" s="423"/>
      <c r="G93" s="432"/>
      <c r="H93" s="432"/>
      <c r="I93" s="432"/>
      <c r="J93" s="423"/>
      <c r="K93" s="423"/>
      <c r="L93" s="271" t="s">
        <v>462</v>
      </c>
      <c r="M93" s="274">
        <v>45892</v>
      </c>
      <c r="N93" s="274">
        <v>45896</v>
      </c>
      <c r="O93" s="275" t="s">
        <v>472</v>
      </c>
      <c r="P93" s="271">
        <f>N93-M93</f>
        <v>4</v>
      </c>
      <c r="Q93" s="271"/>
      <c r="R93" s="271"/>
      <c r="S93" s="423"/>
      <c r="T93" s="423"/>
      <c r="U93" s="423"/>
      <c r="V93" s="394"/>
    </row>
    <row r="94" spans="1:22" x14ac:dyDescent="0.25">
      <c r="A94" s="381">
        <v>7</v>
      </c>
      <c r="B94" s="382" t="s">
        <v>6</v>
      </c>
      <c r="C94" s="383" t="s">
        <v>533</v>
      </c>
      <c r="D94" s="438" t="s">
        <v>539</v>
      </c>
      <c r="E94" s="382" t="s">
        <v>540</v>
      </c>
      <c r="F94" s="382" t="s">
        <v>457</v>
      </c>
      <c r="G94" s="385">
        <v>45810</v>
      </c>
      <c r="H94" s="385">
        <f>G94+12</f>
        <v>45822</v>
      </c>
      <c r="I94" s="385">
        <f>M94</f>
        <v>45869</v>
      </c>
      <c r="J94" s="382">
        <f>I94-G94</f>
        <v>59</v>
      </c>
      <c r="K94" s="382">
        <f ca="1">I1-H94</f>
        <v>81</v>
      </c>
      <c r="L94" s="322" t="s">
        <v>458</v>
      </c>
      <c r="M94" s="325">
        <v>45869</v>
      </c>
      <c r="N94" s="325"/>
      <c r="O94" s="326"/>
      <c r="P94" s="322">
        <f>M95-M94</f>
        <v>11</v>
      </c>
      <c r="Q94" s="322"/>
      <c r="R94" s="291"/>
      <c r="S94" s="382" t="s">
        <v>489</v>
      </c>
      <c r="T94" s="382" t="str">
        <f>O95</f>
        <v>CAT - III</v>
      </c>
      <c r="U94" s="382" t="s">
        <v>464</v>
      </c>
      <c r="V94" s="388"/>
    </row>
    <row r="95" spans="1:22" x14ac:dyDescent="0.25">
      <c r="A95" s="436"/>
      <c r="B95" s="433"/>
      <c r="C95" s="437"/>
      <c r="D95" s="439"/>
      <c r="E95" s="433"/>
      <c r="F95" s="433"/>
      <c r="G95" s="435"/>
      <c r="H95" s="435"/>
      <c r="I95" s="435"/>
      <c r="J95" s="433"/>
      <c r="K95" s="433"/>
      <c r="L95" s="322" t="s">
        <v>458</v>
      </c>
      <c r="M95" s="325">
        <v>45880</v>
      </c>
      <c r="N95" s="325">
        <v>45889</v>
      </c>
      <c r="O95" s="326" t="s">
        <v>459</v>
      </c>
      <c r="P95" s="322">
        <f>N95-M95</f>
        <v>9</v>
      </c>
      <c r="Q95" s="322"/>
      <c r="R95" s="291"/>
      <c r="S95" s="433"/>
      <c r="T95" s="433"/>
      <c r="U95" s="433"/>
      <c r="V95" s="434"/>
    </row>
    <row r="96" spans="1:22" x14ac:dyDescent="0.25">
      <c r="A96" s="308">
        <v>8</v>
      </c>
      <c r="B96" s="257" t="s">
        <v>6</v>
      </c>
      <c r="C96" s="268" t="s">
        <v>533</v>
      </c>
      <c r="D96" s="269" t="s">
        <v>541</v>
      </c>
      <c r="E96" s="257" t="s">
        <v>542</v>
      </c>
      <c r="F96" s="257" t="s">
        <v>457</v>
      </c>
      <c r="G96" s="270">
        <v>45836</v>
      </c>
      <c r="H96" s="270">
        <f>G96+15</f>
        <v>45851</v>
      </c>
      <c r="I96" s="276"/>
      <c r="J96" s="257">
        <f ca="1">I1-G96</f>
        <v>67</v>
      </c>
      <c r="K96" s="259">
        <f ca="1">$I$1-H96</f>
        <v>52</v>
      </c>
      <c r="L96" s="293"/>
      <c r="M96" s="276"/>
      <c r="N96" s="276"/>
      <c r="O96" s="277"/>
      <c r="P96" s="259"/>
      <c r="Q96" s="259"/>
      <c r="R96" s="259"/>
      <c r="S96" s="259"/>
      <c r="T96" s="259"/>
      <c r="U96" s="259"/>
      <c r="V96" s="312"/>
    </row>
    <row r="97" spans="1:22" ht="21" x14ac:dyDescent="0.25">
      <c r="A97" s="308">
        <v>9</v>
      </c>
      <c r="B97" s="257" t="s">
        <v>6</v>
      </c>
      <c r="C97" s="268" t="s">
        <v>533</v>
      </c>
      <c r="D97" s="269" t="s">
        <v>543</v>
      </c>
      <c r="E97" s="257" t="s">
        <v>544</v>
      </c>
      <c r="F97" s="257" t="s">
        <v>457</v>
      </c>
      <c r="G97" s="270">
        <v>45840</v>
      </c>
      <c r="H97" s="270">
        <f>G97+12</f>
        <v>45852</v>
      </c>
      <c r="I97" s="270"/>
      <c r="J97" s="257">
        <f ca="1">$I$1-G97</f>
        <v>63</v>
      </c>
      <c r="K97" s="259">
        <f ca="1">$I$1-H97</f>
        <v>51</v>
      </c>
      <c r="L97" s="293"/>
      <c r="M97" s="276"/>
      <c r="N97" s="276"/>
      <c r="O97" s="277"/>
      <c r="P97" s="259"/>
      <c r="Q97" s="259"/>
      <c r="R97" s="259"/>
      <c r="S97" s="259"/>
      <c r="T97" s="259"/>
      <c r="U97" s="259"/>
      <c r="V97" s="312"/>
    </row>
    <row r="98" spans="1:22" ht="21" x14ac:dyDescent="0.25">
      <c r="A98" s="306"/>
      <c r="B98" s="263" t="s">
        <v>6</v>
      </c>
      <c r="C98" s="264" t="s">
        <v>533</v>
      </c>
      <c r="D98" s="265" t="s">
        <v>867</v>
      </c>
      <c r="E98" s="263" t="s">
        <v>868</v>
      </c>
      <c r="F98" s="263"/>
      <c r="G98" s="266"/>
      <c r="H98" s="266"/>
      <c r="I98" s="266"/>
      <c r="J98" s="263"/>
      <c r="K98" s="263"/>
      <c r="L98" s="313" t="s">
        <v>458</v>
      </c>
      <c r="M98" s="266">
        <v>45897</v>
      </c>
      <c r="N98" s="266"/>
      <c r="O98" s="267"/>
      <c r="P98" s="263"/>
      <c r="Q98" s="263"/>
      <c r="R98" s="263"/>
      <c r="S98" s="263" t="s">
        <v>482</v>
      </c>
      <c r="T98" s="263" t="s">
        <v>458</v>
      </c>
      <c r="U98" s="263" t="s">
        <v>461</v>
      </c>
      <c r="V98" s="307"/>
    </row>
    <row r="99" spans="1:22" x14ac:dyDescent="0.25">
      <c r="A99" s="306">
        <v>10</v>
      </c>
      <c r="B99" s="263" t="s">
        <v>6</v>
      </c>
      <c r="C99" s="264" t="s">
        <v>533</v>
      </c>
      <c r="D99" s="265" t="s">
        <v>545</v>
      </c>
      <c r="E99" s="263" t="s">
        <v>546</v>
      </c>
      <c r="F99" s="263" t="s">
        <v>457</v>
      </c>
      <c r="G99" s="266">
        <v>45843</v>
      </c>
      <c r="H99" s="266">
        <f>G99+12</f>
        <v>45855</v>
      </c>
      <c r="I99" s="266">
        <f t="shared" ref="I99:I104" si="3">M99</f>
        <v>45887</v>
      </c>
      <c r="J99" s="263">
        <f>I99-G99</f>
        <v>44</v>
      </c>
      <c r="K99" s="263">
        <f ca="1">$I$1-H99</f>
        <v>48</v>
      </c>
      <c r="L99" s="313" t="s">
        <v>458</v>
      </c>
      <c r="M99" s="266">
        <v>45887</v>
      </c>
      <c r="N99" s="266"/>
      <c r="O99" s="267"/>
      <c r="P99" s="263"/>
      <c r="Q99" s="263"/>
      <c r="R99" s="263"/>
      <c r="S99" s="263" t="s">
        <v>482</v>
      </c>
      <c r="T99" s="263" t="s">
        <v>458</v>
      </c>
      <c r="U99" s="263" t="s">
        <v>461</v>
      </c>
      <c r="V99" s="307"/>
    </row>
    <row r="100" spans="1:22" x14ac:dyDescent="0.25">
      <c r="A100" s="321">
        <v>11</v>
      </c>
      <c r="B100" s="322" t="s">
        <v>6</v>
      </c>
      <c r="C100" s="323" t="s">
        <v>533</v>
      </c>
      <c r="D100" s="324" t="s">
        <v>833</v>
      </c>
      <c r="E100" s="322" t="s">
        <v>834</v>
      </c>
      <c r="F100" s="322" t="s">
        <v>457</v>
      </c>
      <c r="G100" s="325">
        <v>45818</v>
      </c>
      <c r="H100" s="325">
        <f>G100+15</f>
        <v>45833</v>
      </c>
      <c r="I100" s="325">
        <f t="shared" si="3"/>
        <v>45880</v>
      </c>
      <c r="J100" s="322">
        <f>I100-G100</f>
        <v>62</v>
      </c>
      <c r="K100" s="322">
        <f ca="1">I1-H100</f>
        <v>70</v>
      </c>
      <c r="L100" s="322" t="s">
        <v>458</v>
      </c>
      <c r="M100" s="325">
        <v>45880</v>
      </c>
      <c r="N100" s="325">
        <v>45891</v>
      </c>
      <c r="O100" s="326" t="s">
        <v>459</v>
      </c>
      <c r="P100" s="322">
        <f>N100-M100</f>
        <v>11</v>
      </c>
      <c r="Q100" s="322">
        <f ca="1">I1-N100</f>
        <v>12</v>
      </c>
      <c r="R100" s="291"/>
      <c r="S100" s="322" t="s">
        <v>489</v>
      </c>
      <c r="T100" s="322" t="str">
        <f>O100</f>
        <v>CAT - III</v>
      </c>
      <c r="U100" s="322" t="s">
        <v>464</v>
      </c>
      <c r="V100" s="327" t="s">
        <v>854</v>
      </c>
    </row>
    <row r="101" spans="1:22" x14ac:dyDescent="0.25">
      <c r="A101" s="321">
        <v>12</v>
      </c>
      <c r="B101" s="322" t="s">
        <v>6</v>
      </c>
      <c r="C101" s="323" t="s">
        <v>533</v>
      </c>
      <c r="D101" s="324" t="s">
        <v>835</v>
      </c>
      <c r="E101" s="322" t="s">
        <v>836</v>
      </c>
      <c r="F101" s="322" t="s">
        <v>457</v>
      </c>
      <c r="G101" s="325">
        <v>45818</v>
      </c>
      <c r="H101" s="325">
        <f>G101+15</f>
        <v>45833</v>
      </c>
      <c r="I101" s="325">
        <f t="shared" si="3"/>
        <v>45880</v>
      </c>
      <c r="J101" s="322">
        <f>I101-G101</f>
        <v>62</v>
      </c>
      <c r="K101" s="322">
        <f ca="1">I1-H101</f>
        <v>70</v>
      </c>
      <c r="L101" s="322" t="s">
        <v>458</v>
      </c>
      <c r="M101" s="325">
        <v>45880</v>
      </c>
      <c r="N101" s="325">
        <v>45891</v>
      </c>
      <c r="O101" s="326" t="s">
        <v>459</v>
      </c>
      <c r="P101" s="322">
        <f>N101-M101</f>
        <v>11</v>
      </c>
      <c r="Q101" s="322">
        <f ca="1">I1-N101</f>
        <v>12</v>
      </c>
      <c r="R101" s="291"/>
      <c r="S101" s="322" t="s">
        <v>865</v>
      </c>
      <c r="T101" s="322" t="str">
        <f>O101</f>
        <v>CAT - III</v>
      </c>
      <c r="U101" s="322" t="s">
        <v>464</v>
      </c>
      <c r="V101" s="327" t="s">
        <v>854</v>
      </c>
    </row>
    <row r="102" spans="1:22" x14ac:dyDescent="0.25">
      <c r="A102" s="310">
        <v>1</v>
      </c>
      <c r="B102" s="271" t="s">
        <v>6</v>
      </c>
      <c r="C102" s="272" t="s">
        <v>547</v>
      </c>
      <c r="D102" s="273" t="s">
        <v>548</v>
      </c>
      <c r="E102" s="271" t="s">
        <v>549</v>
      </c>
      <c r="F102" s="271" t="s">
        <v>467</v>
      </c>
      <c r="G102" s="274">
        <v>45828</v>
      </c>
      <c r="H102" s="274">
        <f>G102+14</f>
        <v>45842</v>
      </c>
      <c r="I102" s="274">
        <f t="shared" si="3"/>
        <v>45892</v>
      </c>
      <c r="J102" s="271">
        <f t="shared" ref="J102:K103" ca="1" si="4">$I$1-G102</f>
        <v>75</v>
      </c>
      <c r="K102" s="271">
        <f>N102-H102</f>
        <v>53</v>
      </c>
      <c r="L102" s="271" t="s">
        <v>458</v>
      </c>
      <c r="M102" s="274">
        <v>45892</v>
      </c>
      <c r="N102" s="274">
        <v>45895</v>
      </c>
      <c r="O102" s="275" t="s">
        <v>511</v>
      </c>
      <c r="P102" s="271">
        <f>N102-M102</f>
        <v>3</v>
      </c>
      <c r="Q102" s="271"/>
      <c r="R102" s="271"/>
      <c r="S102" s="271" t="s">
        <v>397</v>
      </c>
      <c r="T102" s="271" t="str">
        <f>O102</f>
        <v xml:space="preserve">CAT -IV </v>
      </c>
      <c r="U102" s="271" t="s">
        <v>397</v>
      </c>
      <c r="V102" s="311"/>
    </row>
    <row r="103" spans="1:22" x14ac:dyDescent="0.25">
      <c r="A103" s="306">
        <v>2</v>
      </c>
      <c r="B103" s="263" t="s">
        <v>6</v>
      </c>
      <c r="C103" s="264" t="s">
        <v>547</v>
      </c>
      <c r="D103" s="265" t="s">
        <v>550</v>
      </c>
      <c r="E103" s="263" t="s">
        <v>551</v>
      </c>
      <c r="F103" s="263" t="s">
        <v>467</v>
      </c>
      <c r="G103" s="266">
        <v>45833</v>
      </c>
      <c r="H103" s="266">
        <f>G103+14</f>
        <v>45847</v>
      </c>
      <c r="I103" s="266">
        <f t="shared" si="3"/>
        <v>45895</v>
      </c>
      <c r="J103" s="263">
        <f t="shared" ca="1" si="4"/>
        <v>70</v>
      </c>
      <c r="K103" s="263">
        <f t="shared" ca="1" si="4"/>
        <v>56</v>
      </c>
      <c r="L103" s="263" t="s">
        <v>458</v>
      </c>
      <c r="M103" s="266">
        <v>45895</v>
      </c>
      <c r="N103" s="266"/>
      <c r="O103" s="267" t="s">
        <v>458</v>
      </c>
      <c r="P103" s="263"/>
      <c r="Q103" s="263"/>
      <c r="R103" s="263"/>
      <c r="S103" s="263" t="s">
        <v>482</v>
      </c>
      <c r="T103" s="263" t="str">
        <f>O103</f>
        <v>R0</v>
      </c>
      <c r="U103" s="263" t="s">
        <v>461</v>
      </c>
      <c r="V103" s="307"/>
    </row>
    <row r="104" spans="1:22" x14ac:dyDescent="0.25">
      <c r="A104" s="381">
        <v>3</v>
      </c>
      <c r="B104" s="382" t="s">
        <v>6</v>
      </c>
      <c r="C104" s="383" t="s">
        <v>547</v>
      </c>
      <c r="D104" s="384" t="s">
        <v>552</v>
      </c>
      <c r="E104" s="382" t="s">
        <v>553</v>
      </c>
      <c r="F104" s="382" t="s">
        <v>467</v>
      </c>
      <c r="G104" s="385">
        <v>45738</v>
      </c>
      <c r="H104" s="385">
        <f>G104+15</f>
        <v>45753</v>
      </c>
      <c r="I104" s="385">
        <f t="shared" si="3"/>
        <v>45799</v>
      </c>
      <c r="J104" s="382">
        <f>I104-G104</f>
        <v>61</v>
      </c>
      <c r="K104" s="382">
        <f ca="1">I1-H104</f>
        <v>150</v>
      </c>
      <c r="L104" s="322" t="s">
        <v>458</v>
      </c>
      <c r="M104" s="325">
        <v>45799</v>
      </c>
      <c r="N104" s="325">
        <v>45800</v>
      </c>
      <c r="O104" s="326" t="s">
        <v>468</v>
      </c>
      <c r="P104" s="322">
        <f t="shared" ref="P104:P109" si="5">N104-M104</f>
        <v>1</v>
      </c>
      <c r="Q104" s="322">
        <f>M105-N104</f>
        <v>15</v>
      </c>
      <c r="R104" s="433"/>
      <c r="S104" s="382" t="s">
        <v>489</v>
      </c>
      <c r="T104" s="382" t="str">
        <f>O105</f>
        <v>CAT -IV R</v>
      </c>
      <c r="U104" s="382" t="s">
        <v>464</v>
      </c>
      <c r="V104" s="388"/>
    </row>
    <row r="105" spans="1:22" x14ac:dyDescent="0.25">
      <c r="A105" s="357"/>
      <c r="B105" s="359"/>
      <c r="C105" s="361"/>
      <c r="D105" s="363"/>
      <c r="E105" s="396"/>
      <c r="F105" s="360"/>
      <c r="G105" s="366"/>
      <c r="H105" s="366"/>
      <c r="I105" s="366"/>
      <c r="J105" s="360"/>
      <c r="K105" s="360"/>
      <c r="L105" s="322" t="s">
        <v>460</v>
      </c>
      <c r="M105" s="325">
        <v>45815</v>
      </c>
      <c r="N105" s="325">
        <v>45826</v>
      </c>
      <c r="O105" s="326" t="s">
        <v>468</v>
      </c>
      <c r="P105" s="322">
        <f t="shared" si="5"/>
        <v>11</v>
      </c>
      <c r="Q105" s="322">
        <f ca="1">I1-N105</f>
        <v>77</v>
      </c>
      <c r="R105" s="396"/>
      <c r="S105" s="396"/>
      <c r="T105" s="396"/>
      <c r="U105" s="396"/>
      <c r="V105" s="397"/>
    </row>
    <row r="106" spans="1:22" s="333" customFormat="1" x14ac:dyDescent="0.25">
      <c r="A106" s="369">
        <v>4</v>
      </c>
      <c r="B106" s="371" t="s">
        <v>6</v>
      </c>
      <c r="C106" s="373" t="s">
        <v>547</v>
      </c>
      <c r="D106" s="375" t="s">
        <v>554</v>
      </c>
      <c r="E106" s="371" t="s">
        <v>555</v>
      </c>
      <c r="F106" s="371" t="s">
        <v>457</v>
      </c>
      <c r="G106" s="377">
        <v>45719</v>
      </c>
      <c r="H106" s="377">
        <f>G106+15</f>
        <v>45734</v>
      </c>
      <c r="I106" s="377">
        <v>45719</v>
      </c>
      <c r="J106" s="371">
        <f>I106-G106</f>
        <v>0</v>
      </c>
      <c r="K106" s="371">
        <f>R106-H106</f>
        <v>66</v>
      </c>
      <c r="L106" s="271" t="s">
        <v>458</v>
      </c>
      <c r="M106" s="274">
        <v>45719</v>
      </c>
      <c r="N106" s="274">
        <v>45721</v>
      </c>
      <c r="O106" s="275" t="s">
        <v>459</v>
      </c>
      <c r="P106" s="271">
        <f t="shared" si="5"/>
        <v>2</v>
      </c>
      <c r="Q106" s="271">
        <f>M107-N106</f>
        <v>15</v>
      </c>
      <c r="R106" s="386">
        <f>N108</f>
        <v>45800</v>
      </c>
      <c r="S106" s="371" t="str">
        <f>U106</f>
        <v>Approved</v>
      </c>
      <c r="T106" s="371" t="str">
        <f>O107</f>
        <v>CAT - I</v>
      </c>
      <c r="U106" s="371" t="s">
        <v>397</v>
      </c>
      <c r="V106" s="379"/>
    </row>
    <row r="107" spans="1:22" x14ac:dyDescent="0.25">
      <c r="A107" s="370"/>
      <c r="B107" s="372"/>
      <c r="C107" s="374"/>
      <c r="D107" s="376"/>
      <c r="E107" s="372"/>
      <c r="F107" s="372"/>
      <c r="G107" s="378"/>
      <c r="H107" s="378"/>
      <c r="I107" s="378"/>
      <c r="J107" s="372"/>
      <c r="K107" s="372"/>
      <c r="L107" s="271" t="s">
        <v>460</v>
      </c>
      <c r="M107" s="274">
        <v>45736</v>
      </c>
      <c r="N107" s="274">
        <v>45738</v>
      </c>
      <c r="O107" s="275" t="s">
        <v>472</v>
      </c>
      <c r="P107" s="271">
        <f t="shared" si="5"/>
        <v>2</v>
      </c>
      <c r="Q107" s="271">
        <f>M108-N107</f>
        <v>61</v>
      </c>
      <c r="R107" s="387"/>
      <c r="S107" s="372"/>
      <c r="T107" s="372"/>
      <c r="U107" s="372"/>
      <c r="V107" s="380"/>
    </row>
    <row r="108" spans="1:22" x14ac:dyDescent="0.25">
      <c r="A108" s="370"/>
      <c r="B108" s="372"/>
      <c r="C108" s="374"/>
      <c r="D108" s="376"/>
      <c r="E108" s="372"/>
      <c r="F108" s="372"/>
      <c r="G108" s="378"/>
      <c r="H108" s="378"/>
      <c r="I108" s="378"/>
      <c r="J108" s="372"/>
      <c r="K108" s="372"/>
      <c r="L108" s="271" t="s">
        <v>462</v>
      </c>
      <c r="M108" s="274">
        <v>45799</v>
      </c>
      <c r="N108" s="274">
        <v>45800</v>
      </c>
      <c r="O108" s="275" t="s">
        <v>472</v>
      </c>
      <c r="P108" s="271">
        <f t="shared" si="5"/>
        <v>1</v>
      </c>
      <c r="Q108" s="271"/>
      <c r="R108" s="387"/>
      <c r="S108" s="372"/>
      <c r="T108" s="372"/>
      <c r="U108" s="372"/>
      <c r="V108" s="380"/>
    </row>
    <row r="109" spans="1:22" s="333" customFormat="1" x14ac:dyDescent="0.25">
      <c r="A109" s="369">
        <v>5</v>
      </c>
      <c r="B109" s="371" t="s">
        <v>6</v>
      </c>
      <c r="C109" s="373" t="s">
        <v>547</v>
      </c>
      <c r="D109" s="391" t="s">
        <v>556</v>
      </c>
      <c r="E109" s="371" t="s">
        <v>557</v>
      </c>
      <c r="F109" s="371" t="s">
        <v>457</v>
      </c>
      <c r="G109" s="377">
        <v>45853</v>
      </c>
      <c r="H109" s="377">
        <f>G109+15</f>
        <v>45868</v>
      </c>
      <c r="I109" s="377">
        <f>M109</f>
        <v>45835</v>
      </c>
      <c r="J109" s="371">
        <f>I109-G109</f>
        <v>-18</v>
      </c>
      <c r="K109" s="371">
        <f>R109-H109</f>
        <v>10</v>
      </c>
      <c r="L109" s="371" t="s">
        <v>458</v>
      </c>
      <c r="M109" s="274">
        <v>45835</v>
      </c>
      <c r="N109" s="274">
        <v>45863</v>
      </c>
      <c r="O109" s="275" t="s">
        <v>481</v>
      </c>
      <c r="P109" s="271">
        <f t="shared" si="5"/>
        <v>28</v>
      </c>
      <c r="Q109" s="271">
        <f>M110-N109</f>
        <v>11</v>
      </c>
      <c r="R109" s="377">
        <f>N110</f>
        <v>45878</v>
      </c>
      <c r="S109" s="371" t="s">
        <v>397</v>
      </c>
      <c r="T109" s="371" t="str">
        <f>O110</f>
        <v>CAT - I</v>
      </c>
      <c r="U109" s="371" t="s">
        <v>397</v>
      </c>
      <c r="V109" s="379"/>
    </row>
    <row r="110" spans="1:22" x14ac:dyDescent="0.25">
      <c r="A110" s="370"/>
      <c r="B110" s="372"/>
      <c r="C110" s="374"/>
      <c r="D110" s="440"/>
      <c r="E110" s="372"/>
      <c r="F110" s="372"/>
      <c r="G110" s="378"/>
      <c r="H110" s="378"/>
      <c r="I110" s="378"/>
      <c r="J110" s="372"/>
      <c r="K110" s="372"/>
      <c r="L110" s="371"/>
      <c r="M110" s="274">
        <v>45874</v>
      </c>
      <c r="N110" s="274">
        <v>45878</v>
      </c>
      <c r="O110" s="275" t="s">
        <v>472</v>
      </c>
      <c r="P110" s="271">
        <f>N110-M110</f>
        <v>4</v>
      </c>
      <c r="Q110" s="271"/>
      <c r="R110" s="372"/>
      <c r="S110" s="372"/>
      <c r="T110" s="372"/>
      <c r="U110" s="372"/>
      <c r="V110" s="380"/>
    </row>
    <row r="111" spans="1:22" ht="21" x14ac:dyDescent="0.25">
      <c r="A111" s="321">
        <v>6</v>
      </c>
      <c r="B111" s="322" t="s">
        <v>6</v>
      </c>
      <c r="C111" s="323" t="s">
        <v>547</v>
      </c>
      <c r="D111" s="324" t="s">
        <v>387</v>
      </c>
      <c r="E111" s="322" t="s">
        <v>558</v>
      </c>
      <c r="F111" s="322" t="s">
        <v>457</v>
      </c>
      <c r="G111" s="325">
        <v>45795</v>
      </c>
      <c r="H111" s="325">
        <f t="shared" ref="H111:H123" si="6">G111+15</f>
        <v>45810</v>
      </c>
      <c r="I111" s="325">
        <f>M111</f>
        <v>45849</v>
      </c>
      <c r="J111" s="322">
        <f>I111-G111</f>
        <v>54</v>
      </c>
      <c r="K111" s="322">
        <f ca="1">I1-H111</f>
        <v>93</v>
      </c>
      <c r="L111" s="322" t="s">
        <v>458</v>
      </c>
      <c r="M111" s="325">
        <v>45849</v>
      </c>
      <c r="N111" s="325">
        <v>45868</v>
      </c>
      <c r="O111" s="326" t="s">
        <v>459</v>
      </c>
      <c r="P111" s="322">
        <f>N111-M111</f>
        <v>19</v>
      </c>
      <c r="Q111" s="322">
        <f ca="1">I1-N111</f>
        <v>35</v>
      </c>
      <c r="R111" s="291"/>
      <c r="S111" s="322" t="s">
        <v>482</v>
      </c>
      <c r="T111" s="322" t="s">
        <v>459</v>
      </c>
      <c r="U111" s="322" t="s">
        <v>464</v>
      </c>
      <c r="V111" s="327"/>
    </row>
    <row r="112" spans="1:22" x14ac:dyDescent="0.25">
      <c r="A112" s="308">
        <v>7</v>
      </c>
      <c r="B112" s="257" t="s">
        <v>6</v>
      </c>
      <c r="C112" s="268" t="s">
        <v>547</v>
      </c>
      <c r="D112" s="269" t="s">
        <v>559</v>
      </c>
      <c r="E112" s="259" t="s">
        <v>560</v>
      </c>
      <c r="F112" s="259" t="s">
        <v>457</v>
      </c>
      <c r="G112" s="276">
        <v>45800</v>
      </c>
      <c r="H112" s="276">
        <f t="shared" si="6"/>
        <v>45815</v>
      </c>
      <c r="I112" s="276"/>
      <c r="J112" s="257">
        <f t="shared" ref="J112:K129" ca="1" si="7">$I$1-G112</f>
        <v>103</v>
      </c>
      <c r="K112" s="259">
        <f t="shared" ca="1" si="7"/>
        <v>88</v>
      </c>
      <c r="L112" s="293"/>
      <c r="M112" s="276"/>
      <c r="N112" s="276"/>
      <c r="O112" s="277"/>
      <c r="P112" s="259"/>
      <c r="Q112" s="259"/>
      <c r="R112" s="259"/>
      <c r="S112" s="259"/>
      <c r="T112" s="259"/>
      <c r="U112" s="259"/>
      <c r="V112" s="312"/>
    </row>
    <row r="113" spans="1:22" x14ac:dyDescent="0.25">
      <c r="A113" s="308">
        <v>8</v>
      </c>
      <c r="B113" s="257" t="s">
        <v>6</v>
      </c>
      <c r="C113" s="268" t="s">
        <v>547</v>
      </c>
      <c r="D113" s="269" t="s">
        <v>561</v>
      </c>
      <c r="E113" s="259" t="s">
        <v>562</v>
      </c>
      <c r="F113" s="259" t="s">
        <v>457</v>
      </c>
      <c r="G113" s="276">
        <v>45800</v>
      </c>
      <c r="H113" s="276">
        <f t="shared" si="6"/>
        <v>45815</v>
      </c>
      <c r="I113" s="276"/>
      <c r="J113" s="257">
        <f t="shared" ca="1" si="7"/>
        <v>103</v>
      </c>
      <c r="K113" s="259">
        <f t="shared" ca="1" si="7"/>
        <v>88</v>
      </c>
      <c r="L113" s="293"/>
      <c r="M113" s="276"/>
      <c r="N113" s="276"/>
      <c r="O113" s="277"/>
      <c r="P113" s="259"/>
      <c r="Q113" s="259"/>
      <c r="R113" s="259"/>
      <c r="S113" s="259"/>
      <c r="T113" s="259"/>
      <c r="U113" s="259"/>
      <c r="V113" s="312"/>
    </row>
    <row r="114" spans="1:22" x14ac:dyDescent="0.25">
      <c r="A114" s="308">
        <v>9</v>
      </c>
      <c r="B114" s="257" t="s">
        <v>6</v>
      </c>
      <c r="C114" s="268" t="s">
        <v>547</v>
      </c>
      <c r="D114" s="269" t="s">
        <v>563</v>
      </c>
      <c r="E114" s="259" t="s">
        <v>564</v>
      </c>
      <c r="F114" s="259" t="s">
        <v>457</v>
      </c>
      <c r="G114" s="276">
        <v>45874</v>
      </c>
      <c r="H114" s="276">
        <f t="shared" si="6"/>
        <v>45889</v>
      </c>
      <c r="I114" s="276"/>
      <c r="J114" s="257">
        <f t="shared" ca="1" si="7"/>
        <v>29</v>
      </c>
      <c r="K114" s="259">
        <f t="shared" ca="1" si="7"/>
        <v>14</v>
      </c>
      <c r="L114" s="293"/>
      <c r="M114" s="276"/>
      <c r="N114" s="276"/>
      <c r="O114" s="277"/>
      <c r="P114" s="259"/>
      <c r="Q114" s="259"/>
      <c r="R114" s="259"/>
      <c r="S114" s="259"/>
      <c r="T114" s="259"/>
      <c r="U114" s="259"/>
      <c r="V114" s="312"/>
    </row>
    <row r="115" spans="1:22" ht="21" x14ac:dyDescent="0.25">
      <c r="A115" s="308">
        <v>10</v>
      </c>
      <c r="B115" s="257" t="s">
        <v>6</v>
      </c>
      <c r="C115" s="268" t="s">
        <v>547</v>
      </c>
      <c r="D115" s="269" t="s">
        <v>565</v>
      </c>
      <c r="E115" s="259" t="s">
        <v>566</v>
      </c>
      <c r="F115" s="259" t="s">
        <v>457</v>
      </c>
      <c r="G115" s="276">
        <v>45877</v>
      </c>
      <c r="H115" s="276">
        <f t="shared" si="6"/>
        <v>45892</v>
      </c>
      <c r="I115" s="276"/>
      <c r="J115" s="257">
        <f t="shared" ca="1" si="7"/>
        <v>26</v>
      </c>
      <c r="K115" s="259">
        <f t="shared" ca="1" si="7"/>
        <v>11</v>
      </c>
      <c r="L115" s="293"/>
      <c r="M115" s="276"/>
      <c r="N115" s="276"/>
      <c r="O115" s="277"/>
      <c r="P115" s="259"/>
      <c r="Q115" s="259"/>
      <c r="R115" s="259"/>
      <c r="S115" s="259"/>
      <c r="T115" s="259"/>
      <c r="U115" s="259"/>
      <c r="V115" s="312"/>
    </row>
    <row r="116" spans="1:22" x14ac:dyDescent="0.25">
      <c r="A116" s="308">
        <v>11</v>
      </c>
      <c r="B116" s="257" t="s">
        <v>6</v>
      </c>
      <c r="C116" s="268" t="s">
        <v>547</v>
      </c>
      <c r="D116" s="269" t="s">
        <v>567</v>
      </c>
      <c r="E116" s="259" t="s">
        <v>568</v>
      </c>
      <c r="F116" s="259" t="s">
        <v>457</v>
      </c>
      <c r="G116" s="276">
        <v>45881</v>
      </c>
      <c r="H116" s="276">
        <f t="shared" si="6"/>
        <v>45896</v>
      </c>
      <c r="I116" s="276"/>
      <c r="J116" s="257">
        <f t="shared" ca="1" si="7"/>
        <v>22</v>
      </c>
      <c r="K116" s="259">
        <f t="shared" ca="1" si="7"/>
        <v>7</v>
      </c>
      <c r="L116" s="293"/>
      <c r="M116" s="276"/>
      <c r="N116" s="276"/>
      <c r="O116" s="277"/>
      <c r="P116" s="259"/>
      <c r="Q116" s="259"/>
      <c r="R116" s="259"/>
      <c r="S116" s="259"/>
      <c r="T116" s="259"/>
      <c r="U116" s="259"/>
      <c r="V116" s="312"/>
    </row>
    <row r="117" spans="1:22" x14ac:dyDescent="0.25">
      <c r="A117" s="308">
        <v>12</v>
      </c>
      <c r="B117" s="257" t="s">
        <v>6</v>
      </c>
      <c r="C117" s="268" t="s">
        <v>547</v>
      </c>
      <c r="D117" s="269" t="s">
        <v>569</v>
      </c>
      <c r="E117" s="259" t="s">
        <v>570</v>
      </c>
      <c r="F117" s="259" t="s">
        <v>457</v>
      </c>
      <c r="G117" s="276">
        <v>45843</v>
      </c>
      <c r="H117" s="276">
        <f t="shared" si="6"/>
        <v>45858</v>
      </c>
      <c r="I117" s="276"/>
      <c r="J117" s="257">
        <f t="shared" ca="1" si="7"/>
        <v>60</v>
      </c>
      <c r="K117" s="259">
        <f t="shared" ca="1" si="7"/>
        <v>45</v>
      </c>
      <c r="L117" s="293"/>
      <c r="M117" s="276"/>
      <c r="N117" s="276"/>
      <c r="O117" s="277"/>
      <c r="P117" s="259"/>
      <c r="Q117" s="259"/>
      <c r="R117" s="259"/>
      <c r="S117" s="259"/>
      <c r="T117" s="259"/>
      <c r="U117" s="259"/>
      <c r="V117" s="312"/>
    </row>
    <row r="118" spans="1:22" x14ac:dyDescent="0.25">
      <c r="A118" s="308">
        <v>13</v>
      </c>
      <c r="B118" s="257" t="s">
        <v>6</v>
      </c>
      <c r="C118" s="268" t="s">
        <v>547</v>
      </c>
      <c r="D118" s="269" t="s">
        <v>571</v>
      </c>
      <c r="E118" s="259" t="s">
        <v>572</v>
      </c>
      <c r="F118" s="259" t="s">
        <v>457</v>
      </c>
      <c r="G118" s="276">
        <v>45848</v>
      </c>
      <c r="H118" s="276">
        <f t="shared" si="6"/>
        <v>45863</v>
      </c>
      <c r="I118" s="276"/>
      <c r="J118" s="257">
        <f t="shared" ca="1" si="7"/>
        <v>55</v>
      </c>
      <c r="K118" s="259">
        <f t="shared" ca="1" si="7"/>
        <v>40</v>
      </c>
      <c r="L118" s="293"/>
      <c r="M118" s="276"/>
      <c r="N118" s="276"/>
      <c r="O118" s="277"/>
      <c r="P118" s="259"/>
      <c r="Q118" s="259"/>
      <c r="R118" s="259"/>
      <c r="S118" s="259"/>
      <c r="T118" s="259"/>
      <c r="U118" s="259"/>
      <c r="V118" s="312"/>
    </row>
    <row r="119" spans="1:22" ht="21" x14ac:dyDescent="0.25">
      <c r="A119" s="308">
        <v>14</v>
      </c>
      <c r="B119" s="257" t="s">
        <v>6</v>
      </c>
      <c r="C119" s="268" t="s">
        <v>547</v>
      </c>
      <c r="D119" s="269" t="s">
        <v>573</v>
      </c>
      <c r="E119" s="259" t="s">
        <v>574</v>
      </c>
      <c r="F119" s="259" t="s">
        <v>457</v>
      </c>
      <c r="G119" s="276">
        <v>45833</v>
      </c>
      <c r="H119" s="276">
        <f t="shared" si="6"/>
        <v>45848</v>
      </c>
      <c r="I119" s="276"/>
      <c r="J119" s="257">
        <f t="shared" ca="1" si="7"/>
        <v>70</v>
      </c>
      <c r="K119" s="259">
        <f t="shared" ca="1" si="7"/>
        <v>55</v>
      </c>
      <c r="L119" s="293"/>
      <c r="M119" s="276"/>
      <c r="N119" s="276"/>
      <c r="O119" s="277"/>
      <c r="P119" s="259"/>
      <c r="Q119" s="259"/>
      <c r="R119" s="259"/>
      <c r="S119" s="259"/>
      <c r="T119" s="259"/>
      <c r="U119" s="259"/>
      <c r="V119" s="312"/>
    </row>
    <row r="120" spans="1:22" ht="21" x14ac:dyDescent="0.25">
      <c r="A120" s="321">
        <v>15</v>
      </c>
      <c r="B120" s="322" t="s">
        <v>6</v>
      </c>
      <c r="C120" s="323" t="s">
        <v>547</v>
      </c>
      <c r="D120" s="324" t="s">
        <v>575</v>
      </c>
      <c r="E120" s="322" t="s">
        <v>576</v>
      </c>
      <c r="F120" s="322" t="s">
        <v>457</v>
      </c>
      <c r="G120" s="325">
        <v>45838</v>
      </c>
      <c r="H120" s="325">
        <f t="shared" si="6"/>
        <v>45853</v>
      </c>
      <c r="I120" s="325">
        <v>45838</v>
      </c>
      <c r="J120" s="322">
        <f>I120-G120</f>
        <v>0</v>
      </c>
      <c r="K120" s="322">
        <f ca="1">I1-H120</f>
        <v>50</v>
      </c>
      <c r="L120" s="322" t="s">
        <v>458</v>
      </c>
      <c r="M120" s="325">
        <v>45838</v>
      </c>
      <c r="N120" s="325">
        <v>45882</v>
      </c>
      <c r="O120" s="326" t="s">
        <v>459</v>
      </c>
      <c r="P120" s="322">
        <f>N120-M120</f>
        <v>44</v>
      </c>
      <c r="Q120" s="322"/>
      <c r="R120" s="291"/>
      <c r="S120" s="322" t="s">
        <v>489</v>
      </c>
      <c r="T120" s="322" t="s">
        <v>459</v>
      </c>
      <c r="U120" s="322" t="s">
        <v>464</v>
      </c>
      <c r="V120" s="327"/>
    </row>
    <row r="121" spans="1:22" x14ac:dyDescent="0.25">
      <c r="A121" s="308">
        <v>16</v>
      </c>
      <c r="B121" s="257" t="s">
        <v>6</v>
      </c>
      <c r="C121" s="268" t="s">
        <v>547</v>
      </c>
      <c r="D121" s="269" t="s">
        <v>577</v>
      </c>
      <c r="E121" s="259" t="s">
        <v>578</v>
      </c>
      <c r="F121" s="259" t="s">
        <v>457</v>
      </c>
      <c r="G121" s="276">
        <v>45843</v>
      </c>
      <c r="H121" s="276">
        <f t="shared" si="6"/>
        <v>45858</v>
      </c>
      <c r="I121" s="276"/>
      <c r="J121" s="257">
        <f t="shared" ca="1" si="7"/>
        <v>60</v>
      </c>
      <c r="K121" s="259">
        <f ca="1">$I$1-H121</f>
        <v>45</v>
      </c>
      <c r="L121" s="293"/>
      <c r="M121" s="276"/>
      <c r="N121" s="276"/>
      <c r="O121" s="277"/>
      <c r="P121" s="259"/>
      <c r="Q121" s="259"/>
      <c r="R121" s="259"/>
      <c r="S121" s="259"/>
      <c r="T121" s="259"/>
      <c r="U121" s="259"/>
      <c r="V121" s="312"/>
    </row>
    <row r="122" spans="1:22" x14ac:dyDescent="0.25">
      <c r="A122" s="308">
        <v>17</v>
      </c>
      <c r="B122" s="257" t="s">
        <v>6</v>
      </c>
      <c r="C122" s="268" t="s">
        <v>547</v>
      </c>
      <c r="D122" s="269" t="s">
        <v>579</v>
      </c>
      <c r="E122" s="259" t="s">
        <v>580</v>
      </c>
      <c r="F122" s="259" t="s">
        <v>457</v>
      </c>
      <c r="G122" s="276">
        <v>45846</v>
      </c>
      <c r="H122" s="276">
        <f t="shared" si="6"/>
        <v>45861</v>
      </c>
      <c r="I122" s="270"/>
      <c r="J122" s="257">
        <f t="shared" ca="1" si="7"/>
        <v>57</v>
      </c>
      <c r="K122" s="259">
        <f ca="1">$I$1-H122</f>
        <v>42</v>
      </c>
      <c r="L122" s="293"/>
      <c r="M122" s="276"/>
      <c r="N122" s="276"/>
      <c r="O122" s="277"/>
      <c r="P122" s="259"/>
      <c r="Q122" s="259"/>
      <c r="R122" s="259"/>
      <c r="S122" s="259"/>
      <c r="T122" s="259"/>
      <c r="U122" s="259"/>
      <c r="V122" s="312"/>
    </row>
    <row r="123" spans="1:22" x14ac:dyDescent="0.25">
      <c r="A123" s="308">
        <v>18</v>
      </c>
      <c r="B123" s="257" t="s">
        <v>6</v>
      </c>
      <c r="C123" s="268" t="s">
        <v>547</v>
      </c>
      <c r="D123" s="269" t="s">
        <v>581</v>
      </c>
      <c r="E123" s="259" t="s">
        <v>582</v>
      </c>
      <c r="F123" s="257" t="s">
        <v>467</v>
      </c>
      <c r="G123" s="270">
        <v>45848</v>
      </c>
      <c r="H123" s="276">
        <f t="shared" si="6"/>
        <v>45863</v>
      </c>
      <c r="I123" s="270"/>
      <c r="J123" s="257">
        <f t="shared" ca="1" si="7"/>
        <v>55</v>
      </c>
      <c r="K123" s="259">
        <f ca="1">$I$1-H123</f>
        <v>40</v>
      </c>
      <c r="L123" s="293"/>
      <c r="M123" s="276"/>
      <c r="N123" s="276"/>
      <c r="O123" s="277"/>
      <c r="P123" s="259"/>
      <c r="Q123" s="259"/>
      <c r="R123" s="259"/>
      <c r="S123" s="259"/>
      <c r="T123" s="259"/>
      <c r="U123" s="259"/>
      <c r="V123" s="312"/>
    </row>
    <row r="124" spans="1:22" s="333" customFormat="1" x14ac:dyDescent="0.25">
      <c r="A124" s="310">
        <v>19</v>
      </c>
      <c r="B124" s="271" t="s">
        <v>6</v>
      </c>
      <c r="C124" s="272" t="s">
        <v>547</v>
      </c>
      <c r="D124" s="273" t="s">
        <v>583</v>
      </c>
      <c r="E124" s="271" t="s">
        <v>584</v>
      </c>
      <c r="F124" s="271" t="s">
        <v>467</v>
      </c>
      <c r="G124" s="274">
        <v>45853</v>
      </c>
      <c r="H124" s="274">
        <f>G124+7</f>
        <v>45860</v>
      </c>
      <c r="I124" s="274">
        <f>M124</f>
        <v>45855</v>
      </c>
      <c r="J124" s="271">
        <f>I124-G124</f>
        <v>2</v>
      </c>
      <c r="K124" s="271">
        <f>R124-H124</f>
        <v>-1</v>
      </c>
      <c r="L124" s="271" t="s">
        <v>458</v>
      </c>
      <c r="M124" s="274">
        <v>45855</v>
      </c>
      <c r="N124" s="274">
        <v>45859</v>
      </c>
      <c r="O124" s="275" t="s">
        <v>511</v>
      </c>
      <c r="P124" s="271">
        <f>N124-M124</f>
        <v>4</v>
      </c>
      <c r="Q124" s="271"/>
      <c r="R124" s="274">
        <f>N124</f>
        <v>45859</v>
      </c>
      <c r="S124" s="271" t="s">
        <v>397</v>
      </c>
      <c r="T124" s="271" t="str">
        <f>O124</f>
        <v xml:space="preserve">CAT -IV </v>
      </c>
      <c r="U124" s="271" t="s">
        <v>397</v>
      </c>
      <c r="V124" s="311"/>
    </row>
    <row r="125" spans="1:22" x14ac:dyDescent="0.25">
      <c r="A125" s="308">
        <v>20</v>
      </c>
      <c r="B125" s="257" t="s">
        <v>6</v>
      </c>
      <c r="C125" s="268" t="s">
        <v>547</v>
      </c>
      <c r="D125" s="269" t="s">
        <v>585</v>
      </c>
      <c r="E125" s="259" t="s">
        <v>586</v>
      </c>
      <c r="F125" s="257" t="s">
        <v>457</v>
      </c>
      <c r="G125" s="270">
        <v>45853</v>
      </c>
      <c r="H125" s="276">
        <f t="shared" ref="H125:H130" si="8">G125+15</f>
        <v>45868</v>
      </c>
      <c r="I125" s="270"/>
      <c r="J125" s="257">
        <f t="shared" ca="1" si="7"/>
        <v>50</v>
      </c>
      <c r="K125" s="259">
        <f ca="1">$I$1-H125</f>
        <v>35</v>
      </c>
      <c r="L125" s="293"/>
      <c r="M125" s="276"/>
      <c r="N125" s="276"/>
      <c r="O125" s="277"/>
      <c r="P125" s="259"/>
      <c r="Q125" s="259"/>
      <c r="R125" s="259"/>
      <c r="S125" s="259"/>
      <c r="T125" s="259"/>
      <c r="U125" s="259"/>
      <c r="V125" s="312"/>
    </row>
    <row r="126" spans="1:22" x14ac:dyDescent="0.25">
      <c r="A126" s="308">
        <v>21</v>
      </c>
      <c r="B126" s="257" t="s">
        <v>6</v>
      </c>
      <c r="C126" s="268" t="s">
        <v>547</v>
      </c>
      <c r="D126" s="269" t="s">
        <v>587</v>
      </c>
      <c r="E126" s="259" t="s">
        <v>588</v>
      </c>
      <c r="F126" s="257" t="s">
        <v>467</v>
      </c>
      <c r="G126" s="270">
        <v>45858</v>
      </c>
      <c r="H126" s="276">
        <f t="shared" si="8"/>
        <v>45873</v>
      </c>
      <c r="I126" s="270"/>
      <c r="J126" s="257">
        <f t="shared" ca="1" si="7"/>
        <v>45</v>
      </c>
      <c r="K126" s="259">
        <f ca="1">$I$1-H126</f>
        <v>30</v>
      </c>
      <c r="L126" s="293"/>
      <c r="M126" s="276"/>
      <c r="N126" s="276"/>
      <c r="O126" s="277"/>
      <c r="P126" s="259"/>
      <c r="Q126" s="259"/>
      <c r="R126" s="259"/>
      <c r="S126" s="259"/>
      <c r="T126" s="259"/>
      <c r="U126" s="259"/>
      <c r="V126" s="312"/>
    </row>
    <row r="127" spans="1:22" x14ac:dyDescent="0.25">
      <c r="A127" s="308">
        <v>22</v>
      </c>
      <c r="B127" s="257" t="s">
        <v>6</v>
      </c>
      <c r="C127" s="268" t="s">
        <v>547</v>
      </c>
      <c r="D127" s="269" t="s">
        <v>589</v>
      </c>
      <c r="E127" s="259" t="s">
        <v>590</v>
      </c>
      <c r="F127" s="257" t="s">
        <v>457</v>
      </c>
      <c r="G127" s="270">
        <v>45826</v>
      </c>
      <c r="H127" s="276">
        <f t="shared" si="8"/>
        <v>45841</v>
      </c>
      <c r="I127" s="270"/>
      <c r="J127" s="257">
        <f t="shared" ca="1" si="7"/>
        <v>77</v>
      </c>
      <c r="K127" s="259">
        <f ca="1">$I$1-H127</f>
        <v>62</v>
      </c>
      <c r="L127" s="293"/>
      <c r="M127" s="276"/>
      <c r="N127" s="276"/>
      <c r="O127" s="277"/>
      <c r="P127" s="259"/>
      <c r="Q127" s="259"/>
      <c r="R127" s="259"/>
      <c r="S127" s="259"/>
      <c r="T127" s="259"/>
      <c r="U127" s="259"/>
      <c r="V127" s="312"/>
    </row>
    <row r="128" spans="1:22" x14ac:dyDescent="0.25">
      <c r="A128" s="308">
        <v>23</v>
      </c>
      <c r="B128" s="257" t="s">
        <v>6</v>
      </c>
      <c r="C128" s="268" t="s">
        <v>547</v>
      </c>
      <c r="D128" s="269" t="s">
        <v>591</v>
      </c>
      <c r="E128" s="259" t="s">
        <v>592</v>
      </c>
      <c r="F128" s="257" t="s">
        <v>467</v>
      </c>
      <c r="G128" s="270">
        <v>45833</v>
      </c>
      <c r="H128" s="276">
        <f t="shared" si="8"/>
        <v>45848</v>
      </c>
      <c r="I128" s="270"/>
      <c r="J128" s="257">
        <f t="shared" ca="1" si="7"/>
        <v>70</v>
      </c>
      <c r="K128" s="259">
        <f ca="1">$I$1-H128</f>
        <v>55</v>
      </c>
      <c r="L128" s="293"/>
      <c r="M128" s="276"/>
      <c r="N128" s="276"/>
      <c r="O128" s="277"/>
      <c r="P128" s="259"/>
      <c r="Q128" s="259"/>
      <c r="R128" s="259"/>
      <c r="S128" s="259"/>
      <c r="T128" s="259"/>
      <c r="U128" s="259"/>
      <c r="V128" s="312"/>
    </row>
    <row r="129" spans="1:22" ht="21" x14ac:dyDescent="0.25">
      <c r="A129" s="308">
        <v>24</v>
      </c>
      <c r="B129" s="257" t="s">
        <v>6</v>
      </c>
      <c r="C129" s="268" t="s">
        <v>547</v>
      </c>
      <c r="D129" s="269" t="s">
        <v>593</v>
      </c>
      <c r="E129" s="259" t="s">
        <v>594</v>
      </c>
      <c r="F129" s="257" t="s">
        <v>457</v>
      </c>
      <c r="G129" s="270">
        <v>45863</v>
      </c>
      <c r="H129" s="276">
        <f t="shared" si="8"/>
        <v>45878</v>
      </c>
      <c r="I129" s="270"/>
      <c r="J129" s="257">
        <f t="shared" ca="1" si="7"/>
        <v>40</v>
      </c>
      <c r="K129" s="259">
        <f ca="1">$I$1-H129</f>
        <v>25</v>
      </c>
      <c r="L129" s="293"/>
      <c r="M129" s="276"/>
      <c r="N129" s="276"/>
      <c r="O129" s="277"/>
      <c r="P129" s="259"/>
      <c r="Q129" s="259"/>
      <c r="R129" s="259"/>
      <c r="S129" s="259"/>
      <c r="T129" s="259"/>
      <c r="U129" s="259"/>
      <c r="V129" s="312"/>
    </row>
    <row r="130" spans="1:22" s="333" customFormat="1" ht="29" customHeight="1" x14ac:dyDescent="0.25">
      <c r="A130" s="369">
        <v>25</v>
      </c>
      <c r="B130" s="371" t="s">
        <v>6</v>
      </c>
      <c r="C130" s="373" t="s">
        <v>547</v>
      </c>
      <c r="D130" s="391" t="s">
        <v>595</v>
      </c>
      <c r="E130" s="371" t="s">
        <v>596</v>
      </c>
      <c r="F130" s="371" t="s">
        <v>457</v>
      </c>
      <c r="G130" s="377">
        <v>45828</v>
      </c>
      <c r="H130" s="377">
        <f t="shared" si="8"/>
        <v>45843</v>
      </c>
      <c r="I130" s="377">
        <f>M130</f>
        <v>45849</v>
      </c>
      <c r="J130" s="371">
        <f>I130-G130</f>
        <v>21</v>
      </c>
      <c r="K130" s="371">
        <f>R130-H130</f>
        <v>40</v>
      </c>
      <c r="L130" s="271" t="s">
        <v>458</v>
      </c>
      <c r="M130" s="274">
        <v>45849</v>
      </c>
      <c r="N130" s="274">
        <v>45862</v>
      </c>
      <c r="O130" s="275" t="s">
        <v>459</v>
      </c>
      <c r="P130" s="271">
        <f>N130-M130</f>
        <v>13</v>
      </c>
      <c r="Q130" s="271">
        <f>M131-N130</f>
        <v>2</v>
      </c>
      <c r="R130" s="377">
        <f>N133</f>
        <v>45883</v>
      </c>
      <c r="S130" s="371" t="s">
        <v>397</v>
      </c>
      <c r="T130" s="371" t="str">
        <f>O133</f>
        <v>CAT - I</v>
      </c>
      <c r="U130" s="371" t="s">
        <v>397</v>
      </c>
      <c r="V130" s="379"/>
    </row>
    <row r="131" spans="1:22" x14ac:dyDescent="0.25">
      <c r="A131" s="370"/>
      <c r="B131" s="372"/>
      <c r="C131" s="373"/>
      <c r="D131" s="440"/>
      <c r="E131" s="372"/>
      <c r="F131" s="372"/>
      <c r="G131" s="378"/>
      <c r="H131" s="378"/>
      <c r="I131" s="378"/>
      <c r="J131" s="372"/>
      <c r="K131" s="372"/>
      <c r="L131" s="271" t="s">
        <v>460</v>
      </c>
      <c r="M131" s="274">
        <v>45864</v>
      </c>
      <c r="N131" s="274"/>
      <c r="O131" s="275"/>
      <c r="P131" s="271"/>
      <c r="Q131" s="271"/>
      <c r="R131" s="371"/>
      <c r="S131" s="372"/>
      <c r="T131" s="372"/>
      <c r="U131" s="372"/>
      <c r="V131" s="380"/>
    </row>
    <row r="132" spans="1:22" x14ac:dyDescent="0.25">
      <c r="A132" s="370"/>
      <c r="B132" s="372"/>
      <c r="C132" s="373"/>
      <c r="D132" s="440"/>
      <c r="E132" s="372"/>
      <c r="F132" s="372"/>
      <c r="G132" s="378"/>
      <c r="H132" s="378"/>
      <c r="I132" s="378"/>
      <c r="J132" s="372"/>
      <c r="K132" s="372"/>
      <c r="L132" s="271" t="s">
        <v>460</v>
      </c>
      <c r="M132" s="274">
        <v>45882</v>
      </c>
      <c r="N132" s="274"/>
      <c r="O132" s="275"/>
      <c r="P132" s="271"/>
      <c r="Q132" s="271"/>
      <c r="R132" s="371"/>
      <c r="S132" s="372"/>
      <c r="T132" s="372"/>
      <c r="U132" s="372"/>
      <c r="V132" s="380"/>
    </row>
    <row r="133" spans="1:22" x14ac:dyDescent="0.25">
      <c r="A133" s="370"/>
      <c r="B133" s="372"/>
      <c r="C133" s="373"/>
      <c r="D133" s="440"/>
      <c r="E133" s="372"/>
      <c r="F133" s="372"/>
      <c r="G133" s="378"/>
      <c r="H133" s="378"/>
      <c r="I133" s="378"/>
      <c r="J133" s="372"/>
      <c r="K133" s="372"/>
      <c r="L133" s="271" t="s">
        <v>460</v>
      </c>
      <c r="M133" s="274">
        <v>45883</v>
      </c>
      <c r="N133" s="274">
        <v>45883</v>
      </c>
      <c r="O133" s="275" t="s">
        <v>472</v>
      </c>
      <c r="P133" s="271"/>
      <c r="Q133" s="271"/>
      <c r="R133" s="371"/>
      <c r="S133" s="372"/>
      <c r="T133" s="372"/>
      <c r="U133" s="372"/>
      <c r="V133" s="380"/>
    </row>
    <row r="134" spans="1:22" s="333" customFormat="1" x14ac:dyDescent="0.25">
      <c r="A134" s="369">
        <v>26</v>
      </c>
      <c r="B134" s="371" t="s">
        <v>6</v>
      </c>
      <c r="C134" s="373" t="s">
        <v>547</v>
      </c>
      <c r="D134" s="375" t="s">
        <v>597</v>
      </c>
      <c r="E134" s="371" t="s">
        <v>598</v>
      </c>
      <c r="F134" s="371" t="s">
        <v>467</v>
      </c>
      <c r="G134" s="377">
        <v>45833</v>
      </c>
      <c r="H134" s="377">
        <f>G134+15</f>
        <v>45848</v>
      </c>
      <c r="I134" s="377">
        <f>M134</f>
        <v>45849</v>
      </c>
      <c r="J134" s="371">
        <f>I134-G134</f>
        <v>16</v>
      </c>
      <c r="K134" s="371">
        <f>R134-H134</f>
        <v>35</v>
      </c>
      <c r="L134" s="271" t="s">
        <v>458</v>
      </c>
      <c r="M134" s="274">
        <v>45849</v>
      </c>
      <c r="N134" s="274">
        <v>45862</v>
      </c>
      <c r="O134" s="275" t="s">
        <v>459</v>
      </c>
      <c r="P134" s="271"/>
      <c r="Q134" s="271"/>
      <c r="R134" s="377">
        <f>N135</f>
        <v>45883</v>
      </c>
      <c r="S134" s="371" t="s">
        <v>397</v>
      </c>
      <c r="T134" s="371" t="str">
        <f>O135</f>
        <v>CAT - I</v>
      </c>
      <c r="U134" s="371" t="s">
        <v>397</v>
      </c>
      <c r="V134" s="379"/>
    </row>
    <row r="135" spans="1:22" x14ac:dyDescent="0.25">
      <c r="A135" s="370"/>
      <c r="B135" s="372"/>
      <c r="C135" s="390"/>
      <c r="D135" s="376"/>
      <c r="E135" s="372"/>
      <c r="F135" s="372"/>
      <c r="G135" s="378"/>
      <c r="H135" s="378"/>
      <c r="I135" s="378"/>
      <c r="J135" s="372"/>
      <c r="K135" s="372"/>
      <c r="L135" s="271" t="s">
        <v>460</v>
      </c>
      <c r="M135" s="274">
        <v>45864</v>
      </c>
      <c r="N135" s="274">
        <v>45883</v>
      </c>
      <c r="O135" s="275" t="s">
        <v>472</v>
      </c>
      <c r="P135" s="271"/>
      <c r="Q135" s="271"/>
      <c r="R135" s="371"/>
      <c r="S135" s="372"/>
      <c r="T135" s="372"/>
      <c r="U135" s="372"/>
      <c r="V135" s="380"/>
    </row>
    <row r="136" spans="1:22" ht="21" x14ac:dyDescent="0.25">
      <c r="A136" s="308">
        <v>27</v>
      </c>
      <c r="B136" s="257" t="s">
        <v>6</v>
      </c>
      <c r="C136" s="268" t="s">
        <v>547</v>
      </c>
      <c r="D136" s="269" t="s">
        <v>599</v>
      </c>
      <c r="E136" s="259" t="s">
        <v>600</v>
      </c>
      <c r="F136" s="257" t="s">
        <v>457</v>
      </c>
      <c r="G136" s="276">
        <v>45836</v>
      </c>
      <c r="H136" s="276">
        <f>G136+15</f>
        <v>45851</v>
      </c>
      <c r="I136" s="270"/>
      <c r="J136" s="257">
        <f t="shared" ref="J136:J138" ca="1" si="9">$I$1-G136</f>
        <v>67</v>
      </c>
      <c r="K136" s="259">
        <f ca="1">$I$1-H136</f>
        <v>52</v>
      </c>
      <c r="L136" s="293"/>
      <c r="M136" s="276"/>
      <c r="N136" s="276"/>
      <c r="O136" s="277"/>
      <c r="P136" s="259"/>
      <c r="Q136" s="259"/>
      <c r="R136" s="259"/>
      <c r="S136" s="259"/>
      <c r="T136" s="259"/>
      <c r="U136" s="259"/>
      <c r="V136" s="312"/>
    </row>
    <row r="137" spans="1:22" x14ac:dyDescent="0.25">
      <c r="A137" s="308">
        <v>28</v>
      </c>
      <c r="B137" s="257" t="s">
        <v>6</v>
      </c>
      <c r="C137" s="268" t="s">
        <v>547</v>
      </c>
      <c r="D137" s="269" t="s">
        <v>601</v>
      </c>
      <c r="E137" s="259" t="s">
        <v>602</v>
      </c>
      <c r="F137" s="259" t="s">
        <v>457</v>
      </c>
      <c r="G137" s="276">
        <v>45858</v>
      </c>
      <c r="H137" s="276">
        <f>G137+15</f>
        <v>45873</v>
      </c>
      <c r="I137" s="270"/>
      <c r="J137" s="257">
        <f t="shared" ca="1" si="9"/>
        <v>45</v>
      </c>
      <c r="K137" s="259">
        <f ca="1">$I$1-H137</f>
        <v>30</v>
      </c>
      <c r="L137" s="293"/>
      <c r="M137" s="276"/>
      <c r="N137" s="276"/>
      <c r="O137" s="277"/>
      <c r="P137" s="259"/>
      <c r="Q137" s="259"/>
      <c r="R137" s="259"/>
      <c r="S137" s="259"/>
      <c r="T137" s="259"/>
      <c r="U137" s="259"/>
      <c r="V137" s="312"/>
    </row>
    <row r="138" spans="1:22" x14ac:dyDescent="0.25">
      <c r="A138" s="308">
        <v>29</v>
      </c>
      <c r="B138" s="257" t="s">
        <v>6</v>
      </c>
      <c r="C138" s="268" t="s">
        <v>547</v>
      </c>
      <c r="D138" s="269" t="s">
        <v>603</v>
      </c>
      <c r="E138" s="259" t="s">
        <v>604</v>
      </c>
      <c r="F138" s="259" t="s">
        <v>457</v>
      </c>
      <c r="G138" s="276">
        <v>45863</v>
      </c>
      <c r="H138" s="276">
        <f>G138+15</f>
        <v>45878</v>
      </c>
      <c r="I138" s="270"/>
      <c r="J138" s="257">
        <f t="shared" ca="1" si="9"/>
        <v>40</v>
      </c>
      <c r="K138" s="259">
        <f ca="1">$I$1-H138</f>
        <v>25</v>
      </c>
      <c r="L138" s="293"/>
      <c r="M138" s="276"/>
      <c r="N138" s="276"/>
      <c r="O138" s="277"/>
      <c r="P138" s="259"/>
      <c r="Q138" s="259"/>
      <c r="R138" s="259"/>
      <c r="S138" s="259"/>
      <c r="T138" s="259"/>
      <c r="U138" s="259"/>
      <c r="V138" s="312"/>
    </row>
    <row r="139" spans="1:22" s="333" customFormat="1" x14ac:dyDescent="0.25">
      <c r="A139" s="369">
        <v>1</v>
      </c>
      <c r="B139" s="371" t="s">
        <v>605</v>
      </c>
      <c r="C139" s="373" t="s">
        <v>606</v>
      </c>
      <c r="D139" s="375" t="s">
        <v>607</v>
      </c>
      <c r="E139" s="371" t="s">
        <v>608</v>
      </c>
      <c r="F139" s="371" t="s">
        <v>457</v>
      </c>
      <c r="G139" s="377">
        <v>45719</v>
      </c>
      <c r="H139" s="377">
        <f>G139+15</f>
        <v>45734</v>
      </c>
      <c r="I139" s="377">
        <f>M139</f>
        <v>45714</v>
      </c>
      <c r="J139" s="371">
        <f>I139-G139</f>
        <v>-5</v>
      </c>
      <c r="K139" s="371">
        <f>R139-H139</f>
        <v>86</v>
      </c>
      <c r="L139" s="271" t="s">
        <v>458</v>
      </c>
      <c r="M139" s="274">
        <v>45714</v>
      </c>
      <c r="N139" s="274">
        <v>45721</v>
      </c>
      <c r="O139" s="275" t="s">
        <v>459</v>
      </c>
      <c r="P139" s="271">
        <f t="shared" ref="P139:P149" si="10">N139-M139</f>
        <v>7</v>
      </c>
      <c r="Q139" s="271">
        <f>M140-N139</f>
        <v>33</v>
      </c>
      <c r="R139" s="377">
        <f>N142</f>
        <v>45820</v>
      </c>
      <c r="S139" s="371" t="s">
        <v>397</v>
      </c>
      <c r="T139" s="371" t="str">
        <f>O142</f>
        <v>CAT - I</v>
      </c>
      <c r="U139" s="371" t="s">
        <v>397</v>
      </c>
      <c r="V139" s="379"/>
    </row>
    <row r="140" spans="1:22" x14ac:dyDescent="0.25">
      <c r="A140" s="370"/>
      <c r="B140" s="372"/>
      <c r="C140" s="374"/>
      <c r="D140" s="376"/>
      <c r="E140" s="372"/>
      <c r="F140" s="372"/>
      <c r="G140" s="378"/>
      <c r="H140" s="378"/>
      <c r="I140" s="378"/>
      <c r="J140" s="372"/>
      <c r="K140" s="372"/>
      <c r="L140" s="271" t="s">
        <v>460</v>
      </c>
      <c r="M140" s="274">
        <v>45754</v>
      </c>
      <c r="N140" s="274">
        <v>45763</v>
      </c>
      <c r="O140" s="275" t="s">
        <v>459</v>
      </c>
      <c r="P140" s="271">
        <f t="shared" si="10"/>
        <v>9</v>
      </c>
      <c r="Q140" s="271">
        <f>M141-N140</f>
        <v>4</v>
      </c>
      <c r="R140" s="372"/>
      <c r="S140" s="372"/>
      <c r="T140" s="372"/>
      <c r="U140" s="372"/>
      <c r="V140" s="380"/>
    </row>
    <row r="141" spans="1:22" x14ac:dyDescent="0.25">
      <c r="A141" s="370"/>
      <c r="B141" s="372"/>
      <c r="C141" s="374"/>
      <c r="D141" s="376"/>
      <c r="E141" s="372"/>
      <c r="F141" s="372"/>
      <c r="G141" s="378"/>
      <c r="H141" s="378"/>
      <c r="I141" s="378"/>
      <c r="J141" s="372"/>
      <c r="K141" s="372"/>
      <c r="L141" s="271" t="s">
        <v>462</v>
      </c>
      <c r="M141" s="274">
        <v>45767</v>
      </c>
      <c r="N141" s="274">
        <v>45770</v>
      </c>
      <c r="O141" s="275" t="s">
        <v>481</v>
      </c>
      <c r="P141" s="271">
        <f t="shared" si="10"/>
        <v>3</v>
      </c>
      <c r="Q141" s="271">
        <f>M142-N141</f>
        <v>1</v>
      </c>
      <c r="R141" s="372"/>
      <c r="S141" s="372"/>
      <c r="T141" s="372"/>
      <c r="U141" s="372"/>
      <c r="V141" s="380"/>
    </row>
    <row r="142" spans="1:22" x14ac:dyDescent="0.25">
      <c r="A142" s="370"/>
      <c r="B142" s="372"/>
      <c r="C142" s="374"/>
      <c r="D142" s="376"/>
      <c r="E142" s="372"/>
      <c r="F142" s="372"/>
      <c r="G142" s="378"/>
      <c r="H142" s="378"/>
      <c r="I142" s="378"/>
      <c r="J142" s="372"/>
      <c r="K142" s="372"/>
      <c r="L142" s="271" t="s">
        <v>463</v>
      </c>
      <c r="M142" s="274">
        <v>45771</v>
      </c>
      <c r="N142" s="274">
        <v>45820</v>
      </c>
      <c r="O142" s="275" t="s">
        <v>472</v>
      </c>
      <c r="P142" s="271">
        <f t="shared" si="10"/>
        <v>49</v>
      </c>
      <c r="Q142" s="271"/>
      <c r="R142" s="372"/>
      <c r="S142" s="372"/>
      <c r="T142" s="372"/>
      <c r="U142" s="372"/>
      <c r="V142" s="380"/>
    </row>
    <row r="143" spans="1:22" x14ac:dyDescent="0.25">
      <c r="A143" s="381">
        <v>2</v>
      </c>
      <c r="B143" s="382" t="s">
        <v>605</v>
      </c>
      <c r="C143" s="383" t="s">
        <v>606</v>
      </c>
      <c r="D143" s="384" t="s">
        <v>818</v>
      </c>
      <c r="E143" s="382" t="s">
        <v>609</v>
      </c>
      <c r="F143" s="382" t="s">
        <v>457</v>
      </c>
      <c r="G143" s="385">
        <v>45755</v>
      </c>
      <c r="H143" s="385">
        <f>G143+15</f>
        <v>45770</v>
      </c>
      <c r="I143" s="385">
        <v>45772</v>
      </c>
      <c r="J143" s="382">
        <f>I143-G143</f>
        <v>17</v>
      </c>
      <c r="K143" s="382">
        <f ca="1">I1-H143</f>
        <v>133</v>
      </c>
      <c r="L143" s="322" t="s">
        <v>458</v>
      </c>
      <c r="M143" s="325">
        <v>45772</v>
      </c>
      <c r="N143" s="325">
        <v>45790</v>
      </c>
      <c r="O143" s="326" t="s">
        <v>459</v>
      </c>
      <c r="P143" s="322">
        <f t="shared" si="10"/>
        <v>18</v>
      </c>
      <c r="Q143" s="322">
        <f>M144-N143</f>
        <v>3</v>
      </c>
      <c r="R143" s="433"/>
      <c r="S143" s="382" t="s">
        <v>482</v>
      </c>
      <c r="T143" s="382" t="str">
        <f>O143</f>
        <v>CAT - III</v>
      </c>
      <c r="U143" s="382" t="s">
        <v>464</v>
      </c>
      <c r="V143" s="388"/>
    </row>
    <row r="144" spans="1:22" x14ac:dyDescent="0.25">
      <c r="A144" s="441"/>
      <c r="B144" s="442"/>
      <c r="C144" s="443"/>
      <c r="D144" s="444"/>
      <c r="E144" s="396"/>
      <c r="F144" s="396"/>
      <c r="G144" s="398"/>
      <c r="H144" s="398"/>
      <c r="I144" s="398"/>
      <c r="J144" s="396"/>
      <c r="K144" s="396"/>
      <c r="L144" s="322" t="s">
        <v>460</v>
      </c>
      <c r="M144" s="325">
        <v>45793</v>
      </c>
      <c r="N144" s="325">
        <v>45827</v>
      </c>
      <c r="O144" s="326"/>
      <c r="P144" s="322">
        <f t="shared" si="10"/>
        <v>34</v>
      </c>
      <c r="Q144" s="322">
        <f ca="1">I1-N144</f>
        <v>76</v>
      </c>
      <c r="R144" s="396"/>
      <c r="S144" s="396"/>
      <c r="T144" s="396"/>
      <c r="U144" s="396"/>
      <c r="V144" s="397"/>
    </row>
    <row r="145" spans="1:22" s="333" customFormat="1" x14ac:dyDescent="0.25">
      <c r="A145" s="369">
        <v>3</v>
      </c>
      <c r="B145" s="371" t="s">
        <v>605</v>
      </c>
      <c r="C145" s="373" t="s">
        <v>606</v>
      </c>
      <c r="D145" s="375" t="s">
        <v>610</v>
      </c>
      <c r="E145" s="371" t="s">
        <v>611</v>
      </c>
      <c r="F145" s="371" t="s">
        <v>457</v>
      </c>
      <c r="G145" s="377">
        <v>45762</v>
      </c>
      <c r="H145" s="377">
        <f>G145+15</f>
        <v>45777</v>
      </c>
      <c r="I145" s="377">
        <v>45790</v>
      </c>
      <c r="J145" s="371">
        <f>I145-G145</f>
        <v>28</v>
      </c>
      <c r="K145" s="371">
        <f>R145-H145</f>
        <v>63</v>
      </c>
      <c r="L145" s="271" t="s">
        <v>458</v>
      </c>
      <c r="M145" s="274">
        <v>45790</v>
      </c>
      <c r="N145" s="274">
        <v>45821</v>
      </c>
      <c r="O145" s="275" t="s">
        <v>459</v>
      </c>
      <c r="P145" s="271">
        <f t="shared" si="10"/>
        <v>31</v>
      </c>
      <c r="Q145" s="271">
        <f>M146-N145</f>
        <v>11</v>
      </c>
      <c r="R145" s="377">
        <f>N146</f>
        <v>45840</v>
      </c>
      <c r="S145" s="371" t="s">
        <v>397</v>
      </c>
      <c r="T145" s="371" t="str">
        <f>O146</f>
        <v>CAT - I</v>
      </c>
      <c r="U145" s="371" t="s">
        <v>397</v>
      </c>
      <c r="V145" s="311"/>
    </row>
    <row r="146" spans="1:22" x14ac:dyDescent="0.25">
      <c r="A146" s="370"/>
      <c r="B146" s="372"/>
      <c r="C146" s="374"/>
      <c r="D146" s="376"/>
      <c r="E146" s="372"/>
      <c r="F146" s="372"/>
      <c r="G146" s="378"/>
      <c r="H146" s="378"/>
      <c r="I146" s="378"/>
      <c r="J146" s="372"/>
      <c r="K146" s="372"/>
      <c r="L146" s="271" t="s">
        <v>460</v>
      </c>
      <c r="M146" s="274">
        <v>45832</v>
      </c>
      <c r="N146" s="274">
        <v>45840</v>
      </c>
      <c r="O146" s="275" t="s">
        <v>472</v>
      </c>
      <c r="P146" s="271">
        <f t="shared" si="10"/>
        <v>8</v>
      </c>
      <c r="Q146" s="271"/>
      <c r="R146" s="372"/>
      <c r="S146" s="372"/>
      <c r="T146" s="372"/>
      <c r="U146" s="372"/>
      <c r="V146" s="311"/>
    </row>
    <row r="147" spans="1:22" x14ac:dyDescent="0.25">
      <c r="A147" s="357">
        <v>4</v>
      </c>
      <c r="B147" s="359" t="s">
        <v>605</v>
      </c>
      <c r="C147" s="361" t="s">
        <v>606</v>
      </c>
      <c r="D147" s="363" t="s">
        <v>612</v>
      </c>
      <c r="E147" s="359" t="s">
        <v>613</v>
      </c>
      <c r="F147" s="359" t="s">
        <v>457</v>
      </c>
      <c r="G147" s="365">
        <v>45780</v>
      </c>
      <c r="H147" s="365">
        <f>G147+15</f>
        <v>45795</v>
      </c>
      <c r="I147" s="365">
        <v>45758</v>
      </c>
      <c r="J147" s="359">
        <f>I147-G147</f>
        <v>-22</v>
      </c>
      <c r="K147" s="359">
        <f ca="1">I1-H147</f>
        <v>108</v>
      </c>
      <c r="L147" s="263" t="s">
        <v>458</v>
      </c>
      <c r="M147" s="266">
        <v>45758</v>
      </c>
      <c r="N147" s="266">
        <v>45766</v>
      </c>
      <c r="O147" s="267" t="s">
        <v>459</v>
      </c>
      <c r="P147" s="263">
        <f t="shared" si="10"/>
        <v>8</v>
      </c>
      <c r="Q147" s="263">
        <f>M148-N147</f>
        <v>27</v>
      </c>
      <c r="R147" s="359"/>
      <c r="S147" s="359" t="s">
        <v>482</v>
      </c>
      <c r="T147" s="359" t="str">
        <f>O149</f>
        <v>CAT - II</v>
      </c>
      <c r="U147" s="359" t="s">
        <v>461</v>
      </c>
      <c r="V147" s="367"/>
    </row>
    <row r="148" spans="1:22" x14ac:dyDescent="0.25">
      <c r="A148" s="441"/>
      <c r="B148" s="442"/>
      <c r="C148" s="445"/>
      <c r="D148" s="444"/>
      <c r="E148" s="396"/>
      <c r="F148" s="396"/>
      <c r="G148" s="398"/>
      <c r="H148" s="398"/>
      <c r="I148" s="398"/>
      <c r="J148" s="396"/>
      <c r="K148" s="396"/>
      <c r="L148" s="263" t="s">
        <v>460</v>
      </c>
      <c r="M148" s="266">
        <v>45793</v>
      </c>
      <c r="N148" s="266">
        <v>45808</v>
      </c>
      <c r="O148" s="267" t="s">
        <v>459</v>
      </c>
      <c r="P148" s="263">
        <f t="shared" si="10"/>
        <v>15</v>
      </c>
      <c r="Q148" s="263">
        <f>M149-N148</f>
        <v>15</v>
      </c>
      <c r="R148" s="359"/>
      <c r="S148" s="359"/>
      <c r="T148" s="359"/>
      <c r="U148" s="359"/>
      <c r="V148" s="367"/>
    </row>
    <row r="149" spans="1:22" x14ac:dyDescent="0.25">
      <c r="A149" s="441"/>
      <c r="B149" s="442"/>
      <c r="C149" s="445"/>
      <c r="D149" s="444"/>
      <c r="E149" s="396"/>
      <c r="F149" s="396"/>
      <c r="G149" s="398"/>
      <c r="H149" s="398"/>
      <c r="I149" s="398"/>
      <c r="J149" s="396"/>
      <c r="K149" s="396"/>
      <c r="L149" s="263" t="s">
        <v>462</v>
      </c>
      <c r="M149" s="266">
        <v>45823</v>
      </c>
      <c r="N149" s="266">
        <v>45827</v>
      </c>
      <c r="O149" s="267" t="s">
        <v>481</v>
      </c>
      <c r="P149" s="263">
        <f t="shared" si="10"/>
        <v>4</v>
      </c>
      <c r="Q149" s="263">
        <f>M150-N149</f>
        <v>24</v>
      </c>
      <c r="R149" s="359"/>
      <c r="S149" s="359"/>
      <c r="T149" s="359"/>
      <c r="U149" s="359"/>
      <c r="V149" s="367"/>
    </row>
    <row r="150" spans="1:22" x14ac:dyDescent="0.25">
      <c r="A150" s="441"/>
      <c r="B150" s="442"/>
      <c r="C150" s="445"/>
      <c r="D150" s="444"/>
      <c r="E150" s="396"/>
      <c r="F150" s="396"/>
      <c r="G150" s="398"/>
      <c r="H150" s="398"/>
      <c r="I150" s="398"/>
      <c r="J150" s="396"/>
      <c r="K150" s="396"/>
      <c r="L150" s="263" t="s">
        <v>463</v>
      </c>
      <c r="M150" s="266">
        <v>45851</v>
      </c>
      <c r="N150" s="266"/>
      <c r="O150" s="267"/>
      <c r="P150" s="263">
        <f ca="1">I1-M150</f>
        <v>52</v>
      </c>
      <c r="Q150" s="263"/>
      <c r="R150" s="359"/>
      <c r="S150" s="359"/>
      <c r="T150" s="359"/>
      <c r="U150" s="359"/>
      <c r="V150" s="367"/>
    </row>
    <row r="151" spans="1:22" x14ac:dyDescent="0.25">
      <c r="A151" s="381">
        <v>5</v>
      </c>
      <c r="B151" s="382" t="s">
        <v>605</v>
      </c>
      <c r="C151" s="384" t="s">
        <v>606</v>
      </c>
      <c r="D151" s="384" t="s">
        <v>614</v>
      </c>
      <c r="E151" s="382" t="s">
        <v>615</v>
      </c>
      <c r="F151" s="382" t="s">
        <v>457</v>
      </c>
      <c r="G151" s="385">
        <v>45835</v>
      </c>
      <c r="H151" s="385">
        <f>G151+15</f>
        <v>45850</v>
      </c>
      <c r="I151" s="385">
        <f>M151</f>
        <v>45845</v>
      </c>
      <c r="J151" s="382">
        <f>I151-G151</f>
        <v>10</v>
      </c>
      <c r="K151" s="382">
        <f ca="1">I1-H151</f>
        <v>53</v>
      </c>
      <c r="L151" s="322" t="s">
        <v>458</v>
      </c>
      <c r="M151" s="325">
        <v>45845</v>
      </c>
      <c r="N151" s="325"/>
      <c r="O151" s="326"/>
      <c r="P151" s="322">
        <f>M152-M151</f>
        <v>25</v>
      </c>
      <c r="Q151" s="322"/>
      <c r="R151" s="447"/>
      <c r="S151" s="382" t="s">
        <v>489</v>
      </c>
      <c r="T151" s="382" t="str">
        <f>O154</f>
        <v>CAT - II</v>
      </c>
      <c r="U151" s="382" t="s">
        <v>464</v>
      </c>
      <c r="V151" s="472"/>
    </row>
    <row r="152" spans="1:22" x14ac:dyDescent="0.25">
      <c r="A152" s="446"/>
      <c r="B152" s="447"/>
      <c r="C152" s="448"/>
      <c r="D152" s="448"/>
      <c r="E152" s="447"/>
      <c r="F152" s="447"/>
      <c r="G152" s="449"/>
      <c r="H152" s="449"/>
      <c r="I152" s="449"/>
      <c r="J152" s="447"/>
      <c r="K152" s="447"/>
      <c r="L152" s="322" t="s">
        <v>460</v>
      </c>
      <c r="M152" s="325">
        <v>45870</v>
      </c>
      <c r="N152" s="325"/>
      <c r="O152" s="326"/>
      <c r="P152" s="322">
        <f>M153-M152</f>
        <v>8</v>
      </c>
      <c r="Q152" s="322"/>
      <c r="R152" s="447"/>
      <c r="S152" s="447"/>
      <c r="T152" s="447"/>
      <c r="U152" s="447"/>
      <c r="V152" s="562"/>
    </row>
    <row r="153" spans="1:22" x14ac:dyDescent="0.25">
      <c r="A153" s="446"/>
      <c r="B153" s="447"/>
      <c r="C153" s="448"/>
      <c r="D153" s="448"/>
      <c r="E153" s="447"/>
      <c r="F153" s="447"/>
      <c r="G153" s="449"/>
      <c r="H153" s="449"/>
      <c r="I153" s="449"/>
      <c r="J153" s="447"/>
      <c r="K153" s="447"/>
      <c r="L153" s="322" t="s">
        <v>462</v>
      </c>
      <c r="M153" s="325">
        <v>45878</v>
      </c>
      <c r="N153" s="325"/>
      <c r="O153" s="326"/>
      <c r="P153" s="322">
        <f ca="1">I1-M153</f>
        <v>25</v>
      </c>
      <c r="Q153" s="322"/>
      <c r="R153" s="447"/>
      <c r="S153" s="447"/>
      <c r="T153" s="447"/>
      <c r="U153" s="447"/>
      <c r="V153" s="562"/>
    </row>
    <row r="154" spans="1:22" x14ac:dyDescent="0.25">
      <c r="A154" s="446"/>
      <c r="B154" s="447"/>
      <c r="C154" s="448"/>
      <c r="D154" s="448"/>
      <c r="E154" s="447"/>
      <c r="F154" s="447"/>
      <c r="G154" s="449"/>
      <c r="H154" s="449"/>
      <c r="I154" s="449"/>
      <c r="J154" s="447"/>
      <c r="K154" s="447"/>
      <c r="L154" s="322" t="s">
        <v>463</v>
      </c>
      <c r="M154" s="325">
        <v>45882</v>
      </c>
      <c r="N154" s="325">
        <v>45884</v>
      </c>
      <c r="O154" s="326" t="s">
        <v>481</v>
      </c>
      <c r="P154" s="322">
        <f>N154-M154</f>
        <v>2</v>
      </c>
      <c r="Q154" s="322"/>
      <c r="R154" s="320"/>
      <c r="S154" s="447"/>
      <c r="T154" s="447"/>
      <c r="U154" s="447"/>
      <c r="V154" s="481"/>
    </row>
    <row r="155" spans="1:22" x14ac:dyDescent="0.25">
      <c r="A155" s="381">
        <v>6</v>
      </c>
      <c r="B155" s="382" t="s">
        <v>605</v>
      </c>
      <c r="C155" s="438" t="s">
        <v>606</v>
      </c>
      <c r="D155" s="384" t="s">
        <v>616</v>
      </c>
      <c r="E155" s="382" t="s">
        <v>617</v>
      </c>
      <c r="F155" s="382" t="s">
        <v>457</v>
      </c>
      <c r="G155" s="385">
        <v>45835</v>
      </c>
      <c r="H155" s="385">
        <f>G155+15</f>
        <v>45850</v>
      </c>
      <c r="I155" s="385">
        <f>M155</f>
        <v>45848</v>
      </c>
      <c r="J155" s="382">
        <f>I155-G155</f>
        <v>13</v>
      </c>
      <c r="K155" s="382">
        <f ca="1">I1-H155</f>
        <v>53</v>
      </c>
      <c r="L155" s="322" t="s">
        <v>458</v>
      </c>
      <c r="M155" s="325">
        <v>45848</v>
      </c>
      <c r="N155" s="325">
        <v>45864</v>
      </c>
      <c r="O155" s="326" t="s">
        <v>459</v>
      </c>
      <c r="P155" s="322">
        <f>N155-M155</f>
        <v>16</v>
      </c>
      <c r="Q155" s="322">
        <f>M156-N155</f>
        <v>14</v>
      </c>
      <c r="R155" s="320"/>
      <c r="S155" s="382" t="s">
        <v>489</v>
      </c>
      <c r="T155" s="382" t="str">
        <f>O156</f>
        <v>CAT - II</v>
      </c>
      <c r="U155" s="382" t="s">
        <v>464</v>
      </c>
      <c r="V155" s="388"/>
    </row>
    <row r="156" spans="1:22" x14ac:dyDescent="0.25">
      <c r="A156" s="446"/>
      <c r="B156" s="447"/>
      <c r="C156" s="447"/>
      <c r="D156" s="448"/>
      <c r="E156" s="447"/>
      <c r="F156" s="447"/>
      <c r="G156" s="449"/>
      <c r="H156" s="449"/>
      <c r="I156" s="449"/>
      <c r="J156" s="447"/>
      <c r="K156" s="447"/>
      <c r="L156" s="322" t="s">
        <v>460</v>
      </c>
      <c r="M156" s="325">
        <v>45878</v>
      </c>
      <c r="N156" s="325">
        <v>45883</v>
      </c>
      <c r="O156" s="326" t="s">
        <v>481</v>
      </c>
      <c r="P156" s="322">
        <f>N156-M156</f>
        <v>5</v>
      </c>
      <c r="Q156" s="322"/>
      <c r="R156" s="320"/>
      <c r="S156" s="447"/>
      <c r="T156" s="447"/>
      <c r="U156" s="447"/>
      <c r="V156" s="450"/>
    </row>
    <row r="157" spans="1:22" x14ac:dyDescent="0.25">
      <c r="A157" s="306">
        <v>7</v>
      </c>
      <c r="B157" s="263" t="s">
        <v>605</v>
      </c>
      <c r="C157" s="264" t="s">
        <v>606</v>
      </c>
      <c r="D157" s="265" t="s">
        <v>618</v>
      </c>
      <c r="E157" s="263" t="s">
        <v>619</v>
      </c>
      <c r="F157" s="263" t="s">
        <v>457</v>
      </c>
      <c r="G157" s="266">
        <v>45835</v>
      </c>
      <c r="H157" s="266">
        <f>G157+15</f>
        <v>45850</v>
      </c>
      <c r="I157" s="266">
        <f>M157</f>
        <v>45895</v>
      </c>
      <c r="J157" s="263">
        <f t="shared" ref="J157" ca="1" si="11">$I$1-G157</f>
        <v>68</v>
      </c>
      <c r="K157" s="263">
        <f ca="1">$I$1-H157</f>
        <v>53</v>
      </c>
      <c r="L157" s="313" t="s">
        <v>458</v>
      </c>
      <c r="M157" s="266">
        <v>45895</v>
      </c>
      <c r="N157" s="266"/>
      <c r="O157" s="267"/>
      <c r="P157" s="263">
        <f ca="1">I1-M157</f>
        <v>8</v>
      </c>
      <c r="Q157" s="263"/>
      <c r="R157" s="263"/>
      <c r="S157" s="263" t="s">
        <v>482</v>
      </c>
      <c r="T157" s="263" t="s">
        <v>458</v>
      </c>
      <c r="U157" s="263" t="s">
        <v>461</v>
      </c>
      <c r="V157" s="307"/>
    </row>
    <row r="158" spans="1:22" x14ac:dyDescent="0.25">
      <c r="A158" s="321">
        <v>8</v>
      </c>
      <c r="B158" s="322" t="s">
        <v>605</v>
      </c>
      <c r="C158" s="323" t="s">
        <v>606</v>
      </c>
      <c r="D158" s="324" t="s">
        <v>620</v>
      </c>
      <c r="E158" s="322" t="s">
        <v>621</v>
      </c>
      <c r="F158" s="322" t="s">
        <v>457</v>
      </c>
      <c r="G158" s="325">
        <v>45835</v>
      </c>
      <c r="H158" s="325">
        <f>G158+15</f>
        <v>45850</v>
      </c>
      <c r="I158" s="325">
        <f>M158</f>
        <v>45845</v>
      </c>
      <c r="J158" s="322"/>
      <c r="K158" s="322">
        <f ca="1">I1-H158</f>
        <v>53</v>
      </c>
      <c r="L158" s="322" t="s">
        <v>458</v>
      </c>
      <c r="M158" s="325">
        <v>45845</v>
      </c>
      <c r="N158" s="325">
        <v>45877</v>
      </c>
      <c r="O158" s="326" t="s">
        <v>459</v>
      </c>
      <c r="P158" s="322">
        <f>N158-M158</f>
        <v>32</v>
      </c>
      <c r="Q158" s="322">
        <f ca="1">I1-N158</f>
        <v>26</v>
      </c>
      <c r="R158" s="320"/>
      <c r="S158" s="322" t="s">
        <v>489</v>
      </c>
      <c r="T158" s="322" t="str">
        <f>O158</f>
        <v>CAT - III</v>
      </c>
      <c r="U158" s="322" t="s">
        <v>464</v>
      </c>
      <c r="V158" s="327"/>
    </row>
    <row r="159" spans="1:22" x14ac:dyDescent="0.25">
      <c r="A159" s="357">
        <v>9</v>
      </c>
      <c r="B159" s="359" t="s">
        <v>605</v>
      </c>
      <c r="C159" s="451" t="s">
        <v>606</v>
      </c>
      <c r="D159" s="363" t="s">
        <v>622</v>
      </c>
      <c r="E159" s="359" t="s">
        <v>623</v>
      </c>
      <c r="F159" s="359" t="s">
        <v>457</v>
      </c>
      <c r="G159" s="365">
        <v>45768</v>
      </c>
      <c r="H159" s="365">
        <f>G159+21</f>
        <v>45789</v>
      </c>
      <c r="I159" s="365">
        <f>M159</f>
        <v>45804</v>
      </c>
      <c r="J159" s="359">
        <f>I159-G159</f>
        <v>36</v>
      </c>
      <c r="K159" s="359">
        <f ca="1">I1-H159</f>
        <v>114</v>
      </c>
      <c r="L159" s="263" t="s">
        <v>458</v>
      </c>
      <c r="M159" s="266">
        <v>45804</v>
      </c>
      <c r="N159" s="266">
        <v>45812</v>
      </c>
      <c r="O159" s="267" t="s">
        <v>459</v>
      </c>
      <c r="P159" s="263">
        <f>N159-M159</f>
        <v>8</v>
      </c>
      <c r="Q159" s="263">
        <f>M160-N159</f>
        <v>9</v>
      </c>
      <c r="R159" s="263"/>
      <c r="S159" s="359" t="s">
        <v>482</v>
      </c>
      <c r="T159" s="359" t="str">
        <f>O161</f>
        <v>CAT - II</v>
      </c>
      <c r="U159" s="359" t="s">
        <v>461</v>
      </c>
      <c r="V159" s="367"/>
    </row>
    <row r="160" spans="1:22" x14ac:dyDescent="0.25">
      <c r="A160" s="357"/>
      <c r="B160" s="359"/>
      <c r="C160" s="451"/>
      <c r="D160" s="363"/>
      <c r="E160" s="359"/>
      <c r="F160" s="359"/>
      <c r="G160" s="365"/>
      <c r="H160" s="365"/>
      <c r="I160" s="365"/>
      <c r="J160" s="359"/>
      <c r="K160" s="359"/>
      <c r="L160" s="263" t="s">
        <v>460</v>
      </c>
      <c r="M160" s="266">
        <v>45821</v>
      </c>
      <c r="N160" s="266">
        <v>45825</v>
      </c>
      <c r="O160" s="267" t="s">
        <v>459</v>
      </c>
      <c r="P160" s="263">
        <f>N160-M160</f>
        <v>4</v>
      </c>
      <c r="Q160" s="263">
        <f>M161-N160</f>
        <v>1</v>
      </c>
      <c r="R160" s="263"/>
      <c r="S160" s="359"/>
      <c r="T160" s="359"/>
      <c r="U160" s="359"/>
      <c r="V160" s="367"/>
    </row>
    <row r="161" spans="1:22" x14ac:dyDescent="0.25">
      <c r="A161" s="357"/>
      <c r="B161" s="359"/>
      <c r="C161" s="451"/>
      <c r="D161" s="363"/>
      <c r="E161" s="359"/>
      <c r="F161" s="359"/>
      <c r="G161" s="365"/>
      <c r="H161" s="365"/>
      <c r="I161" s="365"/>
      <c r="J161" s="359"/>
      <c r="K161" s="359"/>
      <c r="L161" s="263" t="s">
        <v>462</v>
      </c>
      <c r="M161" s="266">
        <v>45826</v>
      </c>
      <c r="N161" s="266">
        <v>45828</v>
      </c>
      <c r="O161" s="267" t="s">
        <v>481</v>
      </c>
      <c r="P161" s="263">
        <f>N161-M161</f>
        <v>2</v>
      </c>
      <c r="Q161" s="263"/>
      <c r="R161" s="263"/>
      <c r="S161" s="359"/>
      <c r="T161" s="359"/>
      <c r="U161" s="359"/>
      <c r="V161" s="367"/>
    </row>
    <row r="162" spans="1:22" x14ac:dyDescent="0.25">
      <c r="A162" s="357"/>
      <c r="B162" s="359"/>
      <c r="C162" s="451"/>
      <c r="D162" s="363"/>
      <c r="E162" s="359"/>
      <c r="F162" s="359"/>
      <c r="G162" s="365"/>
      <c r="H162" s="365"/>
      <c r="I162" s="365"/>
      <c r="J162" s="359"/>
      <c r="K162" s="359"/>
      <c r="L162" s="263" t="s">
        <v>463</v>
      </c>
      <c r="M162" s="266">
        <v>45889</v>
      </c>
      <c r="N162" s="266"/>
      <c r="O162" s="267"/>
      <c r="P162" s="263"/>
      <c r="Q162" s="263"/>
      <c r="R162" s="263"/>
      <c r="S162" s="359"/>
      <c r="T162" s="359"/>
      <c r="U162" s="359"/>
      <c r="V162" s="367"/>
    </row>
    <row r="163" spans="1:22" ht="29" customHeight="1" x14ac:dyDescent="0.25">
      <c r="A163" s="357">
        <v>10</v>
      </c>
      <c r="B163" s="359" t="s">
        <v>605</v>
      </c>
      <c r="C163" s="451" t="s">
        <v>606</v>
      </c>
      <c r="D163" s="363" t="s">
        <v>624</v>
      </c>
      <c r="E163" s="359" t="s">
        <v>625</v>
      </c>
      <c r="F163" s="359" t="s">
        <v>457</v>
      </c>
      <c r="G163" s="365">
        <v>45800</v>
      </c>
      <c r="H163" s="365">
        <f t="shared" ref="H163:H182" si="12">G163+15</f>
        <v>45815</v>
      </c>
      <c r="I163" s="365">
        <v>45840</v>
      </c>
      <c r="J163" s="359">
        <f>I163-G163</f>
        <v>40</v>
      </c>
      <c r="K163" s="359">
        <f ca="1">I1-H163</f>
        <v>88</v>
      </c>
      <c r="L163" s="263" t="s">
        <v>458</v>
      </c>
      <c r="M163" s="266">
        <v>45840</v>
      </c>
      <c r="N163" s="266">
        <v>45863</v>
      </c>
      <c r="O163" s="267" t="s">
        <v>459</v>
      </c>
      <c r="P163" s="263">
        <f>N163-M163</f>
        <v>23</v>
      </c>
      <c r="Q163" s="263">
        <f>M164-N163</f>
        <v>26</v>
      </c>
      <c r="R163" s="263"/>
      <c r="S163" s="359" t="s">
        <v>482</v>
      </c>
      <c r="T163" s="359" t="str">
        <f>O163</f>
        <v>CAT - III</v>
      </c>
      <c r="U163" s="359" t="s">
        <v>461</v>
      </c>
      <c r="V163" s="367"/>
    </row>
    <row r="164" spans="1:22" x14ac:dyDescent="0.25">
      <c r="A164" s="357"/>
      <c r="B164" s="359"/>
      <c r="C164" s="451"/>
      <c r="D164" s="363"/>
      <c r="E164" s="359"/>
      <c r="F164" s="359"/>
      <c r="G164" s="365"/>
      <c r="H164" s="365"/>
      <c r="I164" s="365"/>
      <c r="J164" s="359"/>
      <c r="K164" s="359"/>
      <c r="L164" s="263" t="s">
        <v>460</v>
      </c>
      <c r="M164" s="266">
        <v>45889</v>
      </c>
      <c r="N164" s="266"/>
      <c r="O164" s="267"/>
      <c r="P164" s="263"/>
      <c r="Q164" s="263"/>
      <c r="R164" s="263"/>
      <c r="S164" s="359"/>
      <c r="T164" s="359"/>
      <c r="U164" s="359"/>
      <c r="V164" s="367"/>
    </row>
    <row r="165" spans="1:22" ht="21" x14ac:dyDescent="0.25">
      <c r="A165" s="308">
        <v>11</v>
      </c>
      <c r="B165" s="257" t="s">
        <v>605</v>
      </c>
      <c r="C165" s="268" t="s">
        <v>606</v>
      </c>
      <c r="D165" s="269" t="s">
        <v>626</v>
      </c>
      <c r="E165" s="259" t="s">
        <v>627</v>
      </c>
      <c r="F165" s="259" t="s">
        <v>457</v>
      </c>
      <c r="G165" s="276">
        <v>45826</v>
      </c>
      <c r="H165" s="276">
        <f t="shared" si="12"/>
        <v>45841</v>
      </c>
      <c r="I165" s="270"/>
      <c r="J165" s="257">
        <f t="shared" ref="J165:J167" ca="1" si="13">$I$1-G165</f>
        <v>77</v>
      </c>
      <c r="K165" s="259">
        <f ca="1">$I$1-H165</f>
        <v>62</v>
      </c>
      <c r="L165" s="293"/>
      <c r="M165" s="276"/>
      <c r="N165" s="276"/>
      <c r="O165" s="277"/>
      <c r="P165" s="259"/>
      <c r="Q165" s="259"/>
      <c r="R165" s="259"/>
      <c r="S165" s="259"/>
      <c r="T165" s="259"/>
      <c r="U165" s="259"/>
      <c r="V165" s="312"/>
    </row>
    <row r="166" spans="1:22" x14ac:dyDescent="0.25">
      <c r="A166" s="308">
        <v>12</v>
      </c>
      <c r="B166" s="257" t="s">
        <v>605</v>
      </c>
      <c r="C166" s="268" t="s">
        <v>606</v>
      </c>
      <c r="D166" s="269" t="s">
        <v>628</v>
      </c>
      <c r="E166" s="259" t="s">
        <v>629</v>
      </c>
      <c r="F166" s="259" t="s">
        <v>457</v>
      </c>
      <c r="G166" s="276">
        <v>45826</v>
      </c>
      <c r="H166" s="276">
        <f t="shared" si="12"/>
        <v>45841</v>
      </c>
      <c r="I166" s="270"/>
      <c r="J166" s="257">
        <f t="shared" ca="1" si="13"/>
        <v>77</v>
      </c>
      <c r="K166" s="259">
        <f ca="1">$I$1-H166</f>
        <v>62</v>
      </c>
      <c r="L166" s="293"/>
      <c r="M166" s="276"/>
      <c r="N166" s="276"/>
      <c r="O166" s="277"/>
      <c r="P166" s="259"/>
      <c r="Q166" s="259"/>
      <c r="R166" s="259"/>
      <c r="S166" s="259"/>
      <c r="T166" s="259"/>
      <c r="U166" s="259"/>
      <c r="V166" s="312"/>
    </row>
    <row r="167" spans="1:22" x14ac:dyDescent="0.25">
      <c r="A167" s="308">
        <v>13</v>
      </c>
      <c r="B167" s="257" t="s">
        <v>605</v>
      </c>
      <c r="C167" s="268" t="s">
        <v>606</v>
      </c>
      <c r="D167" s="269" t="s">
        <v>630</v>
      </c>
      <c r="E167" s="259" t="s">
        <v>631</v>
      </c>
      <c r="F167" s="259" t="s">
        <v>457</v>
      </c>
      <c r="G167" s="276">
        <v>45826</v>
      </c>
      <c r="H167" s="276">
        <f t="shared" si="12"/>
        <v>45841</v>
      </c>
      <c r="I167" s="270"/>
      <c r="J167" s="257">
        <f t="shared" ca="1" si="13"/>
        <v>77</v>
      </c>
      <c r="K167" s="259">
        <f ca="1">$I$1-H167</f>
        <v>62</v>
      </c>
      <c r="L167" s="293"/>
      <c r="M167" s="281"/>
      <c r="N167" s="276"/>
      <c r="O167" s="277"/>
      <c r="P167" s="259"/>
      <c r="Q167" s="259"/>
      <c r="R167" s="259"/>
      <c r="S167" s="259"/>
      <c r="T167" s="259"/>
      <c r="U167" s="259"/>
      <c r="V167" s="312"/>
    </row>
    <row r="168" spans="1:22" x14ac:dyDescent="0.25">
      <c r="A168" s="321">
        <v>14</v>
      </c>
      <c r="B168" s="322" t="s">
        <v>605</v>
      </c>
      <c r="C168" s="323" t="s">
        <v>606</v>
      </c>
      <c r="D168" s="324" t="s">
        <v>632</v>
      </c>
      <c r="E168" s="322" t="s">
        <v>633</v>
      </c>
      <c r="F168" s="322" t="s">
        <v>457</v>
      </c>
      <c r="G168" s="325">
        <v>45794</v>
      </c>
      <c r="H168" s="325">
        <f t="shared" si="12"/>
        <v>45809</v>
      </c>
      <c r="I168" s="325">
        <v>45840</v>
      </c>
      <c r="J168" s="322">
        <f>I168-G168</f>
        <v>46</v>
      </c>
      <c r="K168" s="322">
        <f ca="1">I1-H168</f>
        <v>94</v>
      </c>
      <c r="L168" s="322" t="s">
        <v>458</v>
      </c>
      <c r="M168" s="325">
        <v>45840</v>
      </c>
      <c r="N168" s="325">
        <v>45863</v>
      </c>
      <c r="O168" s="326" t="s">
        <v>459</v>
      </c>
      <c r="P168" s="322">
        <f ca="1">I1-M168</f>
        <v>63</v>
      </c>
      <c r="Q168" s="322"/>
      <c r="R168" s="320"/>
      <c r="S168" s="322" t="s">
        <v>489</v>
      </c>
      <c r="T168" s="322" t="str">
        <f>O168</f>
        <v>CAT - III</v>
      </c>
      <c r="U168" s="322" t="s">
        <v>464</v>
      </c>
      <c r="V168" s="327"/>
    </row>
    <row r="169" spans="1:22" x14ac:dyDescent="0.25">
      <c r="A169" s="308">
        <v>15</v>
      </c>
      <c r="B169" s="257" t="s">
        <v>605</v>
      </c>
      <c r="C169" s="268" t="s">
        <v>606</v>
      </c>
      <c r="D169" s="269" t="s">
        <v>634</v>
      </c>
      <c r="E169" s="259" t="s">
        <v>635</v>
      </c>
      <c r="F169" s="259" t="s">
        <v>457</v>
      </c>
      <c r="G169" s="276">
        <v>45821</v>
      </c>
      <c r="H169" s="276">
        <f t="shared" si="12"/>
        <v>45836</v>
      </c>
      <c r="I169" s="270"/>
      <c r="J169" s="257">
        <f t="shared" ref="J169:J172" ca="1" si="14">$I$1-G169</f>
        <v>82</v>
      </c>
      <c r="K169" s="259">
        <f ca="1">$I$1-H169</f>
        <v>67</v>
      </c>
      <c r="L169" s="293"/>
      <c r="M169" s="276"/>
      <c r="N169" s="276"/>
      <c r="O169" s="277"/>
      <c r="P169" s="259"/>
      <c r="Q169" s="259"/>
      <c r="R169" s="259"/>
      <c r="S169" s="259"/>
      <c r="T169" s="259"/>
      <c r="U169" s="259"/>
      <c r="V169" s="312"/>
    </row>
    <row r="170" spans="1:22" ht="21" x14ac:dyDescent="0.25">
      <c r="A170" s="308">
        <v>16</v>
      </c>
      <c r="B170" s="257" t="s">
        <v>605</v>
      </c>
      <c r="C170" s="268" t="s">
        <v>606</v>
      </c>
      <c r="D170" s="269" t="s">
        <v>636</v>
      </c>
      <c r="E170" s="259" t="s">
        <v>637</v>
      </c>
      <c r="F170" s="259" t="s">
        <v>457</v>
      </c>
      <c r="G170" s="276">
        <v>45835</v>
      </c>
      <c r="H170" s="276">
        <f t="shared" si="12"/>
        <v>45850</v>
      </c>
      <c r="I170" s="270"/>
      <c r="J170" s="257">
        <f t="shared" ca="1" si="14"/>
        <v>68</v>
      </c>
      <c r="K170" s="259">
        <f ca="1">$I$1-H170</f>
        <v>53</v>
      </c>
      <c r="L170" s="293"/>
      <c r="M170" s="276"/>
      <c r="N170" s="276"/>
      <c r="O170" s="277"/>
      <c r="P170" s="259"/>
      <c r="Q170" s="259"/>
      <c r="R170" s="259"/>
      <c r="S170" s="259"/>
      <c r="T170" s="259"/>
      <c r="U170" s="259"/>
      <c r="V170" s="312"/>
    </row>
    <row r="171" spans="1:22" x14ac:dyDescent="0.25">
      <c r="A171" s="308">
        <v>17</v>
      </c>
      <c r="B171" s="257" t="s">
        <v>605</v>
      </c>
      <c r="C171" s="268" t="s">
        <v>606</v>
      </c>
      <c r="D171" s="269" t="s">
        <v>638</v>
      </c>
      <c r="E171" s="259" t="s">
        <v>639</v>
      </c>
      <c r="F171" s="259" t="s">
        <v>467</v>
      </c>
      <c r="G171" s="276">
        <v>45842</v>
      </c>
      <c r="H171" s="276">
        <f t="shared" si="12"/>
        <v>45857</v>
      </c>
      <c r="I171" s="270"/>
      <c r="J171" s="257">
        <f t="shared" ca="1" si="14"/>
        <v>61</v>
      </c>
      <c r="K171" s="259">
        <f ca="1">$I$1-H171</f>
        <v>46</v>
      </c>
      <c r="L171" s="293"/>
      <c r="M171" s="276"/>
      <c r="N171" s="276"/>
      <c r="O171" s="277"/>
      <c r="P171" s="259"/>
      <c r="Q171" s="259"/>
      <c r="R171" s="259"/>
      <c r="S171" s="259"/>
      <c r="T171" s="259"/>
      <c r="U171" s="259"/>
      <c r="V171" s="312"/>
    </row>
    <row r="172" spans="1:22" x14ac:dyDescent="0.25">
      <c r="A172" s="308">
        <v>18</v>
      </c>
      <c r="B172" s="257" t="s">
        <v>605</v>
      </c>
      <c r="C172" s="268" t="s">
        <v>606</v>
      </c>
      <c r="D172" s="269" t="s">
        <v>640</v>
      </c>
      <c r="E172" s="259" t="s">
        <v>641</v>
      </c>
      <c r="F172" s="259" t="s">
        <v>457</v>
      </c>
      <c r="G172" s="276">
        <v>45853</v>
      </c>
      <c r="H172" s="276">
        <f t="shared" si="12"/>
        <v>45868</v>
      </c>
      <c r="I172" s="270"/>
      <c r="J172" s="257">
        <f t="shared" ca="1" si="14"/>
        <v>50</v>
      </c>
      <c r="K172" s="259">
        <f ca="1">$I$1-H172</f>
        <v>35</v>
      </c>
      <c r="L172" s="293"/>
      <c r="M172" s="276"/>
      <c r="N172" s="276"/>
      <c r="O172" s="277"/>
      <c r="P172" s="259"/>
      <c r="Q172" s="259"/>
      <c r="R172" s="259"/>
      <c r="S172" s="259"/>
      <c r="T172" s="259"/>
      <c r="U172" s="259"/>
      <c r="V172" s="312"/>
    </row>
    <row r="173" spans="1:22" x14ac:dyDescent="0.25">
      <c r="A173" s="306">
        <v>19</v>
      </c>
      <c r="B173" s="263" t="s">
        <v>605</v>
      </c>
      <c r="C173" s="264" t="s">
        <v>606</v>
      </c>
      <c r="D173" s="265" t="s">
        <v>642</v>
      </c>
      <c r="E173" s="263" t="s">
        <v>643</v>
      </c>
      <c r="F173" s="263" t="s">
        <v>457</v>
      </c>
      <c r="G173" s="266">
        <v>45838</v>
      </c>
      <c r="H173" s="266">
        <f t="shared" si="12"/>
        <v>45853</v>
      </c>
      <c r="I173" s="266">
        <f>M173</f>
        <v>45869</v>
      </c>
      <c r="J173" s="263">
        <f>I173-G173</f>
        <v>31</v>
      </c>
      <c r="K173" s="263">
        <f ca="1">I1-H173</f>
        <v>50</v>
      </c>
      <c r="L173" s="263" t="s">
        <v>458</v>
      </c>
      <c r="M173" s="266">
        <v>45869</v>
      </c>
      <c r="N173" s="266"/>
      <c r="O173" s="267"/>
      <c r="P173" s="263"/>
      <c r="Q173" s="263"/>
      <c r="R173" s="263"/>
      <c r="S173" s="263"/>
      <c r="T173" s="263" t="s">
        <v>458</v>
      </c>
      <c r="U173" s="263" t="s">
        <v>461</v>
      </c>
      <c r="V173" s="307"/>
    </row>
    <row r="174" spans="1:22" x14ac:dyDescent="0.25">
      <c r="A174" s="308">
        <v>20</v>
      </c>
      <c r="B174" s="257" t="s">
        <v>605</v>
      </c>
      <c r="C174" s="268" t="s">
        <v>606</v>
      </c>
      <c r="D174" s="269" t="s">
        <v>644</v>
      </c>
      <c r="E174" s="259" t="s">
        <v>645</v>
      </c>
      <c r="F174" s="259" t="s">
        <v>457</v>
      </c>
      <c r="G174" s="276">
        <v>45850</v>
      </c>
      <c r="H174" s="276">
        <f t="shared" si="12"/>
        <v>45865</v>
      </c>
      <c r="I174" s="270"/>
      <c r="J174" s="257">
        <f t="shared" ref="J174:K179" ca="1" si="15">$I$1-G174</f>
        <v>53</v>
      </c>
      <c r="K174" s="259">
        <f t="shared" ca="1" si="15"/>
        <v>38</v>
      </c>
      <c r="L174" s="293"/>
      <c r="M174" s="276"/>
      <c r="N174" s="276"/>
      <c r="O174" s="277"/>
      <c r="P174" s="259"/>
      <c r="Q174" s="259"/>
      <c r="R174" s="259"/>
      <c r="S174" s="259"/>
      <c r="T174" s="259"/>
      <c r="U174" s="259"/>
      <c r="V174" s="312"/>
    </row>
    <row r="175" spans="1:22" x14ac:dyDescent="0.25">
      <c r="A175" s="308">
        <v>21</v>
      </c>
      <c r="B175" s="257" t="s">
        <v>605</v>
      </c>
      <c r="C175" s="268" t="s">
        <v>606</v>
      </c>
      <c r="D175" s="269" t="s">
        <v>646</v>
      </c>
      <c r="E175" s="259" t="s">
        <v>647</v>
      </c>
      <c r="F175" s="259" t="s">
        <v>457</v>
      </c>
      <c r="G175" s="276">
        <v>45852</v>
      </c>
      <c r="H175" s="276">
        <f t="shared" si="12"/>
        <v>45867</v>
      </c>
      <c r="I175" s="270"/>
      <c r="J175" s="257">
        <f t="shared" ca="1" si="15"/>
        <v>51</v>
      </c>
      <c r="K175" s="259">
        <f t="shared" ca="1" si="15"/>
        <v>36</v>
      </c>
      <c r="L175" s="293"/>
      <c r="M175" s="276"/>
      <c r="N175" s="276"/>
      <c r="O175" s="277"/>
      <c r="P175" s="259"/>
      <c r="Q175" s="259"/>
      <c r="R175" s="259"/>
      <c r="S175" s="259"/>
      <c r="T175" s="259"/>
      <c r="U175" s="259"/>
      <c r="V175" s="312"/>
    </row>
    <row r="176" spans="1:22" x14ac:dyDescent="0.25">
      <c r="A176" s="308">
        <v>22</v>
      </c>
      <c r="B176" s="257" t="s">
        <v>605</v>
      </c>
      <c r="C176" s="268" t="s">
        <v>606</v>
      </c>
      <c r="D176" s="269" t="s">
        <v>648</v>
      </c>
      <c r="E176" s="259" t="s">
        <v>649</v>
      </c>
      <c r="F176" s="259" t="s">
        <v>457</v>
      </c>
      <c r="G176" s="276">
        <v>45863</v>
      </c>
      <c r="H176" s="276">
        <f t="shared" si="12"/>
        <v>45878</v>
      </c>
      <c r="I176" s="270"/>
      <c r="J176" s="257">
        <f t="shared" ca="1" si="15"/>
        <v>40</v>
      </c>
      <c r="K176" s="259">
        <f t="shared" ca="1" si="15"/>
        <v>25</v>
      </c>
      <c r="L176" s="293"/>
      <c r="M176" s="276"/>
      <c r="N176" s="276"/>
      <c r="O176" s="277"/>
      <c r="P176" s="259"/>
      <c r="Q176" s="259"/>
      <c r="R176" s="259"/>
      <c r="S176" s="259"/>
      <c r="T176" s="259"/>
      <c r="U176" s="259"/>
      <c r="V176" s="312"/>
    </row>
    <row r="177" spans="1:22" x14ac:dyDescent="0.25">
      <c r="A177" s="308">
        <v>23</v>
      </c>
      <c r="B177" s="257" t="s">
        <v>605</v>
      </c>
      <c r="C177" s="268" t="s">
        <v>606</v>
      </c>
      <c r="D177" s="269" t="s">
        <v>650</v>
      </c>
      <c r="E177" s="259" t="s">
        <v>651</v>
      </c>
      <c r="F177" s="259" t="s">
        <v>457</v>
      </c>
      <c r="G177" s="276">
        <v>45854</v>
      </c>
      <c r="H177" s="276">
        <f t="shared" si="12"/>
        <v>45869</v>
      </c>
      <c r="I177" s="270"/>
      <c r="J177" s="257">
        <f t="shared" ca="1" si="15"/>
        <v>49</v>
      </c>
      <c r="K177" s="259">
        <f t="shared" ca="1" si="15"/>
        <v>34</v>
      </c>
      <c r="L177" s="293"/>
      <c r="M177" s="276"/>
      <c r="N177" s="276"/>
      <c r="O177" s="277"/>
      <c r="P177" s="259"/>
      <c r="Q177" s="259"/>
      <c r="R177" s="259"/>
      <c r="S177" s="259"/>
      <c r="T177" s="259"/>
      <c r="U177" s="259"/>
      <c r="V177" s="312"/>
    </row>
    <row r="178" spans="1:22" x14ac:dyDescent="0.25">
      <c r="A178" s="308">
        <v>24</v>
      </c>
      <c r="B178" s="257" t="s">
        <v>605</v>
      </c>
      <c r="C178" s="268" t="s">
        <v>606</v>
      </c>
      <c r="D178" s="269" t="s">
        <v>652</v>
      </c>
      <c r="E178" s="259" t="s">
        <v>653</v>
      </c>
      <c r="F178" s="259" t="s">
        <v>457</v>
      </c>
      <c r="G178" s="276">
        <v>45860</v>
      </c>
      <c r="H178" s="276">
        <f t="shared" si="12"/>
        <v>45875</v>
      </c>
      <c r="I178" s="270"/>
      <c r="J178" s="257">
        <f t="shared" ca="1" si="15"/>
        <v>43</v>
      </c>
      <c r="K178" s="259">
        <f t="shared" ca="1" si="15"/>
        <v>28</v>
      </c>
      <c r="L178" s="293"/>
      <c r="M178" s="276"/>
      <c r="N178" s="276"/>
      <c r="O178" s="277"/>
      <c r="P178" s="259"/>
      <c r="Q178" s="259"/>
      <c r="R178" s="259"/>
      <c r="S178" s="259"/>
      <c r="T178" s="259"/>
      <c r="U178" s="259"/>
      <c r="V178" s="312"/>
    </row>
    <row r="179" spans="1:22" x14ac:dyDescent="0.25">
      <c r="A179" s="308">
        <v>25</v>
      </c>
      <c r="B179" s="257" t="s">
        <v>605</v>
      </c>
      <c r="C179" s="268" t="s">
        <v>606</v>
      </c>
      <c r="D179" s="269" t="s">
        <v>654</v>
      </c>
      <c r="E179" s="259" t="s">
        <v>655</v>
      </c>
      <c r="F179" s="259" t="s">
        <v>457</v>
      </c>
      <c r="G179" s="276">
        <v>45866</v>
      </c>
      <c r="H179" s="276">
        <f t="shared" si="12"/>
        <v>45881</v>
      </c>
      <c r="I179" s="270"/>
      <c r="J179" s="257">
        <f t="shared" ca="1" si="15"/>
        <v>37</v>
      </c>
      <c r="K179" s="259">
        <f t="shared" ca="1" si="15"/>
        <v>22</v>
      </c>
      <c r="L179" s="293"/>
      <c r="M179" s="276"/>
      <c r="N179" s="276"/>
      <c r="O179" s="277"/>
      <c r="P179" s="259"/>
      <c r="Q179" s="259"/>
      <c r="R179" s="259"/>
      <c r="S179" s="259"/>
      <c r="T179" s="259"/>
      <c r="U179" s="259"/>
      <c r="V179" s="312"/>
    </row>
    <row r="180" spans="1:22" x14ac:dyDescent="0.25">
      <c r="A180" s="306">
        <v>26</v>
      </c>
      <c r="B180" s="263" t="s">
        <v>605</v>
      </c>
      <c r="C180" s="264" t="s">
        <v>606</v>
      </c>
      <c r="D180" s="265" t="s">
        <v>869</v>
      </c>
      <c r="E180" s="263" t="s">
        <v>870</v>
      </c>
      <c r="F180" s="263"/>
      <c r="G180" s="266"/>
      <c r="H180" s="266"/>
      <c r="I180" s="266"/>
      <c r="J180" s="263"/>
      <c r="K180" s="263"/>
      <c r="L180" s="263" t="s">
        <v>458</v>
      </c>
      <c r="M180" s="266">
        <v>45895</v>
      </c>
      <c r="N180" s="266"/>
      <c r="O180" s="267"/>
      <c r="P180" s="263">
        <f ca="1">I1-M180</f>
        <v>8</v>
      </c>
      <c r="Q180" s="263"/>
      <c r="R180" s="263"/>
      <c r="S180" s="263" t="s">
        <v>482</v>
      </c>
      <c r="T180" s="263" t="str">
        <f>L180</f>
        <v>R0</v>
      </c>
      <c r="U180" s="263" t="s">
        <v>461</v>
      </c>
      <c r="V180" s="307" t="s">
        <v>854</v>
      </c>
    </row>
    <row r="181" spans="1:22" ht="21" x14ac:dyDescent="0.25">
      <c r="A181" s="306">
        <v>1</v>
      </c>
      <c r="B181" s="263" t="s">
        <v>605</v>
      </c>
      <c r="C181" s="264" t="s">
        <v>656</v>
      </c>
      <c r="D181" s="265" t="s">
        <v>657</v>
      </c>
      <c r="E181" s="263" t="s">
        <v>658</v>
      </c>
      <c r="F181" s="263" t="s">
        <v>457</v>
      </c>
      <c r="G181" s="266">
        <v>45714</v>
      </c>
      <c r="H181" s="266">
        <f t="shared" si="12"/>
        <v>45729</v>
      </c>
      <c r="I181" s="266">
        <v>45714</v>
      </c>
      <c r="J181" s="263">
        <f>I181-G181</f>
        <v>0</v>
      </c>
      <c r="K181" s="263">
        <f ca="1">I1-H181</f>
        <v>174</v>
      </c>
      <c r="L181" s="263" t="s">
        <v>458</v>
      </c>
      <c r="M181" s="266">
        <v>45714</v>
      </c>
      <c r="N181" s="266"/>
      <c r="O181" s="267"/>
      <c r="P181" s="263">
        <f ca="1">I1-M181</f>
        <v>189</v>
      </c>
      <c r="Q181" s="263"/>
      <c r="R181" s="263"/>
      <c r="S181" s="263" t="s">
        <v>482</v>
      </c>
      <c r="T181" s="263" t="s">
        <v>458</v>
      </c>
      <c r="U181" s="263" t="s">
        <v>461</v>
      </c>
      <c r="V181" s="307"/>
    </row>
    <row r="182" spans="1:22" ht="21" x14ac:dyDescent="0.25">
      <c r="A182" s="308">
        <v>2</v>
      </c>
      <c r="B182" s="257" t="s">
        <v>605</v>
      </c>
      <c r="C182" s="268" t="s">
        <v>656</v>
      </c>
      <c r="D182" s="269" t="s">
        <v>659</v>
      </c>
      <c r="E182" s="259" t="s">
        <v>660</v>
      </c>
      <c r="F182" s="259" t="s">
        <v>457</v>
      </c>
      <c r="G182" s="276">
        <v>45877</v>
      </c>
      <c r="H182" s="276">
        <f t="shared" si="12"/>
        <v>45892</v>
      </c>
      <c r="I182" s="270"/>
      <c r="J182" s="257">
        <f t="shared" ref="J182" ca="1" si="16">$I$1-G182</f>
        <v>26</v>
      </c>
      <c r="K182" s="259">
        <f ca="1">$I$1-H182</f>
        <v>11</v>
      </c>
      <c r="L182" s="293"/>
      <c r="M182" s="276"/>
      <c r="N182" s="276"/>
      <c r="O182" s="277"/>
      <c r="P182" s="259"/>
      <c r="Q182" s="259"/>
      <c r="R182" s="259"/>
      <c r="S182" s="259"/>
      <c r="T182" s="259"/>
      <c r="U182" s="259"/>
      <c r="V182" s="312"/>
    </row>
    <row r="183" spans="1:22" ht="21" x14ac:dyDescent="0.25">
      <c r="A183" s="321">
        <v>3</v>
      </c>
      <c r="B183" s="322" t="s">
        <v>605</v>
      </c>
      <c r="C183" s="323" t="s">
        <v>656</v>
      </c>
      <c r="D183" s="324" t="s">
        <v>661</v>
      </c>
      <c r="E183" s="322" t="s">
        <v>662</v>
      </c>
      <c r="F183" s="322" t="s">
        <v>457</v>
      </c>
      <c r="G183" s="325">
        <v>45935</v>
      </c>
      <c r="H183" s="325">
        <f>G183+12</f>
        <v>45947</v>
      </c>
      <c r="I183" s="325">
        <f>M183</f>
        <v>45863</v>
      </c>
      <c r="J183" s="322">
        <f>I183-G183</f>
        <v>-72</v>
      </c>
      <c r="K183" s="322">
        <f ca="1">I1-H183</f>
        <v>-44</v>
      </c>
      <c r="L183" s="322" t="s">
        <v>458</v>
      </c>
      <c r="M183" s="325">
        <v>45863</v>
      </c>
      <c r="N183" s="325">
        <v>45876</v>
      </c>
      <c r="O183" s="326" t="s">
        <v>468</v>
      </c>
      <c r="P183" s="322">
        <f>N183-M183</f>
        <v>13</v>
      </c>
      <c r="Q183" s="322">
        <f ca="1">I1-N183</f>
        <v>27</v>
      </c>
      <c r="R183" s="320"/>
      <c r="S183" s="322" t="s">
        <v>489</v>
      </c>
      <c r="T183" s="322" t="str">
        <f>O183</f>
        <v>CAT -IV R</v>
      </c>
      <c r="U183" s="322" t="s">
        <v>464</v>
      </c>
      <c r="V183" s="327"/>
    </row>
    <row r="184" spans="1:22" s="333" customFormat="1" x14ac:dyDescent="0.25">
      <c r="A184" s="369">
        <v>4</v>
      </c>
      <c r="B184" s="371" t="s">
        <v>605</v>
      </c>
      <c r="C184" s="373" t="s">
        <v>656</v>
      </c>
      <c r="D184" s="375" t="s">
        <v>663</v>
      </c>
      <c r="E184" s="371" t="s">
        <v>664</v>
      </c>
      <c r="F184" s="371" t="s">
        <v>457</v>
      </c>
      <c r="G184" s="377">
        <v>45754</v>
      </c>
      <c r="H184" s="377">
        <v>45815</v>
      </c>
      <c r="I184" s="377">
        <v>45773</v>
      </c>
      <c r="J184" s="371">
        <f>I184-G184</f>
        <v>19</v>
      </c>
      <c r="K184" s="371">
        <f>R184-H184</f>
        <v>-3</v>
      </c>
      <c r="L184" s="271" t="s">
        <v>458</v>
      </c>
      <c r="M184" s="274">
        <v>45773</v>
      </c>
      <c r="N184" s="274">
        <v>45777</v>
      </c>
      <c r="O184" s="275" t="s">
        <v>459</v>
      </c>
      <c r="P184" s="271">
        <f t="shared" ref="P184:P189" si="17">N184-M184</f>
        <v>4</v>
      </c>
      <c r="Q184" s="271">
        <f>M185-N184</f>
        <v>14</v>
      </c>
      <c r="R184" s="377">
        <f>N185</f>
        <v>45812</v>
      </c>
      <c r="S184" s="371" t="s">
        <v>482</v>
      </c>
      <c r="T184" s="371" t="s">
        <v>472</v>
      </c>
      <c r="U184" s="371" t="s">
        <v>397</v>
      </c>
      <c r="V184" s="379"/>
    </row>
    <row r="185" spans="1:22" s="333" customFormat="1" x14ac:dyDescent="0.25">
      <c r="A185" s="358"/>
      <c r="B185" s="360"/>
      <c r="C185" s="362"/>
      <c r="D185" s="364"/>
      <c r="E185" s="360"/>
      <c r="F185" s="360"/>
      <c r="G185" s="366"/>
      <c r="H185" s="366"/>
      <c r="I185" s="366"/>
      <c r="J185" s="360"/>
      <c r="K185" s="360"/>
      <c r="L185" s="271" t="s">
        <v>460</v>
      </c>
      <c r="M185" s="274">
        <v>45791</v>
      </c>
      <c r="N185" s="274">
        <v>45812</v>
      </c>
      <c r="O185" s="275" t="s">
        <v>472</v>
      </c>
      <c r="P185" s="271">
        <f t="shared" si="17"/>
        <v>21</v>
      </c>
      <c r="Q185" s="271"/>
      <c r="R185" s="371"/>
      <c r="S185" s="360"/>
      <c r="T185" s="360"/>
      <c r="U185" s="360"/>
      <c r="V185" s="368"/>
    </row>
    <row r="186" spans="1:22" s="333" customFormat="1" x14ac:dyDescent="0.25">
      <c r="A186" s="369">
        <v>5</v>
      </c>
      <c r="B186" s="371" t="s">
        <v>605</v>
      </c>
      <c r="C186" s="373" t="s">
        <v>656</v>
      </c>
      <c r="D186" s="375" t="s">
        <v>665</v>
      </c>
      <c r="E186" s="371" t="s">
        <v>666</v>
      </c>
      <c r="F186" s="371" t="s">
        <v>457</v>
      </c>
      <c r="G186" s="377">
        <v>45754</v>
      </c>
      <c r="H186" s="377">
        <f>G186+15</f>
        <v>45769</v>
      </c>
      <c r="I186" s="377">
        <v>45791</v>
      </c>
      <c r="J186" s="371">
        <f>I186-G186</f>
        <v>37</v>
      </c>
      <c r="K186" s="371">
        <f>R186-H186</f>
        <v>106</v>
      </c>
      <c r="L186" s="271" t="s">
        <v>458</v>
      </c>
      <c r="M186" s="274">
        <v>45791</v>
      </c>
      <c r="N186" s="274">
        <v>45809</v>
      </c>
      <c r="O186" s="275" t="s">
        <v>459</v>
      </c>
      <c r="P186" s="271">
        <f t="shared" si="17"/>
        <v>18</v>
      </c>
      <c r="Q186" s="271">
        <f>M187-N186</f>
        <v>3</v>
      </c>
      <c r="R186" s="377">
        <f>N190</f>
        <v>45875</v>
      </c>
      <c r="S186" s="371" t="s">
        <v>482</v>
      </c>
      <c r="T186" s="371" t="str">
        <f>O190</f>
        <v>CAT - I</v>
      </c>
      <c r="U186" s="371" t="s">
        <v>397</v>
      </c>
      <c r="V186" s="379"/>
    </row>
    <row r="187" spans="1:22" s="333" customFormat="1" x14ac:dyDescent="0.25">
      <c r="A187" s="358"/>
      <c r="B187" s="360"/>
      <c r="C187" s="362"/>
      <c r="D187" s="364"/>
      <c r="E187" s="360"/>
      <c r="F187" s="360"/>
      <c r="G187" s="366"/>
      <c r="H187" s="366"/>
      <c r="I187" s="366"/>
      <c r="J187" s="360"/>
      <c r="K187" s="360"/>
      <c r="L187" s="271" t="s">
        <v>460</v>
      </c>
      <c r="M187" s="274">
        <v>45812</v>
      </c>
      <c r="N187" s="274">
        <v>45820</v>
      </c>
      <c r="O187" s="275" t="s">
        <v>459</v>
      </c>
      <c r="P187" s="271">
        <f t="shared" si="17"/>
        <v>8</v>
      </c>
      <c r="Q187" s="271">
        <f>M188-N187</f>
        <v>1</v>
      </c>
      <c r="R187" s="371"/>
      <c r="S187" s="360"/>
      <c r="T187" s="360"/>
      <c r="U187" s="360"/>
      <c r="V187" s="368"/>
    </row>
    <row r="188" spans="1:22" s="333" customFormat="1" x14ac:dyDescent="0.25">
      <c r="A188" s="358"/>
      <c r="B188" s="360"/>
      <c r="C188" s="362"/>
      <c r="D188" s="364"/>
      <c r="E188" s="360"/>
      <c r="F188" s="360"/>
      <c r="G188" s="366"/>
      <c r="H188" s="366"/>
      <c r="I188" s="366"/>
      <c r="J188" s="360"/>
      <c r="K188" s="360"/>
      <c r="L188" s="271" t="s">
        <v>462</v>
      </c>
      <c r="M188" s="274">
        <v>45821</v>
      </c>
      <c r="N188" s="274">
        <v>45830</v>
      </c>
      <c r="O188" s="275" t="s">
        <v>472</v>
      </c>
      <c r="P188" s="271">
        <f t="shared" si="17"/>
        <v>9</v>
      </c>
      <c r="Q188" s="271"/>
      <c r="R188" s="371"/>
      <c r="S188" s="360"/>
      <c r="T188" s="360"/>
      <c r="U188" s="360"/>
      <c r="V188" s="368"/>
    </row>
    <row r="189" spans="1:22" s="333" customFormat="1" x14ac:dyDescent="0.25">
      <c r="A189" s="358"/>
      <c r="B189" s="360"/>
      <c r="C189" s="362"/>
      <c r="D189" s="364"/>
      <c r="E189" s="360"/>
      <c r="F189" s="360"/>
      <c r="G189" s="366"/>
      <c r="H189" s="366"/>
      <c r="I189" s="366"/>
      <c r="J189" s="360"/>
      <c r="K189" s="360"/>
      <c r="L189" s="271" t="s">
        <v>463</v>
      </c>
      <c r="M189" s="274">
        <v>45858</v>
      </c>
      <c r="N189" s="274">
        <v>45863</v>
      </c>
      <c r="O189" s="275" t="s">
        <v>481</v>
      </c>
      <c r="P189" s="271">
        <f t="shared" si="17"/>
        <v>5</v>
      </c>
      <c r="Q189" s="271">
        <f>N189-M189</f>
        <v>5</v>
      </c>
      <c r="R189" s="371"/>
      <c r="S189" s="360"/>
      <c r="T189" s="360"/>
      <c r="U189" s="360"/>
      <c r="V189" s="368"/>
    </row>
    <row r="190" spans="1:22" s="333" customFormat="1" x14ac:dyDescent="0.25">
      <c r="A190" s="358"/>
      <c r="B190" s="360"/>
      <c r="C190" s="362"/>
      <c r="D190" s="364"/>
      <c r="E190" s="360"/>
      <c r="F190" s="360"/>
      <c r="G190" s="366"/>
      <c r="H190" s="366"/>
      <c r="I190" s="366"/>
      <c r="J190" s="360"/>
      <c r="K190" s="360"/>
      <c r="L190" s="271" t="s">
        <v>816</v>
      </c>
      <c r="M190" s="274">
        <v>45867</v>
      </c>
      <c r="N190" s="274">
        <v>45875</v>
      </c>
      <c r="O190" s="275" t="s">
        <v>472</v>
      </c>
      <c r="P190" s="271">
        <f>M190-N189</f>
        <v>4</v>
      </c>
      <c r="Q190" s="271">
        <f>N190-M190</f>
        <v>8</v>
      </c>
      <c r="R190" s="371"/>
      <c r="S190" s="360"/>
      <c r="T190" s="360"/>
      <c r="U190" s="360"/>
      <c r="V190" s="368"/>
    </row>
    <row r="191" spans="1:22" ht="21" x14ac:dyDescent="0.25">
      <c r="A191" s="308">
        <v>6</v>
      </c>
      <c r="B191" s="257" t="s">
        <v>605</v>
      </c>
      <c r="C191" s="268" t="s">
        <v>656</v>
      </c>
      <c r="D191" s="269" t="s">
        <v>667</v>
      </c>
      <c r="E191" s="259" t="s">
        <v>668</v>
      </c>
      <c r="F191" s="259" t="s">
        <v>457</v>
      </c>
      <c r="G191" s="276">
        <v>45811</v>
      </c>
      <c r="H191" s="276">
        <f>G191+15</f>
        <v>45826</v>
      </c>
      <c r="I191" s="276"/>
      <c r="J191" s="257">
        <f t="shared" ref="J191" ca="1" si="18">$I$1-G191</f>
        <v>92</v>
      </c>
      <c r="K191" s="259">
        <f ca="1">$I$1-H191</f>
        <v>77</v>
      </c>
      <c r="L191" s="293"/>
      <c r="M191" s="276"/>
      <c r="N191" s="276"/>
      <c r="O191" s="277"/>
      <c r="P191" s="259"/>
      <c r="Q191" s="259"/>
      <c r="R191" s="259"/>
      <c r="S191" s="259"/>
      <c r="T191" s="259"/>
      <c r="U191" s="259"/>
      <c r="V191" s="312"/>
    </row>
    <row r="192" spans="1:22" x14ac:dyDescent="0.25">
      <c r="A192" s="357">
        <v>7</v>
      </c>
      <c r="B192" s="359" t="s">
        <v>605</v>
      </c>
      <c r="C192" s="361" t="s">
        <v>656</v>
      </c>
      <c r="D192" s="363" t="s">
        <v>669</v>
      </c>
      <c r="E192" s="359" t="s">
        <v>670</v>
      </c>
      <c r="F192" s="359" t="s">
        <v>457</v>
      </c>
      <c r="G192" s="365">
        <v>45808</v>
      </c>
      <c r="H192" s="365">
        <f>G192+15</f>
        <v>45823</v>
      </c>
      <c r="I192" s="365">
        <f>M192</f>
        <v>45856</v>
      </c>
      <c r="J192" s="359">
        <f>I192-G192</f>
        <v>48</v>
      </c>
      <c r="K192" s="359">
        <f ca="1">I1-H192</f>
        <v>80</v>
      </c>
      <c r="L192" s="263" t="s">
        <v>458</v>
      </c>
      <c r="M192" s="266">
        <v>45856</v>
      </c>
      <c r="N192" s="266">
        <v>45863</v>
      </c>
      <c r="O192" s="267" t="s">
        <v>459</v>
      </c>
      <c r="P192" s="263"/>
      <c r="Q192" s="263"/>
      <c r="R192" s="263"/>
      <c r="S192" s="359" t="s">
        <v>482</v>
      </c>
      <c r="T192" s="359" t="str">
        <f>O192</f>
        <v>CAT - III</v>
      </c>
      <c r="U192" s="359" t="s">
        <v>461</v>
      </c>
      <c r="V192" s="367"/>
    </row>
    <row r="193" spans="1:22" x14ac:dyDescent="0.25">
      <c r="A193" s="441"/>
      <c r="B193" s="442"/>
      <c r="C193" s="443"/>
      <c r="D193" s="444"/>
      <c r="E193" s="396"/>
      <c r="F193" s="396"/>
      <c r="G193" s="398"/>
      <c r="H193" s="398"/>
      <c r="I193" s="398"/>
      <c r="J193" s="396"/>
      <c r="K193" s="396"/>
      <c r="L193" s="263" t="s">
        <v>460</v>
      </c>
      <c r="M193" s="266">
        <v>45883</v>
      </c>
      <c r="N193" s="266"/>
      <c r="O193" s="267"/>
      <c r="P193" s="263"/>
      <c r="Q193" s="263"/>
      <c r="R193" s="263"/>
      <c r="S193" s="396"/>
      <c r="T193" s="396"/>
      <c r="U193" s="396"/>
      <c r="V193" s="397"/>
    </row>
    <row r="194" spans="1:22" ht="21" x14ac:dyDescent="0.25">
      <c r="A194" s="308">
        <v>8</v>
      </c>
      <c r="B194" s="257" t="s">
        <v>605</v>
      </c>
      <c r="C194" s="268" t="s">
        <v>656</v>
      </c>
      <c r="D194" s="269" t="s">
        <v>671</v>
      </c>
      <c r="E194" s="259" t="s">
        <v>672</v>
      </c>
      <c r="F194" s="259" t="s">
        <v>457</v>
      </c>
      <c r="G194" s="276">
        <v>45831</v>
      </c>
      <c r="H194" s="276">
        <f>G194+15</f>
        <v>45846</v>
      </c>
      <c r="I194" s="276"/>
      <c r="J194" s="257">
        <f t="shared" ref="J194:J195" ca="1" si="19">$I$1-G194</f>
        <v>72</v>
      </c>
      <c r="K194" s="259">
        <f ca="1">$I$1-H194</f>
        <v>57</v>
      </c>
      <c r="L194" s="293"/>
      <c r="M194" s="276"/>
      <c r="N194" s="276"/>
      <c r="O194" s="277"/>
      <c r="P194" s="259"/>
      <c r="Q194" s="259"/>
      <c r="R194" s="259"/>
      <c r="S194" s="259"/>
      <c r="T194" s="259"/>
      <c r="U194" s="259"/>
      <c r="V194" s="312"/>
    </row>
    <row r="195" spans="1:22" ht="21" x14ac:dyDescent="0.25">
      <c r="A195" s="308">
        <v>9</v>
      </c>
      <c r="B195" s="257" t="s">
        <v>605</v>
      </c>
      <c r="C195" s="268" t="s">
        <v>656</v>
      </c>
      <c r="D195" s="269" t="s">
        <v>673</v>
      </c>
      <c r="E195" s="259" t="s">
        <v>674</v>
      </c>
      <c r="F195" s="259" t="s">
        <v>467</v>
      </c>
      <c r="G195" s="276">
        <v>45808</v>
      </c>
      <c r="H195" s="276">
        <f>G195+15</f>
        <v>45823</v>
      </c>
      <c r="I195" s="276"/>
      <c r="J195" s="257">
        <f t="shared" ca="1" si="19"/>
        <v>95</v>
      </c>
      <c r="K195" s="259">
        <f ca="1">$I$1-H195</f>
        <v>80</v>
      </c>
      <c r="L195" s="293"/>
      <c r="M195" s="276"/>
      <c r="N195" s="276"/>
      <c r="O195" s="277"/>
      <c r="P195" s="259"/>
      <c r="Q195" s="259"/>
      <c r="R195" s="259"/>
      <c r="S195" s="259"/>
      <c r="T195" s="259"/>
      <c r="U195" s="259"/>
      <c r="V195" s="312"/>
    </row>
    <row r="196" spans="1:22" s="333" customFormat="1" x14ac:dyDescent="0.25">
      <c r="A196" s="369">
        <v>10</v>
      </c>
      <c r="B196" s="371" t="s">
        <v>605</v>
      </c>
      <c r="C196" s="373" t="s">
        <v>656</v>
      </c>
      <c r="D196" s="375" t="s">
        <v>675</v>
      </c>
      <c r="E196" s="371" t="s">
        <v>676</v>
      </c>
      <c r="F196" s="371" t="s">
        <v>457</v>
      </c>
      <c r="G196" s="377">
        <v>45783</v>
      </c>
      <c r="H196" s="377">
        <f>G196+15</f>
        <v>45798</v>
      </c>
      <c r="I196" s="377">
        <v>45792</v>
      </c>
      <c r="J196" s="371">
        <f>I196-G196</f>
        <v>9</v>
      </c>
      <c r="K196" s="371">
        <f>R196-H196</f>
        <v>15</v>
      </c>
      <c r="L196" s="271" t="s">
        <v>458</v>
      </c>
      <c r="M196" s="274">
        <v>45792</v>
      </c>
      <c r="N196" s="274">
        <v>45813</v>
      </c>
      <c r="O196" s="275" t="s">
        <v>459</v>
      </c>
      <c r="P196" s="271">
        <f>N196-M196</f>
        <v>21</v>
      </c>
      <c r="Q196" s="271">
        <f>M197-N196</f>
        <v>0</v>
      </c>
      <c r="R196" s="386">
        <f>N196</f>
        <v>45813</v>
      </c>
      <c r="S196" s="371" t="s">
        <v>482</v>
      </c>
      <c r="T196" s="371" t="str">
        <f>O198</f>
        <v>CAT - I</v>
      </c>
      <c r="U196" s="371" t="s">
        <v>397</v>
      </c>
      <c r="V196" s="311"/>
    </row>
    <row r="197" spans="1:22" s="333" customFormat="1" x14ac:dyDescent="0.25">
      <c r="A197" s="358"/>
      <c r="B197" s="360"/>
      <c r="C197" s="362"/>
      <c r="D197" s="364"/>
      <c r="E197" s="360"/>
      <c r="F197" s="360"/>
      <c r="G197" s="366"/>
      <c r="H197" s="366"/>
      <c r="I197" s="366"/>
      <c r="J197" s="360"/>
      <c r="K197" s="371"/>
      <c r="L197" s="271" t="s">
        <v>460</v>
      </c>
      <c r="M197" s="274">
        <v>45813</v>
      </c>
      <c r="N197" s="274">
        <v>45821</v>
      </c>
      <c r="O197" s="275" t="s">
        <v>481</v>
      </c>
      <c r="P197" s="271">
        <f>N197-M197</f>
        <v>8</v>
      </c>
      <c r="Q197" s="271">
        <f>M198-N197</f>
        <v>6</v>
      </c>
      <c r="R197" s="453"/>
      <c r="S197" s="360"/>
      <c r="T197" s="360"/>
      <c r="U197" s="360"/>
      <c r="V197" s="311"/>
    </row>
    <row r="198" spans="1:22" s="333" customFormat="1" x14ac:dyDescent="0.25">
      <c r="A198" s="358"/>
      <c r="B198" s="360"/>
      <c r="C198" s="362"/>
      <c r="D198" s="364"/>
      <c r="E198" s="360"/>
      <c r="F198" s="360"/>
      <c r="G198" s="366"/>
      <c r="H198" s="366"/>
      <c r="I198" s="366"/>
      <c r="J198" s="360"/>
      <c r="K198" s="371"/>
      <c r="L198" s="271" t="s">
        <v>462</v>
      </c>
      <c r="M198" s="274">
        <v>45827</v>
      </c>
      <c r="N198" s="274">
        <v>45830</v>
      </c>
      <c r="O198" s="275" t="s">
        <v>472</v>
      </c>
      <c r="P198" s="271">
        <f>N198-M198</f>
        <v>3</v>
      </c>
      <c r="Q198" s="271"/>
      <c r="R198" s="453"/>
      <c r="S198" s="360"/>
      <c r="T198" s="360"/>
      <c r="U198" s="360"/>
      <c r="V198" s="311"/>
    </row>
    <row r="199" spans="1:22" s="333" customFormat="1" x14ac:dyDescent="0.25">
      <c r="A199" s="369">
        <v>11</v>
      </c>
      <c r="B199" s="371" t="s">
        <v>605</v>
      </c>
      <c r="C199" s="371" t="s">
        <v>656</v>
      </c>
      <c r="D199" s="391" t="s">
        <v>677</v>
      </c>
      <c r="E199" s="371" t="s">
        <v>678</v>
      </c>
      <c r="F199" s="371" t="s">
        <v>457</v>
      </c>
      <c r="G199" s="377">
        <v>45783</v>
      </c>
      <c r="H199" s="377">
        <f>G199+15</f>
        <v>45798</v>
      </c>
      <c r="I199" s="377">
        <v>45791</v>
      </c>
      <c r="J199" s="371">
        <f>I199-G199</f>
        <v>8</v>
      </c>
      <c r="K199" s="371">
        <f>R199-H199</f>
        <v>78</v>
      </c>
      <c r="L199" s="271" t="s">
        <v>458</v>
      </c>
      <c r="M199" s="274">
        <v>45791</v>
      </c>
      <c r="N199" s="274">
        <v>45842</v>
      </c>
      <c r="O199" s="275" t="s">
        <v>459</v>
      </c>
      <c r="P199" s="271">
        <f>N199-M199</f>
        <v>51</v>
      </c>
      <c r="Q199" s="271">
        <f>M200-N199</f>
        <v>27</v>
      </c>
      <c r="R199" s="377">
        <f>N200</f>
        <v>45876</v>
      </c>
      <c r="S199" s="371" t="s">
        <v>397</v>
      </c>
      <c r="T199" s="371" t="str">
        <f>O200</f>
        <v>CAT - I</v>
      </c>
      <c r="U199" s="371" t="s">
        <v>397</v>
      </c>
      <c r="V199" s="379"/>
    </row>
    <row r="200" spans="1:22" s="333" customFormat="1" x14ac:dyDescent="0.25">
      <c r="A200" s="358"/>
      <c r="B200" s="360"/>
      <c r="C200" s="360"/>
      <c r="D200" s="452"/>
      <c r="E200" s="360"/>
      <c r="F200" s="360"/>
      <c r="G200" s="366"/>
      <c r="H200" s="366"/>
      <c r="I200" s="366"/>
      <c r="J200" s="360"/>
      <c r="K200" s="371"/>
      <c r="L200" s="271" t="s">
        <v>460</v>
      </c>
      <c r="M200" s="274">
        <v>45869</v>
      </c>
      <c r="N200" s="274">
        <v>45876</v>
      </c>
      <c r="O200" s="275" t="s">
        <v>472</v>
      </c>
      <c r="P200" s="271">
        <f>N200-M200</f>
        <v>7</v>
      </c>
      <c r="Q200" s="271"/>
      <c r="R200" s="360"/>
      <c r="S200" s="360"/>
      <c r="T200" s="360"/>
      <c r="U200" s="360"/>
      <c r="V200" s="379"/>
    </row>
    <row r="201" spans="1:22" s="333" customFormat="1" x14ac:dyDescent="0.25">
      <c r="A201" s="369">
        <v>12</v>
      </c>
      <c r="B201" s="371" t="s">
        <v>605</v>
      </c>
      <c r="C201" s="373" t="s">
        <v>656</v>
      </c>
      <c r="D201" s="375" t="s">
        <v>679</v>
      </c>
      <c r="E201" s="371" t="s">
        <v>680</v>
      </c>
      <c r="F201" s="371" t="s">
        <v>457</v>
      </c>
      <c r="G201" s="377">
        <v>45755</v>
      </c>
      <c r="H201" s="377">
        <f>G201+15</f>
        <v>45770</v>
      </c>
      <c r="I201" s="377">
        <v>45755</v>
      </c>
      <c r="J201" s="371">
        <f>I201-G201</f>
        <v>0</v>
      </c>
      <c r="K201" s="371">
        <f>R201-H201</f>
        <v>60</v>
      </c>
      <c r="L201" s="271" t="s">
        <v>458</v>
      </c>
      <c r="M201" s="274">
        <v>45755</v>
      </c>
      <c r="N201" s="274">
        <v>45770</v>
      </c>
      <c r="O201" s="275" t="s">
        <v>459</v>
      </c>
      <c r="P201" s="271">
        <f t="shared" ref="P201:P206" si="20">N201-M201</f>
        <v>15</v>
      </c>
      <c r="Q201" s="271">
        <f>M203-N201</f>
        <v>55</v>
      </c>
      <c r="R201" s="377">
        <f>N203</f>
        <v>45830</v>
      </c>
      <c r="S201" s="371" t="s">
        <v>482</v>
      </c>
      <c r="T201" s="371" t="str">
        <f>O203</f>
        <v>CAT - I</v>
      </c>
      <c r="U201" s="371" t="s">
        <v>397</v>
      </c>
      <c r="V201" s="379"/>
    </row>
    <row r="202" spans="1:22" s="333" customFormat="1" x14ac:dyDescent="0.25">
      <c r="A202" s="358"/>
      <c r="B202" s="360"/>
      <c r="C202" s="362"/>
      <c r="D202" s="364"/>
      <c r="E202" s="360"/>
      <c r="F202" s="360"/>
      <c r="G202" s="366"/>
      <c r="H202" s="366"/>
      <c r="I202" s="366"/>
      <c r="J202" s="360"/>
      <c r="K202" s="371"/>
      <c r="L202" s="271" t="s">
        <v>460</v>
      </c>
      <c r="M202" s="274">
        <v>45788</v>
      </c>
      <c r="N202" s="274">
        <v>45809</v>
      </c>
      <c r="O202" s="275" t="s">
        <v>459</v>
      </c>
      <c r="P202" s="271">
        <f t="shared" si="20"/>
        <v>21</v>
      </c>
      <c r="Q202" s="271">
        <f>M203-N202</f>
        <v>16</v>
      </c>
      <c r="R202" s="360"/>
      <c r="S202" s="360"/>
      <c r="T202" s="360"/>
      <c r="U202" s="360"/>
      <c r="V202" s="368"/>
    </row>
    <row r="203" spans="1:22" s="333" customFormat="1" x14ac:dyDescent="0.25">
      <c r="A203" s="358"/>
      <c r="B203" s="360"/>
      <c r="C203" s="362"/>
      <c r="D203" s="364"/>
      <c r="E203" s="360"/>
      <c r="F203" s="360"/>
      <c r="G203" s="366"/>
      <c r="H203" s="366"/>
      <c r="I203" s="366"/>
      <c r="J203" s="360"/>
      <c r="K203" s="371"/>
      <c r="L203" s="271" t="s">
        <v>460</v>
      </c>
      <c r="M203" s="274">
        <v>45825</v>
      </c>
      <c r="N203" s="274">
        <v>45830</v>
      </c>
      <c r="O203" s="275" t="s">
        <v>472</v>
      </c>
      <c r="P203" s="271">
        <f t="shared" si="20"/>
        <v>5</v>
      </c>
      <c r="Q203" s="271">
        <f ca="1">I1-N203</f>
        <v>73</v>
      </c>
      <c r="R203" s="360"/>
      <c r="S203" s="360"/>
      <c r="T203" s="360"/>
      <c r="U203" s="360"/>
      <c r="V203" s="368"/>
    </row>
    <row r="204" spans="1:22" s="333" customFormat="1" x14ac:dyDescent="0.25">
      <c r="A204" s="369">
        <v>13</v>
      </c>
      <c r="B204" s="371" t="s">
        <v>605</v>
      </c>
      <c r="C204" s="373" t="s">
        <v>656</v>
      </c>
      <c r="D204" s="375" t="s">
        <v>394</v>
      </c>
      <c r="E204" s="371" t="s">
        <v>681</v>
      </c>
      <c r="F204" s="371" t="s">
        <v>457</v>
      </c>
      <c r="G204" s="377">
        <v>45755</v>
      </c>
      <c r="H204" s="377">
        <f>G204+15</f>
        <v>45770</v>
      </c>
      <c r="I204" s="377">
        <v>45755</v>
      </c>
      <c r="J204" s="371">
        <f>I204-G204</f>
        <v>0</v>
      </c>
      <c r="K204" s="371">
        <f>R204-H204</f>
        <v>60</v>
      </c>
      <c r="L204" s="271" t="s">
        <v>458</v>
      </c>
      <c r="M204" s="274">
        <v>45755</v>
      </c>
      <c r="N204" s="274">
        <v>45770</v>
      </c>
      <c r="O204" s="275" t="s">
        <v>459</v>
      </c>
      <c r="P204" s="271">
        <f t="shared" si="20"/>
        <v>15</v>
      </c>
      <c r="Q204" s="271">
        <f>M206-N204</f>
        <v>55</v>
      </c>
      <c r="R204" s="377">
        <f>N206</f>
        <v>45830</v>
      </c>
      <c r="S204" s="371" t="s">
        <v>482</v>
      </c>
      <c r="T204" s="371" t="str">
        <f>O206</f>
        <v>CAT - I</v>
      </c>
      <c r="U204" s="371" t="s">
        <v>397</v>
      </c>
      <c r="V204" s="379"/>
    </row>
    <row r="205" spans="1:22" s="333" customFormat="1" x14ac:dyDescent="0.25">
      <c r="A205" s="358"/>
      <c r="B205" s="360"/>
      <c r="C205" s="362"/>
      <c r="D205" s="364"/>
      <c r="E205" s="360"/>
      <c r="F205" s="360"/>
      <c r="G205" s="366"/>
      <c r="H205" s="366"/>
      <c r="I205" s="366"/>
      <c r="J205" s="360"/>
      <c r="K205" s="360"/>
      <c r="L205" s="271" t="s">
        <v>460</v>
      </c>
      <c r="M205" s="274">
        <v>45787</v>
      </c>
      <c r="N205" s="274">
        <v>45809</v>
      </c>
      <c r="O205" s="275" t="s">
        <v>459</v>
      </c>
      <c r="P205" s="271">
        <f t="shared" si="20"/>
        <v>22</v>
      </c>
      <c r="Q205" s="271">
        <f>M206-N205</f>
        <v>16</v>
      </c>
      <c r="R205" s="360"/>
      <c r="S205" s="360"/>
      <c r="T205" s="360"/>
      <c r="U205" s="360"/>
      <c r="V205" s="368"/>
    </row>
    <row r="206" spans="1:22" s="333" customFormat="1" x14ac:dyDescent="0.25">
      <c r="A206" s="358"/>
      <c r="B206" s="360"/>
      <c r="C206" s="362"/>
      <c r="D206" s="364"/>
      <c r="E206" s="360"/>
      <c r="F206" s="360"/>
      <c r="G206" s="366"/>
      <c r="H206" s="366"/>
      <c r="I206" s="366"/>
      <c r="J206" s="360"/>
      <c r="K206" s="360"/>
      <c r="L206" s="271" t="s">
        <v>462</v>
      </c>
      <c r="M206" s="274">
        <v>45825</v>
      </c>
      <c r="N206" s="274">
        <v>45830</v>
      </c>
      <c r="O206" s="275" t="s">
        <v>472</v>
      </c>
      <c r="P206" s="271">
        <f t="shared" si="20"/>
        <v>5</v>
      </c>
      <c r="Q206" s="271"/>
      <c r="R206" s="360"/>
      <c r="S206" s="360"/>
      <c r="T206" s="360"/>
      <c r="U206" s="360"/>
      <c r="V206" s="368"/>
    </row>
    <row r="207" spans="1:22" ht="21" x14ac:dyDescent="0.25">
      <c r="A207" s="306">
        <v>14</v>
      </c>
      <c r="B207" s="263" t="s">
        <v>605</v>
      </c>
      <c r="C207" s="264" t="s">
        <v>656</v>
      </c>
      <c r="D207" s="265" t="s">
        <v>682</v>
      </c>
      <c r="E207" s="263" t="s">
        <v>683</v>
      </c>
      <c r="F207" s="263" t="s">
        <v>467</v>
      </c>
      <c r="G207" s="266">
        <v>45807</v>
      </c>
      <c r="H207" s="266">
        <f>G207+15</f>
        <v>45822</v>
      </c>
      <c r="I207" s="266">
        <f>M207</f>
        <v>45869</v>
      </c>
      <c r="J207" s="263">
        <f>I207-G207</f>
        <v>62</v>
      </c>
      <c r="K207" s="263">
        <f ca="1">I1-H207</f>
        <v>81</v>
      </c>
      <c r="L207" s="263" t="s">
        <v>458</v>
      </c>
      <c r="M207" s="266">
        <v>45869</v>
      </c>
      <c r="N207" s="266"/>
      <c r="O207" s="267"/>
      <c r="P207" s="263"/>
      <c r="Q207" s="263"/>
      <c r="R207" s="263"/>
      <c r="S207" s="263"/>
      <c r="T207" s="263" t="s">
        <v>458</v>
      </c>
      <c r="U207" s="263" t="s">
        <v>461</v>
      </c>
      <c r="V207" s="307"/>
    </row>
    <row r="208" spans="1:22" ht="21" x14ac:dyDescent="0.25">
      <c r="A208" s="308">
        <v>15</v>
      </c>
      <c r="B208" s="257" t="s">
        <v>605</v>
      </c>
      <c r="C208" s="268" t="s">
        <v>656</v>
      </c>
      <c r="D208" s="269" t="s">
        <v>684</v>
      </c>
      <c r="E208" s="259" t="s">
        <v>685</v>
      </c>
      <c r="F208" s="259" t="s">
        <v>467</v>
      </c>
      <c r="G208" s="276">
        <v>45845</v>
      </c>
      <c r="H208" s="276">
        <f>G208+15</f>
        <v>45860</v>
      </c>
      <c r="I208" s="270"/>
      <c r="J208" s="257">
        <f t="shared" ref="J208" ca="1" si="21">$I$1-G208</f>
        <v>58</v>
      </c>
      <c r="K208" s="259">
        <f ca="1">$I$1-H208</f>
        <v>43</v>
      </c>
      <c r="L208" s="293"/>
      <c r="M208" s="276"/>
      <c r="N208" s="276"/>
      <c r="O208" s="277"/>
      <c r="P208" s="259"/>
      <c r="Q208" s="259"/>
      <c r="R208" s="259"/>
      <c r="S208" s="259"/>
      <c r="T208" s="259"/>
      <c r="U208" s="259"/>
      <c r="V208" s="312"/>
    </row>
    <row r="209" spans="1:25" s="333" customFormat="1" x14ac:dyDescent="0.25">
      <c r="A209" s="424">
        <v>1</v>
      </c>
      <c r="B209" s="371" t="s">
        <v>686</v>
      </c>
      <c r="C209" s="373" t="s">
        <v>687</v>
      </c>
      <c r="D209" s="373" t="s">
        <v>688</v>
      </c>
      <c r="E209" s="371" t="s">
        <v>689</v>
      </c>
      <c r="F209" s="371" t="s">
        <v>457</v>
      </c>
      <c r="G209" s="454">
        <v>45797</v>
      </c>
      <c r="H209" s="454">
        <f>G209+15</f>
        <v>45812</v>
      </c>
      <c r="I209" s="454">
        <v>45813</v>
      </c>
      <c r="J209" s="371">
        <f>I209-G209</f>
        <v>16</v>
      </c>
      <c r="K209" s="371">
        <f>R209-H209</f>
        <v>64</v>
      </c>
      <c r="L209" s="271" t="s">
        <v>458</v>
      </c>
      <c r="M209" s="274">
        <v>45813</v>
      </c>
      <c r="N209" s="274">
        <v>45832</v>
      </c>
      <c r="O209" s="275" t="s">
        <v>459</v>
      </c>
      <c r="P209" s="271">
        <f>N209-M209</f>
        <v>19</v>
      </c>
      <c r="Q209" s="271">
        <f>M210-N209</f>
        <v>35</v>
      </c>
      <c r="R209" s="377">
        <f>N211</f>
        <v>45876</v>
      </c>
      <c r="S209" s="371" t="s">
        <v>397</v>
      </c>
      <c r="T209" s="371" t="str">
        <f>O211</f>
        <v>CAT - I</v>
      </c>
      <c r="U209" s="371" t="s">
        <v>397</v>
      </c>
      <c r="V209" s="379"/>
    </row>
    <row r="210" spans="1:25" x14ac:dyDescent="0.25">
      <c r="A210" s="425"/>
      <c r="B210" s="372"/>
      <c r="C210" s="390"/>
      <c r="D210" s="374"/>
      <c r="E210" s="372"/>
      <c r="F210" s="372"/>
      <c r="G210" s="455"/>
      <c r="H210" s="455"/>
      <c r="I210" s="455"/>
      <c r="J210" s="372"/>
      <c r="K210" s="372"/>
      <c r="L210" s="271" t="s">
        <v>460</v>
      </c>
      <c r="M210" s="274">
        <v>45867</v>
      </c>
      <c r="N210" s="274"/>
      <c r="O210" s="275"/>
      <c r="P210" s="271">
        <v>7</v>
      </c>
      <c r="Q210" s="271"/>
      <c r="R210" s="371"/>
      <c r="S210" s="372"/>
      <c r="T210" s="372"/>
      <c r="U210" s="372"/>
      <c r="V210" s="380"/>
    </row>
    <row r="211" spans="1:25" x14ac:dyDescent="0.25">
      <c r="A211" s="426"/>
      <c r="B211" s="372"/>
      <c r="C211" s="390"/>
      <c r="D211" s="374"/>
      <c r="E211" s="372"/>
      <c r="F211" s="372"/>
      <c r="G211" s="455"/>
      <c r="H211" s="455"/>
      <c r="I211" s="455"/>
      <c r="J211" s="372"/>
      <c r="K211" s="372"/>
      <c r="L211" s="271" t="s">
        <v>460</v>
      </c>
      <c r="M211" s="274">
        <v>45874</v>
      </c>
      <c r="N211" s="274">
        <v>45876</v>
      </c>
      <c r="O211" s="275" t="s">
        <v>472</v>
      </c>
      <c r="P211" s="271">
        <f>N211-M211</f>
        <v>2</v>
      </c>
      <c r="Q211" s="271"/>
      <c r="R211" s="371"/>
      <c r="S211" s="372"/>
      <c r="T211" s="372"/>
      <c r="U211" s="372"/>
      <c r="V211" s="380"/>
    </row>
    <row r="212" spans="1:25" s="333" customFormat="1" x14ac:dyDescent="0.25">
      <c r="A212" s="369">
        <v>2</v>
      </c>
      <c r="B212" s="371" t="s">
        <v>686</v>
      </c>
      <c r="C212" s="373" t="s">
        <v>687</v>
      </c>
      <c r="D212" s="375" t="s">
        <v>837</v>
      </c>
      <c r="E212" s="371" t="s">
        <v>690</v>
      </c>
      <c r="F212" s="371" t="s">
        <v>457</v>
      </c>
      <c r="G212" s="454">
        <v>45797</v>
      </c>
      <c r="H212" s="454">
        <f>G212+15</f>
        <v>45812</v>
      </c>
      <c r="I212" s="454">
        <v>45813</v>
      </c>
      <c r="J212" s="371">
        <f>I212-G212</f>
        <v>16</v>
      </c>
      <c r="K212" s="371">
        <f>R212-H212</f>
        <v>50</v>
      </c>
      <c r="L212" s="271" t="s">
        <v>458</v>
      </c>
      <c r="M212" s="274">
        <v>45813</v>
      </c>
      <c r="N212" s="274">
        <v>45832</v>
      </c>
      <c r="O212" s="275" t="s">
        <v>459</v>
      </c>
      <c r="P212" s="271">
        <f>N212-M212</f>
        <v>19</v>
      </c>
      <c r="Q212" s="271">
        <f ca="1">I1-N212</f>
        <v>71</v>
      </c>
      <c r="R212" s="377">
        <f>N213</f>
        <v>45862</v>
      </c>
      <c r="S212" s="371" t="s">
        <v>397</v>
      </c>
      <c r="T212" s="371" t="str">
        <f>O213</f>
        <v>CAT - I</v>
      </c>
      <c r="U212" s="371" t="s">
        <v>397</v>
      </c>
      <c r="V212" s="379"/>
      <c r="Y212" s="456"/>
    </row>
    <row r="213" spans="1:25" x14ac:dyDescent="0.25">
      <c r="A213" s="370"/>
      <c r="B213" s="372"/>
      <c r="C213" s="390"/>
      <c r="D213" s="376"/>
      <c r="E213" s="372"/>
      <c r="F213" s="372"/>
      <c r="G213" s="455"/>
      <c r="H213" s="455"/>
      <c r="I213" s="455"/>
      <c r="J213" s="372"/>
      <c r="K213" s="372"/>
      <c r="L213" s="271" t="s">
        <v>460</v>
      </c>
      <c r="M213" s="274">
        <v>45855</v>
      </c>
      <c r="N213" s="274">
        <v>45862</v>
      </c>
      <c r="O213" s="275" t="s">
        <v>472</v>
      </c>
      <c r="P213" s="271"/>
      <c r="Q213" s="271"/>
      <c r="R213" s="371"/>
      <c r="S213" s="372"/>
      <c r="T213" s="372"/>
      <c r="U213" s="372"/>
      <c r="V213" s="380"/>
      <c r="Y213" s="456"/>
    </row>
    <row r="214" spans="1:25" ht="21" x14ac:dyDescent="0.25">
      <c r="A214" s="308">
        <v>3</v>
      </c>
      <c r="B214" s="257" t="s">
        <v>686</v>
      </c>
      <c r="C214" s="268" t="s">
        <v>687</v>
      </c>
      <c r="D214" s="269" t="s">
        <v>691</v>
      </c>
      <c r="E214" s="259" t="s">
        <v>692</v>
      </c>
      <c r="F214" s="259" t="s">
        <v>457</v>
      </c>
      <c r="G214" s="283">
        <v>45809</v>
      </c>
      <c r="H214" s="283">
        <f>G214+15</f>
        <v>45824</v>
      </c>
      <c r="I214" s="283"/>
      <c r="J214" s="257">
        <f t="shared" ref="J214" ca="1" si="22">$I$1-G214</f>
        <v>94</v>
      </c>
      <c r="K214" s="259">
        <f ca="1">$I$1-H214</f>
        <v>79</v>
      </c>
      <c r="L214" s="293"/>
      <c r="M214" s="276"/>
      <c r="N214" s="276"/>
      <c r="O214" s="277"/>
      <c r="P214" s="259"/>
      <c r="Q214" s="259"/>
      <c r="R214" s="259"/>
      <c r="S214" s="259"/>
      <c r="T214" s="259"/>
      <c r="U214" s="259"/>
      <c r="V214" s="312"/>
    </row>
    <row r="215" spans="1:25" x14ac:dyDescent="0.25">
      <c r="A215" s="381">
        <v>4</v>
      </c>
      <c r="B215" s="382" t="s">
        <v>686</v>
      </c>
      <c r="C215" s="383" t="s">
        <v>687</v>
      </c>
      <c r="D215" s="384" t="s">
        <v>693</v>
      </c>
      <c r="E215" s="382" t="s">
        <v>694</v>
      </c>
      <c r="F215" s="382" t="s">
        <v>457</v>
      </c>
      <c r="G215" s="457">
        <v>45797</v>
      </c>
      <c r="H215" s="457">
        <f>G215+15</f>
        <v>45812</v>
      </c>
      <c r="I215" s="457">
        <v>45817</v>
      </c>
      <c r="J215" s="382">
        <f>I215-G215</f>
        <v>20</v>
      </c>
      <c r="K215" s="382">
        <f ca="1">I1-H215</f>
        <v>91</v>
      </c>
      <c r="L215" s="322" t="s">
        <v>458</v>
      </c>
      <c r="M215" s="325">
        <v>45817</v>
      </c>
      <c r="N215" s="325">
        <v>45834</v>
      </c>
      <c r="O215" s="326" t="s">
        <v>459</v>
      </c>
      <c r="P215" s="322">
        <f>N215-M215</f>
        <v>17</v>
      </c>
      <c r="Q215" s="322">
        <f ca="1">I1-N215</f>
        <v>69</v>
      </c>
      <c r="R215" s="322"/>
      <c r="S215" s="382" t="s">
        <v>489</v>
      </c>
      <c r="T215" s="382" t="str">
        <f>O215</f>
        <v>CAT - III</v>
      </c>
      <c r="U215" s="382" t="s">
        <v>464</v>
      </c>
      <c r="V215" s="388"/>
    </row>
    <row r="216" spans="1:25" x14ac:dyDescent="0.25">
      <c r="A216" s="381"/>
      <c r="B216" s="382"/>
      <c r="C216" s="383"/>
      <c r="D216" s="384"/>
      <c r="E216" s="382"/>
      <c r="F216" s="382"/>
      <c r="G216" s="457"/>
      <c r="H216" s="457"/>
      <c r="I216" s="457"/>
      <c r="J216" s="382"/>
      <c r="K216" s="382"/>
      <c r="L216" s="322" t="s">
        <v>460</v>
      </c>
      <c r="M216" s="325">
        <v>45856</v>
      </c>
      <c r="N216" s="325">
        <v>45876</v>
      </c>
      <c r="O216" s="326" t="s">
        <v>459</v>
      </c>
      <c r="P216" s="322">
        <f>N216-M216</f>
        <v>20</v>
      </c>
      <c r="Q216" s="322">
        <f>M217-N216</f>
        <v>14</v>
      </c>
      <c r="R216" s="322"/>
      <c r="S216" s="382"/>
      <c r="T216" s="382"/>
      <c r="U216" s="382"/>
      <c r="V216" s="388"/>
    </row>
    <row r="217" spans="1:25" x14ac:dyDescent="0.25">
      <c r="A217" s="381"/>
      <c r="B217" s="382"/>
      <c r="C217" s="383"/>
      <c r="D217" s="384"/>
      <c r="E217" s="382"/>
      <c r="F217" s="382"/>
      <c r="G217" s="457"/>
      <c r="H217" s="457"/>
      <c r="I217" s="457"/>
      <c r="J217" s="382"/>
      <c r="K217" s="382"/>
      <c r="L217" s="322" t="s">
        <v>462</v>
      </c>
      <c r="M217" s="325">
        <v>45890</v>
      </c>
      <c r="N217" s="325">
        <v>45898</v>
      </c>
      <c r="O217" s="326"/>
      <c r="P217" s="322">
        <f>N217-M217</f>
        <v>8</v>
      </c>
      <c r="Q217" s="322"/>
      <c r="R217" s="322"/>
      <c r="S217" s="382"/>
      <c r="T217" s="382"/>
      <c r="U217" s="382"/>
      <c r="V217" s="388"/>
    </row>
    <row r="218" spans="1:25" ht="14.5" customHeight="1" x14ac:dyDescent="0.25">
      <c r="A218" s="403">
        <v>5</v>
      </c>
      <c r="B218" s="406" t="s">
        <v>686</v>
      </c>
      <c r="C218" s="458" t="s">
        <v>687</v>
      </c>
      <c r="D218" s="412" t="s">
        <v>695</v>
      </c>
      <c r="E218" s="406" t="s">
        <v>696</v>
      </c>
      <c r="F218" s="359" t="s">
        <v>457</v>
      </c>
      <c r="G218" s="461">
        <v>45797</v>
      </c>
      <c r="H218" s="461">
        <f>G218+15</f>
        <v>45812</v>
      </c>
      <c r="I218" s="461">
        <v>45817</v>
      </c>
      <c r="J218" s="406">
        <f>I218-G218</f>
        <v>20</v>
      </c>
      <c r="K218" s="406">
        <f ca="1">I1-H218</f>
        <v>91</v>
      </c>
      <c r="L218" s="263" t="s">
        <v>458</v>
      </c>
      <c r="M218" s="266">
        <v>45817</v>
      </c>
      <c r="N218" s="266">
        <v>45835</v>
      </c>
      <c r="O218" s="267" t="s">
        <v>459</v>
      </c>
      <c r="P218" s="263">
        <f>N218-M218</f>
        <v>18</v>
      </c>
      <c r="Q218" s="263">
        <f ca="1">I1-N218</f>
        <v>68</v>
      </c>
      <c r="R218" s="359"/>
      <c r="S218" s="406" t="s">
        <v>482</v>
      </c>
      <c r="T218" s="406" t="str">
        <f>O218</f>
        <v>CAT - III</v>
      </c>
      <c r="U218" s="406" t="s">
        <v>461</v>
      </c>
      <c r="V218" s="418"/>
    </row>
    <row r="219" spans="1:25" x14ac:dyDescent="0.25">
      <c r="A219" s="404"/>
      <c r="B219" s="407"/>
      <c r="C219" s="459"/>
      <c r="D219" s="413"/>
      <c r="E219" s="407"/>
      <c r="F219" s="359"/>
      <c r="G219" s="461"/>
      <c r="H219" s="461"/>
      <c r="I219" s="461"/>
      <c r="J219" s="407"/>
      <c r="K219" s="407"/>
      <c r="L219" s="263" t="s">
        <v>460</v>
      </c>
      <c r="M219" s="266">
        <v>45856</v>
      </c>
      <c r="N219" s="266">
        <v>45876</v>
      </c>
      <c r="O219" s="267" t="s">
        <v>459</v>
      </c>
      <c r="P219" s="263">
        <f>N219-M219</f>
        <v>20</v>
      </c>
      <c r="Q219" s="263">
        <f>M220-N219</f>
        <v>18</v>
      </c>
      <c r="R219" s="359"/>
      <c r="S219" s="407"/>
      <c r="T219" s="407"/>
      <c r="U219" s="407"/>
      <c r="V219" s="419"/>
    </row>
    <row r="220" spans="1:25" x14ac:dyDescent="0.25">
      <c r="A220" s="405"/>
      <c r="B220" s="408"/>
      <c r="C220" s="460"/>
      <c r="D220" s="414"/>
      <c r="E220" s="408"/>
      <c r="F220" s="263"/>
      <c r="G220" s="284"/>
      <c r="H220" s="284"/>
      <c r="I220" s="284"/>
      <c r="J220" s="408"/>
      <c r="K220" s="408"/>
      <c r="L220" s="263" t="s">
        <v>462</v>
      </c>
      <c r="M220" s="266">
        <v>45894</v>
      </c>
      <c r="N220" s="266"/>
      <c r="O220" s="267"/>
      <c r="P220" s="263">
        <f ca="1">I1-M220</f>
        <v>9</v>
      </c>
      <c r="Q220" s="263"/>
      <c r="R220" s="263"/>
      <c r="S220" s="408"/>
      <c r="T220" s="408"/>
      <c r="U220" s="408"/>
      <c r="V220" s="420"/>
    </row>
    <row r="221" spans="1:25" ht="21" x14ac:dyDescent="0.25">
      <c r="A221" s="321">
        <v>6</v>
      </c>
      <c r="B221" s="322" t="s">
        <v>686</v>
      </c>
      <c r="C221" s="323" t="s">
        <v>687</v>
      </c>
      <c r="D221" s="324" t="s">
        <v>697</v>
      </c>
      <c r="E221" s="322" t="s">
        <v>698</v>
      </c>
      <c r="F221" s="322" t="s">
        <v>457</v>
      </c>
      <c r="G221" s="328">
        <v>45813</v>
      </c>
      <c r="H221" s="328">
        <f>G221+15</f>
        <v>45828</v>
      </c>
      <c r="I221" s="328">
        <f>M221</f>
        <v>45868</v>
      </c>
      <c r="J221" s="322">
        <f>I221-G221</f>
        <v>55</v>
      </c>
      <c r="K221" s="322">
        <f ca="1">I1-H221</f>
        <v>75</v>
      </c>
      <c r="L221" s="322" t="s">
        <v>458</v>
      </c>
      <c r="M221" s="325">
        <v>45868</v>
      </c>
      <c r="N221" s="325">
        <v>45891</v>
      </c>
      <c r="O221" s="326" t="s">
        <v>459</v>
      </c>
      <c r="P221" s="322">
        <f>N221-M221</f>
        <v>23</v>
      </c>
      <c r="Q221" s="322">
        <f ca="1">I1-N221</f>
        <v>12</v>
      </c>
      <c r="R221" s="320"/>
      <c r="S221" s="322" t="s">
        <v>489</v>
      </c>
      <c r="T221" s="322" t="str">
        <f>O221</f>
        <v>CAT - III</v>
      </c>
      <c r="U221" s="322" t="s">
        <v>464</v>
      </c>
      <c r="V221" s="327"/>
    </row>
    <row r="222" spans="1:25" ht="21" x14ac:dyDescent="0.25">
      <c r="A222" s="306">
        <v>7</v>
      </c>
      <c r="B222" s="263" t="s">
        <v>686</v>
      </c>
      <c r="C222" s="264" t="s">
        <v>687</v>
      </c>
      <c r="D222" s="265" t="s">
        <v>699</v>
      </c>
      <c r="E222" s="263" t="s">
        <v>700</v>
      </c>
      <c r="F222" s="263" t="s">
        <v>457</v>
      </c>
      <c r="G222" s="284">
        <v>45809</v>
      </c>
      <c r="H222" s="284">
        <f>G222+15</f>
        <v>45824</v>
      </c>
      <c r="I222" s="284">
        <f>M222</f>
        <v>45878</v>
      </c>
      <c r="J222" s="263">
        <f>I222-G222</f>
        <v>69</v>
      </c>
      <c r="K222" s="263">
        <f ca="1">I1-H222</f>
        <v>79</v>
      </c>
      <c r="L222" s="263" t="s">
        <v>458</v>
      </c>
      <c r="M222" s="266">
        <v>45878</v>
      </c>
      <c r="N222" s="266"/>
      <c r="O222" s="267"/>
      <c r="P222" s="263">
        <f ca="1">I1-M222</f>
        <v>25</v>
      </c>
      <c r="Q222" s="263"/>
      <c r="R222" s="263"/>
      <c r="S222" s="263" t="s">
        <v>482</v>
      </c>
      <c r="T222" s="263" t="s">
        <v>458</v>
      </c>
      <c r="U222" s="263" t="s">
        <v>461</v>
      </c>
      <c r="V222" s="307"/>
    </row>
    <row r="223" spans="1:25" ht="21" x14ac:dyDescent="0.25">
      <c r="A223" s="308">
        <v>8</v>
      </c>
      <c r="B223" s="257" t="s">
        <v>686</v>
      </c>
      <c r="C223" s="268" t="s">
        <v>687</v>
      </c>
      <c r="D223" s="269" t="s">
        <v>701</v>
      </c>
      <c r="E223" s="259" t="s">
        <v>702</v>
      </c>
      <c r="F223" s="259" t="s">
        <v>457</v>
      </c>
      <c r="G223" s="283">
        <v>45802</v>
      </c>
      <c r="H223" s="283">
        <f>G223+15</f>
        <v>45817</v>
      </c>
      <c r="I223" s="285"/>
      <c r="J223" s="257">
        <f t="shared" ref="J223:J224" ca="1" si="23">$I$1-G223</f>
        <v>101</v>
      </c>
      <c r="K223" s="259">
        <f ca="1">$I$1-H223</f>
        <v>86</v>
      </c>
      <c r="L223" s="293"/>
      <c r="M223" s="276"/>
      <c r="N223" s="276"/>
      <c r="O223" s="277"/>
      <c r="P223" s="259"/>
      <c r="Q223" s="259"/>
      <c r="R223" s="259"/>
      <c r="S223" s="259"/>
      <c r="T223" s="259"/>
      <c r="U223" s="259"/>
      <c r="V223" s="312"/>
    </row>
    <row r="224" spans="1:25" ht="21" x14ac:dyDescent="0.25">
      <c r="A224" s="308">
        <v>9</v>
      </c>
      <c r="B224" s="257" t="s">
        <v>686</v>
      </c>
      <c r="C224" s="268" t="s">
        <v>687</v>
      </c>
      <c r="D224" s="269" t="s">
        <v>703</v>
      </c>
      <c r="E224" s="259" t="s">
        <v>704</v>
      </c>
      <c r="F224" s="259" t="s">
        <v>457</v>
      </c>
      <c r="G224" s="283">
        <v>45797</v>
      </c>
      <c r="H224" s="283">
        <f>G224+15</f>
        <v>45812</v>
      </c>
      <c r="I224" s="285"/>
      <c r="J224" s="257">
        <f t="shared" ca="1" si="23"/>
        <v>106</v>
      </c>
      <c r="K224" s="259">
        <f ca="1">$I$1-H224</f>
        <v>91</v>
      </c>
      <c r="L224" s="293"/>
      <c r="M224" s="276"/>
      <c r="N224" s="276"/>
      <c r="O224" s="277"/>
      <c r="P224" s="259"/>
      <c r="Q224" s="259"/>
      <c r="R224" s="259"/>
      <c r="S224" s="259"/>
      <c r="T224" s="259"/>
      <c r="U224" s="259"/>
      <c r="V224" s="312"/>
    </row>
    <row r="225" spans="1:22" s="333" customFormat="1" x14ac:dyDescent="0.25">
      <c r="A225" s="369">
        <v>10</v>
      </c>
      <c r="B225" s="371" t="s">
        <v>686</v>
      </c>
      <c r="C225" s="373" t="s">
        <v>687</v>
      </c>
      <c r="D225" s="373" t="s">
        <v>705</v>
      </c>
      <c r="E225" s="371" t="s">
        <v>706</v>
      </c>
      <c r="F225" s="371" t="s">
        <v>457</v>
      </c>
      <c r="G225" s="454">
        <v>45782</v>
      </c>
      <c r="H225" s="454">
        <f>G225+15</f>
        <v>45797</v>
      </c>
      <c r="I225" s="454">
        <v>45846</v>
      </c>
      <c r="J225" s="371">
        <f>I225-G225</f>
        <v>64</v>
      </c>
      <c r="K225" s="371">
        <f>N227-I225</f>
        <v>29</v>
      </c>
      <c r="L225" s="271" t="s">
        <v>458</v>
      </c>
      <c r="M225" s="274">
        <v>45846</v>
      </c>
      <c r="N225" s="274">
        <v>45848</v>
      </c>
      <c r="O225" s="275" t="s">
        <v>459</v>
      </c>
      <c r="P225" s="271">
        <f t="shared" ref="P225:P230" si="24">N225-M225</f>
        <v>2</v>
      </c>
      <c r="Q225" s="271">
        <f>M226-N225</f>
        <v>6</v>
      </c>
      <c r="R225" s="377">
        <f>N227</f>
        <v>45875</v>
      </c>
      <c r="S225" s="371" t="s">
        <v>397</v>
      </c>
      <c r="T225" s="371" t="str">
        <f>O227</f>
        <v>CAT - I</v>
      </c>
      <c r="U225" s="371" t="s">
        <v>397</v>
      </c>
      <c r="V225" s="393"/>
    </row>
    <row r="226" spans="1:22" x14ac:dyDescent="0.25">
      <c r="A226" s="370"/>
      <c r="B226" s="372"/>
      <c r="C226" s="374"/>
      <c r="D226" s="374"/>
      <c r="E226" s="372"/>
      <c r="F226" s="372"/>
      <c r="G226" s="455"/>
      <c r="H226" s="455"/>
      <c r="I226" s="455"/>
      <c r="J226" s="372"/>
      <c r="K226" s="372"/>
      <c r="L226" s="271" t="s">
        <v>460</v>
      </c>
      <c r="M226" s="274">
        <v>45854</v>
      </c>
      <c r="N226" s="274">
        <v>45861</v>
      </c>
      <c r="O226" s="275" t="s">
        <v>459</v>
      </c>
      <c r="P226" s="271">
        <f t="shared" si="24"/>
        <v>7</v>
      </c>
      <c r="Q226" s="271">
        <f>M227-N226</f>
        <v>12</v>
      </c>
      <c r="R226" s="371"/>
      <c r="S226" s="372"/>
      <c r="T226" s="372"/>
      <c r="U226" s="372"/>
      <c r="V226" s="395"/>
    </row>
    <row r="227" spans="1:22" x14ac:dyDescent="0.25">
      <c r="A227" s="370"/>
      <c r="B227" s="372"/>
      <c r="C227" s="374"/>
      <c r="D227" s="374"/>
      <c r="E227" s="372"/>
      <c r="F227" s="372"/>
      <c r="G227" s="455"/>
      <c r="H227" s="455"/>
      <c r="I227" s="455"/>
      <c r="J227" s="372"/>
      <c r="K227" s="372"/>
      <c r="L227" s="271" t="s">
        <v>462</v>
      </c>
      <c r="M227" s="274">
        <v>45873</v>
      </c>
      <c r="N227" s="274">
        <v>45875</v>
      </c>
      <c r="O227" s="275" t="s">
        <v>472</v>
      </c>
      <c r="P227" s="271">
        <f t="shared" si="24"/>
        <v>2</v>
      </c>
      <c r="Q227" s="271"/>
      <c r="R227" s="371"/>
      <c r="S227" s="372"/>
      <c r="T227" s="372"/>
      <c r="U227" s="372"/>
      <c r="V227" s="394"/>
    </row>
    <row r="228" spans="1:22" x14ac:dyDescent="0.25">
      <c r="A228" s="381">
        <v>11</v>
      </c>
      <c r="B228" s="382" t="s">
        <v>686</v>
      </c>
      <c r="C228" s="383" t="s">
        <v>687</v>
      </c>
      <c r="D228" s="384" t="s">
        <v>707</v>
      </c>
      <c r="E228" s="382" t="s">
        <v>708</v>
      </c>
      <c r="F228" s="382" t="s">
        <v>457</v>
      </c>
      <c r="G228" s="457">
        <v>45809</v>
      </c>
      <c r="H228" s="457">
        <f>G228+15</f>
        <v>45824</v>
      </c>
      <c r="I228" s="457">
        <f>M228</f>
        <v>45859</v>
      </c>
      <c r="J228" s="382">
        <f>I228-G228</f>
        <v>50</v>
      </c>
      <c r="K228" s="382">
        <f ca="1">I1-H228</f>
        <v>79</v>
      </c>
      <c r="L228" s="322" t="s">
        <v>458</v>
      </c>
      <c r="M228" s="325">
        <v>45859</v>
      </c>
      <c r="N228" s="325">
        <v>45875</v>
      </c>
      <c r="O228" s="326" t="s">
        <v>459</v>
      </c>
      <c r="P228" s="322">
        <f t="shared" si="24"/>
        <v>16</v>
      </c>
      <c r="Q228" s="322">
        <f ca="1">I1-N228</f>
        <v>28</v>
      </c>
      <c r="R228" s="320"/>
      <c r="S228" s="382" t="s">
        <v>489</v>
      </c>
      <c r="T228" s="382" t="str">
        <f>O229</f>
        <v>CAT - II</v>
      </c>
      <c r="U228" s="382" t="s">
        <v>464</v>
      </c>
      <c r="V228" s="388"/>
    </row>
    <row r="229" spans="1:22" x14ac:dyDescent="0.25">
      <c r="A229" s="446"/>
      <c r="B229" s="447"/>
      <c r="C229" s="462"/>
      <c r="D229" s="448"/>
      <c r="E229" s="447"/>
      <c r="F229" s="447"/>
      <c r="G229" s="463"/>
      <c r="H229" s="463"/>
      <c r="I229" s="463"/>
      <c r="J229" s="447"/>
      <c r="K229" s="447"/>
      <c r="L229" s="322" t="s">
        <v>458</v>
      </c>
      <c r="M229" s="325">
        <v>45880</v>
      </c>
      <c r="N229" s="325">
        <v>45882</v>
      </c>
      <c r="O229" s="326" t="s">
        <v>481</v>
      </c>
      <c r="P229" s="322">
        <f t="shared" si="24"/>
        <v>2</v>
      </c>
      <c r="Q229" s="322">
        <f ca="1">I1-N229</f>
        <v>21</v>
      </c>
      <c r="R229" s="320"/>
      <c r="S229" s="447"/>
      <c r="T229" s="447"/>
      <c r="U229" s="447"/>
      <c r="V229" s="450"/>
    </row>
    <row r="230" spans="1:22" ht="29" customHeight="1" x14ac:dyDescent="0.25">
      <c r="A230" s="369">
        <v>12</v>
      </c>
      <c r="B230" s="371" t="s">
        <v>686</v>
      </c>
      <c r="C230" s="373" t="s">
        <v>687</v>
      </c>
      <c r="D230" s="375" t="s">
        <v>709</v>
      </c>
      <c r="E230" s="371" t="s">
        <v>710</v>
      </c>
      <c r="F230" s="371" t="s">
        <v>457</v>
      </c>
      <c r="G230" s="454">
        <v>45792</v>
      </c>
      <c r="H230" s="454">
        <f>G230+15</f>
        <v>45807</v>
      </c>
      <c r="I230" s="454">
        <f>M230</f>
        <v>45877</v>
      </c>
      <c r="J230" s="371">
        <f>I230-G230</f>
        <v>85</v>
      </c>
      <c r="K230" s="371">
        <f ca="1">I1-H230</f>
        <v>96</v>
      </c>
      <c r="L230" s="271" t="s">
        <v>458</v>
      </c>
      <c r="M230" s="274">
        <v>45877</v>
      </c>
      <c r="N230" s="274">
        <v>45878</v>
      </c>
      <c r="O230" s="275" t="s">
        <v>459</v>
      </c>
      <c r="P230" s="271">
        <f t="shared" si="24"/>
        <v>1</v>
      </c>
      <c r="Q230" s="271">
        <f ca="1">I1-N230</f>
        <v>25</v>
      </c>
      <c r="R230" s="371"/>
      <c r="S230" s="371" t="s">
        <v>397</v>
      </c>
      <c r="T230" s="371" t="str">
        <f>O232</f>
        <v>CAT - I</v>
      </c>
      <c r="U230" s="371" t="s">
        <v>397</v>
      </c>
      <c r="V230" s="393"/>
    </row>
    <row r="231" spans="1:22" x14ac:dyDescent="0.25">
      <c r="A231" s="369"/>
      <c r="B231" s="371"/>
      <c r="C231" s="373"/>
      <c r="D231" s="375"/>
      <c r="E231" s="371"/>
      <c r="F231" s="371"/>
      <c r="G231" s="454"/>
      <c r="H231" s="454"/>
      <c r="I231" s="454"/>
      <c r="J231" s="371"/>
      <c r="K231" s="371"/>
      <c r="L231" s="271" t="s">
        <v>460</v>
      </c>
      <c r="M231" s="274">
        <v>45880</v>
      </c>
      <c r="N231" s="274">
        <v>45882</v>
      </c>
      <c r="O231" s="275" t="s">
        <v>481</v>
      </c>
      <c r="P231" s="271">
        <f>N231-M231</f>
        <v>2</v>
      </c>
      <c r="Q231" s="271">
        <f>M232-N231</f>
        <v>7</v>
      </c>
      <c r="R231" s="371"/>
      <c r="S231" s="371"/>
      <c r="T231" s="371"/>
      <c r="U231" s="371"/>
      <c r="V231" s="395"/>
    </row>
    <row r="232" spans="1:22" x14ac:dyDescent="0.25">
      <c r="A232" s="369"/>
      <c r="B232" s="371"/>
      <c r="C232" s="373"/>
      <c r="D232" s="375"/>
      <c r="E232" s="371"/>
      <c r="F232" s="371"/>
      <c r="G232" s="454"/>
      <c r="H232" s="454"/>
      <c r="I232" s="454"/>
      <c r="J232" s="371"/>
      <c r="K232" s="371"/>
      <c r="L232" s="271" t="s">
        <v>462</v>
      </c>
      <c r="M232" s="274">
        <v>45889</v>
      </c>
      <c r="N232" s="274">
        <v>45894</v>
      </c>
      <c r="O232" s="275" t="s">
        <v>472</v>
      </c>
      <c r="P232" s="271">
        <f>N232-M232</f>
        <v>5</v>
      </c>
      <c r="Q232" s="271"/>
      <c r="R232" s="371"/>
      <c r="S232" s="371"/>
      <c r="T232" s="371"/>
      <c r="U232" s="371"/>
      <c r="V232" s="394"/>
    </row>
    <row r="233" spans="1:22" ht="21" x14ac:dyDescent="0.25">
      <c r="A233" s="308">
        <v>13</v>
      </c>
      <c r="B233" s="257" t="s">
        <v>686</v>
      </c>
      <c r="C233" s="268" t="s">
        <v>687</v>
      </c>
      <c r="D233" s="269" t="s">
        <v>711</v>
      </c>
      <c r="E233" s="259" t="s">
        <v>712</v>
      </c>
      <c r="F233" s="259" t="s">
        <v>457</v>
      </c>
      <c r="G233" s="283">
        <v>45784</v>
      </c>
      <c r="H233" s="283">
        <f t="shared" ref="H233:H257" si="25">G233+15</f>
        <v>45799</v>
      </c>
      <c r="I233" s="285"/>
      <c r="J233" s="257">
        <f t="shared" ref="J233:K241" ca="1" si="26">$I$1-G233</f>
        <v>119</v>
      </c>
      <c r="K233" s="259">
        <f t="shared" ca="1" si="26"/>
        <v>104</v>
      </c>
      <c r="L233" s="293"/>
      <c r="M233" s="286"/>
      <c r="N233" s="286"/>
      <c r="O233" s="277"/>
      <c r="P233" s="259"/>
      <c r="Q233" s="259"/>
      <c r="R233" s="259"/>
      <c r="S233" s="259"/>
      <c r="T233" s="259"/>
      <c r="U233" s="259"/>
      <c r="V233" s="312"/>
    </row>
    <row r="234" spans="1:22" ht="21" x14ac:dyDescent="0.25">
      <c r="A234" s="308">
        <v>14</v>
      </c>
      <c r="B234" s="257" t="s">
        <v>686</v>
      </c>
      <c r="C234" s="268" t="s">
        <v>687</v>
      </c>
      <c r="D234" s="269" t="s">
        <v>713</v>
      </c>
      <c r="E234" s="259" t="s">
        <v>714</v>
      </c>
      <c r="F234" s="259" t="s">
        <v>457</v>
      </c>
      <c r="G234" s="283">
        <v>45809</v>
      </c>
      <c r="H234" s="283">
        <f t="shared" si="25"/>
        <v>45824</v>
      </c>
      <c r="I234" s="285"/>
      <c r="J234" s="257">
        <f t="shared" ca="1" si="26"/>
        <v>94</v>
      </c>
      <c r="K234" s="259">
        <f t="shared" ca="1" si="26"/>
        <v>79</v>
      </c>
      <c r="L234" s="293"/>
      <c r="M234" s="276"/>
      <c r="N234" s="276"/>
      <c r="O234" s="277"/>
      <c r="P234" s="259"/>
      <c r="Q234" s="259"/>
      <c r="R234" s="259"/>
      <c r="S234" s="259"/>
      <c r="T234" s="259"/>
      <c r="U234" s="259"/>
      <c r="V234" s="312"/>
    </row>
    <row r="235" spans="1:22" ht="21" x14ac:dyDescent="0.25">
      <c r="A235" s="306">
        <v>15</v>
      </c>
      <c r="B235" s="263" t="s">
        <v>686</v>
      </c>
      <c r="C235" s="264" t="s">
        <v>687</v>
      </c>
      <c r="D235" s="265" t="s">
        <v>715</v>
      </c>
      <c r="E235" s="263" t="s">
        <v>716</v>
      </c>
      <c r="F235" s="263" t="s">
        <v>467</v>
      </c>
      <c r="G235" s="284">
        <v>45797</v>
      </c>
      <c r="H235" s="284">
        <f t="shared" si="25"/>
        <v>45812</v>
      </c>
      <c r="I235" s="284"/>
      <c r="J235" s="263">
        <f t="shared" ca="1" si="26"/>
        <v>106</v>
      </c>
      <c r="K235" s="263">
        <f t="shared" ca="1" si="26"/>
        <v>91</v>
      </c>
      <c r="L235" s="313" t="s">
        <v>458</v>
      </c>
      <c r="M235" s="266">
        <v>45901</v>
      </c>
      <c r="N235" s="266"/>
      <c r="O235" s="267" t="s">
        <v>458</v>
      </c>
      <c r="P235" s="263"/>
      <c r="Q235" s="263"/>
      <c r="R235" s="263"/>
      <c r="S235" s="263" t="s">
        <v>482</v>
      </c>
      <c r="T235" s="263" t="str">
        <f>O235</f>
        <v>R0</v>
      </c>
      <c r="U235" s="263" t="s">
        <v>877</v>
      </c>
      <c r="V235" s="307"/>
    </row>
    <row r="236" spans="1:22" ht="21" x14ac:dyDescent="0.25">
      <c r="A236" s="308">
        <v>16</v>
      </c>
      <c r="B236" s="257" t="s">
        <v>686</v>
      </c>
      <c r="C236" s="268" t="s">
        <v>687</v>
      </c>
      <c r="D236" s="269" t="s">
        <v>717</v>
      </c>
      <c r="E236" s="259" t="s">
        <v>718</v>
      </c>
      <c r="F236" s="259" t="s">
        <v>467</v>
      </c>
      <c r="G236" s="283">
        <v>45797</v>
      </c>
      <c r="H236" s="283">
        <f t="shared" si="25"/>
        <v>45812</v>
      </c>
      <c r="I236" s="285"/>
      <c r="J236" s="257">
        <f t="shared" ca="1" si="26"/>
        <v>106</v>
      </c>
      <c r="K236" s="259">
        <f t="shared" ca="1" si="26"/>
        <v>91</v>
      </c>
      <c r="L236" s="293"/>
      <c r="M236" s="276"/>
      <c r="N236" s="276"/>
      <c r="O236" s="277"/>
      <c r="P236" s="259"/>
      <c r="Q236" s="259"/>
      <c r="R236" s="259"/>
      <c r="S236" s="259"/>
      <c r="T236" s="259"/>
      <c r="U236" s="259"/>
      <c r="V236" s="312"/>
    </row>
    <row r="237" spans="1:22" ht="21" x14ac:dyDescent="0.25">
      <c r="A237" s="308">
        <v>17</v>
      </c>
      <c r="B237" s="257" t="s">
        <v>686</v>
      </c>
      <c r="C237" s="268" t="s">
        <v>687</v>
      </c>
      <c r="D237" s="269" t="s">
        <v>719</v>
      </c>
      <c r="E237" s="259" t="s">
        <v>720</v>
      </c>
      <c r="F237" s="259" t="s">
        <v>457</v>
      </c>
      <c r="G237" s="283">
        <v>45797</v>
      </c>
      <c r="H237" s="283">
        <f t="shared" si="25"/>
        <v>45812</v>
      </c>
      <c r="I237" s="285"/>
      <c r="J237" s="257">
        <f t="shared" ca="1" si="26"/>
        <v>106</v>
      </c>
      <c r="K237" s="259">
        <f t="shared" ca="1" si="26"/>
        <v>91</v>
      </c>
      <c r="L237" s="293"/>
      <c r="M237" s="276"/>
      <c r="N237" s="276"/>
      <c r="O237" s="277"/>
      <c r="P237" s="259"/>
      <c r="Q237" s="259"/>
      <c r="R237" s="259"/>
      <c r="S237" s="259"/>
      <c r="T237" s="259"/>
      <c r="U237" s="259"/>
      <c r="V237" s="312"/>
    </row>
    <row r="238" spans="1:22" ht="21" x14ac:dyDescent="0.25">
      <c r="A238" s="310">
        <v>18</v>
      </c>
      <c r="B238" s="271" t="s">
        <v>686</v>
      </c>
      <c r="C238" s="272" t="s">
        <v>687</v>
      </c>
      <c r="D238" s="273" t="s">
        <v>721</v>
      </c>
      <c r="E238" s="271" t="s">
        <v>722</v>
      </c>
      <c r="F238" s="271" t="s">
        <v>467</v>
      </c>
      <c r="G238" s="282">
        <v>45805</v>
      </c>
      <c r="H238" s="282">
        <f t="shared" si="25"/>
        <v>45820</v>
      </c>
      <c r="I238" s="282">
        <f>M238</f>
        <v>45898</v>
      </c>
      <c r="J238" s="271">
        <f>I238-G238</f>
        <v>93</v>
      </c>
      <c r="K238" s="271">
        <f t="shared" ca="1" si="26"/>
        <v>83</v>
      </c>
      <c r="L238" s="329" t="s">
        <v>458</v>
      </c>
      <c r="M238" s="274">
        <v>45898</v>
      </c>
      <c r="N238" s="274">
        <v>45901</v>
      </c>
      <c r="O238" s="275" t="s">
        <v>511</v>
      </c>
      <c r="P238" s="271">
        <f>N238-M238</f>
        <v>3</v>
      </c>
      <c r="Q238" s="271"/>
      <c r="R238" s="271"/>
      <c r="S238" s="271" t="s">
        <v>397</v>
      </c>
      <c r="T238" s="271" t="str">
        <f>O238</f>
        <v xml:space="preserve">CAT -IV </v>
      </c>
      <c r="U238" s="271" t="s">
        <v>397</v>
      </c>
      <c r="V238" s="311"/>
    </row>
    <row r="239" spans="1:22" ht="21" x14ac:dyDescent="0.25">
      <c r="A239" s="308">
        <v>19</v>
      </c>
      <c r="B239" s="257" t="s">
        <v>686</v>
      </c>
      <c r="C239" s="268" t="s">
        <v>687</v>
      </c>
      <c r="D239" s="269" t="s">
        <v>723</v>
      </c>
      <c r="E239" s="259" t="s">
        <v>724</v>
      </c>
      <c r="F239" s="259" t="s">
        <v>457</v>
      </c>
      <c r="G239" s="283">
        <v>45805</v>
      </c>
      <c r="H239" s="283">
        <f t="shared" si="25"/>
        <v>45820</v>
      </c>
      <c r="I239" s="285"/>
      <c r="J239" s="257">
        <f t="shared" ca="1" si="26"/>
        <v>98</v>
      </c>
      <c r="K239" s="259">
        <f t="shared" ca="1" si="26"/>
        <v>83</v>
      </c>
      <c r="L239" s="293"/>
      <c r="M239" s="276"/>
      <c r="N239" s="276"/>
      <c r="O239" s="277"/>
      <c r="P239" s="259"/>
      <c r="Q239" s="259"/>
      <c r="R239" s="259"/>
      <c r="S239" s="259"/>
      <c r="T239" s="259"/>
      <c r="U239" s="259"/>
      <c r="V239" s="312"/>
    </row>
    <row r="240" spans="1:22" ht="21" x14ac:dyDescent="0.25">
      <c r="A240" s="308">
        <v>20</v>
      </c>
      <c r="B240" s="257" t="s">
        <v>686</v>
      </c>
      <c r="C240" s="268" t="s">
        <v>687</v>
      </c>
      <c r="D240" s="269" t="s">
        <v>725</v>
      </c>
      <c r="E240" s="259" t="s">
        <v>726</v>
      </c>
      <c r="F240" s="259" t="s">
        <v>467</v>
      </c>
      <c r="G240" s="283">
        <v>45834</v>
      </c>
      <c r="H240" s="283">
        <f t="shared" si="25"/>
        <v>45849</v>
      </c>
      <c r="I240" s="285"/>
      <c r="J240" s="257">
        <f t="shared" ca="1" si="26"/>
        <v>69</v>
      </c>
      <c r="K240" s="259">
        <f t="shared" ca="1" si="26"/>
        <v>54</v>
      </c>
      <c r="L240" s="293"/>
      <c r="M240" s="276"/>
      <c r="N240" s="276"/>
      <c r="O240" s="277"/>
      <c r="P240" s="259"/>
      <c r="Q240" s="259"/>
      <c r="R240" s="259"/>
      <c r="S240" s="259"/>
      <c r="T240" s="259"/>
      <c r="U240" s="259"/>
      <c r="V240" s="312"/>
    </row>
    <row r="241" spans="1:22" ht="21" x14ac:dyDescent="0.25">
      <c r="A241" s="308">
        <v>21</v>
      </c>
      <c r="B241" s="257" t="s">
        <v>686</v>
      </c>
      <c r="C241" s="268" t="s">
        <v>687</v>
      </c>
      <c r="D241" s="269" t="s">
        <v>727</v>
      </c>
      <c r="E241" s="259" t="s">
        <v>728</v>
      </c>
      <c r="F241" s="259" t="s">
        <v>457</v>
      </c>
      <c r="G241" s="283">
        <v>45840</v>
      </c>
      <c r="H241" s="283">
        <f t="shared" si="25"/>
        <v>45855</v>
      </c>
      <c r="I241" s="285"/>
      <c r="J241" s="257">
        <f t="shared" ca="1" si="26"/>
        <v>63</v>
      </c>
      <c r="K241" s="259">
        <f t="shared" ca="1" si="26"/>
        <v>48</v>
      </c>
      <c r="L241" s="293"/>
      <c r="M241" s="276"/>
      <c r="N241" s="276"/>
      <c r="O241" s="277"/>
      <c r="P241" s="259"/>
      <c r="Q241" s="259"/>
      <c r="R241" s="259"/>
      <c r="S241" s="259"/>
      <c r="T241" s="259"/>
      <c r="U241" s="259"/>
      <c r="V241" s="312"/>
    </row>
    <row r="242" spans="1:22" s="333" customFormat="1" ht="21" x14ac:dyDescent="0.25">
      <c r="A242" s="310">
        <v>22</v>
      </c>
      <c r="B242" s="271" t="s">
        <v>686</v>
      </c>
      <c r="C242" s="272" t="s">
        <v>687</v>
      </c>
      <c r="D242" s="273" t="s">
        <v>729</v>
      </c>
      <c r="E242" s="271" t="s">
        <v>730</v>
      </c>
      <c r="F242" s="271" t="s">
        <v>467</v>
      </c>
      <c r="G242" s="282">
        <v>45813</v>
      </c>
      <c r="H242" s="282">
        <f t="shared" si="25"/>
        <v>45828</v>
      </c>
      <c r="I242" s="282">
        <v>45854</v>
      </c>
      <c r="J242" s="271">
        <f>I242-G242</f>
        <v>41</v>
      </c>
      <c r="K242" s="271">
        <f>N242-H242</f>
        <v>31</v>
      </c>
      <c r="L242" s="271" t="s">
        <v>458</v>
      </c>
      <c r="M242" s="274">
        <v>45854</v>
      </c>
      <c r="N242" s="274">
        <v>45859</v>
      </c>
      <c r="O242" s="275" t="s">
        <v>511</v>
      </c>
      <c r="P242" s="271">
        <f>N242-M242</f>
        <v>5</v>
      </c>
      <c r="Q242" s="271"/>
      <c r="R242" s="274">
        <f>N242</f>
        <v>45859</v>
      </c>
      <c r="S242" s="271" t="s">
        <v>397</v>
      </c>
      <c r="T242" s="271" t="str">
        <f>O242</f>
        <v xml:space="preserve">CAT -IV </v>
      </c>
      <c r="U242" s="271" t="s">
        <v>397</v>
      </c>
      <c r="V242" s="311"/>
    </row>
    <row r="243" spans="1:22" x14ac:dyDescent="0.25">
      <c r="A243" s="403">
        <v>23</v>
      </c>
      <c r="B243" s="406" t="s">
        <v>686</v>
      </c>
      <c r="C243" s="458" t="s">
        <v>687</v>
      </c>
      <c r="D243" s="464" t="s">
        <v>731</v>
      </c>
      <c r="E243" s="406" t="s">
        <v>732</v>
      </c>
      <c r="F243" s="406" t="s">
        <v>457</v>
      </c>
      <c r="G243" s="466">
        <v>45826</v>
      </c>
      <c r="H243" s="466">
        <f t="shared" si="25"/>
        <v>45841</v>
      </c>
      <c r="I243" s="466">
        <v>45878</v>
      </c>
      <c r="J243" s="406">
        <f>I243-G243</f>
        <v>52</v>
      </c>
      <c r="K243" s="406">
        <f ca="1">I1-H243</f>
        <v>62</v>
      </c>
      <c r="L243" s="263" t="s">
        <v>458</v>
      </c>
      <c r="M243" s="266">
        <v>45878</v>
      </c>
      <c r="N243" s="266">
        <v>45891</v>
      </c>
      <c r="O243" s="267" t="s">
        <v>459</v>
      </c>
      <c r="P243" s="263">
        <f>N243-M243</f>
        <v>13</v>
      </c>
      <c r="Q243" s="263">
        <f>M244-N243</f>
        <v>7</v>
      </c>
      <c r="R243" s="263"/>
      <c r="S243" s="406" t="s">
        <v>482</v>
      </c>
      <c r="T243" s="406" t="str">
        <f>O243</f>
        <v>CAT - III</v>
      </c>
      <c r="U243" s="406" t="s">
        <v>461</v>
      </c>
      <c r="V243" s="418"/>
    </row>
    <row r="244" spans="1:22" x14ac:dyDescent="0.25">
      <c r="A244" s="405"/>
      <c r="B244" s="408"/>
      <c r="C244" s="460"/>
      <c r="D244" s="465"/>
      <c r="E244" s="408"/>
      <c r="F244" s="408"/>
      <c r="G244" s="467"/>
      <c r="H244" s="467"/>
      <c r="I244" s="467"/>
      <c r="J244" s="408"/>
      <c r="K244" s="408"/>
      <c r="L244" s="263" t="s">
        <v>460</v>
      </c>
      <c r="M244" s="266">
        <v>45898</v>
      </c>
      <c r="N244" s="266"/>
      <c r="O244" s="267"/>
      <c r="P244" s="263"/>
      <c r="Q244" s="263"/>
      <c r="R244" s="263"/>
      <c r="S244" s="408"/>
      <c r="T244" s="408"/>
      <c r="U244" s="408"/>
      <c r="V244" s="420"/>
    </row>
    <row r="245" spans="1:22" ht="21" x14ac:dyDescent="0.25">
      <c r="A245" s="308">
        <v>24</v>
      </c>
      <c r="B245" s="257" t="s">
        <v>686</v>
      </c>
      <c r="C245" s="268" t="s">
        <v>687</v>
      </c>
      <c r="D245" s="269" t="s">
        <v>733</v>
      </c>
      <c r="E245" s="259" t="s">
        <v>734</v>
      </c>
      <c r="F245" s="259" t="s">
        <v>467</v>
      </c>
      <c r="G245" s="283">
        <v>45853</v>
      </c>
      <c r="H245" s="283">
        <f t="shared" si="25"/>
        <v>45868</v>
      </c>
      <c r="I245" s="285"/>
      <c r="J245" s="257">
        <f t="shared" ref="J245:J247" ca="1" si="27">$I$1-G245</f>
        <v>50</v>
      </c>
      <c r="K245" s="259">
        <f ca="1">$I$1-H245</f>
        <v>35</v>
      </c>
      <c r="L245" s="293"/>
      <c r="M245" s="276"/>
      <c r="N245" s="276"/>
      <c r="O245" s="277"/>
      <c r="P245" s="259"/>
      <c r="Q245" s="259"/>
      <c r="R245" s="259"/>
      <c r="S245" s="259"/>
      <c r="T245" s="259"/>
      <c r="U245" s="259"/>
      <c r="V245" s="312"/>
    </row>
    <row r="246" spans="1:22" ht="21" x14ac:dyDescent="0.25">
      <c r="A246" s="308">
        <v>25</v>
      </c>
      <c r="B246" s="257" t="s">
        <v>686</v>
      </c>
      <c r="C246" s="268" t="s">
        <v>687</v>
      </c>
      <c r="D246" s="269" t="s">
        <v>735</v>
      </c>
      <c r="E246" s="259" t="s">
        <v>736</v>
      </c>
      <c r="F246" s="259" t="s">
        <v>467</v>
      </c>
      <c r="G246" s="283">
        <v>45874</v>
      </c>
      <c r="H246" s="283">
        <f t="shared" si="25"/>
        <v>45889</v>
      </c>
      <c r="I246" s="285"/>
      <c r="J246" s="257">
        <f t="shared" ca="1" si="27"/>
        <v>29</v>
      </c>
      <c r="K246" s="259">
        <f ca="1">$I$1-H246</f>
        <v>14</v>
      </c>
      <c r="L246" s="293"/>
      <c r="M246" s="276"/>
      <c r="N246" s="276"/>
      <c r="O246" s="277"/>
      <c r="P246" s="259"/>
      <c r="Q246" s="259"/>
      <c r="R246" s="259"/>
      <c r="S246" s="259"/>
      <c r="T246" s="259"/>
      <c r="U246" s="259"/>
      <c r="V246" s="312"/>
    </row>
    <row r="247" spans="1:22" ht="42" x14ac:dyDescent="0.25">
      <c r="A247" s="308">
        <v>26</v>
      </c>
      <c r="B247" s="257" t="s">
        <v>686</v>
      </c>
      <c r="C247" s="268" t="s">
        <v>687</v>
      </c>
      <c r="D247" s="269" t="s">
        <v>737</v>
      </c>
      <c r="E247" s="259" t="s">
        <v>738</v>
      </c>
      <c r="F247" s="259" t="s">
        <v>467</v>
      </c>
      <c r="G247" s="283">
        <v>45900</v>
      </c>
      <c r="H247" s="283">
        <f t="shared" si="25"/>
        <v>45915</v>
      </c>
      <c r="I247" s="285"/>
      <c r="J247" s="257">
        <f t="shared" ca="1" si="27"/>
        <v>3</v>
      </c>
      <c r="K247" s="259">
        <f ca="1">$I$1-H247</f>
        <v>-12</v>
      </c>
      <c r="L247" s="293"/>
      <c r="M247" s="276"/>
      <c r="N247" s="276"/>
      <c r="O247" s="277"/>
      <c r="P247" s="259"/>
      <c r="Q247" s="259"/>
      <c r="R247" s="259"/>
      <c r="S247" s="259"/>
      <c r="T247" s="259"/>
      <c r="U247" s="259"/>
      <c r="V247" s="312"/>
    </row>
    <row r="248" spans="1:22" ht="29" customHeight="1" x14ac:dyDescent="0.25">
      <c r="A248" s="474">
        <v>27</v>
      </c>
      <c r="B248" s="470" t="s">
        <v>686</v>
      </c>
      <c r="C248" s="476" t="s">
        <v>687</v>
      </c>
      <c r="D248" s="478" t="s">
        <v>739</v>
      </c>
      <c r="E248" s="470" t="s">
        <v>740</v>
      </c>
      <c r="F248" s="470" t="s">
        <v>457</v>
      </c>
      <c r="G248" s="468">
        <v>45834</v>
      </c>
      <c r="H248" s="468">
        <f t="shared" si="25"/>
        <v>45849</v>
      </c>
      <c r="I248" s="468">
        <f>M248</f>
        <v>45869</v>
      </c>
      <c r="J248" s="322">
        <f>I248-G248</f>
        <v>35</v>
      </c>
      <c r="K248" s="322">
        <f ca="1">I1-H248</f>
        <v>54</v>
      </c>
      <c r="L248" s="322" t="s">
        <v>458</v>
      </c>
      <c r="M248" s="325">
        <v>45869</v>
      </c>
      <c r="N248" s="325">
        <v>45895</v>
      </c>
      <c r="O248" s="326" t="s">
        <v>459</v>
      </c>
      <c r="P248" s="322">
        <f>N248-M248</f>
        <v>26</v>
      </c>
      <c r="Q248" s="322">
        <f ca="1">I1-N248</f>
        <v>8</v>
      </c>
      <c r="R248" s="320"/>
      <c r="S248" s="470" t="s">
        <v>489</v>
      </c>
      <c r="T248" s="470" t="str">
        <f>O248</f>
        <v>CAT - III</v>
      </c>
      <c r="U248" s="470" t="s">
        <v>464</v>
      </c>
      <c r="V248" s="472"/>
    </row>
    <row r="249" spans="1:22" x14ac:dyDescent="0.25">
      <c r="A249" s="475"/>
      <c r="B249" s="471"/>
      <c r="C249" s="477"/>
      <c r="D249" s="479"/>
      <c r="E249" s="471"/>
      <c r="F249" s="480"/>
      <c r="G249" s="469"/>
      <c r="H249" s="469"/>
      <c r="I249" s="469"/>
      <c r="J249" s="322"/>
      <c r="K249" s="322"/>
      <c r="L249" s="322"/>
      <c r="M249" s="325"/>
      <c r="N249" s="325"/>
      <c r="O249" s="326"/>
      <c r="P249" s="322"/>
      <c r="Q249" s="322"/>
      <c r="R249" s="320"/>
      <c r="S249" s="471"/>
      <c r="T249" s="471"/>
      <c r="U249" s="471"/>
      <c r="V249" s="473"/>
    </row>
    <row r="250" spans="1:22" ht="21" x14ac:dyDescent="0.25">
      <c r="A250" s="308">
        <v>28</v>
      </c>
      <c r="B250" s="257" t="s">
        <v>686</v>
      </c>
      <c r="C250" s="268" t="s">
        <v>687</v>
      </c>
      <c r="D250" s="269" t="s">
        <v>741</v>
      </c>
      <c r="E250" s="259" t="s">
        <v>742</v>
      </c>
      <c r="F250" s="259" t="s">
        <v>457</v>
      </c>
      <c r="G250" s="283">
        <v>45814</v>
      </c>
      <c r="H250" s="283">
        <f t="shared" si="25"/>
        <v>45829</v>
      </c>
      <c r="I250" s="285"/>
      <c r="J250" s="257">
        <f t="shared" ref="J250:J253" ca="1" si="28">$I$1-G250</f>
        <v>89</v>
      </c>
      <c r="K250" s="259">
        <f ca="1">$I$1-H250</f>
        <v>74</v>
      </c>
      <c r="L250" s="293"/>
      <c r="M250" s="276"/>
      <c r="N250" s="276"/>
      <c r="O250" s="277"/>
      <c r="P250" s="259"/>
      <c r="Q250" s="259"/>
      <c r="R250" s="259"/>
      <c r="S250" s="259"/>
      <c r="T250" s="259"/>
      <c r="U250" s="259"/>
      <c r="V250" s="312"/>
    </row>
    <row r="251" spans="1:22" ht="21" x14ac:dyDescent="0.25">
      <c r="A251" s="308">
        <v>29</v>
      </c>
      <c r="B251" s="257" t="s">
        <v>686</v>
      </c>
      <c r="C251" s="268" t="s">
        <v>687</v>
      </c>
      <c r="D251" s="269" t="s">
        <v>743</v>
      </c>
      <c r="E251" s="259" t="s">
        <v>744</v>
      </c>
      <c r="F251" s="259" t="s">
        <v>457</v>
      </c>
      <c r="G251" s="283">
        <v>45814</v>
      </c>
      <c r="H251" s="283">
        <f t="shared" si="25"/>
        <v>45829</v>
      </c>
      <c r="I251" s="285"/>
      <c r="J251" s="257">
        <f t="shared" ca="1" si="28"/>
        <v>89</v>
      </c>
      <c r="K251" s="259">
        <f ca="1">$I$1-H251</f>
        <v>74</v>
      </c>
      <c r="L251" s="293"/>
      <c r="M251" s="276"/>
      <c r="N251" s="276"/>
      <c r="O251" s="277"/>
      <c r="P251" s="259"/>
      <c r="Q251" s="259"/>
      <c r="R251" s="259"/>
      <c r="S251" s="259"/>
      <c r="T251" s="259"/>
      <c r="U251" s="259"/>
      <c r="V251" s="312"/>
    </row>
    <row r="252" spans="1:22" ht="21" x14ac:dyDescent="0.25">
      <c r="A252" s="308">
        <v>30</v>
      </c>
      <c r="B252" s="257" t="s">
        <v>686</v>
      </c>
      <c r="C252" s="268" t="s">
        <v>687</v>
      </c>
      <c r="D252" s="269" t="s">
        <v>745</v>
      </c>
      <c r="E252" s="259" t="s">
        <v>746</v>
      </c>
      <c r="F252" s="259" t="s">
        <v>457</v>
      </c>
      <c r="G252" s="283">
        <v>45826</v>
      </c>
      <c r="H252" s="283">
        <f t="shared" si="25"/>
        <v>45841</v>
      </c>
      <c r="I252" s="285"/>
      <c r="J252" s="257">
        <f t="shared" ca="1" si="28"/>
        <v>77</v>
      </c>
      <c r="K252" s="259">
        <f ca="1">$I$1-H252</f>
        <v>62</v>
      </c>
      <c r="L252" s="293"/>
      <c r="M252" s="276"/>
      <c r="N252" s="276"/>
      <c r="O252" s="277"/>
      <c r="P252" s="259"/>
      <c r="Q252" s="259"/>
      <c r="R252" s="259"/>
      <c r="S252" s="259"/>
      <c r="T252" s="259"/>
      <c r="U252" s="259"/>
      <c r="V252" s="312"/>
    </row>
    <row r="253" spans="1:22" ht="21" x14ac:dyDescent="0.25">
      <c r="A253" s="308">
        <v>31</v>
      </c>
      <c r="B253" s="257" t="s">
        <v>686</v>
      </c>
      <c r="C253" s="268" t="s">
        <v>687</v>
      </c>
      <c r="D253" s="269" t="s">
        <v>747</v>
      </c>
      <c r="E253" s="259" t="s">
        <v>748</v>
      </c>
      <c r="F253" s="259" t="s">
        <v>457</v>
      </c>
      <c r="G253" s="283">
        <v>45834</v>
      </c>
      <c r="H253" s="283">
        <f t="shared" si="25"/>
        <v>45849</v>
      </c>
      <c r="I253" s="285"/>
      <c r="J253" s="257">
        <f t="shared" ca="1" si="28"/>
        <v>69</v>
      </c>
      <c r="K253" s="259">
        <f ca="1">$I$1-H253</f>
        <v>54</v>
      </c>
      <c r="L253" s="293"/>
      <c r="M253" s="276"/>
      <c r="N253" s="276"/>
      <c r="O253" s="277"/>
      <c r="P253" s="259"/>
      <c r="Q253" s="259"/>
      <c r="R253" s="259"/>
      <c r="S253" s="259"/>
      <c r="T253" s="259"/>
      <c r="U253" s="259"/>
      <c r="V253" s="312"/>
    </row>
    <row r="254" spans="1:22" ht="29" customHeight="1" x14ac:dyDescent="0.25">
      <c r="A254" s="474">
        <v>32</v>
      </c>
      <c r="B254" s="470" t="s">
        <v>686</v>
      </c>
      <c r="C254" s="485" t="s">
        <v>687</v>
      </c>
      <c r="D254" s="478" t="s">
        <v>749</v>
      </c>
      <c r="E254" s="470" t="s">
        <v>750</v>
      </c>
      <c r="F254" s="470" t="s">
        <v>457</v>
      </c>
      <c r="G254" s="468">
        <v>45848</v>
      </c>
      <c r="H254" s="468">
        <f t="shared" si="25"/>
        <v>45863</v>
      </c>
      <c r="I254" s="468">
        <f>M254</f>
        <v>45869</v>
      </c>
      <c r="J254" s="470">
        <f>I254-G254</f>
        <v>21</v>
      </c>
      <c r="K254" s="470">
        <f ca="1">I1-H254</f>
        <v>40</v>
      </c>
      <c r="L254" s="322" t="s">
        <v>458</v>
      </c>
      <c r="M254" s="325">
        <v>45869</v>
      </c>
      <c r="N254" s="325">
        <v>45889</v>
      </c>
      <c r="O254" s="326" t="s">
        <v>459</v>
      </c>
      <c r="P254" s="322">
        <f ca="1">I1-M254</f>
        <v>34</v>
      </c>
      <c r="Q254" s="322">
        <f ca="1">I1-M255</f>
        <v>8</v>
      </c>
      <c r="R254" s="322"/>
      <c r="S254" s="470" t="s">
        <v>482</v>
      </c>
      <c r="T254" s="470" t="str">
        <f>O254</f>
        <v>CAT - III</v>
      </c>
      <c r="U254" s="470" t="s">
        <v>858</v>
      </c>
      <c r="V254" s="472"/>
    </row>
    <row r="255" spans="1:22" x14ac:dyDescent="0.25">
      <c r="A255" s="484"/>
      <c r="B255" s="480"/>
      <c r="C255" s="486"/>
      <c r="D255" s="487"/>
      <c r="E255" s="480"/>
      <c r="F255" s="480"/>
      <c r="G255" s="483"/>
      <c r="H255" s="483"/>
      <c r="I255" s="483"/>
      <c r="J255" s="480"/>
      <c r="K255" s="480"/>
      <c r="L255" s="322" t="s">
        <v>460</v>
      </c>
      <c r="M255" s="325">
        <v>45895</v>
      </c>
      <c r="N255" s="325">
        <v>45897</v>
      </c>
      <c r="O255" s="326"/>
      <c r="P255" s="322">
        <f>N255-M255</f>
        <v>2</v>
      </c>
      <c r="Q255" s="322"/>
      <c r="R255" s="322"/>
      <c r="S255" s="480"/>
      <c r="T255" s="480"/>
      <c r="U255" s="480"/>
      <c r="V255" s="481"/>
    </row>
    <row r="256" spans="1:22" ht="21" x14ac:dyDescent="0.25">
      <c r="A256" s="308">
        <f>A254+1</f>
        <v>33</v>
      </c>
      <c r="B256" s="257" t="s">
        <v>686</v>
      </c>
      <c r="C256" s="268" t="s">
        <v>687</v>
      </c>
      <c r="D256" s="269" t="s">
        <v>751</v>
      </c>
      <c r="E256" s="259" t="s">
        <v>752</v>
      </c>
      <c r="F256" s="259" t="s">
        <v>457</v>
      </c>
      <c r="G256" s="283">
        <v>45868</v>
      </c>
      <c r="H256" s="283">
        <f t="shared" si="25"/>
        <v>45883</v>
      </c>
      <c r="I256" s="285"/>
      <c r="J256" s="257">
        <f t="shared" ref="J256" ca="1" si="29">$I$1-G256</f>
        <v>35</v>
      </c>
      <c r="K256" s="259">
        <f ca="1">$I$1-H256</f>
        <v>20</v>
      </c>
      <c r="L256" s="293"/>
      <c r="M256" s="276"/>
      <c r="N256" s="276"/>
      <c r="O256" s="277"/>
      <c r="P256" s="259"/>
      <c r="Q256" s="259"/>
      <c r="R256" s="259"/>
      <c r="S256" s="259"/>
      <c r="T256" s="259"/>
      <c r="U256" s="259"/>
      <c r="V256" s="312"/>
    </row>
    <row r="257" spans="1:22" s="333" customFormat="1" x14ac:dyDescent="0.25">
      <c r="A257" s="369">
        <f t="shared" ref="A257:A294" si="30">A256+1</f>
        <v>34</v>
      </c>
      <c r="B257" s="371" t="s">
        <v>686</v>
      </c>
      <c r="C257" s="373" t="s">
        <v>687</v>
      </c>
      <c r="D257" s="375" t="s">
        <v>753</v>
      </c>
      <c r="E257" s="371" t="s">
        <v>754</v>
      </c>
      <c r="F257" s="371" t="s">
        <v>457</v>
      </c>
      <c r="G257" s="392">
        <v>45797</v>
      </c>
      <c r="H257" s="392">
        <f t="shared" si="25"/>
        <v>45812</v>
      </c>
      <c r="I257" s="392">
        <f>M257</f>
        <v>45790</v>
      </c>
      <c r="J257" s="371">
        <f>I257-G257</f>
        <v>-7</v>
      </c>
      <c r="K257" s="371">
        <f>R257-H257</f>
        <v>63</v>
      </c>
      <c r="L257" s="271" t="s">
        <v>458</v>
      </c>
      <c r="M257" s="274">
        <v>45790</v>
      </c>
      <c r="N257" s="274">
        <v>45812</v>
      </c>
      <c r="O257" s="275" t="s">
        <v>459</v>
      </c>
      <c r="P257" s="271">
        <f>N257-M257</f>
        <v>22</v>
      </c>
      <c r="Q257" s="271">
        <f>M258-N257</f>
        <v>12</v>
      </c>
      <c r="R257" s="377">
        <f>N259</f>
        <v>45875</v>
      </c>
      <c r="S257" s="371" t="s">
        <v>397</v>
      </c>
      <c r="T257" s="371" t="str">
        <f>O259</f>
        <v>CAT - I</v>
      </c>
      <c r="U257" s="371" t="s">
        <v>397</v>
      </c>
      <c r="V257" s="379"/>
    </row>
    <row r="258" spans="1:22" x14ac:dyDescent="0.25">
      <c r="A258" s="370"/>
      <c r="B258" s="372"/>
      <c r="C258" s="390"/>
      <c r="D258" s="376"/>
      <c r="E258" s="372"/>
      <c r="F258" s="372"/>
      <c r="G258" s="482"/>
      <c r="H258" s="482"/>
      <c r="I258" s="482"/>
      <c r="J258" s="372"/>
      <c r="K258" s="372"/>
      <c r="L258" s="271" t="s">
        <v>460</v>
      </c>
      <c r="M258" s="274">
        <v>45824</v>
      </c>
      <c r="N258" s="274">
        <v>45842</v>
      </c>
      <c r="O258" s="275" t="s">
        <v>481</v>
      </c>
      <c r="P258" s="271">
        <f>N258-M258</f>
        <v>18</v>
      </c>
      <c r="Q258" s="271">
        <f>M259-N258</f>
        <v>18</v>
      </c>
      <c r="R258" s="371"/>
      <c r="S258" s="372"/>
      <c r="T258" s="372"/>
      <c r="U258" s="372"/>
      <c r="V258" s="380"/>
    </row>
    <row r="259" spans="1:22" x14ac:dyDescent="0.25">
      <c r="A259" s="370"/>
      <c r="B259" s="372"/>
      <c r="C259" s="390"/>
      <c r="D259" s="376"/>
      <c r="E259" s="372"/>
      <c r="F259" s="372"/>
      <c r="G259" s="482"/>
      <c r="H259" s="482"/>
      <c r="I259" s="482"/>
      <c r="J259" s="372"/>
      <c r="K259" s="372"/>
      <c r="L259" s="271" t="s">
        <v>462</v>
      </c>
      <c r="M259" s="274">
        <v>45860</v>
      </c>
      <c r="N259" s="274">
        <v>45875</v>
      </c>
      <c r="O259" s="275" t="s">
        <v>472</v>
      </c>
      <c r="P259" s="271">
        <f>N259-M259</f>
        <v>15</v>
      </c>
      <c r="Q259" s="271"/>
      <c r="R259" s="371"/>
      <c r="S259" s="372"/>
      <c r="T259" s="372"/>
      <c r="U259" s="372"/>
      <c r="V259" s="380"/>
    </row>
    <row r="260" spans="1:22" s="333" customFormat="1" x14ac:dyDescent="0.25">
      <c r="A260" s="369">
        <f>A257+1</f>
        <v>35</v>
      </c>
      <c r="B260" s="371" t="s">
        <v>686</v>
      </c>
      <c r="C260" s="391" t="s">
        <v>755</v>
      </c>
      <c r="D260" s="391" t="s">
        <v>756</v>
      </c>
      <c r="E260" s="371" t="s">
        <v>757</v>
      </c>
      <c r="F260" s="371" t="s">
        <v>457</v>
      </c>
      <c r="G260" s="454">
        <v>45826</v>
      </c>
      <c r="H260" s="454">
        <f>G260+15</f>
        <v>45841</v>
      </c>
      <c r="I260" s="454">
        <v>45804</v>
      </c>
      <c r="J260" s="371">
        <f>I260-G260</f>
        <v>-22</v>
      </c>
      <c r="K260" s="371">
        <f>R260-H260</f>
        <v>35</v>
      </c>
      <c r="L260" s="271" t="s">
        <v>458</v>
      </c>
      <c r="M260" s="274">
        <v>45804</v>
      </c>
      <c r="N260" s="274">
        <v>45847</v>
      </c>
      <c r="O260" s="275" t="s">
        <v>459</v>
      </c>
      <c r="P260" s="271">
        <f>N260-M260</f>
        <v>43</v>
      </c>
      <c r="Q260" s="271">
        <f>M261-N260</f>
        <v>8</v>
      </c>
      <c r="R260" s="377">
        <f>N263</f>
        <v>45876</v>
      </c>
      <c r="S260" s="371" t="s">
        <v>397</v>
      </c>
      <c r="T260" s="371" t="str">
        <f>O263</f>
        <v>CAT - I</v>
      </c>
      <c r="U260" s="371" t="str">
        <f>S260</f>
        <v>Approved</v>
      </c>
      <c r="V260" s="379"/>
    </row>
    <row r="261" spans="1:22" x14ac:dyDescent="0.25">
      <c r="A261" s="370"/>
      <c r="B261" s="372"/>
      <c r="C261" s="372"/>
      <c r="D261" s="440"/>
      <c r="E261" s="372"/>
      <c r="F261" s="372"/>
      <c r="G261" s="455"/>
      <c r="H261" s="455"/>
      <c r="I261" s="455"/>
      <c r="J261" s="372"/>
      <c r="K261" s="372"/>
      <c r="L261" s="271" t="s">
        <v>460</v>
      </c>
      <c r="M261" s="274">
        <v>45855</v>
      </c>
      <c r="N261" s="274">
        <v>45861</v>
      </c>
      <c r="O261" s="275" t="s">
        <v>459</v>
      </c>
      <c r="P261" s="271">
        <f>N261-M261</f>
        <v>6</v>
      </c>
      <c r="Q261" s="271">
        <f>M262-N261</f>
        <v>7</v>
      </c>
      <c r="R261" s="371"/>
      <c r="S261" s="372"/>
      <c r="T261" s="372"/>
      <c r="U261" s="372"/>
      <c r="V261" s="380"/>
    </row>
    <row r="262" spans="1:22" x14ac:dyDescent="0.25">
      <c r="A262" s="370"/>
      <c r="B262" s="372"/>
      <c r="C262" s="372"/>
      <c r="D262" s="440"/>
      <c r="E262" s="372"/>
      <c r="F262" s="372"/>
      <c r="G262" s="455"/>
      <c r="H262" s="455"/>
      <c r="I262" s="455"/>
      <c r="J262" s="372"/>
      <c r="K262" s="372"/>
      <c r="L262" s="271" t="s">
        <v>462</v>
      </c>
      <c r="M262" s="274">
        <v>45868</v>
      </c>
      <c r="N262" s="274"/>
      <c r="O262" s="275"/>
      <c r="P262" s="271"/>
      <c r="Q262" s="271"/>
      <c r="R262" s="371"/>
      <c r="S262" s="372"/>
      <c r="T262" s="372"/>
      <c r="U262" s="372"/>
      <c r="V262" s="380"/>
    </row>
    <row r="263" spans="1:22" x14ac:dyDescent="0.25">
      <c r="A263" s="370"/>
      <c r="B263" s="372"/>
      <c r="C263" s="372"/>
      <c r="D263" s="440"/>
      <c r="E263" s="372"/>
      <c r="F263" s="372"/>
      <c r="G263" s="455"/>
      <c r="H263" s="455"/>
      <c r="I263" s="455"/>
      <c r="J263" s="372"/>
      <c r="K263" s="372"/>
      <c r="L263" s="271" t="s">
        <v>462</v>
      </c>
      <c r="M263" s="274">
        <v>45875</v>
      </c>
      <c r="N263" s="274">
        <v>45876</v>
      </c>
      <c r="O263" s="275" t="s">
        <v>472</v>
      </c>
      <c r="P263" s="271">
        <f>N263-M263</f>
        <v>1</v>
      </c>
      <c r="Q263" s="271"/>
      <c r="R263" s="371"/>
      <c r="S263" s="372"/>
      <c r="T263" s="372"/>
      <c r="U263" s="372"/>
      <c r="V263" s="380"/>
    </row>
    <row r="264" spans="1:22" x14ac:dyDescent="0.25">
      <c r="A264" s="308">
        <f>A260+1</f>
        <v>36</v>
      </c>
      <c r="B264" s="257" t="s">
        <v>686</v>
      </c>
      <c r="C264" s="268" t="s">
        <v>755</v>
      </c>
      <c r="D264" s="269" t="s">
        <v>758</v>
      </c>
      <c r="E264" s="259" t="s">
        <v>759</v>
      </c>
      <c r="F264" s="259" t="s">
        <v>467</v>
      </c>
      <c r="G264" s="283">
        <v>45826</v>
      </c>
      <c r="H264" s="283">
        <f t="shared" ref="H264:H283" si="31">G264+15</f>
        <v>45841</v>
      </c>
      <c r="I264" s="283"/>
      <c r="J264" s="257">
        <f t="shared" ref="J264" ca="1" si="32">$I$1-G264</f>
        <v>77</v>
      </c>
      <c r="K264" s="259">
        <f ca="1">$I$1-H264</f>
        <v>62</v>
      </c>
      <c r="L264" s="293"/>
      <c r="M264" s="276"/>
      <c r="N264" s="276"/>
      <c r="O264" s="277"/>
      <c r="P264" s="259"/>
      <c r="Q264" s="259"/>
      <c r="R264" s="259"/>
      <c r="S264" s="259"/>
      <c r="T264" s="259"/>
      <c r="U264" s="259"/>
      <c r="V264" s="312"/>
    </row>
    <row r="265" spans="1:22" x14ac:dyDescent="0.25">
      <c r="A265" s="474">
        <f t="shared" si="30"/>
        <v>37</v>
      </c>
      <c r="B265" s="470" t="s">
        <v>686</v>
      </c>
      <c r="C265" s="485" t="s">
        <v>755</v>
      </c>
      <c r="D265" s="563" t="s">
        <v>760</v>
      </c>
      <c r="E265" s="470" t="s">
        <v>761</v>
      </c>
      <c r="F265" s="470" t="s">
        <v>457</v>
      </c>
      <c r="G265" s="468">
        <f>G215</f>
        <v>45797</v>
      </c>
      <c r="H265" s="468">
        <f t="shared" si="31"/>
        <v>45812</v>
      </c>
      <c r="I265" s="468">
        <v>45817</v>
      </c>
      <c r="J265" s="470">
        <f>I265-G265</f>
        <v>20</v>
      </c>
      <c r="K265" s="470">
        <f ca="1">I1-H265</f>
        <v>91</v>
      </c>
      <c r="L265" s="322" t="s">
        <v>458</v>
      </c>
      <c r="M265" s="325">
        <v>45817</v>
      </c>
      <c r="N265" s="325">
        <v>45828</v>
      </c>
      <c r="O265" s="326" t="s">
        <v>459</v>
      </c>
      <c r="P265" s="322">
        <f>N265-M265</f>
        <v>11</v>
      </c>
      <c r="Q265" s="322">
        <f>M266-N265</f>
        <v>67</v>
      </c>
      <c r="R265" s="322"/>
      <c r="S265" s="470" t="s">
        <v>489</v>
      </c>
      <c r="T265" s="470" t="str">
        <f>O265</f>
        <v>CAT - III</v>
      </c>
      <c r="U265" s="470" t="s">
        <v>877</v>
      </c>
      <c r="V265" s="327"/>
    </row>
    <row r="266" spans="1:22" x14ac:dyDescent="0.25">
      <c r="A266" s="484"/>
      <c r="B266" s="480"/>
      <c r="C266" s="486"/>
      <c r="D266" s="564"/>
      <c r="E266" s="480"/>
      <c r="F266" s="480"/>
      <c r="G266" s="483"/>
      <c r="H266" s="483"/>
      <c r="I266" s="483"/>
      <c r="J266" s="480"/>
      <c r="K266" s="480"/>
      <c r="L266" s="322" t="s">
        <v>460</v>
      </c>
      <c r="M266" s="325">
        <v>45895</v>
      </c>
      <c r="N266" s="325">
        <v>45898</v>
      </c>
      <c r="O266" s="326" t="str">
        <f>O265</f>
        <v>CAT - III</v>
      </c>
      <c r="P266" s="322">
        <f>N266-M266</f>
        <v>3</v>
      </c>
      <c r="Q266" s="322"/>
      <c r="R266" s="342"/>
      <c r="S266" s="480"/>
      <c r="T266" s="480"/>
      <c r="U266" s="480"/>
      <c r="V266" s="327"/>
    </row>
    <row r="267" spans="1:22" x14ac:dyDescent="0.25">
      <c r="A267" s="474">
        <f>A265+1</f>
        <v>38</v>
      </c>
      <c r="B267" s="470" t="s">
        <v>686</v>
      </c>
      <c r="C267" s="565" t="s">
        <v>755</v>
      </c>
      <c r="D267" s="563" t="s">
        <v>762</v>
      </c>
      <c r="E267" s="470" t="s">
        <v>763</v>
      </c>
      <c r="F267" s="470" t="s">
        <v>457</v>
      </c>
      <c r="G267" s="468">
        <f>G218</f>
        <v>45797</v>
      </c>
      <c r="H267" s="468">
        <f t="shared" si="31"/>
        <v>45812</v>
      </c>
      <c r="I267" s="468">
        <v>45817</v>
      </c>
      <c r="J267" s="470">
        <f>I267-G267</f>
        <v>20</v>
      </c>
      <c r="K267" s="470">
        <f ca="1">I1-H267</f>
        <v>91</v>
      </c>
      <c r="L267" s="322" t="s">
        <v>458</v>
      </c>
      <c r="M267" s="325">
        <v>45817</v>
      </c>
      <c r="N267" s="325">
        <v>45820</v>
      </c>
      <c r="O267" s="326" t="s">
        <v>459</v>
      </c>
      <c r="P267" s="322">
        <f>N267-M267</f>
        <v>3</v>
      </c>
      <c r="Q267" s="322">
        <f>M268-N267</f>
        <v>75</v>
      </c>
      <c r="R267" s="470"/>
      <c r="S267" s="470" t="s">
        <v>489</v>
      </c>
      <c r="T267" s="470" t="str">
        <f>O267</f>
        <v>CAT - III</v>
      </c>
      <c r="U267" s="470" t="s">
        <v>877</v>
      </c>
      <c r="V267" s="327"/>
    </row>
    <row r="268" spans="1:22" x14ac:dyDescent="0.25">
      <c r="A268" s="484"/>
      <c r="B268" s="480"/>
      <c r="C268" s="566"/>
      <c r="D268" s="564"/>
      <c r="E268" s="480"/>
      <c r="F268" s="480"/>
      <c r="G268" s="483"/>
      <c r="H268" s="483"/>
      <c r="I268" s="483"/>
      <c r="J268" s="480"/>
      <c r="K268" s="480"/>
      <c r="L268" s="322" t="s">
        <v>460</v>
      </c>
      <c r="M268" s="325">
        <v>45895</v>
      </c>
      <c r="N268" s="325">
        <v>45902</v>
      </c>
      <c r="O268" s="326" t="str">
        <f>O267</f>
        <v>CAT - III</v>
      </c>
      <c r="P268" s="322">
        <f>N268-M268</f>
        <v>7</v>
      </c>
      <c r="Q268" s="322"/>
      <c r="R268" s="480"/>
      <c r="S268" s="480"/>
      <c r="T268" s="480"/>
      <c r="U268" s="480"/>
      <c r="V268" s="327"/>
    </row>
    <row r="269" spans="1:22" x14ac:dyDescent="0.25">
      <c r="A269" s="308">
        <f>A267+1</f>
        <v>39</v>
      </c>
      <c r="B269" s="257" t="s">
        <v>686</v>
      </c>
      <c r="C269" s="268" t="s">
        <v>755</v>
      </c>
      <c r="D269" s="269" t="s">
        <v>764</v>
      </c>
      <c r="E269" s="259" t="s">
        <v>765</v>
      </c>
      <c r="F269" s="259" t="s">
        <v>457</v>
      </c>
      <c r="G269" s="283">
        <f>G221</f>
        <v>45813</v>
      </c>
      <c r="H269" s="283">
        <f t="shared" si="31"/>
        <v>45828</v>
      </c>
      <c r="I269" s="285"/>
      <c r="J269" s="257">
        <f t="shared" ref="J269:J273" ca="1" si="33">$I$1-G269</f>
        <v>90</v>
      </c>
      <c r="K269" s="259">
        <f ca="1">$I$1-H269</f>
        <v>75</v>
      </c>
      <c r="L269" s="293"/>
      <c r="M269" s="276"/>
      <c r="N269" s="276"/>
      <c r="O269" s="277"/>
      <c r="P269" s="259"/>
      <c r="Q269" s="259"/>
      <c r="R269" s="259"/>
      <c r="S269" s="259"/>
      <c r="T269" s="259"/>
      <c r="U269" s="259"/>
      <c r="V269" s="312"/>
    </row>
    <row r="270" spans="1:22" x14ac:dyDescent="0.25">
      <c r="A270" s="308">
        <f t="shared" si="30"/>
        <v>40</v>
      </c>
      <c r="B270" s="257" t="s">
        <v>686</v>
      </c>
      <c r="C270" s="268" t="s">
        <v>755</v>
      </c>
      <c r="D270" s="269" t="s">
        <v>766</v>
      </c>
      <c r="E270" s="259" t="s">
        <v>767</v>
      </c>
      <c r="F270" s="259" t="s">
        <v>467</v>
      </c>
      <c r="G270" s="283">
        <f>G223</f>
        <v>45802</v>
      </c>
      <c r="H270" s="283">
        <f t="shared" si="31"/>
        <v>45817</v>
      </c>
      <c r="I270" s="285"/>
      <c r="J270" s="257">
        <f t="shared" ca="1" si="33"/>
        <v>101</v>
      </c>
      <c r="K270" s="259">
        <f ca="1">$I$1-H270</f>
        <v>86</v>
      </c>
      <c r="L270" s="293"/>
      <c r="M270" s="276"/>
      <c r="N270" s="276"/>
      <c r="O270" s="277"/>
      <c r="P270" s="259"/>
      <c r="Q270" s="259"/>
      <c r="R270" s="259"/>
      <c r="S270" s="259"/>
      <c r="T270" s="259"/>
      <c r="U270" s="259"/>
      <c r="V270" s="312"/>
    </row>
    <row r="271" spans="1:22" x14ac:dyDescent="0.25">
      <c r="A271" s="308">
        <f t="shared" si="30"/>
        <v>41</v>
      </c>
      <c r="B271" s="257" t="s">
        <v>686</v>
      </c>
      <c r="C271" s="268" t="s">
        <v>755</v>
      </c>
      <c r="D271" s="269" t="s">
        <v>768</v>
      </c>
      <c r="E271" s="259" t="s">
        <v>769</v>
      </c>
      <c r="F271" s="259" t="s">
        <v>467</v>
      </c>
      <c r="G271" s="283">
        <f>G224</f>
        <v>45797</v>
      </c>
      <c r="H271" s="283">
        <f t="shared" si="31"/>
        <v>45812</v>
      </c>
      <c r="I271" s="285"/>
      <c r="J271" s="257">
        <f t="shared" ca="1" si="33"/>
        <v>106</v>
      </c>
      <c r="K271" s="259">
        <f ca="1">$I$1-H271</f>
        <v>91</v>
      </c>
      <c r="L271" s="293"/>
      <c r="M271" s="276"/>
      <c r="N271" s="276"/>
      <c r="O271" s="277"/>
      <c r="P271" s="259"/>
      <c r="Q271" s="259"/>
      <c r="R271" s="259"/>
      <c r="S271" s="259"/>
      <c r="T271" s="259"/>
      <c r="U271" s="259"/>
      <c r="V271" s="312"/>
    </row>
    <row r="272" spans="1:22" x14ac:dyDescent="0.25">
      <c r="A272" s="321">
        <f t="shared" si="30"/>
        <v>42</v>
      </c>
      <c r="B272" s="322" t="s">
        <v>686</v>
      </c>
      <c r="C272" s="323" t="s">
        <v>755</v>
      </c>
      <c r="D272" s="324" t="s">
        <v>770</v>
      </c>
      <c r="E272" s="322" t="s">
        <v>771</v>
      </c>
      <c r="F272" s="322" t="s">
        <v>457</v>
      </c>
      <c r="G272" s="328">
        <f>G225</f>
        <v>45782</v>
      </c>
      <c r="H272" s="328">
        <f t="shared" si="31"/>
        <v>45797</v>
      </c>
      <c r="I272" s="328"/>
      <c r="J272" s="322">
        <f t="shared" ca="1" si="33"/>
        <v>121</v>
      </c>
      <c r="K272" s="322">
        <f ca="1">$I$1-H272</f>
        <v>106</v>
      </c>
      <c r="L272" s="567" t="s">
        <v>458</v>
      </c>
      <c r="M272" s="325">
        <v>45900</v>
      </c>
      <c r="N272" s="325">
        <v>45902</v>
      </c>
      <c r="O272" s="326" t="s">
        <v>459</v>
      </c>
      <c r="P272" s="322">
        <f>N272-M272</f>
        <v>2</v>
      </c>
      <c r="Q272" s="322">
        <f ca="1">I1-N272</f>
        <v>1</v>
      </c>
      <c r="R272" s="322"/>
      <c r="S272" s="322" t="s">
        <v>489</v>
      </c>
      <c r="T272" s="322" t="str">
        <f>O272</f>
        <v>CAT - III</v>
      </c>
      <c r="U272" s="322" t="s">
        <v>877</v>
      </c>
      <c r="V272" s="327"/>
    </row>
    <row r="273" spans="1:22" x14ac:dyDescent="0.25">
      <c r="A273" s="308">
        <f t="shared" si="30"/>
        <v>43</v>
      </c>
      <c r="B273" s="257" t="s">
        <v>686</v>
      </c>
      <c r="C273" s="268" t="s">
        <v>755</v>
      </c>
      <c r="D273" s="269" t="s">
        <v>772</v>
      </c>
      <c r="E273" s="259" t="s">
        <v>773</v>
      </c>
      <c r="F273" s="259" t="s">
        <v>457</v>
      </c>
      <c r="G273" s="283">
        <f>G228</f>
        <v>45809</v>
      </c>
      <c r="H273" s="283">
        <f t="shared" si="31"/>
        <v>45824</v>
      </c>
      <c r="I273" s="285"/>
      <c r="J273" s="257">
        <f t="shared" ca="1" si="33"/>
        <v>94</v>
      </c>
      <c r="K273" s="259">
        <f ca="1">$I$1-H273</f>
        <v>79</v>
      </c>
      <c r="L273" s="293"/>
      <c r="M273" s="276"/>
      <c r="N273" s="276"/>
      <c r="O273" s="277"/>
      <c r="P273" s="259"/>
      <c r="Q273" s="259"/>
      <c r="R273" s="259"/>
      <c r="S273" s="259"/>
      <c r="T273" s="259"/>
      <c r="U273" s="259"/>
      <c r="V273" s="312"/>
    </row>
    <row r="274" spans="1:22" x14ac:dyDescent="0.25">
      <c r="A274" s="424">
        <f t="shared" si="30"/>
        <v>44</v>
      </c>
      <c r="B274" s="421" t="s">
        <v>686</v>
      </c>
      <c r="C274" s="488" t="s">
        <v>755</v>
      </c>
      <c r="D274" s="490" t="s">
        <v>774</v>
      </c>
      <c r="E274" s="421" t="s">
        <v>775</v>
      </c>
      <c r="F274" s="421" t="s">
        <v>457</v>
      </c>
      <c r="G274" s="492">
        <f>G230</f>
        <v>45792</v>
      </c>
      <c r="H274" s="492">
        <f t="shared" si="31"/>
        <v>45807</v>
      </c>
      <c r="I274" s="492">
        <f>M274</f>
        <v>45877</v>
      </c>
      <c r="J274" s="421">
        <f>I274-G274</f>
        <v>85</v>
      </c>
      <c r="K274" s="421">
        <f>N275-H274</f>
        <v>90</v>
      </c>
      <c r="L274" s="271" t="s">
        <v>458</v>
      </c>
      <c r="M274" s="274">
        <v>45877</v>
      </c>
      <c r="N274" s="274">
        <v>45895</v>
      </c>
      <c r="O274" s="275" t="s">
        <v>459</v>
      </c>
      <c r="P274" s="271">
        <f>N274-M274</f>
        <v>18</v>
      </c>
      <c r="Q274" s="271">
        <f>M275-N274</f>
        <v>2</v>
      </c>
      <c r="R274" s="271"/>
      <c r="S274" s="421" t="s">
        <v>397</v>
      </c>
      <c r="T274" s="421" t="str">
        <f>O275</f>
        <v>CAT - I</v>
      </c>
      <c r="U274" s="421" t="s">
        <v>397</v>
      </c>
      <c r="V274" s="393"/>
    </row>
    <row r="275" spans="1:22" x14ac:dyDescent="0.25">
      <c r="A275" s="426"/>
      <c r="B275" s="423"/>
      <c r="C275" s="489"/>
      <c r="D275" s="491"/>
      <c r="E275" s="423"/>
      <c r="F275" s="423"/>
      <c r="G275" s="493"/>
      <c r="H275" s="493"/>
      <c r="I275" s="493"/>
      <c r="J275" s="423"/>
      <c r="K275" s="423"/>
      <c r="L275" s="271" t="s">
        <v>460</v>
      </c>
      <c r="M275" s="274">
        <v>45897</v>
      </c>
      <c r="N275" s="274">
        <v>45897</v>
      </c>
      <c r="O275" s="275" t="s">
        <v>472</v>
      </c>
      <c r="P275" s="271">
        <f>N275-M275</f>
        <v>0</v>
      </c>
      <c r="Q275" s="271"/>
      <c r="R275" s="271"/>
      <c r="S275" s="423"/>
      <c r="T275" s="423"/>
      <c r="U275" s="423"/>
      <c r="V275" s="394"/>
    </row>
    <row r="276" spans="1:22" x14ac:dyDescent="0.25">
      <c r="A276" s="424"/>
      <c r="B276" s="421" t="s">
        <v>686</v>
      </c>
      <c r="C276" s="488" t="s">
        <v>755</v>
      </c>
      <c r="D276" s="490" t="s">
        <v>872</v>
      </c>
      <c r="E276" s="421" t="s">
        <v>873</v>
      </c>
      <c r="F276" s="421" t="s">
        <v>457</v>
      </c>
      <c r="G276" s="492">
        <v>45792</v>
      </c>
      <c r="H276" s="492">
        <v>45807</v>
      </c>
      <c r="I276" s="492">
        <f>M276</f>
        <v>45877</v>
      </c>
      <c r="J276" s="421">
        <f>I276-G276</f>
        <v>85</v>
      </c>
      <c r="K276" s="421">
        <f ca="1">I1-H276</f>
        <v>96</v>
      </c>
      <c r="L276" s="271" t="s">
        <v>458</v>
      </c>
      <c r="M276" s="274">
        <v>45877</v>
      </c>
      <c r="N276" s="274">
        <v>45895</v>
      </c>
      <c r="O276" s="275" t="s">
        <v>459</v>
      </c>
      <c r="P276" s="271">
        <f>N276-M276</f>
        <v>18</v>
      </c>
      <c r="Q276" s="271">
        <f>M277-N276</f>
        <v>5</v>
      </c>
      <c r="R276" s="271"/>
      <c r="S276" s="421" t="s">
        <v>397</v>
      </c>
      <c r="T276" s="421" t="str">
        <f>O277</f>
        <v>CAT - I</v>
      </c>
      <c r="U276" s="421" t="s">
        <v>397</v>
      </c>
      <c r="V276" s="393"/>
    </row>
    <row r="277" spans="1:22" x14ac:dyDescent="0.25">
      <c r="A277" s="426"/>
      <c r="B277" s="423"/>
      <c r="C277" s="489"/>
      <c r="D277" s="491"/>
      <c r="E277" s="423"/>
      <c r="F277" s="423"/>
      <c r="G277" s="493"/>
      <c r="H277" s="493"/>
      <c r="I277" s="493"/>
      <c r="J277" s="423"/>
      <c r="K277" s="423"/>
      <c r="L277" s="271" t="s">
        <v>460</v>
      </c>
      <c r="M277" s="274">
        <v>45900</v>
      </c>
      <c r="N277" s="274">
        <v>45901</v>
      </c>
      <c r="O277" s="275" t="s">
        <v>472</v>
      </c>
      <c r="P277" s="271">
        <f>N277-M277</f>
        <v>1</v>
      </c>
      <c r="Q277" s="271"/>
      <c r="R277" s="271"/>
      <c r="S277" s="423"/>
      <c r="T277" s="423"/>
      <c r="U277" s="423"/>
      <c r="V277" s="394"/>
    </row>
    <row r="278" spans="1:22" x14ac:dyDescent="0.25">
      <c r="A278" s="308">
        <f>A274+1</f>
        <v>45</v>
      </c>
      <c r="B278" s="257" t="s">
        <v>686</v>
      </c>
      <c r="C278" s="268" t="s">
        <v>755</v>
      </c>
      <c r="D278" s="269" t="s">
        <v>776</v>
      </c>
      <c r="E278" s="259" t="s">
        <v>777</v>
      </c>
      <c r="F278" s="259" t="s">
        <v>457</v>
      </c>
      <c r="G278" s="283">
        <f>G233</f>
        <v>45784</v>
      </c>
      <c r="H278" s="283">
        <f t="shared" si="31"/>
        <v>45799</v>
      </c>
      <c r="I278" s="285"/>
      <c r="J278" s="257">
        <f t="shared" ref="J278:K294" ca="1" si="34">$I$1-G278</f>
        <v>119</v>
      </c>
      <c r="K278" s="259">
        <f t="shared" ca="1" si="34"/>
        <v>104</v>
      </c>
      <c r="L278" s="293"/>
      <c r="M278" s="276"/>
      <c r="N278" s="276"/>
      <c r="O278" s="277"/>
      <c r="P278" s="259"/>
      <c r="Q278" s="259"/>
      <c r="R278" s="259"/>
      <c r="S278" s="259"/>
      <c r="T278" s="259"/>
      <c r="U278" s="259"/>
      <c r="V278" s="312"/>
    </row>
    <row r="279" spans="1:22" x14ac:dyDescent="0.25">
      <c r="A279" s="308">
        <f t="shared" si="30"/>
        <v>46</v>
      </c>
      <c r="B279" s="257" t="s">
        <v>686</v>
      </c>
      <c r="C279" s="268" t="s">
        <v>755</v>
      </c>
      <c r="D279" s="269" t="s">
        <v>778</v>
      </c>
      <c r="E279" s="259" t="s">
        <v>779</v>
      </c>
      <c r="F279" s="259" t="s">
        <v>457</v>
      </c>
      <c r="G279" s="283">
        <f>G234</f>
        <v>45809</v>
      </c>
      <c r="H279" s="283">
        <f t="shared" si="31"/>
        <v>45824</v>
      </c>
      <c r="I279" s="285"/>
      <c r="J279" s="257">
        <f t="shared" ca="1" si="34"/>
        <v>94</v>
      </c>
      <c r="K279" s="259">
        <f t="shared" ca="1" si="34"/>
        <v>79</v>
      </c>
      <c r="L279" s="293"/>
      <c r="M279" s="276"/>
      <c r="N279" s="276"/>
      <c r="O279" s="277"/>
      <c r="P279" s="259"/>
      <c r="Q279" s="259"/>
      <c r="R279" s="259"/>
      <c r="S279" s="259"/>
      <c r="T279" s="259"/>
      <c r="U279" s="259"/>
      <c r="V279" s="312"/>
    </row>
    <row r="280" spans="1:22" x14ac:dyDescent="0.25">
      <c r="A280" s="308">
        <f t="shared" si="30"/>
        <v>47</v>
      </c>
      <c r="B280" s="257" t="s">
        <v>686</v>
      </c>
      <c r="C280" s="268" t="s">
        <v>755</v>
      </c>
      <c r="D280" s="269" t="s">
        <v>780</v>
      </c>
      <c r="E280" s="259" t="s">
        <v>781</v>
      </c>
      <c r="F280" s="259" t="s">
        <v>467</v>
      </c>
      <c r="G280" s="283">
        <f>G236</f>
        <v>45797</v>
      </c>
      <c r="H280" s="283">
        <f t="shared" si="31"/>
        <v>45812</v>
      </c>
      <c r="I280" s="285"/>
      <c r="J280" s="257">
        <f t="shared" ca="1" si="34"/>
        <v>106</v>
      </c>
      <c r="K280" s="259">
        <f t="shared" ca="1" si="34"/>
        <v>91</v>
      </c>
      <c r="L280" s="293"/>
      <c r="M280" s="276"/>
      <c r="N280" s="276"/>
      <c r="O280" s="277"/>
      <c r="P280" s="259"/>
      <c r="Q280" s="259"/>
      <c r="R280" s="259"/>
      <c r="S280" s="259"/>
      <c r="T280" s="259"/>
      <c r="U280" s="259"/>
      <c r="V280" s="312"/>
    </row>
    <row r="281" spans="1:22" x14ac:dyDescent="0.25">
      <c r="A281" s="310">
        <f t="shared" si="30"/>
        <v>48</v>
      </c>
      <c r="B281" s="271" t="s">
        <v>686</v>
      </c>
      <c r="C281" s="272" t="s">
        <v>755</v>
      </c>
      <c r="D281" s="273" t="s">
        <v>782</v>
      </c>
      <c r="E281" s="271" t="s">
        <v>783</v>
      </c>
      <c r="F281" s="271" t="s">
        <v>467</v>
      </c>
      <c r="G281" s="282">
        <v>45834</v>
      </c>
      <c r="H281" s="282">
        <f t="shared" si="31"/>
        <v>45849</v>
      </c>
      <c r="I281" s="282"/>
      <c r="J281" s="271">
        <f t="shared" ca="1" si="34"/>
        <v>69</v>
      </c>
      <c r="K281" s="271">
        <f t="shared" ca="1" si="34"/>
        <v>54</v>
      </c>
      <c r="L281" s="329" t="s">
        <v>458</v>
      </c>
      <c r="M281" s="274">
        <v>45898</v>
      </c>
      <c r="N281" s="274">
        <v>45898</v>
      </c>
      <c r="O281" s="275" t="s">
        <v>472</v>
      </c>
      <c r="P281" s="271">
        <f>N281-M281</f>
        <v>0</v>
      </c>
      <c r="Q281" s="271"/>
      <c r="R281" s="271"/>
      <c r="S281" s="271" t="s">
        <v>397</v>
      </c>
      <c r="T281" s="271" t="str">
        <f>O281</f>
        <v>CAT - I</v>
      </c>
      <c r="U281" s="271" t="s">
        <v>397</v>
      </c>
      <c r="V281" s="311"/>
    </row>
    <row r="282" spans="1:22" x14ac:dyDescent="0.25">
      <c r="A282" s="308">
        <f t="shared" si="30"/>
        <v>49</v>
      </c>
      <c r="B282" s="257" t="s">
        <v>686</v>
      </c>
      <c r="C282" s="268" t="s">
        <v>755</v>
      </c>
      <c r="D282" s="269" t="s">
        <v>784</v>
      </c>
      <c r="E282" s="259" t="s">
        <v>785</v>
      </c>
      <c r="F282" s="259" t="s">
        <v>467</v>
      </c>
      <c r="G282" s="283">
        <v>45840</v>
      </c>
      <c r="H282" s="283">
        <f t="shared" si="31"/>
        <v>45855</v>
      </c>
      <c r="I282" s="283"/>
      <c r="J282" s="257">
        <f t="shared" ca="1" si="34"/>
        <v>63</v>
      </c>
      <c r="K282" s="259">
        <f t="shared" ca="1" si="34"/>
        <v>48</v>
      </c>
      <c r="L282" s="293"/>
      <c r="M282" s="276"/>
      <c r="N282" s="276"/>
      <c r="O282" s="277"/>
      <c r="P282" s="259"/>
      <c r="Q282" s="259"/>
      <c r="R282" s="259"/>
      <c r="S282" s="259"/>
      <c r="T282" s="259"/>
      <c r="U282" s="259"/>
      <c r="V282" s="312"/>
    </row>
    <row r="283" spans="1:22" s="337" customFormat="1" x14ac:dyDescent="0.25">
      <c r="A283" s="308">
        <f t="shared" si="30"/>
        <v>50</v>
      </c>
      <c r="B283" s="257" t="s">
        <v>686</v>
      </c>
      <c r="C283" s="268" t="s">
        <v>755</v>
      </c>
      <c r="D283" s="269" t="s">
        <v>786</v>
      </c>
      <c r="E283" s="259" t="s">
        <v>787</v>
      </c>
      <c r="F283" s="259" t="s">
        <v>467</v>
      </c>
      <c r="G283" s="283">
        <v>45826</v>
      </c>
      <c r="H283" s="283">
        <f t="shared" si="31"/>
        <v>45841</v>
      </c>
      <c r="I283" s="285"/>
      <c r="J283" s="257">
        <f t="shared" ca="1" si="34"/>
        <v>77</v>
      </c>
      <c r="K283" s="259">
        <f t="shared" ca="1" si="34"/>
        <v>62</v>
      </c>
      <c r="L283" s="314"/>
      <c r="M283" s="276"/>
      <c r="N283" s="276"/>
      <c r="O283" s="280"/>
      <c r="P283" s="259"/>
      <c r="Q283" s="259"/>
      <c r="R283" s="287"/>
      <c r="S283" s="287"/>
      <c r="T283" s="287"/>
      <c r="U283" s="287"/>
      <c r="V283" s="315"/>
    </row>
    <row r="284" spans="1:22" x14ac:dyDescent="0.25">
      <c r="A284" s="308">
        <f t="shared" si="30"/>
        <v>51</v>
      </c>
      <c r="B284" s="257" t="s">
        <v>686</v>
      </c>
      <c r="C284" s="268" t="s">
        <v>755</v>
      </c>
      <c r="D284" s="269" t="s">
        <v>788</v>
      </c>
      <c r="E284" s="259" t="s">
        <v>789</v>
      </c>
      <c r="F284" s="259" t="s">
        <v>457</v>
      </c>
      <c r="G284" s="283"/>
      <c r="H284" s="283"/>
      <c r="I284" s="285"/>
      <c r="J284" s="257"/>
      <c r="K284" s="259"/>
      <c r="L284" s="259"/>
      <c r="M284" s="276"/>
      <c r="N284" s="276"/>
      <c r="O284" s="277"/>
      <c r="P284" s="259"/>
      <c r="Q284" s="259"/>
      <c r="R284" s="259"/>
      <c r="S284" s="259"/>
      <c r="T284" s="259"/>
      <c r="U284" s="259"/>
      <c r="V284" s="312"/>
    </row>
    <row r="285" spans="1:22" x14ac:dyDescent="0.25">
      <c r="A285" s="474">
        <f t="shared" si="30"/>
        <v>52</v>
      </c>
      <c r="B285" s="470" t="s">
        <v>686</v>
      </c>
      <c r="C285" s="476" t="s">
        <v>755</v>
      </c>
      <c r="D285" s="478" t="s">
        <v>790</v>
      </c>
      <c r="E285" s="470" t="s">
        <v>791</v>
      </c>
      <c r="F285" s="470" t="s">
        <v>457</v>
      </c>
      <c r="G285" s="468">
        <f>G243</f>
        <v>45826</v>
      </c>
      <c r="H285" s="468">
        <f t="shared" ref="H285:H295" si="35">G285+15</f>
        <v>45841</v>
      </c>
      <c r="I285" s="468">
        <f>M285</f>
        <v>45878</v>
      </c>
      <c r="J285" s="470">
        <f>I285-G285</f>
        <v>52</v>
      </c>
      <c r="K285" s="470">
        <f ca="1">I1-H285</f>
        <v>62</v>
      </c>
      <c r="L285" s="322" t="s">
        <v>458</v>
      </c>
      <c r="M285" s="325">
        <v>45878</v>
      </c>
      <c r="N285" s="325">
        <v>45891</v>
      </c>
      <c r="O285" s="326" t="s">
        <v>459</v>
      </c>
      <c r="P285" s="322">
        <f>N285-M285</f>
        <v>13</v>
      </c>
      <c r="Q285" s="322">
        <f>M286-N285</f>
        <v>7</v>
      </c>
      <c r="R285" s="322"/>
      <c r="S285" s="470" t="s">
        <v>489</v>
      </c>
      <c r="T285" s="470" t="str">
        <f>O285</f>
        <v>CAT - III</v>
      </c>
      <c r="U285" s="470" t="s">
        <v>877</v>
      </c>
      <c r="V285" s="472"/>
    </row>
    <row r="286" spans="1:22" x14ac:dyDescent="0.25">
      <c r="A286" s="484"/>
      <c r="B286" s="480"/>
      <c r="C286" s="568"/>
      <c r="D286" s="487"/>
      <c r="E286" s="480"/>
      <c r="F286" s="480"/>
      <c r="G286" s="483"/>
      <c r="H286" s="483"/>
      <c r="I286" s="483"/>
      <c r="J286" s="480"/>
      <c r="K286" s="480"/>
      <c r="L286" s="322" t="s">
        <v>460</v>
      </c>
      <c r="M286" s="325">
        <v>45898</v>
      </c>
      <c r="N286" s="325">
        <v>45902</v>
      </c>
      <c r="O286" s="326" t="s">
        <v>459</v>
      </c>
      <c r="P286" s="322">
        <f>N286-M286</f>
        <v>4</v>
      </c>
      <c r="Q286" s="322">
        <f ca="1">I1-N286</f>
        <v>1</v>
      </c>
      <c r="R286" s="322"/>
      <c r="S286" s="480"/>
      <c r="T286" s="480"/>
      <c r="U286" s="480"/>
      <c r="V286" s="481"/>
    </row>
    <row r="287" spans="1:22" x14ac:dyDescent="0.25">
      <c r="A287" s="308">
        <f>A285+1</f>
        <v>53</v>
      </c>
      <c r="B287" s="257" t="s">
        <v>686</v>
      </c>
      <c r="C287" s="268" t="s">
        <v>755</v>
      </c>
      <c r="D287" s="269" t="s">
        <v>792</v>
      </c>
      <c r="E287" s="259" t="s">
        <v>793</v>
      </c>
      <c r="F287" s="258" t="s">
        <v>467</v>
      </c>
      <c r="G287" s="283">
        <v>45826</v>
      </c>
      <c r="H287" s="283">
        <f t="shared" si="35"/>
        <v>45841</v>
      </c>
      <c r="I287" s="285"/>
      <c r="J287" s="257">
        <f t="shared" ca="1" si="34"/>
        <v>77</v>
      </c>
      <c r="K287" s="288">
        <f ca="1">I1-H285</f>
        <v>62</v>
      </c>
      <c r="L287" s="259"/>
      <c r="M287" s="276"/>
      <c r="N287" s="276"/>
      <c r="O287" s="277"/>
      <c r="P287" s="259"/>
      <c r="Q287" s="259"/>
      <c r="R287" s="259"/>
      <c r="S287" s="259"/>
      <c r="T287" s="259"/>
      <c r="U287" s="259"/>
      <c r="V287" s="312"/>
    </row>
    <row r="288" spans="1:22" x14ac:dyDescent="0.25">
      <c r="A288" s="308">
        <f t="shared" si="30"/>
        <v>54</v>
      </c>
      <c r="B288" s="257" t="s">
        <v>686</v>
      </c>
      <c r="C288" s="268" t="s">
        <v>755</v>
      </c>
      <c r="D288" s="269" t="s">
        <v>794</v>
      </c>
      <c r="E288" s="259" t="s">
        <v>795</v>
      </c>
      <c r="F288" s="259" t="s">
        <v>457</v>
      </c>
      <c r="G288" s="283">
        <v>45797</v>
      </c>
      <c r="H288" s="283">
        <f t="shared" si="35"/>
        <v>45812</v>
      </c>
      <c r="I288" s="285"/>
      <c r="J288" s="257">
        <f t="shared" ca="1" si="34"/>
        <v>106</v>
      </c>
      <c r="K288" s="259">
        <f ca="1">I1-H288</f>
        <v>91</v>
      </c>
      <c r="L288" s="259"/>
      <c r="M288" s="276"/>
      <c r="N288" s="276"/>
      <c r="O288" s="277"/>
      <c r="P288" s="259"/>
      <c r="Q288" s="259"/>
      <c r="R288" s="259"/>
      <c r="S288" s="259"/>
      <c r="T288" s="259"/>
      <c r="U288" s="259"/>
      <c r="V288" s="312"/>
    </row>
    <row r="289" spans="1:22" x14ac:dyDescent="0.25">
      <c r="A289" s="403">
        <f t="shared" si="30"/>
        <v>55</v>
      </c>
      <c r="B289" s="406" t="s">
        <v>686</v>
      </c>
      <c r="C289" s="409" t="s">
        <v>755</v>
      </c>
      <c r="D289" s="464" t="s">
        <v>796</v>
      </c>
      <c r="E289" s="406" t="s">
        <v>797</v>
      </c>
      <c r="F289" s="406" t="s">
        <v>457</v>
      </c>
      <c r="G289" s="466">
        <f>G248</f>
        <v>45834</v>
      </c>
      <c r="H289" s="466">
        <f t="shared" si="35"/>
        <v>45849</v>
      </c>
      <c r="I289" s="466">
        <f>M289</f>
        <v>45869</v>
      </c>
      <c r="J289" s="406">
        <f>I289-G289</f>
        <v>35</v>
      </c>
      <c r="K289" s="406">
        <f ca="1">I1-H289</f>
        <v>54</v>
      </c>
      <c r="L289" s="263" t="s">
        <v>458</v>
      </c>
      <c r="M289" s="266">
        <v>45869</v>
      </c>
      <c r="N289" s="266">
        <v>45895</v>
      </c>
      <c r="O289" s="267" t="s">
        <v>459</v>
      </c>
      <c r="P289" s="263">
        <f>N289-M289</f>
        <v>26</v>
      </c>
      <c r="Q289" s="263">
        <f>M290-N289</f>
        <v>2</v>
      </c>
      <c r="R289" s="263"/>
      <c r="S289" s="406" t="s">
        <v>482</v>
      </c>
      <c r="T289" s="406" t="str">
        <f>O289</f>
        <v>CAT - III</v>
      </c>
      <c r="U289" s="406" t="s">
        <v>461</v>
      </c>
      <c r="V289" s="418"/>
    </row>
    <row r="290" spans="1:22" x14ac:dyDescent="0.25">
      <c r="A290" s="405"/>
      <c r="B290" s="408"/>
      <c r="C290" s="411"/>
      <c r="D290" s="465"/>
      <c r="E290" s="408"/>
      <c r="F290" s="408"/>
      <c r="G290" s="467"/>
      <c r="H290" s="467"/>
      <c r="I290" s="467"/>
      <c r="J290" s="408"/>
      <c r="K290" s="408"/>
      <c r="L290" s="263" t="s">
        <v>460</v>
      </c>
      <c r="M290" s="266">
        <v>45897</v>
      </c>
      <c r="N290" s="266"/>
      <c r="O290" s="267"/>
      <c r="P290" s="263"/>
      <c r="Q290" s="263"/>
      <c r="R290" s="263"/>
      <c r="S290" s="408"/>
      <c r="T290" s="408"/>
      <c r="U290" s="408"/>
      <c r="V290" s="420"/>
    </row>
    <row r="291" spans="1:22" x14ac:dyDescent="0.25">
      <c r="A291" s="316"/>
      <c r="B291" s="257" t="s">
        <v>686</v>
      </c>
      <c r="C291" s="268" t="s">
        <v>755</v>
      </c>
      <c r="D291" s="269" t="s">
        <v>798</v>
      </c>
      <c r="E291" s="259" t="s">
        <v>799</v>
      </c>
      <c r="F291" s="259" t="s">
        <v>467</v>
      </c>
      <c r="G291" s="283">
        <v>45868</v>
      </c>
      <c r="H291" s="283">
        <f t="shared" si="35"/>
        <v>45883</v>
      </c>
      <c r="I291" s="285"/>
      <c r="J291" s="257">
        <f t="shared" ca="1" si="34"/>
        <v>35</v>
      </c>
      <c r="K291" s="259">
        <f ca="1">$I$1-H291</f>
        <v>20</v>
      </c>
      <c r="L291" s="293"/>
      <c r="M291" s="276"/>
      <c r="N291" s="276"/>
      <c r="O291" s="277"/>
      <c r="P291" s="259"/>
      <c r="Q291" s="259"/>
      <c r="R291" s="259"/>
      <c r="S291" s="259"/>
      <c r="T291" s="259"/>
      <c r="U291" s="259"/>
      <c r="V291" s="312"/>
    </row>
    <row r="292" spans="1:22" x14ac:dyDescent="0.25">
      <c r="A292" s="308">
        <f>A289+1</f>
        <v>56</v>
      </c>
      <c r="B292" s="257" t="s">
        <v>686</v>
      </c>
      <c r="C292" s="268" t="s">
        <v>755</v>
      </c>
      <c r="D292" s="269" t="s">
        <v>800</v>
      </c>
      <c r="E292" s="259" t="s">
        <v>801</v>
      </c>
      <c r="F292" s="259" t="s">
        <v>467</v>
      </c>
      <c r="G292" s="283">
        <v>45899</v>
      </c>
      <c r="H292" s="283">
        <f t="shared" si="35"/>
        <v>45914</v>
      </c>
      <c r="I292" s="285"/>
      <c r="J292" s="257">
        <f t="shared" ca="1" si="34"/>
        <v>4</v>
      </c>
      <c r="K292" s="259">
        <f ca="1">$I$1-H292</f>
        <v>-11</v>
      </c>
      <c r="L292" s="293"/>
      <c r="M292" s="276"/>
      <c r="N292" s="276"/>
      <c r="O292" s="277"/>
      <c r="P292" s="259"/>
      <c r="Q292" s="259"/>
      <c r="R292" s="259"/>
      <c r="S292" s="259"/>
      <c r="T292" s="259"/>
      <c r="U292" s="259"/>
      <c r="V292" s="312"/>
    </row>
    <row r="293" spans="1:22" x14ac:dyDescent="0.25">
      <c r="A293" s="308">
        <f t="shared" si="30"/>
        <v>57</v>
      </c>
      <c r="B293" s="257" t="s">
        <v>686</v>
      </c>
      <c r="C293" s="268" t="s">
        <v>755</v>
      </c>
      <c r="D293" s="269" t="s">
        <v>802</v>
      </c>
      <c r="E293" s="259" t="s">
        <v>803</v>
      </c>
      <c r="F293" s="259" t="s">
        <v>467</v>
      </c>
      <c r="G293" s="283">
        <v>45899</v>
      </c>
      <c r="H293" s="283">
        <f t="shared" si="35"/>
        <v>45914</v>
      </c>
      <c r="I293" s="285"/>
      <c r="J293" s="257">
        <f t="shared" ca="1" si="34"/>
        <v>4</v>
      </c>
      <c r="K293" s="259">
        <f ca="1">$I$1-H293</f>
        <v>-11</v>
      </c>
      <c r="L293" s="293"/>
      <c r="M293" s="276"/>
      <c r="N293" s="276"/>
      <c r="O293" s="277"/>
      <c r="P293" s="259"/>
      <c r="Q293" s="259"/>
      <c r="R293" s="259"/>
      <c r="S293" s="259"/>
      <c r="T293" s="259"/>
      <c r="U293" s="259"/>
      <c r="V293" s="312"/>
    </row>
    <row r="294" spans="1:22" x14ac:dyDescent="0.25">
      <c r="A294" s="308">
        <f t="shared" si="30"/>
        <v>58</v>
      </c>
      <c r="B294" s="257" t="s">
        <v>686</v>
      </c>
      <c r="C294" s="268" t="s">
        <v>755</v>
      </c>
      <c r="D294" s="269" t="s">
        <v>804</v>
      </c>
      <c r="E294" s="259" t="s">
        <v>805</v>
      </c>
      <c r="F294" s="259" t="s">
        <v>457</v>
      </c>
      <c r="G294" s="283">
        <f>G254</f>
        <v>45848</v>
      </c>
      <c r="H294" s="283">
        <f t="shared" si="35"/>
        <v>45863</v>
      </c>
      <c r="I294" s="285"/>
      <c r="J294" s="257">
        <f t="shared" ca="1" si="34"/>
        <v>55</v>
      </c>
      <c r="K294" s="259">
        <f ca="1">$I$1-H294</f>
        <v>40</v>
      </c>
      <c r="L294" s="293"/>
      <c r="M294" s="276"/>
      <c r="N294" s="276"/>
      <c r="O294" s="277"/>
      <c r="P294" s="259"/>
      <c r="Q294" s="259"/>
      <c r="R294" s="259"/>
      <c r="S294" s="259"/>
      <c r="T294" s="259"/>
      <c r="U294" s="259"/>
      <c r="V294" s="312"/>
    </row>
    <row r="295" spans="1:22" x14ac:dyDescent="0.25">
      <c r="A295" s="381">
        <v>59</v>
      </c>
      <c r="B295" s="382" t="s">
        <v>686</v>
      </c>
      <c r="C295" s="383" t="s">
        <v>755</v>
      </c>
      <c r="D295" s="384" t="s">
        <v>806</v>
      </c>
      <c r="E295" s="382" t="s">
        <v>807</v>
      </c>
      <c r="F295" s="382" t="s">
        <v>457</v>
      </c>
      <c r="G295" s="494">
        <v>45793</v>
      </c>
      <c r="H295" s="494">
        <f t="shared" si="35"/>
        <v>45808</v>
      </c>
      <c r="I295" s="494">
        <v>45793</v>
      </c>
      <c r="J295" s="382">
        <f>I295-G295</f>
        <v>0</v>
      </c>
      <c r="K295" s="382">
        <f ca="1">I1-H295</f>
        <v>95</v>
      </c>
      <c r="L295" s="322" t="s">
        <v>458</v>
      </c>
      <c r="M295" s="325">
        <v>45793</v>
      </c>
      <c r="N295" s="325">
        <v>45807</v>
      </c>
      <c r="O295" s="326" t="s">
        <v>459</v>
      </c>
      <c r="P295" s="322">
        <f>N295-M295</f>
        <v>14</v>
      </c>
      <c r="Q295" s="322">
        <f ca="1">I1-N295</f>
        <v>96</v>
      </c>
      <c r="R295" s="433"/>
      <c r="S295" s="382" t="s">
        <v>489</v>
      </c>
      <c r="T295" s="382" t="str">
        <f>O295</f>
        <v>CAT - III</v>
      </c>
      <c r="U295" s="382" t="s">
        <v>464</v>
      </c>
      <c r="V295" s="388"/>
    </row>
    <row r="296" spans="1:22" x14ac:dyDescent="0.25">
      <c r="A296" s="441"/>
      <c r="B296" s="442"/>
      <c r="C296" s="443"/>
      <c r="D296" s="444"/>
      <c r="E296" s="396"/>
      <c r="F296" s="396"/>
      <c r="G296" s="396"/>
      <c r="H296" s="396"/>
      <c r="I296" s="501"/>
      <c r="J296" s="396"/>
      <c r="K296" s="396"/>
      <c r="L296" s="322" t="s">
        <v>460</v>
      </c>
      <c r="M296" s="325">
        <v>45862</v>
      </c>
      <c r="N296" s="325">
        <v>45863</v>
      </c>
      <c r="O296" s="326" t="s">
        <v>459</v>
      </c>
      <c r="P296" s="322">
        <f>M296-N295</f>
        <v>55</v>
      </c>
      <c r="Q296" s="322">
        <f>N296-M296</f>
        <v>1</v>
      </c>
      <c r="R296" s="359"/>
      <c r="S296" s="396"/>
      <c r="T296" s="396"/>
      <c r="U296" s="396"/>
      <c r="V296" s="397"/>
    </row>
    <row r="297" spans="1:22" x14ac:dyDescent="0.25">
      <c r="A297" s="308">
        <v>60</v>
      </c>
      <c r="B297" s="257" t="s">
        <v>686</v>
      </c>
      <c r="C297" s="268" t="s">
        <v>755</v>
      </c>
      <c r="D297" s="269" t="s">
        <v>808</v>
      </c>
      <c r="E297" s="259" t="s">
        <v>809</v>
      </c>
      <c r="F297" s="288" t="s">
        <v>457</v>
      </c>
      <c r="G297" s="283">
        <v>45900</v>
      </c>
      <c r="H297" s="283">
        <f>G297+15</f>
        <v>45915</v>
      </c>
      <c r="I297" s="285"/>
      <c r="J297" s="257">
        <f t="shared" ref="J297" ca="1" si="36">$I$1-G297</f>
        <v>3</v>
      </c>
      <c r="K297" s="259">
        <f ca="1">$I$1-H297</f>
        <v>-12</v>
      </c>
      <c r="L297" s="293"/>
      <c r="M297" s="276"/>
      <c r="N297" s="276"/>
      <c r="O297" s="277"/>
      <c r="P297" s="259"/>
      <c r="Q297" s="259"/>
      <c r="R297" s="259"/>
      <c r="S297" s="259"/>
      <c r="T297" s="259"/>
      <c r="U297" s="259"/>
      <c r="V297" s="312"/>
    </row>
    <row r="298" spans="1:22" x14ac:dyDescent="0.25">
      <c r="A298" s="474">
        <v>61</v>
      </c>
      <c r="B298" s="470" t="s">
        <v>686</v>
      </c>
      <c r="C298" s="476" t="s">
        <v>755</v>
      </c>
      <c r="D298" s="478" t="s">
        <v>810</v>
      </c>
      <c r="E298" s="470" t="s">
        <v>811</v>
      </c>
      <c r="F298" s="470" t="s">
        <v>457</v>
      </c>
      <c r="G298" s="468">
        <f>G222</f>
        <v>45809</v>
      </c>
      <c r="H298" s="468">
        <f>G298+15</f>
        <v>45824</v>
      </c>
      <c r="I298" s="468">
        <f>M298</f>
        <v>45878</v>
      </c>
      <c r="J298" s="470">
        <f>I298-G298</f>
        <v>69</v>
      </c>
      <c r="K298" s="470">
        <f ca="1">I1-H298</f>
        <v>79</v>
      </c>
      <c r="L298" s="322" t="s">
        <v>458</v>
      </c>
      <c r="M298" s="325">
        <v>45878</v>
      </c>
      <c r="N298" s="325">
        <v>45891</v>
      </c>
      <c r="O298" s="326" t="s">
        <v>459</v>
      </c>
      <c r="P298" s="322">
        <f>N298-M298</f>
        <v>13</v>
      </c>
      <c r="Q298" s="322">
        <f>M299-N298</f>
        <v>10</v>
      </c>
      <c r="R298" s="291"/>
      <c r="S298" s="470" t="s">
        <v>489</v>
      </c>
      <c r="T298" s="470" t="str">
        <f>O298</f>
        <v>CAT - III</v>
      </c>
      <c r="U298" s="470" t="s">
        <v>464</v>
      </c>
      <c r="V298" s="472"/>
    </row>
    <row r="299" spans="1:22" x14ac:dyDescent="0.25">
      <c r="A299" s="484"/>
      <c r="B299" s="480"/>
      <c r="C299" s="568"/>
      <c r="D299" s="487"/>
      <c r="E299" s="480"/>
      <c r="F299" s="480"/>
      <c r="G299" s="483"/>
      <c r="H299" s="483"/>
      <c r="I299" s="483"/>
      <c r="J299" s="480"/>
      <c r="K299" s="480"/>
      <c r="L299" s="322" t="s">
        <v>460</v>
      </c>
      <c r="M299" s="325">
        <v>45901</v>
      </c>
      <c r="N299" s="325">
        <v>45902</v>
      </c>
      <c r="O299" s="326" t="s">
        <v>459</v>
      </c>
      <c r="P299" s="322">
        <f>N299-M299</f>
        <v>1</v>
      </c>
      <c r="Q299" s="322"/>
      <c r="R299" s="291"/>
      <c r="S299" s="480"/>
      <c r="T299" s="480"/>
      <c r="U299" s="480"/>
      <c r="V299" s="481"/>
    </row>
    <row r="300" spans="1:22" s="338" customFormat="1" x14ac:dyDescent="0.35">
      <c r="A300" s="369">
        <v>62</v>
      </c>
      <c r="B300" s="371" t="s">
        <v>686</v>
      </c>
      <c r="C300" s="373" t="s">
        <v>755</v>
      </c>
      <c r="D300" s="375" t="s">
        <v>812</v>
      </c>
      <c r="E300" s="371" t="s">
        <v>866</v>
      </c>
      <c r="F300" s="371" t="s">
        <v>457</v>
      </c>
      <c r="G300" s="454">
        <v>45803</v>
      </c>
      <c r="H300" s="454">
        <f>G300+15</f>
        <v>45818</v>
      </c>
      <c r="I300" s="454">
        <v>45803</v>
      </c>
      <c r="J300" s="371">
        <f>I300-G300</f>
        <v>0</v>
      </c>
      <c r="K300" s="371">
        <f>R300-H300</f>
        <v>21</v>
      </c>
      <c r="L300" s="271" t="s">
        <v>458</v>
      </c>
      <c r="M300" s="274">
        <v>45803</v>
      </c>
      <c r="N300" s="274">
        <v>45810</v>
      </c>
      <c r="O300" s="275" t="s">
        <v>459</v>
      </c>
      <c r="P300" s="271">
        <f>N300-M300</f>
        <v>7</v>
      </c>
      <c r="Q300" s="271">
        <f>M301-N300</f>
        <v>8</v>
      </c>
      <c r="R300" s="377">
        <f>N302</f>
        <v>45839</v>
      </c>
      <c r="S300" s="371" t="s">
        <v>482</v>
      </c>
      <c r="T300" s="371" t="str">
        <f>O302</f>
        <v>CAT - I</v>
      </c>
      <c r="U300" s="371" t="s">
        <v>397</v>
      </c>
      <c r="V300" s="379"/>
    </row>
    <row r="301" spans="1:22" s="338" customFormat="1" x14ac:dyDescent="0.35">
      <c r="A301" s="358"/>
      <c r="B301" s="360"/>
      <c r="C301" s="362"/>
      <c r="D301" s="364"/>
      <c r="E301" s="360"/>
      <c r="F301" s="360"/>
      <c r="G301" s="499"/>
      <c r="H301" s="499"/>
      <c r="I301" s="499"/>
      <c r="J301" s="360"/>
      <c r="K301" s="360"/>
      <c r="L301" s="271" t="s">
        <v>460</v>
      </c>
      <c r="M301" s="274">
        <v>45818</v>
      </c>
      <c r="N301" s="274">
        <v>45820</v>
      </c>
      <c r="O301" s="275" t="s">
        <v>459</v>
      </c>
      <c r="P301" s="271">
        <f>N301-M301</f>
        <v>2</v>
      </c>
      <c r="Q301" s="271">
        <f ca="1">I1-N301</f>
        <v>83</v>
      </c>
      <c r="R301" s="360"/>
      <c r="S301" s="360"/>
      <c r="T301" s="360"/>
      <c r="U301" s="360"/>
      <c r="V301" s="379"/>
    </row>
    <row r="302" spans="1:22" s="338" customFormat="1" ht="11" thickBot="1" x14ac:dyDescent="0.4">
      <c r="A302" s="495"/>
      <c r="B302" s="496"/>
      <c r="C302" s="497"/>
      <c r="D302" s="498"/>
      <c r="E302" s="496"/>
      <c r="F302" s="496"/>
      <c r="G302" s="500"/>
      <c r="H302" s="500"/>
      <c r="I302" s="500"/>
      <c r="J302" s="496"/>
      <c r="K302" s="496"/>
      <c r="L302" s="317" t="s">
        <v>462</v>
      </c>
      <c r="M302" s="318">
        <v>45835</v>
      </c>
      <c r="N302" s="318">
        <v>45839</v>
      </c>
      <c r="O302" s="319" t="s">
        <v>472</v>
      </c>
      <c r="P302" s="317"/>
      <c r="Q302" s="317"/>
      <c r="R302" s="496"/>
      <c r="S302" s="496"/>
      <c r="T302" s="496"/>
      <c r="U302" s="496"/>
      <c r="V302" s="502"/>
    </row>
    <row r="303" spans="1:22" s="335" customFormat="1" x14ac:dyDescent="0.35">
      <c r="C303" s="339"/>
      <c r="D303" s="340"/>
      <c r="M303" s="341"/>
      <c r="N303" s="341"/>
    </row>
  </sheetData>
  <mergeCells count="1018">
    <mergeCell ref="S300:S302"/>
    <mergeCell ref="T300:T302"/>
    <mergeCell ref="U300:U302"/>
    <mergeCell ref="V300:V302"/>
    <mergeCell ref="G300:G302"/>
    <mergeCell ref="H300:H302"/>
    <mergeCell ref="I300:I302"/>
    <mergeCell ref="J300:J302"/>
    <mergeCell ref="K300:K302"/>
    <mergeCell ref="R300:R302"/>
    <mergeCell ref="A300:A302"/>
    <mergeCell ref="B300:B302"/>
    <mergeCell ref="C300:C302"/>
    <mergeCell ref="D300:D302"/>
    <mergeCell ref="E300:E302"/>
    <mergeCell ref="F300:F302"/>
    <mergeCell ref="J298:J299"/>
    <mergeCell ref="K298:K299"/>
    <mergeCell ref="S298:S299"/>
    <mergeCell ref="T298:T299"/>
    <mergeCell ref="U298:U299"/>
    <mergeCell ref="V298:V299"/>
    <mergeCell ref="V295:V296"/>
    <mergeCell ref="A298:A299"/>
    <mergeCell ref="B298:B299"/>
    <mergeCell ref="C298:C299"/>
    <mergeCell ref="D298:D299"/>
    <mergeCell ref="E298:E299"/>
    <mergeCell ref="F298:F299"/>
    <mergeCell ref="G298:G299"/>
    <mergeCell ref="H298:H299"/>
    <mergeCell ref="I298:I299"/>
    <mergeCell ref="J295:J296"/>
    <mergeCell ref="K295:K296"/>
    <mergeCell ref="R295:R296"/>
    <mergeCell ref="S295:S296"/>
    <mergeCell ref="T295:T296"/>
    <mergeCell ref="U295:U296"/>
    <mergeCell ref="V289:V290"/>
    <mergeCell ref="A295:A296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I289:I290"/>
    <mergeCell ref="J289:J290"/>
    <mergeCell ref="K289:K290"/>
    <mergeCell ref="S289:S290"/>
    <mergeCell ref="T289:T290"/>
    <mergeCell ref="U289:U290"/>
    <mergeCell ref="U285:U286"/>
    <mergeCell ref="V285:V286"/>
    <mergeCell ref="A289:A290"/>
    <mergeCell ref="B289:B290"/>
    <mergeCell ref="C289:C290"/>
    <mergeCell ref="D289:D290"/>
    <mergeCell ref="E289:E290"/>
    <mergeCell ref="F289:F290"/>
    <mergeCell ref="G289:G290"/>
    <mergeCell ref="H289:H290"/>
    <mergeCell ref="H285:H286"/>
    <mergeCell ref="I285:I286"/>
    <mergeCell ref="J285:J286"/>
    <mergeCell ref="K285:K286"/>
    <mergeCell ref="S285:S286"/>
    <mergeCell ref="T285:T286"/>
    <mergeCell ref="T276:T277"/>
    <mergeCell ref="U276:U277"/>
    <mergeCell ref="V276:V277"/>
    <mergeCell ref="A285:A286"/>
    <mergeCell ref="B285:B286"/>
    <mergeCell ref="C285:C286"/>
    <mergeCell ref="D285:D286"/>
    <mergeCell ref="E285:E286"/>
    <mergeCell ref="F285:F286"/>
    <mergeCell ref="G285:G286"/>
    <mergeCell ref="G276:G277"/>
    <mergeCell ref="H276:H277"/>
    <mergeCell ref="I276:I277"/>
    <mergeCell ref="J276:J277"/>
    <mergeCell ref="K276:K277"/>
    <mergeCell ref="S276:S277"/>
    <mergeCell ref="A276:A277"/>
    <mergeCell ref="B276:B277"/>
    <mergeCell ref="C276:C277"/>
    <mergeCell ref="D276:D277"/>
    <mergeCell ref="E276:E277"/>
    <mergeCell ref="F276:F277"/>
    <mergeCell ref="J274:J275"/>
    <mergeCell ref="K274:K275"/>
    <mergeCell ref="S274:S275"/>
    <mergeCell ref="T274:T275"/>
    <mergeCell ref="U274:U275"/>
    <mergeCell ref="V274:V275"/>
    <mergeCell ref="U267:U268"/>
    <mergeCell ref="A274:A275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I267:I268"/>
    <mergeCell ref="J267:J268"/>
    <mergeCell ref="K267:K268"/>
    <mergeCell ref="R267:R268"/>
    <mergeCell ref="S267:S268"/>
    <mergeCell ref="T267:T268"/>
    <mergeCell ref="T265:T266"/>
    <mergeCell ref="U265:U266"/>
    <mergeCell ref="A267:A268"/>
    <mergeCell ref="B267:B268"/>
    <mergeCell ref="C267:C268"/>
    <mergeCell ref="D267:D268"/>
    <mergeCell ref="E267:E268"/>
    <mergeCell ref="F267:F268"/>
    <mergeCell ref="G267:G268"/>
    <mergeCell ref="H267:H268"/>
    <mergeCell ref="G265:G266"/>
    <mergeCell ref="H265:H266"/>
    <mergeCell ref="I265:I266"/>
    <mergeCell ref="J265:J266"/>
    <mergeCell ref="K265:K266"/>
    <mergeCell ref="S265:S266"/>
    <mergeCell ref="S260:S263"/>
    <mergeCell ref="T260:T263"/>
    <mergeCell ref="U260:U263"/>
    <mergeCell ref="V260:V263"/>
    <mergeCell ref="A265:A266"/>
    <mergeCell ref="B265:B266"/>
    <mergeCell ref="C265:C266"/>
    <mergeCell ref="D265:D266"/>
    <mergeCell ref="E265:E266"/>
    <mergeCell ref="F265:F266"/>
    <mergeCell ref="G260:G263"/>
    <mergeCell ref="H260:H263"/>
    <mergeCell ref="I260:I263"/>
    <mergeCell ref="J260:J263"/>
    <mergeCell ref="K260:K263"/>
    <mergeCell ref="R260:R263"/>
    <mergeCell ref="S257:S259"/>
    <mergeCell ref="T257:T259"/>
    <mergeCell ref="U257:U259"/>
    <mergeCell ref="V257:V259"/>
    <mergeCell ref="A260:A263"/>
    <mergeCell ref="B260:B263"/>
    <mergeCell ref="C260:C263"/>
    <mergeCell ref="D260:D263"/>
    <mergeCell ref="E260:E263"/>
    <mergeCell ref="F260:F263"/>
    <mergeCell ref="G257:G259"/>
    <mergeCell ref="H257:H259"/>
    <mergeCell ref="I257:I259"/>
    <mergeCell ref="J257:J259"/>
    <mergeCell ref="K257:K259"/>
    <mergeCell ref="R257:R259"/>
    <mergeCell ref="A257:A259"/>
    <mergeCell ref="B257:B259"/>
    <mergeCell ref="C257:C259"/>
    <mergeCell ref="D257:D259"/>
    <mergeCell ref="E257:E259"/>
    <mergeCell ref="F257:F259"/>
    <mergeCell ref="J254:J255"/>
    <mergeCell ref="K254:K255"/>
    <mergeCell ref="S254:S255"/>
    <mergeCell ref="T254:T255"/>
    <mergeCell ref="U254:U255"/>
    <mergeCell ref="V254:V255"/>
    <mergeCell ref="V248:V249"/>
    <mergeCell ref="A254:A255"/>
    <mergeCell ref="B254:B255"/>
    <mergeCell ref="C254:C255"/>
    <mergeCell ref="D254:D255"/>
    <mergeCell ref="E254:E255"/>
    <mergeCell ref="F254:F255"/>
    <mergeCell ref="G254:G255"/>
    <mergeCell ref="H254:H255"/>
    <mergeCell ref="I254:I255"/>
    <mergeCell ref="G248:G249"/>
    <mergeCell ref="H248:H249"/>
    <mergeCell ref="I248:I249"/>
    <mergeCell ref="S248:S249"/>
    <mergeCell ref="T248:T249"/>
    <mergeCell ref="U248:U249"/>
    <mergeCell ref="A248:A249"/>
    <mergeCell ref="B248:B249"/>
    <mergeCell ref="C248:C249"/>
    <mergeCell ref="D248:D249"/>
    <mergeCell ref="E248:E249"/>
    <mergeCell ref="F248:F249"/>
    <mergeCell ref="J243:J244"/>
    <mergeCell ref="K243:K244"/>
    <mergeCell ref="S243:S244"/>
    <mergeCell ref="T243:T244"/>
    <mergeCell ref="U243:U244"/>
    <mergeCell ref="V243:V244"/>
    <mergeCell ref="V230:V232"/>
    <mergeCell ref="A243:A244"/>
    <mergeCell ref="B243:B244"/>
    <mergeCell ref="C243:C244"/>
    <mergeCell ref="D243:D244"/>
    <mergeCell ref="E243:E244"/>
    <mergeCell ref="F243:F244"/>
    <mergeCell ref="G243:G244"/>
    <mergeCell ref="H243:H244"/>
    <mergeCell ref="I243:I244"/>
    <mergeCell ref="J230:J232"/>
    <mergeCell ref="K230:K232"/>
    <mergeCell ref="R230:R232"/>
    <mergeCell ref="S230:S232"/>
    <mergeCell ref="T230:T232"/>
    <mergeCell ref="U230:U232"/>
    <mergeCell ref="V228:V229"/>
    <mergeCell ref="A230:A232"/>
    <mergeCell ref="B230:B232"/>
    <mergeCell ref="C230:C232"/>
    <mergeCell ref="D230:D232"/>
    <mergeCell ref="E230:E232"/>
    <mergeCell ref="F230:F232"/>
    <mergeCell ref="G230:G232"/>
    <mergeCell ref="H230:H232"/>
    <mergeCell ref="I230:I232"/>
    <mergeCell ref="I228:I229"/>
    <mergeCell ref="J228:J229"/>
    <mergeCell ref="K228:K229"/>
    <mergeCell ref="S228:S229"/>
    <mergeCell ref="T228:T229"/>
    <mergeCell ref="U228:U229"/>
    <mergeCell ref="U225:U227"/>
    <mergeCell ref="V225:V227"/>
    <mergeCell ref="A228:A229"/>
    <mergeCell ref="B228:B229"/>
    <mergeCell ref="C228:C229"/>
    <mergeCell ref="D228:D229"/>
    <mergeCell ref="E228:E229"/>
    <mergeCell ref="F228:F229"/>
    <mergeCell ref="G228:G229"/>
    <mergeCell ref="H228:H229"/>
    <mergeCell ref="I225:I227"/>
    <mergeCell ref="J225:J227"/>
    <mergeCell ref="K225:K227"/>
    <mergeCell ref="R225:R227"/>
    <mergeCell ref="S225:S227"/>
    <mergeCell ref="T225:T227"/>
    <mergeCell ref="U218:U220"/>
    <mergeCell ref="V218:V220"/>
    <mergeCell ref="A225:A227"/>
    <mergeCell ref="B225:B227"/>
    <mergeCell ref="C225:C227"/>
    <mergeCell ref="D225:D227"/>
    <mergeCell ref="E225:E227"/>
    <mergeCell ref="F225:F227"/>
    <mergeCell ref="G225:G227"/>
    <mergeCell ref="H225:H227"/>
    <mergeCell ref="I218:I219"/>
    <mergeCell ref="J218:J220"/>
    <mergeCell ref="K218:K220"/>
    <mergeCell ref="R218:R219"/>
    <mergeCell ref="S218:S220"/>
    <mergeCell ref="T218:T220"/>
    <mergeCell ref="U215:U217"/>
    <mergeCell ref="V215:V217"/>
    <mergeCell ref="A218:A220"/>
    <mergeCell ref="B218:B220"/>
    <mergeCell ref="C218:C220"/>
    <mergeCell ref="D218:D220"/>
    <mergeCell ref="E218:E220"/>
    <mergeCell ref="F218:F219"/>
    <mergeCell ref="G218:G219"/>
    <mergeCell ref="H218:H219"/>
    <mergeCell ref="H215:H217"/>
    <mergeCell ref="I215:I217"/>
    <mergeCell ref="J215:J217"/>
    <mergeCell ref="K215:K217"/>
    <mergeCell ref="S215:S217"/>
    <mergeCell ref="T215:T217"/>
    <mergeCell ref="U212:U213"/>
    <mergeCell ref="V212:V213"/>
    <mergeCell ref="Y212:Y213"/>
    <mergeCell ref="A215:A217"/>
    <mergeCell ref="B215:B217"/>
    <mergeCell ref="C215:C217"/>
    <mergeCell ref="D215:D217"/>
    <mergeCell ref="E215:E217"/>
    <mergeCell ref="F215:F217"/>
    <mergeCell ref="G215:G217"/>
    <mergeCell ref="I212:I213"/>
    <mergeCell ref="J212:J213"/>
    <mergeCell ref="K212:K213"/>
    <mergeCell ref="R212:R213"/>
    <mergeCell ref="S212:S213"/>
    <mergeCell ref="T212:T213"/>
    <mergeCell ref="U209:U211"/>
    <mergeCell ref="V209:V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I209:I211"/>
    <mergeCell ref="J209:J211"/>
    <mergeCell ref="K209:K211"/>
    <mergeCell ref="R209:R211"/>
    <mergeCell ref="S209:S211"/>
    <mergeCell ref="T209:T211"/>
    <mergeCell ref="U204:U206"/>
    <mergeCell ref="V204:V206"/>
    <mergeCell ref="A209:A211"/>
    <mergeCell ref="B209:B211"/>
    <mergeCell ref="C209:C211"/>
    <mergeCell ref="D209:D211"/>
    <mergeCell ref="E209:E211"/>
    <mergeCell ref="F209:F211"/>
    <mergeCell ref="G209:G211"/>
    <mergeCell ref="H209:H211"/>
    <mergeCell ref="I204:I206"/>
    <mergeCell ref="J204:J206"/>
    <mergeCell ref="K204:K206"/>
    <mergeCell ref="R204:R206"/>
    <mergeCell ref="S204:S206"/>
    <mergeCell ref="T204:T206"/>
    <mergeCell ref="U201:U203"/>
    <mergeCell ref="V201:V203"/>
    <mergeCell ref="A204:A206"/>
    <mergeCell ref="B204:B206"/>
    <mergeCell ref="C204:C206"/>
    <mergeCell ref="D204:D206"/>
    <mergeCell ref="E204:E206"/>
    <mergeCell ref="F204:F206"/>
    <mergeCell ref="G204:G206"/>
    <mergeCell ref="H204:H206"/>
    <mergeCell ref="I201:I203"/>
    <mergeCell ref="J201:J203"/>
    <mergeCell ref="K201:K203"/>
    <mergeCell ref="R201:R203"/>
    <mergeCell ref="S201:S203"/>
    <mergeCell ref="T201:T203"/>
    <mergeCell ref="U199:U200"/>
    <mergeCell ref="V199:V200"/>
    <mergeCell ref="A201:A203"/>
    <mergeCell ref="B201:B203"/>
    <mergeCell ref="C201:C203"/>
    <mergeCell ref="D201:D203"/>
    <mergeCell ref="E201:E203"/>
    <mergeCell ref="F201:F203"/>
    <mergeCell ref="G201:G203"/>
    <mergeCell ref="H201:H203"/>
    <mergeCell ref="I199:I200"/>
    <mergeCell ref="J199:J200"/>
    <mergeCell ref="K199:K200"/>
    <mergeCell ref="R199:R200"/>
    <mergeCell ref="S199:S200"/>
    <mergeCell ref="T199:T200"/>
    <mergeCell ref="T196:T198"/>
    <mergeCell ref="U196:U198"/>
    <mergeCell ref="A199:A200"/>
    <mergeCell ref="B199:B200"/>
    <mergeCell ref="C199:C200"/>
    <mergeCell ref="D199:D200"/>
    <mergeCell ref="E199:E200"/>
    <mergeCell ref="F199:F200"/>
    <mergeCell ref="G199:G200"/>
    <mergeCell ref="H199:H200"/>
    <mergeCell ref="H196:H198"/>
    <mergeCell ref="I196:I198"/>
    <mergeCell ref="J196:J198"/>
    <mergeCell ref="K196:K198"/>
    <mergeCell ref="R196:R198"/>
    <mergeCell ref="S196:S198"/>
    <mergeCell ref="T192:T193"/>
    <mergeCell ref="U192:U193"/>
    <mergeCell ref="V192:V193"/>
    <mergeCell ref="A196:A198"/>
    <mergeCell ref="B196:B198"/>
    <mergeCell ref="C196:C198"/>
    <mergeCell ref="D196:D198"/>
    <mergeCell ref="E196:E198"/>
    <mergeCell ref="F196:F198"/>
    <mergeCell ref="G196:G198"/>
    <mergeCell ref="G192:G193"/>
    <mergeCell ref="H192:H193"/>
    <mergeCell ref="I192:I193"/>
    <mergeCell ref="J192:J193"/>
    <mergeCell ref="K192:K193"/>
    <mergeCell ref="S192:S193"/>
    <mergeCell ref="S186:S190"/>
    <mergeCell ref="T186:T190"/>
    <mergeCell ref="U186:U190"/>
    <mergeCell ref="V186:V190"/>
    <mergeCell ref="A192:A193"/>
    <mergeCell ref="B192:B193"/>
    <mergeCell ref="C192:C193"/>
    <mergeCell ref="D192:D193"/>
    <mergeCell ref="E192:E193"/>
    <mergeCell ref="F192:F193"/>
    <mergeCell ref="G186:G190"/>
    <mergeCell ref="H186:H190"/>
    <mergeCell ref="I186:I190"/>
    <mergeCell ref="J186:J190"/>
    <mergeCell ref="K186:K190"/>
    <mergeCell ref="R186:R190"/>
    <mergeCell ref="S184:S185"/>
    <mergeCell ref="T184:T185"/>
    <mergeCell ref="U184:U185"/>
    <mergeCell ref="V184:V185"/>
    <mergeCell ref="A186:A190"/>
    <mergeCell ref="B186:B190"/>
    <mergeCell ref="C186:C190"/>
    <mergeCell ref="D186:D190"/>
    <mergeCell ref="E186:E190"/>
    <mergeCell ref="F186:F190"/>
    <mergeCell ref="G184:G185"/>
    <mergeCell ref="H184:H185"/>
    <mergeCell ref="I184:I185"/>
    <mergeCell ref="J184:J185"/>
    <mergeCell ref="K184:K185"/>
    <mergeCell ref="R184:R185"/>
    <mergeCell ref="A184:A185"/>
    <mergeCell ref="B184:B185"/>
    <mergeCell ref="C184:C185"/>
    <mergeCell ref="D184:D185"/>
    <mergeCell ref="E184:E185"/>
    <mergeCell ref="F184:F185"/>
    <mergeCell ref="J163:J164"/>
    <mergeCell ref="K163:K164"/>
    <mergeCell ref="S163:S164"/>
    <mergeCell ref="T163:T164"/>
    <mergeCell ref="U163:U164"/>
    <mergeCell ref="V163:V164"/>
    <mergeCell ref="V159:V162"/>
    <mergeCell ref="A163:A164"/>
    <mergeCell ref="B163:B164"/>
    <mergeCell ref="C163:C164"/>
    <mergeCell ref="D163:D164"/>
    <mergeCell ref="E163:E164"/>
    <mergeCell ref="F163:F164"/>
    <mergeCell ref="G163:G164"/>
    <mergeCell ref="H163:H164"/>
    <mergeCell ref="I163:I164"/>
    <mergeCell ref="I159:I162"/>
    <mergeCell ref="J159:J162"/>
    <mergeCell ref="K159:K162"/>
    <mergeCell ref="S159:S162"/>
    <mergeCell ref="T159:T162"/>
    <mergeCell ref="U159:U162"/>
    <mergeCell ref="U155:U156"/>
    <mergeCell ref="V155:V156"/>
    <mergeCell ref="A159:A162"/>
    <mergeCell ref="B159:B162"/>
    <mergeCell ref="C159:C162"/>
    <mergeCell ref="D159:D162"/>
    <mergeCell ref="E159:E162"/>
    <mergeCell ref="F159:F162"/>
    <mergeCell ref="G159:G162"/>
    <mergeCell ref="H159:H162"/>
    <mergeCell ref="H155:H156"/>
    <mergeCell ref="I155:I156"/>
    <mergeCell ref="J155:J156"/>
    <mergeCell ref="K155:K156"/>
    <mergeCell ref="S155:S156"/>
    <mergeCell ref="T155:T156"/>
    <mergeCell ref="T151:T154"/>
    <mergeCell ref="U151:U154"/>
    <mergeCell ref="V151:V154"/>
    <mergeCell ref="A155:A156"/>
    <mergeCell ref="B155:B156"/>
    <mergeCell ref="C155:C156"/>
    <mergeCell ref="D155:D156"/>
    <mergeCell ref="E155:E156"/>
    <mergeCell ref="F155:F156"/>
    <mergeCell ref="G155:G156"/>
    <mergeCell ref="H151:H154"/>
    <mergeCell ref="I151:I154"/>
    <mergeCell ref="J151:J154"/>
    <mergeCell ref="K151:K154"/>
    <mergeCell ref="R151:R153"/>
    <mergeCell ref="S151:S154"/>
    <mergeCell ref="T147:T150"/>
    <mergeCell ref="U147:U150"/>
    <mergeCell ref="V147:V150"/>
    <mergeCell ref="A151:A154"/>
    <mergeCell ref="B151:B154"/>
    <mergeCell ref="C151:C154"/>
    <mergeCell ref="D151:D154"/>
    <mergeCell ref="E151:E154"/>
    <mergeCell ref="F151:F154"/>
    <mergeCell ref="G151:G154"/>
    <mergeCell ref="H147:H150"/>
    <mergeCell ref="I147:I150"/>
    <mergeCell ref="J147:J150"/>
    <mergeCell ref="K147:K150"/>
    <mergeCell ref="R147:R150"/>
    <mergeCell ref="S147:S150"/>
    <mergeCell ref="S145:S146"/>
    <mergeCell ref="T145:T146"/>
    <mergeCell ref="U145:U146"/>
    <mergeCell ref="A147:A150"/>
    <mergeCell ref="B147:B150"/>
    <mergeCell ref="C147:C150"/>
    <mergeCell ref="D147:D150"/>
    <mergeCell ref="E147:E150"/>
    <mergeCell ref="F147:F150"/>
    <mergeCell ref="G147:G150"/>
    <mergeCell ref="G145:G146"/>
    <mergeCell ref="H145:H146"/>
    <mergeCell ref="I145:I146"/>
    <mergeCell ref="J145:J146"/>
    <mergeCell ref="K145:K146"/>
    <mergeCell ref="R145:R146"/>
    <mergeCell ref="S143:S144"/>
    <mergeCell ref="T143:T144"/>
    <mergeCell ref="U143:U144"/>
    <mergeCell ref="V143:V144"/>
    <mergeCell ref="A145:A146"/>
    <mergeCell ref="B145:B146"/>
    <mergeCell ref="C145:C146"/>
    <mergeCell ref="D145:D146"/>
    <mergeCell ref="E145:E146"/>
    <mergeCell ref="F145:F146"/>
    <mergeCell ref="G143:G144"/>
    <mergeCell ref="H143:H144"/>
    <mergeCell ref="I143:I144"/>
    <mergeCell ref="J143:J144"/>
    <mergeCell ref="K143:K144"/>
    <mergeCell ref="R143:R144"/>
    <mergeCell ref="S139:S142"/>
    <mergeCell ref="T139:T142"/>
    <mergeCell ref="U139:U142"/>
    <mergeCell ref="V139:V142"/>
    <mergeCell ref="A143:A144"/>
    <mergeCell ref="B143:B144"/>
    <mergeCell ref="C143:C144"/>
    <mergeCell ref="D143:D144"/>
    <mergeCell ref="E143:E144"/>
    <mergeCell ref="F143:F144"/>
    <mergeCell ref="G139:G142"/>
    <mergeCell ref="H139:H142"/>
    <mergeCell ref="I139:I142"/>
    <mergeCell ref="J139:J142"/>
    <mergeCell ref="K139:K142"/>
    <mergeCell ref="R139:R142"/>
    <mergeCell ref="S134:S135"/>
    <mergeCell ref="T134:T135"/>
    <mergeCell ref="U134:U135"/>
    <mergeCell ref="V134:V135"/>
    <mergeCell ref="A139:A142"/>
    <mergeCell ref="B139:B142"/>
    <mergeCell ref="C139:C142"/>
    <mergeCell ref="D139:D142"/>
    <mergeCell ref="E139:E142"/>
    <mergeCell ref="F139:F142"/>
    <mergeCell ref="G134:G135"/>
    <mergeCell ref="H134:H135"/>
    <mergeCell ref="I134:I135"/>
    <mergeCell ref="J134:J135"/>
    <mergeCell ref="K134:K135"/>
    <mergeCell ref="R134:R135"/>
    <mergeCell ref="S130:S133"/>
    <mergeCell ref="T130:T133"/>
    <mergeCell ref="U130:U133"/>
    <mergeCell ref="V130:V133"/>
    <mergeCell ref="A134:A135"/>
    <mergeCell ref="B134:B135"/>
    <mergeCell ref="C134:C135"/>
    <mergeCell ref="D134:D135"/>
    <mergeCell ref="E134:E135"/>
    <mergeCell ref="F134:F135"/>
    <mergeCell ref="G130:G133"/>
    <mergeCell ref="H130:H133"/>
    <mergeCell ref="I130:I133"/>
    <mergeCell ref="J130:J133"/>
    <mergeCell ref="K130:K133"/>
    <mergeCell ref="R130:R133"/>
    <mergeCell ref="S109:S110"/>
    <mergeCell ref="T109:T110"/>
    <mergeCell ref="U109:U110"/>
    <mergeCell ref="V109:V110"/>
    <mergeCell ref="A130:A133"/>
    <mergeCell ref="B130:B133"/>
    <mergeCell ref="C130:C133"/>
    <mergeCell ref="D130:D133"/>
    <mergeCell ref="E130:E133"/>
    <mergeCell ref="F130:F133"/>
    <mergeCell ref="H109:H110"/>
    <mergeCell ref="I109:I110"/>
    <mergeCell ref="J109:J110"/>
    <mergeCell ref="K109:K110"/>
    <mergeCell ref="L109:L110"/>
    <mergeCell ref="R109:R110"/>
    <mergeCell ref="T106:T108"/>
    <mergeCell ref="U106:U108"/>
    <mergeCell ref="V106:V108"/>
    <mergeCell ref="A109:A110"/>
    <mergeCell ref="B109:B110"/>
    <mergeCell ref="C109:C110"/>
    <mergeCell ref="D109:D110"/>
    <mergeCell ref="E109:E110"/>
    <mergeCell ref="F109:F110"/>
    <mergeCell ref="G109:G110"/>
    <mergeCell ref="H106:H108"/>
    <mergeCell ref="I106:I108"/>
    <mergeCell ref="J106:J108"/>
    <mergeCell ref="K106:K108"/>
    <mergeCell ref="R106:R108"/>
    <mergeCell ref="S106:S108"/>
    <mergeCell ref="T104:T105"/>
    <mergeCell ref="U104:U105"/>
    <mergeCell ref="V104:V105"/>
    <mergeCell ref="A106:A108"/>
    <mergeCell ref="B106:B108"/>
    <mergeCell ref="C106:C108"/>
    <mergeCell ref="D106:D108"/>
    <mergeCell ref="E106:E108"/>
    <mergeCell ref="F106:F108"/>
    <mergeCell ref="G106:G108"/>
    <mergeCell ref="H104:H105"/>
    <mergeCell ref="I104:I105"/>
    <mergeCell ref="J104:J105"/>
    <mergeCell ref="K104:K105"/>
    <mergeCell ref="R104:R105"/>
    <mergeCell ref="S104:S105"/>
    <mergeCell ref="T94:T95"/>
    <mergeCell ref="U94:U95"/>
    <mergeCell ref="V94:V95"/>
    <mergeCell ref="A104:A105"/>
    <mergeCell ref="B104:B105"/>
    <mergeCell ref="C104:C105"/>
    <mergeCell ref="D104:D105"/>
    <mergeCell ref="E104:E105"/>
    <mergeCell ref="F104:F105"/>
    <mergeCell ref="G104:G105"/>
    <mergeCell ref="G94:G95"/>
    <mergeCell ref="H94:H95"/>
    <mergeCell ref="I94:I95"/>
    <mergeCell ref="J94:J95"/>
    <mergeCell ref="K94:K95"/>
    <mergeCell ref="S94:S95"/>
    <mergeCell ref="A94:A95"/>
    <mergeCell ref="B94:B95"/>
    <mergeCell ref="C94:C95"/>
    <mergeCell ref="D94:D95"/>
    <mergeCell ref="E94:E95"/>
    <mergeCell ref="F94:F95"/>
    <mergeCell ref="J91:J93"/>
    <mergeCell ref="K91:K93"/>
    <mergeCell ref="S91:S93"/>
    <mergeCell ref="T91:T93"/>
    <mergeCell ref="U91:U93"/>
    <mergeCell ref="V91:V93"/>
    <mergeCell ref="V88:V90"/>
    <mergeCell ref="A91:A93"/>
    <mergeCell ref="B91:B93"/>
    <mergeCell ref="C91:C93"/>
    <mergeCell ref="D91:D93"/>
    <mergeCell ref="E91:E93"/>
    <mergeCell ref="F91:F93"/>
    <mergeCell ref="G91:G93"/>
    <mergeCell ref="H91:H93"/>
    <mergeCell ref="I91:I93"/>
    <mergeCell ref="I88:I90"/>
    <mergeCell ref="J88:J90"/>
    <mergeCell ref="K88:K90"/>
    <mergeCell ref="S88:S90"/>
    <mergeCell ref="T88:T90"/>
    <mergeCell ref="U88:U90"/>
    <mergeCell ref="U85:U87"/>
    <mergeCell ref="V85:V87"/>
    <mergeCell ref="A88:A90"/>
    <mergeCell ref="B88:B90"/>
    <mergeCell ref="C88:C90"/>
    <mergeCell ref="D88:D90"/>
    <mergeCell ref="E88:E90"/>
    <mergeCell ref="F88:F90"/>
    <mergeCell ref="G88:G90"/>
    <mergeCell ref="H88:H90"/>
    <mergeCell ref="H85:H87"/>
    <mergeCell ref="I85:I87"/>
    <mergeCell ref="J85:J87"/>
    <mergeCell ref="K85:K87"/>
    <mergeCell ref="S85:S87"/>
    <mergeCell ref="T85:T87"/>
    <mergeCell ref="T80:T83"/>
    <mergeCell ref="U80:U83"/>
    <mergeCell ref="V80:V83"/>
    <mergeCell ref="A85:A87"/>
    <mergeCell ref="B85:B87"/>
    <mergeCell ref="C85:C87"/>
    <mergeCell ref="D85:D87"/>
    <mergeCell ref="E85:E87"/>
    <mergeCell ref="F85:F87"/>
    <mergeCell ref="G85:G87"/>
    <mergeCell ref="H80:H83"/>
    <mergeCell ref="I80:I83"/>
    <mergeCell ref="J80:J83"/>
    <mergeCell ref="K80:K83"/>
    <mergeCell ref="R80:R83"/>
    <mergeCell ref="S80:S83"/>
    <mergeCell ref="T77:T79"/>
    <mergeCell ref="U77:U79"/>
    <mergeCell ref="V77:V79"/>
    <mergeCell ref="A80:A83"/>
    <mergeCell ref="B80:B83"/>
    <mergeCell ref="C80:C83"/>
    <mergeCell ref="D80:D83"/>
    <mergeCell ref="E80:E83"/>
    <mergeCell ref="F80:F83"/>
    <mergeCell ref="G80:G83"/>
    <mergeCell ref="H77:H79"/>
    <mergeCell ref="I77:I79"/>
    <mergeCell ref="J77:J79"/>
    <mergeCell ref="K77:K79"/>
    <mergeCell ref="R77:R79"/>
    <mergeCell ref="S77:S79"/>
    <mergeCell ref="T73:T76"/>
    <mergeCell ref="U73:U76"/>
    <mergeCell ref="V73:V76"/>
    <mergeCell ref="A77:A79"/>
    <mergeCell ref="B77:B79"/>
    <mergeCell ref="C77:C79"/>
    <mergeCell ref="D77:D79"/>
    <mergeCell ref="E77:E79"/>
    <mergeCell ref="F77:F79"/>
    <mergeCell ref="G77:G79"/>
    <mergeCell ref="H73:H76"/>
    <mergeCell ref="I73:I76"/>
    <mergeCell ref="J73:J76"/>
    <mergeCell ref="K73:K76"/>
    <mergeCell ref="R73:R76"/>
    <mergeCell ref="S73:S76"/>
    <mergeCell ref="T64:T65"/>
    <mergeCell ref="U64:U65"/>
    <mergeCell ref="V64:V65"/>
    <mergeCell ref="A73:A76"/>
    <mergeCell ref="B73:B76"/>
    <mergeCell ref="C73:C76"/>
    <mergeCell ref="D73:D76"/>
    <mergeCell ref="E73:E76"/>
    <mergeCell ref="F73:F76"/>
    <mergeCell ref="G73:G76"/>
    <mergeCell ref="H64:H65"/>
    <mergeCell ref="I64:I65"/>
    <mergeCell ref="J64:J65"/>
    <mergeCell ref="K64:K65"/>
    <mergeCell ref="R64:R65"/>
    <mergeCell ref="S64:S65"/>
    <mergeCell ref="T57:T61"/>
    <mergeCell ref="U57:U61"/>
    <mergeCell ref="V57:V61"/>
    <mergeCell ref="A64:A65"/>
    <mergeCell ref="B64:B65"/>
    <mergeCell ref="C64:C65"/>
    <mergeCell ref="D64:D65"/>
    <mergeCell ref="E64:E65"/>
    <mergeCell ref="F64:F65"/>
    <mergeCell ref="G64:G65"/>
    <mergeCell ref="G57:G61"/>
    <mergeCell ref="H57:H61"/>
    <mergeCell ref="I57:I61"/>
    <mergeCell ref="J57:J61"/>
    <mergeCell ref="K57:K61"/>
    <mergeCell ref="S57:S61"/>
    <mergeCell ref="S52:S53"/>
    <mergeCell ref="T52:T53"/>
    <mergeCell ref="U52:U53"/>
    <mergeCell ref="V52:V53"/>
    <mergeCell ref="A57:A61"/>
    <mergeCell ref="B57:B61"/>
    <mergeCell ref="C57:C61"/>
    <mergeCell ref="D57:D61"/>
    <mergeCell ref="E57:E61"/>
    <mergeCell ref="F57:F61"/>
    <mergeCell ref="G52:G53"/>
    <mergeCell ref="H52:H53"/>
    <mergeCell ref="I52:I53"/>
    <mergeCell ref="J52:J53"/>
    <mergeCell ref="K52:K53"/>
    <mergeCell ref="R52:R53"/>
    <mergeCell ref="S46:S51"/>
    <mergeCell ref="T46:T51"/>
    <mergeCell ref="U46:U51"/>
    <mergeCell ref="V46:V51"/>
    <mergeCell ref="A52:A53"/>
    <mergeCell ref="B52:B53"/>
    <mergeCell ref="C52:C53"/>
    <mergeCell ref="D52:D53"/>
    <mergeCell ref="E52:E53"/>
    <mergeCell ref="F52:F53"/>
    <mergeCell ref="G46:G51"/>
    <mergeCell ref="H46:H51"/>
    <mergeCell ref="I46:I51"/>
    <mergeCell ref="J46:J51"/>
    <mergeCell ref="K46:K51"/>
    <mergeCell ref="R46:R51"/>
    <mergeCell ref="S44:S45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4:G45"/>
    <mergeCell ref="H44:H45"/>
    <mergeCell ref="I44:I45"/>
    <mergeCell ref="J44:J45"/>
    <mergeCell ref="K44:K45"/>
    <mergeCell ref="R44:R45"/>
    <mergeCell ref="S42:S43"/>
    <mergeCell ref="T42:T43"/>
    <mergeCell ref="U42:U43"/>
    <mergeCell ref="V42:V43"/>
    <mergeCell ref="A44:A45"/>
    <mergeCell ref="B44:B45"/>
    <mergeCell ref="C44:C45"/>
    <mergeCell ref="D44:D45"/>
    <mergeCell ref="E44:E45"/>
    <mergeCell ref="F44:F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6 F3 F278:F285 F7 F194:F197 AA26 F44 F26:F29 F143 F204 F15 F106 F228 F46 F134 F256:F257 F199:F201 F9:F10 F32 F12:F13 F145 F207:F209 F111:F130 F88 F52 F23 F17:F19 F54:F57 F34 F36 F218 F147 F214:F215 F230 F80 F221:F225 F62:F73 F157:F159 F212 F136:F139 F96:F104 F191:F192 F260 F155 F85 F151 F109 F163 F165:F184 F264:F265 F94 F291:F295 F91 F250:F254 F233:F243 F288:F289 F276 F245:F248 F267 F269:F274" xr:uid="{49F7B5B6-F068-4108-BF32-C6943C3FD6E4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F15" sqref="F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856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855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10" sqref="E1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503" t="s">
        <v>94</v>
      </c>
      <c r="C1" s="504"/>
      <c r="D1" s="505"/>
      <c r="E1" s="22"/>
    </row>
    <row r="2" spans="1:351" s="23" customFormat="1" x14ac:dyDescent="0.35">
      <c r="A2" s="24" t="s">
        <v>64</v>
      </c>
      <c r="B2" s="506" t="s">
        <v>95</v>
      </c>
      <c r="C2" s="507"/>
      <c r="D2" s="508"/>
      <c r="E2" s="22"/>
    </row>
    <row r="3" spans="1:351" s="23" customFormat="1" ht="16.5" thickBot="1" x14ac:dyDescent="0.4">
      <c r="A3" s="25" t="s">
        <v>65</v>
      </c>
      <c r="B3" s="509">
        <f>'[1]Project Overview'!P1</f>
        <v>45702</v>
      </c>
      <c r="C3" s="510"/>
      <c r="D3" s="511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512" t="s">
        <v>66</v>
      </c>
      <c r="B5" s="512" t="s">
        <v>67</v>
      </c>
      <c r="C5" s="513" t="s">
        <v>68</v>
      </c>
      <c r="D5" s="512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512"/>
      <c r="B6" s="512"/>
      <c r="C6" s="514"/>
      <c r="D6" s="512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515"/>
      <c r="C8" s="515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516"/>
      <c r="C9" s="516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515"/>
      <c r="C10" s="515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516"/>
      <c r="C11" s="516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517"/>
      <c r="C13" s="517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517"/>
      <c r="C14" s="517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517"/>
      <c r="C15" s="517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517"/>
      <c r="C16" s="517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517"/>
      <c r="C17" s="517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517"/>
      <c r="C18" s="517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517"/>
      <c r="C19" s="517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517"/>
      <c r="C20" s="517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517"/>
      <c r="C21" s="517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517"/>
      <c r="C22" s="517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517"/>
      <c r="C23" s="517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517"/>
      <c r="C24" s="517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517"/>
      <c r="C25" s="517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517"/>
      <c r="C26" s="517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517"/>
      <c r="C27" s="517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517"/>
      <c r="C28" s="517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517"/>
      <c r="C29" s="517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517"/>
      <c r="C30" s="517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517"/>
      <c r="C31" s="517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517"/>
      <c r="C32" s="517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517"/>
      <c r="C33" s="517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518"/>
      <c r="C34" s="518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519"/>
      <c r="C35" s="519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519"/>
      <c r="C36" s="519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517"/>
      <c r="C37" s="517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517"/>
      <c r="C38" s="517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517"/>
      <c r="C39" s="517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518"/>
      <c r="C40" s="518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519"/>
      <c r="C41" s="519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519"/>
      <c r="C42" s="519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518"/>
      <c r="C43" s="517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519"/>
      <c r="C44" s="517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519"/>
      <c r="C45" s="517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518"/>
      <c r="C46" s="518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519"/>
      <c r="C47" s="519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520"/>
      <c r="C48" s="520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519"/>
      <c r="C49" s="519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519"/>
      <c r="C50" s="519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519"/>
      <c r="C51" s="519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518"/>
      <c r="C52" s="518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519"/>
      <c r="C53" s="519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519"/>
      <c r="C54" s="520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518"/>
      <c r="C55" s="518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519"/>
      <c r="C56" s="519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519"/>
      <c r="C57" s="519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519"/>
      <c r="C58" s="519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519"/>
      <c r="C59" s="519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520"/>
      <c r="C60" s="520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518"/>
      <c r="C61" s="518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519"/>
      <c r="C62" s="519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519"/>
      <c r="C63" s="519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519"/>
      <c r="C64" s="519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519"/>
      <c r="C65" s="519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520"/>
      <c r="C66" s="520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518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519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519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519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519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520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518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519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519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519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519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520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518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519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519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519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519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520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518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519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519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519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519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520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518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519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519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519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519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520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518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519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519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519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519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520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518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519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519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519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519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520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518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519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519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519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519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520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518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519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519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519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519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520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518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519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519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519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519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520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518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519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519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520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517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517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517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517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517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517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517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517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517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521" t="s">
        <v>94</v>
      </c>
      <c r="C1" s="522"/>
      <c r="D1" s="523"/>
      <c r="E1" s="22"/>
    </row>
    <row r="2" spans="1:326" s="23" customFormat="1" x14ac:dyDescent="0.35">
      <c r="A2" s="71" t="s">
        <v>64</v>
      </c>
      <c r="B2" s="524" t="s">
        <v>95</v>
      </c>
      <c r="C2" s="525"/>
      <c r="D2" s="526"/>
      <c r="E2" s="22"/>
    </row>
    <row r="3" spans="1:326" s="23" customFormat="1" ht="20.149999999999999" customHeight="1" thickBot="1" x14ac:dyDescent="0.4">
      <c r="A3" s="73" t="s">
        <v>65</v>
      </c>
      <c r="B3" s="527">
        <v>45703</v>
      </c>
      <c r="C3" s="528"/>
      <c r="D3" s="529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530" t="s">
        <v>66</v>
      </c>
      <c r="B5" s="530" t="s">
        <v>67</v>
      </c>
      <c r="C5" s="530" t="s">
        <v>68</v>
      </c>
      <c r="D5" s="530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530"/>
      <c r="B6" s="530"/>
      <c r="C6" s="530"/>
      <c r="D6" s="530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533" t="s">
        <v>400</v>
      </c>
      <c r="C7" s="533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533"/>
      <c r="C8" s="533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533"/>
      <c r="C9" s="533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533"/>
      <c r="C10" s="533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531" t="s">
        <v>274</v>
      </c>
      <c r="C11" s="534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531"/>
      <c r="C12" s="534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531"/>
      <c r="C13" s="534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531"/>
      <c r="C14" s="534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531"/>
      <c r="C15" s="534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531" t="s">
        <v>280</v>
      </c>
      <c r="C16" s="532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531"/>
      <c r="C17" s="532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531" t="s">
        <v>282</v>
      </c>
      <c r="C18" s="534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531"/>
      <c r="C19" s="534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531"/>
      <c r="C20" s="534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531"/>
      <c r="C21" s="534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531"/>
      <c r="C22" s="534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531" t="s">
        <v>286</v>
      </c>
      <c r="C23" s="534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531"/>
      <c r="C24" s="534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531"/>
      <c r="C25" s="534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531"/>
      <c r="C26" s="534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531"/>
      <c r="C27" s="534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535" t="s">
        <v>288</v>
      </c>
      <c r="C28" s="536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535"/>
      <c r="C29" s="536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535"/>
      <c r="C30" s="536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535"/>
      <c r="C31" s="536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535"/>
      <c r="C32" s="536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535"/>
      <c r="C33" s="536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535" t="s">
        <v>292</v>
      </c>
      <c r="C34" s="536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535"/>
      <c r="C35" s="536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535"/>
      <c r="C36" s="536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535"/>
      <c r="C37" s="536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535" t="s">
        <v>294</v>
      </c>
      <c r="C38" s="536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535"/>
      <c r="C39" s="536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535"/>
      <c r="C40" s="536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535"/>
      <c r="C41" s="536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535"/>
      <c r="C42" s="536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535" t="s">
        <v>86</v>
      </c>
      <c r="C43" s="536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535"/>
      <c r="C44" s="536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535"/>
      <c r="C45" s="536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535"/>
      <c r="C46" s="536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535"/>
      <c r="C47" s="536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GT129"/>
  <sheetViews>
    <sheetView topLeftCell="B1" zoomScale="80" zoomScaleNormal="130" workbookViewId="0">
      <pane xSplit="16" ySplit="3" topLeftCell="FL4" activePane="bottomRight" state="frozen"/>
      <selection activeCell="B1" sqref="B1"/>
      <selection pane="topRight" activeCell="Q1" sqref="Q1"/>
      <selection pane="bottomLeft" activeCell="B4" sqref="B4"/>
      <selection pane="bottomRight" activeCell="FU12" sqref="FU12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0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9" width="5.54296875" style="56" bestFit="1" customWidth="1"/>
    <col min="170" max="170" width="4.54296875" style="56" bestFit="1" customWidth="1"/>
    <col min="171" max="172" width="5.54296875" style="56" bestFit="1" customWidth="1"/>
    <col min="173" max="173" width="4.90625" style="56" bestFit="1" customWidth="1"/>
    <col min="174" max="174" width="4.54296875" style="56" bestFit="1" customWidth="1"/>
    <col min="175" max="175" width="5.08984375" style="56" bestFit="1" customWidth="1"/>
    <col min="176" max="179" width="4.54296875" style="56" bestFit="1" customWidth="1"/>
    <col min="180" max="180" width="4.90625" style="56" bestFit="1" customWidth="1"/>
    <col min="181" max="181" width="4.54296875" style="56" bestFit="1" customWidth="1"/>
    <col min="182" max="182" width="5.08984375" style="56" bestFit="1" customWidth="1"/>
    <col min="183" max="186" width="4.54296875" style="56" bestFit="1" customWidth="1"/>
    <col min="187" max="187" width="4.90625" style="56" bestFit="1" customWidth="1"/>
    <col min="188" max="188" width="4.54296875" style="56" bestFit="1" customWidth="1"/>
    <col min="189" max="189" width="5.08984375" style="56" bestFit="1" customWidth="1"/>
    <col min="190" max="193" width="4.54296875" style="56" bestFit="1" customWidth="1"/>
    <col min="194" max="194" width="4.90625" style="56" bestFit="1" customWidth="1"/>
    <col min="195" max="195" width="4.54296875" style="56" bestFit="1" customWidth="1"/>
    <col min="196" max="196" width="5.08984375" style="56" bestFit="1" customWidth="1"/>
    <col min="197" max="200" width="4.54296875" style="56" bestFit="1" customWidth="1"/>
    <col min="201" max="201" width="4.90625" style="56" bestFit="1" customWidth="1"/>
    <col min="202" max="202" width="4.54296875" style="56" bestFit="1" customWidth="1"/>
    <col min="203" max="16384" width="12.1796875" style="56"/>
  </cols>
  <sheetData>
    <row r="1" spans="2:202" x14ac:dyDescent="0.4">
      <c r="C1" s="52" t="s">
        <v>10</v>
      </c>
      <c r="D1" s="223">
        <f>'Construction DASHBOARD'!B6</f>
        <v>45903</v>
      </c>
      <c r="E1" s="121"/>
      <c r="F1" s="121"/>
      <c r="G1" s="121"/>
      <c r="H1" s="121"/>
      <c r="I1" s="121"/>
      <c r="U1" s="169"/>
    </row>
    <row r="2" spans="2:202" s="22" customFormat="1" ht="72" customHeight="1" x14ac:dyDescent="0.35">
      <c r="B2" s="542" t="s">
        <v>96</v>
      </c>
      <c r="C2" s="543" t="s">
        <v>97</v>
      </c>
      <c r="D2" s="544" t="s">
        <v>98</v>
      </c>
      <c r="E2" s="539" t="s">
        <v>306</v>
      </c>
      <c r="F2" s="539" t="s">
        <v>307</v>
      </c>
      <c r="G2" s="549" t="s">
        <v>431</v>
      </c>
      <c r="H2" s="539" t="s">
        <v>426</v>
      </c>
      <c r="I2" s="539" t="s">
        <v>427</v>
      </c>
      <c r="J2" s="543" t="s">
        <v>3</v>
      </c>
      <c r="K2" s="537" t="s">
        <v>1</v>
      </c>
      <c r="L2" s="541" t="s">
        <v>100</v>
      </c>
      <c r="M2" s="547" t="s">
        <v>403</v>
      </c>
      <c r="N2" s="539" t="s">
        <v>102</v>
      </c>
      <c r="O2" s="539" t="s">
        <v>103</v>
      </c>
      <c r="P2" s="539" t="s">
        <v>255</v>
      </c>
      <c r="Q2" s="537" t="s">
        <v>104</v>
      </c>
      <c r="R2" s="537" t="s">
        <v>105</v>
      </c>
      <c r="S2" s="538" t="s">
        <v>254</v>
      </c>
      <c r="T2" s="553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  <c r="FQ2" s="59">
        <v>45901</v>
      </c>
      <c r="FR2" s="59">
        <v>45902</v>
      </c>
      <c r="FS2" s="59">
        <v>45903</v>
      </c>
      <c r="FT2" s="59">
        <v>45904</v>
      </c>
      <c r="FU2" s="59">
        <v>45905</v>
      </c>
      <c r="FV2" s="59">
        <v>45906</v>
      </c>
      <c r="FW2" s="59">
        <v>45907</v>
      </c>
      <c r="FX2" s="59">
        <v>45908</v>
      </c>
      <c r="FY2" s="59">
        <v>45909</v>
      </c>
      <c r="FZ2" s="59">
        <v>45910</v>
      </c>
      <c r="GA2" s="59">
        <v>45911</v>
      </c>
      <c r="GB2" s="59">
        <v>45912</v>
      </c>
      <c r="GC2" s="59">
        <v>45913</v>
      </c>
      <c r="GD2" s="59">
        <v>45914</v>
      </c>
      <c r="GE2" s="59">
        <v>45915</v>
      </c>
      <c r="GF2" s="59">
        <v>45916</v>
      </c>
      <c r="GG2" s="59">
        <v>45917</v>
      </c>
      <c r="GH2" s="59">
        <v>45918</v>
      </c>
      <c r="GI2" s="59">
        <v>45919</v>
      </c>
      <c r="GJ2" s="59">
        <v>45920</v>
      </c>
      <c r="GK2" s="59">
        <v>45921</v>
      </c>
      <c r="GL2" s="59">
        <v>45922</v>
      </c>
      <c r="GM2" s="59">
        <v>45923</v>
      </c>
      <c r="GN2" s="59">
        <v>45924</v>
      </c>
      <c r="GO2" s="59">
        <v>45925</v>
      </c>
      <c r="GP2" s="59">
        <v>45926</v>
      </c>
      <c r="GQ2" s="59">
        <v>45927</v>
      </c>
      <c r="GR2" s="59">
        <v>45928</v>
      </c>
      <c r="GS2" s="59">
        <v>45929</v>
      </c>
      <c r="GT2" s="59">
        <v>45930</v>
      </c>
    </row>
    <row r="3" spans="2:202" s="22" customFormat="1" ht="24" customHeight="1" x14ac:dyDescent="0.35">
      <c r="B3" s="542"/>
      <c r="C3" s="543"/>
      <c r="D3" s="544"/>
      <c r="E3" s="539"/>
      <c r="F3" s="539"/>
      <c r="G3" s="550"/>
      <c r="H3" s="539"/>
      <c r="I3" s="539"/>
      <c r="J3" s="543"/>
      <c r="K3" s="537"/>
      <c r="L3" s="541"/>
      <c r="M3" s="548"/>
      <c r="N3" s="539"/>
      <c r="O3" s="539"/>
      <c r="P3" s="539"/>
      <c r="Q3" s="537"/>
      <c r="R3" s="537"/>
      <c r="S3" s="538"/>
      <c r="T3" s="553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  <c r="FQ3" s="58" t="str">
        <f t="shared" ref="FQ3:GI3" si="4">TEXT(FQ2,"ddd")</f>
        <v>Mon</v>
      </c>
      <c r="FR3" s="58" t="str">
        <f t="shared" si="4"/>
        <v>Tue</v>
      </c>
      <c r="FS3" s="58" t="str">
        <f t="shared" si="4"/>
        <v>Wed</v>
      </c>
      <c r="FT3" s="58" t="str">
        <f t="shared" si="4"/>
        <v>Thu</v>
      </c>
      <c r="FU3" s="58" t="str">
        <f t="shared" si="4"/>
        <v>Fri</v>
      </c>
      <c r="FV3" s="58" t="str">
        <f t="shared" si="4"/>
        <v>Sat</v>
      </c>
      <c r="FW3" s="58" t="str">
        <f t="shared" si="4"/>
        <v>Sun</v>
      </c>
      <c r="FX3" s="58" t="str">
        <f t="shared" si="4"/>
        <v>Mon</v>
      </c>
      <c r="FY3" s="58" t="str">
        <f t="shared" si="4"/>
        <v>Tue</v>
      </c>
      <c r="FZ3" s="58" t="str">
        <f t="shared" si="4"/>
        <v>Wed</v>
      </c>
      <c r="GA3" s="58" t="str">
        <f t="shared" si="4"/>
        <v>Thu</v>
      </c>
      <c r="GB3" s="58" t="str">
        <f t="shared" si="4"/>
        <v>Fri</v>
      </c>
      <c r="GC3" s="58" t="str">
        <f t="shared" si="4"/>
        <v>Sat</v>
      </c>
      <c r="GD3" s="58" t="str">
        <f t="shared" si="4"/>
        <v>Sun</v>
      </c>
      <c r="GE3" s="58" t="str">
        <f t="shared" si="4"/>
        <v>Mon</v>
      </c>
      <c r="GF3" s="58" t="str">
        <f t="shared" si="4"/>
        <v>Tue</v>
      </c>
      <c r="GG3" s="58" t="str">
        <f t="shared" si="4"/>
        <v>Wed</v>
      </c>
      <c r="GH3" s="58" t="str">
        <f t="shared" si="4"/>
        <v>Thu</v>
      </c>
      <c r="GI3" s="58" t="str">
        <f t="shared" si="4"/>
        <v>Fri</v>
      </c>
      <c r="GJ3" s="58" t="str">
        <f t="shared" ref="GJ3:GT3" si="5">TEXT(GJ2,"ddd")</f>
        <v>Sat</v>
      </c>
      <c r="GK3" s="58" t="str">
        <f t="shared" si="5"/>
        <v>Sun</v>
      </c>
      <c r="GL3" s="58" t="str">
        <f t="shared" si="5"/>
        <v>Mon</v>
      </c>
      <c r="GM3" s="58" t="str">
        <f t="shared" si="5"/>
        <v>Tue</v>
      </c>
      <c r="GN3" s="58" t="str">
        <f t="shared" si="5"/>
        <v>Wed</v>
      </c>
      <c r="GO3" s="58" t="str">
        <f t="shared" si="5"/>
        <v>Thu</v>
      </c>
      <c r="GP3" s="58" t="str">
        <f t="shared" si="5"/>
        <v>Fri</v>
      </c>
      <c r="GQ3" s="58" t="str">
        <f t="shared" si="5"/>
        <v>Sat</v>
      </c>
      <c r="GR3" s="58" t="str">
        <f t="shared" si="5"/>
        <v>Sun</v>
      </c>
      <c r="GS3" s="58" t="str">
        <f t="shared" si="5"/>
        <v>Mon</v>
      </c>
      <c r="GT3" s="58" t="str">
        <f t="shared" si="5"/>
        <v>Tue</v>
      </c>
    </row>
    <row r="4" spans="2:202" s="23" customFormat="1" x14ac:dyDescent="0.35">
      <c r="B4" s="540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6">IF(OR(M4="",L4=""),"",INT(M4-L4+1))</f>
        <v>43</v>
      </c>
      <c r="O4" s="202">
        <f t="shared" ref="O4:O27" si="7">IFERROR(K4/N4,"-")</f>
        <v>24.023255813953487</v>
      </c>
      <c r="P4" s="203">
        <f>Q4/K4</f>
        <v>0.91600193610842207</v>
      </c>
      <c r="Q4" s="204">
        <f>S4</f>
        <v>946.23</v>
      </c>
      <c r="R4" s="204">
        <f t="shared" ref="R4:R27" si="8">K4-Q4</f>
        <v>86.769999999999982</v>
      </c>
      <c r="S4" s="157">
        <f t="shared" ref="S4:S35" si="9">SUM(U4:XFD4)</f>
        <v>946.23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  <c r="FO4" s="23">
        <v>0</v>
      </c>
      <c r="FP4" s="23">
        <v>0</v>
      </c>
      <c r="FQ4" s="23">
        <v>0</v>
      </c>
      <c r="FR4" s="23">
        <v>0</v>
      </c>
    </row>
    <row r="5" spans="2:202" s="23" customFormat="1" x14ac:dyDescent="0.35">
      <c r="B5" s="540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6"/>
        <v>43</v>
      </c>
      <c r="O5" s="202">
        <f t="shared" si="7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8"/>
        <v>94.170000000000073</v>
      </c>
      <c r="S5" s="157">
        <f t="shared" si="9"/>
        <v>938.82999999999993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0</v>
      </c>
      <c r="FL5" s="23">
        <v>0</v>
      </c>
      <c r="FM5" s="23">
        <v>0</v>
      </c>
      <c r="FN5" s="23">
        <v>0</v>
      </c>
      <c r="FO5" s="23">
        <v>0</v>
      </c>
      <c r="FP5" s="23">
        <v>0</v>
      </c>
      <c r="FQ5" s="23">
        <v>0</v>
      </c>
      <c r="FR5" s="23">
        <v>0</v>
      </c>
    </row>
    <row r="6" spans="2:202" x14ac:dyDescent="0.4">
      <c r="B6" s="540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10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6"/>
        <v>11</v>
      </c>
      <c r="O6" s="202">
        <f t="shared" si="7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8"/>
        <v>0</v>
      </c>
      <c r="S6" s="157">
        <f t="shared" si="9"/>
        <v>1</v>
      </c>
      <c r="T6" s="157">
        <f t="shared" ref="T6:T10" si="11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  <c r="FO6" s="56">
        <v>0</v>
      </c>
      <c r="FP6" s="56">
        <v>0</v>
      </c>
      <c r="FQ6" s="56">
        <v>0</v>
      </c>
      <c r="FR6" s="56">
        <v>0</v>
      </c>
    </row>
    <row r="7" spans="2:202" x14ac:dyDescent="0.4">
      <c r="B7" s="540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10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6"/>
        <v>28</v>
      </c>
      <c r="O7" s="202">
        <f t="shared" si="7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8"/>
        <v>0</v>
      </c>
      <c r="S7" s="157">
        <f t="shared" si="9"/>
        <v>1</v>
      </c>
      <c r="T7" s="157">
        <f t="shared" si="11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  <c r="FO7" s="56">
        <v>0</v>
      </c>
      <c r="FP7" s="56">
        <v>0</v>
      </c>
      <c r="FQ7" s="56">
        <v>0</v>
      </c>
      <c r="FR7" s="56">
        <v>0</v>
      </c>
    </row>
    <row r="8" spans="2:202" x14ac:dyDescent="0.4">
      <c r="B8" s="540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10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6"/>
        <v>68</v>
      </c>
      <c r="O8" s="202">
        <f t="shared" si="7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8"/>
        <v>0</v>
      </c>
      <c r="S8" s="157">
        <f t="shared" si="9"/>
        <v>79</v>
      </c>
      <c r="T8" s="157">
        <f t="shared" si="11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  <c r="FO8" s="56">
        <v>0</v>
      </c>
      <c r="FP8" s="56">
        <v>0</v>
      </c>
      <c r="FQ8" s="56">
        <v>0</v>
      </c>
      <c r="FR8" s="56">
        <v>0</v>
      </c>
    </row>
    <row r="9" spans="2:202" x14ac:dyDescent="0.4">
      <c r="B9" s="540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10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6"/>
        <v>5</v>
      </c>
      <c r="O9" s="202">
        <f t="shared" si="7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8"/>
        <v>0</v>
      </c>
      <c r="S9" s="157">
        <f t="shared" si="9"/>
        <v>36</v>
      </c>
      <c r="T9" s="157">
        <f t="shared" si="11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  <c r="FO9" s="56">
        <v>0</v>
      </c>
      <c r="FP9" s="56">
        <v>0</v>
      </c>
      <c r="FQ9" s="56">
        <v>0</v>
      </c>
      <c r="FR9" s="56">
        <v>0</v>
      </c>
    </row>
    <row r="10" spans="2:202" x14ac:dyDescent="0.4">
      <c r="B10" s="540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10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6"/>
        <v/>
      </c>
      <c r="O10" s="202" t="str">
        <f t="shared" si="7"/>
        <v>-</v>
      </c>
      <c r="P10" s="205">
        <f>Q10/K10</f>
        <v>1</v>
      </c>
      <c r="Q10" s="204">
        <f>S10</f>
        <v>240</v>
      </c>
      <c r="R10" s="204">
        <f t="shared" si="8"/>
        <v>0</v>
      </c>
      <c r="S10" s="157">
        <f t="shared" si="9"/>
        <v>240</v>
      </c>
      <c r="T10" s="157">
        <f t="shared" si="11"/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  <c r="FO10" s="56">
        <v>0</v>
      </c>
      <c r="FP10" s="56">
        <v>0</v>
      </c>
      <c r="FQ10" s="56">
        <v>0</v>
      </c>
      <c r="FR10" s="56">
        <v>0</v>
      </c>
    </row>
    <row r="11" spans="2:202" x14ac:dyDescent="0.4">
      <c r="B11" s="540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6"/>
        <v/>
      </c>
      <c r="O11" s="202" t="str">
        <f t="shared" si="7"/>
        <v>-</v>
      </c>
      <c r="P11" s="205">
        <f>Q11/K11</f>
        <v>1</v>
      </c>
      <c r="Q11" s="204">
        <f>S11</f>
        <v>180</v>
      </c>
      <c r="R11" s="204">
        <f t="shared" si="8"/>
        <v>0</v>
      </c>
      <c r="S11" s="157">
        <f t="shared" si="9"/>
        <v>180</v>
      </c>
      <c r="T11" s="157">
        <f t="shared" ref="T11:T54" si="12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  <c r="FO11" s="56">
        <v>0</v>
      </c>
      <c r="FP11" s="56">
        <v>0</v>
      </c>
      <c r="FQ11" s="56">
        <v>0</v>
      </c>
      <c r="FR11" s="56">
        <v>0</v>
      </c>
    </row>
    <row r="12" spans="2:202" x14ac:dyDescent="0.4">
      <c r="B12" s="540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10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6"/>
        <v/>
      </c>
      <c r="O12" s="202" t="str">
        <f t="shared" si="7"/>
        <v>-</v>
      </c>
      <c r="P12" s="205">
        <f>Q12/K12</f>
        <v>0.22858369098712447</v>
      </c>
      <c r="Q12" s="204">
        <f>S12</f>
        <v>26630</v>
      </c>
      <c r="R12" s="204">
        <f t="shared" si="8"/>
        <v>89870</v>
      </c>
      <c r="S12" s="65">
        <f t="shared" si="9"/>
        <v>26630</v>
      </c>
      <c r="T12" s="157">
        <f t="shared" si="12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  <c r="FN12" s="23">
        <v>782</v>
      </c>
      <c r="FO12" s="56">
        <v>1077</v>
      </c>
      <c r="FP12" s="56">
        <v>1082</v>
      </c>
      <c r="FQ12" s="56">
        <v>564</v>
      </c>
      <c r="FR12" s="56">
        <v>423</v>
      </c>
    </row>
    <row r="13" spans="2:202" x14ac:dyDescent="0.4">
      <c r="B13" s="540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10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6"/>
        <v/>
      </c>
      <c r="O13" s="202" t="str">
        <f t="shared" si="7"/>
        <v>-</v>
      </c>
      <c r="P13" s="205">
        <f>Q13/K13</f>
        <v>0.15788841201716738</v>
      </c>
      <c r="Q13" s="204">
        <f t="shared" ref="Q13:Q14" si="13">S13</f>
        <v>18394</v>
      </c>
      <c r="R13" s="204">
        <f t="shared" si="8"/>
        <v>98106</v>
      </c>
      <c r="S13" s="65">
        <f t="shared" si="9"/>
        <v>18394</v>
      </c>
      <c r="T13" s="157">
        <f t="shared" si="12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  <c r="FO13" s="56">
        <v>243</v>
      </c>
      <c r="FP13" s="56">
        <v>235</v>
      </c>
      <c r="FQ13" s="56">
        <v>180</v>
      </c>
      <c r="FR13" s="56">
        <v>605</v>
      </c>
    </row>
    <row r="14" spans="2:202" x14ac:dyDescent="0.4">
      <c r="B14" s="540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10"/>
        <v>128</v>
      </c>
      <c r="H14" s="206">
        <f t="shared" ref="H14:I20" si="14">E14</f>
        <v>45858</v>
      </c>
      <c r="I14" s="206">
        <f t="shared" ref="I14:I15" si="15">F14</f>
        <v>45986</v>
      </c>
      <c r="J14" s="199" t="s">
        <v>13</v>
      </c>
      <c r="K14" s="200">
        <v>116500</v>
      </c>
      <c r="L14" s="201"/>
      <c r="M14" s="201"/>
      <c r="N14" s="198" t="str">
        <f t="shared" si="6"/>
        <v/>
      </c>
      <c r="O14" s="202" t="str">
        <f t="shared" si="7"/>
        <v>-</v>
      </c>
      <c r="P14" s="205">
        <f t="shared" ref="P14:P33" si="16">IFERROR(SUMIF($U$2:$AT$2,"&lt;="&amp;$D$1,U14:BN14)/K14,"-")</f>
        <v>0</v>
      </c>
      <c r="Q14" s="204">
        <f t="shared" si="13"/>
        <v>14362</v>
      </c>
      <c r="R14" s="204">
        <f t="shared" si="8"/>
        <v>102138</v>
      </c>
      <c r="S14" s="65">
        <f t="shared" si="9"/>
        <v>14362</v>
      </c>
      <c r="T14" s="157">
        <f t="shared" si="12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  <c r="FN14" s="23">
        <v>682</v>
      </c>
      <c r="FO14" s="56">
        <v>471</v>
      </c>
      <c r="FP14" s="56">
        <v>385</v>
      </c>
      <c r="FQ14" s="56">
        <v>339</v>
      </c>
      <c r="FR14" s="56">
        <v>500</v>
      </c>
    </row>
    <row r="15" spans="2:202" x14ac:dyDescent="0.4">
      <c r="B15" s="540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10"/>
        <v>132</v>
      </c>
      <c r="H15" s="206">
        <f t="shared" si="14"/>
        <v>45863</v>
      </c>
      <c r="I15" s="206">
        <f t="shared" si="15"/>
        <v>45995</v>
      </c>
      <c r="J15" s="199" t="s">
        <v>13</v>
      </c>
      <c r="K15" s="200">
        <v>116500</v>
      </c>
      <c r="L15" s="201"/>
      <c r="M15" s="201"/>
      <c r="N15" s="198" t="str">
        <f t="shared" si="6"/>
        <v/>
      </c>
      <c r="O15" s="202" t="str">
        <f t="shared" si="7"/>
        <v>-</v>
      </c>
      <c r="P15" s="205">
        <f t="shared" si="16"/>
        <v>0</v>
      </c>
      <c r="Q15" s="204">
        <f t="shared" ref="Q15:Q40" si="17">S15</f>
        <v>1472</v>
      </c>
      <c r="R15" s="204">
        <f t="shared" si="8"/>
        <v>115028</v>
      </c>
      <c r="S15" s="65">
        <f t="shared" si="9"/>
        <v>1472</v>
      </c>
      <c r="T15" s="157">
        <f t="shared" si="12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  <c r="FN15" s="23">
        <v>0</v>
      </c>
      <c r="FO15" s="56">
        <v>93</v>
      </c>
      <c r="FP15" s="56">
        <v>349</v>
      </c>
      <c r="FQ15" s="56">
        <v>432</v>
      </c>
      <c r="FR15" s="56">
        <v>315</v>
      </c>
    </row>
    <row r="16" spans="2:202" x14ac:dyDescent="0.4">
      <c r="B16" s="540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10"/>
        <v>102</v>
      </c>
      <c r="H16" s="206">
        <f t="shared" si="14"/>
        <v>45821</v>
      </c>
      <c r="I16" s="206">
        <f t="shared" si="14"/>
        <v>45923</v>
      </c>
      <c r="J16" s="199" t="s">
        <v>2</v>
      </c>
      <c r="K16" s="200">
        <v>26</v>
      </c>
      <c r="L16" s="201"/>
      <c r="M16" s="201"/>
      <c r="N16" s="198" t="str">
        <f t="shared" si="6"/>
        <v/>
      </c>
      <c r="O16" s="202" t="str">
        <f t="shared" si="7"/>
        <v>-</v>
      </c>
      <c r="P16" s="205">
        <f t="shared" si="16"/>
        <v>0</v>
      </c>
      <c r="Q16" s="204">
        <f t="shared" si="17"/>
        <v>3</v>
      </c>
      <c r="R16" s="204">
        <f t="shared" si="8"/>
        <v>23</v>
      </c>
      <c r="S16" s="65">
        <f t="shared" si="9"/>
        <v>3</v>
      </c>
      <c r="T16" s="157">
        <f t="shared" si="12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  <c r="FO16" s="56">
        <v>0</v>
      </c>
      <c r="FP16" s="56">
        <v>0</v>
      </c>
      <c r="FQ16" s="56">
        <v>0</v>
      </c>
      <c r="FR16" s="56">
        <v>0</v>
      </c>
    </row>
    <row r="17" spans="2:174" x14ac:dyDescent="0.4">
      <c r="B17" s="540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10"/>
        <v>89</v>
      </c>
      <c r="H17" s="206">
        <f t="shared" si="14"/>
        <v>45840</v>
      </c>
      <c r="I17" s="206">
        <f t="shared" si="14"/>
        <v>45929</v>
      </c>
      <c r="J17" s="199" t="s">
        <v>2</v>
      </c>
      <c r="K17" s="200">
        <v>26</v>
      </c>
      <c r="L17" s="201"/>
      <c r="M17" s="201"/>
      <c r="N17" s="198" t="str">
        <f t="shared" si="6"/>
        <v/>
      </c>
      <c r="O17" s="202" t="str">
        <f t="shared" si="7"/>
        <v>-</v>
      </c>
      <c r="P17" s="205">
        <f t="shared" si="16"/>
        <v>0</v>
      </c>
      <c r="Q17" s="204">
        <f t="shared" si="17"/>
        <v>0</v>
      </c>
      <c r="R17" s="204">
        <f t="shared" si="8"/>
        <v>26</v>
      </c>
      <c r="S17" s="65">
        <f t="shared" si="9"/>
        <v>0</v>
      </c>
      <c r="T17" s="157">
        <f t="shared" si="12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  <c r="FO17" s="56">
        <v>0</v>
      </c>
      <c r="FP17" s="56">
        <v>0</v>
      </c>
      <c r="FQ17" s="56">
        <v>0</v>
      </c>
      <c r="FR17" s="56">
        <v>0</v>
      </c>
    </row>
    <row r="18" spans="2:174" x14ac:dyDescent="0.4">
      <c r="B18" s="540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10"/>
        <v>89</v>
      </c>
      <c r="H18" s="206">
        <f t="shared" si="14"/>
        <v>45847</v>
      </c>
      <c r="I18" s="206">
        <f t="shared" si="14"/>
        <v>45936</v>
      </c>
      <c r="J18" s="199" t="s">
        <v>2</v>
      </c>
      <c r="K18" s="200">
        <v>26</v>
      </c>
      <c r="L18" s="201"/>
      <c r="M18" s="201"/>
      <c r="N18" s="198" t="str">
        <f t="shared" si="6"/>
        <v/>
      </c>
      <c r="O18" s="202" t="str">
        <f t="shared" si="7"/>
        <v>-</v>
      </c>
      <c r="P18" s="205">
        <f t="shared" si="16"/>
        <v>0</v>
      </c>
      <c r="Q18" s="204">
        <f t="shared" si="17"/>
        <v>0</v>
      </c>
      <c r="R18" s="204">
        <f t="shared" si="8"/>
        <v>26</v>
      </c>
      <c r="S18" s="65">
        <f t="shared" si="9"/>
        <v>0</v>
      </c>
      <c r="T18" s="157">
        <f t="shared" si="12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  <c r="FO18" s="56">
        <v>0</v>
      </c>
      <c r="FP18" s="56">
        <v>0</v>
      </c>
      <c r="FQ18" s="56">
        <v>0</v>
      </c>
      <c r="FR18" s="56">
        <v>0</v>
      </c>
    </row>
    <row r="19" spans="2:174" x14ac:dyDescent="0.4">
      <c r="B19" s="540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10"/>
        <v>89</v>
      </c>
      <c r="H19" s="206">
        <f t="shared" si="14"/>
        <v>45862</v>
      </c>
      <c r="I19" s="206">
        <f t="shared" si="14"/>
        <v>45951</v>
      </c>
      <c r="J19" s="199" t="s">
        <v>2</v>
      </c>
      <c r="K19" s="200">
        <v>26</v>
      </c>
      <c r="L19" s="201"/>
      <c r="M19" s="201"/>
      <c r="N19" s="198" t="str">
        <f t="shared" si="6"/>
        <v/>
      </c>
      <c r="O19" s="202" t="str">
        <f t="shared" si="7"/>
        <v>-</v>
      </c>
      <c r="P19" s="205">
        <f t="shared" si="16"/>
        <v>0</v>
      </c>
      <c r="Q19" s="204">
        <f t="shared" si="17"/>
        <v>0</v>
      </c>
      <c r="R19" s="204">
        <f t="shared" si="8"/>
        <v>26</v>
      </c>
      <c r="S19" s="65">
        <f t="shared" si="9"/>
        <v>0</v>
      </c>
      <c r="T19" s="157">
        <f t="shared" si="12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  <c r="FO19" s="56">
        <v>0</v>
      </c>
      <c r="FP19" s="56">
        <v>0</v>
      </c>
      <c r="FQ19" s="56">
        <v>0</v>
      </c>
      <c r="FR19" s="56">
        <v>0</v>
      </c>
    </row>
    <row r="20" spans="2:174" x14ac:dyDescent="0.4">
      <c r="B20" s="540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10"/>
        <v>89</v>
      </c>
      <c r="H20" s="206">
        <f t="shared" si="14"/>
        <v>45883</v>
      </c>
      <c r="I20" s="206">
        <f t="shared" si="14"/>
        <v>45972</v>
      </c>
      <c r="J20" s="199" t="s">
        <v>2</v>
      </c>
      <c r="K20" s="200">
        <v>26</v>
      </c>
      <c r="L20" s="201"/>
      <c r="M20" s="201"/>
      <c r="N20" s="198" t="str">
        <f t="shared" si="6"/>
        <v/>
      </c>
      <c r="O20" s="202" t="str">
        <f t="shared" si="7"/>
        <v>-</v>
      </c>
      <c r="P20" s="205">
        <f t="shared" si="16"/>
        <v>0</v>
      </c>
      <c r="Q20" s="204">
        <f t="shared" si="17"/>
        <v>0</v>
      </c>
      <c r="R20" s="204">
        <f t="shared" si="8"/>
        <v>26</v>
      </c>
      <c r="S20" s="65">
        <f t="shared" si="9"/>
        <v>0</v>
      </c>
      <c r="T20" s="157">
        <f t="shared" si="12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  <c r="FO20" s="56">
        <v>0</v>
      </c>
      <c r="FP20" s="56">
        <v>0</v>
      </c>
      <c r="FQ20" s="56">
        <v>0</v>
      </c>
      <c r="FR20" s="56">
        <v>0</v>
      </c>
    </row>
    <row r="21" spans="2:174" x14ac:dyDescent="0.4">
      <c r="B21" s="540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10"/>
        <v>87</v>
      </c>
      <c r="H21" s="206">
        <f t="shared" ref="H21:H27" si="18">E21</f>
        <v>45838</v>
      </c>
      <c r="I21" s="206">
        <f t="shared" ref="I21:I27" si="19">F21</f>
        <v>45925</v>
      </c>
      <c r="J21" s="199" t="s">
        <v>2</v>
      </c>
      <c r="K21" s="200">
        <v>26</v>
      </c>
      <c r="L21" s="201"/>
      <c r="M21" s="201"/>
      <c r="N21" s="198" t="str">
        <f t="shared" si="6"/>
        <v/>
      </c>
      <c r="O21" s="202" t="str">
        <f t="shared" si="7"/>
        <v>-</v>
      </c>
      <c r="P21" s="205">
        <f t="shared" si="16"/>
        <v>0</v>
      </c>
      <c r="Q21" s="204">
        <f t="shared" si="17"/>
        <v>0</v>
      </c>
      <c r="R21" s="204">
        <f t="shared" si="8"/>
        <v>26</v>
      </c>
      <c r="S21" s="65">
        <f t="shared" si="9"/>
        <v>0</v>
      </c>
      <c r="T21" s="157">
        <f t="shared" si="12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  <c r="FO21" s="56">
        <v>0</v>
      </c>
      <c r="FP21" s="56">
        <v>0</v>
      </c>
      <c r="FQ21" s="56">
        <v>0</v>
      </c>
      <c r="FR21" s="56">
        <v>0</v>
      </c>
    </row>
    <row r="22" spans="2:174" x14ac:dyDescent="0.4">
      <c r="B22" s="540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10"/>
        <v>87</v>
      </c>
      <c r="H22" s="206">
        <f t="shared" si="18"/>
        <v>45840</v>
      </c>
      <c r="I22" s="206">
        <f t="shared" si="19"/>
        <v>45927</v>
      </c>
      <c r="J22" s="199" t="s">
        <v>2</v>
      </c>
      <c r="K22" s="200">
        <v>26</v>
      </c>
      <c r="L22" s="201"/>
      <c r="M22" s="201"/>
      <c r="N22" s="198" t="str">
        <f t="shared" si="6"/>
        <v/>
      </c>
      <c r="O22" s="202" t="str">
        <f t="shared" si="7"/>
        <v>-</v>
      </c>
      <c r="P22" s="205">
        <f t="shared" si="16"/>
        <v>0</v>
      </c>
      <c r="Q22" s="204">
        <f t="shared" si="17"/>
        <v>0</v>
      </c>
      <c r="R22" s="204">
        <f t="shared" si="8"/>
        <v>26</v>
      </c>
      <c r="S22" s="65">
        <f t="shared" si="9"/>
        <v>0</v>
      </c>
      <c r="T22" s="157">
        <f t="shared" si="12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  <c r="FO22" s="56">
        <v>0</v>
      </c>
      <c r="FP22" s="56">
        <v>0</v>
      </c>
      <c r="FQ22" s="56">
        <v>0</v>
      </c>
      <c r="FR22" s="56">
        <v>0</v>
      </c>
    </row>
    <row r="23" spans="2:174" x14ac:dyDescent="0.4">
      <c r="B23" s="540"/>
      <c r="C23" s="60">
        <v>20</v>
      </c>
      <c r="D23" s="225" t="s">
        <v>128</v>
      </c>
      <c r="E23" s="206">
        <f t="shared" ref="E23:F25" si="20">E22+7</f>
        <v>45847</v>
      </c>
      <c r="F23" s="206">
        <f t="shared" si="20"/>
        <v>45934</v>
      </c>
      <c r="G23" s="198">
        <f t="shared" si="10"/>
        <v>87</v>
      </c>
      <c r="H23" s="206">
        <f t="shared" si="18"/>
        <v>45847</v>
      </c>
      <c r="I23" s="206">
        <f t="shared" si="19"/>
        <v>45934</v>
      </c>
      <c r="J23" s="199" t="s">
        <v>2</v>
      </c>
      <c r="K23" s="200">
        <v>26</v>
      </c>
      <c r="L23" s="201"/>
      <c r="M23" s="201"/>
      <c r="N23" s="198" t="str">
        <f t="shared" si="6"/>
        <v/>
      </c>
      <c r="O23" s="202" t="str">
        <f t="shared" si="7"/>
        <v>-</v>
      </c>
      <c r="P23" s="205">
        <f t="shared" si="16"/>
        <v>0</v>
      </c>
      <c r="Q23" s="204">
        <f t="shared" si="17"/>
        <v>0</v>
      </c>
      <c r="R23" s="204">
        <f t="shared" si="8"/>
        <v>26</v>
      </c>
      <c r="S23" s="65">
        <f t="shared" si="9"/>
        <v>0</v>
      </c>
      <c r="T23" s="157">
        <f t="shared" si="12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  <c r="FO23" s="56">
        <v>0</v>
      </c>
      <c r="FP23" s="56">
        <v>0</v>
      </c>
      <c r="FQ23" s="56">
        <v>0</v>
      </c>
      <c r="FR23" s="56">
        <v>0</v>
      </c>
    </row>
    <row r="24" spans="2:174" x14ac:dyDescent="0.4">
      <c r="B24" s="540"/>
      <c r="C24" s="60">
        <v>21</v>
      </c>
      <c r="D24" s="225" t="s">
        <v>129</v>
      </c>
      <c r="E24" s="206">
        <f t="shared" si="20"/>
        <v>45854</v>
      </c>
      <c r="F24" s="206">
        <f t="shared" si="20"/>
        <v>45941</v>
      </c>
      <c r="G24" s="198">
        <f t="shared" si="10"/>
        <v>87</v>
      </c>
      <c r="H24" s="206">
        <f t="shared" si="18"/>
        <v>45854</v>
      </c>
      <c r="I24" s="206">
        <f t="shared" si="19"/>
        <v>45941</v>
      </c>
      <c r="J24" s="199" t="s">
        <v>2</v>
      </c>
      <c r="K24" s="200">
        <v>26</v>
      </c>
      <c r="L24" s="201"/>
      <c r="M24" s="201"/>
      <c r="N24" s="198" t="str">
        <f t="shared" si="6"/>
        <v/>
      </c>
      <c r="O24" s="202" t="str">
        <f t="shared" si="7"/>
        <v>-</v>
      </c>
      <c r="P24" s="205">
        <f t="shared" si="16"/>
        <v>0</v>
      </c>
      <c r="Q24" s="204">
        <f t="shared" si="17"/>
        <v>0</v>
      </c>
      <c r="R24" s="204">
        <f t="shared" si="8"/>
        <v>26</v>
      </c>
      <c r="S24" s="65">
        <f t="shared" si="9"/>
        <v>0</v>
      </c>
      <c r="T24" s="157">
        <f t="shared" si="12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  <c r="FO24" s="56">
        <v>0</v>
      </c>
      <c r="FP24" s="56">
        <v>0</v>
      </c>
      <c r="FQ24" s="56">
        <v>0</v>
      </c>
      <c r="FR24" s="56">
        <v>0</v>
      </c>
    </row>
    <row r="25" spans="2:174" x14ac:dyDescent="0.4">
      <c r="B25" s="540"/>
      <c r="C25" s="60">
        <v>22</v>
      </c>
      <c r="D25" s="225" t="s">
        <v>130</v>
      </c>
      <c r="E25" s="206">
        <f t="shared" si="20"/>
        <v>45861</v>
      </c>
      <c r="F25" s="206">
        <f t="shared" si="20"/>
        <v>45948</v>
      </c>
      <c r="G25" s="198">
        <f t="shared" si="10"/>
        <v>87</v>
      </c>
      <c r="H25" s="206">
        <f t="shared" si="18"/>
        <v>45861</v>
      </c>
      <c r="I25" s="206">
        <f t="shared" si="19"/>
        <v>45948</v>
      </c>
      <c r="J25" s="199" t="s">
        <v>2</v>
      </c>
      <c r="K25" s="200">
        <v>26</v>
      </c>
      <c r="L25" s="201"/>
      <c r="M25" s="201"/>
      <c r="N25" s="198" t="str">
        <f t="shared" si="6"/>
        <v/>
      </c>
      <c r="O25" s="202" t="str">
        <f t="shared" si="7"/>
        <v>-</v>
      </c>
      <c r="P25" s="205">
        <f t="shared" si="16"/>
        <v>0</v>
      </c>
      <c r="Q25" s="204">
        <f t="shared" si="17"/>
        <v>0</v>
      </c>
      <c r="R25" s="204">
        <f t="shared" si="8"/>
        <v>26</v>
      </c>
      <c r="S25" s="65">
        <f t="shared" si="9"/>
        <v>0</v>
      </c>
      <c r="T25" s="157">
        <f t="shared" si="12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  <c r="FO25" s="56">
        <v>0</v>
      </c>
      <c r="FP25" s="56">
        <v>0</v>
      </c>
      <c r="FQ25" s="56">
        <v>0</v>
      </c>
      <c r="FR25" s="56">
        <v>0</v>
      </c>
    </row>
    <row r="26" spans="2:174" x14ac:dyDescent="0.4">
      <c r="B26" s="540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10"/>
        <v>87</v>
      </c>
      <c r="H26" s="206">
        <f t="shared" si="18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6"/>
        <v/>
      </c>
      <c r="O26" s="202" t="str">
        <f t="shared" si="7"/>
        <v>-</v>
      </c>
      <c r="P26" s="205">
        <f t="shared" si="16"/>
        <v>0</v>
      </c>
      <c r="Q26" s="204">
        <f t="shared" si="17"/>
        <v>0</v>
      </c>
      <c r="R26" s="204">
        <f t="shared" si="8"/>
        <v>26</v>
      </c>
      <c r="S26" s="65">
        <f t="shared" si="9"/>
        <v>0</v>
      </c>
      <c r="T26" s="157">
        <f t="shared" si="12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  <c r="FO26" s="56">
        <v>0</v>
      </c>
      <c r="FP26" s="56">
        <v>0</v>
      </c>
      <c r="FQ26" s="56">
        <v>0</v>
      </c>
      <c r="FR26" s="56">
        <v>0</v>
      </c>
    </row>
    <row r="27" spans="2:174" x14ac:dyDescent="0.4">
      <c r="B27" s="540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10"/>
        <v>30</v>
      </c>
      <c r="H27" s="206">
        <f t="shared" si="18"/>
        <v>45942</v>
      </c>
      <c r="I27" s="206">
        <f t="shared" si="19"/>
        <v>45972</v>
      </c>
      <c r="J27" s="199" t="s">
        <v>2</v>
      </c>
      <c r="K27" s="200">
        <v>26</v>
      </c>
      <c r="L27" s="201"/>
      <c r="M27" s="201"/>
      <c r="N27" s="198" t="str">
        <f t="shared" si="6"/>
        <v/>
      </c>
      <c r="O27" s="202" t="str">
        <f t="shared" si="7"/>
        <v>-</v>
      </c>
      <c r="P27" s="205">
        <f t="shared" si="16"/>
        <v>0</v>
      </c>
      <c r="Q27" s="204">
        <f t="shared" si="17"/>
        <v>0</v>
      </c>
      <c r="R27" s="204">
        <f t="shared" si="8"/>
        <v>26</v>
      </c>
      <c r="S27" s="65">
        <f t="shared" si="9"/>
        <v>0</v>
      </c>
      <c r="T27" s="157">
        <f t="shared" si="12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  <c r="FO27" s="56">
        <v>0</v>
      </c>
      <c r="FP27" s="56">
        <v>0</v>
      </c>
      <c r="FQ27" s="56">
        <v>0</v>
      </c>
      <c r="FR27" s="56">
        <v>0</v>
      </c>
    </row>
    <row r="28" spans="2:174" x14ac:dyDescent="0.4">
      <c r="B28" s="551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21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2">IF(OR(M28="",L28=""),"",INT(M28-L28+1))</f>
        <v/>
      </c>
      <c r="O28" s="202" t="str">
        <f t="shared" ref="O28:O42" si="23">IFERROR(K28/N28,"-")</f>
        <v>-</v>
      </c>
      <c r="P28" s="205" t="str">
        <f t="shared" si="16"/>
        <v>-</v>
      </c>
      <c r="Q28" s="204">
        <f t="shared" si="17"/>
        <v>0</v>
      </c>
      <c r="R28" s="204">
        <f t="shared" ref="R28:R42" si="24">K28-Q28</f>
        <v>0</v>
      </c>
      <c r="S28" s="65">
        <f t="shared" si="9"/>
        <v>0</v>
      </c>
      <c r="T28" s="157">
        <f t="shared" si="12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  <c r="FO28" s="56">
        <v>0</v>
      </c>
      <c r="FP28" s="56">
        <v>0</v>
      </c>
      <c r="FQ28" s="56">
        <v>0</v>
      </c>
      <c r="FR28" s="56">
        <v>0</v>
      </c>
    </row>
    <row r="29" spans="2:174" x14ac:dyDescent="0.4">
      <c r="B29" s="552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21"/>
        <v>87</v>
      </c>
      <c r="H29" s="206">
        <f t="shared" ref="H29:H33" si="25">E29</f>
        <v>45863</v>
      </c>
      <c r="I29" s="206">
        <f t="shared" ref="I29:I33" si="26">F29</f>
        <v>45950</v>
      </c>
      <c r="J29" s="199" t="s">
        <v>154</v>
      </c>
      <c r="K29" s="200"/>
      <c r="L29" s="201"/>
      <c r="M29" s="201"/>
      <c r="N29" s="198" t="str">
        <f t="shared" si="22"/>
        <v/>
      </c>
      <c r="O29" s="202" t="str">
        <f t="shared" si="23"/>
        <v>-</v>
      </c>
      <c r="P29" s="205" t="str">
        <f t="shared" si="16"/>
        <v>-</v>
      </c>
      <c r="Q29" s="204">
        <f t="shared" si="17"/>
        <v>0</v>
      </c>
      <c r="R29" s="204">
        <f t="shared" si="24"/>
        <v>0</v>
      </c>
      <c r="S29" s="65">
        <f t="shared" si="9"/>
        <v>0</v>
      </c>
      <c r="T29" s="157">
        <f t="shared" si="12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  <c r="FO29" s="56">
        <v>0</v>
      </c>
      <c r="FP29" s="56">
        <v>0</v>
      </c>
      <c r="FQ29" s="56">
        <v>0</v>
      </c>
      <c r="FR29" s="56">
        <v>0</v>
      </c>
    </row>
    <row r="30" spans="2:174" x14ac:dyDescent="0.4">
      <c r="B30" s="552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21"/>
        <v>35</v>
      </c>
      <c r="H30" s="206">
        <f t="shared" si="25"/>
        <v>45966</v>
      </c>
      <c r="I30" s="206">
        <f t="shared" si="26"/>
        <v>46001</v>
      </c>
      <c r="J30" s="199" t="s">
        <v>154</v>
      </c>
      <c r="K30" s="200"/>
      <c r="L30" s="201"/>
      <c r="M30" s="201"/>
      <c r="N30" s="198" t="str">
        <f t="shared" si="22"/>
        <v/>
      </c>
      <c r="O30" s="202" t="str">
        <f t="shared" si="23"/>
        <v>-</v>
      </c>
      <c r="P30" s="205" t="str">
        <f t="shared" si="16"/>
        <v>-</v>
      </c>
      <c r="Q30" s="204">
        <f t="shared" si="17"/>
        <v>0</v>
      </c>
      <c r="R30" s="204">
        <f t="shared" si="24"/>
        <v>0</v>
      </c>
      <c r="S30" s="65">
        <f t="shared" si="9"/>
        <v>0</v>
      </c>
      <c r="T30" s="157">
        <f t="shared" si="12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  <c r="FO30" s="56">
        <v>0</v>
      </c>
      <c r="FP30" s="56">
        <v>0</v>
      </c>
      <c r="FQ30" s="56">
        <v>0</v>
      </c>
      <c r="FR30" s="56">
        <v>0</v>
      </c>
    </row>
    <row r="31" spans="2:174" x14ac:dyDescent="0.4">
      <c r="B31" s="552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21"/>
        <v>28</v>
      </c>
      <c r="H31" s="206">
        <f t="shared" si="25"/>
        <v>45981</v>
      </c>
      <c r="I31" s="206">
        <f t="shared" si="26"/>
        <v>46009</v>
      </c>
      <c r="J31" s="199" t="s">
        <v>154</v>
      </c>
      <c r="K31" s="200"/>
      <c r="L31" s="201"/>
      <c r="M31" s="201"/>
      <c r="N31" s="198" t="str">
        <f t="shared" si="22"/>
        <v/>
      </c>
      <c r="O31" s="202" t="str">
        <f t="shared" si="23"/>
        <v>-</v>
      </c>
      <c r="P31" s="205" t="str">
        <f t="shared" si="16"/>
        <v>-</v>
      </c>
      <c r="Q31" s="204">
        <f t="shared" si="17"/>
        <v>0</v>
      </c>
      <c r="R31" s="204">
        <f t="shared" si="24"/>
        <v>0</v>
      </c>
      <c r="S31" s="65">
        <f t="shared" si="9"/>
        <v>0</v>
      </c>
      <c r="T31" s="157">
        <f t="shared" si="12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  <c r="FO31" s="56">
        <v>0</v>
      </c>
      <c r="FP31" s="56">
        <v>0</v>
      </c>
      <c r="FQ31" s="56">
        <v>0</v>
      </c>
      <c r="FR31" s="56">
        <v>0</v>
      </c>
    </row>
    <row r="32" spans="2:174" x14ac:dyDescent="0.4">
      <c r="B32" s="552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21"/>
        <v>35</v>
      </c>
      <c r="H32" s="206">
        <f t="shared" si="25"/>
        <v>45971</v>
      </c>
      <c r="I32" s="206">
        <f t="shared" si="26"/>
        <v>46006</v>
      </c>
      <c r="J32" s="199" t="s">
        <v>154</v>
      </c>
      <c r="K32" s="200"/>
      <c r="L32" s="201"/>
      <c r="M32" s="201"/>
      <c r="N32" s="198" t="str">
        <f t="shared" si="22"/>
        <v/>
      </c>
      <c r="O32" s="202" t="str">
        <f t="shared" si="23"/>
        <v>-</v>
      </c>
      <c r="P32" s="205" t="str">
        <f t="shared" si="16"/>
        <v>-</v>
      </c>
      <c r="Q32" s="204">
        <f t="shared" si="17"/>
        <v>0</v>
      </c>
      <c r="R32" s="204">
        <f t="shared" si="24"/>
        <v>0</v>
      </c>
      <c r="S32" s="65">
        <f t="shared" si="9"/>
        <v>0</v>
      </c>
      <c r="T32" s="157">
        <f t="shared" si="12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  <c r="FO32" s="56">
        <v>0</v>
      </c>
      <c r="FP32" s="56">
        <v>0</v>
      </c>
      <c r="FQ32" s="56">
        <v>0</v>
      </c>
      <c r="FR32" s="56">
        <v>0</v>
      </c>
    </row>
    <row r="33" spans="2:174" x14ac:dyDescent="0.4">
      <c r="B33" s="552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21"/>
        <v>12</v>
      </c>
      <c r="H33" s="206">
        <f t="shared" si="25"/>
        <v>45996</v>
      </c>
      <c r="I33" s="206">
        <f t="shared" si="26"/>
        <v>46008</v>
      </c>
      <c r="J33" s="199" t="s">
        <v>154</v>
      </c>
      <c r="K33" s="200"/>
      <c r="L33" s="201"/>
      <c r="M33" s="201"/>
      <c r="N33" s="198" t="str">
        <f t="shared" si="22"/>
        <v/>
      </c>
      <c r="O33" s="202" t="str">
        <f t="shared" si="23"/>
        <v>-</v>
      </c>
      <c r="P33" s="205" t="str">
        <f t="shared" si="16"/>
        <v>-</v>
      </c>
      <c r="Q33" s="204">
        <f t="shared" si="17"/>
        <v>0</v>
      </c>
      <c r="R33" s="204">
        <f t="shared" si="24"/>
        <v>0</v>
      </c>
      <c r="S33" s="65">
        <f t="shared" si="9"/>
        <v>0</v>
      </c>
      <c r="T33" s="157">
        <f t="shared" si="12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  <c r="FO33" s="56">
        <v>0</v>
      </c>
      <c r="FP33" s="56">
        <v>0</v>
      </c>
      <c r="FQ33" s="56">
        <v>0</v>
      </c>
      <c r="FR33" s="56">
        <v>0</v>
      </c>
    </row>
    <row r="34" spans="2:174" x14ac:dyDescent="0.4">
      <c r="B34" s="552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21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2"/>
        <v/>
      </c>
      <c r="O34" s="202" t="str">
        <f t="shared" si="23"/>
        <v>-</v>
      </c>
      <c r="P34" s="205">
        <f>Q34/K34</f>
        <v>0.30757142857142855</v>
      </c>
      <c r="Q34" s="204">
        <f t="shared" si="17"/>
        <v>6459</v>
      </c>
      <c r="R34" s="204">
        <f t="shared" si="24"/>
        <v>14541</v>
      </c>
      <c r="S34" s="65">
        <f t="shared" si="9"/>
        <v>6459</v>
      </c>
      <c r="T34" s="157">
        <f t="shared" si="12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  <c r="FN34" s="23">
        <v>0</v>
      </c>
      <c r="FO34" s="56">
        <v>100</v>
      </c>
      <c r="FP34" s="56">
        <v>0</v>
      </c>
      <c r="FQ34" s="56">
        <v>125</v>
      </c>
      <c r="FR34" s="56">
        <v>75</v>
      </c>
    </row>
    <row r="35" spans="2:174" x14ac:dyDescent="0.4">
      <c r="B35" s="552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21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2"/>
        <v/>
      </c>
      <c r="O35" s="202" t="str">
        <f t="shared" si="23"/>
        <v>-</v>
      </c>
      <c r="P35" s="205">
        <f t="shared" ref="P35:P37" si="27">Q35/K35</f>
        <v>0.29976190476190478</v>
      </c>
      <c r="Q35" s="204">
        <f t="shared" si="17"/>
        <v>6295</v>
      </c>
      <c r="R35" s="204">
        <f t="shared" si="24"/>
        <v>14705</v>
      </c>
      <c r="S35" s="65">
        <f t="shared" si="9"/>
        <v>6295</v>
      </c>
      <c r="T35" s="157">
        <f t="shared" si="12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50</v>
      </c>
      <c r="FM35" s="56">
        <v>110</v>
      </c>
      <c r="FN35" s="23">
        <v>0</v>
      </c>
      <c r="FO35" s="56">
        <v>252</v>
      </c>
      <c r="FP35" s="56">
        <v>138</v>
      </c>
      <c r="FQ35" s="56">
        <v>138</v>
      </c>
      <c r="FR35" s="56">
        <v>100</v>
      </c>
    </row>
    <row r="36" spans="2:174" x14ac:dyDescent="0.4">
      <c r="B36" s="552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21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2"/>
        <v/>
      </c>
      <c r="O36" s="202" t="str">
        <f t="shared" si="23"/>
        <v>-</v>
      </c>
      <c r="P36" s="205">
        <f t="shared" si="27"/>
        <v>6.0952380952380952E-2</v>
      </c>
      <c r="Q36" s="204">
        <f t="shared" si="17"/>
        <v>1280</v>
      </c>
      <c r="R36" s="204">
        <f t="shared" si="24"/>
        <v>19720</v>
      </c>
      <c r="S36" s="65">
        <f t="shared" ref="S36:S67" si="28">SUM(U36:XFD36)</f>
        <v>1280</v>
      </c>
      <c r="T36" s="157">
        <f t="shared" si="12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  <c r="FN36" s="23">
        <v>0</v>
      </c>
      <c r="FO36" s="56">
        <v>0</v>
      </c>
      <c r="FP36" s="56">
        <v>0</v>
      </c>
      <c r="FQ36" s="56">
        <v>0</v>
      </c>
      <c r="FR36" s="56">
        <v>0</v>
      </c>
    </row>
    <row r="37" spans="2:174" x14ac:dyDescent="0.4">
      <c r="B37" s="552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21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2"/>
        <v/>
      </c>
      <c r="O37" s="202" t="str">
        <f t="shared" si="23"/>
        <v>-</v>
      </c>
      <c r="P37" s="205">
        <f t="shared" si="27"/>
        <v>0</v>
      </c>
      <c r="Q37" s="204">
        <f t="shared" si="17"/>
        <v>0</v>
      </c>
      <c r="R37" s="204">
        <f t="shared" si="24"/>
        <v>21000</v>
      </c>
      <c r="S37" s="65">
        <f t="shared" si="28"/>
        <v>0</v>
      </c>
      <c r="T37" s="157">
        <f t="shared" si="12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  <c r="FO37" s="56">
        <v>0</v>
      </c>
      <c r="FP37" s="56">
        <v>0</v>
      </c>
      <c r="FQ37" s="56">
        <v>0</v>
      </c>
      <c r="FR37" s="56">
        <v>0</v>
      </c>
    </row>
    <row r="38" spans="2:174" x14ac:dyDescent="0.4">
      <c r="B38" s="552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21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2"/>
        <v/>
      </c>
      <c r="O38" s="202" t="str">
        <f t="shared" si="23"/>
        <v>-</v>
      </c>
      <c r="P38" s="205" t="str">
        <f t="shared" ref="P38:P42" si="29">IFERROR(SUMIF($U$2:$AT$2,"&lt;="&amp;$D$1,U38:BN38)/K38,"-")</f>
        <v>-</v>
      </c>
      <c r="Q38" s="204">
        <f t="shared" si="17"/>
        <v>0</v>
      </c>
      <c r="R38" s="204">
        <f t="shared" si="24"/>
        <v>0</v>
      </c>
      <c r="S38" s="65">
        <f t="shared" si="28"/>
        <v>0</v>
      </c>
      <c r="T38" s="157">
        <f t="shared" si="12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  <c r="FO38" s="56">
        <v>0</v>
      </c>
      <c r="FP38" s="56">
        <v>0</v>
      </c>
      <c r="FQ38" s="56">
        <v>0</v>
      </c>
      <c r="FR38" s="56">
        <v>0</v>
      </c>
    </row>
    <row r="39" spans="2:174" x14ac:dyDescent="0.4">
      <c r="B39" s="552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21"/>
        <v>73</v>
      </c>
      <c r="H39" s="206">
        <f t="shared" ref="H39:H61" si="30">E39</f>
        <v>45885</v>
      </c>
      <c r="I39" s="206">
        <f t="shared" ref="I39:I61" si="31">F39</f>
        <v>45958</v>
      </c>
      <c r="J39" s="199" t="s">
        <v>154</v>
      </c>
      <c r="K39" s="200"/>
      <c r="L39" s="201"/>
      <c r="M39" s="201"/>
      <c r="N39" s="198" t="str">
        <f t="shared" si="22"/>
        <v/>
      </c>
      <c r="O39" s="202" t="str">
        <f t="shared" si="23"/>
        <v>-</v>
      </c>
      <c r="P39" s="205" t="str">
        <f t="shared" si="29"/>
        <v>-</v>
      </c>
      <c r="Q39" s="204">
        <f t="shared" si="17"/>
        <v>0</v>
      </c>
      <c r="R39" s="204">
        <f t="shared" si="24"/>
        <v>0</v>
      </c>
      <c r="S39" s="65">
        <f t="shared" si="28"/>
        <v>0</v>
      </c>
      <c r="T39" s="157">
        <f t="shared" si="12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  <c r="FO39" s="56">
        <v>0</v>
      </c>
      <c r="FP39" s="56">
        <v>0</v>
      </c>
      <c r="FQ39" s="56">
        <v>0</v>
      </c>
      <c r="FR39" s="56">
        <v>0</v>
      </c>
    </row>
    <row r="40" spans="2:174" x14ac:dyDescent="0.4">
      <c r="B40" s="552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21"/>
        <v>71</v>
      </c>
      <c r="H40" s="206">
        <f t="shared" si="30"/>
        <v>45905</v>
      </c>
      <c r="I40" s="206">
        <f t="shared" si="31"/>
        <v>45976</v>
      </c>
      <c r="J40" s="199" t="s">
        <v>154</v>
      </c>
      <c r="K40" s="200"/>
      <c r="L40" s="201"/>
      <c r="M40" s="201"/>
      <c r="N40" s="198" t="str">
        <f t="shared" si="22"/>
        <v/>
      </c>
      <c r="O40" s="202" t="str">
        <f t="shared" si="23"/>
        <v>-</v>
      </c>
      <c r="P40" s="205" t="str">
        <f t="shared" si="29"/>
        <v>-</v>
      </c>
      <c r="Q40" s="204">
        <f t="shared" si="17"/>
        <v>0</v>
      </c>
      <c r="R40" s="204">
        <f t="shared" si="24"/>
        <v>0</v>
      </c>
      <c r="S40" s="65">
        <f t="shared" si="28"/>
        <v>0</v>
      </c>
      <c r="T40" s="157">
        <f t="shared" si="12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  <c r="FO40" s="56">
        <v>0</v>
      </c>
      <c r="FP40" s="56">
        <v>0</v>
      </c>
      <c r="FQ40" s="56">
        <v>0</v>
      </c>
      <c r="FR40" s="56">
        <v>0</v>
      </c>
    </row>
    <row r="41" spans="2:174" ht="29" x14ac:dyDescent="0.4">
      <c r="B41" s="540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21"/>
        <v>127</v>
      </c>
      <c r="H41" s="206">
        <f t="shared" si="30"/>
        <v>45879</v>
      </c>
      <c r="I41" s="206">
        <f t="shared" si="31"/>
        <v>46006</v>
      </c>
      <c r="J41" s="199" t="s">
        <v>17</v>
      </c>
      <c r="K41" s="200">
        <v>1360</v>
      </c>
      <c r="L41" s="201"/>
      <c r="M41" s="201"/>
      <c r="N41" s="198" t="str">
        <f t="shared" si="22"/>
        <v/>
      </c>
      <c r="O41" s="202" t="str">
        <f t="shared" si="23"/>
        <v>-</v>
      </c>
      <c r="P41" s="205">
        <f t="shared" si="29"/>
        <v>0</v>
      </c>
      <c r="Q41" s="207">
        <f t="shared" ref="Q41:Q42" si="32">SUMIF($U$2:$AT$2,"&lt;="&amp;$D$1,U41:AT41)</f>
        <v>0</v>
      </c>
      <c r="R41" s="204">
        <f t="shared" si="24"/>
        <v>1360</v>
      </c>
      <c r="S41" s="65">
        <f t="shared" si="28"/>
        <v>0</v>
      </c>
      <c r="T41" s="157">
        <f t="shared" si="12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74" x14ac:dyDescent="0.4">
      <c r="B42" s="540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21"/>
        <v>129</v>
      </c>
      <c r="H42" s="206">
        <f t="shared" si="30"/>
        <v>45887</v>
      </c>
      <c r="I42" s="206">
        <f t="shared" si="31"/>
        <v>46016</v>
      </c>
      <c r="J42" s="199" t="s">
        <v>17</v>
      </c>
      <c r="K42" s="200">
        <v>1360</v>
      </c>
      <c r="L42" s="201"/>
      <c r="M42" s="201"/>
      <c r="N42" s="198" t="str">
        <f t="shared" si="22"/>
        <v/>
      </c>
      <c r="O42" s="202" t="str">
        <f t="shared" si="23"/>
        <v>-</v>
      </c>
      <c r="P42" s="205">
        <f t="shared" si="29"/>
        <v>0</v>
      </c>
      <c r="Q42" s="207">
        <f t="shared" si="32"/>
        <v>0</v>
      </c>
      <c r="R42" s="204">
        <f t="shared" si="24"/>
        <v>1360</v>
      </c>
      <c r="S42" s="65">
        <f t="shared" si="28"/>
        <v>0</v>
      </c>
      <c r="T42" s="157">
        <f t="shared" si="12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74" x14ac:dyDescent="0.4">
      <c r="B43" s="540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21"/>
        <v>161</v>
      </c>
      <c r="H43" s="206">
        <f t="shared" si="30"/>
        <v>45849</v>
      </c>
      <c r="I43" s="206">
        <f t="shared" si="31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3">IF(OR(M43="",L43=""),"",INT(M43-L43+1))</f>
        <v/>
      </c>
      <c r="O43" s="202" t="str">
        <f t="shared" ref="O43:O73" si="34">IFERROR(K43/N43,"-")</f>
        <v>-</v>
      </c>
      <c r="P43" s="205">
        <f t="shared" ref="P43:P73" si="35">IFERROR(SUMIF($U$2:$AT$2,"&lt;="&amp;$D$1,U43:BN43)/K43,"-")</f>
        <v>0</v>
      </c>
      <c r="Q43" s="207">
        <f t="shared" ref="Q43:Q73" si="36">SUMIF($U$2:$AT$2,"&lt;="&amp;$D$1,U43:AT43)</f>
        <v>0</v>
      </c>
      <c r="R43" s="204">
        <f t="shared" ref="R43:R73" si="37">K43-Q43</f>
        <v>1360</v>
      </c>
      <c r="S43" s="65">
        <f t="shared" si="28"/>
        <v>0</v>
      </c>
      <c r="T43" s="157">
        <f t="shared" si="12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74" x14ac:dyDescent="0.4">
      <c r="B44" s="540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21"/>
        <v>155</v>
      </c>
      <c r="H44" s="206">
        <f t="shared" si="30"/>
        <v>45888</v>
      </c>
      <c r="I44" s="206">
        <f t="shared" si="31"/>
        <v>46043</v>
      </c>
      <c r="J44" s="199" t="s">
        <v>17</v>
      </c>
      <c r="K44" s="200">
        <v>1360</v>
      </c>
      <c r="L44" s="201"/>
      <c r="M44" s="201"/>
      <c r="N44" s="198" t="str">
        <f t="shared" si="33"/>
        <v/>
      </c>
      <c r="O44" s="202" t="str">
        <f t="shared" si="34"/>
        <v>-</v>
      </c>
      <c r="P44" s="205">
        <f t="shared" si="35"/>
        <v>0</v>
      </c>
      <c r="Q44" s="207">
        <f t="shared" si="36"/>
        <v>0</v>
      </c>
      <c r="R44" s="204">
        <f t="shared" si="37"/>
        <v>1360</v>
      </c>
      <c r="S44" s="65">
        <f t="shared" si="28"/>
        <v>0</v>
      </c>
      <c r="T44" s="157">
        <f t="shared" si="12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74" ht="29" x14ac:dyDescent="0.4">
      <c r="B45" s="540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21"/>
        <v>117</v>
      </c>
      <c r="H45" s="206">
        <f t="shared" si="30"/>
        <v>45933</v>
      </c>
      <c r="I45" s="206">
        <f t="shared" si="31"/>
        <v>46050</v>
      </c>
      <c r="J45" s="199" t="s">
        <v>17</v>
      </c>
      <c r="K45" s="200">
        <v>1360</v>
      </c>
      <c r="L45" s="201"/>
      <c r="M45" s="201"/>
      <c r="N45" s="198" t="str">
        <f t="shared" si="33"/>
        <v/>
      </c>
      <c r="O45" s="202" t="str">
        <f t="shared" si="34"/>
        <v>-</v>
      </c>
      <c r="P45" s="205">
        <f t="shared" si="35"/>
        <v>0</v>
      </c>
      <c r="Q45" s="207">
        <f t="shared" si="36"/>
        <v>0</v>
      </c>
      <c r="R45" s="204">
        <f t="shared" si="37"/>
        <v>1360</v>
      </c>
      <c r="S45" s="65">
        <f t="shared" si="28"/>
        <v>0</v>
      </c>
      <c r="T45" s="157">
        <f t="shared" si="12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74" x14ac:dyDescent="0.4">
      <c r="B46" s="540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21"/>
        <v>123</v>
      </c>
      <c r="H46" s="206">
        <f t="shared" si="30"/>
        <v>45928</v>
      </c>
      <c r="I46" s="206">
        <f t="shared" si="31"/>
        <v>46051</v>
      </c>
      <c r="J46" s="199" t="s">
        <v>17</v>
      </c>
      <c r="K46" s="200">
        <v>1360</v>
      </c>
      <c r="L46" s="201"/>
      <c r="M46" s="201"/>
      <c r="N46" s="198" t="str">
        <f t="shared" si="33"/>
        <v/>
      </c>
      <c r="O46" s="202" t="str">
        <f t="shared" si="34"/>
        <v>-</v>
      </c>
      <c r="P46" s="205">
        <f t="shared" si="35"/>
        <v>0</v>
      </c>
      <c r="Q46" s="207">
        <f t="shared" si="36"/>
        <v>0</v>
      </c>
      <c r="R46" s="204">
        <f t="shared" si="37"/>
        <v>1360</v>
      </c>
      <c r="S46" s="65">
        <f t="shared" si="28"/>
        <v>0</v>
      </c>
      <c r="T46" s="157">
        <f t="shared" si="12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74" x14ac:dyDescent="0.4">
      <c r="B47" s="540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21"/>
        <v>155</v>
      </c>
      <c r="H47" s="206">
        <f t="shared" si="30"/>
        <v>45856</v>
      </c>
      <c r="I47" s="206">
        <f t="shared" si="31"/>
        <v>46011</v>
      </c>
      <c r="J47" s="199" t="s">
        <v>17</v>
      </c>
      <c r="K47" s="200">
        <v>1360</v>
      </c>
      <c r="L47" s="201"/>
      <c r="M47" s="201"/>
      <c r="N47" s="198" t="str">
        <f t="shared" si="33"/>
        <v/>
      </c>
      <c r="O47" s="202" t="str">
        <f t="shared" si="34"/>
        <v>-</v>
      </c>
      <c r="P47" s="205">
        <f t="shared" si="35"/>
        <v>0</v>
      </c>
      <c r="Q47" s="207">
        <f t="shared" si="36"/>
        <v>0</v>
      </c>
      <c r="R47" s="204">
        <f t="shared" si="37"/>
        <v>1360</v>
      </c>
      <c r="S47" s="65">
        <f t="shared" si="28"/>
        <v>0</v>
      </c>
      <c r="T47" s="157">
        <f t="shared" si="12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74" x14ac:dyDescent="0.4">
      <c r="B48" s="540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21"/>
        <v>137</v>
      </c>
      <c r="H48" s="206">
        <f t="shared" si="30"/>
        <v>45859</v>
      </c>
      <c r="I48" s="206">
        <f t="shared" si="31"/>
        <v>45996</v>
      </c>
      <c r="J48" s="199" t="s">
        <v>17</v>
      </c>
      <c r="K48" s="200">
        <v>1360</v>
      </c>
      <c r="L48" s="201"/>
      <c r="M48" s="201"/>
      <c r="N48" s="198" t="str">
        <f t="shared" si="33"/>
        <v/>
      </c>
      <c r="O48" s="202" t="str">
        <f t="shared" si="34"/>
        <v>-</v>
      </c>
      <c r="P48" s="205">
        <f t="shared" si="35"/>
        <v>0</v>
      </c>
      <c r="Q48" s="207">
        <f t="shared" si="36"/>
        <v>0</v>
      </c>
      <c r="R48" s="204">
        <f t="shared" si="37"/>
        <v>1360</v>
      </c>
      <c r="S48" s="65">
        <f t="shared" si="28"/>
        <v>0</v>
      </c>
      <c r="T48" s="157">
        <f t="shared" si="12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540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21"/>
        <v>97</v>
      </c>
      <c r="H49" s="206">
        <f t="shared" si="30"/>
        <v>45904</v>
      </c>
      <c r="I49" s="206">
        <f t="shared" si="31"/>
        <v>46001</v>
      </c>
      <c r="J49" s="199" t="s">
        <v>17</v>
      </c>
      <c r="K49" s="200">
        <v>1360</v>
      </c>
      <c r="L49" s="201"/>
      <c r="M49" s="201"/>
      <c r="N49" s="198" t="str">
        <f t="shared" si="33"/>
        <v/>
      </c>
      <c r="O49" s="202" t="str">
        <f t="shared" si="34"/>
        <v>-</v>
      </c>
      <c r="P49" s="205">
        <f t="shared" si="35"/>
        <v>0</v>
      </c>
      <c r="Q49" s="207">
        <f t="shared" si="36"/>
        <v>0</v>
      </c>
      <c r="R49" s="204">
        <f t="shared" si="37"/>
        <v>1360</v>
      </c>
      <c r="S49" s="65">
        <f t="shared" si="28"/>
        <v>0</v>
      </c>
      <c r="T49" s="157">
        <f t="shared" si="12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540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21"/>
        <v>128</v>
      </c>
      <c r="H50" s="206">
        <f t="shared" si="30"/>
        <v>45889</v>
      </c>
      <c r="I50" s="206">
        <f t="shared" si="31"/>
        <v>46017</v>
      </c>
      <c r="J50" s="199" t="s">
        <v>17</v>
      </c>
      <c r="K50" s="200">
        <v>1360</v>
      </c>
      <c r="L50" s="201"/>
      <c r="M50" s="201"/>
      <c r="N50" s="198" t="str">
        <f t="shared" si="33"/>
        <v/>
      </c>
      <c r="O50" s="202" t="str">
        <f t="shared" si="34"/>
        <v>-</v>
      </c>
      <c r="P50" s="205">
        <f t="shared" si="35"/>
        <v>0</v>
      </c>
      <c r="Q50" s="207">
        <f t="shared" si="36"/>
        <v>0</v>
      </c>
      <c r="R50" s="204">
        <f t="shared" si="37"/>
        <v>1360</v>
      </c>
      <c r="S50" s="65">
        <f t="shared" si="28"/>
        <v>0</v>
      </c>
      <c r="T50" s="157">
        <f t="shared" si="12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540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21"/>
        <v>70</v>
      </c>
      <c r="H51" s="206">
        <f t="shared" si="30"/>
        <v>45912</v>
      </c>
      <c r="I51" s="206">
        <f t="shared" si="31"/>
        <v>45982</v>
      </c>
      <c r="J51" s="199" t="s">
        <v>107</v>
      </c>
      <c r="K51" s="200">
        <v>74</v>
      </c>
      <c r="L51" s="201"/>
      <c r="M51" s="201"/>
      <c r="N51" s="198" t="str">
        <f t="shared" si="33"/>
        <v/>
      </c>
      <c r="O51" s="202" t="str">
        <f t="shared" si="34"/>
        <v>-</v>
      </c>
      <c r="P51" s="205">
        <f t="shared" si="35"/>
        <v>0</v>
      </c>
      <c r="Q51" s="207">
        <f t="shared" si="36"/>
        <v>0</v>
      </c>
      <c r="R51" s="204">
        <f t="shared" si="37"/>
        <v>74</v>
      </c>
      <c r="S51" s="65">
        <f t="shared" si="28"/>
        <v>0</v>
      </c>
      <c r="T51" s="157">
        <f t="shared" si="12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540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21"/>
        <v>70</v>
      </c>
      <c r="H52" s="206">
        <f t="shared" si="30"/>
        <v>45912</v>
      </c>
      <c r="I52" s="206">
        <f t="shared" si="31"/>
        <v>45982</v>
      </c>
      <c r="J52" s="199" t="s">
        <v>107</v>
      </c>
      <c r="K52" s="200">
        <v>26</v>
      </c>
      <c r="L52" s="201"/>
      <c r="M52" s="201"/>
      <c r="N52" s="198" t="str">
        <f t="shared" si="33"/>
        <v/>
      </c>
      <c r="O52" s="202" t="str">
        <f t="shared" si="34"/>
        <v>-</v>
      </c>
      <c r="P52" s="205">
        <f t="shared" si="35"/>
        <v>0</v>
      </c>
      <c r="Q52" s="207">
        <f t="shared" si="36"/>
        <v>0</v>
      </c>
      <c r="R52" s="204">
        <f t="shared" si="37"/>
        <v>26</v>
      </c>
      <c r="S52" s="65">
        <f t="shared" si="28"/>
        <v>0</v>
      </c>
      <c r="T52" s="157">
        <f t="shared" si="12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540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21"/>
        <v>75</v>
      </c>
      <c r="H53" s="206">
        <f t="shared" si="30"/>
        <v>45919</v>
      </c>
      <c r="I53" s="206">
        <f t="shared" si="31"/>
        <v>45994</v>
      </c>
      <c r="J53" s="199" t="s">
        <v>107</v>
      </c>
      <c r="K53" s="200">
        <v>26</v>
      </c>
      <c r="L53" s="201"/>
      <c r="M53" s="201"/>
      <c r="N53" s="198" t="str">
        <f t="shared" si="33"/>
        <v/>
      </c>
      <c r="O53" s="202" t="str">
        <f t="shared" si="34"/>
        <v>-</v>
      </c>
      <c r="P53" s="205">
        <f t="shared" si="35"/>
        <v>0</v>
      </c>
      <c r="Q53" s="207">
        <f t="shared" si="36"/>
        <v>0</v>
      </c>
      <c r="R53" s="204">
        <f t="shared" si="37"/>
        <v>26</v>
      </c>
      <c r="S53" s="65">
        <f t="shared" si="28"/>
        <v>0</v>
      </c>
      <c r="T53" s="157">
        <f t="shared" si="12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540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21"/>
        <v>40</v>
      </c>
      <c r="H54" s="206">
        <f t="shared" si="30"/>
        <v>45919</v>
      </c>
      <c r="I54" s="206">
        <f t="shared" si="31"/>
        <v>45959</v>
      </c>
      <c r="J54" s="199" t="s">
        <v>107</v>
      </c>
      <c r="K54" s="200">
        <v>26</v>
      </c>
      <c r="L54" s="201"/>
      <c r="M54" s="201"/>
      <c r="N54" s="198" t="str">
        <f t="shared" si="33"/>
        <v/>
      </c>
      <c r="O54" s="202" t="str">
        <f t="shared" si="34"/>
        <v>-</v>
      </c>
      <c r="P54" s="205">
        <f t="shared" si="35"/>
        <v>0</v>
      </c>
      <c r="Q54" s="207">
        <f t="shared" si="36"/>
        <v>0</v>
      </c>
      <c r="R54" s="204">
        <f t="shared" si="37"/>
        <v>26</v>
      </c>
      <c r="S54" s="65">
        <f t="shared" si="28"/>
        <v>0</v>
      </c>
      <c r="T54" s="157">
        <f t="shared" si="12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540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21"/>
        <v>30</v>
      </c>
      <c r="H55" s="206">
        <f t="shared" si="30"/>
        <v>45913</v>
      </c>
      <c r="I55" s="206">
        <f t="shared" si="31"/>
        <v>45943</v>
      </c>
      <c r="J55" s="199" t="s">
        <v>107</v>
      </c>
      <c r="K55" s="200">
        <v>26</v>
      </c>
      <c r="L55" s="201"/>
      <c r="M55" s="201"/>
      <c r="N55" s="198" t="str">
        <f t="shared" si="33"/>
        <v/>
      </c>
      <c r="O55" s="202" t="str">
        <f t="shared" si="34"/>
        <v>-</v>
      </c>
      <c r="P55" s="205">
        <f t="shared" si="35"/>
        <v>0</v>
      </c>
      <c r="Q55" s="207">
        <f t="shared" si="36"/>
        <v>0</v>
      </c>
      <c r="R55" s="204">
        <f t="shared" si="37"/>
        <v>26</v>
      </c>
      <c r="S55" s="65">
        <f t="shared" si="28"/>
        <v>0</v>
      </c>
      <c r="T55" s="157">
        <f t="shared" ref="T55:T118" si="38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540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21"/>
        <v>30</v>
      </c>
      <c r="H56" s="206">
        <f t="shared" si="30"/>
        <v>45912</v>
      </c>
      <c r="I56" s="206">
        <f t="shared" si="31"/>
        <v>45942</v>
      </c>
      <c r="J56" s="199" t="s">
        <v>107</v>
      </c>
      <c r="K56" s="200">
        <v>26</v>
      </c>
      <c r="L56" s="201"/>
      <c r="M56" s="201"/>
      <c r="N56" s="198" t="str">
        <f t="shared" si="33"/>
        <v/>
      </c>
      <c r="O56" s="202" t="str">
        <f t="shared" si="34"/>
        <v>-</v>
      </c>
      <c r="P56" s="205">
        <f t="shared" si="35"/>
        <v>0</v>
      </c>
      <c r="Q56" s="207">
        <f t="shared" si="36"/>
        <v>0</v>
      </c>
      <c r="R56" s="204">
        <f t="shared" si="37"/>
        <v>26</v>
      </c>
      <c r="S56" s="65">
        <f t="shared" si="28"/>
        <v>0</v>
      </c>
      <c r="T56" s="157">
        <f t="shared" si="38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540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21"/>
        <v>51</v>
      </c>
      <c r="H57" s="206">
        <f t="shared" si="30"/>
        <v>45940</v>
      </c>
      <c r="I57" s="206">
        <f t="shared" si="31"/>
        <v>45991</v>
      </c>
      <c r="J57" s="199" t="s">
        <v>2</v>
      </c>
      <c r="K57" s="200">
        <v>26</v>
      </c>
      <c r="L57" s="201"/>
      <c r="M57" s="201"/>
      <c r="N57" s="198" t="str">
        <f t="shared" si="33"/>
        <v/>
      </c>
      <c r="O57" s="202" t="str">
        <f t="shared" si="34"/>
        <v>-</v>
      </c>
      <c r="P57" s="205">
        <f t="shared" si="35"/>
        <v>0</v>
      </c>
      <c r="Q57" s="207">
        <f t="shared" si="36"/>
        <v>0</v>
      </c>
      <c r="R57" s="204">
        <f t="shared" si="37"/>
        <v>26</v>
      </c>
      <c r="S57" s="65">
        <f t="shared" si="28"/>
        <v>0</v>
      </c>
      <c r="T57" s="157">
        <f t="shared" si="38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540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21"/>
        <v>51</v>
      </c>
      <c r="H58" s="206">
        <f t="shared" si="30"/>
        <v>45945</v>
      </c>
      <c r="I58" s="206">
        <f t="shared" si="31"/>
        <v>45996</v>
      </c>
      <c r="J58" s="199" t="s">
        <v>2</v>
      </c>
      <c r="K58" s="200">
        <v>26</v>
      </c>
      <c r="L58" s="201"/>
      <c r="M58" s="201"/>
      <c r="N58" s="198" t="str">
        <f t="shared" si="33"/>
        <v/>
      </c>
      <c r="O58" s="202" t="str">
        <f t="shared" si="34"/>
        <v>-</v>
      </c>
      <c r="P58" s="205">
        <f t="shared" si="35"/>
        <v>0</v>
      </c>
      <c r="Q58" s="207">
        <f t="shared" si="36"/>
        <v>0</v>
      </c>
      <c r="R58" s="204">
        <f t="shared" si="37"/>
        <v>26</v>
      </c>
      <c r="S58" s="65">
        <f t="shared" si="28"/>
        <v>0</v>
      </c>
      <c r="T58" s="157">
        <f t="shared" si="38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540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21"/>
        <v>48</v>
      </c>
      <c r="H59" s="195">
        <f t="shared" si="30"/>
        <v>45931</v>
      </c>
      <c r="I59" s="195">
        <f t="shared" si="31"/>
        <v>45979</v>
      </c>
      <c r="J59" s="199" t="s">
        <v>2</v>
      </c>
      <c r="K59" s="200">
        <v>26</v>
      </c>
      <c r="L59" s="201"/>
      <c r="M59" s="201"/>
      <c r="N59" s="198" t="str">
        <f t="shared" si="33"/>
        <v/>
      </c>
      <c r="O59" s="202" t="str">
        <f t="shared" si="34"/>
        <v>-</v>
      </c>
      <c r="P59" s="205">
        <f t="shared" si="35"/>
        <v>0</v>
      </c>
      <c r="Q59" s="207">
        <f t="shared" si="36"/>
        <v>0</v>
      </c>
      <c r="R59" s="204">
        <f t="shared" si="37"/>
        <v>26</v>
      </c>
      <c r="S59" s="65">
        <f t="shared" si="28"/>
        <v>0</v>
      </c>
      <c r="T59" s="157">
        <f t="shared" si="38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540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21"/>
        <v>86</v>
      </c>
      <c r="H60" s="195">
        <f t="shared" si="30"/>
        <v>45935</v>
      </c>
      <c r="I60" s="195">
        <f t="shared" si="31"/>
        <v>46021</v>
      </c>
      <c r="J60" s="199" t="s">
        <v>2</v>
      </c>
      <c r="K60" s="200">
        <v>26</v>
      </c>
      <c r="L60" s="201"/>
      <c r="M60" s="201"/>
      <c r="N60" s="198" t="str">
        <f t="shared" si="33"/>
        <v/>
      </c>
      <c r="O60" s="202" t="str">
        <f t="shared" si="34"/>
        <v>-</v>
      </c>
      <c r="P60" s="205">
        <f t="shared" si="35"/>
        <v>0</v>
      </c>
      <c r="Q60" s="207">
        <f t="shared" si="36"/>
        <v>0</v>
      </c>
      <c r="R60" s="204">
        <f t="shared" si="37"/>
        <v>26</v>
      </c>
      <c r="S60" s="65">
        <f t="shared" si="28"/>
        <v>0</v>
      </c>
      <c r="T60" s="157">
        <f t="shared" si="38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540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21"/>
        <v>81</v>
      </c>
      <c r="H61" s="195">
        <f t="shared" si="30"/>
        <v>45940</v>
      </c>
      <c r="I61" s="195">
        <f t="shared" si="31"/>
        <v>46021</v>
      </c>
      <c r="J61" s="199" t="s">
        <v>2</v>
      </c>
      <c r="K61" s="200">
        <v>26</v>
      </c>
      <c r="L61" s="201"/>
      <c r="M61" s="201"/>
      <c r="N61" s="198" t="str">
        <f t="shared" si="33"/>
        <v/>
      </c>
      <c r="O61" s="202" t="str">
        <f t="shared" si="34"/>
        <v>-</v>
      </c>
      <c r="P61" s="205">
        <f t="shared" si="35"/>
        <v>0</v>
      </c>
      <c r="Q61" s="207">
        <f t="shared" si="36"/>
        <v>0</v>
      </c>
      <c r="R61" s="204">
        <f t="shared" si="37"/>
        <v>26</v>
      </c>
      <c r="S61" s="65">
        <f t="shared" si="28"/>
        <v>0</v>
      </c>
      <c r="T61" s="157">
        <f t="shared" si="38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540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21"/>
        <v>41</v>
      </c>
      <c r="H62" s="195">
        <f t="shared" ref="H62:H91" si="39">E62</f>
        <v>45986</v>
      </c>
      <c r="I62" s="195">
        <f t="shared" ref="I62:I91" si="40">F62</f>
        <v>46027</v>
      </c>
      <c r="J62" s="199" t="s">
        <v>2</v>
      </c>
      <c r="K62" s="200">
        <v>26</v>
      </c>
      <c r="L62" s="201"/>
      <c r="M62" s="201"/>
      <c r="N62" s="198" t="str">
        <f t="shared" si="33"/>
        <v/>
      </c>
      <c r="O62" s="202" t="str">
        <f t="shared" si="34"/>
        <v>-</v>
      </c>
      <c r="P62" s="205">
        <f t="shared" si="35"/>
        <v>0</v>
      </c>
      <c r="Q62" s="207">
        <f t="shared" si="36"/>
        <v>0</v>
      </c>
      <c r="R62" s="204">
        <f t="shared" si="37"/>
        <v>26</v>
      </c>
      <c r="S62" s="65">
        <f t="shared" si="28"/>
        <v>0</v>
      </c>
      <c r="T62" s="157">
        <f t="shared" si="38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540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21"/>
        <v>26</v>
      </c>
      <c r="H63" s="195">
        <f t="shared" si="39"/>
        <v>45950</v>
      </c>
      <c r="I63" s="195">
        <f t="shared" si="40"/>
        <v>45976</v>
      </c>
      <c r="J63" s="199" t="s">
        <v>11</v>
      </c>
      <c r="K63" s="200">
        <v>1</v>
      </c>
      <c r="L63" s="201"/>
      <c r="M63" s="201"/>
      <c r="N63" s="198" t="str">
        <f t="shared" si="33"/>
        <v/>
      </c>
      <c r="O63" s="202" t="str">
        <f t="shared" si="34"/>
        <v>-</v>
      </c>
      <c r="P63" s="205">
        <f t="shared" si="35"/>
        <v>0</v>
      </c>
      <c r="Q63" s="207">
        <f t="shared" si="36"/>
        <v>0</v>
      </c>
      <c r="R63" s="204">
        <f t="shared" si="37"/>
        <v>1</v>
      </c>
      <c r="S63" s="65">
        <f t="shared" si="28"/>
        <v>0</v>
      </c>
      <c r="T63" s="157">
        <f t="shared" si="38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540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21"/>
        <v>40</v>
      </c>
      <c r="H64" s="195">
        <f t="shared" si="39"/>
        <v>45919</v>
      </c>
      <c r="I64" s="195">
        <f t="shared" si="40"/>
        <v>45959</v>
      </c>
      <c r="J64" s="199" t="s">
        <v>11</v>
      </c>
      <c r="K64" s="200">
        <v>1</v>
      </c>
      <c r="L64" s="201"/>
      <c r="M64" s="201"/>
      <c r="N64" s="198" t="str">
        <f t="shared" si="33"/>
        <v/>
      </c>
      <c r="O64" s="202" t="str">
        <f t="shared" si="34"/>
        <v>-</v>
      </c>
      <c r="P64" s="205">
        <f t="shared" si="35"/>
        <v>0</v>
      </c>
      <c r="Q64" s="207">
        <f t="shared" si="36"/>
        <v>0</v>
      </c>
      <c r="R64" s="204">
        <f t="shared" si="37"/>
        <v>1</v>
      </c>
      <c r="S64" s="65">
        <f t="shared" si="28"/>
        <v>0</v>
      </c>
      <c r="T64" s="157">
        <f t="shared" si="38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540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21"/>
        <v>36</v>
      </c>
      <c r="H65" s="195">
        <f t="shared" si="39"/>
        <v>45935</v>
      </c>
      <c r="I65" s="195">
        <f t="shared" si="40"/>
        <v>45971</v>
      </c>
      <c r="J65" s="199" t="s">
        <v>11</v>
      </c>
      <c r="K65" s="200">
        <v>1</v>
      </c>
      <c r="L65" s="201"/>
      <c r="M65" s="201"/>
      <c r="N65" s="198" t="str">
        <f t="shared" si="33"/>
        <v/>
      </c>
      <c r="O65" s="202" t="str">
        <f t="shared" si="34"/>
        <v>-</v>
      </c>
      <c r="P65" s="205">
        <f t="shared" si="35"/>
        <v>0</v>
      </c>
      <c r="Q65" s="207">
        <f t="shared" si="36"/>
        <v>0</v>
      </c>
      <c r="R65" s="204">
        <f t="shared" si="37"/>
        <v>1</v>
      </c>
      <c r="S65" s="65">
        <f t="shared" si="28"/>
        <v>0</v>
      </c>
      <c r="T65" s="157">
        <f t="shared" si="38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540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21"/>
        <v>31</v>
      </c>
      <c r="H66" s="195">
        <f t="shared" si="39"/>
        <v>45996</v>
      </c>
      <c r="I66" s="195">
        <f t="shared" si="40"/>
        <v>46027</v>
      </c>
      <c r="J66" s="199" t="s">
        <v>11</v>
      </c>
      <c r="K66" s="200">
        <v>1</v>
      </c>
      <c r="L66" s="201"/>
      <c r="M66" s="201"/>
      <c r="N66" s="198" t="str">
        <f t="shared" si="33"/>
        <v/>
      </c>
      <c r="O66" s="202" t="str">
        <f t="shared" si="34"/>
        <v>-</v>
      </c>
      <c r="P66" s="205">
        <f t="shared" si="35"/>
        <v>0</v>
      </c>
      <c r="Q66" s="207">
        <f t="shared" si="36"/>
        <v>0</v>
      </c>
      <c r="R66" s="204">
        <f t="shared" si="37"/>
        <v>1</v>
      </c>
      <c r="S66" s="65">
        <f t="shared" si="28"/>
        <v>0</v>
      </c>
      <c r="T66" s="157">
        <f t="shared" si="38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540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21"/>
        <v>18</v>
      </c>
      <c r="H67" s="195">
        <f t="shared" si="39"/>
        <v>46024</v>
      </c>
      <c r="I67" s="195">
        <f t="shared" si="40"/>
        <v>46042</v>
      </c>
      <c r="J67" s="199" t="s">
        <v>11</v>
      </c>
      <c r="K67" s="200">
        <v>1</v>
      </c>
      <c r="L67" s="201"/>
      <c r="M67" s="201"/>
      <c r="N67" s="198" t="str">
        <f t="shared" si="33"/>
        <v/>
      </c>
      <c r="O67" s="202" t="str">
        <f t="shared" si="34"/>
        <v>-</v>
      </c>
      <c r="P67" s="205">
        <f t="shared" si="35"/>
        <v>0</v>
      </c>
      <c r="Q67" s="207">
        <f t="shared" si="36"/>
        <v>0</v>
      </c>
      <c r="R67" s="204">
        <f t="shared" si="37"/>
        <v>1</v>
      </c>
      <c r="S67" s="65">
        <f t="shared" si="28"/>
        <v>0</v>
      </c>
      <c r="T67" s="157">
        <f t="shared" si="38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540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21"/>
        <v>8</v>
      </c>
      <c r="H68" s="195">
        <f t="shared" si="39"/>
        <v>46016</v>
      </c>
      <c r="I68" s="195">
        <f t="shared" si="40"/>
        <v>46024</v>
      </c>
      <c r="J68" s="199" t="s">
        <v>11</v>
      </c>
      <c r="K68" s="200">
        <v>1</v>
      </c>
      <c r="L68" s="201"/>
      <c r="M68" s="201"/>
      <c r="N68" s="198" t="str">
        <f t="shared" si="33"/>
        <v/>
      </c>
      <c r="O68" s="202" t="str">
        <f t="shared" si="34"/>
        <v>-</v>
      </c>
      <c r="P68" s="205">
        <f t="shared" si="35"/>
        <v>0</v>
      </c>
      <c r="Q68" s="207">
        <f t="shared" si="36"/>
        <v>0</v>
      </c>
      <c r="R68" s="204">
        <f t="shared" si="37"/>
        <v>1</v>
      </c>
      <c r="S68" s="65">
        <f t="shared" ref="S68:S99" si="41">SUM(U68:XFD68)</f>
        <v>0</v>
      </c>
      <c r="T68" s="157">
        <f t="shared" si="38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540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21"/>
        <v>8</v>
      </c>
      <c r="H69" s="195">
        <f t="shared" si="39"/>
        <v>46011</v>
      </c>
      <c r="I69" s="195">
        <f t="shared" si="40"/>
        <v>46019</v>
      </c>
      <c r="J69" s="199" t="s">
        <v>11</v>
      </c>
      <c r="K69" s="200">
        <v>1</v>
      </c>
      <c r="L69" s="201"/>
      <c r="M69" s="201"/>
      <c r="N69" s="198" t="str">
        <f t="shared" si="33"/>
        <v/>
      </c>
      <c r="O69" s="202" t="str">
        <f t="shared" si="34"/>
        <v>-</v>
      </c>
      <c r="P69" s="205">
        <f t="shared" si="35"/>
        <v>0</v>
      </c>
      <c r="Q69" s="207">
        <f t="shared" si="36"/>
        <v>0</v>
      </c>
      <c r="R69" s="204">
        <f t="shared" si="37"/>
        <v>1</v>
      </c>
      <c r="S69" s="65">
        <f t="shared" si="41"/>
        <v>0</v>
      </c>
      <c r="T69" s="157">
        <f t="shared" si="38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540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21"/>
        <v>8</v>
      </c>
      <c r="H70" s="195">
        <f t="shared" si="39"/>
        <v>46019</v>
      </c>
      <c r="I70" s="195">
        <f t="shared" si="40"/>
        <v>46027</v>
      </c>
      <c r="J70" s="199" t="s">
        <v>11</v>
      </c>
      <c r="K70" s="200">
        <v>1</v>
      </c>
      <c r="L70" s="201"/>
      <c r="M70" s="201"/>
      <c r="N70" s="198" t="str">
        <f t="shared" si="33"/>
        <v/>
      </c>
      <c r="O70" s="202" t="str">
        <f t="shared" si="34"/>
        <v>-</v>
      </c>
      <c r="P70" s="205">
        <f t="shared" si="35"/>
        <v>0</v>
      </c>
      <c r="Q70" s="207">
        <f t="shared" si="36"/>
        <v>0</v>
      </c>
      <c r="R70" s="204">
        <f t="shared" si="37"/>
        <v>1</v>
      </c>
      <c r="S70" s="65">
        <f t="shared" si="41"/>
        <v>0</v>
      </c>
      <c r="T70" s="157">
        <f t="shared" si="38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540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21"/>
        <v>11</v>
      </c>
      <c r="H71" s="195">
        <f t="shared" si="39"/>
        <v>46016</v>
      </c>
      <c r="I71" s="195">
        <f t="shared" si="40"/>
        <v>46027</v>
      </c>
      <c r="J71" s="199" t="s">
        <v>11</v>
      </c>
      <c r="K71" s="200">
        <v>1</v>
      </c>
      <c r="L71" s="201"/>
      <c r="M71" s="201"/>
      <c r="N71" s="198" t="str">
        <f t="shared" si="33"/>
        <v/>
      </c>
      <c r="O71" s="202" t="str">
        <f t="shared" si="34"/>
        <v>-</v>
      </c>
      <c r="P71" s="205">
        <f t="shared" si="35"/>
        <v>0</v>
      </c>
      <c r="Q71" s="207">
        <f t="shared" si="36"/>
        <v>0</v>
      </c>
      <c r="R71" s="204">
        <f t="shared" si="37"/>
        <v>1</v>
      </c>
      <c r="S71" s="65">
        <f t="shared" si="41"/>
        <v>0</v>
      </c>
      <c r="T71" s="157">
        <f t="shared" si="38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540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21"/>
        <v>2</v>
      </c>
      <c r="H72" s="195">
        <f t="shared" si="39"/>
        <v>46029</v>
      </c>
      <c r="I72" s="195">
        <f t="shared" si="40"/>
        <v>46031</v>
      </c>
      <c r="J72" s="199" t="s">
        <v>11</v>
      </c>
      <c r="K72" s="200">
        <v>1</v>
      </c>
      <c r="L72" s="201"/>
      <c r="M72" s="201"/>
      <c r="N72" s="198" t="str">
        <f t="shared" si="33"/>
        <v/>
      </c>
      <c r="O72" s="202" t="str">
        <f t="shared" si="34"/>
        <v>-</v>
      </c>
      <c r="P72" s="205">
        <f t="shared" si="35"/>
        <v>0</v>
      </c>
      <c r="Q72" s="207">
        <f t="shared" si="36"/>
        <v>0</v>
      </c>
      <c r="R72" s="204">
        <f t="shared" si="37"/>
        <v>1</v>
      </c>
      <c r="S72" s="65">
        <f t="shared" si="41"/>
        <v>0</v>
      </c>
      <c r="T72" s="157">
        <f t="shared" si="38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540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21"/>
        <v>30</v>
      </c>
      <c r="H73" s="195">
        <f t="shared" si="39"/>
        <v>45966</v>
      </c>
      <c r="I73" s="195">
        <f t="shared" si="40"/>
        <v>45996</v>
      </c>
      <c r="J73" s="199" t="s">
        <v>11</v>
      </c>
      <c r="K73" s="200">
        <v>1</v>
      </c>
      <c r="L73" s="201"/>
      <c r="M73" s="201"/>
      <c r="N73" s="198" t="str">
        <f t="shared" si="33"/>
        <v/>
      </c>
      <c r="O73" s="202" t="str">
        <f t="shared" si="34"/>
        <v>-</v>
      </c>
      <c r="P73" s="205">
        <f t="shared" si="35"/>
        <v>0</v>
      </c>
      <c r="Q73" s="207">
        <f t="shared" si="36"/>
        <v>0</v>
      </c>
      <c r="R73" s="204">
        <f t="shared" si="37"/>
        <v>1</v>
      </c>
      <c r="S73" s="65">
        <f t="shared" si="41"/>
        <v>0</v>
      </c>
      <c r="T73" s="157">
        <f t="shared" si="38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540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21"/>
        <v>12</v>
      </c>
      <c r="H74" s="195">
        <f t="shared" si="39"/>
        <v>46016</v>
      </c>
      <c r="I74" s="195">
        <f t="shared" si="40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2">IF(OR(M74="",L74=""),"",INT(M74-L74+1))</f>
        <v/>
      </c>
      <c r="O74" s="202" t="str">
        <f t="shared" ref="O74:O104" si="43">IFERROR(K74/N74,"-")</f>
        <v>-</v>
      </c>
      <c r="P74" s="205">
        <f t="shared" ref="P74:P104" si="44">IFERROR(SUMIF($U$2:$AT$2,"&lt;="&amp;$D$1,U74:BN74)/K74,"-")</f>
        <v>0</v>
      </c>
      <c r="Q74" s="207">
        <f t="shared" ref="Q74:Q104" si="45">SUMIF($U$2:$AT$2,"&lt;="&amp;$D$1,U74:AT74)</f>
        <v>0</v>
      </c>
      <c r="R74" s="204">
        <f t="shared" ref="R74:R104" si="46">K74-Q74</f>
        <v>1</v>
      </c>
      <c r="S74" s="65">
        <f t="shared" si="41"/>
        <v>0</v>
      </c>
      <c r="T74" s="157">
        <f t="shared" si="38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540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21"/>
        <v>12</v>
      </c>
      <c r="H75" s="195">
        <f t="shared" si="39"/>
        <v>46017</v>
      </c>
      <c r="I75" s="195">
        <f t="shared" si="40"/>
        <v>46029</v>
      </c>
      <c r="J75" s="199" t="s">
        <v>11</v>
      </c>
      <c r="K75" s="200">
        <v>1</v>
      </c>
      <c r="L75" s="201"/>
      <c r="M75" s="201"/>
      <c r="N75" s="198" t="str">
        <f t="shared" si="42"/>
        <v/>
      </c>
      <c r="O75" s="202" t="str">
        <f t="shared" si="43"/>
        <v>-</v>
      </c>
      <c r="P75" s="205">
        <f t="shared" si="44"/>
        <v>0</v>
      </c>
      <c r="Q75" s="207">
        <f t="shared" si="45"/>
        <v>0</v>
      </c>
      <c r="R75" s="204">
        <f t="shared" si="46"/>
        <v>1</v>
      </c>
      <c r="S75" s="65">
        <f t="shared" si="41"/>
        <v>0</v>
      </c>
      <c r="T75" s="157">
        <f t="shared" si="38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540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21"/>
        <v>26</v>
      </c>
      <c r="H76" s="195">
        <f t="shared" si="39"/>
        <v>45924</v>
      </c>
      <c r="I76" s="195">
        <f t="shared" si="40"/>
        <v>45950</v>
      </c>
      <c r="J76" s="199" t="s">
        <v>2</v>
      </c>
      <c r="K76" s="200">
        <v>26</v>
      </c>
      <c r="L76" s="201"/>
      <c r="M76" s="201"/>
      <c r="N76" s="198" t="str">
        <f t="shared" si="42"/>
        <v/>
      </c>
      <c r="O76" s="202" t="str">
        <f t="shared" si="43"/>
        <v>-</v>
      </c>
      <c r="P76" s="205">
        <f t="shared" si="44"/>
        <v>0</v>
      </c>
      <c r="Q76" s="207">
        <f t="shared" si="45"/>
        <v>0</v>
      </c>
      <c r="R76" s="204">
        <f t="shared" si="46"/>
        <v>26</v>
      </c>
      <c r="S76" s="65">
        <f t="shared" si="41"/>
        <v>0</v>
      </c>
      <c r="T76" s="157">
        <f t="shared" si="38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540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21"/>
        <v>52</v>
      </c>
      <c r="H77" s="195">
        <f t="shared" si="39"/>
        <v>45929</v>
      </c>
      <c r="I77" s="195">
        <f t="shared" si="40"/>
        <v>45981</v>
      </c>
      <c r="J77" s="199" t="s">
        <v>2</v>
      </c>
      <c r="K77" s="200">
        <v>26</v>
      </c>
      <c r="L77" s="201"/>
      <c r="M77" s="201"/>
      <c r="N77" s="198" t="str">
        <f t="shared" si="42"/>
        <v/>
      </c>
      <c r="O77" s="202" t="str">
        <f t="shared" si="43"/>
        <v>-</v>
      </c>
      <c r="P77" s="205">
        <f t="shared" si="44"/>
        <v>0</v>
      </c>
      <c r="Q77" s="207">
        <f t="shared" si="45"/>
        <v>0</v>
      </c>
      <c r="R77" s="204">
        <f t="shared" si="46"/>
        <v>26</v>
      </c>
      <c r="S77" s="65">
        <f t="shared" si="41"/>
        <v>0</v>
      </c>
      <c r="T77" s="157">
        <f t="shared" si="38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540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21"/>
        <v>52</v>
      </c>
      <c r="H78" s="195">
        <f t="shared" si="39"/>
        <v>45931</v>
      </c>
      <c r="I78" s="195">
        <f t="shared" si="40"/>
        <v>45983</v>
      </c>
      <c r="J78" s="199" t="s">
        <v>2</v>
      </c>
      <c r="K78" s="200">
        <v>26</v>
      </c>
      <c r="L78" s="201"/>
      <c r="M78" s="201"/>
      <c r="N78" s="198" t="str">
        <f t="shared" si="42"/>
        <v/>
      </c>
      <c r="O78" s="202" t="str">
        <f t="shared" si="43"/>
        <v>-</v>
      </c>
      <c r="P78" s="205">
        <f t="shared" si="44"/>
        <v>0</v>
      </c>
      <c r="Q78" s="207">
        <f t="shared" si="45"/>
        <v>0</v>
      </c>
      <c r="R78" s="204">
        <f t="shared" si="46"/>
        <v>26</v>
      </c>
      <c r="S78" s="65">
        <f t="shared" si="41"/>
        <v>0</v>
      </c>
      <c r="T78" s="157">
        <f t="shared" si="38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540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21"/>
        <v>158</v>
      </c>
      <c r="H79" s="195">
        <f t="shared" si="39"/>
        <v>45889</v>
      </c>
      <c r="I79" s="195">
        <f t="shared" si="40"/>
        <v>46047</v>
      </c>
      <c r="J79" s="199" t="s">
        <v>2</v>
      </c>
      <c r="K79" s="200">
        <v>26</v>
      </c>
      <c r="L79" s="201"/>
      <c r="M79" s="201"/>
      <c r="N79" s="198" t="str">
        <f t="shared" si="42"/>
        <v/>
      </c>
      <c r="O79" s="202" t="str">
        <f t="shared" si="43"/>
        <v>-</v>
      </c>
      <c r="P79" s="205">
        <f t="shared" si="44"/>
        <v>0</v>
      </c>
      <c r="Q79" s="207">
        <f t="shared" si="45"/>
        <v>0</v>
      </c>
      <c r="R79" s="204">
        <f t="shared" si="46"/>
        <v>26</v>
      </c>
      <c r="S79" s="65">
        <f t="shared" si="41"/>
        <v>0</v>
      </c>
      <c r="T79" s="157">
        <f t="shared" si="38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540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21"/>
        <v>158</v>
      </c>
      <c r="H80" s="195">
        <f t="shared" si="39"/>
        <v>45889</v>
      </c>
      <c r="I80" s="195">
        <f t="shared" si="40"/>
        <v>46047</v>
      </c>
      <c r="J80" s="199" t="s">
        <v>2</v>
      </c>
      <c r="K80" s="200">
        <v>26</v>
      </c>
      <c r="L80" s="201"/>
      <c r="M80" s="201"/>
      <c r="N80" s="198" t="str">
        <f t="shared" si="42"/>
        <v/>
      </c>
      <c r="O80" s="202" t="str">
        <f t="shared" si="43"/>
        <v>-</v>
      </c>
      <c r="P80" s="205">
        <f t="shared" si="44"/>
        <v>0</v>
      </c>
      <c r="Q80" s="207">
        <f t="shared" si="45"/>
        <v>0</v>
      </c>
      <c r="R80" s="204">
        <f t="shared" si="46"/>
        <v>26</v>
      </c>
      <c r="S80" s="65">
        <f t="shared" si="41"/>
        <v>0</v>
      </c>
      <c r="T80" s="157">
        <f t="shared" si="38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540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21"/>
        <v>158</v>
      </c>
      <c r="H81" s="195">
        <f t="shared" si="39"/>
        <v>45889</v>
      </c>
      <c r="I81" s="195">
        <f t="shared" si="40"/>
        <v>46047</v>
      </c>
      <c r="J81" s="199" t="s">
        <v>2</v>
      </c>
      <c r="K81" s="200">
        <v>26</v>
      </c>
      <c r="L81" s="201"/>
      <c r="M81" s="201"/>
      <c r="N81" s="198" t="str">
        <f t="shared" si="42"/>
        <v/>
      </c>
      <c r="O81" s="202" t="str">
        <f t="shared" si="43"/>
        <v>-</v>
      </c>
      <c r="P81" s="205">
        <f t="shared" si="44"/>
        <v>0</v>
      </c>
      <c r="Q81" s="207">
        <f t="shared" si="45"/>
        <v>0</v>
      </c>
      <c r="R81" s="204">
        <f t="shared" si="46"/>
        <v>26</v>
      </c>
      <c r="S81" s="65">
        <f t="shared" si="41"/>
        <v>0</v>
      </c>
      <c r="T81" s="157">
        <f t="shared" si="38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540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21"/>
        <v>97</v>
      </c>
      <c r="H82" s="195">
        <f t="shared" si="39"/>
        <v>45950</v>
      </c>
      <c r="I82" s="195">
        <f t="shared" si="40"/>
        <v>46047</v>
      </c>
      <c r="J82" s="199" t="s">
        <v>2</v>
      </c>
      <c r="K82" s="200">
        <v>26</v>
      </c>
      <c r="L82" s="201"/>
      <c r="M82" s="201"/>
      <c r="N82" s="198" t="str">
        <f t="shared" si="42"/>
        <v/>
      </c>
      <c r="O82" s="202" t="str">
        <f t="shared" si="43"/>
        <v>-</v>
      </c>
      <c r="P82" s="205">
        <f t="shared" si="44"/>
        <v>0</v>
      </c>
      <c r="Q82" s="207">
        <f t="shared" si="45"/>
        <v>0</v>
      </c>
      <c r="R82" s="204">
        <f t="shared" si="46"/>
        <v>26</v>
      </c>
      <c r="S82" s="65">
        <f t="shared" si="41"/>
        <v>0</v>
      </c>
      <c r="T82" s="157">
        <f t="shared" si="38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540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21"/>
        <v>40</v>
      </c>
      <c r="H83" s="195">
        <f t="shared" si="39"/>
        <v>45971</v>
      </c>
      <c r="I83" s="195">
        <f t="shared" si="40"/>
        <v>46011</v>
      </c>
      <c r="J83" s="199" t="s">
        <v>2</v>
      </c>
      <c r="K83" s="200">
        <v>26</v>
      </c>
      <c r="L83" s="201"/>
      <c r="M83" s="201"/>
      <c r="N83" s="198" t="str">
        <f t="shared" si="42"/>
        <v/>
      </c>
      <c r="O83" s="202" t="str">
        <f t="shared" si="43"/>
        <v>-</v>
      </c>
      <c r="P83" s="205">
        <f t="shared" si="44"/>
        <v>0</v>
      </c>
      <c r="Q83" s="207">
        <f t="shared" si="45"/>
        <v>0</v>
      </c>
      <c r="R83" s="204">
        <f t="shared" si="46"/>
        <v>26</v>
      </c>
      <c r="S83" s="65">
        <f t="shared" si="41"/>
        <v>0</v>
      </c>
      <c r="T83" s="157">
        <f t="shared" si="38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540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21"/>
        <v>40</v>
      </c>
      <c r="H84" s="195">
        <f t="shared" si="39"/>
        <v>45971</v>
      </c>
      <c r="I84" s="195">
        <f t="shared" si="40"/>
        <v>46011</v>
      </c>
      <c r="J84" s="199" t="s">
        <v>2</v>
      </c>
      <c r="K84" s="200">
        <v>26</v>
      </c>
      <c r="L84" s="201"/>
      <c r="M84" s="201"/>
      <c r="N84" s="198" t="str">
        <f t="shared" si="42"/>
        <v/>
      </c>
      <c r="O84" s="202" t="str">
        <f t="shared" si="43"/>
        <v>-</v>
      </c>
      <c r="P84" s="205">
        <f t="shared" si="44"/>
        <v>0</v>
      </c>
      <c r="Q84" s="207">
        <f t="shared" si="45"/>
        <v>0</v>
      </c>
      <c r="R84" s="204">
        <f t="shared" si="46"/>
        <v>26</v>
      </c>
      <c r="S84" s="65">
        <f t="shared" si="41"/>
        <v>0</v>
      </c>
      <c r="T84" s="157">
        <f t="shared" si="38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540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21"/>
        <v>40</v>
      </c>
      <c r="H85" s="195">
        <f t="shared" si="39"/>
        <v>45971</v>
      </c>
      <c r="I85" s="195">
        <f t="shared" si="40"/>
        <v>46011</v>
      </c>
      <c r="J85" s="199" t="s">
        <v>2</v>
      </c>
      <c r="K85" s="200">
        <v>26</v>
      </c>
      <c r="L85" s="201"/>
      <c r="M85" s="201"/>
      <c r="N85" s="198" t="str">
        <f t="shared" si="42"/>
        <v/>
      </c>
      <c r="O85" s="202" t="str">
        <f t="shared" si="43"/>
        <v>-</v>
      </c>
      <c r="P85" s="205">
        <f t="shared" si="44"/>
        <v>0</v>
      </c>
      <c r="Q85" s="207">
        <f t="shared" si="45"/>
        <v>0</v>
      </c>
      <c r="R85" s="204">
        <f t="shared" si="46"/>
        <v>26</v>
      </c>
      <c r="S85" s="65">
        <f t="shared" si="41"/>
        <v>0</v>
      </c>
      <c r="T85" s="157">
        <f t="shared" si="38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540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21"/>
        <v>40</v>
      </c>
      <c r="H86" s="195">
        <f t="shared" si="39"/>
        <v>45971</v>
      </c>
      <c r="I86" s="195">
        <f t="shared" si="40"/>
        <v>46011</v>
      </c>
      <c r="J86" s="199" t="s">
        <v>2</v>
      </c>
      <c r="K86" s="200">
        <v>26</v>
      </c>
      <c r="L86" s="201"/>
      <c r="M86" s="201"/>
      <c r="N86" s="198" t="str">
        <f t="shared" si="42"/>
        <v/>
      </c>
      <c r="O86" s="202" t="str">
        <f t="shared" si="43"/>
        <v>-</v>
      </c>
      <c r="P86" s="205">
        <f t="shared" si="44"/>
        <v>0</v>
      </c>
      <c r="Q86" s="207">
        <f t="shared" si="45"/>
        <v>0</v>
      </c>
      <c r="R86" s="204">
        <f t="shared" si="46"/>
        <v>26</v>
      </c>
      <c r="S86" s="65">
        <f t="shared" si="41"/>
        <v>0</v>
      </c>
      <c r="T86" s="157">
        <f t="shared" si="38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540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21"/>
        <v>40</v>
      </c>
      <c r="H87" s="195">
        <f t="shared" si="39"/>
        <v>45971</v>
      </c>
      <c r="I87" s="195">
        <f t="shared" si="40"/>
        <v>46011</v>
      </c>
      <c r="J87" s="199" t="s">
        <v>2</v>
      </c>
      <c r="K87" s="200">
        <v>26</v>
      </c>
      <c r="L87" s="201"/>
      <c r="M87" s="201"/>
      <c r="N87" s="198" t="str">
        <f t="shared" si="42"/>
        <v/>
      </c>
      <c r="O87" s="202" t="str">
        <f t="shared" si="43"/>
        <v>-</v>
      </c>
      <c r="P87" s="205">
        <f t="shared" si="44"/>
        <v>0</v>
      </c>
      <c r="Q87" s="207">
        <f t="shared" si="45"/>
        <v>0</v>
      </c>
      <c r="R87" s="204">
        <f t="shared" si="46"/>
        <v>26</v>
      </c>
      <c r="S87" s="65">
        <f t="shared" si="41"/>
        <v>0</v>
      </c>
      <c r="T87" s="157">
        <f t="shared" si="38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540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21"/>
        <v>40</v>
      </c>
      <c r="H88" s="195">
        <f t="shared" si="39"/>
        <v>45971</v>
      </c>
      <c r="I88" s="195">
        <f t="shared" si="40"/>
        <v>46011</v>
      </c>
      <c r="J88" s="199" t="s">
        <v>2</v>
      </c>
      <c r="K88" s="200">
        <v>26</v>
      </c>
      <c r="L88" s="201"/>
      <c r="M88" s="201"/>
      <c r="N88" s="198" t="str">
        <f t="shared" si="42"/>
        <v/>
      </c>
      <c r="O88" s="202" t="str">
        <f t="shared" si="43"/>
        <v>-</v>
      </c>
      <c r="P88" s="205">
        <f t="shared" si="44"/>
        <v>0</v>
      </c>
      <c r="Q88" s="207">
        <f t="shared" si="45"/>
        <v>0</v>
      </c>
      <c r="R88" s="204">
        <f t="shared" si="46"/>
        <v>26</v>
      </c>
      <c r="S88" s="65">
        <f t="shared" si="41"/>
        <v>0</v>
      </c>
      <c r="T88" s="157">
        <f t="shared" si="38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540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21"/>
        <v>8</v>
      </c>
      <c r="H89" s="195">
        <f t="shared" si="39"/>
        <v>46018</v>
      </c>
      <c r="I89" s="195">
        <f t="shared" si="40"/>
        <v>46026</v>
      </c>
      <c r="J89" s="199" t="s">
        <v>11</v>
      </c>
      <c r="K89" s="200">
        <v>1</v>
      </c>
      <c r="L89" s="201"/>
      <c r="M89" s="201"/>
      <c r="N89" s="198" t="str">
        <f t="shared" si="42"/>
        <v/>
      </c>
      <c r="O89" s="202" t="str">
        <f t="shared" si="43"/>
        <v>-</v>
      </c>
      <c r="P89" s="205">
        <f t="shared" si="44"/>
        <v>0</v>
      </c>
      <c r="Q89" s="207">
        <f t="shared" si="45"/>
        <v>0</v>
      </c>
      <c r="R89" s="204">
        <f t="shared" si="46"/>
        <v>1</v>
      </c>
      <c r="S89" s="65">
        <f t="shared" si="41"/>
        <v>0</v>
      </c>
      <c r="T89" s="157">
        <f t="shared" si="38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540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21"/>
        <v>8</v>
      </c>
      <c r="H90" s="195">
        <f t="shared" si="39"/>
        <v>46018</v>
      </c>
      <c r="I90" s="195">
        <f t="shared" si="40"/>
        <v>46026</v>
      </c>
      <c r="J90" s="199" t="s">
        <v>11</v>
      </c>
      <c r="K90" s="200">
        <v>1</v>
      </c>
      <c r="L90" s="201"/>
      <c r="M90" s="201"/>
      <c r="N90" s="198" t="str">
        <f t="shared" si="42"/>
        <v/>
      </c>
      <c r="O90" s="202" t="str">
        <f t="shared" si="43"/>
        <v>-</v>
      </c>
      <c r="P90" s="205">
        <f t="shared" si="44"/>
        <v>0</v>
      </c>
      <c r="Q90" s="207">
        <f t="shared" si="45"/>
        <v>0</v>
      </c>
      <c r="R90" s="204">
        <f t="shared" si="46"/>
        <v>1</v>
      </c>
      <c r="S90" s="65">
        <f t="shared" si="41"/>
        <v>0</v>
      </c>
      <c r="T90" s="157">
        <f t="shared" si="38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540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21"/>
        <v>8</v>
      </c>
      <c r="H91" s="195">
        <f t="shared" si="39"/>
        <v>46018</v>
      </c>
      <c r="I91" s="195">
        <f t="shared" si="40"/>
        <v>46026</v>
      </c>
      <c r="J91" s="199" t="s">
        <v>11</v>
      </c>
      <c r="K91" s="200">
        <v>1</v>
      </c>
      <c r="L91" s="201"/>
      <c r="M91" s="201"/>
      <c r="N91" s="198" t="str">
        <f t="shared" si="42"/>
        <v/>
      </c>
      <c r="O91" s="202" t="str">
        <f t="shared" si="43"/>
        <v>-</v>
      </c>
      <c r="P91" s="205">
        <f t="shared" si="44"/>
        <v>0</v>
      </c>
      <c r="Q91" s="207">
        <f t="shared" si="45"/>
        <v>0</v>
      </c>
      <c r="R91" s="204">
        <f t="shared" si="46"/>
        <v>1</v>
      </c>
      <c r="S91" s="65">
        <f t="shared" si="41"/>
        <v>0</v>
      </c>
      <c r="T91" s="157">
        <f t="shared" si="38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540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7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2"/>
        <v/>
      </c>
      <c r="O92" s="202" t="str">
        <f t="shared" si="43"/>
        <v>-</v>
      </c>
      <c r="P92" s="205">
        <f t="shared" si="44"/>
        <v>0</v>
      </c>
      <c r="Q92" s="207">
        <f t="shared" si="45"/>
        <v>0</v>
      </c>
      <c r="R92" s="204">
        <f t="shared" si="46"/>
        <v>1</v>
      </c>
      <c r="S92" s="65">
        <f t="shared" si="41"/>
        <v>0</v>
      </c>
      <c r="T92" s="157">
        <f t="shared" si="38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540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7"/>
        <v>92</v>
      </c>
      <c r="H93" s="195">
        <f t="shared" ref="H93:H120" si="48">E93</f>
        <v>45919</v>
      </c>
      <c r="I93" s="195">
        <f t="shared" ref="I93:I120" si="49">F93</f>
        <v>46011</v>
      </c>
      <c r="J93" s="199" t="s">
        <v>11</v>
      </c>
      <c r="K93" s="200">
        <v>1</v>
      </c>
      <c r="L93" s="201"/>
      <c r="M93" s="201"/>
      <c r="N93" s="198" t="str">
        <f t="shared" si="42"/>
        <v/>
      </c>
      <c r="O93" s="202" t="str">
        <f t="shared" si="43"/>
        <v>-</v>
      </c>
      <c r="P93" s="205">
        <f t="shared" si="44"/>
        <v>0</v>
      </c>
      <c r="Q93" s="207">
        <f t="shared" si="45"/>
        <v>0</v>
      </c>
      <c r="R93" s="204">
        <f t="shared" si="46"/>
        <v>1</v>
      </c>
      <c r="S93" s="65">
        <f t="shared" si="41"/>
        <v>0</v>
      </c>
      <c r="T93" s="157">
        <f t="shared" si="38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540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7"/>
        <v>66</v>
      </c>
      <c r="H94" s="195">
        <f t="shared" si="48"/>
        <v>45940</v>
      </c>
      <c r="I94" s="195">
        <f t="shared" si="49"/>
        <v>46006</v>
      </c>
      <c r="J94" s="199" t="s">
        <v>2</v>
      </c>
      <c r="K94" s="200">
        <v>26</v>
      </c>
      <c r="L94" s="201"/>
      <c r="M94" s="201"/>
      <c r="N94" s="198" t="str">
        <f t="shared" si="42"/>
        <v/>
      </c>
      <c r="O94" s="202" t="str">
        <f t="shared" si="43"/>
        <v>-</v>
      </c>
      <c r="P94" s="205">
        <f t="shared" si="44"/>
        <v>0</v>
      </c>
      <c r="Q94" s="207">
        <f t="shared" si="45"/>
        <v>0</v>
      </c>
      <c r="R94" s="204">
        <f t="shared" si="46"/>
        <v>26</v>
      </c>
      <c r="S94" s="65">
        <f t="shared" si="41"/>
        <v>0</v>
      </c>
      <c r="T94" s="157">
        <f t="shared" si="38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540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7"/>
        <v>19</v>
      </c>
      <c r="H95" s="195">
        <f t="shared" si="48"/>
        <v>45992</v>
      </c>
      <c r="I95" s="195">
        <f t="shared" si="49"/>
        <v>46011</v>
      </c>
      <c r="J95" s="199" t="s">
        <v>2</v>
      </c>
      <c r="K95" s="200">
        <v>26</v>
      </c>
      <c r="L95" s="201"/>
      <c r="M95" s="201"/>
      <c r="N95" s="198" t="str">
        <f t="shared" si="42"/>
        <v/>
      </c>
      <c r="O95" s="202" t="str">
        <f t="shared" si="43"/>
        <v>-</v>
      </c>
      <c r="P95" s="205">
        <f t="shared" si="44"/>
        <v>0</v>
      </c>
      <c r="Q95" s="207">
        <f t="shared" si="45"/>
        <v>0</v>
      </c>
      <c r="R95" s="204">
        <f t="shared" si="46"/>
        <v>26</v>
      </c>
      <c r="S95" s="65">
        <f t="shared" si="41"/>
        <v>0</v>
      </c>
      <c r="T95" s="157">
        <f t="shared" si="38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540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7"/>
        <v>34</v>
      </c>
      <c r="H96" s="195">
        <f t="shared" si="48"/>
        <v>45962</v>
      </c>
      <c r="I96" s="195">
        <f t="shared" si="49"/>
        <v>45996</v>
      </c>
      <c r="J96" s="199" t="s">
        <v>2</v>
      </c>
      <c r="K96" s="200">
        <v>26</v>
      </c>
      <c r="L96" s="201"/>
      <c r="M96" s="201"/>
      <c r="N96" s="198" t="str">
        <f t="shared" si="42"/>
        <v/>
      </c>
      <c r="O96" s="202" t="str">
        <f t="shared" si="43"/>
        <v>-</v>
      </c>
      <c r="P96" s="205">
        <f t="shared" si="44"/>
        <v>0</v>
      </c>
      <c r="Q96" s="207">
        <f t="shared" si="45"/>
        <v>0</v>
      </c>
      <c r="R96" s="204">
        <f t="shared" si="46"/>
        <v>26</v>
      </c>
      <c r="S96" s="65">
        <f t="shared" si="41"/>
        <v>0</v>
      </c>
      <c r="T96" s="157">
        <f t="shared" si="38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554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7"/>
        <v>30</v>
      </c>
      <c r="H97" s="195">
        <f t="shared" si="48"/>
        <v>45986</v>
      </c>
      <c r="I97" s="195">
        <f t="shared" si="49"/>
        <v>46016</v>
      </c>
      <c r="J97" s="199" t="s">
        <v>2</v>
      </c>
      <c r="K97" s="200">
        <v>26</v>
      </c>
      <c r="L97" s="201"/>
      <c r="M97" s="201"/>
      <c r="N97" s="198" t="str">
        <f t="shared" si="42"/>
        <v/>
      </c>
      <c r="O97" s="202" t="str">
        <f t="shared" si="43"/>
        <v>-</v>
      </c>
      <c r="P97" s="205">
        <f t="shared" si="44"/>
        <v>0</v>
      </c>
      <c r="Q97" s="207">
        <f t="shared" si="45"/>
        <v>0</v>
      </c>
      <c r="R97" s="204">
        <f t="shared" si="46"/>
        <v>26</v>
      </c>
      <c r="S97" s="65">
        <f t="shared" si="41"/>
        <v>0</v>
      </c>
      <c r="T97" s="157">
        <f t="shared" si="38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554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7"/>
        <v>24</v>
      </c>
      <c r="H98" s="195">
        <f t="shared" si="48"/>
        <v>45984</v>
      </c>
      <c r="I98" s="195">
        <f t="shared" si="49"/>
        <v>46008</v>
      </c>
      <c r="J98" s="199" t="s">
        <v>2</v>
      </c>
      <c r="K98" s="200">
        <v>26</v>
      </c>
      <c r="L98" s="201"/>
      <c r="M98" s="201"/>
      <c r="N98" s="198" t="str">
        <f t="shared" si="42"/>
        <v/>
      </c>
      <c r="O98" s="202" t="str">
        <f t="shared" si="43"/>
        <v>-</v>
      </c>
      <c r="P98" s="205">
        <f t="shared" si="44"/>
        <v>0</v>
      </c>
      <c r="Q98" s="207">
        <f t="shared" si="45"/>
        <v>0</v>
      </c>
      <c r="R98" s="204">
        <f t="shared" si="46"/>
        <v>26</v>
      </c>
      <c r="S98" s="65">
        <f t="shared" si="41"/>
        <v>0</v>
      </c>
      <c r="T98" s="157">
        <f t="shared" si="38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554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7"/>
        <v>19</v>
      </c>
      <c r="H99" s="195">
        <f t="shared" si="48"/>
        <v>45988</v>
      </c>
      <c r="I99" s="195">
        <f t="shared" si="49"/>
        <v>46007</v>
      </c>
      <c r="J99" s="199" t="s">
        <v>2</v>
      </c>
      <c r="K99" s="200">
        <v>26</v>
      </c>
      <c r="L99" s="201"/>
      <c r="M99" s="201"/>
      <c r="N99" s="198" t="str">
        <f t="shared" si="42"/>
        <v/>
      </c>
      <c r="O99" s="202" t="str">
        <f t="shared" si="43"/>
        <v>-</v>
      </c>
      <c r="P99" s="205">
        <f t="shared" si="44"/>
        <v>0</v>
      </c>
      <c r="Q99" s="207">
        <f t="shared" si="45"/>
        <v>0</v>
      </c>
      <c r="R99" s="204">
        <f t="shared" si="46"/>
        <v>26</v>
      </c>
      <c r="S99" s="65">
        <f t="shared" si="41"/>
        <v>0</v>
      </c>
      <c r="T99" s="157">
        <f t="shared" si="38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554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7"/>
        <v>6</v>
      </c>
      <c r="H100" s="195">
        <f t="shared" si="48"/>
        <v>45978</v>
      </c>
      <c r="I100" s="195">
        <f t="shared" si="49"/>
        <v>45984</v>
      </c>
      <c r="J100" s="199" t="s">
        <v>2</v>
      </c>
      <c r="K100" s="200">
        <v>26</v>
      </c>
      <c r="L100" s="201"/>
      <c r="M100" s="201"/>
      <c r="N100" s="198" t="str">
        <f t="shared" si="42"/>
        <v/>
      </c>
      <c r="O100" s="202" t="str">
        <f t="shared" si="43"/>
        <v>-</v>
      </c>
      <c r="P100" s="205">
        <f t="shared" si="44"/>
        <v>0</v>
      </c>
      <c r="Q100" s="207">
        <f t="shared" si="45"/>
        <v>0</v>
      </c>
      <c r="R100" s="204">
        <f t="shared" si="46"/>
        <v>26</v>
      </c>
      <c r="S100" s="65">
        <f t="shared" ref="S100:S120" si="50">SUM(U100:XFD100)</f>
        <v>0</v>
      </c>
      <c r="T100" s="157">
        <f t="shared" si="38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554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7"/>
        <v>4</v>
      </c>
      <c r="H101" s="195">
        <f t="shared" si="48"/>
        <v>45985</v>
      </c>
      <c r="I101" s="195">
        <f t="shared" si="49"/>
        <v>45989</v>
      </c>
      <c r="J101" s="199" t="s">
        <v>2</v>
      </c>
      <c r="K101" s="200">
        <v>26</v>
      </c>
      <c r="L101" s="201"/>
      <c r="M101" s="201"/>
      <c r="N101" s="198" t="str">
        <f t="shared" si="42"/>
        <v/>
      </c>
      <c r="O101" s="202" t="str">
        <f t="shared" si="43"/>
        <v>-</v>
      </c>
      <c r="P101" s="205">
        <f t="shared" si="44"/>
        <v>0</v>
      </c>
      <c r="Q101" s="207">
        <f t="shared" si="45"/>
        <v>0</v>
      </c>
      <c r="R101" s="204">
        <f t="shared" si="46"/>
        <v>26</v>
      </c>
      <c r="S101" s="65">
        <f t="shared" si="50"/>
        <v>0</v>
      </c>
      <c r="T101" s="157">
        <f t="shared" si="38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554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7"/>
        <v>7</v>
      </c>
      <c r="H102" s="195">
        <f t="shared" si="48"/>
        <v>45985</v>
      </c>
      <c r="I102" s="195">
        <f t="shared" si="49"/>
        <v>45992</v>
      </c>
      <c r="J102" s="199" t="s">
        <v>2</v>
      </c>
      <c r="K102" s="200">
        <v>26</v>
      </c>
      <c r="L102" s="201"/>
      <c r="M102" s="201"/>
      <c r="N102" s="198" t="str">
        <f t="shared" si="42"/>
        <v/>
      </c>
      <c r="O102" s="202" t="str">
        <f t="shared" si="43"/>
        <v>-</v>
      </c>
      <c r="P102" s="205">
        <f t="shared" si="44"/>
        <v>0</v>
      </c>
      <c r="Q102" s="207">
        <f t="shared" si="45"/>
        <v>0</v>
      </c>
      <c r="R102" s="204">
        <f t="shared" si="46"/>
        <v>26</v>
      </c>
      <c r="S102" s="65">
        <f t="shared" si="50"/>
        <v>0</v>
      </c>
      <c r="T102" s="157">
        <f t="shared" si="38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554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7"/>
        <v>29</v>
      </c>
      <c r="H103" s="195">
        <f t="shared" si="48"/>
        <v>45988</v>
      </c>
      <c r="I103" s="195">
        <f t="shared" si="49"/>
        <v>46017</v>
      </c>
      <c r="J103" s="199" t="s">
        <v>2</v>
      </c>
      <c r="K103" s="200">
        <v>26</v>
      </c>
      <c r="L103" s="201"/>
      <c r="M103" s="201"/>
      <c r="N103" s="198" t="str">
        <f t="shared" si="42"/>
        <v/>
      </c>
      <c r="O103" s="202" t="str">
        <f t="shared" si="43"/>
        <v>-</v>
      </c>
      <c r="P103" s="205">
        <f t="shared" si="44"/>
        <v>0</v>
      </c>
      <c r="Q103" s="207">
        <f t="shared" si="45"/>
        <v>0</v>
      </c>
      <c r="R103" s="204">
        <f t="shared" si="46"/>
        <v>26</v>
      </c>
      <c r="S103" s="65">
        <f t="shared" si="50"/>
        <v>0</v>
      </c>
      <c r="T103" s="157">
        <f t="shared" si="38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554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7"/>
        <v>31</v>
      </c>
      <c r="H104" s="195">
        <f t="shared" si="48"/>
        <v>45997</v>
      </c>
      <c r="I104" s="195">
        <f t="shared" si="49"/>
        <v>46028</v>
      </c>
      <c r="J104" s="199" t="s">
        <v>2</v>
      </c>
      <c r="K104" s="200">
        <v>26</v>
      </c>
      <c r="L104" s="201"/>
      <c r="M104" s="201"/>
      <c r="N104" s="198" t="str">
        <f t="shared" si="42"/>
        <v/>
      </c>
      <c r="O104" s="202" t="str">
        <f t="shared" si="43"/>
        <v>-</v>
      </c>
      <c r="P104" s="205">
        <f t="shared" si="44"/>
        <v>0</v>
      </c>
      <c r="Q104" s="207">
        <f t="shared" si="45"/>
        <v>0</v>
      </c>
      <c r="R104" s="204">
        <f t="shared" si="46"/>
        <v>26</v>
      </c>
      <c r="S104" s="65">
        <f t="shared" si="50"/>
        <v>0</v>
      </c>
      <c r="T104" s="157">
        <f t="shared" si="38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554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7"/>
        <v>-2</v>
      </c>
      <c r="H105" s="195">
        <f t="shared" si="48"/>
        <v>46006</v>
      </c>
      <c r="I105" s="195">
        <f t="shared" si="49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51">IF(OR(M105="",L105=""),"",INT(M105-L105+1))</f>
        <v/>
      </c>
      <c r="O105" s="202" t="str">
        <f t="shared" ref="O105:O120" si="52">IFERROR(K105/N105,"-")</f>
        <v>-</v>
      </c>
      <c r="P105" s="205">
        <f t="shared" ref="P105:P120" si="53">IFERROR(SUMIF($U$2:$AT$2,"&lt;="&amp;$D$1,U105:BN105)/K105,"-")</f>
        <v>0</v>
      </c>
      <c r="Q105" s="207">
        <f t="shared" ref="Q105:Q120" si="54">SUMIF($U$2:$AT$2,"&lt;="&amp;$D$1,U105:AT105)</f>
        <v>0</v>
      </c>
      <c r="R105" s="204">
        <f t="shared" ref="R105:R115" si="55">K105-Q105</f>
        <v>26</v>
      </c>
      <c r="S105" s="65">
        <f t="shared" si="50"/>
        <v>0</v>
      </c>
      <c r="T105" s="157">
        <f t="shared" si="38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554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7"/>
        <v>16</v>
      </c>
      <c r="H106" s="195">
        <f t="shared" si="48"/>
        <v>46016</v>
      </c>
      <c r="I106" s="195">
        <f t="shared" si="49"/>
        <v>46032</v>
      </c>
      <c r="J106" s="199" t="s">
        <v>2</v>
      </c>
      <c r="K106" s="200">
        <v>26</v>
      </c>
      <c r="L106" s="201"/>
      <c r="M106" s="201"/>
      <c r="N106" s="198" t="str">
        <f t="shared" si="51"/>
        <v/>
      </c>
      <c r="O106" s="202" t="str">
        <f t="shared" si="52"/>
        <v>-</v>
      </c>
      <c r="P106" s="205">
        <f t="shared" si="53"/>
        <v>0</v>
      </c>
      <c r="Q106" s="207">
        <f t="shared" si="54"/>
        <v>0</v>
      </c>
      <c r="R106" s="204">
        <f t="shared" si="55"/>
        <v>26</v>
      </c>
      <c r="S106" s="65">
        <f t="shared" si="50"/>
        <v>0</v>
      </c>
      <c r="T106" s="157">
        <f t="shared" si="38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554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7"/>
        <v>52</v>
      </c>
      <c r="H107" s="195">
        <f t="shared" si="48"/>
        <v>45914</v>
      </c>
      <c r="I107" s="195">
        <f t="shared" si="49"/>
        <v>45966</v>
      </c>
      <c r="J107" s="209" t="s">
        <v>13</v>
      </c>
      <c r="K107" s="200">
        <v>1173</v>
      </c>
      <c r="L107" s="201"/>
      <c r="M107" s="201"/>
      <c r="N107" s="198" t="str">
        <f t="shared" si="51"/>
        <v/>
      </c>
      <c r="O107" s="202" t="str">
        <f t="shared" si="52"/>
        <v>-</v>
      </c>
      <c r="P107" s="205">
        <f t="shared" si="53"/>
        <v>0</v>
      </c>
      <c r="Q107" s="207">
        <f t="shared" si="54"/>
        <v>0</v>
      </c>
      <c r="R107" s="204">
        <f t="shared" si="55"/>
        <v>1173</v>
      </c>
      <c r="S107" s="65">
        <f t="shared" si="50"/>
        <v>0</v>
      </c>
      <c r="T107" s="157">
        <f t="shared" si="38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554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7"/>
        <v>39</v>
      </c>
      <c r="H108" s="195">
        <f t="shared" si="48"/>
        <v>45935</v>
      </c>
      <c r="I108" s="195">
        <f t="shared" si="49"/>
        <v>45974</v>
      </c>
      <c r="J108" s="209" t="s">
        <v>13</v>
      </c>
      <c r="K108" s="200">
        <v>1173</v>
      </c>
      <c r="L108" s="201"/>
      <c r="M108" s="201"/>
      <c r="N108" s="198" t="str">
        <f t="shared" si="51"/>
        <v/>
      </c>
      <c r="O108" s="202" t="str">
        <f t="shared" si="52"/>
        <v>-</v>
      </c>
      <c r="P108" s="205">
        <f t="shared" si="53"/>
        <v>0</v>
      </c>
      <c r="Q108" s="207">
        <f t="shared" si="54"/>
        <v>0</v>
      </c>
      <c r="R108" s="204">
        <f t="shared" si="55"/>
        <v>1173</v>
      </c>
      <c r="S108" s="65">
        <f t="shared" si="50"/>
        <v>0</v>
      </c>
      <c r="T108" s="157">
        <f t="shared" si="38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554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7"/>
        <v>20</v>
      </c>
      <c r="H109" s="195">
        <f t="shared" si="48"/>
        <v>45976</v>
      </c>
      <c r="I109" s="195">
        <f t="shared" si="49"/>
        <v>45996</v>
      </c>
      <c r="J109" s="209" t="s">
        <v>13</v>
      </c>
      <c r="K109" s="200">
        <v>1173</v>
      </c>
      <c r="L109" s="201"/>
      <c r="M109" s="201"/>
      <c r="N109" s="198" t="str">
        <f t="shared" si="51"/>
        <v/>
      </c>
      <c r="O109" s="202" t="str">
        <f t="shared" si="52"/>
        <v>-</v>
      </c>
      <c r="P109" s="205">
        <f t="shared" si="53"/>
        <v>0</v>
      </c>
      <c r="Q109" s="207">
        <f t="shared" si="54"/>
        <v>0</v>
      </c>
      <c r="R109" s="204">
        <f t="shared" si="55"/>
        <v>1173</v>
      </c>
      <c r="S109" s="65">
        <f t="shared" si="50"/>
        <v>0</v>
      </c>
      <c r="T109" s="157">
        <f t="shared" si="38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554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7"/>
        <v>22</v>
      </c>
      <c r="H110" s="195">
        <f t="shared" si="48"/>
        <v>45979</v>
      </c>
      <c r="I110" s="195">
        <f t="shared" si="49"/>
        <v>46001</v>
      </c>
      <c r="J110" s="209" t="s">
        <v>13</v>
      </c>
      <c r="K110" s="200">
        <v>1173</v>
      </c>
      <c r="L110" s="201"/>
      <c r="M110" s="201"/>
      <c r="N110" s="198" t="str">
        <f t="shared" si="51"/>
        <v/>
      </c>
      <c r="O110" s="202" t="str">
        <f t="shared" si="52"/>
        <v>-</v>
      </c>
      <c r="P110" s="205">
        <f t="shared" si="53"/>
        <v>0</v>
      </c>
      <c r="Q110" s="207">
        <f t="shared" si="54"/>
        <v>0</v>
      </c>
      <c r="R110" s="204">
        <f t="shared" si="55"/>
        <v>1173</v>
      </c>
      <c r="S110" s="65">
        <f t="shared" si="50"/>
        <v>0</v>
      </c>
      <c r="T110" s="157">
        <f t="shared" si="38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554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7"/>
        <v>-5</v>
      </c>
      <c r="H111" s="195">
        <f t="shared" si="48"/>
        <v>45986</v>
      </c>
      <c r="I111" s="195">
        <f t="shared" si="49"/>
        <v>45981</v>
      </c>
      <c r="J111" s="209" t="s">
        <v>13</v>
      </c>
      <c r="K111" s="200">
        <v>1173</v>
      </c>
      <c r="L111" s="201"/>
      <c r="M111" s="201"/>
      <c r="N111" s="198" t="str">
        <f t="shared" si="51"/>
        <v/>
      </c>
      <c r="O111" s="202" t="str">
        <f t="shared" si="52"/>
        <v>-</v>
      </c>
      <c r="P111" s="205">
        <f t="shared" si="53"/>
        <v>0</v>
      </c>
      <c r="Q111" s="207">
        <f t="shared" si="54"/>
        <v>0</v>
      </c>
      <c r="R111" s="204">
        <f t="shared" si="55"/>
        <v>1173</v>
      </c>
      <c r="S111" s="65">
        <f t="shared" si="50"/>
        <v>0</v>
      </c>
      <c r="T111" s="157">
        <f t="shared" si="38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554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7"/>
        <v>162</v>
      </c>
      <c r="H112" s="195">
        <f t="shared" si="48"/>
        <v>45859</v>
      </c>
      <c r="I112" s="195">
        <f t="shared" si="49"/>
        <v>46021</v>
      </c>
      <c r="J112" s="199" t="s">
        <v>2</v>
      </c>
      <c r="K112" s="200">
        <v>26</v>
      </c>
      <c r="L112" s="201"/>
      <c r="M112" s="201"/>
      <c r="N112" s="198" t="str">
        <f t="shared" si="51"/>
        <v/>
      </c>
      <c r="O112" s="202" t="str">
        <f t="shared" si="52"/>
        <v>-</v>
      </c>
      <c r="P112" s="205">
        <f t="shared" si="53"/>
        <v>0</v>
      </c>
      <c r="Q112" s="207">
        <f t="shared" si="54"/>
        <v>0</v>
      </c>
      <c r="R112" s="204">
        <f t="shared" si="55"/>
        <v>26</v>
      </c>
      <c r="S112" s="65">
        <f t="shared" si="50"/>
        <v>0</v>
      </c>
      <c r="T112" s="157">
        <f t="shared" si="38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554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7"/>
        <v>15</v>
      </c>
      <c r="H113" s="195">
        <f t="shared" si="48"/>
        <v>45926</v>
      </c>
      <c r="I113" s="195">
        <f t="shared" si="49"/>
        <v>45941</v>
      </c>
      <c r="J113" s="199" t="s">
        <v>2</v>
      </c>
      <c r="K113" s="200">
        <v>26</v>
      </c>
      <c r="L113" s="201"/>
      <c r="M113" s="201"/>
      <c r="N113" s="198" t="str">
        <f t="shared" si="51"/>
        <v/>
      </c>
      <c r="O113" s="202" t="str">
        <f t="shared" si="52"/>
        <v>-</v>
      </c>
      <c r="P113" s="205">
        <f t="shared" si="53"/>
        <v>0</v>
      </c>
      <c r="Q113" s="207">
        <f t="shared" si="54"/>
        <v>0</v>
      </c>
      <c r="R113" s="204">
        <f t="shared" si="55"/>
        <v>26</v>
      </c>
      <c r="S113" s="65">
        <f t="shared" si="50"/>
        <v>0</v>
      </c>
      <c r="T113" s="157">
        <f t="shared" si="38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554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7"/>
        <v>100</v>
      </c>
      <c r="H114" s="195">
        <f t="shared" si="48"/>
        <v>45929</v>
      </c>
      <c r="I114" s="195">
        <f t="shared" si="49"/>
        <v>46029</v>
      </c>
      <c r="J114" s="199" t="s">
        <v>2</v>
      </c>
      <c r="K114" s="200">
        <v>26</v>
      </c>
      <c r="L114" s="201"/>
      <c r="M114" s="201"/>
      <c r="N114" s="198" t="str">
        <f t="shared" si="51"/>
        <v/>
      </c>
      <c r="O114" s="202" t="str">
        <f t="shared" si="52"/>
        <v>-</v>
      </c>
      <c r="P114" s="205">
        <f t="shared" si="53"/>
        <v>0</v>
      </c>
      <c r="Q114" s="207">
        <f t="shared" si="54"/>
        <v>0</v>
      </c>
      <c r="R114" s="204">
        <f t="shared" si="55"/>
        <v>26</v>
      </c>
      <c r="S114" s="65">
        <f t="shared" si="50"/>
        <v>0</v>
      </c>
      <c r="T114" s="157">
        <f t="shared" si="38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554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7"/>
        <v>102</v>
      </c>
      <c r="H115" s="195">
        <f t="shared" si="48"/>
        <v>45940</v>
      </c>
      <c r="I115" s="195">
        <f t="shared" si="49"/>
        <v>46042</v>
      </c>
      <c r="J115" s="199" t="s">
        <v>2</v>
      </c>
      <c r="K115" s="200">
        <v>26</v>
      </c>
      <c r="L115" s="201"/>
      <c r="M115" s="201"/>
      <c r="N115" s="198" t="str">
        <f t="shared" si="51"/>
        <v/>
      </c>
      <c r="O115" s="202" t="str">
        <f t="shared" si="52"/>
        <v>-</v>
      </c>
      <c r="P115" s="205">
        <f t="shared" si="53"/>
        <v>0</v>
      </c>
      <c r="Q115" s="207">
        <f t="shared" si="54"/>
        <v>0</v>
      </c>
      <c r="R115" s="204">
        <f t="shared" si="55"/>
        <v>26</v>
      </c>
      <c r="S115" s="65">
        <f t="shared" si="50"/>
        <v>0</v>
      </c>
      <c r="T115" s="157">
        <f t="shared" si="38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554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7"/>
        <v>66</v>
      </c>
      <c r="H116" s="195">
        <f t="shared" si="48"/>
        <v>45966</v>
      </c>
      <c r="I116" s="195">
        <f t="shared" si="49"/>
        <v>46032</v>
      </c>
      <c r="J116" s="199" t="s">
        <v>12</v>
      </c>
      <c r="K116" s="200">
        <v>100</v>
      </c>
      <c r="L116" s="201"/>
      <c r="M116" s="201"/>
      <c r="N116" s="198" t="str">
        <f t="shared" si="51"/>
        <v/>
      </c>
      <c r="O116" s="202" t="str">
        <f t="shared" si="52"/>
        <v>-</v>
      </c>
      <c r="P116" s="205">
        <f t="shared" si="53"/>
        <v>0</v>
      </c>
      <c r="Q116" s="207">
        <f t="shared" si="54"/>
        <v>0</v>
      </c>
      <c r="R116" s="204">
        <f>K116-Q116%</f>
        <v>100</v>
      </c>
      <c r="S116" s="65">
        <f t="shared" si="50"/>
        <v>0</v>
      </c>
      <c r="T116" s="157">
        <f t="shared" si="38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554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7"/>
        <v>29</v>
      </c>
      <c r="H117" s="195">
        <f t="shared" si="48"/>
        <v>46011</v>
      </c>
      <c r="I117" s="195">
        <f t="shared" si="49"/>
        <v>46040</v>
      </c>
      <c r="J117" s="199" t="s">
        <v>12</v>
      </c>
      <c r="K117" s="200">
        <v>100</v>
      </c>
      <c r="L117" s="201"/>
      <c r="M117" s="201"/>
      <c r="N117" s="198" t="str">
        <f t="shared" si="51"/>
        <v/>
      </c>
      <c r="O117" s="202" t="str">
        <f t="shared" si="52"/>
        <v>-</v>
      </c>
      <c r="P117" s="205">
        <f t="shared" si="53"/>
        <v>0</v>
      </c>
      <c r="Q117" s="207">
        <f t="shared" si="54"/>
        <v>0</v>
      </c>
      <c r="R117" s="204">
        <f>K117-Q117</f>
        <v>100</v>
      </c>
      <c r="S117" s="65">
        <f t="shared" si="50"/>
        <v>0</v>
      </c>
      <c r="T117" s="157">
        <f t="shared" si="38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554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7"/>
        <v>19</v>
      </c>
      <c r="H118" s="195">
        <f t="shared" si="48"/>
        <v>46012</v>
      </c>
      <c r="I118" s="195">
        <f t="shared" si="49"/>
        <v>46031</v>
      </c>
      <c r="J118" s="199" t="s">
        <v>12</v>
      </c>
      <c r="K118" s="200">
        <v>100</v>
      </c>
      <c r="L118" s="201"/>
      <c r="M118" s="201"/>
      <c r="N118" s="198" t="str">
        <f t="shared" si="51"/>
        <v/>
      </c>
      <c r="O118" s="202" t="str">
        <f t="shared" si="52"/>
        <v>-</v>
      </c>
      <c r="P118" s="205">
        <f t="shared" si="53"/>
        <v>0</v>
      </c>
      <c r="Q118" s="207">
        <f t="shared" si="54"/>
        <v>0</v>
      </c>
      <c r="R118" s="204">
        <f>K118-Q118</f>
        <v>100</v>
      </c>
      <c r="S118" s="65">
        <f t="shared" si="50"/>
        <v>0</v>
      </c>
      <c r="T118" s="157">
        <f t="shared" si="38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554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7"/>
        <v>15</v>
      </c>
      <c r="H119" s="195">
        <f t="shared" si="48"/>
        <v>46032</v>
      </c>
      <c r="I119" s="195">
        <f t="shared" si="49"/>
        <v>46047</v>
      </c>
      <c r="J119" s="199" t="s">
        <v>12</v>
      </c>
      <c r="K119" s="200">
        <v>100</v>
      </c>
      <c r="L119" s="201"/>
      <c r="M119" s="201"/>
      <c r="N119" s="198" t="str">
        <f t="shared" si="51"/>
        <v/>
      </c>
      <c r="O119" s="202" t="str">
        <f t="shared" si="52"/>
        <v>-</v>
      </c>
      <c r="P119" s="205">
        <f t="shared" si="53"/>
        <v>0</v>
      </c>
      <c r="Q119" s="207">
        <f t="shared" si="54"/>
        <v>0</v>
      </c>
      <c r="R119" s="204">
        <f>K119-Q119</f>
        <v>100</v>
      </c>
      <c r="S119" s="65">
        <f t="shared" si="50"/>
        <v>0</v>
      </c>
      <c r="T119" s="157">
        <f t="shared" ref="T119:T120" si="56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554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7"/>
        <v>10</v>
      </c>
      <c r="H120" s="195">
        <f t="shared" si="48"/>
        <v>46048</v>
      </c>
      <c r="I120" s="195">
        <f t="shared" si="49"/>
        <v>46058</v>
      </c>
      <c r="J120" s="199" t="s">
        <v>12</v>
      </c>
      <c r="K120" s="200">
        <v>100</v>
      </c>
      <c r="L120" s="201"/>
      <c r="M120" s="201"/>
      <c r="N120" s="198" t="str">
        <f t="shared" si="51"/>
        <v/>
      </c>
      <c r="O120" s="202" t="str">
        <f t="shared" si="52"/>
        <v>-</v>
      </c>
      <c r="P120" s="205">
        <f t="shared" si="53"/>
        <v>0</v>
      </c>
      <c r="Q120" s="207">
        <f t="shared" si="54"/>
        <v>0</v>
      </c>
      <c r="R120" s="204">
        <f>K120-Q120</f>
        <v>100</v>
      </c>
      <c r="S120" s="65">
        <f t="shared" si="50"/>
        <v>0</v>
      </c>
      <c r="T120" s="157">
        <f t="shared" si="56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545"/>
    </row>
    <row r="122" spans="2:110" x14ac:dyDescent="0.4">
      <c r="B122" s="546"/>
    </row>
    <row r="123" spans="2:110" x14ac:dyDescent="0.4">
      <c r="B123" s="546"/>
    </row>
    <row r="124" spans="2:110" x14ac:dyDescent="0.4">
      <c r="B124" s="546"/>
    </row>
    <row r="125" spans="2:110" x14ac:dyDescent="0.4">
      <c r="B125" s="546"/>
    </row>
    <row r="126" spans="2:110" x14ac:dyDescent="0.4">
      <c r="B126" s="546"/>
    </row>
    <row r="127" spans="2:110" x14ac:dyDescent="0.4">
      <c r="B127" s="546"/>
    </row>
    <row r="128" spans="2:110" x14ac:dyDescent="0.4">
      <c r="B128" s="546"/>
      <c r="K128" s="150"/>
    </row>
    <row r="129" spans="11:11" x14ac:dyDescent="0.4">
      <c r="K129" s="150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55" t="s">
        <v>297</v>
      </c>
      <c r="B1" s="556"/>
      <c r="C1" s="556"/>
      <c r="D1" s="556"/>
      <c r="E1" s="556"/>
      <c r="F1" s="55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45903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542" t="s">
        <v>96</v>
      </c>
      <c r="C2" s="543" t="s">
        <v>97</v>
      </c>
      <c r="D2" s="539" t="s">
        <v>98</v>
      </c>
      <c r="E2" s="549" t="s">
        <v>306</v>
      </c>
      <c r="F2" s="549" t="s">
        <v>307</v>
      </c>
      <c r="G2" s="549" t="s">
        <v>308</v>
      </c>
      <c r="H2" s="549" t="s">
        <v>309</v>
      </c>
      <c r="I2" s="543" t="s">
        <v>99</v>
      </c>
      <c r="J2" s="537" t="s">
        <v>1</v>
      </c>
      <c r="K2" s="558" t="s">
        <v>100</v>
      </c>
      <c r="L2" s="558" t="s">
        <v>101</v>
      </c>
      <c r="M2" s="539" t="s">
        <v>102</v>
      </c>
      <c r="N2" s="539" t="s">
        <v>103</v>
      </c>
      <c r="O2" s="539" t="s">
        <v>255</v>
      </c>
      <c r="P2" s="537" t="s">
        <v>104</v>
      </c>
      <c r="Q2" s="537" t="s">
        <v>105</v>
      </c>
      <c r="R2" s="538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42"/>
      <c r="C3" s="543"/>
      <c r="D3" s="539"/>
      <c r="E3" s="550"/>
      <c r="F3" s="550"/>
      <c r="G3" s="550"/>
      <c r="H3" s="550"/>
      <c r="I3" s="543"/>
      <c r="J3" s="537"/>
      <c r="K3" s="559"/>
      <c r="L3" s="559"/>
      <c r="M3" s="539"/>
      <c r="N3" s="539"/>
      <c r="O3" s="539"/>
      <c r="P3" s="537"/>
      <c r="Q3" s="537"/>
      <c r="R3" s="538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540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540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540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540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540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540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540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540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540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540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540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540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540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540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540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540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540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540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540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540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540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540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540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540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540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540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540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540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540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540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540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540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540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540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540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540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540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540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540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540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540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540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540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540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540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540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540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540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540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540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540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540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540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540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540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540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540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540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540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540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540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540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540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540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540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540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540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540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540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540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540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540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540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540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540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540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540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540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540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540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540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540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540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540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540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540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540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540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540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540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540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540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540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540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540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540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540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540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540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540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540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540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540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540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540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540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540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540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540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540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540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540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540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540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540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540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540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540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540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540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540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540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540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540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540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54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54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54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54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54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54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54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54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54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54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54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54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54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54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54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54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54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54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54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54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54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54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54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54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54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54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54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2025-09-03T04:25:46Z</dcterms:modified>
</cp:coreProperties>
</file>