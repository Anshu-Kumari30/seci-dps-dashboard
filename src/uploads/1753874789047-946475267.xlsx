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28" documentId="8_{185E70A5-2E45-42E2-9960-D820FE27ACB4}" xr6:coauthVersionLast="47" xr6:coauthVersionMax="47" xr10:uidLastSave="{E941C9E5-E6CB-4DA7-B168-E2DA9E056907}"/>
  <bookViews>
    <workbookView xWindow="-110" yWindow="-110" windowWidth="19420" windowHeight="10300" tabRatio="865" activeTab="7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 (2)" sheetId="23" r:id="rId7"/>
    <sheet name="Construction Status" sheetId="11" r:id="rId8"/>
    <sheet name="MDL" sheetId="21" state="hidden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  <externalReference r:id="rId14"/>
  </externalReferences>
  <definedNames>
    <definedName name="_xlnm._FilterDatabase" localSheetId="7" hidden="1">'Construction Status'!$B$1:$BN$120</definedName>
    <definedName name="_xlnm._FilterDatabase" localSheetId="11" hidden="1">'Construction Status (2)'!$B$1:$BL$156</definedName>
    <definedName name="_xlnm._FilterDatabase" localSheetId="8" hidden="1">MDL!$A$2:$AB$206</definedName>
    <definedName name="_xlnm._FilterDatabase" localSheetId="6" hidden="1">'MDL (2)'!$A$2:$U$219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1" l="1"/>
  <c r="D1" i="11"/>
  <c r="N4" i="8" l="1"/>
  <c r="K6" i="8"/>
  <c r="A26" i="14" l="1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9" i="8"/>
  <c r="I18" i="8"/>
  <c r="I17" i="8"/>
  <c r="I16" i="8"/>
  <c r="I15" i="8"/>
  <c r="I14" i="8"/>
  <c r="I12" i="8"/>
  <c r="I11" i="8"/>
  <c r="K19" i="8" a="1"/>
  <c r="K19" i="8" s="1"/>
  <c r="K18" i="8" a="1"/>
  <c r="K18" i="8" s="1"/>
  <c r="K17" i="8" a="1"/>
  <c r="K17" i="8" s="1"/>
  <c r="K16" i="8" a="1"/>
  <c r="K16" i="8" s="1"/>
  <c r="K15" i="8" a="1"/>
  <c r="K15" i="8" s="1"/>
  <c r="K14" i="8" a="1"/>
  <c r="K14" i="8" s="1"/>
  <c r="O219" i="23"/>
  <c r="S218" i="23"/>
  <c r="P218" i="23"/>
  <c r="O218" i="23"/>
  <c r="H218" i="23"/>
  <c r="H216" i="23"/>
  <c r="S214" i="23"/>
  <c r="O214" i="23"/>
  <c r="H214" i="23"/>
  <c r="H213" i="23"/>
  <c r="H212" i="23"/>
  <c r="H211" i="23"/>
  <c r="H210" i="23"/>
  <c r="H209" i="23"/>
  <c r="G208" i="23"/>
  <c r="H208" i="23" s="1"/>
  <c r="G207" i="23"/>
  <c r="G206" i="23"/>
  <c r="H206" i="23" s="1"/>
  <c r="G205" i="23"/>
  <c r="H205" i="23" s="1"/>
  <c r="G204" i="23"/>
  <c r="G203" i="23"/>
  <c r="H203" i="23" s="1"/>
  <c r="G202" i="23"/>
  <c r="H202" i="23" s="1"/>
  <c r="G201" i="23"/>
  <c r="H201" i="23" s="1"/>
  <c r="G200" i="23"/>
  <c r="G199" i="23"/>
  <c r="H199" i="23" s="1"/>
  <c r="G198" i="23"/>
  <c r="H198" i="23" s="1"/>
  <c r="G197" i="23"/>
  <c r="G196" i="23"/>
  <c r="H196" i="23" s="1"/>
  <c r="G195" i="23"/>
  <c r="H195" i="23" s="1"/>
  <c r="G194" i="23"/>
  <c r="H194" i="23" s="1"/>
  <c r="G193" i="23"/>
  <c r="H193" i="23" s="1"/>
  <c r="H192" i="23"/>
  <c r="G192" i="23"/>
  <c r="S191" i="23"/>
  <c r="H191" i="23"/>
  <c r="G191" i="23"/>
  <c r="H190" i="23"/>
  <c r="G190" i="23"/>
  <c r="H189" i="23"/>
  <c r="G189" i="23"/>
  <c r="S187" i="23"/>
  <c r="O187" i="23"/>
  <c r="H186" i="23"/>
  <c r="G185" i="23"/>
  <c r="H185" i="23" s="1"/>
  <c r="G184" i="23"/>
  <c r="A184" i="23"/>
  <c r="A185" i="23" s="1"/>
  <c r="A186" i="23" s="1"/>
  <c r="A187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1" i="23" s="1"/>
  <c r="A212" i="23" s="1"/>
  <c r="A213" i="23" s="1"/>
  <c r="G183" i="23"/>
  <c r="G182" i="23"/>
  <c r="G181" i="23"/>
  <c r="H180" i="23"/>
  <c r="G180" i="23"/>
  <c r="H179" i="23"/>
  <c r="G178" i="23"/>
  <c r="H178" i="23" s="1"/>
  <c r="G177" i="23"/>
  <c r="H177" i="23" s="1"/>
  <c r="G176" i="23"/>
  <c r="G175" i="23"/>
  <c r="H175" i="23" s="1"/>
  <c r="G174" i="23"/>
  <c r="H174" i="23" s="1"/>
  <c r="H173" i="23"/>
  <c r="G173" i="23"/>
  <c r="G172" i="23"/>
  <c r="H172" i="23" s="1"/>
  <c r="G171" i="23"/>
  <c r="G170" i="23"/>
  <c r="H170" i="23" s="1"/>
  <c r="G169" i="23"/>
  <c r="H169" i="23" s="1"/>
  <c r="G168" i="23"/>
  <c r="H168" i="23" s="1"/>
  <c r="G167" i="23"/>
  <c r="G166" i="23"/>
  <c r="H166" i="23" s="1"/>
  <c r="G165" i="23"/>
  <c r="H165" i="23" s="1"/>
  <c r="G164" i="23"/>
  <c r="H164" i="23" s="1"/>
  <c r="G162" i="23"/>
  <c r="H162" i="23" s="1"/>
  <c r="G161" i="23"/>
  <c r="H161" i="23" s="1"/>
  <c r="H155" i="23"/>
  <c r="S154" i="23"/>
  <c r="H154" i="23"/>
  <c r="H153" i="23"/>
  <c r="O151" i="23"/>
  <c r="P150" i="23"/>
  <c r="O150" i="23"/>
  <c r="S149" i="23"/>
  <c r="P149" i="23"/>
  <c r="O149" i="23"/>
  <c r="H149" i="23"/>
  <c r="O148" i="23"/>
  <c r="P147" i="23"/>
  <c r="O147" i="23"/>
  <c r="S146" i="23"/>
  <c r="P146" i="23"/>
  <c r="O146" i="23"/>
  <c r="H146" i="23"/>
  <c r="H145" i="23"/>
  <c r="S142" i="23"/>
  <c r="Q142" i="23"/>
  <c r="H142" i="23"/>
  <c r="J139" i="23"/>
  <c r="J138" i="23"/>
  <c r="S135" i="23"/>
  <c r="P135" i="23"/>
  <c r="O135" i="23"/>
  <c r="H135" i="23"/>
  <c r="O134" i="23"/>
  <c r="U133" i="23"/>
  <c r="P133" i="23"/>
  <c r="O133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14" i="23"/>
  <c r="S111" i="23"/>
  <c r="O111" i="23"/>
  <c r="H111" i="23"/>
  <c r="H110" i="23"/>
  <c r="H109" i="23"/>
  <c r="H108" i="23"/>
  <c r="H107" i="23"/>
  <c r="O105" i="23"/>
  <c r="S104" i="23"/>
  <c r="P104" i="23"/>
  <c r="O104" i="23"/>
  <c r="H104" i="23"/>
  <c r="S103" i="23"/>
  <c r="H103" i="23"/>
  <c r="S101" i="23"/>
  <c r="P101" i="23"/>
  <c r="O101" i="23"/>
  <c r="H101" i="23"/>
  <c r="P99" i="23"/>
  <c r="O99" i="23"/>
  <c r="P98" i="23"/>
  <c r="O98" i="23"/>
  <c r="S97" i="23"/>
  <c r="P97" i="23"/>
  <c r="O97" i="23"/>
  <c r="H97" i="23"/>
  <c r="H96" i="23"/>
  <c r="H93" i="23"/>
  <c r="H89" i="23"/>
  <c r="H84" i="23"/>
  <c r="O71" i="23"/>
  <c r="P70" i="23"/>
  <c r="O70" i="23"/>
  <c r="U69" i="23"/>
  <c r="S69" i="23"/>
  <c r="R69" i="23"/>
  <c r="Q69" i="23"/>
  <c r="P69" i="23"/>
  <c r="O69" i="23"/>
  <c r="H69" i="23"/>
  <c r="S67" i="23"/>
  <c r="P67" i="23"/>
  <c r="O67" i="23"/>
  <c r="H67" i="23"/>
  <c r="H55" i="23"/>
  <c r="H54" i="23"/>
  <c r="H53" i="23"/>
  <c r="H52" i="23"/>
  <c r="H51" i="23"/>
  <c r="H50" i="23"/>
  <c r="H49" i="23"/>
  <c r="H48" i="23"/>
  <c r="S44" i="23"/>
  <c r="P44" i="23"/>
  <c r="O44" i="23"/>
  <c r="H44" i="23"/>
  <c r="S42" i="23"/>
  <c r="H42" i="23"/>
  <c r="O40" i="23"/>
  <c r="P39" i="23"/>
  <c r="O39" i="23"/>
  <c r="S38" i="23"/>
  <c r="Q38" i="23"/>
  <c r="P38" i="23"/>
  <c r="O38" i="23"/>
  <c r="H38" i="23"/>
  <c r="O37" i="23"/>
  <c r="S36" i="23"/>
  <c r="P36" i="23"/>
  <c r="O36" i="23"/>
  <c r="H36" i="23"/>
  <c r="S35" i="23"/>
  <c r="H35" i="23"/>
  <c r="O34" i="23"/>
  <c r="O33" i="23"/>
  <c r="P32" i="23"/>
  <c r="O32" i="23"/>
  <c r="P31" i="23"/>
  <c r="O31" i="23"/>
  <c r="U30" i="23"/>
  <c r="S30" i="23"/>
  <c r="Q30" i="23"/>
  <c r="P30" i="23"/>
  <c r="O30" i="23"/>
  <c r="H30" i="23"/>
  <c r="S29" i="23"/>
  <c r="H29" i="23"/>
  <c r="S28" i="23"/>
  <c r="H28" i="23"/>
  <c r="O27" i="23"/>
  <c r="P26" i="23"/>
  <c r="O26" i="23"/>
  <c r="S25" i="23"/>
  <c r="P25" i="23"/>
  <c r="O25" i="23"/>
  <c r="H25" i="23"/>
  <c r="O21" i="23"/>
  <c r="P20" i="23"/>
  <c r="O20" i="23"/>
  <c r="U19" i="23"/>
  <c r="S19" i="23"/>
  <c r="Q19" i="23"/>
  <c r="P19" i="23"/>
  <c r="O19" i="23"/>
  <c r="H19" i="23"/>
  <c r="S18" i="23"/>
  <c r="O18" i="23"/>
  <c r="S14" i="23"/>
  <c r="P14" i="23"/>
  <c r="O14" i="23"/>
  <c r="S13" i="23"/>
  <c r="S10" i="23"/>
  <c r="Q10" i="23"/>
  <c r="O10" i="23"/>
  <c r="O8" i="23"/>
  <c r="U7" i="23"/>
  <c r="S7" i="23"/>
  <c r="R7" i="23"/>
  <c r="Q7" i="23"/>
  <c r="P7" i="23"/>
  <c r="O7" i="23"/>
  <c r="P5" i="23"/>
  <c r="O5" i="23"/>
  <c r="P4" i="23"/>
  <c r="O4" i="23"/>
  <c r="U1" i="23"/>
  <c r="U142" i="23" s="1"/>
  <c r="O1" i="23"/>
  <c r="P219" i="23" s="1"/>
  <c r="U16" i="23" l="1"/>
  <c r="O16" i="23"/>
  <c r="U28" i="23"/>
  <c r="O15" i="23"/>
  <c r="U149" i="23"/>
  <c r="U111" i="23"/>
  <c r="O42" i="23"/>
  <c r="O130" i="23"/>
  <c r="U104" i="23"/>
  <c r="U130" i="23"/>
  <c r="O28" i="23"/>
  <c r="O145" i="23"/>
  <c r="U145" i="23"/>
  <c r="O114" i="23"/>
  <c r="U114" i="23"/>
  <c r="U14" i="23"/>
  <c r="U187" i="23"/>
  <c r="P187" i="23"/>
  <c r="U214" i="23"/>
  <c r="U135" i="23"/>
  <c r="O68" i="23"/>
  <c r="O137" i="23"/>
  <c r="P214" i="23"/>
  <c r="O35" i="23"/>
  <c r="U35" i="23"/>
  <c r="U101" i="23"/>
  <c r="U154" i="23"/>
  <c r="O102" i="23"/>
  <c r="O189" i="23"/>
  <c r="U189" i="23"/>
  <c r="O29" i="23"/>
  <c r="O142" i="23"/>
  <c r="U103" i="23"/>
  <c r="U218" i="23"/>
  <c r="U29" i="23"/>
  <c r="P111" i="23"/>
  <c r="O154" i="23"/>
  <c r="O103" i="23"/>
  <c r="U146" i="23"/>
  <c r="U18" i="23"/>
  <c r="U13" i="23"/>
  <c r="U25" i="23"/>
  <c r="U67" i="23"/>
  <c r="O100" i="23"/>
  <c r="P148" i="23"/>
  <c r="H13" i="11" l="1"/>
  <c r="O205" i="21" l="1"/>
  <c r="H205" i="21"/>
  <c r="H204" i="21"/>
  <c r="H203" i="21"/>
  <c r="O201" i="21"/>
  <c r="H201" i="21"/>
  <c r="G200" i="21"/>
  <c r="H200" i="21" s="1"/>
  <c r="G199" i="21"/>
  <c r="H199" i="21" s="1"/>
  <c r="G198" i="21"/>
  <c r="H198" i="21" s="1"/>
  <c r="G197" i="21"/>
  <c r="H197" i="21" s="1"/>
  <c r="G196" i="21"/>
  <c r="G195" i="21"/>
  <c r="H195" i="21" s="1"/>
  <c r="G194" i="21"/>
  <c r="H194" i="21" s="1"/>
  <c r="G193" i="21"/>
  <c r="H193" i="21" s="1"/>
  <c r="G192" i="21"/>
  <c r="H192" i="21" s="1"/>
  <c r="G191" i="21"/>
  <c r="H191" i="21" s="1"/>
  <c r="G190" i="21"/>
  <c r="H190" i="21" s="1"/>
  <c r="G189" i="21"/>
  <c r="H189" i="21" s="1"/>
  <c r="G188" i="21"/>
  <c r="H188" i="21" s="1"/>
  <c r="G187" i="21"/>
  <c r="H187" i="21" s="1"/>
  <c r="G186" i="21"/>
  <c r="H186" i="21" s="1"/>
  <c r="G185" i="21"/>
  <c r="H185" i="21" s="1"/>
  <c r="G184" i="21"/>
  <c r="H184" i="21" s="1"/>
  <c r="G183" i="21"/>
  <c r="H183" i="21" s="1"/>
  <c r="G182" i="21"/>
  <c r="H182" i="21" s="1"/>
  <c r="G181" i="21"/>
  <c r="H181" i="21" s="1"/>
  <c r="G180" i="21"/>
  <c r="H180" i="21" s="1"/>
  <c r="G179" i="21"/>
  <c r="G178" i="21"/>
  <c r="H177" i="21"/>
  <c r="G177" i="21"/>
  <c r="H176" i="21"/>
  <c r="G176" i="21"/>
  <c r="A176" i="2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8" i="21" s="1"/>
  <c r="A199" i="21" s="1"/>
  <c r="A200" i="21" s="1"/>
  <c r="S175" i="21"/>
  <c r="O175" i="21"/>
  <c r="H175" i="21"/>
  <c r="H174" i="21"/>
  <c r="G173" i="21"/>
  <c r="H173" i="21" s="1"/>
  <c r="A173" i="21"/>
  <c r="A174" i="21" s="1"/>
  <c r="A175" i="21" s="1"/>
  <c r="G172" i="21"/>
  <c r="H172" i="21" s="1"/>
  <c r="A172" i="21"/>
  <c r="G171" i="21"/>
  <c r="H171" i="21" s="1"/>
  <c r="G170" i="21"/>
  <c r="H170" i="21" s="1"/>
  <c r="G169" i="21"/>
  <c r="H169" i="21" s="1"/>
  <c r="G168" i="21"/>
  <c r="H168" i="21" s="1"/>
  <c r="H167" i="21"/>
  <c r="G166" i="21"/>
  <c r="H166" i="21" s="1"/>
  <c r="G165" i="21"/>
  <c r="H165" i="21" s="1"/>
  <c r="G164" i="21"/>
  <c r="H164" i="21" s="1"/>
  <c r="G163" i="21"/>
  <c r="H163" i="21" s="1"/>
  <c r="G162" i="21"/>
  <c r="H162" i="21" s="1"/>
  <c r="G161" i="21"/>
  <c r="H161" i="21" s="1"/>
  <c r="G160" i="21"/>
  <c r="H160" i="21" s="1"/>
  <c r="G159" i="21"/>
  <c r="H159" i="21" s="1"/>
  <c r="G158" i="21"/>
  <c r="H158" i="21" s="1"/>
  <c r="G157" i="21"/>
  <c r="H157" i="21" s="1"/>
  <c r="G156" i="21"/>
  <c r="H156" i="21" s="1"/>
  <c r="G155" i="21"/>
  <c r="H155" i="21" s="1"/>
  <c r="G154" i="21"/>
  <c r="H154" i="21" s="1"/>
  <c r="G153" i="21"/>
  <c r="H153" i="21" s="1"/>
  <c r="G152" i="21"/>
  <c r="H152" i="21" s="1"/>
  <c r="G150" i="21"/>
  <c r="H150" i="21" s="1"/>
  <c r="G149" i="21"/>
  <c r="H149" i="21" s="1"/>
  <c r="H146" i="21"/>
  <c r="H179" i="21" s="1"/>
  <c r="H145" i="21"/>
  <c r="H178" i="21" s="1"/>
  <c r="H143" i="21"/>
  <c r="H142" i="21"/>
  <c r="H141" i="21"/>
  <c r="O139" i="21"/>
  <c r="S138" i="21"/>
  <c r="P138" i="21"/>
  <c r="O138" i="21"/>
  <c r="H138" i="21"/>
  <c r="O137" i="21"/>
  <c r="S136" i="21"/>
  <c r="P136" i="21"/>
  <c r="O136" i="21"/>
  <c r="H136" i="21"/>
  <c r="H135" i="21"/>
  <c r="S133" i="21"/>
  <c r="Q133" i="21"/>
  <c r="H133" i="21"/>
  <c r="H132" i="21"/>
  <c r="H131" i="21"/>
  <c r="J130" i="21"/>
  <c r="J129" i="21"/>
  <c r="S127" i="21"/>
  <c r="P127" i="21"/>
  <c r="O127" i="21"/>
  <c r="H127" i="21"/>
  <c r="O126" i="21"/>
  <c r="U125" i="21"/>
  <c r="P125" i="21"/>
  <c r="O125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09" i="21"/>
  <c r="H108" i="21"/>
  <c r="H107" i="21"/>
  <c r="H106" i="21"/>
  <c r="S105" i="21"/>
  <c r="O105" i="21"/>
  <c r="H105" i="21"/>
  <c r="H104" i="21"/>
  <c r="H103" i="21"/>
  <c r="H102" i="21"/>
  <c r="H101" i="21"/>
  <c r="S99" i="21"/>
  <c r="P99" i="21"/>
  <c r="O99" i="21"/>
  <c r="H99" i="21"/>
  <c r="H98" i="21"/>
  <c r="S96" i="21"/>
  <c r="P96" i="21"/>
  <c r="O96" i="21"/>
  <c r="H96" i="21"/>
  <c r="P94" i="21"/>
  <c r="O94" i="21"/>
  <c r="P93" i="21"/>
  <c r="O93" i="21"/>
  <c r="S92" i="21"/>
  <c r="P92" i="21"/>
  <c r="O92" i="21"/>
  <c r="H92" i="21"/>
  <c r="H91" i="21"/>
  <c r="H88" i="21"/>
  <c r="H84" i="21"/>
  <c r="H79" i="21"/>
  <c r="H67" i="21"/>
  <c r="O66" i="21"/>
  <c r="P65" i="21"/>
  <c r="O65" i="21"/>
  <c r="U64" i="21"/>
  <c r="S64" i="21"/>
  <c r="R64" i="21"/>
  <c r="Q64" i="21"/>
  <c r="P64" i="21"/>
  <c r="O64" i="21"/>
  <c r="H64" i="21"/>
  <c r="S62" i="21"/>
  <c r="P62" i="21"/>
  <c r="O62" i="21"/>
  <c r="H62" i="21"/>
  <c r="H59" i="21"/>
  <c r="H50" i="21"/>
  <c r="H49" i="21"/>
  <c r="H48" i="21"/>
  <c r="H47" i="21"/>
  <c r="H46" i="21"/>
  <c r="H45" i="21"/>
  <c r="H44" i="21"/>
  <c r="H43" i="21"/>
  <c r="S41" i="21"/>
  <c r="P41" i="21"/>
  <c r="O41" i="21"/>
  <c r="H41" i="21"/>
  <c r="S39" i="21"/>
  <c r="H39" i="21"/>
  <c r="O38" i="21"/>
  <c r="P37" i="21"/>
  <c r="O37" i="21"/>
  <c r="S36" i="21"/>
  <c r="Q36" i="21"/>
  <c r="P36" i="21"/>
  <c r="O36" i="21"/>
  <c r="H36" i="21"/>
  <c r="O35" i="21"/>
  <c r="S34" i="21"/>
  <c r="P34" i="21"/>
  <c r="O34" i="21"/>
  <c r="H34" i="21"/>
  <c r="S33" i="21"/>
  <c r="H33" i="21"/>
  <c r="O32" i="21"/>
  <c r="P31" i="21"/>
  <c r="O31" i="21"/>
  <c r="P30" i="21"/>
  <c r="O30" i="21"/>
  <c r="U29" i="21"/>
  <c r="S29" i="21"/>
  <c r="Q29" i="21"/>
  <c r="P29" i="21"/>
  <c r="O29" i="21"/>
  <c r="H29" i="21"/>
  <c r="H28" i="21"/>
  <c r="S27" i="21"/>
  <c r="H27" i="21"/>
  <c r="O26" i="21"/>
  <c r="P25" i="21"/>
  <c r="O25" i="21"/>
  <c r="S24" i="21"/>
  <c r="P24" i="21"/>
  <c r="O24" i="21"/>
  <c r="H24" i="21"/>
  <c r="O20" i="21"/>
  <c r="P19" i="21"/>
  <c r="O19" i="21"/>
  <c r="U18" i="21"/>
  <c r="S18" i="21"/>
  <c r="Q18" i="21"/>
  <c r="P18" i="21"/>
  <c r="O18" i="21"/>
  <c r="H18" i="21"/>
  <c r="S17" i="21"/>
  <c r="O17" i="21"/>
  <c r="S13" i="21"/>
  <c r="P13" i="21"/>
  <c r="O13" i="21"/>
  <c r="S10" i="21"/>
  <c r="Q10" i="21"/>
  <c r="O10" i="21"/>
  <c r="O8" i="21"/>
  <c r="U7" i="21"/>
  <c r="S7" i="21"/>
  <c r="R7" i="21"/>
  <c r="Q7" i="21"/>
  <c r="P7" i="21"/>
  <c r="O7" i="21"/>
  <c r="P5" i="21"/>
  <c r="O5" i="21"/>
  <c r="P4" i="21"/>
  <c r="O4" i="21"/>
  <c r="U1" i="21"/>
  <c r="U175" i="21" s="1"/>
  <c r="O1" i="21"/>
  <c r="O15" i="21" s="1"/>
  <c r="U133" i="21" l="1"/>
  <c r="O28" i="21"/>
  <c r="O97" i="21"/>
  <c r="O122" i="21"/>
  <c r="P137" i="21"/>
  <c r="U27" i="21"/>
  <c r="U15" i="21"/>
  <c r="U96" i="21"/>
  <c r="P205" i="21"/>
  <c r="O133" i="21"/>
  <c r="O100" i="21"/>
  <c r="O39" i="21"/>
  <c r="O27" i="21"/>
  <c r="O14" i="21"/>
  <c r="O142" i="21"/>
  <c r="O106" i="21"/>
  <c r="P175" i="21"/>
  <c r="O95" i="21"/>
  <c r="O63" i="21"/>
  <c r="P139" i="21"/>
  <c r="P105" i="21"/>
  <c r="P201" i="21"/>
  <c r="O128" i="21"/>
  <c r="O42" i="21"/>
  <c r="O33" i="21"/>
  <c r="O135" i="21"/>
  <c r="O98" i="21"/>
  <c r="O176" i="21"/>
  <c r="U17" i="21"/>
  <c r="U28" i="21"/>
  <c r="U122" i="21"/>
  <c r="U127" i="21"/>
  <c r="U176" i="21"/>
  <c r="U98" i="21"/>
  <c r="U135" i="21"/>
  <c r="U138" i="21"/>
  <c r="U24" i="21"/>
  <c r="U36" i="21"/>
  <c r="U201" i="21"/>
  <c r="U33" i="21"/>
  <c r="U62" i="21"/>
  <c r="U105" i="21"/>
  <c r="U13" i="21"/>
  <c r="U99" i="21"/>
  <c r="U136" i="21"/>
  <c r="U106" i="21"/>
  <c r="U142" i="2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L19" i="8" a="1"/>
  <c r="L19" i="8" s="1"/>
  <c r="L18" i="8" a="1"/>
  <c r="L18" i="8" s="1"/>
  <c r="L17" i="8" a="1"/>
  <c r="L17" i="8" s="1"/>
  <c r="L16" i="8" a="1"/>
  <c r="L16" i="8" s="1"/>
  <c r="L15" i="8" a="1"/>
  <c r="L15" i="8" s="1"/>
  <c r="L14" i="8" a="1"/>
  <c r="L14" i="8" s="1"/>
  <c r="L12" i="8" a="1"/>
  <c r="L12" i="8" s="1"/>
  <c r="L11" i="8" a="1"/>
  <c r="L11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P29" i="11" l="1"/>
  <c r="Q29" i="11"/>
  <c r="R29" i="11" s="1"/>
  <c r="P31" i="11"/>
  <c r="Q31" i="11"/>
  <c r="R31" i="11" s="1"/>
  <c r="P35" i="11"/>
  <c r="P33" i="11"/>
  <c r="Q35" i="11"/>
  <c r="Q33" i="11"/>
  <c r="R33" i="11" s="1"/>
  <c r="P28" i="11"/>
  <c r="Q28" i="11"/>
  <c r="R28" i="11" s="1"/>
  <c r="P30" i="11"/>
  <c r="Q30" i="11"/>
  <c r="R30" i="11" s="1"/>
  <c r="P32" i="11"/>
  <c r="Q32" i="11"/>
  <c r="R32" i="11" s="1"/>
  <c r="P34" i="11"/>
  <c r="Q34" i="11"/>
  <c r="K11" i="8" a="1"/>
  <c r="K11" i="8" s="1"/>
  <c r="K12" i="8" a="1"/>
  <c r="K12" i="8" s="1"/>
  <c r="E12" i="8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13" i="11"/>
  <c r="P87" i="11"/>
  <c r="P14" i="11"/>
  <c r="P88" i="11"/>
  <c r="P15" i="11"/>
  <c r="P16" i="11"/>
  <c r="P55" i="11"/>
  <c r="P26" i="11"/>
  <c r="P65" i="11"/>
  <c r="P100" i="11"/>
  <c r="P99" i="11"/>
  <c r="P27" i="11"/>
  <c r="P66" i="11"/>
  <c r="P101" i="11"/>
  <c r="P111" i="11"/>
  <c r="P77" i="11"/>
  <c r="P78" i="11"/>
  <c r="P89" i="11"/>
  <c r="P25" i="11"/>
  <c r="P63" i="11"/>
  <c r="P75" i="11"/>
  <c r="P110" i="11"/>
  <c r="P7" i="11"/>
  <c r="P19" i="11"/>
  <c r="P38" i="11"/>
  <c r="P46" i="11"/>
  <c r="P57" i="11"/>
  <c r="P69" i="11"/>
  <c r="P81" i="11"/>
  <c r="P93" i="11"/>
  <c r="P104" i="11"/>
  <c r="P115" i="11"/>
  <c r="P9" i="11"/>
  <c r="P21" i="11"/>
  <c r="P40" i="11"/>
  <c r="P48" i="11"/>
  <c r="P59" i="11"/>
  <c r="P71" i="11"/>
  <c r="P83" i="11"/>
  <c r="P95" i="11"/>
  <c r="P106" i="11"/>
  <c r="P117" i="11"/>
  <c r="P6" i="11"/>
  <c r="P18" i="11"/>
  <c r="P37" i="11"/>
  <c r="P45" i="11"/>
  <c r="P56" i="11"/>
  <c r="P68" i="11"/>
  <c r="P80" i="11"/>
  <c r="P92" i="11"/>
  <c r="P103" i="11"/>
  <c r="P22" i="11"/>
  <c r="P49" i="11"/>
  <c r="P60" i="11"/>
  <c r="P72" i="11"/>
  <c r="P84" i="11"/>
  <c r="P96" i="11"/>
  <c r="P107" i="11"/>
  <c r="P118" i="11"/>
  <c r="P17" i="11"/>
  <c r="P36" i="11"/>
  <c r="P44" i="11"/>
  <c r="P67" i="11"/>
  <c r="P79" i="11"/>
  <c r="P91" i="11"/>
  <c r="P102" i="11"/>
  <c r="P114" i="11"/>
  <c r="P20" i="11"/>
  <c r="P39" i="11"/>
  <c r="P47" i="11"/>
  <c r="P58" i="11"/>
  <c r="P70" i="11"/>
  <c r="P82" i="11"/>
  <c r="P94" i="11"/>
  <c r="P105" i="11"/>
  <c r="P116" i="11"/>
  <c r="P23" i="11"/>
  <c r="P50" i="11"/>
  <c r="P61" i="11"/>
  <c r="P73" i="11"/>
  <c r="P85" i="11"/>
  <c r="P97" i="11"/>
  <c r="P108" i="11"/>
  <c r="P119" i="11"/>
  <c r="P12" i="11"/>
  <c r="P24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N40" i="11"/>
  <c r="O40" i="11" s="1"/>
  <c r="S39" i="11"/>
  <c r="N39" i="11"/>
  <c r="O39" i="11" s="1"/>
  <c r="N38" i="11"/>
  <c r="S37" i="11"/>
  <c r="N37" i="11"/>
  <c r="O37" i="11" s="1"/>
  <c r="S36" i="11"/>
  <c r="N36" i="11"/>
  <c r="O36" i="11" s="1"/>
  <c r="S35" i="11"/>
  <c r="S34" i="11"/>
  <c r="S33" i="11"/>
  <c r="S32" i="11"/>
  <c r="S31" i="11"/>
  <c r="S30" i="11"/>
  <c r="S29" i="11"/>
  <c r="S28" i="11"/>
  <c r="N26" i="11"/>
  <c r="N21" i="11"/>
  <c r="O21" i="11" s="1"/>
  <c r="N16" i="11"/>
  <c r="S15" i="11"/>
  <c r="S14" i="11"/>
  <c r="S13" i="11"/>
  <c r="N15" i="11"/>
  <c r="O15" i="11" s="1"/>
  <c r="S12" i="11"/>
  <c r="S11" i="11"/>
  <c r="Q11" i="11" s="1"/>
  <c r="P11" i="11" s="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R5" i="11" l="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14" i="11"/>
  <c r="R14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Q13" i="11"/>
  <c r="R13" i="11" s="1"/>
  <c r="Q36" i="11"/>
  <c r="R36" i="11" s="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15" i="11"/>
  <c r="R15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Q37" i="11"/>
  <c r="R37" i="11" s="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Q12" i="11"/>
  <c r="R12" i="11" s="1"/>
  <c r="Q40" i="11"/>
  <c r="R40" i="11" s="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Q39" i="11"/>
  <c r="R39" i="11" s="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O20" i="11"/>
  <c r="S16" i="11"/>
  <c r="Q16" i="11"/>
  <c r="R16" i="11" s="1"/>
  <c r="O81" i="11"/>
  <c r="R81" i="11"/>
  <c r="N19" i="11"/>
  <c r="S43" i="11"/>
  <c r="Q43" i="11"/>
  <c r="R43" i="11" s="1"/>
  <c r="Q26" i="11"/>
  <c r="R26" i="11" s="1"/>
  <c r="S26" i="11"/>
  <c r="S21" i="11"/>
  <c r="Q21" i="11"/>
  <c r="R21" i="11" s="1"/>
  <c r="Q38" i="11"/>
  <c r="R38" i="11" s="1"/>
  <c r="H11" i="8" l="1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/>
  <c r="R25" i="11" s="1"/>
  <c r="S20" i="11"/>
  <c r="Q20" i="11"/>
  <c r="R20" i="11" s="1"/>
  <c r="G59" i="8" l="1"/>
  <c r="C72" i="8" s="1"/>
  <c r="N27" i="11"/>
  <c r="O27" i="11" s="1"/>
  <c r="S19" i="11"/>
  <c r="Q19" i="11"/>
  <c r="R19" i="11" s="1"/>
  <c r="S24" i="11"/>
  <c r="Q24" i="11"/>
  <c r="R24" i="11" s="1"/>
  <c r="O18" i="11"/>
  <c r="N24" i="11"/>
  <c r="O24" i="11" s="1"/>
  <c r="O17" i="11"/>
  <c r="Q18" i="11" l="1"/>
  <c r="R18" i="11" s="1"/>
  <c r="S18" i="11"/>
  <c r="S17" i="11"/>
  <c r="Q17" i="11"/>
  <c r="R17" i="11" s="1"/>
  <c r="S23" i="11"/>
  <c r="Q23" i="11"/>
  <c r="R23" i="11" s="1"/>
  <c r="N23" i="11"/>
  <c r="O23" i="11" s="1"/>
  <c r="N22" i="11"/>
  <c r="O22" i="11" s="1"/>
  <c r="S22" i="11"/>
  <c r="Q22" i="11"/>
  <c r="R22" i="11" s="1"/>
  <c r="S27" i="11"/>
  <c r="Q27" i="11"/>
  <c r="R27" i="11" s="1"/>
  <c r="E5" i="12" l="1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<sst xmlns="http://schemas.openxmlformats.org/spreadsheetml/2006/main" count="3540" uniqueCount="854">
  <si>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</si>
  <si>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</si>
  <si>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</si>
  <si>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</si>
  <si>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</si>
  <si>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</si>
  <si>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</si>
  <si>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</si>
  <si>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</si>
  <si>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</si>
  <si>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</si>
  <si>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</si>
  <si>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</si>
  <si>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</si>
  <si>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</si>
  <si>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</si>
  <si>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</si>
  <si>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</si>
  <si>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</si>
  <si>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</si>
  <si>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</si>
  <si>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</si>
  <si>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</si>
  <si>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</si>
  <si>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</si>
  <si>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</si>
  <si>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</si>
  <si>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</si>
  <si>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</si>
  <si>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</si>
  <si>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</si>
  <si>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</si>
  <si>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</si>
  <si>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</si>
  <si>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</si>
  <si>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</si>
  <si>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</si>
  <si>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</si>
  <si>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</si>
  <si>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</si>
  <si>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</si>
  <si>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</si>
  <si>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</si>
  <si>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</si>
  <si>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</si>
  <si>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</si>
  <si>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</si>
  <si>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</si>
  <si>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</si>
  <si>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</si>
  <si>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</si>
  <si>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</si>
  <si>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</si>
  <si>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</si>
  <si>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</si>
  <si>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</si>
  <si>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</si>
  <si>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</si>
  <si>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</si>
  <si>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</si>
  <si>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</si>
  <si>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</si>
  <si>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</si>
  <si>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</si>
  <si>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</si>
  <si>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</si>
  <si>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</si>
  <si>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</si>
  <si>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</si>
  <si>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</si>
  <si>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</si>
  <si>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</si>
  <si>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</si>
  <si>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</si>
  <si>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</si>
  <si>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</si>
  <si>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</si>
  <si>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</si>
  <si>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</si>
  <si>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</si>
  <si>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</si>
  <si>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</si>
  <si>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</si>
  <si>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</si>
  <si>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</si>
  <si>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</si>
  <si>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</si>
  <si>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</si>
  <si>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</si>
  <si>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</si>
  <si>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</si>
  <si>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</si>
  <si>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</si>
  <si>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</si>
  <si>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</si>
  <si>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</si>
  <si>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</si>
  <si>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</si>
  <si>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</si>
  <si>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</si>
  <si>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</si>
  <si>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</si>
  <si>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</si>
  <si>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</si>
  <si>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</si>
  <si>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</si>
  <si>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</si>
  <si>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</si>
  <si>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</si>
  <si>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</si>
  <si>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</si>
  <si>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</si>
  <si>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</si>
  <si>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</si>
  <si>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</si>
  <si>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</si>
  <si>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</si>
  <si>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</si>
  <si>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</si>
  <si>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</si>
  <si>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</si>
  <si>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</si>
  <si>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</si>
  <si>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</si>
  <si>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</si>
  <si>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</si>
  <si>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</si>
  <si>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</si>
  <si>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</si>
  <si>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</si>
  <si>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</si>
  <si>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</si>
  <si>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</si>
  <si>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</si>
  <si>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</si>
  <si>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</si>
  <si>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</si>
  <si>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</si>
  <si>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</si>
  <si>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</si>
  <si>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</si>
  <si>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</si>
  <si>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</si>
  <si>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</si>
  <si>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</si>
  <si>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</si>
  <si>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</si>
  <si>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</si>
  <si>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</si>
  <si>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</si>
  <si>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</si>
  <si>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</si>
  <si>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</si>
  <si>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</si>
  <si>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</si>
  <si>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</si>
  <si>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</si>
  <si>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</si>
  <si>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</si>
  <si>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</si>
  <si>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</si>
  <si>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</si>
  <si>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</si>
  <si>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</si>
  <si>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</si>
  <si>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</si>
  <si>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</si>
  <si>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</si>
  <si>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</si>
  <si>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</si>
  <si>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</si>
  <si>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</si>
  <si>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</si>
  <si>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</si>
  <si>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</si>
  <si>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</si>
  <si>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</si>
  <si>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</si>
  <si>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</si>
  <si>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</si>
  <si>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</si>
  <si>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</si>
  <si>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</si>
  <si>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</si>
  <si>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</si>
  <si>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</si>
  <si>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</si>
  <si>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</si>
  <si>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</si>
  <si>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</si>
  <si>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</si>
  <si>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</si>
  <si>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</si>
  <si>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</si>
  <si>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</si>
  <si>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</si>
  <si>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</si>
  <si>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</si>
  <si>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</si>
  <si>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</si>
  <si>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</si>
  <si>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</si>
  <si>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</si>
  <si>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</si>
  <si>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</si>
  <si>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</si>
  <si>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</si>
  <si>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</si>
  <si>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</si>
  <si>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</si>
  <si>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</si>
  <si>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</si>
  <si>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</si>
  <si>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</si>
  <si>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</si>
  <si>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</si>
  <si>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</si>
  <si>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</si>
  <si>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</si>
  <si>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</si>
  <si>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</si>
  <si>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</si>
  <si>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</si>
  <si>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</si>
  <si>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</si>
  <si>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</si>
  <si>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</si>
  <si>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</si>
  <si>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</si>
  <si>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</si>
  <si>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</si>
  <si>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</si>
  <si>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</si>
  <si>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</si>
  <si>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</si>
  <si>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</si>
  <si>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</si>
  <si>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</si>
  <si>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</si>
  <si>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</si>
  <si>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</si>
  <si>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</si>
  <si>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</si>
  <si>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</si>
  <si>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</si>
  <si>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</si>
  <si>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</si>
  <si>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</si>
  <si>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</si>
  <si>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</si>
  <si>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</si>
  <si>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</si>
  <si>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</si>
  <si>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</si>
  <si>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</si>
  <si>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</si>
  <si>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</si>
  <si>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</si>
  <si>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</si>
  <si>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</si>
  <si>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</si>
  <si>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</si>
  <si>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</si>
  <si>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</si>
  <si>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</si>
  <si>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</si>
  <si>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</si>
  <si>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</si>
  <si>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</si>
  <si>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</si>
  <si>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</si>
  <si>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</si>
  <si>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</si>
  <si>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</si>
  <si>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</si>
  <si>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</si>
  <si>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</si>
  <si>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</si>
  <si>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</si>
  <si>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</si>
  <si>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</si>
  <si>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</si>
  <si>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</si>
  <si>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</si>
  <si>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</si>
  <si>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</si>
  <si>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</si>
  <si>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</si>
  <si>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</si>
  <si>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</si>
  <si>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</si>
  <si>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</si>
  <si>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</si>
  <si>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</si>
  <si>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</si>
  <si>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</si>
  <si>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</si>
  <si>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</si>
  <si>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</si>
  <si>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</si>
  <si>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</si>
  <si>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</si>
  <si>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</si>
  <si>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</si>
  <si>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</si>
  <si>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</si>
  <si>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</si>
  <si>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</si>
  <si>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</si>
  <si>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</si>
  <si>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</si>
  <si>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</si>
  <si>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</si>
  <si>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</si>
  <si>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</si>
  <si>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</si>
  <si>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</si>
  <si>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</si>
  <si>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</si>
  <si>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</si>
  <si>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</si>
  <si>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</si>
  <si>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</si>
  <si>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</si>
  <si>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</si>
  <si>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</si>
  <si>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</si>
  <si>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</si>
  <si>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</si>
  <si>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</si>
  <si>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</si>
  <si>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Pull out test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</si>
  <si>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</si>
  <si>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</si>
  <si>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</si>
  <si>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</si>
  <si>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</si>
  <si>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</si>
  <si>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</si>
  <si>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</si>
  <si>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</si>
  <si>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</si>
  <si>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</si>
  <si>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</si>
  <si>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</si>
  <si>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</si>
  <si>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</si>
  <si>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</si>
  <si>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</si>
  <si>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</si>
  <si>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</si>
  <si>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</si>
  <si>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</si>
  <si>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</si>
  <si>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</si>
  <si>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</si>
  <si>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</si>
  <si>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</si>
  <si>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</si>
  <si>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</si>
  <si>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</si>
  <si>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</si>
  <si>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</si>
  <si>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</si>
  <si>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</si>
  <si>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</si>
  <si>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</si>
  <si>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</si>
  <si>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</si>
  <si>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</si>
  <si>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</si>
  <si>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</si>
  <si>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</si>
  <si>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</si>
  <si>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</si>
  <si>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</si>
  <si>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</si>
  <si>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</si>
  <si>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</si>
  <si>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</si>
  <si>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</si>
  <si>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</si>
  <si>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</si>
  <si>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</si>
  <si>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</si>
  <si>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</si>
  <si>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</si>
  <si>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</si>
  <si>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</si>
  <si>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</si>
  <si>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</si>
  <si>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</si>
  <si>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</si>
  <si>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</si>
  <si>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</si>
  <si>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</si>
  <si>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</si>
  <si>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</si>
  <si>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</si>
  <si>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</si>
  <si>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</si>
  <si>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</si>
  <si>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</si>
  <si>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</si>
  <si>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</si>
  <si>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</si>
  <si>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</si>
  <si>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</si>
  <si>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</si>
  <si>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</si>
  <si>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</si>
  <si>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</si>
  <si>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</si>
  <si>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</si>
  <si>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</si>
  <si>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</si>
  <si>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</si>
  <si>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</si>
  <si>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</si>
  <si>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</si>
  <si>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</si>
  <si>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</si>
  <si>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</si>
  <si>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</si>
  <si>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</si>
  <si>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</si>
  <si>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</si>
  <si>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</si>
  <si>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</si>
  <si>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</si>
  <si>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</si>
  <si>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</si>
  <si>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</si>
  <si>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Table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</si>
  <si>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</si>
  <si>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</si>
  <si>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</si>
  <si>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</si>
  <si>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</si>
  <si>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</si>
  <si>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</si>
  <si>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</si>
  <si>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</si>
  <si>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</si>
  <si>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</si>
  <si>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</si>
  <si>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</si>
  <si>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</si>
  <si>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</si>
  <si>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</si>
  <si>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</si>
  <si>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</si>
  <si>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</si>
  <si>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</si>
  <si>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</si>
  <si>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</si>
  <si>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</si>
  <si>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</si>
  <si>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</si>
  <si>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</si>
  <si>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</si>
  <si>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</si>
  <si>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</si>
  <si>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</si>
  <si>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</si>
  <si>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</si>
  <si>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</si>
  <si>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</si>
  <si>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</si>
  <si>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</si>
  <si>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</si>
  <si>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</si>
  <si>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</si>
  <si>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</si>
  <si>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</si>
  <si>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</si>
  <si>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</si>
  <si>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</si>
  <si>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</si>
  <si>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</si>
  <si>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</si>
  <si>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Yet to be submitted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</si>
  <si>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</si>
  <si>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</si>
  <si>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</si>
  <si>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</si>
  <si>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</si>
  <si>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</si>
  <si>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</si>
  <si>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</si>
  <si>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</si>
  <si>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</si>
  <si>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</si>
  <si>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</si>
  <si>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</si>
  <si>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</si>
  <si>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</si>
  <si>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</si>
  <si>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</si>
  <si>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</si>
  <si>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</si>
  <si>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</si>
  <si>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</si>
  <si>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</si>
  <si>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</si>
  <si>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</si>
  <si>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</si>
  <si>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</si>
  <si>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</si>
  <si>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</si>
  <si>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</si>
  <si>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</si>
  <si>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</si>
  <si>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</si>
  <si>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</si>
  <si>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</si>
  <si>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</si>
  <si>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</si>
  <si>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</si>
  <si>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</si>
  <si>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SECI-RG300-PL-CIV-104A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</si>
  <si>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</si>
  <si>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</si>
  <si>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</si>
  <si>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</si>
  <si>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</si>
  <si>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</si>
  <si>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</si>
  <si>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</si>
  <si>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</si>
  <si>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</si>
  <si>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</si>
  <si>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</si>
  <si>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</si>
  <si>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</si>
  <si>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Architecture dwg.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</si>
  <si>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</si>
  <si>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</si>
  <si>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</si>
  <si>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</si>
  <si>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</si>
  <si>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</si>
  <si>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</si>
  <si>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</si>
  <si>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</si>
  <si>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</si>
  <si>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</si>
  <si>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</si>
  <si>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</si>
  <si>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</si>
  <si>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</si>
  <si>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</si>
  <si>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</si>
  <si>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</si>
  <si>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</si>
  <si>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</si>
  <si>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</si>
  <si>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</si>
  <si>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</si>
  <si>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</si>
  <si>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</si>
  <si>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</si>
  <si>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</si>
  <si>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</si>
  <si>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</si>
  <si>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</si>
  <si>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</si>
  <si>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</si>
  <si>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</si>
  <si>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</si>
  <si>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</si>
  <si>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</si>
  <si>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</si>
  <si>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</si>
  <si>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</si>
  <si>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</si>
  <si>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</si>
  <si>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</si>
  <si>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</si>
  <si>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</si>
  <si>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</si>
  <si>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</si>
  <si>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</si>
  <si>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</si>
  <si>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</si>
  <si>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</si>
  <si>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</si>
  <si>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</si>
  <si>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</si>
  <si>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</si>
  <si>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</si>
  <si>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</si>
  <si>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</si>
  <si>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</si>
  <si>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</si>
  <si>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</si>
  <si>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</si>
  <si>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</si>
  <si>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</si>
  <si>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</si>
  <si>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</si>
  <si>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</si>
  <si>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</si>
  <si>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</si>
  <si>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</si>
  <si>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</si>
  <si>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</si>
  <si>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</si>
  <si>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</si>
  <si>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</si>
  <si>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</si>
  <si>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</si>
  <si>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</si>
  <si>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</si>
  <si>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</si>
  <si>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</si>
  <si>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</si>
  <si>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</si>
  <si>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</si>
  <si>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</si>
  <si>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</si>
  <si>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</si>
  <si>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</si>
  <si>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</si>
  <si>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</si>
  <si>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</si>
  <si>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</si>
  <si>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</si>
  <si>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</si>
  <si>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</si>
  <si>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</si>
  <si>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 xml:space="preserve">DC SINGLE LINE DIAGRAM
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</si>
  <si>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</si>
  <si>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</si>
  <si>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</si>
  <si>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</si>
  <si>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</si>
  <si>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</si>
  <si>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</si>
  <si>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Overall layout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</si>
  <si>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</si>
  <si>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</si>
  <si>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</si>
  <si>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</si>
  <si>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</si>
  <si>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</si>
  <si>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</si>
  <si>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</si>
  <si>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</si>
  <si>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</si>
  <si>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</si>
  <si>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</si>
  <si>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ICR Equipment layout/ 
AC Earthing calculation</t>
  </si>
  <si>
    <t>Layouts - Plant Illuminatoin layout</t>
  </si>
  <si>
    <t>SECI-RG300-PL-ELE-012</t>
  </si>
  <si>
    <t>ICR Equipment layout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</si>
  <si>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</si>
  <si>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</si>
  <si>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</si>
  <si>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</si>
  <si>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</si>
  <si>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</si>
  <si>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</si>
  <si>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</si>
  <si>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GA GTP- SCADA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</si>
  <si>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</si>
  <si>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</si>
  <si>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</si>
  <si>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</si>
  <si>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</si>
  <si>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</si>
  <si>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</si>
  <si>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</si>
  <si>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</si>
  <si>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</si>
  <si>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</si>
  <si>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</si>
  <si>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</si>
  <si>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</si>
  <si>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</si>
  <si>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</si>
  <si>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</si>
  <si>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</si>
  <si>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</si>
  <si>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</si>
  <si>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</si>
  <si>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</si>
  <si>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</si>
  <si>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</si>
  <si>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</si>
  <si>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</si>
  <si>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</si>
  <si>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</si>
  <si>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</si>
  <si>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</si>
  <si>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</si>
  <si>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</si>
  <si>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</si>
  <si>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</si>
  <si>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</si>
  <si>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</si>
  <si>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</si>
  <si>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</si>
  <si>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</si>
  <si>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</si>
  <si>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</si>
  <si>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</si>
  <si>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</si>
  <si>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</si>
  <si>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</si>
  <si>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</si>
  <si>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</si>
  <si>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</si>
  <si>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</si>
  <si>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</si>
  <si>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</si>
  <si>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</si>
  <si>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</si>
  <si>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</si>
  <si>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</si>
  <si>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</si>
  <si>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</si>
  <si>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</si>
  <si>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</si>
  <si>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</si>
  <si>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</si>
  <si>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</si>
  <si>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</si>
  <si>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</si>
  <si>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</si>
  <si>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</si>
  <si>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</si>
  <si>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</si>
  <si>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</si>
  <si>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</si>
  <si>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</si>
  <si>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</si>
  <si>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</si>
  <si>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</si>
  <si>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</si>
  <si>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</si>
  <si>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</si>
  <si>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</si>
  <si>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</si>
  <si>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</si>
  <si>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</si>
  <si>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</si>
  <si>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</si>
  <si>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</si>
  <si>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</si>
  <si>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</si>
  <si>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</si>
  <si>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</si>
  <si>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</si>
  <si>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</si>
  <si>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</si>
  <si>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</si>
  <si>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</si>
  <si>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</si>
  <si>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</si>
  <si>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</si>
  <si>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</si>
  <si>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</si>
  <si>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</si>
  <si>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</si>
  <si>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</si>
  <si>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</si>
  <si>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</si>
  <si>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</si>
  <si>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</si>
  <si>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</si>
  <si>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</si>
  <si>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</si>
  <si>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</si>
  <si>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</si>
  <si>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</si>
  <si>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</si>
  <si>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</si>
  <si>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</si>
  <si>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</si>
  <si>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</si>
  <si>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</si>
  <si>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</si>
  <si>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</si>
  <si>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</si>
  <si>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</si>
  <si>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</si>
  <si>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</si>
  <si>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</si>
  <si>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</si>
  <si>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</si>
  <si>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</si>
  <si>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</si>
  <si>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</si>
  <si>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</si>
  <si>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</si>
  <si>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</si>
  <si>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</si>
  <si>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</si>
  <si>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</si>
  <si>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</si>
  <si>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</si>
  <si>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</si>
  <si>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</si>
  <si>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</si>
  <si>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</si>
  <si>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</si>
  <si>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</si>
  <si>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</si>
  <si>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</si>
  <si>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</si>
  <si>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</si>
  <si>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</si>
  <si>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</si>
  <si>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</si>
  <si>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</si>
  <si>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</si>
  <si>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</si>
  <si>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</si>
  <si>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</si>
  <si>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</si>
  <si>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</si>
  <si>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</si>
  <si>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</si>
  <si>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</si>
  <si>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</si>
  <si>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</si>
  <si>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</si>
  <si>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</si>
  <si>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</si>
  <si>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</si>
  <si>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</si>
  <si>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</si>
  <si>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</si>
  <si>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</si>
  <si>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</si>
  <si>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</si>
  <si>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</si>
  <si>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</si>
  <si>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</si>
  <si>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</si>
  <si>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</si>
  <si>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</si>
  <si>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</si>
  <si>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</si>
  <si>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</si>
  <si>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</si>
  <si>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</si>
  <si>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Data Date</t>
  </si>
  <si>
    <t>Store Yard Fencing Work</t>
  </si>
  <si>
    <t>Trinity Touch</t>
  </si>
  <si>
    <t>Periphery Boundary Fencing</t>
  </si>
  <si>
    <t>Civil Activities</t>
  </si>
  <si>
    <t xml:space="preserve">Approved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</si>
</sst>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2060"/>
      <name val="Times New Roman"/>
      <family val="1"/>
    </font>
    <font>
      <sz val="11"/>
      <color rgb="FF00206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8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</fills>
  <borders count="4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43" fillId="21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0" borderId="1" xfId="0" applyFont="1" applyBorder="1"/>
    <xf numFmtId="0" fontId="44" fillId="0" borderId="1" xfId="0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0" fontId="44" fillId="0" borderId="0" xfId="0" applyFont="1"/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0" fontId="44" fillId="23" borderId="1" xfId="0" applyFont="1" applyFill="1" applyBorder="1" applyAlignment="1">
      <alignment horizontal="center" vertical="center"/>
    </xf>
    <xf numFmtId="164" fontId="44" fillId="23" borderId="1" xfId="0" applyNumberFormat="1" applyFont="1" applyFill="1" applyBorder="1" applyAlignment="1">
      <alignment horizontal="center" vertical="center"/>
    </xf>
    <xf numFmtId="171" fontId="44" fillId="23" borderId="1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/>
    </xf>
    <xf numFmtId="0" fontId="44" fillId="0" borderId="5" xfId="0" applyFont="1" applyBorder="1" applyAlignment="1">
      <alignment horizontal="center" vertical="center"/>
    </xf>
    <xf numFmtId="0" fontId="44" fillId="0" borderId="5" xfId="0" applyFont="1" applyBorder="1"/>
    <xf numFmtId="15" fontId="44" fillId="23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0" fontId="47" fillId="5" borderId="1" xfId="7" applyFont="1" applyFill="1" applyBorder="1" applyAlignment="1">
      <alignment horizontal="left" vertical="center" wrapText="1"/>
    </xf>
    <xf numFmtId="164" fontId="44" fillId="5" borderId="1" xfId="0" applyNumberFormat="1" applyFont="1" applyFill="1" applyBorder="1" applyAlignment="1">
      <alignment horizontal="center" vertical="center"/>
    </xf>
    <xf numFmtId="171" fontId="44" fillId="5" borderId="1" xfId="0" applyNumberFormat="1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/>
    </xf>
    <xf numFmtId="0" fontId="47" fillId="24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1" borderId="1" xfId="7" applyFont="1" applyFill="1" applyBorder="1" applyAlignment="1">
      <alignment horizontal="left" vertical="center" wrapText="1"/>
    </xf>
    <xf numFmtId="0" fontId="44" fillId="0" borderId="1" xfId="0" applyFont="1" applyBorder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171" fontId="44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171" fontId="48" fillId="5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8" fillId="0" borderId="0" xfId="0" applyFont="1"/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 wrapText="1"/>
    </xf>
    <xf numFmtId="0" fontId="44" fillId="21" borderId="1" xfId="7" applyFont="1" applyFill="1" applyBorder="1" applyAlignment="1">
      <alignment horizontal="left" vertical="center" wrapText="1"/>
    </xf>
    <xf numFmtId="171" fontId="49" fillId="5" borderId="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49" fillId="0" borderId="0" xfId="0" applyFont="1"/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1" xfId="7" applyFont="1" applyBorder="1" applyAlignment="1">
      <alignment horizontal="left" vertical="center" wrapText="1"/>
    </xf>
    <xf numFmtId="0" fontId="47" fillId="24" borderId="1" xfId="7" applyFont="1" applyFill="1" applyBorder="1" applyAlignment="1">
      <alignment horizontal="left" vertical="center" wrapText="1"/>
    </xf>
    <xf numFmtId="0" fontId="50" fillId="24" borderId="1" xfId="7" applyFont="1" applyFill="1" applyBorder="1" applyAlignment="1">
      <alignment horizontal="left" vertical="center" wrapText="1"/>
    </xf>
    <xf numFmtId="164" fontId="44" fillId="0" borderId="0" xfId="0" applyNumberFormat="1" applyFont="1"/>
    <xf numFmtId="164" fontId="44" fillId="0" borderId="2" xfId="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64" fontId="44" fillId="0" borderId="2" xfId="0" applyNumberFormat="1" applyFont="1" applyBorder="1" applyAlignment="1">
      <alignment vertical="center"/>
    </xf>
    <xf numFmtId="0" fontId="47" fillId="24" borderId="1" xfId="0" applyFont="1" applyFill="1" applyBorder="1" applyAlignment="1">
      <alignment vertical="center"/>
    </xf>
    <xf numFmtId="0" fontId="47" fillId="24" borderId="1" xfId="0" applyFont="1" applyFill="1" applyBorder="1" applyAlignment="1">
      <alignment horizontal="center" vertical="center" wrapText="1"/>
    </xf>
    <xf numFmtId="164" fontId="44" fillId="5" borderId="2" xfId="0" applyNumberFormat="1" applyFont="1" applyFill="1" applyBorder="1" applyAlignment="1">
      <alignment vertical="center"/>
    </xf>
    <xf numFmtId="0" fontId="44" fillId="0" borderId="2" xfId="0" applyFont="1" applyBorder="1" applyAlignment="1">
      <alignment horizontal="center"/>
    </xf>
    <xf numFmtId="164" fontId="44" fillId="5" borderId="42" xfId="0" applyNumberFormat="1" applyFont="1" applyFill="1" applyBorder="1" applyAlignment="1">
      <alignment vertical="center"/>
    </xf>
    <xf numFmtId="171" fontId="51" fillId="0" borderId="1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vertical="center"/>
    </xf>
    <xf numFmtId="0" fontId="47" fillId="25" borderId="1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71" fontId="44" fillId="0" borderId="1" xfId="0" applyNumberFormat="1" applyFont="1" applyBorder="1" applyAlignment="1">
      <alignment horizontal="center" vertical="center" wrapText="1"/>
    </xf>
    <xf numFmtId="171" fontId="44" fillId="0" borderId="2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9" fillId="25" borderId="1" xfId="0" applyFont="1" applyFill="1" applyBorder="1" applyAlignment="1">
      <alignment vertical="center"/>
    </xf>
    <xf numFmtId="0" fontId="49" fillId="25" borderId="1" xfId="0" applyFont="1" applyFill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Alignment="1">
      <alignment wrapText="1"/>
    </xf>
    <xf numFmtId="0" fontId="47" fillId="25" borderId="5" xfId="0" applyFont="1" applyFill="1" applyBorder="1" applyAlignment="1">
      <alignment horizontal="center" vertical="center"/>
    </xf>
    <xf numFmtId="0" fontId="47" fillId="25" borderId="2" xfId="7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164" fontId="44" fillId="0" borderId="5" xfId="0" applyNumberFormat="1" applyFont="1" applyBorder="1" applyAlignment="1">
      <alignment horizontal="center" vertical="center"/>
    </xf>
    <xf numFmtId="15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47" fillId="23" borderId="7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4" fillId="23" borderId="0" xfId="0" applyFont="1" applyFill="1"/>
    <xf numFmtId="0" fontId="47" fillId="25" borderId="5" xfId="0" applyFont="1" applyFill="1" applyBorder="1" applyAlignment="1">
      <alignment vertical="center"/>
    </xf>
    <xf numFmtId="0" fontId="44" fillId="5" borderId="0" xfId="0" applyFont="1" applyFill="1"/>
    <xf numFmtId="0" fontId="46" fillId="21" borderId="1" xfId="7" applyFont="1" applyFill="1" applyBorder="1" applyAlignment="1">
      <alignment horizontal="left" vertical="center" wrapText="1"/>
    </xf>
    <xf numFmtId="0" fontId="46" fillId="24" borderId="1" xfId="7" applyFont="1" applyFill="1" applyBorder="1" applyAlignment="1">
      <alignment horizontal="left" vertical="center" wrapText="1"/>
    </xf>
    <xf numFmtId="2" fontId="44" fillId="0" borderId="1" xfId="0" applyNumberFormat="1" applyFont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52" fillId="18" borderId="1" xfId="0" applyFont="1" applyFill="1" applyBorder="1" applyAlignment="1">
      <alignment horizontal="center" vertical="center"/>
    </xf>
    <xf numFmtId="164" fontId="52" fillId="18" borderId="1" xfId="0" applyNumberFormat="1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0" fontId="50" fillId="23" borderId="1" xfId="7" applyFont="1" applyFill="1" applyBorder="1" applyAlignment="1">
      <alignment horizontal="left" vertical="center" wrapText="1"/>
    </xf>
    <xf numFmtId="164" fontId="44" fillId="23" borderId="0" xfId="0" applyNumberFormat="1" applyFont="1" applyFill="1"/>
    <xf numFmtId="0" fontId="44" fillId="23" borderId="0" xfId="0" applyFont="1" applyFill="1" applyAlignment="1">
      <alignment horizontal="center"/>
    </xf>
    <xf numFmtId="0" fontId="47" fillId="23" borderId="5" xfId="0" applyFont="1" applyFill="1" applyBorder="1" applyAlignment="1">
      <alignment horizontal="center" vertical="center"/>
    </xf>
    <xf numFmtId="0" fontId="44" fillId="23" borderId="5" xfId="0" applyFont="1" applyFill="1" applyBorder="1" applyAlignment="1">
      <alignment horizontal="center" vertical="center"/>
    </xf>
    <xf numFmtId="164" fontId="44" fillId="23" borderId="5" xfId="0" applyNumberFormat="1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44" fillId="23" borderId="5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0" fontId="47" fillId="23" borderId="5" xfId="0" applyFont="1" applyFill="1" applyBorder="1" applyAlignment="1">
      <alignment horizontal="center" vertical="center" wrapText="1"/>
    </xf>
    <xf numFmtId="0" fontId="47" fillId="23" borderId="5" xfId="7" applyFont="1" applyFill="1" applyBorder="1" applyAlignment="1">
      <alignment horizontal="center" vertical="center" wrapText="1"/>
    </xf>
    <xf numFmtId="171" fontId="44" fillId="23" borderId="5" xfId="0" applyNumberFormat="1" applyFont="1" applyFill="1" applyBorder="1" applyAlignment="1">
      <alignment horizontal="center" vertical="center"/>
    </xf>
    <xf numFmtId="171" fontId="44" fillId="23" borderId="8" xfId="0" applyNumberFormat="1" applyFont="1" applyFill="1" applyBorder="1" applyAlignment="1">
      <alignment horizontal="center" vertical="center"/>
    </xf>
    <xf numFmtId="171" fontId="44" fillId="23" borderId="21" xfId="0" applyNumberFormat="1" applyFont="1" applyFill="1" applyBorder="1" applyAlignment="1">
      <alignment horizontal="center" vertical="center"/>
    </xf>
    <xf numFmtId="16" fontId="44" fillId="0" borderId="2" xfId="0" applyNumberFormat="1" applyFont="1" applyBorder="1" applyAlignment="1">
      <alignment horizontal="center" vertical="center"/>
    </xf>
    <xf numFmtId="16" fontId="44" fillId="0" borderId="7" xfId="0" applyNumberFormat="1" applyFont="1" applyBorder="1" applyAlignment="1">
      <alignment horizontal="center" vertical="center"/>
    </xf>
    <xf numFmtId="171" fontId="44" fillId="0" borderId="2" xfId="0" applyNumberFormat="1" applyFont="1" applyBorder="1" applyAlignment="1">
      <alignment horizontal="center" vertical="center"/>
    </xf>
    <xf numFmtId="171" fontId="44" fillId="0" borderId="7" xfId="0" applyNumberFormat="1" applyFont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25" borderId="7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 wrapText="1"/>
    </xf>
    <xf numFmtId="0" fontId="47" fillId="25" borderId="7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horizontal="left" vertical="center" wrapText="1"/>
    </xf>
    <xf numFmtId="0" fontId="47" fillId="25" borderId="7" xfId="7" applyFont="1" applyFill="1" applyBorder="1" applyAlignment="1">
      <alignment horizontal="left" vertical="center" wrapText="1"/>
    </xf>
    <xf numFmtId="0" fontId="47" fillId="25" borderId="2" xfId="7" applyFont="1" applyFill="1" applyBorder="1" applyAlignment="1">
      <alignment horizontal="center" vertical="center" wrapText="1"/>
    </xf>
    <xf numFmtId="0" fontId="47" fillId="25" borderId="7" xfId="7" applyFont="1" applyFill="1" applyBorder="1" applyAlignment="1">
      <alignment horizontal="center" vertical="center" wrapText="1"/>
    </xf>
    <xf numFmtId="164" fontId="44" fillId="23" borderId="2" xfId="0" applyNumberFormat="1" applyFont="1" applyFill="1" applyBorder="1" applyAlignment="1">
      <alignment horizontal="center" vertical="center"/>
    </xf>
    <xf numFmtId="164" fontId="44" fillId="23" borderId="42" xfId="0" applyNumberFormat="1" applyFont="1" applyFill="1" applyBorder="1" applyAlignment="1">
      <alignment horizontal="center" vertical="center"/>
    </xf>
    <xf numFmtId="164" fontId="44" fillId="23" borderId="7" xfId="0" applyNumberFormat="1" applyFont="1" applyFill="1" applyBorder="1" applyAlignment="1">
      <alignment horizontal="center" vertical="center"/>
    </xf>
    <xf numFmtId="0" fontId="44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/>
    </xf>
    <xf numFmtId="0" fontId="47" fillId="23" borderId="1" xfId="0" applyFont="1" applyFill="1" applyBorder="1" applyAlignment="1">
      <alignment horizontal="center" vertical="center" wrapText="1"/>
    </xf>
    <xf numFmtId="0" fontId="47" fillId="23" borderId="1" xfId="7" applyFont="1" applyFill="1" applyBorder="1" applyAlignment="1">
      <alignment horizontal="left" vertical="center" wrapText="1"/>
    </xf>
    <xf numFmtId="164" fontId="44" fillId="23" borderId="1" xfId="0" applyNumberFormat="1" applyFont="1" applyFill="1" applyBorder="1" applyAlignment="1">
      <alignment horizontal="center" vertical="center"/>
    </xf>
    <xf numFmtId="15" fontId="44" fillId="23" borderId="2" xfId="0" applyNumberFormat="1" applyFont="1" applyFill="1" applyBorder="1" applyAlignment="1">
      <alignment horizontal="center" vertical="center"/>
    </xf>
    <xf numFmtId="15" fontId="44" fillId="23" borderId="42" xfId="0" applyNumberFormat="1" applyFont="1" applyFill="1" applyBorder="1" applyAlignment="1">
      <alignment horizontal="center" vertical="center"/>
    </xf>
    <xf numFmtId="15" fontId="44" fillId="23" borderId="7" xfId="0" applyNumberFormat="1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/>
    </xf>
    <xf numFmtId="0" fontId="44" fillId="23" borderId="42" xfId="0" applyFont="1" applyFill="1" applyBorder="1" applyAlignment="1">
      <alignment horizontal="center" vertical="center"/>
    </xf>
    <xf numFmtId="0" fontId="44" fillId="23" borderId="7" xfId="0" applyFont="1" applyFill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/>
    </xf>
    <xf numFmtId="0" fontId="44" fillId="23" borderId="2" xfId="0" applyFont="1" applyFill="1" applyBorder="1" applyAlignment="1">
      <alignment horizontal="center" vertical="center" wrapText="1"/>
    </xf>
    <xf numFmtId="0" fontId="44" fillId="23" borderId="42" xfId="0" applyFont="1" applyFill="1" applyBorder="1" applyAlignment="1">
      <alignment horizontal="center" vertical="center" wrapText="1"/>
    </xf>
    <xf numFmtId="0" fontId="44" fillId="23" borderId="7" xfId="0" applyFont="1" applyFill="1" applyBorder="1" applyAlignment="1">
      <alignment horizontal="center" vertical="center" wrapText="1"/>
    </xf>
    <xf numFmtId="0" fontId="44" fillId="23" borderId="2" xfId="7" applyFont="1" applyFill="1" applyBorder="1" applyAlignment="1">
      <alignment horizontal="center" vertical="center" wrapText="1"/>
    </xf>
    <xf numFmtId="0" fontId="44" fillId="23" borderId="42" xfId="7" applyFont="1" applyFill="1" applyBorder="1" applyAlignment="1">
      <alignment horizontal="center" vertical="center" wrapText="1"/>
    </xf>
    <xf numFmtId="0" fontId="44" fillId="23" borderId="7" xfId="7" applyFont="1" applyFill="1" applyBorder="1" applyAlignment="1">
      <alignment vertical="center" wrapText="1"/>
    </xf>
    <xf numFmtId="171" fontId="44" fillId="23" borderId="2" xfId="0" applyNumberFormat="1" applyFont="1" applyFill="1" applyBorder="1" applyAlignment="1">
      <alignment horizontal="center" vertical="center"/>
    </xf>
    <xf numFmtId="171" fontId="44" fillId="23" borderId="42" xfId="0" applyNumberFormat="1" applyFont="1" applyFill="1" applyBorder="1" applyAlignment="1">
      <alignment horizontal="center" vertical="center"/>
    </xf>
    <xf numFmtId="171" fontId="44" fillId="23" borderId="7" xfId="0" applyNumberFormat="1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/>
    </xf>
    <xf numFmtId="0" fontId="47" fillId="23" borderId="42" xfId="0" applyFont="1" applyFill="1" applyBorder="1" applyAlignment="1">
      <alignment horizontal="center" vertical="center"/>
    </xf>
    <xf numFmtId="0" fontId="47" fillId="23" borderId="7" xfId="0" applyFont="1" applyFill="1" applyBorder="1" applyAlignment="1">
      <alignment horizontal="center" vertical="center"/>
    </xf>
    <xf numFmtId="0" fontId="47" fillId="23" borderId="2" xfId="0" applyFont="1" applyFill="1" applyBorder="1" applyAlignment="1">
      <alignment horizontal="center" vertical="center" wrapText="1"/>
    </xf>
    <xf numFmtId="0" fontId="47" fillId="23" borderId="42" xfId="0" applyFont="1" applyFill="1" applyBorder="1" applyAlignment="1">
      <alignment horizontal="center" vertical="center" wrapText="1"/>
    </xf>
    <xf numFmtId="0" fontId="47" fillId="23" borderId="7" xfId="0" applyFont="1" applyFill="1" applyBorder="1" applyAlignment="1">
      <alignment horizontal="center" vertical="center" wrapText="1"/>
    </xf>
    <xf numFmtId="0" fontId="47" fillId="23" borderId="2" xfId="7" applyFont="1" applyFill="1" applyBorder="1" applyAlignment="1">
      <alignment horizontal="center" vertical="center" wrapText="1"/>
    </xf>
    <xf numFmtId="0" fontId="47" fillId="23" borderId="42" xfId="7" applyFont="1" applyFill="1" applyBorder="1" applyAlignment="1">
      <alignment horizontal="center" vertical="center" wrapText="1"/>
    </xf>
    <xf numFmtId="0" fontId="47" fillId="23" borderId="7" xfId="7" applyFont="1" applyFill="1" applyBorder="1" applyAlignment="1">
      <alignment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/>
    </xf>
    <xf numFmtId="0" fontId="47" fillId="25" borderId="42" xfId="0" applyFont="1" applyFill="1" applyBorder="1" applyAlignment="1">
      <alignment horizontal="center" vertical="center" wrapText="1"/>
    </xf>
    <xf numFmtId="0" fontId="47" fillId="25" borderId="2" xfId="7" applyFont="1" applyFill="1" applyBorder="1" applyAlignment="1">
      <alignment vertical="center" wrapText="1"/>
    </xf>
    <xf numFmtId="0" fontId="47" fillId="25" borderId="42" xfId="7" applyFont="1" applyFill="1" applyBorder="1" applyAlignment="1">
      <alignment vertical="center" wrapText="1"/>
    </xf>
    <xf numFmtId="0" fontId="47" fillId="25" borderId="7" xfId="7" applyFont="1" applyFill="1" applyBorder="1" applyAlignment="1">
      <alignment vertical="center" wrapText="1"/>
    </xf>
    <xf numFmtId="164" fontId="44" fillId="0" borderId="2" xfId="0" applyNumberFormat="1" applyFont="1" applyBorder="1" applyAlignment="1">
      <alignment horizontal="center" vertical="center"/>
    </xf>
    <xf numFmtId="164" fontId="44" fillId="0" borderId="42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0" fontId="47" fillId="25" borderId="1" xfId="0" applyFont="1" applyFill="1" applyBorder="1" applyAlignment="1">
      <alignment horizontal="center" vertical="center" wrapText="1"/>
    </xf>
    <xf numFmtId="0" fontId="47" fillId="25" borderId="1" xfId="7" applyFont="1" applyFill="1" applyBorder="1" applyAlignment="1">
      <alignment horizontal="left" vertical="center" wrapText="1"/>
    </xf>
    <xf numFmtId="164" fontId="44" fillId="0" borderId="1" xfId="0" applyNumberFormat="1" applyFont="1" applyBorder="1" applyAlignment="1">
      <alignment horizontal="center" vertical="center"/>
    </xf>
    <xf numFmtId="171" fontId="45" fillId="0" borderId="2" xfId="0" applyNumberFormat="1" applyFont="1" applyBorder="1" applyAlignment="1">
      <alignment horizontal="center" vertical="center"/>
    </xf>
    <xf numFmtId="171" fontId="45" fillId="0" borderId="42" xfId="0" applyNumberFormat="1" applyFont="1" applyBorder="1" applyAlignment="1">
      <alignment horizontal="center" vertical="center"/>
    </xf>
    <xf numFmtId="171" fontId="45" fillId="0" borderId="7" xfId="0" applyNumberFormat="1" applyFont="1" applyBorder="1" applyAlignment="1">
      <alignment horizontal="center" vertical="center"/>
    </xf>
    <xf numFmtId="164" fontId="44" fillId="5" borderId="2" xfId="0" applyNumberFormat="1" applyFont="1" applyFill="1" applyBorder="1" applyAlignment="1">
      <alignment horizontal="center" vertical="center"/>
    </xf>
    <xf numFmtId="164" fontId="44" fillId="5" borderId="7" xfId="0" applyNumberFormat="1" applyFont="1" applyFill="1" applyBorder="1" applyAlignment="1">
      <alignment horizontal="center" vertical="center"/>
    </xf>
    <xf numFmtId="15" fontId="44" fillId="23" borderId="1" xfId="0" applyNumberFormat="1" applyFont="1" applyFill="1" applyBorder="1" applyAlignment="1">
      <alignment horizontal="center" vertical="center"/>
    </xf>
    <xf numFmtId="171" fontId="44" fillId="5" borderId="2" xfId="0" applyNumberFormat="1" applyFont="1" applyFill="1" applyBorder="1" applyAlignment="1">
      <alignment horizontal="center" vertical="center"/>
    </xf>
    <xf numFmtId="171" fontId="44" fillId="5" borderId="7" xfId="0" applyNumberFormat="1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7" fillId="24" borderId="2" xfId="0" applyFont="1" applyFill="1" applyBorder="1" applyAlignment="1">
      <alignment horizontal="center" vertical="center"/>
    </xf>
    <xf numFmtId="0" fontId="47" fillId="24" borderId="42" xfId="0" applyFont="1" applyFill="1" applyBorder="1" applyAlignment="1">
      <alignment horizontal="center" vertical="center"/>
    </xf>
    <xf numFmtId="0" fontId="47" fillId="24" borderId="7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 wrapText="1"/>
    </xf>
    <xf numFmtId="0" fontId="47" fillId="24" borderId="1" xfId="7" applyFont="1" applyFill="1" applyBorder="1" applyAlignment="1">
      <alignment vertical="center" wrapText="1"/>
    </xf>
    <xf numFmtId="0" fontId="47" fillId="24" borderId="2" xfId="0" applyFont="1" applyFill="1" applyBorder="1" applyAlignment="1">
      <alignment horizontal="center" vertical="center" wrapText="1"/>
    </xf>
    <xf numFmtId="0" fontId="47" fillId="24" borderId="7" xfId="0" applyFont="1" applyFill="1" applyBorder="1" applyAlignment="1">
      <alignment horizontal="center" vertical="center" wrapText="1"/>
    </xf>
    <xf numFmtId="0" fontId="47" fillId="24" borderId="2" xfId="7" applyFont="1" applyFill="1" applyBorder="1" applyAlignment="1">
      <alignment horizontal="center" vertical="center" wrapText="1"/>
    </xf>
    <xf numFmtId="0" fontId="47" fillId="24" borderId="7" xfId="7" applyFont="1" applyFill="1" applyBorder="1" applyAlignment="1">
      <alignment vertical="center" wrapText="1"/>
    </xf>
    <xf numFmtId="0" fontId="44" fillId="5" borderId="2" xfId="0" applyFont="1" applyFill="1" applyBorder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16" fontId="44" fillId="23" borderId="1" xfId="0" applyNumberFormat="1" applyFont="1" applyFill="1" applyBorder="1" applyAlignment="1">
      <alignment horizontal="center" vertical="center"/>
    </xf>
    <xf numFmtId="0" fontId="47" fillId="23" borderId="2" xfId="7" applyFont="1" applyFill="1" applyBorder="1" applyAlignment="1">
      <alignment vertical="center" wrapText="1"/>
    </xf>
    <xf numFmtId="0" fontId="47" fillId="23" borderId="42" xfId="7" applyFont="1" applyFill="1" applyBorder="1" applyAlignment="1">
      <alignment vertical="center" wrapText="1"/>
    </xf>
    <xf numFmtId="16" fontId="44" fillId="23" borderId="2" xfId="0" applyNumberFormat="1" applyFont="1" applyFill="1" applyBorder="1" applyAlignment="1">
      <alignment horizontal="center" vertical="center"/>
    </xf>
    <xf numFmtId="16" fontId="44" fillId="23" borderId="42" xfId="0" applyNumberFormat="1" applyFont="1" applyFill="1" applyBorder="1" applyAlignment="1">
      <alignment horizontal="center" vertical="center"/>
    </xf>
    <xf numFmtId="16" fontId="44" fillId="23" borderId="7" xfId="0" applyNumberFormat="1" applyFont="1" applyFill="1" applyBorder="1" applyAlignment="1">
      <alignment horizontal="center" vertical="center"/>
    </xf>
    <xf numFmtId="0" fontId="47" fillId="23" borderId="7" xfId="7" applyFont="1" applyFill="1" applyBorder="1" applyAlignment="1">
      <alignment horizontal="center" vertical="center" wrapText="1"/>
    </xf>
    <xf numFmtId="0" fontId="43" fillId="21" borderId="1" xfId="0" applyFont="1" applyFill="1" applyBorder="1" applyAlignment="1">
      <alignment horizontal="center" vertical="center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47" fillId="24" borderId="1" xfId="0" applyFont="1" applyFill="1" applyBorder="1" applyAlignment="1">
      <alignment horizontal="center" vertical="center"/>
    </xf>
    <xf numFmtId="0" fontId="47" fillId="21" borderId="1" xfId="7" applyFont="1" applyFill="1" applyBorder="1" applyAlignment="1">
      <alignment horizontal="left" vertical="center" wrapText="1"/>
    </xf>
    <xf numFmtId="0" fontId="47" fillId="24" borderId="7" xfId="7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/>
    </xf>
    <xf numFmtId="0" fontId="49" fillId="23" borderId="2" xfId="0" applyFont="1" applyFill="1" applyBorder="1" applyAlignment="1">
      <alignment horizontal="center" vertical="center"/>
    </xf>
    <xf numFmtId="0" fontId="49" fillId="23" borderId="7" xfId="0" applyFont="1" applyFill="1" applyBorder="1" applyAlignment="1">
      <alignment horizontal="center" vertical="center"/>
    </xf>
    <xf numFmtId="0" fontId="44" fillId="23" borderId="7" xfId="7" applyFont="1" applyFill="1" applyBorder="1" applyAlignment="1">
      <alignment horizontal="center" vertical="center" wrapText="1"/>
    </xf>
    <xf numFmtId="15" fontId="49" fillId="23" borderId="2" xfId="0" applyNumberFormat="1" applyFont="1" applyFill="1" applyBorder="1" applyAlignment="1">
      <alignment horizontal="center" vertical="center"/>
    </xf>
    <xf numFmtId="15" fontId="49" fillId="23" borderId="7" xfId="0" applyNumberFormat="1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/>
    </xf>
    <xf numFmtId="0" fontId="47" fillId="25" borderId="5" xfId="0" applyFont="1" applyFill="1" applyBorder="1" applyAlignment="1">
      <alignment horizontal="center" vertical="center" wrapText="1"/>
    </xf>
    <xf numFmtId="0" fontId="47" fillId="25" borderId="5" xfId="7" applyFont="1" applyFill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64" fontId="44" fillId="0" borderId="8" xfId="0" applyNumberFormat="1" applyFont="1" applyBorder="1" applyAlignment="1">
      <alignment horizontal="center" vertical="center"/>
    </xf>
    <xf numFmtId="164" fontId="44" fillId="0" borderId="21" xfId="0" applyNumberFormat="1" applyFont="1" applyBorder="1" applyAlignment="1">
      <alignment horizontal="center" vertical="center"/>
    </xf>
    <xf numFmtId="171" fontId="44" fillId="0" borderId="5" xfId="0" applyNumberFormat="1" applyFont="1" applyBorder="1" applyAlignment="1">
      <alignment horizontal="center" vertical="center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262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B727682A-D8FD-4341-8EFF-DD7872A7770B}"/>
            </a:ext>
          </a:extLst>
        </xdr:cNvPr>
        <xdr:cNvSpPr txBox="1">
          <a:spLocks noChangeArrowheads="1"/>
        </xdr:cNvSpPr>
      </xdr:nvSpPr>
      <xdr:spPr>
        <a:xfrm>
          <a:off x="2654300" y="6595110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249</xdr:row>
      <xdr:rowOff>0</xdr:rowOff>
    </xdr:from>
    <xdr:ext cx="56939" cy="255034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35367E1D-03AB-4DB7-8BA5-5A41204E790E}"/>
            </a:ext>
          </a:extLst>
        </xdr:cNvPr>
        <xdr:cNvSpPr txBox="1">
          <a:spLocks noChangeArrowheads="1"/>
        </xdr:cNvSpPr>
      </xdr:nvSpPr>
      <xdr:spPr>
        <a:xfrm>
          <a:off x="2654300" y="63506350"/>
          <a:ext cx="56939" cy="255034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 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araraja-my.sharepoint.com/personal/smd1_amararaja_com/Documents/300MW%20SECI%20Ramgiri%20Project/Engineering/MDL/Ordering%20&amp;%20Vendor%20Doc%20submission.xlsx" TargetMode="External"/><Relationship Id="rId1" Type="http://schemas.openxmlformats.org/officeDocument/2006/relationships/externalLinkPath" Target="/personal/smd1_amararaja_com/Documents/300MW%20SECI%20Ramgiri%20Project/Client%20meeting/Ordering%20&amp;%20Vendor%20Doc%20submi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</sheetNames>
    <sheetDataSet>
      <sheetData sheetId="0" refreshError="1">
        <row r="41">
          <cell r="E41">
            <v>45834</v>
          </cell>
        </row>
        <row r="42">
          <cell r="E42">
            <v>45848</v>
          </cell>
        </row>
        <row r="44">
          <cell r="E44">
            <v>45826</v>
          </cell>
        </row>
        <row r="45">
          <cell r="E45">
            <v>45826</v>
          </cell>
        </row>
        <row r="46">
          <cell r="E46">
            <v>45826</v>
          </cell>
        </row>
        <row r="47">
          <cell r="E47">
            <v>45833</v>
          </cell>
        </row>
        <row r="48">
          <cell r="E48">
            <v>45847</v>
          </cell>
        </row>
        <row r="49">
          <cell r="E49">
            <v>45870</v>
          </cell>
        </row>
        <row r="50">
          <cell r="E50">
            <v>45870</v>
          </cell>
        </row>
        <row r="51">
          <cell r="E51">
            <v>45845</v>
          </cell>
        </row>
        <row r="52">
          <cell r="E52">
            <v>45845</v>
          </cell>
        </row>
        <row r="53">
          <cell r="E53">
            <v>45865</v>
          </cell>
        </row>
        <row r="54">
          <cell r="E54">
            <v>45843</v>
          </cell>
        </row>
        <row r="55">
          <cell r="E55">
            <v>45840</v>
          </cell>
        </row>
        <row r="56">
          <cell r="E56">
            <v>45822</v>
          </cell>
        </row>
        <row r="57">
          <cell r="E57">
            <v>45840</v>
          </cell>
        </row>
        <row r="58">
          <cell r="E58">
            <v>45847</v>
          </cell>
        </row>
        <row r="59">
          <cell r="E59">
            <v>45894</v>
          </cell>
        </row>
        <row r="60">
          <cell r="E60">
            <v>45813</v>
          </cell>
        </row>
        <row r="61">
          <cell r="E61">
            <v>45858</v>
          </cell>
        </row>
        <row r="62">
          <cell r="E62">
            <v>45834</v>
          </cell>
        </row>
        <row r="63">
          <cell r="E63">
            <v>45840</v>
          </cell>
        </row>
        <row r="64">
          <cell r="E64">
            <v>45962</v>
          </cell>
        </row>
        <row r="65">
          <cell r="E65">
            <v>45826</v>
          </cell>
        </row>
        <row r="66">
          <cell r="E66">
            <v>45853</v>
          </cell>
        </row>
        <row r="67">
          <cell r="E67" t="str">
            <v>Done</v>
          </cell>
        </row>
        <row r="68">
          <cell r="E68">
            <v>45814</v>
          </cell>
        </row>
        <row r="69">
          <cell r="E69">
            <v>45834</v>
          </cell>
        </row>
        <row r="70">
          <cell r="E70">
            <v>45814</v>
          </cell>
        </row>
        <row r="71">
          <cell r="E71">
            <v>45814</v>
          </cell>
        </row>
        <row r="72">
          <cell r="E72">
            <v>45826</v>
          </cell>
        </row>
        <row r="73">
          <cell r="E73">
            <v>45834</v>
          </cell>
        </row>
        <row r="74">
          <cell r="E74">
            <v>45848</v>
          </cell>
        </row>
        <row r="75">
          <cell r="E75">
            <v>45824</v>
          </cell>
        </row>
        <row r="76">
          <cell r="E76">
            <v>45826</v>
          </cell>
        </row>
        <row r="77">
          <cell r="E77">
            <v>45826</v>
          </cell>
        </row>
        <row r="78">
          <cell r="E78">
            <v>45826</v>
          </cell>
        </row>
        <row r="79">
          <cell r="E79">
            <v>45833</v>
          </cell>
        </row>
        <row r="80">
          <cell r="E80">
            <v>45870</v>
          </cell>
        </row>
        <row r="81">
          <cell r="E81">
            <v>45845</v>
          </cell>
        </row>
        <row r="82">
          <cell r="E82">
            <v>45845</v>
          </cell>
        </row>
        <row r="83">
          <cell r="E83">
            <v>45865</v>
          </cell>
        </row>
        <row r="84">
          <cell r="E84">
            <v>45843</v>
          </cell>
        </row>
        <row r="85">
          <cell r="E85">
            <v>45822</v>
          </cell>
        </row>
        <row r="86">
          <cell r="E86">
            <v>45840</v>
          </cell>
        </row>
        <row r="87">
          <cell r="E87">
            <v>45870</v>
          </cell>
        </row>
        <row r="88">
          <cell r="E88">
            <v>45813</v>
          </cell>
        </row>
        <row r="89">
          <cell r="E89">
            <v>45858</v>
          </cell>
        </row>
        <row r="90">
          <cell r="E90">
            <v>45834</v>
          </cell>
        </row>
        <row r="91">
          <cell r="E91">
            <v>45840</v>
          </cell>
        </row>
        <row r="92">
          <cell r="E92">
            <v>45826</v>
          </cell>
        </row>
        <row r="93">
          <cell r="E93" t="str">
            <v>Done</v>
          </cell>
        </row>
        <row r="94">
          <cell r="E94">
            <v>45853</v>
          </cell>
        </row>
        <row r="95">
          <cell r="E95">
            <v>45826</v>
          </cell>
        </row>
        <row r="96">
          <cell r="E96" t="str">
            <v>Done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="80" zoomScaleNormal="80" workbookViewId="0">
      <pane xSplit="6" ySplit="7" topLeftCell="G50" activePane="bottomRight" state="frozen"/>
      <selection pane="topRight" activeCell="G1" sqref="G1"/>
      <selection pane="bottomLeft" activeCell="A8" sqref="A8"/>
      <selection pane="bottomRight" activeCell="F58" sqref="F58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90625" hidden="1" customWidth="1"/>
    <col min="15" max="15" width="5" hidden="1" customWidth="1"/>
  </cols>
  <sheetData>
    <row r="1" spans="1:15" s="10" customFormat="1" ht="37" customHeight="1" x14ac:dyDescent="0.35">
      <c r="A1" s="352" t="s">
        <v>52</v>
      </c>
      <c r="B1" s="353"/>
      <c r="C1" s="353"/>
      <c r="D1" s="353"/>
      <c r="E1" s="353"/>
      <c r="F1" s="353"/>
      <c r="G1" s="354"/>
      <c r="H1" s="354"/>
      <c r="I1" s="354"/>
      <c r="J1" s="354"/>
      <c r="K1" s="354"/>
      <c r="L1" s="355"/>
    </row>
    <row r="2" spans="1:15" s="13" customFormat="1" ht="12" x14ac:dyDescent="0.35">
      <c r="A2" s="117" t="s">
        <v>48</v>
      </c>
      <c r="B2" s="344" t="s">
        <v>49</v>
      </c>
      <c r="C2" s="345"/>
      <c r="D2" s="345"/>
      <c r="E2" s="345"/>
      <c r="F2" s="345"/>
      <c r="G2" s="114"/>
      <c r="H2" s="114"/>
      <c r="I2" s="114"/>
      <c r="J2" s="114"/>
      <c r="K2" s="114"/>
      <c r="L2" s="115"/>
      <c r="N2" s="143" t="s">
        <v>394</v>
      </c>
      <c r="O2" s="143" t="s">
        <v>395</v>
      </c>
    </row>
    <row r="3" spans="1:15" s="13" customFormat="1" ht="12" x14ac:dyDescent="0.35">
      <c r="A3" s="118" t="s">
        <v>50</v>
      </c>
      <c r="B3" s="346">
        <v>390</v>
      </c>
      <c r="C3" s="347"/>
      <c r="D3" s="347"/>
      <c r="E3" s="347"/>
      <c r="F3" s="348"/>
      <c r="G3" s="114"/>
      <c r="H3" s="114"/>
      <c r="I3" s="114"/>
      <c r="J3" s="114"/>
      <c r="K3" s="114"/>
      <c r="L3" s="115"/>
      <c r="N3" s="142">
        <v>45845</v>
      </c>
      <c r="O3" s="142">
        <v>45839</v>
      </c>
    </row>
    <row r="4" spans="1:15" s="13" customFormat="1" ht="12" x14ac:dyDescent="0.35">
      <c r="A4" s="116" t="s">
        <v>51</v>
      </c>
      <c r="B4" s="349">
        <v>45694</v>
      </c>
      <c r="C4" s="350"/>
      <c r="D4" s="350"/>
      <c r="E4" s="350"/>
      <c r="F4" s="351"/>
      <c r="G4" s="114"/>
      <c r="H4" s="114"/>
      <c r="I4" s="114"/>
      <c r="J4" s="114"/>
      <c r="K4" s="114"/>
      <c r="L4" s="115"/>
      <c r="N4" s="142">
        <f>N3+5</f>
        <v>45850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403</v>
      </c>
      <c r="L5" s="163" t="s">
        <v>404</v>
      </c>
    </row>
    <row r="6" spans="1:15" s="13" customFormat="1" ht="12" x14ac:dyDescent="0.35">
      <c r="A6" s="116" t="s">
        <v>10</v>
      </c>
      <c r="B6" s="14">
        <v>45849</v>
      </c>
      <c r="C6" s="12"/>
      <c r="D6" s="12"/>
      <c r="E6" s="12"/>
      <c r="F6" s="120"/>
      <c r="G6" s="114"/>
      <c r="H6" s="114"/>
      <c r="I6" s="114"/>
      <c r="J6" s="114"/>
      <c r="K6" s="164">
        <f>N3</f>
        <v>45845</v>
      </c>
      <c r="L6" s="163">
        <v>45839</v>
      </c>
    </row>
    <row r="7" spans="1:15" s="13" customFormat="1" ht="12" x14ac:dyDescent="0.35">
      <c r="A7" s="117"/>
      <c r="B7" s="303"/>
      <c r="C7" s="304"/>
      <c r="D7" s="304"/>
      <c r="E7" s="304"/>
      <c r="F7" s="308"/>
      <c r="G7" s="114"/>
      <c r="H7" s="114"/>
      <c r="I7" s="114"/>
      <c r="J7" s="114"/>
      <c r="K7" s="309">
        <f>N4</f>
        <v>45850</v>
      </c>
      <c r="L7" s="310">
        <f>L6+30</f>
        <v>45869</v>
      </c>
    </row>
    <row r="8" spans="1:15" s="2" customFormat="1" ht="29" x14ac:dyDescent="0.35">
      <c r="A8" s="311" t="s">
        <v>0</v>
      </c>
      <c r="B8" s="311" t="s">
        <v>9</v>
      </c>
      <c r="C8" s="311" t="s">
        <v>3</v>
      </c>
      <c r="D8" s="311" t="s">
        <v>7</v>
      </c>
      <c r="E8" s="311" t="s">
        <v>8</v>
      </c>
      <c r="F8" s="312" t="s">
        <v>59</v>
      </c>
      <c r="G8" s="312" t="s">
        <v>58</v>
      </c>
      <c r="H8" s="312" t="s">
        <v>57</v>
      </c>
      <c r="I8" s="312" t="s">
        <v>61</v>
      </c>
      <c r="J8" s="312" t="s">
        <v>62</v>
      </c>
      <c r="K8" s="312" t="s">
        <v>408</v>
      </c>
      <c r="L8" s="312" t="s">
        <v>409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313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406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45754</v>
      </c>
      <c r="O11" s="3">
        <v>1</v>
      </c>
    </row>
    <row r="12" spans="1:15" s="3" customFormat="1" x14ac:dyDescent="0.35">
      <c r="A12" s="167" t="s">
        <v>407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5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313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45755</v>
      </c>
      <c r="O13" s="3">
        <v>1</v>
      </c>
    </row>
    <row r="14" spans="1:15" s="3" customFormat="1" x14ac:dyDescent="0.35">
      <c r="A14" s="314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19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45756</v>
      </c>
      <c r="O14" s="3">
        <v>1</v>
      </c>
    </row>
    <row r="15" spans="1:15" s="3" customFormat="1" x14ac:dyDescent="0.35">
      <c r="A15" s="314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19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45757</v>
      </c>
      <c r="O15" s="3">
        <v>1</v>
      </c>
    </row>
    <row r="16" spans="1:15" s="3" customFormat="1" x14ac:dyDescent="0.35">
      <c r="A16" s="314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45758</v>
      </c>
      <c r="O16" s="3">
        <v>2</v>
      </c>
    </row>
    <row r="17" spans="1:15" s="3" customFormat="1" x14ac:dyDescent="0.35">
      <c r="A17" s="314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19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45759</v>
      </c>
      <c r="O17" s="3">
        <v>2</v>
      </c>
    </row>
    <row r="18" spans="1:15" s="3" customFormat="1" x14ac:dyDescent="0.35">
      <c r="A18" s="314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45760</v>
      </c>
      <c r="O18" s="3">
        <v>1</v>
      </c>
    </row>
    <row r="19" spans="1:15" s="3" customFormat="1" ht="16" x14ac:dyDescent="0.35">
      <c r="A19" s="68" t="s">
        <v>844</v>
      </c>
      <c r="B19" s="8">
        <f>'Construction Status'!K11</f>
        <v>240</v>
      </c>
      <c r="C19" s="8" t="s">
        <v>11</v>
      </c>
      <c r="D19" s="6">
        <f>'Construction Status'!Q11</f>
        <v>54</v>
      </c>
      <c r="E19" s="6">
        <f t="shared" si="0"/>
        <v>186</v>
      </c>
      <c r="F19" s="166">
        <v>2E-3</v>
      </c>
      <c r="G19" s="113">
        <f t="shared" si="1"/>
        <v>4.5000000000000004E-4</v>
      </c>
      <c r="H19" s="18">
        <f t="shared" si="2"/>
        <v>0.22500000000000001</v>
      </c>
      <c r="I19" s="7">
        <f>SUMIF('Construction Status'!$U$2:$DF$2,'Construction DASHBOARD'!$B$6,'Construction Status'!U11:DF11)</f>
        <v>0</v>
      </c>
      <c r="J19" s="7">
        <v>4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45761</v>
      </c>
      <c r="O19" s="3">
        <v>1</v>
      </c>
    </row>
    <row r="20" spans="1:15" s="3" customFormat="1" x14ac:dyDescent="0.35">
      <c r="A20" s="313" t="s">
        <v>6</v>
      </c>
      <c r="B20" s="8"/>
      <c r="C20" s="8"/>
      <c r="D20" s="6"/>
      <c r="E20" s="6"/>
      <c r="F20" s="165"/>
      <c r="G20" s="18"/>
      <c r="H20" s="18"/>
      <c r="I20" s="7"/>
      <c r="J20" s="7"/>
      <c r="K20" s="7"/>
      <c r="L20" s="7"/>
      <c r="N20" s="160">
        <v>45762</v>
      </c>
    </row>
    <row r="21" spans="1:15" s="3" customFormat="1" x14ac:dyDescent="0.35">
      <c r="A21" s="314" t="s">
        <v>20</v>
      </c>
      <c r="B21" s="8"/>
      <c r="C21" s="8" t="s">
        <v>315</v>
      </c>
      <c r="D21" s="6"/>
      <c r="E21" s="6"/>
      <c r="F21" s="166">
        <v>0.21</v>
      </c>
      <c r="G21" s="18"/>
      <c r="H21" s="18"/>
      <c r="I21" s="7"/>
      <c r="J21" s="7"/>
      <c r="K21" s="7"/>
      <c r="L21" s="7"/>
      <c r="N21" s="160">
        <v>45763</v>
      </c>
    </row>
    <row r="22" spans="1:15" x14ac:dyDescent="0.35">
      <c r="A22" s="314" t="s">
        <v>21</v>
      </c>
      <c r="B22" s="8">
        <v>24</v>
      </c>
      <c r="C22" s="8" t="s">
        <v>2</v>
      </c>
      <c r="D22" s="9"/>
      <c r="E22" s="9"/>
      <c r="F22" s="166">
        <v>0.05</v>
      </c>
      <c r="G22" s="19"/>
      <c r="H22" s="19"/>
      <c r="I22" s="8"/>
      <c r="J22" s="8"/>
      <c r="K22" s="8"/>
      <c r="L22" s="8"/>
      <c r="N22" s="160">
        <v>45764</v>
      </c>
      <c r="O22" s="3">
        <v>4</v>
      </c>
    </row>
    <row r="23" spans="1:15" x14ac:dyDescent="0.35">
      <c r="A23" s="314" t="s">
        <v>22</v>
      </c>
      <c r="B23" s="8">
        <v>24</v>
      </c>
      <c r="C23" s="8" t="s">
        <v>2</v>
      </c>
      <c r="D23" s="9"/>
      <c r="E23" s="9"/>
      <c r="F23" s="166">
        <v>0.05</v>
      </c>
      <c r="G23" s="19"/>
      <c r="H23" s="19"/>
      <c r="I23" s="8"/>
      <c r="J23" s="8"/>
      <c r="K23" s="8"/>
      <c r="L23" s="8"/>
      <c r="N23" s="160">
        <v>45765</v>
      </c>
      <c r="O23" s="3">
        <v>4</v>
      </c>
    </row>
    <row r="24" spans="1:15" x14ac:dyDescent="0.35">
      <c r="A24" s="314" t="s">
        <v>133</v>
      </c>
      <c r="B24" s="8">
        <v>1</v>
      </c>
      <c r="C24" s="8" t="s">
        <v>11</v>
      </c>
      <c r="D24" s="9"/>
      <c r="E24" s="9"/>
      <c r="F24" s="166">
        <v>0.06</v>
      </c>
      <c r="G24" s="19"/>
      <c r="H24" s="19"/>
      <c r="I24" s="8"/>
      <c r="J24" s="8"/>
      <c r="K24" s="8"/>
      <c r="L24" s="8"/>
      <c r="N24" s="160">
        <v>45766</v>
      </c>
      <c r="O24" s="3">
        <v>4</v>
      </c>
    </row>
    <row r="25" spans="1:15" ht="17.149999999999999" customHeight="1" x14ac:dyDescent="0.35">
      <c r="A25" s="314" t="s">
        <v>23</v>
      </c>
      <c r="B25" s="8"/>
      <c r="C25" s="8" t="s">
        <v>204</v>
      </c>
      <c r="D25" s="9"/>
      <c r="E25" s="9"/>
      <c r="F25" s="166">
        <v>0.02</v>
      </c>
      <c r="G25" s="19"/>
      <c r="H25" s="19"/>
      <c r="I25" s="8"/>
      <c r="J25" s="8"/>
      <c r="K25" s="8"/>
      <c r="L25" s="8"/>
      <c r="N25" s="160">
        <v>45767</v>
      </c>
      <c r="O25" s="3">
        <v>4</v>
      </c>
    </row>
    <row r="26" spans="1:15" ht="17.149999999999999" customHeight="1" x14ac:dyDescent="0.35">
      <c r="A26" s="314" t="s">
        <v>393</v>
      </c>
      <c r="B26" s="8">
        <v>21000</v>
      </c>
      <c r="C26" s="8" t="s">
        <v>204</v>
      </c>
      <c r="D26" s="9"/>
      <c r="E26" s="9"/>
      <c r="F26" s="166">
        <v>0.02</v>
      </c>
      <c r="G26" s="19"/>
      <c r="H26" s="19"/>
      <c r="I26" s="8"/>
      <c r="J26" s="8"/>
      <c r="K26" s="8"/>
      <c r="L26" s="8"/>
      <c r="N26" s="160">
        <v>45768</v>
      </c>
      <c r="O26">
        <v>4</v>
      </c>
    </row>
    <row r="27" spans="1:15" x14ac:dyDescent="0.35">
      <c r="A27" s="313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>
        <v>45769</v>
      </c>
      <c r="O27">
        <v>6</v>
      </c>
    </row>
    <row r="28" spans="1:15" x14ac:dyDescent="0.35">
      <c r="A28" s="314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>
        <v>45770</v>
      </c>
      <c r="O28">
        <v>6</v>
      </c>
    </row>
    <row r="29" spans="1:15" x14ac:dyDescent="0.35">
      <c r="A29" s="314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>
        <v>45771</v>
      </c>
      <c r="O29">
        <v>6</v>
      </c>
    </row>
    <row r="30" spans="1:15" x14ac:dyDescent="0.35">
      <c r="A30" s="313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>
        <v>45772</v>
      </c>
      <c r="O30">
        <v>6</v>
      </c>
    </row>
    <row r="31" spans="1:15" x14ac:dyDescent="0.35">
      <c r="A31" s="314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>
        <v>45773</v>
      </c>
      <c r="O31">
        <v>4</v>
      </c>
    </row>
    <row r="32" spans="1:15" x14ac:dyDescent="0.35">
      <c r="A32" s="314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>
        <v>45774</v>
      </c>
    </row>
    <row r="33" spans="1:12" x14ac:dyDescent="0.35">
      <c r="A33" s="314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314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314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314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314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313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314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314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314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314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314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314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314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313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314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314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313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314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314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314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314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313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314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314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314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314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315">
        <f>SUM(F11:F58)</f>
        <v>1.0000000000000002</v>
      </c>
      <c r="G59" s="315">
        <f>SUM(G11:G58)</f>
        <v>4.0332865440464667E-2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4.0332865440464667E-2</v>
      </c>
    </row>
    <row r="73" spans="2:3" x14ac:dyDescent="0.35">
      <c r="B73" s="20" t="s">
        <v>8</v>
      </c>
      <c r="C73" s="21">
        <f>C71-C72</f>
        <v>0.95966713455953556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411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412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413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414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412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415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417</v>
      </c>
      <c r="AE13" t="s">
        <v>8</v>
      </c>
      <c r="AF13" t="s">
        <v>416</v>
      </c>
      <c r="AG13" t="s">
        <v>418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I14" sqref="I14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340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331" t="s">
        <v>331</v>
      </c>
      <c r="C16" s="332">
        <f>C15+28</f>
        <v>45801</v>
      </c>
      <c r="D16" s="332">
        <v>45837</v>
      </c>
      <c r="E16" s="305" t="s">
        <v>843</v>
      </c>
    </row>
    <row r="17" spans="1:5" x14ac:dyDescent="0.4">
      <c r="A17" s="132" t="s">
        <v>316</v>
      </c>
      <c r="B17" s="122" t="s">
        <v>341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398</v>
      </c>
      <c r="C18" s="138">
        <v>45760</v>
      </c>
      <c r="D18" s="134">
        <v>45752</v>
      </c>
      <c r="E18" s="316" t="s">
        <v>7</v>
      </c>
    </row>
    <row r="19" spans="1:5" s="131" customFormat="1" x14ac:dyDescent="0.4">
      <c r="A19" s="137">
        <f>+SUM(A18+1)</f>
        <v>2</v>
      </c>
      <c r="B19" s="139" t="s">
        <v>849</v>
      </c>
      <c r="C19" s="138">
        <v>45833</v>
      </c>
      <c r="D19" s="134">
        <v>45837</v>
      </c>
      <c r="E19" s="316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332</v>
      </c>
      <c r="C20" s="138">
        <v>45783</v>
      </c>
      <c r="D20" s="134">
        <v>45838</v>
      </c>
      <c r="E20" s="316" t="s">
        <v>7</v>
      </c>
    </row>
    <row r="21" spans="1:5" s="131" customFormat="1" x14ac:dyDescent="0.4">
      <c r="A21" s="137">
        <f t="shared" si="0"/>
        <v>4</v>
      </c>
      <c r="B21" s="139" t="s">
        <v>333</v>
      </c>
      <c r="C21" s="138">
        <v>45767</v>
      </c>
      <c r="D21" s="134">
        <v>45767</v>
      </c>
      <c r="E21" s="316" t="s">
        <v>7</v>
      </c>
    </row>
    <row r="22" spans="1:5" s="131" customFormat="1" x14ac:dyDescent="0.4">
      <c r="A22" s="137">
        <f t="shared" si="0"/>
        <v>5</v>
      </c>
      <c r="B22" s="139" t="s">
        <v>334</v>
      </c>
      <c r="C22" s="138">
        <v>45767</v>
      </c>
      <c r="D22" s="134">
        <v>45752</v>
      </c>
      <c r="E22" s="316" t="s">
        <v>7</v>
      </c>
    </row>
    <row r="23" spans="1:5" s="131" customFormat="1" x14ac:dyDescent="0.4">
      <c r="A23" s="137">
        <f t="shared" si="0"/>
        <v>6</v>
      </c>
      <c r="B23" s="139" t="s">
        <v>335</v>
      </c>
      <c r="C23" s="138">
        <v>45762</v>
      </c>
      <c r="D23" s="134">
        <v>45740</v>
      </c>
      <c r="E23" s="316" t="s">
        <v>336</v>
      </c>
    </row>
    <row r="24" spans="1:5" s="131" customFormat="1" x14ac:dyDescent="0.4">
      <c r="A24" s="137">
        <f t="shared" si="0"/>
        <v>7</v>
      </c>
      <c r="B24" s="139" t="s">
        <v>337</v>
      </c>
      <c r="C24" s="138">
        <v>45774</v>
      </c>
      <c r="D24" s="134">
        <v>45844</v>
      </c>
      <c r="E24" s="316" t="s">
        <v>7</v>
      </c>
    </row>
    <row r="25" spans="1:5" s="131" customFormat="1" x14ac:dyDescent="0.4">
      <c r="A25" s="137">
        <f t="shared" si="0"/>
        <v>8</v>
      </c>
      <c r="B25" s="139" t="s">
        <v>338</v>
      </c>
      <c r="C25" s="138">
        <v>45774</v>
      </c>
      <c r="D25" s="134">
        <v>45838</v>
      </c>
      <c r="E25" s="316" t="s">
        <v>7</v>
      </c>
    </row>
    <row r="26" spans="1:5" s="131" customFormat="1" x14ac:dyDescent="0.4">
      <c r="A26" s="144">
        <f>+SUM(A25+1)</f>
        <v>9</v>
      </c>
      <c r="B26" s="145" t="s">
        <v>339</v>
      </c>
      <c r="C26" s="146">
        <v>45764</v>
      </c>
      <c r="D26" s="332">
        <v>45838</v>
      </c>
      <c r="E26" s="305" t="s">
        <v>843</v>
      </c>
    </row>
    <row r="27" spans="1:5" x14ac:dyDescent="0.4">
      <c r="A27" s="333" t="s">
        <v>316</v>
      </c>
      <c r="B27" s="334" t="s">
        <v>852</v>
      </c>
      <c r="C27" s="334" t="s">
        <v>317</v>
      </c>
      <c r="D27" s="334" t="s">
        <v>318</v>
      </c>
      <c r="E27" s="334" t="s">
        <v>319</v>
      </c>
    </row>
    <row r="28" spans="1:5" x14ac:dyDescent="0.4">
      <c r="A28" s="335">
        <v>1</v>
      </c>
      <c r="B28" s="336" t="s">
        <v>851</v>
      </c>
      <c r="C28" s="527"/>
      <c r="D28" s="526">
        <v>45836</v>
      </c>
      <c r="E28" s="337" t="s">
        <v>843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62" t="s">
        <v>94</v>
      </c>
      <c r="C1" s="363"/>
      <c r="D1" s="364"/>
      <c r="E1" s="22"/>
    </row>
    <row r="2" spans="1:351" s="23" customFormat="1" x14ac:dyDescent="0.35">
      <c r="A2" s="24" t="s">
        <v>64</v>
      </c>
      <c r="B2" s="365" t="s">
        <v>95</v>
      </c>
      <c r="C2" s="366"/>
      <c r="D2" s="367"/>
      <c r="E2" s="22"/>
    </row>
    <row r="3" spans="1:351" s="23" customFormat="1" ht="16.5" thickBot="1" x14ac:dyDescent="0.4">
      <c r="A3" s="25" t="s">
        <v>65</v>
      </c>
      <c r="B3" s="368">
        <f>'[1]Project Overview'!P1</f>
        <v>45702</v>
      </c>
      <c r="C3" s="369"/>
      <c r="D3" s="370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71" t="s">
        <v>66</v>
      </c>
      <c r="B5" s="371" t="s">
        <v>67</v>
      </c>
      <c r="C5" s="372" t="s">
        <v>68</v>
      </c>
      <c r="D5" s="371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71"/>
      <c r="B6" s="371"/>
      <c r="C6" s="373"/>
      <c r="D6" s="371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60"/>
      <c r="C8" s="360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61"/>
      <c r="C9" s="361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60"/>
      <c r="C10" s="360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61"/>
      <c r="C11" s="361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56"/>
      <c r="C13" s="356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56"/>
      <c r="C14" s="356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56"/>
      <c r="C15" s="356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56"/>
      <c r="C16" s="356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56"/>
      <c r="C17" s="356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56"/>
      <c r="C18" s="356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56"/>
      <c r="C19" s="356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56"/>
      <c r="C20" s="356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56"/>
      <c r="C21" s="356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56"/>
      <c r="C22" s="356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56"/>
      <c r="C23" s="356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56"/>
      <c r="C24" s="356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56"/>
      <c r="C25" s="356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56"/>
      <c r="C26" s="356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56"/>
      <c r="C27" s="356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56"/>
      <c r="C28" s="356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56"/>
      <c r="C29" s="356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56"/>
      <c r="C30" s="356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56"/>
      <c r="C31" s="356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56"/>
      <c r="C32" s="356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56"/>
      <c r="C33" s="356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57"/>
      <c r="C34" s="357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58"/>
      <c r="C35" s="358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58"/>
      <c r="C36" s="358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56"/>
      <c r="C37" s="356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56"/>
      <c r="C38" s="356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56"/>
      <c r="C39" s="356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57"/>
      <c r="C40" s="357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58"/>
      <c r="C41" s="358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58"/>
      <c r="C42" s="358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57"/>
      <c r="C43" s="356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58"/>
      <c r="C44" s="356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58"/>
      <c r="C45" s="356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57"/>
      <c r="C46" s="357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58"/>
      <c r="C47" s="358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59"/>
      <c r="C48" s="359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x14ac:dyDescent="0.4">
      <c r="A49" s="30">
        <v>43</v>
      </c>
      <c r="B49" s="358"/>
      <c r="C49" s="358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58"/>
      <c r="C50" s="358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58"/>
      <c r="C51" s="358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57"/>
      <c r="C52" s="357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58"/>
      <c r="C53" s="358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58"/>
      <c r="C54" s="359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57"/>
      <c r="C55" s="357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58"/>
      <c r="C56" s="358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58"/>
      <c r="C57" s="358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58"/>
      <c r="C58" s="358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58"/>
      <c r="C59" s="358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59"/>
      <c r="C60" s="359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57"/>
      <c r="C61" s="357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58"/>
      <c r="C62" s="358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58"/>
      <c r="C63" s="358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58"/>
      <c r="C64" s="358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58"/>
      <c r="C65" s="358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59"/>
      <c r="C66" s="359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57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58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58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58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58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59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57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58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58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58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58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59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57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58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58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58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58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59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57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58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58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58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58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59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57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58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58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58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58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59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57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58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58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58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58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59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57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58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58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58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58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59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57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58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58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58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58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59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57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58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58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58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58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59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57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58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58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58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58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59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57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58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58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59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56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56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56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56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56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56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56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56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56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80" t="s">
        <v>94</v>
      </c>
      <c r="C1" s="381"/>
      <c r="D1" s="382"/>
      <c r="E1" s="22"/>
    </row>
    <row r="2" spans="1:326" s="23" customFormat="1" x14ac:dyDescent="0.35">
      <c r="A2" s="71" t="s">
        <v>64</v>
      </c>
      <c r="B2" s="383" t="s">
        <v>95</v>
      </c>
      <c r="C2" s="384"/>
      <c r="D2" s="385"/>
      <c r="E2" s="22"/>
    </row>
    <row r="3" spans="1:326" s="23" customFormat="1" ht="20.149999999999999" customHeight="1" thickBot="1" x14ac:dyDescent="0.4">
      <c r="A3" s="73" t="s">
        <v>65</v>
      </c>
      <c r="B3" s="386">
        <v>45703</v>
      </c>
      <c r="C3" s="387"/>
      <c r="D3" s="38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89" t="s">
        <v>66</v>
      </c>
      <c r="B5" s="389" t="s">
        <v>67</v>
      </c>
      <c r="C5" s="389" t="s">
        <v>68</v>
      </c>
      <c r="D5" s="389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89"/>
      <c r="B6" s="389"/>
      <c r="C6" s="389"/>
      <c r="D6" s="389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79" t="s">
        <v>402</v>
      </c>
      <c r="C7" s="379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79"/>
      <c r="C8" s="379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79"/>
      <c r="C9" s="379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79"/>
      <c r="C10" s="379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76" t="s">
        <v>274</v>
      </c>
      <c r="C11" s="377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76"/>
      <c r="C12" s="377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76"/>
      <c r="C13" s="377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76"/>
      <c r="C14" s="377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76"/>
      <c r="C15" s="377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76" t="s">
        <v>280</v>
      </c>
      <c r="C16" s="378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76"/>
      <c r="C17" s="378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76" t="s">
        <v>282</v>
      </c>
      <c r="C18" s="377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76"/>
      <c r="C19" s="377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76"/>
      <c r="C20" s="377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76"/>
      <c r="C21" s="377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76"/>
      <c r="C22" s="377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76" t="s">
        <v>286</v>
      </c>
      <c r="C23" s="377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76"/>
      <c r="C24" s="377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76"/>
      <c r="C25" s="377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76"/>
      <c r="C26" s="377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76"/>
      <c r="C27" s="377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74" t="s">
        <v>288</v>
      </c>
      <c r="C28" s="375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74"/>
      <c r="C29" s="375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74"/>
      <c r="C30" s="375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74"/>
      <c r="C31" s="375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74"/>
      <c r="C32" s="375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74"/>
      <c r="C33" s="375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74" t="s">
        <v>292</v>
      </c>
      <c r="C34" s="375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74"/>
      <c r="C35" s="375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74"/>
      <c r="C36" s="375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74"/>
      <c r="C37" s="375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74" t="s">
        <v>294</v>
      </c>
      <c r="C38" s="375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74"/>
      <c r="C39" s="375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74"/>
      <c r="C40" s="375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74"/>
      <c r="C41" s="375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74"/>
      <c r="C42" s="375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74" t="s">
        <v>86</v>
      </c>
      <c r="C43" s="375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74"/>
      <c r="C44" s="375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74"/>
      <c r="C45" s="375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74"/>
      <c r="C46" s="375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74"/>
      <c r="C47" s="375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topLeftCell="A4" zoomScale="80" zoomScaleNormal="80" workbookViewId="0">
      <selection activeCell="E15" sqref="E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11.08984375" style="123" bestFit="1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389</v>
      </c>
      <c r="C1" s="122" t="s">
        <v>342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319"/>
      <c r="D2" s="127"/>
      <c r="E2" s="127"/>
      <c r="F2" s="127"/>
    </row>
    <row r="3" spans="1:6" x14ac:dyDescent="0.4">
      <c r="A3" s="135">
        <v>1</v>
      </c>
      <c r="B3" s="133" t="s">
        <v>343</v>
      </c>
      <c r="C3" s="135" t="s">
        <v>400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344</v>
      </c>
      <c r="C4" s="135" t="s">
        <v>364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317" t="s">
        <v>345</v>
      </c>
      <c r="C5" s="320"/>
      <c r="D5" s="318">
        <v>45780</v>
      </c>
      <c r="E5" s="126">
        <v>45838</v>
      </c>
      <c r="F5" s="127"/>
    </row>
    <row r="6" spans="1:6" x14ac:dyDescent="0.4">
      <c r="A6" s="135">
        <v>4</v>
      </c>
      <c r="B6" s="133" t="s">
        <v>346</v>
      </c>
      <c r="C6" s="135" t="s">
        <v>425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347</v>
      </c>
      <c r="C7" s="135" t="s">
        <v>425</v>
      </c>
      <c r="D7" s="134">
        <v>45768</v>
      </c>
      <c r="E7" s="134">
        <v>45797</v>
      </c>
      <c r="F7" s="137" t="s">
        <v>7</v>
      </c>
    </row>
    <row r="8" spans="1:6" x14ac:dyDescent="0.4">
      <c r="A8" s="124">
        <v>6</v>
      </c>
      <c r="B8" s="125" t="s">
        <v>348</v>
      </c>
      <c r="C8" s="320"/>
      <c r="D8" s="126">
        <v>45784</v>
      </c>
      <c r="E8" s="126">
        <v>45835</v>
      </c>
      <c r="F8" s="127"/>
    </row>
    <row r="9" spans="1:6" x14ac:dyDescent="0.4">
      <c r="A9" s="124">
        <v>7</v>
      </c>
      <c r="B9" s="125" t="s">
        <v>349</v>
      </c>
      <c r="C9" s="320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350</v>
      </c>
      <c r="C10" s="135" t="s">
        <v>351</v>
      </c>
      <c r="D10" s="138">
        <v>45760</v>
      </c>
      <c r="E10" s="138">
        <v>45747</v>
      </c>
      <c r="F10" s="137" t="s">
        <v>7</v>
      </c>
    </row>
    <row r="11" spans="1:6" ht="32" x14ac:dyDescent="0.4">
      <c r="A11" s="135">
        <v>9</v>
      </c>
      <c r="B11" s="133" t="s">
        <v>352</v>
      </c>
      <c r="C11" s="135" t="s">
        <v>850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353</v>
      </c>
      <c r="C12" s="319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354</v>
      </c>
      <c r="C13" s="319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355</v>
      </c>
      <c r="C14" s="319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356</v>
      </c>
      <c r="C15" s="319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357</v>
      </c>
      <c r="C16" s="319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358</v>
      </c>
      <c r="C17" s="319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359</v>
      </c>
      <c r="C18" s="135" t="s">
        <v>846</v>
      </c>
      <c r="D18" s="134">
        <v>45768</v>
      </c>
      <c r="E18" s="134">
        <v>45815</v>
      </c>
      <c r="F18" s="137" t="s">
        <v>7</v>
      </c>
    </row>
    <row r="19" spans="1:6" x14ac:dyDescent="0.4">
      <c r="A19" s="124">
        <v>17</v>
      </c>
      <c r="B19" s="125" t="s">
        <v>360</v>
      </c>
      <c r="C19" s="319"/>
      <c r="D19" s="126">
        <v>45783</v>
      </c>
      <c r="E19" s="126">
        <v>45835</v>
      </c>
      <c r="F19" s="127"/>
    </row>
    <row r="20" spans="1:6" x14ac:dyDescent="0.4">
      <c r="A20" s="124">
        <v>18</v>
      </c>
      <c r="B20" s="125" t="s">
        <v>361</v>
      </c>
      <c r="C20" s="319"/>
      <c r="D20" s="126">
        <v>45784</v>
      </c>
      <c r="E20" s="126">
        <v>45853</v>
      </c>
      <c r="F20" s="127"/>
    </row>
    <row r="21" spans="1:6" s="131" customFormat="1" x14ac:dyDescent="0.35">
      <c r="A21" s="128">
        <v>19</v>
      </c>
      <c r="B21" s="129" t="s">
        <v>362</v>
      </c>
      <c r="C21" s="319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363</v>
      </c>
      <c r="C22" s="319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0309-E0A1-45CB-B8E1-CFD6ED940FF0}">
  <dimension ref="A1:X220"/>
  <sheetViews>
    <sheetView zoomScale="90" zoomScaleNormal="90" workbookViewId="0">
      <pane xSplit="7" ySplit="2" topLeftCell="T177" activePane="bottomRight" state="frozen"/>
      <selection pane="topRight" activeCell="H1" sqref="H1"/>
      <selection pane="bottomLeft" activeCell="A3" sqref="A3"/>
      <selection pane="bottomRight" activeCell="G44" sqref="G44:G47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1.1796875" style="290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5" t="s">
        <v>446</v>
      </c>
      <c r="B1" s="485"/>
      <c r="C1" s="485"/>
      <c r="D1" s="485"/>
      <c r="E1" s="485"/>
      <c r="F1" s="485"/>
      <c r="G1" s="485"/>
      <c r="H1" s="212"/>
      <c r="I1" s="213"/>
      <c r="J1" s="214"/>
      <c r="K1" s="215"/>
      <c r="L1" s="306" t="s">
        <v>848</v>
      </c>
      <c r="M1" s="307">
        <v>45830</v>
      </c>
      <c r="N1" s="216"/>
      <c r="O1" s="216">
        <f ca="1">TODAY()</f>
        <v>45849</v>
      </c>
      <c r="P1" s="215"/>
      <c r="Q1" s="215"/>
      <c r="R1" s="215"/>
      <c r="S1" s="215"/>
      <c r="T1" s="215"/>
      <c r="U1" s="217">
        <f ca="1">TODAY()</f>
        <v>45849</v>
      </c>
    </row>
    <row r="2" spans="1:24" ht="64.5" customHeight="1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414">
        <v>1</v>
      </c>
      <c r="B3" s="414" t="s">
        <v>465</v>
      </c>
      <c r="C3" s="415" t="s">
        <v>466</v>
      </c>
      <c r="D3" s="416" t="s">
        <v>467</v>
      </c>
      <c r="E3" s="413" t="s">
        <v>468</v>
      </c>
      <c r="F3" s="413" t="s">
        <v>469</v>
      </c>
      <c r="G3" s="417">
        <v>45698</v>
      </c>
      <c r="H3" s="417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413"/>
      <c r="R3" s="413" t="s">
        <v>399</v>
      </c>
      <c r="S3" s="413" t="s">
        <v>471</v>
      </c>
      <c r="T3" s="413" t="s">
        <v>399</v>
      </c>
      <c r="U3" s="413"/>
    </row>
    <row r="4" spans="1:24" x14ac:dyDescent="0.3">
      <c r="A4" s="414"/>
      <c r="B4" s="414"/>
      <c r="C4" s="415"/>
      <c r="D4" s="416"/>
      <c r="E4" s="413"/>
      <c r="F4" s="413"/>
      <c r="G4" s="417"/>
      <c r="H4" s="417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3"/>
      <c r="R4" s="413"/>
      <c r="S4" s="413"/>
      <c r="T4" s="413"/>
      <c r="U4" s="413"/>
      <c r="X4" s="228" t="s">
        <v>473</v>
      </c>
    </row>
    <row r="5" spans="1:24" x14ac:dyDescent="0.3">
      <c r="A5" s="414"/>
      <c r="B5" s="414"/>
      <c r="C5" s="415"/>
      <c r="D5" s="416"/>
      <c r="E5" s="413"/>
      <c r="F5" s="413"/>
      <c r="G5" s="417"/>
      <c r="H5" s="417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3"/>
      <c r="R5" s="413"/>
      <c r="S5" s="413"/>
      <c r="T5" s="413"/>
      <c r="U5" s="413"/>
      <c r="X5" s="229" t="s">
        <v>399</v>
      </c>
    </row>
    <row r="6" spans="1:24" x14ac:dyDescent="0.3">
      <c r="A6" s="414"/>
      <c r="B6" s="414"/>
      <c r="C6" s="415"/>
      <c r="D6" s="416"/>
      <c r="E6" s="413"/>
      <c r="F6" s="413"/>
      <c r="G6" s="417"/>
      <c r="H6" s="417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413"/>
      <c r="R6" s="413"/>
      <c r="S6" s="413"/>
      <c r="T6" s="413"/>
      <c r="U6" s="413"/>
      <c r="X6" s="229" t="s">
        <v>476</v>
      </c>
    </row>
    <row r="7" spans="1:24" x14ac:dyDescent="0.3">
      <c r="A7" s="414">
        <v>2</v>
      </c>
      <c r="B7" s="414" t="s">
        <v>465</v>
      </c>
      <c r="C7" s="415" t="s">
        <v>466</v>
      </c>
      <c r="D7" s="416" t="s">
        <v>477</v>
      </c>
      <c r="E7" s="413" t="s">
        <v>478</v>
      </c>
      <c r="F7" s="413" t="s">
        <v>479</v>
      </c>
      <c r="G7" s="417">
        <v>45740</v>
      </c>
      <c r="H7" s="417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61">
        <f>M8</f>
        <v>45755</v>
      </c>
      <c r="R7" s="413" t="str">
        <f>T7</f>
        <v>Approved</v>
      </c>
      <c r="S7" s="413" t="str">
        <f>N8</f>
        <v>CAT -IV</v>
      </c>
      <c r="T7" s="413" t="s">
        <v>399</v>
      </c>
      <c r="U7" s="413">
        <f>M8-L8</f>
        <v>6</v>
      </c>
      <c r="X7" s="229" t="s">
        <v>481</v>
      </c>
    </row>
    <row r="8" spans="1:24" x14ac:dyDescent="0.3">
      <c r="A8" s="414"/>
      <c r="B8" s="414"/>
      <c r="C8" s="415"/>
      <c r="D8" s="416"/>
      <c r="E8" s="413"/>
      <c r="F8" s="413"/>
      <c r="G8" s="417"/>
      <c r="H8" s="417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61"/>
      <c r="R8" s="413"/>
      <c r="S8" s="413"/>
      <c r="T8" s="413"/>
      <c r="U8" s="413"/>
    </row>
    <row r="9" spans="1:24" s="299" customFormat="1" ht="28" x14ac:dyDescent="0.3">
      <c r="A9" s="221">
        <v>3</v>
      </c>
      <c r="B9" s="221" t="s">
        <v>465</v>
      </c>
      <c r="C9" s="222" t="s">
        <v>466</v>
      </c>
      <c r="D9" s="223" t="s">
        <v>483</v>
      </c>
      <c r="E9" s="224" t="s">
        <v>484</v>
      </c>
      <c r="F9" s="224" t="s">
        <v>469</v>
      </c>
      <c r="G9" s="225"/>
      <c r="H9" s="225"/>
      <c r="I9" s="226"/>
      <c r="J9" s="227"/>
      <c r="K9" s="224" t="s">
        <v>470</v>
      </c>
      <c r="L9" s="225"/>
      <c r="M9" s="225"/>
      <c r="N9" s="224"/>
      <c r="O9" s="224"/>
      <c r="P9" s="224"/>
      <c r="Q9" s="224"/>
      <c r="R9" s="224"/>
      <c r="S9" s="224" t="s">
        <v>485</v>
      </c>
      <c r="T9" s="224" t="s">
        <v>399</v>
      </c>
      <c r="U9" s="224"/>
    </row>
    <row r="10" spans="1:24" ht="42" customHeight="1" x14ac:dyDescent="0.3">
      <c r="A10" s="434">
        <v>4</v>
      </c>
      <c r="B10" s="221" t="s">
        <v>465</v>
      </c>
      <c r="C10" s="437" t="s">
        <v>466</v>
      </c>
      <c r="D10" s="440" t="s">
        <v>486</v>
      </c>
      <c r="E10" s="421" t="s">
        <v>487</v>
      </c>
      <c r="F10" s="421" t="s">
        <v>479</v>
      </c>
      <c r="G10" s="410">
        <v>45768</v>
      </c>
      <c r="H10" s="410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418">
        <f>M10</f>
        <v>45776</v>
      </c>
      <c r="R10" s="421" t="s">
        <v>399</v>
      </c>
      <c r="S10" s="421" t="str">
        <f>N10</f>
        <v>CAT -IV R</v>
      </c>
      <c r="T10" s="421" t="s">
        <v>399</v>
      </c>
      <c r="U10" s="421"/>
    </row>
    <row r="11" spans="1:24" x14ac:dyDescent="0.3">
      <c r="A11" s="436"/>
      <c r="B11" s="221"/>
      <c r="C11" s="439"/>
      <c r="D11" s="484"/>
      <c r="E11" s="423"/>
      <c r="F11" s="423"/>
      <c r="G11" s="412"/>
      <c r="H11" s="412"/>
      <c r="I11" s="226"/>
      <c r="J11" s="227"/>
      <c r="K11" s="224" t="s">
        <v>472</v>
      </c>
      <c r="L11" s="225">
        <v>45827</v>
      </c>
      <c r="M11" s="225"/>
      <c r="N11" s="224"/>
      <c r="O11" s="224"/>
      <c r="P11" s="224"/>
      <c r="Q11" s="420"/>
      <c r="R11" s="423"/>
      <c r="S11" s="423"/>
      <c r="T11" s="423"/>
      <c r="U11" s="423"/>
    </row>
    <row r="12" spans="1:24" ht="28" x14ac:dyDescent="0.3">
      <c r="A12" s="237">
        <v>5</v>
      </c>
      <c r="B12" s="238" t="s">
        <v>465</v>
      </c>
      <c r="C12" s="239" t="s">
        <v>466</v>
      </c>
      <c r="D12" s="240" t="s">
        <v>488</v>
      </c>
      <c r="E12" s="215" t="s">
        <v>489</v>
      </c>
      <c r="F12" s="213" t="s">
        <v>479</v>
      </c>
      <c r="G12" s="234">
        <v>45814</v>
      </c>
      <c r="H12" s="234">
        <v>45820</v>
      </c>
      <c r="I12" s="235"/>
      <c r="J12" s="241"/>
      <c r="K12" s="215"/>
      <c r="L12" s="242"/>
      <c r="M12" s="242"/>
      <c r="N12" s="215"/>
      <c r="O12" s="215"/>
      <c r="P12" s="215"/>
      <c r="Q12" s="215"/>
      <c r="R12" s="215" t="s">
        <v>495</v>
      </c>
      <c r="S12" s="215"/>
      <c r="T12" s="215" t="s">
        <v>473</v>
      </c>
      <c r="U12" s="215"/>
    </row>
    <row r="13" spans="1:24" x14ac:dyDescent="0.3">
      <c r="A13" s="221">
        <v>6</v>
      </c>
      <c r="B13" s="221" t="s">
        <v>465</v>
      </c>
      <c r="C13" s="222" t="s">
        <v>466</v>
      </c>
      <c r="D13" s="223" t="s">
        <v>490</v>
      </c>
      <c r="E13" s="224" t="s">
        <v>491</v>
      </c>
      <c r="F13" s="224" t="s">
        <v>479</v>
      </c>
      <c r="G13" s="225">
        <v>45814</v>
      </c>
      <c r="H13" s="225">
        <v>45815</v>
      </c>
      <c r="I13" s="226"/>
      <c r="J13" s="227"/>
      <c r="K13" s="224" t="s">
        <v>470</v>
      </c>
      <c r="L13" s="225">
        <v>45815</v>
      </c>
      <c r="M13" s="225">
        <v>45828</v>
      </c>
      <c r="N13" s="224" t="s">
        <v>480</v>
      </c>
      <c r="O13" s="224"/>
      <c r="P13" s="224"/>
      <c r="Q13" s="224"/>
      <c r="R13" s="224" t="s">
        <v>502</v>
      </c>
      <c r="S13" s="224" t="str">
        <f>N13</f>
        <v>CAT -IV R</v>
      </c>
      <c r="T13" s="224" t="s">
        <v>399</v>
      </c>
      <c r="U13" s="224">
        <f ca="1">U1-L13</f>
        <v>34</v>
      </c>
    </row>
    <row r="14" spans="1:24" x14ac:dyDescent="0.3">
      <c r="A14" s="414">
        <v>7</v>
      </c>
      <c r="B14" s="414" t="s">
        <v>465</v>
      </c>
      <c r="C14" s="415" t="s">
        <v>466</v>
      </c>
      <c r="D14" s="416" t="s">
        <v>492</v>
      </c>
      <c r="E14" s="413" t="s">
        <v>493</v>
      </c>
      <c r="F14" s="413" t="s">
        <v>469</v>
      </c>
      <c r="G14" s="417">
        <v>45742</v>
      </c>
      <c r="H14" s="417">
        <v>45742</v>
      </c>
      <c r="I14" s="226"/>
      <c r="J14" s="227"/>
      <c r="K14" s="224" t="s">
        <v>470</v>
      </c>
      <c r="L14" s="225">
        <v>45742</v>
      </c>
      <c r="M14" s="225">
        <v>45751</v>
      </c>
      <c r="N14" s="224" t="s">
        <v>494</v>
      </c>
      <c r="O14" s="224">
        <f>M14-L14</f>
        <v>9</v>
      </c>
      <c r="P14" s="224">
        <f>L15-M14</f>
        <v>0</v>
      </c>
      <c r="Q14" s="224"/>
      <c r="R14" s="413" t="s">
        <v>495</v>
      </c>
      <c r="S14" s="413" t="str">
        <f>N14</f>
        <v>CAT - II</v>
      </c>
      <c r="T14" s="413" t="s">
        <v>399</v>
      </c>
      <c r="U14" s="413">
        <f ca="1">U1-L15</f>
        <v>98</v>
      </c>
    </row>
    <row r="15" spans="1:24" x14ac:dyDescent="0.3">
      <c r="A15" s="414"/>
      <c r="B15" s="414"/>
      <c r="C15" s="415"/>
      <c r="D15" s="416"/>
      <c r="E15" s="413"/>
      <c r="F15" s="413"/>
      <c r="G15" s="417"/>
      <c r="H15" s="417"/>
      <c r="I15" s="226"/>
      <c r="J15" s="227"/>
      <c r="K15" s="224" t="s">
        <v>472</v>
      </c>
      <c r="L15" s="225">
        <v>45751</v>
      </c>
      <c r="M15" s="225"/>
      <c r="N15" s="224"/>
      <c r="O15" s="224">
        <f ca="1">O1-L15</f>
        <v>98</v>
      </c>
      <c r="P15" s="224"/>
      <c r="Q15" s="224"/>
      <c r="R15" s="413"/>
      <c r="S15" s="413"/>
      <c r="T15" s="413"/>
      <c r="U15" s="413"/>
    </row>
    <row r="16" spans="1:24" x14ac:dyDescent="0.3">
      <c r="A16" s="237">
        <v>8</v>
      </c>
      <c r="B16" s="238" t="s">
        <v>465</v>
      </c>
      <c r="C16" s="239" t="s">
        <v>466</v>
      </c>
      <c r="D16" s="240" t="s">
        <v>496</v>
      </c>
      <c r="E16" s="215" t="s">
        <v>497</v>
      </c>
      <c r="F16" s="215" t="s">
        <v>479</v>
      </c>
      <c r="G16" s="242">
        <v>45771</v>
      </c>
      <c r="H16" s="242">
        <v>45771</v>
      </c>
      <c r="I16" s="243"/>
      <c r="J16" s="241"/>
      <c r="K16" s="215" t="s">
        <v>470</v>
      </c>
      <c r="L16" s="242">
        <v>45772</v>
      </c>
      <c r="M16" s="242"/>
      <c r="N16" s="215"/>
      <c r="O16" s="215">
        <f ca="1">O1-L16</f>
        <v>77</v>
      </c>
      <c r="P16" s="215"/>
      <c r="Q16" s="215"/>
      <c r="R16" s="215" t="s">
        <v>495</v>
      </c>
      <c r="S16" s="215"/>
      <c r="T16" s="215" t="s">
        <v>473</v>
      </c>
      <c r="U16" s="215">
        <f ca="1">U1-L16</f>
        <v>77</v>
      </c>
    </row>
    <row r="17" spans="1:21" x14ac:dyDescent="0.3">
      <c r="A17" s="221">
        <v>9</v>
      </c>
      <c r="B17" s="221" t="s">
        <v>465</v>
      </c>
      <c r="C17" s="222" t="s">
        <v>466</v>
      </c>
      <c r="D17" s="223" t="s">
        <v>498</v>
      </c>
      <c r="E17" s="224" t="s">
        <v>499</v>
      </c>
      <c r="F17" s="224" t="s">
        <v>479</v>
      </c>
      <c r="G17" s="225"/>
      <c r="H17" s="225"/>
      <c r="I17" s="226"/>
      <c r="J17" s="227"/>
      <c r="K17" s="224" t="s">
        <v>470</v>
      </c>
      <c r="L17" s="225"/>
      <c r="M17" s="225"/>
      <c r="N17" s="224"/>
      <c r="O17" s="224"/>
      <c r="P17" s="224"/>
      <c r="Q17" s="224"/>
      <c r="R17" s="224" t="s">
        <v>399</v>
      </c>
      <c r="S17" s="224" t="s">
        <v>485</v>
      </c>
      <c r="T17" s="224" t="s">
        <v>399</v>
      </c>
      <c r="U17" s="224"/>
    </row>
    <row r="18" spans="1:21" x14ac:dyDescent="0.3">
      <c r="A18" s="237">
        <v>10</v>
      </c>
      <c r="B18" s="238" t="s">
        <v>465</v>
      </c>
      <c r="C18" s="239" t="s">
        <v>466</v>
      </c>
      <c r="D18" s="240" t="s">
        <v>500</v>
      </c>
      <c r="E18" s="215" t="s">
        <v>501</v>
      </c>
      <c r="F18" s="213" t="s">
        <v>479</v>
      </c>
      <c r="G18" s="234">
        <v>45772</v>
      </c>
      <c r="H18" s="234">
        <v>45772</v>
      </c>
      <c r="I18" s="235"/>
      <c r="J18" s="241"/>
      <c r="K18" s="215" t="s">
        <v>470</v>
      </c>
      <c r="L18" s="242">
        <v>45772</v>
      </c>
      <c r="M18" s="242">
        <v>45778</v>
      </c>
      <c r="N18" s="215" t="s">
        <v>480</v>
      </c>
      <c r="O18" s="215">
        <f>M18-L18</f>
        <v>6</v>
      </c>
      <c r="P18" s="215"/>
      <c r="Q18" s="215"/>
      <c r="R18" s="215" t="s">
        <v>502</v>
      </c>
      <c r="S18" s="215" t="str">
        <f>N18</f>
        <v>CAT -IV R</v>
      </c>
      <c r="T18" s="215" t="s">
        <v>476</v>
      </c>
      <c r="U18" s="215">
        <f ca="1">U1-M18</f>
        <v>71</v>
      </c>
    </row>
    <row r="19" spans="1:21" x14ac:dyDescent="0.3">
      <c r="A19" s="414">
        <v>11</v>
      </c>
      <c r="B19" s="414" t="s">
        <v>465</v>
      </c>
      <c r="C19" s="415" t="s">
        <v>466</v>
      </c>
      <c r="D19" s="416" t="s">
        <v>503</v>
      </c>
      <c r="E19" s="413" t="s">
        <v>504</v>
      </c>
      <c r="F19" s="413" t="s">
        <v>469</v>
      </c>
      <c r="G19" s="417">
        <v>45769</v>
      </c>
      <c r="H19" s="417">
        <f>L19</f>
        <v>45769</v>
      </c>
      <c r="I19" s="226"/>
      <c r="J19" s="227"/>
      <c r="K19" s="224" t="s">
        <v>470</v>
      </c>
      <c r="L19" s="225">
        <v>45769</v>
      </c>
      <c r="M19" s="225">
        <v>45771</v>
      </c>
      <c r="N19" s="224" t="s">
        <v>471</v>
      </c>
      <c r="O19" s="224">
        <f>M19-L19</f>
        <v>2</v>
      </c>
      <c r="P19" s="224">
        <f>L20-M19</f>
        <v>6</v>
      </c>
      <c r="Q19" s="461">
        <f>M21</f>
        <v>45793</v>
      </c>
      <c r="R19" s="413" t="s">
        <v>495</v>
      </c>
      <c r="S19" s="413" t="str">
        <f>N21</f>
        <v>CAT - I</v>
      </c>
      <c r="T19" s="413" t="s">
        <v>399</v>
      </c>
      <c r="U19" s="413">
        <f>M21-L21</f>
        <v>7</v>
      </c>
    </row>
    <row r="20" spans="1:21" x14ac:dyDescent="0.3">
      <c r="A20" s="414"/>
      <c r="B20" s="414"/>
      <c r="C20" s="415"/>
      <c r="D20" s="416"/>
      <c r="E20" s="413"/>
      <c r="F20" s="413"/>
      <c r="G20" s="417"/>
      <c r="H20" s="417"/>
      <c r="I20" s="226"/>
      <c r="J20" s="227"/>
      <c r="K20" s="224" t="s">
        <v>472</v>
      </c>
      <c r="L20" s="225">
        <v>45777</v>
      </c>
      <c r="M20" s="225">
        <v>45778</v>
      </c>
      <c r="N20" s="224" t="s">
        <v>494</v>
      </c>
      <c r="O20" s="224">
        <f>M20-L20</f>
        <v>1</v>
      </c>
      <c r="P20" s="224">
        <f>L21-M20</f>
        <v>8</v>
      </c>
      <c r="Q20" s="461"/>
      <c r="R20" s="413"/>
      <c r="S20" s="413"/>
      <c r="T20" s="413"/>
      <c r="U20" s="413"/>
    </row>
    <row r="21" spans="1:21" x14ac:dyDescent="0.3">
      <c r="A21" s="414"/>
      <c r="B21" s="414"/>
      <c r="C21" s="415"/>
      <c r="D21" s="416"/>
      <c r="E21" s="413"/>
      <c r="F21" s="413"/>
      <c r="G21" s="417"/>
      <c r="H21" s="417"/>
      <c r="I21" s="226"/>
      <c r="J21" s="227"/>
      <c r="K21" s="224" t="s">
        <v>474</v>
      </c>
      <c r="L21" s="225">
        <v>45786</v>
      </c>
      <c r="M21" s="225">
        <v>45793</v>
      </c>
      <c r="N21" s="224" t="s">
        <v>485</v>
      </c>
      <c r="O21" s="224">
        <f>M21-L21</f>
        <v>7</v>
      </c>
      <c r="P21" s="224"/>
      <c r="Q21" s="461"/>
      <c r="R21" s="413"/>
      <c r="S21" s="413"/>
      <c r="T21" s="413"/>
      <c r="U21" s="413"/>
    </row>
    <row r="22" spans="1:21" x14ac:dyDescent="0.3">
      <c r="A22" s="237">
        <v>12</v>
      </c>
      <c r="B22" s="238" t="s">
        <v>465</v>
      </c>
      <c r="C22" s="239" t="s">
        <v>466</v>
      </c>
      <c r="D22" s="240" t="s">
        <v>505</v>
      </c>
      <c r="E22" s="215" t="s">
        <v>506</v>
      </c>
      <c r="F22" s="213" t="s">
        <v>479</v>
      </c>
      <c r="G22" s="234">
        <v>45801</v>
      </c>
      <c r="H22" s="234">
        <v>45843</v>
      </c>
      <c r="I22" s="235"/>
      <c r="J22" s="241"/>
      <c r="K22" s="215"/>
      <c r="L22" s="242"/>
      <c r="M22" s="242"/>
      <c r="N22" s="215"/>
      <c r="O22" s="215"/>
      <c r="P22" s="215"/>
      <c r="Q22" s="215"/>
      <c r="R22" s="215"/>
      <c r="S22" s="215"/>
      <c r="T22" s="215"/>
      <c r="U22" s="215"/>
    </row>
    <row r="23" spans="1:21" s="249" customFormat="1" x14ac:dyDescent="0.3">
      <c r="A23" s="237">
        <v>13</v>
      </c>
      <c r="B23" s="238" t="s">
        <v>465</v>
      </c>
      <c r="C23" s="239" t="s">
        <v>466</v>
      </c>
      <c r="D23" s="240" t="s">
        <v>507</v>
      </c>
      <c r="E23" s="215" t="s">
        <v>508</v>
      </c>
      <c r="F23" s="244" t="s">
        <v>479</v>
      </c>
      <c r="G23" s="245"/>
      <c r="H23" s="245"/>
      <c r="I23" s="246"/>
      <c r="J23" s="247"/>
      <c r="K23" s="248"/>
      <c r="L23" s="242"/>
      <c r="M23" s="242"/>
      <c r="N23" s="248"/>
      <c r="O23" s="215"/>
      <c r="P23" s="215"/>
      <c r="Q23" s="248"/>
      <c r="R23" s="248"/>
      <c r="S23" s="248"/>
      <c r="T23" s="248"/>
      <c r="U23" s="248"/>
    </row>
    <row r="24" spans="1:21" ht="28" x14ac:dyDescent="0.3">
      <c r="A24" s="237">
        <v>14</v>
      </c>
      <c r="B24" s="238" t="s">
        <v>465</v>
      </c>
      <c r="C24" s="239" t="s">
        <v>466</v>
      </c>
      <c r="D24" s="240" t="s">
        <v>509</v>
      </c>
      <c r="E24" s="215" t="s">
        <v>510</v>
      </c>
      <c r="F24" s="213" t="s">
        <v>469</v>
      </c>
      <c r="G24" s="234"/>
      <c r="H24" s="234"/>
      <c r="I24" s="235"/>
      <c r="J24" s="241"/>
      <c r="K24" s="215"/>
      <c r="L24" s="242"/>
      <c r="M24" s="242"/>
      <c r="N24" s="215"/>
      <c r="O24" s="215"/>
      <c r="P24" s="215"/>
      <c r="Q24" s="215"/>
      <c r="R24" s="215"/>
      <c r="S24" s="215"/>
      <c r="T24" s="215"/>
      <c r="U24" s="215"/>
    </row>
    <row r="25" spans="1:21" x14ac:dyDescent="0.3">
      <c r="A25" s="434">
        <v>1</v>
      </c>
      <c r="B25" s="434" t="s">
        <v>6</v>
      </c>
      <c r="C25" s="437" t="s">
        <v>511</v>
      </c>
      <c r="D25" s="479" t="s">
        <v>512</v>
      </c>
      <c r="E25" s="421" t="s">
        <v>513</v>
      </c>
      <c r="F25" s="421" t="s">
        <v>469</v>
      </c>
      <c r="G25" s="410">
        <v>45727</v>
      </c>
      <c r="H25" s="410">
        <f>L25</f>
        <v>45727</v>
      </c>
      <c r="I25" s="250"/>
      <c r="J25" s="227"/>
      <c r="K25" s="224" t="s">
        <v>470</v>
      </c>
      <c r="L25" s="225">
        <v>45727</v>
      </c>
      <c r="M25" s="225">
        <v>45736</v>
      </c>
      <c r="N25" s="224" t="s">
        <v>471</v>
      </c>
      <c r="O25" s="224">
        <f>M25-L25</f>
        <v>9</v>
      </c>
      <c r="P25" s="224">
        <f>L26-M25</f>
        <v>19</v>
      </c>
      <c r="Q25" s="421"/>
      <c r="R25" s="421" t="s">
        <v>399</v>
      </c>
      <c r="S25" s="421" t="str">
        <f>N27</f>
        <v>CAT - I</v>
      </c>
      <c r="T25" s="421" t="s">
        <v>399</v>
      </c>
      <c r="U25" s="421">
        <f ca="1">U1-L27</f>
        <v>44</v>
      </c>
    </row>
    <row r="26" spans="1:21" x14ac:dyDescent="0.3">
      <c r="A26" s="434"/>
      <c r="B26" s="434"/>
      <c r="C26" s="437"/>
      <c r="D26" s="479"/>
      <c r="E26" s="421"/>
      <c r="F26" s="421"/>
      <c r="G26" s="410"/>
      <c r="H26" s="410"/>
      <c r="I26" s="251"/>
      <c r="J26" s="227"/>
      <c r="K26" s="224" t="s">
        <v>472</v>
      </c>
      <c r="L26" s="225">
        <v>45755</v>
      </c>
      <c r="M26" s="225">
        <v>45758</v>
      </c>
      <c r="N26" s="224" t="s">
        <v>494</v>
      </c>
      <c r="O26" s="224">
        <f>M26-L26</f>
        <v>3</v>
      </c>
      <c r="P26" s="224">
        <f>L27-M26</f>
        <v>47</v>
      </c>
      <c r="Q26" s="421"/>
      <c r="R26" s="421"/>
      <c r="S26" s="421"/>
      <c r="T26" s="421"/>
      <c r="U26" s="421"/>
    </row>
    <row r="27" spans="1:21" x14ac:dyDescent="0.3">
      <c r="A27" s="434"/>
      <c r="B27" s="434"/>
      <c r="C27" s="437"/>
      <c r="D27" s="479"/>
      <c r="E27" s="421"/>
      <c r="F27" s="421"/>
      <c r="G27" s="410"/>
      <c r="H27" s="410"/>
      <c r="I27" s="252"/>
      <c r="J27" s="227"/>
      <c r="K27" s="224" t="s">
        <v>474</v>
      </c>
      <c r="L27" s="225">
        <v>45805</v>
      </c>
      <c r="M27" s="225">
        <v>45810</v>
      </c>
      <c r="N27" s="224" t="s">
        <v>485</v>
      </c>
      <c r="O27" s="224">
        <f>M27-L27</f>
        <v>5</v>
      </c>
      <c r="P27" s="224"/>
      <c r="Q27" s="421"/>
      <c r="R27" s="421"/>
      <c r="S27" s="421"/>
      <c r="T27" s="421"/>
      <c r="U27" s="421"/>
    </row>
    <row r="28" spans="1:21" s="259" customFormat="1" ht="28" x14ac:dyDescent="0.3">
      <c r="A28" s="253">
        <v>2</v>
      </c>
      <c r="B28" s="254" t="s">
        <v>6</v>
      </c>
      <c r="C28" s="255" t="s">
        <v>511</v>
      </c>
      <c r="D28" s="256" t="s">
        <v>842</v>
      </c>
      <c r="E28" s="215" t="s">
        <v>514</v>
      </c>
      <c r="F28" s="213" t="s">
        <v>469</v>
      </c>
      <c r="G28" s="234">
        <v>45805</v>
      </c>
      <c r="H28" s="245">
        <f>L28</f>
        <v>45811</v>
      </c>
      <c r="I28" s="257"/>
      <c r="J28" s="258"/>
      <c r="K28" s="215" t="s">
        <v>470</v>
      </c>
      <c r="L28" s="242">
        <v>45811</v>
      </c>
      <c r="M28" s="242">
        <v>45818</v>
      </c>
      <c r="N28" s="215" t="s">
        <v>471</v>
      </c>
      <c r="O28" s="215">
        <f ca="1">O1-L28</f>
        <v>38</v>
      </c>
      <c r="P28" s="215"/>
      <c r="Q28" s="215"/>
      <c r="R28" s="215" t="s">
        <v>502</v>
      </c>
      <c r="S28" s="215" t="str">
        <f>N28</f>
        <v>CAT - III</v>
      </c>
      <c r="T28" s="215" t="s">
        <v>476</v>
      </c>
      <c r="U28" s="215">
        <f ca="1">U1-L28</f>
        <v>38</v>
      </c>
    </row>
    <row r="29" spans="1:21" ht="28" x14ac:dyDescent="0.3">
      <c r="A29" s="237">
        <v>3</v>
      </c>
      <c r="B29" s="238" t="s">
        <v>6</v>
      </c>
      <c r="C29" s="239" t="s">
        <v>511</v>
      </c>
      <c r="D29" s="240" t="s">
        <v>515</v>
      </c>
      <c r="E29" s="215" t="s">
        <v>516</v>
      </c>
      <c r="F29" s="213" t="s">
        <v>469</v>
      </c>
      <c r="G29" s="234">
        <v>45795</v>
      </c>
      <c r="H29" s="234">
        <f>L29</f>
        <v>45813</v>
      </c>
      <c r="I29" s="235"/>
      <c r="J29" s="241"/>
      <c r="K29" s="215" t="s">
        <v>470</v>
      </c>
      <c r="L29" s="242">
        <v>45813</v>
      </c>
      <c r="M29" s="242">
        <v>45828</v>
      </c>
      <c r="N29" s="215" t="s">
        <v>471</v>
      </c>
      <c r="O29" s="215">
        <f ca="1">O1-L29</f>
        <v>36</v>
      </c>
      <c r="P29" s="215"/>
      <c r="Q29" s="215"/>
      <c r="R29" s="215" t="s">
        <v>502</v>
      </c>
      <c r="S29" s="215" t="str">
        <f>N29</f>
        <v>CAT - III</v>
      </c>
      <c r="T29" s="215" t="s">
        <v>476</v>
      </c>
      <c r="U29" s="215">
        <f ca="1">U1-L29</f>
        <v>36</v>
      </c>
    </row>
    <row r="30" spans="1:21" ht="15" customHeight="1" x14ac:dyDescent="0.3">
      <c r="A30" s="434">
        <v>4</v>
      </c>
      <c r="B30" s="434" t="s">
        <v>6</v>
      </c>
      <c r="C30" s="437" t="s">
        <v>511</v>
      </c>
      <c r="D30" s="440" t="s">
        <v>517</v>
      </c>
      <c r="E30" s="421" t="s">
        <v>518</v>
      </c>
      <c r="F30" s="421" t="s">
        <v>469</v>
      </c>
      <c r="G30" s="410">
        <v>45751</v>
      </c>
      <c r="H30" s="410">
        <f>L30</f>
        <v>45727</v>
      </c>
      <c r="I30" s="250"/>
      <c r="J30" s="227"/>
      <c r="K30" s="224" t="s">
        <v>470</v>
      </c>
      <c r="L30" s="225">
        <v>45727</v>
      </c>
      <c r="M30" s="225">
        <v>45736</v>
      </c>
      <c r="N30" s="224" t="s">
        <v>494</v>
      </c>
      <c r="O30" s="224">
        <f>M30-L30</f>
        <v>9</v>
      </c>
      <c r="P30" s="224">
        <f>L31-M30</f>
        <v>19</v>
      </c>
      <c r="Q30" s="481">
        <f>M34</f>
        <v>45825</v>
      </c>
      <c r="R30" s="421" t="s">
        <v>495</v>
      </c>
      <c r="S30" s="421" t="str">
        <f>N34</f>
        <v>CAT - I</v>
      </c>
      <c r="T30" s="421" t="s">
        <v>399</v>
      </c>
      <c r="U30" s="421">
        <f>M32-L32</f>
        <v>1</v>
      </c>
    </row>
    <row r="31" spans="1:21" ht="14.15" customHeight="1" x14ac:dyDescent="0.3">
      <c r="A31" s="435"/>
      <c r="B31" s="435"/>
      <c r="C31" s="438"/>
      <c r="D31" s="441"/>
      <c r="E31" s="422"/>
      <c r="F31" s="422"/>
      <c r="G31" s="411"/>
      <c r="H31" s="411"/>
      <c r="I31" s="251"/>
      <c r="J31" s="227"/>
      <c r="K31" s="224" t="s">
        <v>472</v>
      </c>
      <c r="L31" s="225">
        <v>45755</v>
      </c>
      <c r="M31" s="225">
        <v>45758</v>
      </c>
      <c r="N31" s="224" t="s">
        <v>485</v>
      </c>
      <c r="O31" s="224">
        <f>M31-L31</f>
        <v>3</v>
      </c>
      <c r="P31" s="224">
        <f>L32-M31</f>
        <v>25</v>
      </c>
      <c r="Q31" s="482"/>
      <c r="R31" s="422"/>
      <c r="S31" s="422"/>
      <c r="T31" s="422"/>
      <c r="U31" s="422"/>
    </row>
    <row r="32" spans="1:21" ht="14.15" customHeight="1" x14ac:dyDescent="0.3">
      <c r="A32" s="435"/>
      <c r="B32" s="435"/>
      <c r="C32" s="438"/>
      <c r="D32" s="441"/>
      <c r="E32" s="422"/>
      <c r="F32" s="422"/>
      <c r="G32" s="411"/>
      <c r="H32" s="411"/>
      <c r="I32" s="251"/>
      <c r="J32" s="227"/>
      <c r="K32" s="224" t="s">
        <v>474</v>
      </c>
      <c r="L32" s="225">
        <v>45783</v>
      </c>
      <c r="M32" s="225">
        <v>45784</v>
      </c>
      <c r="N32" s="224" t="s">
        <v>485</v>
      </c>
      <c r="O32" s="224">
        <f>M32-L32</f>
        <v>1</v>
      </c>
      <c r="P32" s="224">
        <f>L33-M32</f>
        <v>21</v>
      </c>
      <c r="Q32" s="482"/>
      <c r="R32" s="422"/>
      <c r="S32" s="422"/>
      <c r="T32" s="422"/>
      <c r="U32" s="422"/>
    </row>
    <row r="33" spans="1:21" ht="14.15" customHeight="1" x14ac:dyDescent="0.3">
      <c r="A33" s="435"/>
      <c r="B33" s="436"/>
      <c r="C33" s="438"/>
      <c r="D33" s="441"/>
      <c r="E33" s="422"/>
      <c r="F33" s="422"/>
      <c r="G33" s="411"/>
      <c r="H33" s="411"/>
      <c r="I33" s="252"/>
      <c r="J33" s="227"/>
      <c r="K33" s="224" t="s">
        <v>475</v>
      </c>
      <c r="L33" s="225">
        <v>45805</v>
      </c>
      <c r="M33" s="225">
        <v>45807</v>
      </c>
      <c r="N33" s="224" t="s">
        <v>494</v>
      </c>
      <c r="O33" s="224">
        <f>M33-L33</f>
        <v>2</v>
      </c>
      <c r="P33" s="224"/>
      <c r="Q33" s="482"/>
      <c r="R33" s="422"/>
      <c r="S33" s="422"/>
      <c r="T33" s="422"/>
      <c r="U33" s="423"/>
    </row>
    <row r="34" spans="1:21" ht="14.15" customHeight="1" x14ac:dyDescent="0.3">
      <c r="A34" s="435"/>
      <c r="B34" s="295"/>
      <c r="C34" s="438"/>
      <c r="D34" s="441"/>
      <c r="E34" s="422"/>
      <c r="F34" s="422"/>
      <c r="G34" s="411"/>
      <c r="H34" s="411"/>
      <c r="I34" s="252"/>
      <c r="J34" s="227"/>
      <c r="K34" s="224" t="s">
        <v>845</v>
      </c>
      <c r="L34" s="225">
        <v>45825</v>
      </c>
      <c r="M34" s="225">
        <v>45825</v>
      </c>
      <c r="N34" s="224" t="s">
        <v>485</v>
      </c>
      <c r="O34" s="224">
        <f>M34-L34</f>
        <v>0</v>
      </c>
      <c r="P34" s="224"/>
      <c r="Q34" s="483"/>
      <c r="R34" s="423"/>
      <c r="S34" s="423"/>
      <c r="T34" s="423"/>
      <c r="U34" s="296"/>
    </row>
    <row r="35" spans="1:21" ht="28" x14ac:dyDescent="0.3">
      <c r="A35" s="221">
        <v>5</v>
      </c>
      <c r="B35" s="221" t="s">
        <v>6</v>
      </c>
      <c r="C35" s="222" t="s">
        <v>511</v>
      </c>
      <c r="D35" s="223" t="s">
        <v>519</v>
      </c>
      <c r="E35" s="224" t="s">
        <v>520</v>
      </c>
      <c r="F35" s="224" t="s">
        <v>469</v>
      </c>
      <c r="G35" s="225">
        <v>45811</v>
      </c>
      <c r="H35" s="225">
        <f>L35</f>
        <v>45811</v>
      </c>
      <c r="I35" s="226"/>
      <c r="J35" s="227"/>
      <c r="K35" s="224" t="s">
        <v>470</v>
      </c>
      <c r="L35" s="225">
        <v>45811</v>
      </c>
      <c r="M35" s="225">
        <v>45818</v>
      </c>
      <c r="N35" s="224" t="s">
        <v>471</v>
      </c>
      <c r="O35" s="224">
        <f ca="1">O1-L35</f>
        <v>38</v>
      </c>
      <c r="P35" s="224"/>
      <c r="Q35" s="224"/>
      <c r="R35" s="224" t="s">
        <v>502</v>
      </c>
      <c r="S35" s="224" t="str">
        <f>N35</f>
        <v>CAT - III</v>
      </c>
      <c r="T35" s="224" t="s">
        <v>399</v>
      </c>
      <c r="U35" s="224">
        <f ca="1">U1-L35</f>
        <v>38</v>
      </c>
    </row>
    <row r="36" spans="1:21" x14ac:dyDescent="0.3">
      <c r="A36" s="414">
        <v>6</v>
      </c>
      <c r="B36" s="414" t="s">
        <v>6</v>
      </c>
      <c r="C36" s="415" t="s">
        <v>511</v>
      </c>
      <c r="D36" s="416" t="s">
        <v>521</v>
      </c>
      <c r="E36" s="413" t="s">
        <v>522</v>
      </c>
      <c r="F36" s="413" t="s">
        <v>469</v>
      </c>
      <c r="G36" s="417">
        <v>45751</v>
      </c>
      <c r="H36" s="417">
        <f>L36</f>
        <v>45727</v>
      </c>
      <c r="I36" s="226"/>
      <c r="J36" s="227"/>
      <c r="K36" s="224" t="s">
        <v>470</v>
      </c>
      <c r="L36" s="225">
        <v>45727</v>
      </c>
      <c r="M36" s="225">
        <v>45736</v>
      </c>
      <c r="N36" s="224" t="s">
        <v>471</v>
      </c>
      <c r="O36" s="224">
        <f>M36-L36</f>
        <v>9</v>
      </c>
      <c r="P36" s="224">
        <f>L37-M36</f>
        <v>19</v>
      </c>
      <c r="Q36" s="478">
        <v>45758</v>
      </c>
      <c r="R36" s="413" t="s">
        <v>502</v>
      </c>
      <c r="S36" s="413" t="str">
        <f>N37</f>
        <v>CAT - I</v>
      </c>
      <c r="T36" s="413" t="s">
        <v>399</v>
      </c>
      <c r="U36" s="413"/>
    </row>
    <row r="37" spans="1:21" x14ac:dyDescent="0.3">
      <c r="A37" s="414"/>
      <c r="B37" s="414"/>
      <c r="C37" s="415"/>
      <c r="D37" s="416"/>
      <c r="E37" s="413"/>
      <c r="F37" s="413"/>
      <c r="G37" s="417"/>
      <c r="H37" s="417"/>
      <c r="I37" s="226"/>
      <c r="J37" s="227"/>
      <c r="K37" s="224" t="s">
        <v>472</v>
      </c>
      <c r="L37" s="225">
        <v>45755</v>
      </c>
      <c r="M37" s="225">
        <v>45758</v>
      </c>
      <c r="N37" s="224" t="s">
        <v>485</v>
      </c>
      <c r="O37" s="224">
        <f>M37-L37</f>
        <v>3</v>
      </c>
      <c r="P37" s="224"/>
      <c r="Q37" s="413"/>
      <c r="R37" s="413"/>
      <c r="S37" s="413"/>
      <c r="T37" s="413"/>
      <c r="U37" s="413"/>
    </row>
    <row r="38" spans="1:21" x14ac:dyDescent="0.3">
      <c r="A38" s="434">
        <v>7</v>
      </c>
      <c r="B38" s="434" t="s">
        <v>6</v>
      </c>
      <c r="C38" s="437" t="s">
        <v>511</v>
      </c>
      <c r="D38" s="479" t="s">
        <v>523</v>
      </c>
      <c r="E38" s="421" t="s">
        <v>524</v>
      </c>
      <c r="F38" s="421" t="s">
        <v>479</v>
      </c>
      <c r="G38" s="410">
        <v>45769</v>
      </c>
      <c r="H38" s="410">
        <f>L38</f>
        <v>45769</v>
      </c>
      <c r="I38" s="250"/>
      <c r="J38" s="227"/>
      <c r="K38" s="224" t="s">
        <v>470</v>
      </c>
      <c r="L38" s="225">
        <v>45769</v>
      </c>
      <c r="M38" s="225">
        <v>45779</v>
      </c>
      <c r="N38" s="224" t="s">
        <v>525</v>
      </c>
      <c r="O38" s="224">
        <f>M38-L38</f>
        <v>10</v>
      </c>
      <c r="P38" s="224">
        <f>L39-M38</f>
        <v>3</v>
      </c>
      <c r="Q38" s="418">
        <f>M38</f>
        <v>45779</v>
      </c>
      <c r="R38" s="421" t="s">
        <v>495</v>
      </c>
      <c r="S38" s="421" t="str">
        <f>N39</f>
        <v xml:space="preserve">CAT -IV </v>
      </c>
      <c r="T38" s="421" t="s">
        <v>399</v>
      </c>
      <c r="U38" s="421"/>
    </row>
    <row r="39" spans="1:21" x14ac:dyDescent="0.3">
      <c r="A39" s="435"/>
      <c r="B39" s="435"/>
      <c r="C39" s="438"/>
      <c r="D39" s="480"/>
      <c r="E39" s="422"/>
      <c r="F39" s="422"/>
      <c r="G39" s="411"/>
      <c r="H39" s="411"/>
      <c r="I39" s="251"/>
      <c r="J39" s="227"/>
      <c r="K39" s="224" t="s">
        <v>472</v>
      </c>
      <c r="L39" s="225">
        <v>45782</v>
      </c>
      <c r="M39" s="225">
        <v>45784</v>
      </c>
      <c r="N39" s="224" t="s">
        <v>525</v>
      </c>
      <c r="O39" s="224">
        <f>M39-L39</f>
        <v>2</v>
      </c>
      <c r="P39" s="224">
        <f>L41-M39</f>
        <v>41</v>
      </c>
      <c r="Q39" s="419"/>
      <c r="R39" s="422"/>
      <c r="S39" s="422"/>
      <c r="T39" s="422"/>
      <c r="U39" s="422"/>
    </row>
    <row r="40" spans="1:21" x14ac:dyDescent="0.3">
      <c r="A40" s="435"/>
      <c r="B40" s="435"/>
      <c r="C40" s="438"/>
      <c r="D40" s="480"/>
      <c r="E40" s="422"/>
      <c r="F40" s="422"/>
      <c r="G40" s="411"/>
      <c r="H40" s="411"/>
      <c r="I40" s="251"/>
      <c r="J40" s="227"/>
      <c r="K40" s="224" t="s">
        <v>474</v>
      </c>
      <c r="L40" s="225">
        <v>45805</v>
      </c>
      <c r="M40" s="225">
        <v>45807</v>
      </c>
      <c r="N40" s="224" t="s">
        <v>525</v>
      </c>
      <c r="O40" s="224">
        <f>M40-L40</f>
        <v>2</v>
      </c>
      <c r="P40" s="224"/>
      <c r="Q40" s="419"/>
      <c r="R40" s="422"/>
      <c r="S40" s="422"/>
      <c r="T40" s="422"/>
      <c r="U40" s="422"/>
    </row>
    <row r="41" spans="1:21" x14ac:dyDescent="0.3">
      <c r="A41" s="436"/>
      <c r="B41" s="436"/>
      <c r="C41" s="439"/>
      <c r="D41" s="442"/>
      <c r="E41" s="423"/>
      <c r="F41" s="423"/>
      <c r="G41" s="412"/>
      <c r="H41" s="412"/>
      <c r="I41" s="252"/>
      <c r="J41" s="227"/>
      <c r="K41" s="224" t="s">
        <v>475</v>
      </c>
      <c r="L41" s="225">
        <v>45825</v>
      </c>
      <c r="M41" s="225">
        <v>45825</v>
      </c>
      <c r="N41" s="224" t="s">
        <v>525</v>
      </c>
      <c r="O41" s="224"/>
      <c r="P41" s="224"/>
      <c r="Q41" s="420"/>
      <c r="R41" s="423"/>
      <c r="S41" s="423"/>
      <c r="T41" s="423"/>
      <c r="U41" s="423"/>
    </row>
    <row r="42" spans="1:21" ht="28" x14ac:dyDescent="0.3">
      <c r="A42" s="221">
        <v>8</v>
      </c>
      <c r="B42" s="221" t="s">
        <v>6</v>
      </c>
      <c r="C42" s="222" t="s">
        <v>511</v>
      </c>
      <c r="D42" s="223" t="s">
        <v>526</v>
      </c>
      <c r="E42" s="224" t="s">
        <v>527</v>
      </c>
      <c r="F42" s="224" t="s">
        <v>479</v>
      </c>
      <c r="G42" s="225">
        <v>45811</v>
      </c>
      <c r="H42" s="225">
        <f>L42</f>
        <v>45811</v>
      </c>
      <c r="I42" s="226"/>
      <c r="J42" s="227"/>
      <c r="K42" s="224" t="s">
        <v>470</v>
      </c>
      <c r="L42" s="225">
        <v>45811</v>
      </c>
      <c r="M42" s="225">
        <v>45818</v>
      </c>
      <c r="N42" s="224" t="s">
        <v>480</v>
      </c>
      <c r="O42" s="224">
        <f ca="1">O1-L42</f>
        <v>38</v>
      </c>
      <c r="P42" s="224"/>
      <c r="Q42" s="224"/>
      <c r="R42" s="224" t="s">
        <v>502</v>
      </c>
      <c r="S42" s="224" t="str">
        <f>N42</f>
        <v>CAT -IV R</v>
      </c>
      <c r="T42" s="224" t="s">
        <v>853</v>
      </c>
      <c r="U42" s="224"/>
    </row>
    <row r="43" spans="1:21" ht="28" x14ac:dyDescent="0.3">
      <c r="A43" s="221">
        <v>9</v>
      </c>
      <c r="B43" s="221" t="s">
        <v>6</v>
      </c>
      <c r="C43" s="222" t="s">
        <v>511</v>
      </c>
      <c r="D43" s="338" t="s">
        <v>528</v>
      </c>
      <c r="E43" s="224" t="s">
        <v>529</v>
      </c>
      <c r="F43" s="224" t="s">
        <v>479</v>
      </c>
      <c r="G43" s="225">
        <v>45824</v>
      </c>
      <c r="H43" s="225">
        <v>45836</v>
      </c>
      <c r="I43" s="226"/>
      <c r="J43" s="227"/>
      <c r="K43" s="224"/>
      <c r="L43" s="339"/>
      <c r="M43" s="225">
        <v>45845</v>
      </c>
      <c r="N43" s="224"/>
      <c r="O43" s="224"/>
      <c r="P43" s="224"/>
      <c r="Q43" s="224"/>
      <c r="R43" s="224"/>
      <c r="S43" s="224"/>
      <c r="T43" s="224" t="s">
        <v>399</v>
      </c>
      <c r="U43" s="224"/>
    </row>
    <row r="44" spans="1:21" ht="14.15" customHeight="1" x14ac:dyDescent="0.3">
      <c r="A44" s="466">
        <v>1</v>
      </c>
      <c r="B44" s="469" t="s">
        <v>6</v>
      </c>
      <c r="C44" s="470" t="s">
        <v>530</v>
      </c>
      <c r="D44" s="471" t="s">
        <v>531</v>
      </c>
      <c r="E44" s="443" t="s">
        <v>532</v>
      </c>
      <c r="F44" s="443" t="s">
        <v>469</v>
      </c>
      <c r="G44" s="450">
        <v>45763</v>
      </c>
      <c r="H44" s="450">
        <f>L44</f>
        <v>45763</v>
      </c>
      <c r="I44" s="243"/>
      <c r="J44" s="241"/>
      <c r="K44" s="215" t="s">
        <v>470</v>
      </c>
      <c r="L44" s="242">
        <v>45763</v>
      </c>
      <c r="M44" s="242">
        <v>45784</v>
      </c>
      <c r="N44" s="215" t="s">
        <v>471</v>
      </c>
      <c r="O44" s="215">
        <f>M44-L44</f>
        <v>21</v>
      </c>
      <c r="P44" s="215">
        <f>L47-M44</f>
        <v>41</v>
      </c>
      <c r="Q44" s="391"/>
      <c r="R44" s="391" t="s">
        <v>495</v>
      </c>
      <c r="S44" s="391" t="str">
        <f>N44</f>
        <v>CAT - III</v>
      </c>
      <c r="T44" s="391" t="s">
        <v>473</v>
      </c>
      <c r="U44" s="391"/>
    </row>
    <row r="45" spans="1:21" x14ac:dyDescent="0.3">
      <c r="A45" s="467"/>
      <c r="B45" s="469"/>
      <c r="C45" s="470"/>
      <c r="D45" s="471"/>
      <c r="E45" s="443"/>
      <c r="F45" s="443"/>
      <c r="G45" s="451"/>
      <c r="H45" s="451"/>
      <c r="I45" s="243"/>
      <c r="J45" s="241"/>
      <c r="K45" s="215" t="s">
        <v>472</v>
      </c>
      <c r="L45" s="242">
        <v>45791</v>
      </c>
      <c r="M45" s="242">
        <v>45800</v>
      </c>
      <c r="N45" s="215"/>
      <c r="O45" s="215"/>
      <c r="P45" s="215"/>
      <c r="Q45" s="444"/>
      <c r="R45" s="444"/>
      <c r="S45" s="444"/>
      <c r="T45" s="444"/>
      <c r="U45" s="444"/>
    </row>
    <row r="46" spans="1:21" x14ac:dyDescent="0.3">
      <c r="A46" s="467"/>
      <c r="B46" s="469"/>
      <c r="C46" s="470"/>
      <c r="D46" s="471"/>
      <c r="E46" s="443"/>
      <c r="F46" s="443"/>
      <c r="G46" s="451"/>
      <c r="H46" s="451"/>
      <c r="I46" s="243"/>
      <c r="J46" s="241"/>
      <c r="K46" s="215" t="s">
        <v>474</v>
      </c>
      <c r="L46" s="242">
        <v>45816</v>
      </c>
      <c r="M46" s="242">
        <v>45821</v>
      </c>
      <c r="N46" s="215"/>
      <c r="O46" s="215"/>
      <c r="P46" s="215"/>
      <c r="Q46" s="444"/>
      <c r="R46" s="444"/>
      <c r="S46" s="444"/>
      <c r="T46" s="444"/>
      <c r="U46" s="444"/>
    </row>
    <row r="47" spans="1:21" x14ac:dyDescent="0.3">
      <c r="A47" s="468"/>
      <c r="B47" s="469"/>
      <c r="C47" s="470"/>
      <c r="D47" s="471"/>
      <c r="E47" s="443"/>
      <c r="F47" s="443"/>
      <c r="G47" s="452"/>
      <c r="H47" s="452"/>
      <c r="I47" s="243"/>
      <c r="J47" s="241"/>
      <c r="K47" s="215" t="s">
        <v>475</v>
      </c>
      <c r="L47" s="242">
        <v>45825</v>
      </c>
      <c r="M47" s="242">
        <v>45827</v>
      </c>
      <c r="N47" s="215" t="s">
        <v>494</v>
      </c>
      <c r="O47" s="215"/>
      <c r="P47" s="215"/>
      <c r="Q47" s="392"/>
      <c r="R47" s="392"/>
      <c r="S47" s="392"/>
      <c r="T47" s="392"/>
      <c r="U47" s="392"/>
    </row>
    <row r="48" spans="1:21" ht="28" x14ac:dyDescent="0.3">
      <c r="A48" s="237">
        <v>2</v>
      </c>
      <c r="B48" s="238" t="s">
        <v>6</v>
      </c>
      <c r="C48" s="239" t="s">
        <v>530</v>
      </c>
      <c r="D48" s="240" t="s">
        <v>533</v>
      </c>
      <c r="E48" s="215" t="s">
        <v>534</v>
      </c>
      <c r="F48" s="213" t="s">
        <v>469</v>
      </c>
      <c r="G48" s="234">
        <v>45868</v>
      </c>
      <c r="H48" s="234">
        <f t="shared" ref="H48:H55" si="0">G48</f>
        <v>45868</v>
      </c>
      <c r="I48" s="235" t="s">
        <v>535</v>
      </c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3</v>
      </c>
      <c r="B49" s="238" t="s">
        <v>6</v>
      </c>
      <c r="C49" s="239" t="s">
        <v>530</v>
      </c>
      <c r="D49" s="240" t="s">
        <v>536</v>
      </c>
      <c r="E49" s="215" t="s">
        <v>537</v>
      </c>
      <c r="F49" s="215" t="s">
        <v>469</v>
      </c>
      <c r="G49" s="242">
        <v>45843</v>
      </c>
      <c r="H49" s="242">
        <f t="shared" si="0"/>
        <v>45843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4</v>
      </c>
      <c r="B50" s="238" t="s">
        <v>6</v>
      </c>
      <c r="C50" s="239" t="s">
        <v>530</v>
      </c>
      <c r="D50" s="240" t="s">
        <v>538</v>
      </c>
      <c r="E50" s="215" t="s">
        <v>539</v>
      </c>
      <c r="F50" s="215" t="s">
        <v>469</v>
      </c>
      <c r="G50" s="242">
        <v>45838</v>
      </c>
      <c r="H50" s="242">
        <f t="shared" si="0"/>
        <v>45838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ht="42" x14ac:dyDescent="0.3">
      <c r="A51" s="237">
        <v>5</v>
      </c>
      <c r="B51" s="238" t="s">
        <v>6</v>
      </c>
      <c r="C51" s="239" t="s">
        <v>530</v>
      </c>
      <c r="D51" s="240" t="s">
        <v>540</v>
      </c>
      <c r="E51" s="215" t="s">
        <v>541</v>
      </c>
      <c r="F51" s="215" t="s">
        <v>469</v>
      </c>
      <c r="G51" s="242">
        <v>45874</v>
      </c>
      <c r="H51" s="242">
        <f t="shared" si="0"/>
        <v>45874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x14ac:dyDescent="0.3">
      <c r="A52" s="237">
        <v>6</v>
      </c>
      <c r="B52" s="238" t="s">
        <v>6</v>
      </c>
      <c r="C52" s="239" t="s">
        <v>530</v>
      </c>
      <c r="D52" s="240" t="s">
        <v>542</v>
      </c>
      <c r="E52" s="215" t="s">
        <v>543</v>
      </c>
      <c r="F52" s="215" t="s">
        <v>469</v>
      </c>
      <c r="G52" s="242">
        <v>45905</v>
      </c>
      <c r="H52" s="242">
        <f t="shared" si="0"/>
        <v>45905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x14ac:dyDescent="0.3">
      <c r="A53" s="237">
        <v>7</v>
      </c>
      <c r="B53" s="238" t="s">
        <v>6</v>
      </c>
      <c r="C53" s="239" t="s">
        <v>530</v>
      </c>
      <c r="D53" s="240" t="s">
        <v>544</v>
      </c>
      <c r="E53" s="215" t="s">
        <v>545</v>
      </c>
      <c r="F53" s="215" t="s">
        <v>469</v>
      </c>
      <c r="G53" s="242">
        <v>45908</v>
      </c>
      <c r="H53" s="242">
        <f t="shared" si="0"/>
        <v>45908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8</v>
      </c>
      <c r="B54" s="238" t="s">
        <v>6</v>
      </c>
      <c r="C54" s="239" t="s">
        <v>530</v>
      </c>
      <c r="D54" s="240" t="s">
        <v>546</v>
      </c>
      <c r="E54" s="215" t="s">
        <v>547</v>
      </c>
      <c r="F54" s="215" t="s">
        <v>469</v>
      </c>
      <c r="G54" s="242">
        <v>45858</v>
      </c>
      <c r="H54" s="242">
        <f t="shared" si="0"/>
        <v>45858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9</v>
      </c>
      <c r="B55" s="238" t="s">
        <v>6</v>
      </c>
      <c r="C55" s="239" t="s">
        <v>530</v>
      </c>
      <c r="D55" s="240" t="s">
        <v>548</v>
      </c>
      <c r="E55" s="215" t="s">
        <v>549</v>
      </c>
      <c r="F55" s="215" t="s">
        <v>469</v>
      </c>
      <c r="G55" s="242">
        <v>45868</v>
      </c>
      <c r="H55" s="242">
        <f t="shared" si="0"/>
        <v>45868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x14ac:dyDescent="0.3">
      <c r="A56" s="237">
        <v>1</v>
      </c>
      <c r="B56" s="238" t="s">
        <v>6</v>
      </c>
      <c r="C56" s="239" t="s">
        <v>550</v>
      </c>
      <c r="D56" s="240" t="s">
        <v>551</v>
      </c>
      <c r="E56" s="215" t="s">
        <v>552</v>
      </c>
      <c r="F56" s="215" t="s">
        <v>469</v>
      </c>
      <c r="G56" s="242">
        <v>45825</v>
      </c>
      <c r="H56" s="242">
        <v>45836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2</v>
      </c>
      <c r="B57" s="238" t="s">
        <v>6</v>
      </c>
      <c r="C57" s="239" t="s">
        <v>550</v>
      </c>
      <c r="D57" s="240" t="s">
        <v>553</v>
      </c>
      <c r="E57" s="215" t="s">
        <v>554</v>
      </c>
      <c r="F57" s="215" t="s">
        <v>469</v>
      </c>
      <c r="G57" s="242">
        <v>45825</v>
      </c>
      <c r="H57" s="242">
        <v>45836</v>
      </c>
      <c r="I57" s="243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37">
        <v>3</v>
      </c>
      <c r="B58" s="238" t="s">
        <v>6</v>
      </c>
      <c r="C58" s="239" t="s">
        <v>550</v>
      </c>
      <c r="D58" s="240" t="s">
        <v>555</v>
      </c>
      <c r="E58" s="215" t="s">
        <v>556</v>
      </c>
      <c r="F58" s="215" t="s">
        <v>469</v>
      </c>
      <c r="G58" s="242">
        <v>45828</v>
      </c>
      <c r="H58" s="242">
        <v>45836</v>
      </c>
      <c r="I58" s="243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ht="28" x14ac:dyDescent="0.3">
      <c r="A59" s="237">
        <v>4</v>
      </c>
      <c r="B59" s="238" t="s">
        <v>6</v>
      </c>
      <c r="C59" s="239" t="s">
        <v>550</v>
      </c>
      <c r="D59" s="240" t="s">
        <v>557</v>
      </c>
      <c r="E59" s="215" t="s">
        <v>558</v>
      </c>
      <c r="F59" s="215" t="s">
        <v>469</v>
      </c>
      <c r="G59" s="242">
        <v>45823</v>
      </c>
      <c r="H59" s="242">
        <v>45836</v>
      </c>
      <c r="I59" s="243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ht="28" x14ac:dyDescent="0.3">
      <c r="A60" s="237">
        <v>5</v>
      </c>
      <c r="B60" s="238" t="s">
        <v>6</v>
      </c>
      <c r="C60" s="239" t="s">
        <v>550</v>
      </c>
      <c r="D60" s="240" t="s">
        <v>559</v>
      </c>
      <c r="E60" s="215" t="s">
        <v>560</v>
      </c>
      <c r="F60" s="215" t="s">
        <v>469</v>
      </c>
      <c r="G60" s="242">
        <v>45833</v>
      </c>
      <c r="H60" s="242">
        <v>45836</v>
      </c>
      <c r="I60" s="243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ht="28" x14ac:dyDescent="0.3">
      <c r="A61" s="237">
        <v>6</v>
      </c>
      <c r="B61" s="238" t="s">
        <v>6</v>
      </c>
      <c r="C61" s="239" t="s">
        <v>550</v>
      </c>
      <c r="D61" s="300" t="s">
        <v>561</v>
      </c>
      <c r="E61" s="215" t="s">
        <v>562</v>
      </c>
      <c r="F61" s="215" t="s">
        <v>469</v>
      </c>
      <c r="G61" s="242">
        <v>45840</v>
      </c>
      <c r="H61" s="268">
        <v>45840</v>
      </c>
      <c r="I61" s="243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28" x14ac:dyDescent="0.3">
      <c r="A62" s="237">
        <v>7</v>
      </c>
      <c r="B62" s="237" t="s">
        <v>6</v>
      </c>
      <c r="C62" s="239" t="s">
        <v>550</v>
      </c>
      <c r="D62" s="263" t="s">
        <v>563</v>
      </c>
      <c r="E62" s="215" t="s">
        <v>564</v>
      </c>
      <c r="F62" s="213" t="s">
        <v>469</v>
      </c>
      <c r="G62" s="234">
        <v>45836</v>
      </c>
      <c r="H62" s="268">
        <v>45836</v>
      </c>
      <c r="I62" s="235"/>
      <c r="J62" s="241"/>
      <c r="K62" s="215"/>
      <c r="L62" s="242"/>
      <c r="M62" s="242"/>
      <c r="N62" s="215"/>
      <c r="O62" s="215"/>
      <c r="P62" s="215"/>
      <c r="Q62" s="215"/>
      <c r="R62" s="215"/>
      <c r="S62" s="215"/>
      <c r="T62" s="215"/>
      <c r="U62" s="215"/>
    </row>
    <row r="63" spans="1:21" ht="28" x14ac:dyDescent="0.3">
      <c r="A63" s="269">
        <v>8</v>
      </c>
      <c r="B63" s="237" t="s">
        <v>6</v>
      </c>
      <c r="C63" s="239" t="s">
        <v>550</v>
      </c>
      <c r="D63" s="301" t="s">
        <v>565</v>
      </c>
      <c r="E63" s="215" t="s">
        <v>566</v>
      </c>
      <c r="F63" s="213" t="s">
        <v>469</v>
      </c>
      <c r="G63" s="234">
        <v>45840</v>
      </c>
      <c r="H63" s="234">
        <v>45852</v>
      </c>
      <c r="I63" s="235"/>
      <c r="J63" s="241"/>
      <c r="K63" s="215"/>
      <c r="L63" s="242"/>
      <c r="M63" s="242"/>
      <c r="N63" s="215"/>
      <c r="O63" s="215"/>
      <c r="P63" s="215"/>
      <c r="Q63" s="215"/>
      <c r="R63" s="215"/>
      <c r="S63" s="215"/>
      <c r="T63" s="215"/>
      <c r="U63" s="215"/>
    </row>
    <row r="64" spans="1:21" ht="28" x14ac:dyDescent="0.3">
      <c r="A64" s="269">
        <v>9</v>
      </c>
      <c r="B64" s="238" t="s">
        <v>6</v>
      </c>
      <c r="C64" s="239" t="s">
        <v>550</v>
      </c>
      <c r="D64" s="300" t="s">
        <v>567</v>
      </c>
      <c r="E64" s="215" t="s">
        <v>568</v>
      </c>
      <c r="F64" s="213" t="s">
        <v>469</v>
      </c>
      <c r="G64" s="234">
        <v>45843</v>
      </c>
      <c r="H64" s="234">
        <v>45843</v>
      </c>
      <c r="I64" s="235"/>
      <c r="J64" s="241"/>
      <c r="K64" s="215"/>
      <c r="L64" s="242"/>
      <c r="M64" s="242"/>
      <c r="N64" s="215"/>
      <c r="O64" s="215"/>
      <c r="P64" s="215"/>
      <c r="Q64" s="215"/>
      <c r="R64" s="215"/>
      <c r="S64" s="215"/>
      <c r="T64" s="215"/>
      <c r="U64" s="215"/>
    </row>
    <row r="65" spans="1:21" x14ac:dyDescent="0.3">
      <c r="A65" s="269">
        <v>1</v>
      </c>
      <c r="B65" s="237" t="s">
        <v>6</v>
      </c>
      <c r="C65" s="270" t="s">
        <v>569</v>
      </c>
      <c r="D65" s="263" t="s">
        <v>570</v>
      </c>
      <c r="E65" s="215" t="s">
        <v>571</v>
      </c>
      <c r="F65" s="213" t="s">
        <v>479</v>
      </c>
      <c r="G65" s="234">
        <v>45828</v>
      </c>
      <c r="H65" s="234">
        <v>45839</v>
      </c>
      <c r="I65" s="235"/>
      <c r="J65" s="241"/>
      <c r="K65" s="215"/>
      <c r="L65" s="242"/>
      <c r="M65" s="242"/>
      <c r="N65" s="215"/>
      <c r="O65" s="215"/>
      <c r="P65" s="215"/>
      <c r="Q65" s="215"/>
      <c r="R65" s="215"/>
      <c r="S65" s="215"/>
      <c r="T65" s="215"/>
      <c r="U65" s="215"/>
    </row>
    <row r="66" spans="1:21" x14ac:dyDescent="0.3">
      <c r="A66" s="237">
        <v>2</v>
      </c>
      <c r="B66" s="237" t="s">
        <v>6</v>
      </c>
      <c r="C66" s="270" t="s">
        <v>569</v>
      </c>
      <c r="D66" s="263" t="s">
        <v>572</v>
      </c>
      <c r="E66" s="215" t="s">
        <v>573</v>
      </c>
      <c r="F66" s="213" t="s">
        <v>479</v>
      </c>
      <c r="G66" s="234">
        <v>45833</v>
      </c>
      <c r="H66" s="234">
        <v>45839</v>
      </c>
      <c r="I66" s="235"/>
      <c r="J66" s="241"/>
      <c r="K66" s="215"/>
      <c r="L66" s="242"/>
      <c r="M66" s="242"/>
      <c r="N66" s="215"/>
      <c r="O66" s="215"/>
      <c r="P66" s="215"/>
      <c r="Q66" s="215"/>
      <c r="R66" s="215"/>
      <c r="S66" s="215"/>
      <c r="T66" s="215"/>
      <c r="U66" s="215"/>
    </row>
    <row r="67" spans="1:21" ht="30" customHeight="1" x14ac:dyDescent="0.3">
      <c r="A67" s="466">
        <v>3</v>
      </c>
      <c r="B67" s="237" t="s">
        <v>6</v>
      </c>
      <c r="C67" s="472" t="s">
        <v>569</v>
      </c>
      <c r="D67" s="474" t="s">
        <v>574</v>
      </c>
      <c r="E67" s="391" t="s">
        <v>575</v>
      </c>
      <c r="F67" s="476" t="s">
        <v>479</v>
      </c>
      <c r="G67" s="459">
        <v>45738</v>
      </c>
      <c r="H67" s="459">
        <f>L67</f>
        <v>45799</v>
      </c>
      <c r="I67" s="462"/>
      <c r="J67" s="464"/>
      <c r="K67" s="215" t="s">
        <v>470</v>
      </c>
      <c r="L67" s="242">
        <v>45799</v>
      </c>
      <c r="M67" s="242">
        <v>45800</v>
      </c>
      <c r="N67" s="215" t="s">
        <v>480</v>
      </c>
      <c r="O67" s="215">
        <f>M67-L67</f>
        <v>1</v>
      </c>
      <c r="P67" s="215">
        <f>L68-M67</f>
        <v>15</v>
      </c>
      <c r="Q67" s="391"/>
      <c r="R67" s="391" t="s">
        <v>502</v>
      </c>
      <c r="S67" s="391" t="str">
        <f>N68</f>
        <v>CAT -IV R</v>
      </c>
      <c r="T67" s="391" t="s">
        <v>476</v>
      </c>
      <c r="U67" s="391">
        <f ca="1">U1-M67</f>
        <v>49</v>
      </c>
    </row>
    <row r="68" spans="1:21" x14ac:dyDescent="0.3">
      <c r="A68" s="468"/>
      <c r="B68" s="237"/>
      <c r="C68" s="473"/>
      <c r="D68" s="475"/>
      <c r="E68" s="392"/>
      <c r="F68" s="477"/>
      <c r="G68" s="460"/>
      <c r="H68" s="460"/>
      <c r="I68" s="463"/>
      <c r="J68" s="465"/>
      <c r="K68" s="215" t="s">
        <v>472</v>
      </c>
      <c r="L68" s="242">
        <v>45815</v>
      </c>
      <c r="M68" s="242">
        <v>45826</v>
      </c>
      <c r="N68" s="215" t="s">
        <v>480</v>
      </c>
      <c r="O68" s="215">
        <f ca="1">O1-L68</f>
        <v>34</v>
      </c>
      <c r="P68" s="215"/>
      <c r="Q68" s="392"/>
      <c r="R68" s="392"/>
      <c r="S68" s="392"/>
      <c r="T68" s="392"/>
      <c r="U68" s="392"/>
    </row>
    <row r="69" spans="1:21" ht="14.15" customHeight="1" x14ac:dyDescent="0.3">
      <c r="A69" s="466">
        <v>4</v>
      </c>
      <c r="B69" s="414" t="s">
        <v>6</v>
      </c>
      <c r="C69" s="415" t="s">
        <v>569</v>
      </c>
      <c r="D69" s="416" t="s">
        <v>576</v>
      </c>
      <c r="E69" s="413" t="s">
        <v>577</v>
      </c>
      <c r="F69" s="413" t="s">
        <v>469</v>
      </c>
      <c r="G69" s="417">
        <v>45719</v>
      </c>
      <c r="H69" s="417">
        <f>L69</f>
        <v>45719</v>
      </c>
      <c r="I69" s="226"/>
      <c r="J69" s="227"/>
      <c r="K69" s="224" t="s">
        <v>470</v>
      </c>
      <c r="L69" s="225">
        <v>45719</v>
      </c>
      <c r="M69" s="225">
        <v>45721</v>
      </c>
      <c r="N69" s="224" t="s">
        <v>471</v>
      </c>
      <c r="O69" s="224">
        <f>M69-L69</f>
        <v>2</v>
      </c>
      <c r="P69" s="224">
        <f>L70-M69</f>
        <v>15</v>
      </c>
      <c r="Q69" s="461">
        <f>M71</f>
        <v>45800</v>
      </c>
      <c r="R69" s="413" t="str">
        <f>T69</f>
        <v>Approved</v>
      </c>
      <c r="S69" s="413" t="str">
        <f>N70</f>
        <v>CAT - I</v>
      </c>
      <c r="T69" s="413" t="s">
        <v>399</v>
      </c>
      <c r="U69" s="413">
        <f>M71-L71</f>
        <v>1</v>
      </c>
    </row>
    <row r="70" spans="1:21" x14ac:dyDescent="0.3">
      <c r="A70" s="467"/>
      <c r="B70" s="414"/>
      <c r="C70" s="415"/>
      <c r="D70" s="416"/>
      <c r="E70" s="413"/>
      <c r="F70" s="413"/>
      <c r="G70" s="417"/>
      <c r="H70" s="417"/>
      <c r="I70" s="226"/>
      <c r="J70" s="227"/>
      <c r="K70" s="224" t="s">
        <v>472</v>
      </c>
      <c r="L70" s="225">
        <v>45736</v>
      </c>
      <c r="M70" s="225">
        <v>45738</v>
      </c>
      <c r="N70" s="224" t="s">
        <v>485</v>
      </c>
      <c r="O70" s="224">
        <f>M70-L70</f>
        <v>2</v>
      </c>
      <c r="P70" s="224">
        <f>L71-M70</f>
        <v>61</v>
      </c>
      <c r="Q70" s="461"/>
      <c r="R70" s="413"/>
      <c r="S70" s="413"/>
      <c r="T70" s="413"/>
      <c r="U70" s="413"/>
    </row>
    <row r="71" spans="1:21" x14ac:dyDescent="0.3">
      <c r="A71" s="468"/>
      <c r="B71" s="414"/>
      <c r="C71" s="415"/>
      <c r="D71" s="416"/>
      <c r="E71" s="413"/>
      <c r="F71" s="413"/>
      <c r="G71" s="417"/>
      <c r="H71" s="417"/>
      <c r="I71" s="226"/>
      <c r="J71" s="227"/>
      <c r="K71" s="224" t="s">
        <v>474</v>
      </c>
      <c r="L71" s="225">
        <v>45799</v>
      </c>
      <c r="M71" s="225">
        <v>45800</v>
      </c>
      <c r="N71" s="224" t="s">
        <v>485</v>
      </c>
      <c r="O71" s="224">
        <f>M71-L71</f>
        <v>1</v>
      </c>
      <c r="P71" s="224"/>
      <c r="Q71" s="461"/>
      <c r="R71" s="413"/>
      <c r="S71" s="413"/>
      <c r="T71" s="413"/>
      <c r="U71" s="413"/>
    </row>
    <row r="72" spans="1:21" x14ac:dyDescent="0.3">
      <c r="A72" s="237">
        <v>5</v>
      </c>
      <c r="B72" s="238" t="s">
        <v>6</v>
      </c>
      <c r="C72" s="239" t="s">
        <v>569</v>
      </c>
      <c r="D72" s="240" t="s">
        <v>578</v>
      </c>
      <c r="E72" s="215" t="s">
        <v>579</v>
      </c>
      <c r="F72" s="215" t="s">
        <v>469</v>
      </c>
      <c r="G72" s="242">
        <v>45853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6</v>
      </c>
      <c r="B73" s="238" t="s">
        <v>6</v>
      </c>
      <c r="C73" s="239" t="s">
        <v>569</v>
      </c>
      <c r="D73" s="263" t="s">
        <v>388</v>
      </c>
      <c r="E73" s="215" t="s">
        <v>580</v>
      </c>
      <c r="F73" s="215" t="s">
        <v>469</v>
      </c>
      <c r="G73" s="242">
        <v>45795</v>
      </c>
      <c r="H73" s="242">
        <v>45848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7</v>
      </c>
      <c r="B74" s="238" t="s">
        <v>6</v>
      </c>
      <c r="C74" s="239" t="s">
        <v>569</v>
      </c>
      <c r="D74" s="240" t="s">
        <v>581</v>
      </c>
      <c r="E74" s="215" t="s">
        <v>582</v>
      </c>
      <c r="F74" s="215" t="s">
        <v>469</v>
      </c>
      <c r="G74" s="242">
        <v>45858</v>
      </c>
      <c r="H74" s="242">
        <v>45848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x14ac:dyDescent="0.3">
      <c r="A75" s="237">
        <v>8</v>
      </c>
      <c r="B75" s="238" t="s">
        <v>6</v>
      </c>
      <c r="C75" s="239" t="s">
        <v>569</v>
      </c>
      <c r="D75" s="240" t="s">
        <v>583</v>
      </c>
      <c r="E75" s="215" t="s">
        <v>584</v>
      </c>
      <c r="F75" s="215" t="s">
        <v>469</v>
      </c>
      <c r="G75" s="242">
        <v>45863</v>
      </c>
      <c r="H75" s="242">
        <v>45853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x14ac:dyDescent="0.3">
      <c r="A76" s="237">
        <v>9</v>
      </c>
      <c r="B76" s="238" t="s">
        <v>6</v>
      </c>
      <c r="C76" s="239" t="s">
        <v>569</v>
      </c>
      <c r="D76" s="240" t="s">
        <v>585</v>
      </c>
      <c r="E76" s="215" t="s">
        <v>586</v>
      </c>
      <c r="F76" s="215" t="s">
        <v>469</v>
      </c>
      <c r="G76" s="242">
        <v>45874</v>
      </c>
      <c r="H76" s="242">
        <v>45853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10</v>
      </c>
      <c r="B77" s="238" t="s">
        <v>6</v>
      </c>
      <c r="C77" s="239" t="s">
        <v>569</v>
      </c>
      <c r="D77" s="240" t="s">
        <v>587</v>
      </c>
      <c r="E77" s="215" t="s">
        <v>588</v>
      </c>
      <c r="F77" s="215" t="s">
        <v>469</v>
      </c>
      <c r="G77" s="242">
        <v>45877</v>
      </c>
      <c r="H77" s="242">
        <v>45853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11</v>
      </c>
      <c r="B78" s="238" t="s">
        <v>6</v>
      </c>
      <c r="C78" s="239" t="s">
        <v>569</v>
      </c>
      <c r="D78" s="240" t="s">
        <v>589</v>
      </c>
      <c r="E78" s="215" t="s">
        <v>590</v>
      </c>
      <c r="F78" s="215" t="s">
        <v>469</v>
      </c>
      <c r="G78" s="242">
        <v>45881</v>
      </c>
      <c r="H78" s="242">
        <v>45860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x14ac:dyDescent="0.3">
      <c r="A79" s="237">
        <v>12</v>
      </c>
      <c r="B79" s="238" t="s">
        <v>6</v>
      </c>
      <c r="C79" s="239" t="s">
        <v>569</v>
      </c>
      <c r="D79" s="240" t="s">
        <v>591</v>
      </c>
      <c r="E79" s="215" t="s">
        <v>592</v>
      </c>
      <c r="F79" s="215" t="s">
        <v>469</v>
      </c>
      <c r="G79" s="242">
        <v>45843</v>
      </c>
      <c r="H79" s="242">
        <v>45860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13</v>
      </c>
      <c r="B80" s="238" t="s">
        <v>6</v>
      </c>
      <c r="C80" s="239" t="s">
        <v>569</v>
      </c>
      <c r="D80" s="240" t="s">
        <v>593</v>
      </c>
      <c r="E80" s="215" t="s">
        <v>594</v>
      </c>
      <c r="F80" s="215" t="s">
        <v>469</v>
      </c>
      <c r="G80" s="242">
        <v>45848</v>
      </c>
      <c r="H80" s="242">
        <v>45864</v>
      </c>
      <c r="I80" s="243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ht="28" x14ac:dyDescent="0.3">
      <c r="A81" s="237">
        <v>14</v>
      </c>
      <c r="B81" s="238" t="s">
        <v>6</v>
      </c>
      <c r="C81" s="239" t="s">
        <v>569</v>
      </c>
      <c r="D81" s="240" t="s">
        <v>595</v>
      </c>
      <c r="E81" s="215" t="s">
        <v>596</v>
      </c>
      <c r="F81" s="215" t="s">
        <v>469</v>
      </c>
      <c r="G81" s="242">
        <v>45833</v>
      </c>
      <c r="H81" s="242">
        <v>45870</v>
      </c>
      <c r="I81" s="243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15</v>
      </c>
      <c r="B82" s="238" t="s">
        <v>6</v>
      </c>
      <c r="C82" s="239" t="s">
        <v>569</v>
      </c>
      <c r="D82" s="240" t="s">
        <v>597</v>
      </c>
      <c r="E82" s="215" t="s">
        <v>598</v>
      </c>
      <c r="F82" s="215" t="s">
        <v>469</v>
      </c>
      <c r="G82" s="242">
        <v>45838</v>
      </c>
      <c r="H82" s="242">
        <v>45868</v>
      </c>
      <c r="I82" s="243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16</v>
      </c>
      <c r="B83" s="238" t="s">
        <v>6</v>
      </c>
      <c r="C83" s="239" t="s">
        <v>569</v>
      </c>
      <c r="D83" s="240" t="s">
        <v>599</v>
      </c>
      <c r="E83" s="215" t="s">
        <v>600</v>
      </c>
      <c r="F83" s="215" t="s">
        <v>469</v>
      </c>
      <c r="G83" s="242">
        <v>45843</v>
      </c>
      <c r="H83" s="242">
        <v>45868</v>
      </c>
      <c r="I83" s="243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17</v>
      </c>
      <c r="B84" s="238" t="s">
        <v>6</v>
      </c>
      <c r="C84" s="239" t="s">
        <v>569</v>
      </c>
      <c r="D84" s="240" t="s">
        <v>601</v>
      </c>
      <c r="E84" s="215" t="s">
        <v>602</v>
      </c>
      <c r="F84" s="215" t="s">
        <v>469</v>
      </c>
      <c r="G84" s="242">
        <v>45846</v>
      </c>
      <c r="H84" s="234">
        <f>H81</f>
        <v>45870</v>
      </c>
      <c r="I84" s="243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18</v>
      </c>
      <c r="B85" s="238" t="s">
        <v>6</v>
      </c>
      <c r="C85" s="239" t="s">
        <v>569</v>
      </c>
      <c r="D85" s="263" t="s">
        <v>603</v>
      </c>
      <c r="E85" s="215" t="s">
        <v>604</v>
      </c>
      <c r="F85" s="213" t="s">
        <v>479</v>
      </c>
      <c r="G85" s="234">
        <v>45848</v>
      </c>
      <c r="H85" s="234">
        <v>45848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x14ac:dyDescent="0.3">
      <c r="A86" s="237">
        <v>19</v>
      </c>
      <c r="B86" s="238" t="s">
        <v>6</v>
      </c>
      <c r="C86" s="239" t="s">
        <v>569</v>
      </c>
      <c r="D86" s="263" t="s">
        <v>605</v>
      </c>
      <c r="E86" s="215" t="s">
        <v>606</v>
      </c>
      <c r="F86" s="213" t="s">
        <v>479</v>
      </c>
      <c r="G86" s="234">
        <v>45853</v>
      </c>
      <c r="H86" s="234">
        <v>45876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ht="28" x14ac:dyDescent="0.3">
      <c r="A87" s="237">
        <v>20</v>
      </c>
      <c r="B87" s="238" t="s">
        <v>6</v>
      </c>
      <c r="C87" s="239" t="s">
        <v>569</v>
      </c>
      <c r="D87" s="263" t="s">
        <v>607</v>
      </c>
      <c r="E87" s="215" t="s">
        <v>608</v>
      </c>
      <c r="F87" s="213" t="s">
        <v>469</v>
      </c>
      <c r="G87" s="234">
        <v>45853</v>
      </c>
      <c r="H87" s="234">
        <v>45876</v>
      </c>
      <c r="I87" s="235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37">
        <v>21</v>
      </c>
      <c r="B88" s="238" t="s">
        <v>6</v>
      </c>
      <c r="C88" s="239" t="s">
        <v>569</v>
      </c>
      <c r="D88" s="263" t="s">
        <v>609</v>
      </c>
      <c r="E88" s="215" t="s">
        <v>610</v>
      </c>
      <c r="F88" s="213" t="s">
        <v>479</v>
      </c>
      <c r="G88" s="234">
        <v>45858</v>
      </c>
      <c r="H88" s="234">
        <v>45882</v>
      </c>
      <c r="I88" s="235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37">
        <v>22</v>
      </c>
      <c r="B89" s="238" t="s">
        <v>6</v>
      </c>
      <c r="C89" s="239" t="s">
        <v>569</v>
      </c>
      <c r="D89" s="263" t="s">
        <v>611</v>
      </c>
      <c r="E89" s="215" t="s">
        <v>612</v>
      </c>
      <c r="F89" s="213" t="s">
        <v>469</v>
      </c>
      <c r="G89" s="234">
        <v>45826</v>
      </c>
      <c r="H89" s="234">
        <f>H88</f>
        <v>45882</v>
      </c>
      <c r="I89" s="235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ht="28" x14ac:dyDescent="0.3">
      <c r="A90" s="237">
        <v>23</v>
      </c>
      <c r="B90" s="238" t="s">
        <v>6</v>
      </c>
      <c r="C90" s="239" t="s">
        <v>569</v>
      </c>
      <c r="D90" s="263" t="s">
        <v>613</v>
      </c>
      <c r="E90" s="215" t="s">
        <v>614</v>
      </c>
      <c r="F90" s="213" t="s">
        <v>479</v>
      </c>
      <c r="G90" s="234">
        <v>45833</v>
      </c>
      <c r="H90" s="234">
        <v>45887</v>
      </c>
      <c r="I90" s="235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ht="28" x14ac:dyDescent="0.3">
      <c r="A91" s="237">
        <v>24</v>
      </c>
      <c r="B91" s="238" t="s">
        <v>6</v>
      </c>
      <c r="C91" s="239" t="s">
        <v>569</v>
      </c>
      <c r="D91" s="263" t="s">
        <v>615</v>
      </c>
      <c r="E91" s="215" t="s">
        <v>616</v>
      </c>
      <c r="F91" s="213" t="s">
        <v>469</v>
      </c>
      <c r="G91" s="234">
        <v>45863</v>
      </c>
      <c r="H91" s="234">
        <v>45887</v>
      </c>
      <c r="I91" s="235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69">
        <v>25</v>
      </c>
      <c r="B92" s="238" t="s">
        <v>6</v>
      </c>
      <c r="C92" s="239" t="s">
        <v>569</v>
      </c>
      <c r="D92" s="240" t="s">
        <v>617</v>
      </c>
      <c r="E92" s="215" t="s">
        <v>618</v>
      </c>
      <c r="F92" s="213" t="s">
        <v>469</v>
      </c>
      <c r="G92" s="242">
        <v>45828</v>
      </c>
      <c r="H92" s="234">
        <v>45887</v>
      </c>
      <c r="I92" s="274"/>
      <c r="J92" s="241"/>
      <c r="K92" s="215"/>
      <c r="L92" s="242"/>
      <c r="M92" s="242"/>
      <c r="N92" s="215"/>
      <c r="O92" s="215"/>
      <c r="P92" s="215"/>
      <c r="Q92" s="215"/>
      <c r="R92" s="215"/>
      <c r="S92" s="215"/>
      <c r="T92" s="215"/>
      <c r="U92" s="215"/>
    </row>
    <row r="93" spans="1:21" ht="28" x14ac:dyDescent="0.3">
      <c r="A93" s="269">
        <v>26</v>
      </c>
      <c r="B93" s="238" t="s">
        <v>6</v>
      </c>
      <c r="C93" s="239" t="s">
        <v>569</v>
      </c>
      <c r="D93" s="263" t="s">
        <v>619</v>
      </c>
      <c r="E93" s="215" t="s">
        <v>620</v>
      </c>
      <c r="F93" s="213" t="s">
        <v>479</v>
      </c>
      <c r="G93" s="242">
        <v>45833</v>
      </c>
      <c r="H93" s="234">
        <f>H81</f>
        <v>45870</v>
      </c>
      <c r="I93" s="274"/>
      <c r="J93" s="241"/>
      <c r="K93" s="215"/>
      <c r="L93" s="242"/>
      <c r="M93" s="242"/>
      <c r="N93" s="215"/>
      <c r="O93" s="215"/>
      <c r="P93" s="215"/>
      <c r="Q93" s="215"/>
      <c r="R93" s="215"/>
      <c r="S93" s="215"/>
      <c r="T93" s="215"/>
      <c r="U93" s="215"/>
    </row>
    <row r="94" spans="1:21" ht="28" x14ac:dyDescent="0.3">
      <c r="A94" s="269">
        <v>27</v>
      </c>
      <c r="B94" s="238" t="s">
        <v>6</v>
      </c>
      <c r="C94" s="239" t="s">
        <v>569</v>
      </c>
      <c r="D94" s="240" t="s">
        <v>621</v>
      </c>
      <c r="E94" s="215" t="s">
        <v>622</v>
      </c>
      <c r="F94" s="213" t="s">
        <v>469</v>
      </c>
      <c r="G94" s="242">
        <v>45836</v>
      </c>
      <c r="H94" s="234">
        <v>45889</v>
      </c>
      <c r="I94" s="274"/>
      <c r="J94" s="241"/>
      <c r="K94" s="215"/>
      <c r="L94" s="242"/>
      <c r="M94" s="242"/>
      <c r="N94" s="215"/>
      <c r="O94" s="215"/>
      <c r="P94" s="215"/>
      <c r="Q94" s="215"/>
      <c r="R94" s="215"/>
      <c r="S94" s="215"/>
      <c r="T94" s="215"/>
      <c r="U94" s="215"/>
    </row>
    <row r="95" spans="1:21" x14ac:dyDescent="0.3">
      <c r="A95" s="269">
        <v>28</v>
      </c>
      <c r="B95" s="238" t="s">
        <v>6</v>
      </c>
      <c r="C95" s="239" t="s">
        <v>569</v>
      </c>
      <c r="D95" s="240" t="s">
        <v>623</v>
      </c>
      <c r="E95" s="215" t="s">
        <v>624</v>
      </c>
      <c r="F95" s="215" t="s">
        <v>469</v>
      </c>
      <c r="G95" s="242">
        <v>45858</v>
      </c>
      <c r="H95" s="234">
        <v>45889</v>
      </c>
      <c r="I95" s="243"/>
      <c r="J95" s="241"/>
      <c r="K95" s="215"/>
      <c r="L95" s="242"/>
      <c r="M95" s="242"/>
      <c r="N95" s="215"/>
      <c r="O95" s="215"/>
      <c r="P95" s="215"/>
      <c r="Q95" s="215"/>
      <c r="R95" s="215"/>
      <c r="S95" s="215"/>
      <c r="T95" s="215"/>
      <c r="U95" s="215"/>
    </row>
    <row r="96" spans="1:21" x14ac:dyDescent="0.3">
      <c r="A96" s="269">
        <v>29</v>
      </c>
      <c r="B96" s="238" t="s">
        <v>6</v>
      </c>
      <c r="C96" s="239" t="s">
        <v>569</v>
      </c>
      <c r="D96" s="240" t="s">
        <v>625</v>
      </c>
      <c r="E96" s="215" t="s">
        <v>626</v>
      </c>
      <c r="F96" s="215" t="s">
        <v>469</v>
      </c>
      <c r="G96" s="242">
        <v>45863</v>
      </c>
      <c r="H96" s="234">
        <f>G96</f>
        <v>45863</v>
      </c>
      <c r="I96" s="243"/>
      <c r="J96" s="241"/>
      <c r="K96" s="215"/>
      <c r="L96" s="242"/>
      <c r="M96" s="242"/>
      <c r="N96" s="215"/>
      <c r="O96" s="215"/>
      <c r="P96" s="215"/>
      <c r="Q96" s="215"/>
      <c r="R96" s="215"/>
      <c r="S96" s="215"/>
      <c r="T96" s="215"/>
      <c r="U96" s="215"/>
    </row>
    <row r="97" spans="1:21" x14ac:dyDescent="0.3">
      <c r="A97" s="275"/>
      <c r="B97" s="414" t="s">
        <v>627</v>
      </c>
      <c r="C97" s="415" t="s">
        <v>628</v>
      </c>
      <c r="D97" s="416" t="s">
        <v>629</v>
      </c>
      <c r="E97" s="413" t="s">
        <v>630</v>
      </c>
      <c r="F97" s="413" t="s">
        <v>469</v>
      </c>
      <c r="G97" s="417">
        <v>45719</v>
      </c>
      <c r="H97" s="410">
        <f>L97</f>
        <v>45714</v>
      </c>
      <c r="I97" s="226"/>
      <c r="J97" s="227"/>
      <c r="K97" s="224" t="s">
        <v>470</v>
      </c>
      <c r="L97" s="225">
        <v>45714</v>
      </c>
      <c r="M97" s="225">
        <v>45721</v>
      </c>
      <c r="N97" s="224" t="s">
        <v>471</v>
      </c>
      <c r="O97" s="224">
        <f>M97-L97</f>
        <v>7</v>
      </c>
      <c r="P97" s="224">
        <f>L98-M97</f>
        <v>33</v>
      </c>
      <c r="Q97" s="413"/>
      <c r="R97" s="413" t="s">
        <v>399</v>
      </c>
      <c r="S97" s="413" t="str">
        <f>N100</f>
        <v>CAT - I</v>
      </c>
      <c r="T97" s="413" t="s">
        <v>399</v>
      </c>
      <c r="U97" s="413"/>
    </row>
    <row r="98" spans="1:21" x14ac:dyDescent="0.3">
      <c r="A98" s="276">
        <v>3</v>
      </c>
      <c r="B98" s="414"/>
      <c r="C98" s="415"/>
      <c r="D98" s="416"/>
      <c r="E98" s="413"/>
      <c r="F98" s="413"/>
      <c r="G98" s="417"/>
      <c r="H98" s="411"/>
      <c r="I98" s="226"/>
      <c r="J98" s="227"/>
      <c r="K98" s="224" t="s">
        <v>472</v>
      </c>
      <c r="L98" s="225">
        <v>45754</v>
      </c>
      <c r="M98" s="225">
        <v>45763</v>
      </c>
      <c r="N98" s="224" t="s">
        <v>471</v>
      </c>
      <c r="O98" s="224">
        <f>M98-L98</f>
        <v>9</v>
      </c>
      <c r="P98" s="224">
        <f>L99-M98</f>
        <v>4</v>
      </c>
      <c r="Q98" s="413"/>
      <c r="R98" s="413"/>
      <c r="S98" s="413"/>
      <c r="T98" s="413"/>
      <c r="U98" s="413"/>
    </row>
    <row r="99" spans="1:21" x14ac:dyDescent="0.3">
      <c r="A99" s="424">
        <v>4</v>
      </c>
      <c r="B99" s="414"/>
      <c r="C99" s="415"/>
      <c r="D99" s="416"/>
      <c r="E99" s="413"/>
      <c r="F99" s="413"/>
      <c r="G99" s="417"/>
      <c r="H99" s="411"/>
      <c r="I99" s="226"/>
      <c r="J99" s="227"/>
      <c r="K99" s="224" t="s">
        <v>474</v>
      </c>
      <c r="L99" s="225">
        <v>45767</v>
      </c>
      <c r="M99" s="225">
        <v>45770</v>
      </c>
      <c r="N99" s="224" t="s">
        <v>494</v>
      </c>
      <c r="O99" s="224">
        <f>M99-L99</f>
        <v>3</v>
      </c>
      <c r="P99" s="224">
        <f>L100-M99</f>
        <v>1</v>
      </c>
      <c r="Q99" s="413"/>
      <c r="R99" s="413"/>
      <c r="S99" s="413"/>
      <c r="T99" s="413"/>
      <c r="U99" s="413"/>
    </row>
    <row r="100" spans="1:21" x14ac:dyDescent="0.3">
      <c r="A100" s="424"/>
      <c r="B100" s="414"/>
      <c r="C100" s="415"/>
      <c r="D100" s="416"/>
      <c r="E100" s="413"/>
      <c r="F100" s="413"/>
      <c r="G100" s="417"/>
      <c r="H100" s="412"/>
      <c r="I100" s="226"/>
      <c r="J100" s="227"/>
      <c r="K100" s="224" t="s">
        <v>475</v>
      </c>
      <c r="L100" s="225">
        <v>45771</v>
      </c>
      <c r="M100" s="225">
        <v>45820</v>
      </c>
      <c r="N100" s="224" t="s">
        <v>485</v>
      </c>
      <c r="O100" s="224">
        <f ca="1">O1-L100</f>
        <v>78</v>
      </c>
      <c r="P100" s="224"/>
      <c r="Q100" s="413"/>
      <c r="R100" s="413"/>
      <c r="S100" s="413"/>
      <c r="T100" s="413"/>
      <c r="U100" s="413"/>
    </row>
    <row r="101" spans="1:21" x14ac:dyDescent="0.3">
      <c r="A101" s="276">
        <v>5</v>
      </c>
      <c r="B101" s="424" t="s">
        <v>627</v>
      </c>
      <c r="C101" s="453" t="s">
        <v>628</v>
      </c>
      <c r="D101" s="406" t="s">
        <v>847</v>
      </c>
      <c r="E101" s="443" t="s">
        <v>632</v>
      </c>
      <c r="F101" s="443" t="s">
        <v>469</v>
      </c>
      <c r="G101" s="455">
        <v>45755</v>
      </c>
      <c r="H101" s="450">
        <f>L101</f>
        <v>45772</v>
      </c>
      <c r="I101" s="243"/>
      <c r="J101" s="443"/>
      <c r="K101" s="215" t="s">
        <v>470</v>
      </c>
      <c r="L101" s="242">
        <v>45772</v>
      </c>
      <c r="M101" s="242">
        <v>45790</v>
      </c>
      <c r="N101" s="215" t="s">
        <v>471</v>
      </c>
      <c r="O101" s="215">
        <f>M101-L101</f>
        <v>18</v>
      </c>
      <c r="P101" s="215">
        <f>L102-M101</f>
        <v>3</v>
      </c>
      <c r="Q101" s="443"/>
      <c r="R101" s="443" t="s">
        <v>495</v>
      </c>
      <c r="S101" s="443" t="str">
        <f>N101</f>
        <v>CAT - III</v>
      </c>
      <c r="T101" s="443" t="s">
        <v>476</v>
      </c>
      <c r="U101" s="443">
        <f ca="1">U1-L102</f>
        <v>56</v>
      </c>
    </row>
    <row r="102" spans="1:21" ht="14.15" customHeight="1" x14ac:dyDescent="0.3">
      <c r="A102" s="276">
        <v>6</v>
      </c>
      <c r="B102" s="424"/>
      <c r="C102" s="453"/>
      <c r="D102" s="407"/>
      <c r="E102" s="443"/>
      <c r="F102" s="443"/>
      <c r="G102" s="455"/>
      <c r="H102" s="452"/>
      <c r="I102" s="243"/>
      <c r="J102" s="443"/>
      <c r="K102" s="215" t="s">
        <v>472</v>
      </c>
      <c r="L102" s="242">
        <v>45793</v>
      </c>
      <c r="M102" s="242">
        <v>45827</v>
      </c>
      <c r="N102" s="215"/>
      <c r="O102" s="215">
        <f ca="1">O1-L102</f>
        <v>56</v>
      </c>
      <c r="P102" s="215"/>
      <c r="Q102" s="443"/>
      <c r="R102" s="443"/>
      <c r="S102" s="443"/>
      <c r="T102" s="443"/>
      <c r="U102" s="443"/>
    </row>
    <row r="103" spans="1:21" ht="28" x14ac:dyDescent="0.3">
      <c r="A103" s="276">
        <v>7</v>
      </c>
      <c r="B103" s="276" t="s">
        <v>627</v>
      </c>
      <c r="C103" s="277" t="s">
        <v>628</v>
      </c>
      <c r="D103" s="278" t="s">
        <v>633</v>
      </c>
      <c r="E103" s="215" t="s">
        <v>634</v>
      </c>
      <c r="F103" s="215" t="s">
        <v>469</v>
      </c>
      <c r="G103" s="242">
        <v>45762</v>
      </c>
      <c r="H103" s="242">
        <f>L103</f>
        <v>45790</v>
      </c>
      <c r="I103" s="243"/>
      <c r="J103" s="243"/>
      <c r="K103" s="215" t="s">
        <v>470</v>
      </c>
      <c r="L103" s="242">
        <v>45790</v>
      </c>
      <c r="M103" s="242">
        <v>45821</v>
      </c>
      <c r="N103" s="215" t="s">
        <v>471</v>
      </c>
      <c r="O103" s="215">
        <f ca="1">O1-L103</f>
        <v>59</v>
      </c>
      <c r="P103" s="215"/>
      <c r="Q103" s="215"/>
      <c r="R103" s="215" t="s">
        <v>502</v>
      </c>
      <c r="S103" s="215" t="str">
        <f>N103</f>
        <v>CAT - III</v>
      </c>
      <c r="T103" s="215" t="s">
        <v>476</v>
      </c>
      <c r="U103" s="215">
        <f ca="1">U1-L103</f>
        <v>59</v>
      </c>
    </row>
    <row r="104" spans="1:21" x14ac:dyDescent="0.3">
      <c r="A104" s="276">
        <v>8</v>
      </c>
      <c r="B104" s="424" t="s">
        <v>627</v>
      </c>
      <c r="C104" s="453" t="s">
        <v>628</v>
      </c>
      <c r="D104" s="454" t="s">
        <v>635</v>
      </c>
      <c r="E104" s="443" t="s">
        <v>636</v>
      </c>
      <c r="F104" s="443" t="s">
        <v>469</v>
      </c>
      <c r="G104" s="455">
        <v>45780</v>
      </c>
      <c r="H104" s="450">
        <f>L104</f>
        <v>45758</v>
      </c>
      <c r="I104" s="243"/>
      <c r="J104" s="456">
        <v>45821</v>
      </c>
      <c r="K104" s="215" t="s">
        <v>470</v>
      </c>
      <c r="L104" s="242">
        <v>45758</v>
      </c>
      <c r="M104" s="242">
        <v>45766</v>
      </c>
      <c r="N104" s="215" t="s">
        <v>471</v>
      </c>
      <c r="O104" s="215">
        <f>M104-L104</f>
        <v>8</v>
      </c>
      <c r="P104" s="215">
        <f>L106-M104</f>
        <v>57</v>
      </c>
      <c r="Q104" s="443"/>
      <c r="R104" s="443" t="s">
        <v>502</v>
      </c>
      <c r="S104" s="443" t="str">
        <f>N106</f>
        <v>CAT - II</v>
      </c>
      <c r="T104" s="443" t="s">
        <v>476</v>
      </c>
      <c r="U104" s="443">
        <f ca="1">U1-M106</f>
        <v>22</v>
      </c>
    </row>
    <row r="105" spans="1:21" x14ac:dyDescent="0.3">
      <c r="A105" s="276">
        <v>9</v>
      </c>
      <c r="B105" s="424"/>
      <c r="C105" s="453"/>
      <c r="D105" s="454"/>
      <c r="E105" s="443"/>
      <c r="F105" s="443"/>
      <c r="G105" s="455"/>
      <c r="H105" s="451"/>
      <c r="I105" s="243"/>
      <c r="J105" s="457"/>
      <c r="K105" s="215" t="s">
        <v>472</v>
      </c>
      <c r="L105" s="242">
        <v>45793</v>
      </c>
      <c r="M105" s="242">
        <v>45808</v>
      </c>
      <c r="N105" s="215" t="s">
        <v>471</v>
      </c>
      <c r="O105" s="215">
        <f>L106-M105</f>
        <v>15</v>
      </c>
      <c r="P105" s="215"/>
      <c r="Q105" s="443"/>
      <c r="R105" s="443"/>
      <c r="S105" s="443"/>
      <c r="T105" s="443"/>
      <c r="U105" s="443"/>
    </row>
    <row r="106" spans="1:21" x14ac:dyDescent="0.3">
      <c r="A106" s="276">
        <v>9</v>
      </c>
      <c r="B106" s="424"/>
      <c r="C106" s="453"/>
      <c r="D106" s="454"/>
      <c r="E106" s="443"/>
      <c r="F106" s="443"/>
      <c r="G106" s="455"/>
      <c r="H106" s="452"/>
      <c r="I106" s="243"/>
      <c r="J106" s="458"/>
      <c r="K106" s="215" t="s">
        <v>474</v>
      </c>
      <c r="L106" s="242">
        <v>45823</v>
      </c>
      <c r="M106" s="242">
        <v>45827</v>
      </c>
      <c r="N106" s="215" t="s">
        <v>494</v>
      </c>
      <c r="O106" s="215"/>
      <c r="P106" s="215"/>
      <c r="Q106" s="443"/>
      <c r="R106" s="443"/>
      <c r="S106" s="443"/>
      <c r="T106" s="443"/>
      <c r="U106" s="443"/>
    </row>
    <row r="107" spans="1:21" ht="14.25" customHeight="1" x14ac:dyDescent="0.3">
      <c r="A107" s="276">
        <v>10</v>
      </c>
      <c r="B107" s="276" t="s">
        <v>627</v>
      </c>
      <c r="C107" s="277" t="s">
        <v>628</v>
      </c>
      <c r="D107" s="278" t="s">
        <v>637</v>
      </c>
      <c r="E107" s="215" t="s">
        <v>638</v>
      </c>
      <c r="F107" s="215" t="s">
        <v>469</v>
      </c>
      <c r="G107" s="242">
        <v>45835</v>
      </c>
      <c r="H107" s="234">
        <f>G107</f>
        <v>45835</v>
      </c>
      <c r="I107" s="215" t="s">
        <v>639</v>
      </c>
      <c r="J107" s="243">
        <v>45821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ht="28" x14ac:dyDescent="0.3">
      <c r="A108" s="276">
        <v>11</v>
      </c>
      <c r="B108" s="276" t="s">
        <v>627</v>
      </c>
      <c r="C108" s="277" t="s">
        <v>628</v>
      </c>
      <c r="D108" s="278" t="s">
        <v>640</v>
      </c>
      <c r="E108" s="215" t="s">
        <v>641</v>
      </c>
      <c r="F108" s="215" t="s">
        <v>469</v>
      </c>
      <c r="G108" s="242">
        <v>45835</v>
      </c>
      <c r="H108" s="234">
        <f>G108</f>
        <v>45835</v>
      </c>
      <c r="I108" s="215" t="s">
        <v>639</v>
      </c>
      <c r="J108" s="243">
        <v>45821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x14ac:dyDescent="0.3">
      <c r="A109" s="276">
        <v>12</v>
      </c>
      <c r="B109" s="276" t="s">
        <v>627</v>
      </c>
      <c r="C109" s="277" t="s">
        <v>628</v>
      </c>
      <c r="D109" s="278" t="s">
        <v>642</v>
      </c>
      <c r="E109" s="215" t="s">
        <v>643</v>
      </c>
      <c r="F109" s="215" t="s">
        <v>469</v>
      </c>
      <c r="G109" s="242">
        <v>45835</v>
      </c>
      <c r="H109" s="234">
        <f>G109</f>
        <v>45835</v>
      </c>
      <c r="I109" s="215" t="s">
        <v>639</v>
      </c>
      <c r="J109" s="243">
        <v>45821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13</v>
      </c>
      <c r="B110" s="276" t="s">
        <v>627</v>
      </c>
      <c r="C110" s="277" t="s">
        <v>628</v>
      </c>
      <c r="D110" s="278" t="s">
        <v>644</v>
      </c>
      <c r="E110" s="215" t="s">
        <v>645</v>
      </c>
      <c r="F110" s="215" t="s">
        <v>469</v>
      </c>
      <c r="G110" s="242">
        <v>45835</v>
      </c>
      <c r="H110" s="234">
        <f>G110</f>
        <v>45835</v>
      </c>
      <c r="I110" s="215" t="s">
        <v>639</v>
      </c>
      <c r="J110" s="243">
        <v>45821</v>
      </c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x14ac:dyDescent="0.3">
      <c r="A111" s="402">
        <v>14</v>
      </c>
      <c r="B111" s="276" t="s">
        <v>627</v>
      </c>
      <c r="C111" s="404" t="s">
        <v>628</v>
      </c>
      <c r="D111" s="447" t="s">
        <v>646</v>
      </c>
      <c r="E111" s="391" t="s">
        <v>647</v>
      </c>
      <c r="F111" s="391" t="s">
        <v>469</v>
      </c>
      <c r="G111" s="450">
        <v>45768</v>
      </c>
      <c r="H111" s="450">
        <f>L111</f>
        <v>45804</v>
      </c>
      <c r="I111" s="243"/>
      <c r="J111" s="243">
        <v>45804</v>
      </c>
      <c r="K111" s="215" t="s">
        <v>470</v>
      </c>
      <c r="L111" s="242">
        <v>45804</v>
      </c>
      <c r="M111" s="242">
        <v>45812</v>
      </c>
      <c r="N111" s="215" t="s">
        <v>471</v>
      </c>
      <c r="O111" s="215">
        <f>M111-L111</f>
        <v>8</v>
      </c>
      <c r="P111" s="215">
        <f ca="1">O1-M111</f>
        <v>37</v>
      </c>
      <c r="Q111" s="215"/>
      <c r="R111" s="443" t="s">
        <v>502</v>
      </c>
      <c r="S111" s="443" t="str">
        <f>N113</f>
        <v>CAT - II</v>
      </c>
      <c r="T111" s="443" t="s">
        <v>476</v>
      </c>
      <c r="U111" s="391">
        <f ca="1">U1-L111</f>
        <v>45</v>
      </c>
    </row>
    <row r="112" spans="1:21" ht="14.15" customHeight="1" x14ac:dyDescent="0.3">
      <c r="A112" s="445"/>
      <c r="B112" s="276"/>
      <c r="C112" s="446"/>
      <c r="D112" s="448"/>
      <c r="E112" s="444"/>
      <c r="F112" s="444"/>
      <c r="G112" s="451"/>
      <c r="H112" s="451"/>
      <c r="I112" s="243"/>
      <c r="J112" s="243"/>
      <c r="K112" s="215" t="s">
        <v>472</v>
      </c>
      <c r="L112" s="242">
        <v>45821</v>
      </c>
      <c r="M112" s="242">
        <v>45825</v>
      </c>
      <c r="N112" s="215" t="s">
        <v>471</v>
      </c>
      <c r="O112" s="215"/>
      <c r="P112" s="215"/>
      <c r="Q112" s="215"/>
      <c r="R112" s="443"/>
      <c r="S112" s="443"/>
      <c r="T112" s="443"/>
      <c r="U112" s="444"/>
    </row>
    <row r="113" spans="1:21" ht="14.15" customHeight="1" x14ac:dyDescent="0.3">
      <c r="A113" s="403"/>
      <c r="B113" s="276"/>
      <c r="C113" s="405"/>
      <c r="D113" s="449"/>
      <c r="E113" s="392"/>
      <c r="F113" s="392"/>
      <c r="G113" s="452"/>
      <c r="H113" s="452"/>
      <c r="I113" s="243"/>
      <c r="J113" s="243"/>
      <c r="K113" s="215" t="s">
        <v>474</v>
      </c>
      <c r="L113" s="242">
        <v>45826</v>
      </c>
      <c r="M113" s="242">
        <v>45828</v>
      </c>
      <c r="N113" s="215" t="s">
        <v>494</v>
      </c>
      <c r="O113" s="215"/>
      <c r="P113" s="215"/>
      <c r="Q113" s="215"/>
      <c r="R113" s="443"/>
      <c r="S113" s="443"/>
      <c r="T113" s="443"/>
      <c r="U113" s="392"/>
    </row>
    <row r="114" spans="1:21" ht="28" x14ac:dyDescent="0.3">
      <c r="A114" s="276">
        <v>15</v>
      </c>
      <c r="B114" s="276" t="s">
        <v>627</v>
      </c>
      <c r="C114" s="277" t="s">
        <v>628</v>
      </c>
      <c r="D114" s="278" t="s">
        <v>648</v>
      </c>
      <c r="E114" s="215" t="s">
        <v>649</v>
      </c>
      <c r="F114" s="215" t="s">
        <v>469</v>
      </c>
      <c r="G114" s="242">
        <v>45800</v>
      </c>
      <c r="H114" s="242">
        <f>L114</f>
        <v>45800</v>
      </c>
      <c r="I114" s="243"/>
      <c r="J114" s="243"/>
      <c r="K114" s="215" t="s">
        <v>470</v>
      </c>
      <c r="L114" s="242">
        <v>45800</v>
      </c>
      <c r="M114" s="242"/>
      <c r="N114" s="215"/>
      <c r="O114" s="215">
        <f ca="1">O1-L114</f>
        <v>49</v>
      </c>
      <c r="P114" s="215"/>
      <c r="Q114" s="215"/>
      <c r="R114" s="215" t="s">
        <v>495</v>
      </c>
      <c r="S114" s="215"/>
      <c r="T114" s="215" t="s">
        <v>473</v>
      </c>
      <c r="U114" s="215">
        <f ca="1">U1-L114</f>
        <v>49</v>
      </c>
    </row>
    <row r="115" spans="1:21" ht="28" x14ac:dyDescent="0.3">
      <c r="A115" s="276">
        <v>16</v>
      </c>
      <c r="B115" s="276" t="s">
        <v>627</v>
      </c>
      <c r="C115" s="277" t="s">
        <v>628</v>
      </c>
      <c r="D115" s="278" t="s">
        <v>650</v>
      </c>
      <c r="E115" s="215" t="s">
        <v>651</v>
      </c>
      <c r="F115" s="215" t="s">
        <v>469</v>
      </c>
      <c r="G115" s="242">
        <v>45826</v>
      </c>
      <c r="H115" s="234">
        <v>45836</v>
      </c>
      <c r="I115" s="279" t="s">
        <v>652</v>
      </c>
      <c r="J115" s="243">
        <v>45814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17</v>
      </c>
      <c r="B116" s="276" t="s">
        <v>627</v>
      </c>
      <c r="C116" s="277" t="s">
        <v>628</v>
      </c>
      <c r="D116" s="278" t="s">
        <v>653</v>
      </c>
      <c r="E116" s="215" t="s">
        <v>654</v>
      </c>
      <c r="F116" s="215" t="s">
        <v>469</v>
      </c>
      <c r="G116" s="242">
        <v>45826</v>
      </c>
      <c r="H116" s="234">
        <v>45836</v>
      </c>
      <c r="I116" s="243" t="s">
        <v>655</v>
      </c>
      <c r="J116" s="243">
        <v>45814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ht="28" x14ac:dyDescent="0.3">
      <c r="A117" s="276">
        <v>18</v>
      </c>
      <c r="B117" s="276" t="s">
        <v>627</v>
      </c>
      <c r="C117" s="277" t="s">
        <v>628</v>
      </c>
      <c r="D117" s="278" t="s">
        <v>656</v>
      </c>
      <c r="E117" s="215" t="s">
        <v>657</v>
      </c>
      <c r="F117" s="215" t="s">
        <v>469</v>
      </c>
      <c r="G117" s="242">
        <v>45826</v>
      </c>
      <c r="H117" s="234">
        <v>45836</v>
      </c>
      <c r="I117" s="243" t="s">
        <v>655</v>
      </c>
      <c r="J117" s="243">
        <v>45814</v>
      </c>
      <c r="K117" s="215"/>
      <c r="L117" s="30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19</v>
      </c>
      <c r="B118" s="276" t="s">
        <v>627</v>
      </c>
      <c r="C118" s="277" t="s">
        <v>628</v>
      </c>
      <c r="D118" s="278" t="s">
        <v>658</v>
      </c>
      <c r="E118" s="215" t="s">
        <v>659</v>
      </c>
      <c r="F118" s="215" t="s">
        <v>469</v>
      </c>
      <c r="G118" s="242">
        <v>45794</v>
      </c>
      <c r="H118" s="234">
        <v>45836</v>
      </c>
      <c r="I118" s="243"/>
      <c r="J118" s="243"/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20</v>
      </c>
      <c r="B119" s="276" t="s">
        <v>627</v>
      </c>
      <c r="C119" s="277" t="s">
        <v>628</v>
      </c>
      <c r="D119" s="278" t="s">
        <v>660</v>
      </c>
      <c r="E119" s="215" t="s">
        <v>661</v>
      </c>
      <c r="F119" s="215" t="s">
        <v>469</v>
      </c>
      <c r="G119" s="242">
        <v>45821</v>
      </c>
      <c r="H119" s="234">
        <v>45838</v>
      </c>
      <c r="I119" s="243"/>
      <c r="J119" s="243"/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276">
        <v>21</v>
      </c>
      <c r="B120" s="276" t="s">
        <v>627</v>
      </c>
      <c r="C120" s="277" t="s">
        <v>628</v>
      </c>
      <c r="D120" s="278" t="s">
        <v>662</v>
      </c>
      <c r="E120" s="215" t="s">
        <v>663</v>
      </c>
      <c r="F120" s="215" t="s">
        <v>469</v>
      </c>
      <c r="G120" s="242">
        <v>45835</v>
      </c>
      <c r="H120" s="234">
        <v>45838</v>
      </c>
      <c r="I120" s="243" t="s">
        <v>664</v>
      </c>
      <c r="J120" s="243">
        <v>45828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276">
        <v>22</v>
      </c>
      <c r="B121" s="276" t="s">
        <v>627</v>
      </c>
      <c r="C121" s="277" t="s">
        <v>628</v>
      </c>
      <c r="D121" s="278" t="s">
        <v>665</v>
      </c>
      <c r="E121" s="215" t="s">
        <v>666</v>
      </c>
      <c r="F121" s="215" t="s">
        <v>479</v>
      </c>
      <c r="G121" s="242">
        <v>45842</v>
      </c>
      <c r="H121" s="234">
        <f t="shared" ref="H121:H129" si="1">G121</f>
        <v>45842</v>
      </c>
      <c r="I121" s="243" t="s">
        <v>664</v>
      </c>
      <c r="J121" s="243">
        <v>45828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x14ac:dyDescent="0.3">
      <c r="A122" s="276">
        <v>23</v>
      </c>
      <c r="B122" s="276" t="s">
        <v>627</v>
      </c>
      <c r="C122" s="277" t="s">
        <v>628</v>
      </c>
      <c r="D122" s="278" t="s">
        <v>667</v>
      </c>
      <c r="E122" s="215" t="s">
        <v>668</v>
      </c>
      <c r="F122" s="215" t="s">
        <v>469</v>
      </c>
      <c r="G122" s="242">
        <v>45853</v>
      </c>
      <c r="H122" s="234">
        <f t="shared" si="1"/>
        <v>45853</v>
      </c>
      <c r="I122" s="243"/>
      <c r="J122" s="243">
        <v>45835</v>
      </c>
      <c r="K122" s="215"/>
      <c r="L122" s="242"/>
      <c r="M122" s="242"/>
      <c r="N122" s="215"/>
      <c r="O122" s="215"/>
      <c r="P122" s="215"/>
      <c r="Q122" s="215"/>
      <c r="R122" s="215"/>
      <c r="S122" s="215"/>
      <c r="T122" s="215"/>
      <c r="U122" s="215"/>
    </row>
    <row r="123" spans="1:21" ht="28" x14ac:dyDescent="0.3">
      <c r="A123" s="276">
        <v>24</v>
      </c>
      <c r="B123" s="276" t="s">
        <v>627</v>
      </c>
      <c r="C123" s="277" t="s">
        <v>628</v>
      </c>
      <c r="D123" s="278" t="s">
        <v>669</v>
      </c>
      <c r="E123" s="215" t="s">
        <v>670</v>
      </c>
      <c r="F123" s="215" t="s">
        <v>469</v>
      </c>
      <c r="G123" s="242">
        <v>45838</v>
      </c>
      <c r="H123" s="234">
        <f t="shared" si="1"/>
        <v>45838</v>
      </c>
      <c r="I123" s="243"/>
      <c r="J123" s="243">
        <v>45838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x14ac:dyDescent="0.3">
      <c r="A124" s="276">
        <v>25</v>
      </c>
      <c r="B124" s="276" t="s">
        <v>627</v>
      </c>
      <c r="C124" s="277" t="s">
        <v>628</v>
      </c>
      <c r="D124" s="278" t="s">
        <v>671</v>
      </c>
      <c r="E124" s="215" t="s">
        <v>672</v>
      </c>
      <c r="F124" s="215" t="s">
        <v>469</v>
      </c>
      <c r="G124" s="242">
        <v>45850</v>
      </c>
      <c r="H124" s="234">
        <f t="shared" si="1"/>
        <v>45850</v>
      </c>
      <c r="I124" s="243"/>
      <c r="J124" s="243">
        <v>45850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1</v>
      </c>
      <c r="B125" s="276" t="s">
        <v>627</v>
      </c>
      <c r="C125" s="277" t="s">
        <v>628</v>
      </c>
      <c r="D125" s="278" t="s">
        <v>673</v>
      </c>
      <c r="E125" s="215" t="s">
        <v>674</v>
      </c>
      <c r="F125" s="215" t="s">
        <v>469</v>
      </c>
      <c r="G125" s="242">
        <v>45852</v>
      </c>
      <c r="H125" s="234">
        <f t="shared" si="1"/>
        <v>45852</v>
      </c>
      <c r="I125" s="243"/>
      <c r="J125" s="243">
        <v>45852</v>
      </c>
      <c r="K125" s="215"/>
      <c r="L125" s="242"/>
      <c r="M125" s="242"/>
      <c r="N125" s="215"/>
      <c r="O125" s="215"/>
      <c r="P125" s="215"/>
      <c r="Q125" s="215"/>
      <c r="R125" s="215"/>
      <c r="S125" s="215"/>
      <c r="T125" s="215"/>
      <c r="U125" s="215"/>
    </row>
    <row r="126" spans="1:21" x14ac:dyDescent="0.3">
      <c r="A126" s="276">
        <v>2</v>
      </c>
      <c r="B126" s="276" t="s">
        <v>627</v>
      </c>
      <c r="C126" s="277" t="s">
        <v>628</v>
      </c>
      <c r="D126" s="278" t="s">
        <v>675</v>
      </c>
      <c r="E126" s="215" t="s">
        <v>676</v>
      </c>
      <c r="F126" s="215" t="s">
        <v>469</v>
      </c>
      <c r="G126" s="242">
        <v>45863</v>
      </c>
      <c r="H126" s="234">
        <f t="shared" si="1"/>
        <v>45863</v>
      </c>
      <c r="I126" s="243"/>
      <c r="J126" s="243">
        <v>45853</v>
      </c>
      <c r="K126" s="215"/>
      <c r="L126" s="242"/>
      <c r="M126" s="242"/>
      <c r="N126" s="215"/>
      <c r="O126" s="215"/>
      <c r="P126" s="215"/>
      <c r="Q126" s="215"/>
      <c r="R126" s="215"/>
      <c r="S126" s="215"/>
      <c r="T126" s="215"/>
      <c r="U126" s="215"/>
    </row>
    <row r="127" spans="1:21" ht="28" x14ac:dyDescent="0.3">
      <c r="A127" s="276">
        <v>3</v>
      </c>
      <c r="B127" s="276" t="s">
        <v>627</v>
      </c>
      <c r="C127" s="277" t="s">
        <v>628</v>
      </c>
      <c r="D127" s="278" t="s">
        <v>677</v>
      </c>
      <c r="E127" s="215" t="s">
        <v>678</v>
      </c>
      <c r="F127" s="215" t="s">
        <v>469</v>
      </c>
      <c r="G127" s="242">
        <v>45854</v>
      </c>
      <c r="H127" s="234">
        <f t="shared" si="1"/>
        <v>45854</v>
      </c>
      <c r="I127" s="243"/>
      <c r="J127" s="243">
        <v>45854</v>
      </c>
      <c r="K127" s="215"/>
      <c r="L127" s="242"/>
      <c r="M127" s="242"/>
      <c r="N127" s="215"/>
      <c r="O127" s="215"/>
      <c r="P127" s="215"/>
      <c r="Q127" s="215"/>
      <c r="R127" s="215"/>
      <c r="S127" s="215"/>
      <c r="T127" s="215"/>
      <c r="U127" s="215"/>
    </row>
    <row r="128" spans="1:21" ht="28" x14ac:dyDescent="0.3">
      <c r="A128" s="424">
        <v>4</v>
      </c>
      <c r="B128" s="276" t="s">
        <v>627</v>
      </c>
      <c r="C128" s="277" t="s">
        <v>628</v>
      </c>
      <c r="D128" s="278" t="s">
        <v>679</v>
      </c>
      <c r="E128" s="215" t="s">
        <v>680</v>
      </c>
      <c r="F128" s="215" t="s">
        <v>469</v>
      </c>
      <c r="G128" s="242">
        <v>45860</v>
      </c>
      <c r="H128" s="234">
        <f t="shared" si="1"/>
        <v>45860</v>
      </c>
      <c r="I128" s="243"/>
      <c r="J128" s="243">
        <v>45860</v>
      </c>
      <c r="K128" s="215"/>
      <c r="L128" s="242"/>
      <c r="M128" s="242"/>
      <c r="N128" s="215"/>
      <c r="O128" s="215"/>
      <c r="P128" s="215"/>
      <c r="Q128" s="215"/>
      <c r="R128" s="215"/>
      <c r="S128" s="215"/>
      <c r="T128" s="215"/>
      <c r="U128" s="215"/>
    </row>
    <row r="129" spans="1:21" ht="28" x14ac:dyDescent="0.3">
      <c r="A129" s="424"/>
      <c r="B129" s="276" t="s">
        <v>627</v>
      </c>
      <c r="C129" s="277" t="s">
        <v>628</v>
      </c>
      <c r="D129" s="278" t="s">
        <v>681</v>
      </c>
      <c r="E129" s="215" t="s">
        <v>682</v>
      </c>
      <c r="F129" s="215" t="s">
        <v>469</v>
      </c>
      <c r="G129" s="242">
        <v>45866</v>
      </c>
      <c r="H129" s="234">
        <f t="shared" si="1"/>
        <v>45866</v>
      </c>
      <c r="I129" s="243"/>
      <c r="J129" s="243">
        <v>45866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276">
        <v>5</v>
      </c>
      <c r="B130" s="276" t="s">
        <v>627</v>
      </c>
      <c r="C130" s="277" t="s">
        <v>683</v>
      </c>
      <c r="D130" s="278" t="s">
        <v>684</v>
      </c>
      <c r="E130" s="215" t="s">
        <v>685</v>
      </c>
      <c r="F130" s="215" t="s">
        <v>469</v>
      </c>
      <c r="G130" s="242">
        <v>45714</v>
      </c>
      <c r="H130" s="242">
        <f>L130</f>
        <v>45714</v>
      </c>
      <c r="I130" s="243"/>
      <c r="J130" s="243"/>
      <c r="K130" s="215" t="s">
        <v>470</v>
      </c>
      <c r="L130" s="242">
        <v>45714</v>
      </c>
      <c r="M130" s="242"/>
      <c r="N130" s="215"/>
      <c r="O130" s="215">
        <f ca="1">O1-L130</f>
        <v>135</v>
      </c>
      <c r="P130" s="215"/>
      <c r="Q130" s="215"/>
      <c r="R130" s="215" t="s">
        <v>495</v>
      </c>
      <c r="S130" s="215"/>
      <c r="T130" s="215" t="s">
        <v>473</v>
      </c>
      <c r="U130" s="215">
        <f ca="1">U1-L130</f>
        <v>135</v>
      </c>
    </row>
    <row r="131" spans="1:21" ht="28" x14ac:dyDescent="0.3">
      <c r="A131" s="276">
        <v>6</v>
      </c>
      <c r="B131" s="276" t="s">
        <v>627</v>
      </c>
      <c r="C131" s="277" t="s">
        <v>683</v>
      </c>
      <c r="D131" s="278" t="s">
        <v>686</v>
      </c>
      <c r="E131" s="215" t="s">
        <v>687</v>
      </c>
      <c r="F131" s="215" t="s">
        <v>469</v>
      </c>
      <c r="G131" s="242">
        <v>45877</v>
      </c>
      <c r="H131" s="234">
        <f>G131</f>
        <v>45877</v>
      </c>
      <c r="I131" s="243"/>
      <c r="J131" s="243">
        <v>45877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6">
        <v>7</v>
      </c>
      <c r="B132" s="276" t="s">
        <v>627</v>
      </c>
      <c r="C132" s="277" t="s">
        <v>683</v>
      </c>
      <c r="D132" s="278" t="s">
        <v>688</v>
      </c>
      <c r="E132" s="215" t="s">
        <v>689</v>
      </c>
      <c r="F132" s="215" t="s">
        <v>469</v>
      </c>
      <c r="G132" s="242">
        <v>45987</v>
      </c>
      <c r="H132" s="234">
        <f>G132</f>
        <v>45987</v>
      </c>
      <c r="I132" s="243"/>
      <c r="J132" s="243">
        <v>45987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97" customFormat="1" x14ac:dyDescent="0.3">
      <c r="A133" s="221">
        <v>8</v>
      </c>
      <c r="B133" s="414" t="s">
        <v>627</v>
      </c>
      <c r="C133" s="415" t="s">
        <v>683</v>
      </c>
      <c r="D133" s="416" t="s">
        <v>690</v>
      </c>
      <c r="E133" s="413" t="s">
        <v>691</v>
      </c>
      <c r="F133" s="421" t="s">
        <v>469</v>
      </c>
      <c r="G133" s="417">
        <v>45754</v>
      </c>
      <c r="H133" s="410">
        <f>L133</f>
        <v>45773</v>
      </c>
      <c r="I133" s="431"/>
      <c r="J133" s="431"/>
      <c r="K133" s="224" t="s">
        <v>470</v>
      </c>
      <c r="L133" s="225">
        <v>45773</v>
      </c>
      <c r="M133" s="225">
        <v>45777</v>
      </c>
      <c r="N133" s="224" t="s">
        <v>471</v>
      </c>
      <c r="O133" s="224">
        <f>M133-L133</f>
        <v>4</v>
      </c>
      <c r="P133" s="224">
        <f>L134-M133</f>
        <v>14</v>
      </c>
      <c r="Q133" s="413"/>
      <c r="R133" s="413" t="s">
        <v>495</v>
      </c>
      <c r="S133" s="413" t="s">
        <v>485</v>
      </c>
      <c r="T133" s="413" t="s">
        <v>399</v>
      </c>
      <c r="U133" s="413">
        <f>M134-L134</f>
        <v>21</v>
      </c>
    </row>
    <row r="134" spans="1:21" s="297" customFormat="1" x14ac:dyDescent="0.3">
      <c r="A134" s="221">
        <v>9</v>
      </c>
      <c r="B134" s="414"/>
      <c r="C134" s="415"/>
      <c r="D134" s="416"/>
      <c r="E134" s="413"/>
      <c r="F134" s="423"/>
      <c r="G134" s="417"/>
      <c r="H134" s="412"/>
      <c r="I134" s="433"/>
      <c r="J134" s="433"/>
      <c r="K134" s="224" t="s">
        <v>472</v>
      </c>
      <c r="L134" s="225">
        <v>45791</v>
      </c>
      <c r="M134" s="225">
        <v>45812</v>
      </c>
      <c r="N134" s="224" t="s">
        <v>485</v>
      </c>
      <c r="O134" s="224">
        <f>M134-L134</f>
        <v>21</v>
      </c>
      <c r="P134" s="224"/>
      <c r="Q134" s="413"/>
      <c r="R134" s="413"/>
      <c r="S134" s="413"/>
      <c r="T134" s="413"/>
      <c r="U134" s="413"/>
    </row>
    <row r="135" spans="1:21" s="297" customFormat="1" ht="28" customHeight="1" x14ac:dyDescent="0.3">
      <c r="A135" s="434">
        <v>10</v>
      </c>
      <c r="B135" s="221" t="s">
        <v>627</v>
      </c>
      <c r="C135" s="437" t="s">
        <v>683</v>
      </c>
      <c r="D135" s="440" t="s">
        <v>692</v>
      </c>
      <c r="E135" s="421" t="s">
        <v>693</v>
      </c>
      <c r="F135" s="421" t="s">
        <v>469</v>
      </c>
      <c r="G135" s="410">
        <v>45754</v>
      </c>
      <c r="H135" s="410">
        <f>L135</f>
        <v>45791</v>
      </c>
      <c r="I135" s="431"/>
      <c r="J135" s="431"/>
      <c r="K135" s="224" t="s">
        <v>470</v>
      </c>
      <c r="L135" s="225">
        <v>45791</v>
      </c>
      <c r="M135" s="225">
        <v>45809</v>
      </c>
      <c r="N135" s="224" t="s">
        <v>471</v>
      </c>
      <c r="O135" s="224">
        <f>M135-L135</f>
        <v>18</v>
      </c>
      <c r="P135" s="224">
        <f>L137-M135</f>
        <v>12</v>
      </c>
      <c r="Q135" s="421"/>
      <c r="R135" s="421" t="s">
        <v>495</v>
      </c>
      <c r="S135" s="421" t="str">
        <f>N137</f>
        <v>CAT - I</v>
      </c>
      <c r="T135" s="421" t="s">
        <v>399</v>
      </c>
      <c r="U135" s="421">
        <f ca="1">U1-L135</f>
        <v>58</v>
      </c>
    </row>
    <row r="136" spans="1:21" s="297" customFormat="1" x14ac:dyDescent="0.3">
      <c r="A136" s="435"/>
      <c r="B136" s="221"/>
      <c r="C136" s="438"/>
      <c r="D136" s="441"/>
      <c r="E136" s="422"/>
      <c r="F136" s="422"/>
      <c r="G136" s="411"/>
      <c r="H136" s="411"/>
      <c r="I136" s="432"/>
      <c r="J136" s="432"/>
      <c r="K136" s="224" t="s">
        <v>472</v>
      </c>
      <c r="L136" s="225">
        <v>45812</v>
      </c>
      <c r="M136" s="225">
        <v>45820</v>
      </c>
      <c r="N136" s="224" t="s">
        <v>471</v>
      </c>
      <c r="O136" s="224"/>
      <c r="P136" s="224"/>
      <c r="Q136" s="422"/>
      <c r="R136" s="422"/>
      <c r="S136" s="422"/>
      <c r="T136" s="422"/>
      <c r="U136" s="422"/>
    </row>
    <row r="137" spans="1:21" s="297" customFormat="1" x14ac:dyDescent="0.3">
      <c r="A137" s="436"/>
      <c r="B137" s="221"/>
      <c r="C137" s="439"/>
      <c r="D137" s="442"/>
      <c r="E137" s="423"/>
      <c r="F137" s="423"/>
      <c r="G137" s="412"/>
      <c r="H137" s="412"/>
      <c r="I137" s="433"/>
      <c r="J137" s="433"/>
      <c r="K137" s="224" t="s">
        <v>474</v>
      </c>
      <c r="L137" s="225">
        <v>45821</v>
      </c>
      <c r="M137" s="225">
        <v>45830</v>
      </c>
      <c r="N137" s="224" t="s">
        <v>485</v>
      </c>
      <c r="O137" s="224">
        <f ca="1">O1-L137</f>
        <v>28</v>
      </c>
      <c r="P137" s="224"/>
      <c r="Q137" s="423"/>
      <c r="R137" s="423"/>
      <c r="S137" s="423"/>
      <c r="T137" s="423"/>
      <c r="U137" s="423"/>
    </row>
    <row r="138" spans="1:21" ht="28" x14ac:dyDescent="0.3">
      <c r="A138" s="276">
        <v>11</v>
      </c>
      <c r="B138" s="276" t="s">
        <v>627</v>
      </c>
      <c r="C138" s="277" t="s">
        <v>683</v>
      </c>
      <c r="D138" s="278" t="s">
        <v>694</v>
      </c>
      <c r="E138" s="215" t="s">
        <v>695</v>
      </c>
      <c r="F138" s="215" t="s">
        <v>469</v>
      </c>
      <c r="G138" s="242">
        <v>45811</v>
      </c>
      <c r="H138" s="242">
        <v>45837</v>
      </c>
      <c r="I138" s="243"/>
      <c r="J138" s="243">
        <f>J107+7</f>
        <v>45828</v>
      </c>
      <c r="K138" s="215"/>
      <c r="L138" s="242"/>
      <c r="M138" s="242"/>
      <c r="N138" s="215"/>
      <c r="O138" s="215"/>
      <c r="P138" s="215"/>
      <c r="Q138" s="215"/>
      <c r="R138" s="215"/>
      <c r="S138" s="215"/>
      <c r="T138" s="215"/>
      <c r="U138" s="215"/>
    </row>
    <row r="139" spans="1:21" ht="28" x14ac:dyDescent="0.3">
      <c r="A139" s="424">
        <v>12</v>
      </c>
      <c r="B139" s="276" t="s">
        <v>627</v>
      </c>
      <c r="C139" s="277" t="s">
        <v>683</v>
      </c>
      <c r="D139" s="278" t="s">
        <v>696</v>
      </c>
      <c r="E139" s="215" t="s">
        <v>697</v>
      </c>
      <c r="F139" s="215" t="s">
        <v>469</v>
      </c>
      <c r="G139" s="242">
        <v>45808</v>
      </c>
      <c r="H139" s="242">
        <v>45837</v>
      </c>
      <c r="I139" s="243"/>
      <c r="J139" s="243">
        <f>J108+7</f>
        <v>45828</v>
      </c>
      <c r="K139" s="215"/>
      <c r="L139" s="242"/>
      <c r="M139" s="242"/>
      <c r="N139" s="215"/>
      <c r="O139" s="215"/>
      <c r="P139" s="215"/>
      <c r="Q139" s="215"/>
      <c r="R139" s="215"/>
      <c r="S139" s="215"/>
      <c r="T139" s="215"/>
      <c r="U139" s="215"/>
    </row>
    <row r="140" spans="1:21" ht="28" x14ac:dyDescent="0.3">
      <c r="A140" s="424"/>
      <c r="B140" s="276" t="s">
        <v>627</v>
      </c>
      <c r="C140" s="277" t="s">
        <v>683</v>
      </c>
      <c r="D140" s="278" t="s">
        <v>698</v>
      </c>
      <c r="E140" s="215" t="s">
        <v>699</v>
      </c>
      <c r="F140" s="215" t="s">
        <v>469</v>
      </c>
      <c r="G140" s="242">
        <v>45831</v>
      </c>
      <c r="H140" s="242">
        <v>45837</v>
      </c>
      <c r="I140" s="243"/>
      <c r="J140" s="243">
        <v>45831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5">
        <v>13</v>
      </c>
      <c r="B141" s="276" t="s">
        <v>627</v>
      </c>
      <c r="C141" s="277" t="s">
        <v>683</v>
      </c>
      <c r="D141" s="278" t="s">
        <v>700</v>
      </c>
      <c r="E141" s="215" t="s">
        <v>701</v>
      </c>
      <c r="F141" s="215" t="s">
        <v>479</v>
      </c>
      <c r="G141" s="242">
        <v>45829</v>
      </c>
      <c r="H141" s="242">
        <v>45837</v>
      </c>
      <c r="I141" s="243"/>
      <c r="J141" s="243">
        <v>45829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s="297" customFormat="1" x14ac:dyDescent="0.3">
      <c r="A142" s="421"/>
      <c r="B142" s="224" t="s">
        <v>627</v>
      </c>
      <c r="C142" s="425" t="s">
        <v>683</v>
      </c>
      <c r="D142" s="428" t="s">
        <v>702</v>
      </c>
      <c r="E142" s="421" t="s">
        <v>703</v>
      </c>
      <c r="F142" s="421" t="s">
        <v>469</v>
      </c>
      <c r="G142" s="410">
        <v>45783</v>
      </c>
      <c r="H142" s="410">
        <f>L142</f>
        <v>45792</v>
      </c>
      <c r="I142" s="226"/>
      <c r="J142" s="226"/>
      <c r="K142" s="224" t="s">
        <v>470</v>
      </c>
      <c r="L142" s="225">
        <v>45792</v>
      </c>
      <c r="M142" s="225">
        <v>45813</v>
      </c>
      <c r="N142" s="224" t="s">
        <v>471</v>
      </c>
      <c r="O142" s="224">
        <f ca="1">O1-L142</f>
        <v>57</v>
      </c>
      <c r="P142" s="224"/>
      <c r="Q142" s="418">
        <f>M142</f>
        <v>45813</v>
      </c>
      <c r="R142" s="421" t="s">
        <v>495</v>
      </c>
      <c r="S142" s="421" t="str">
        <f>N143</f>
        <v>CAT - II</v>
      </c>
      <c r="T142" s="421" t="s">
        <v>399</v>
      </c>
      <c r="U142" s="224">
        <f ca="1">U1-L142</f>
        <v>57</v>
      </c>
    </row>
    <row r="143" spans="1:21" s="297" customFormat="1" x14ac:dyDescent="0.3">
      <c r="A143" s="422"/>
      <c r="B143" s="224"/>
      <c r="C143" s="426"/>
      <c r="D143" s="429"/>
      <c r="E143" s="422"/>
      <c r="F143" s="422"/>
      <c r="G143" s="411"/>
      <c r="H143" s="411"/>
      <c r="I143" s="226"/>
      <c r="J143" s="226"/>
      <c r="K143" s="224" t="s">
        <v>472</v>
      </c>
      <c r="L143" s="225">
        <v>45813</v>
      </c>
      <c r="M143" s="225">
        <v>45821</v>
      </c>
      <c r="N143" s="224" t="s">
        <v>494</v>
      </c>
      <c r="O143" s="224"/>
      <c r="P143" s="224"/>
      <c r="Q143" s="419"/>
      <c r="R143" s="422"/>
      <c r="S143" s="422"/>
      <c r="T143" s="422"/>
      <c r="U143" s="224"/>
    </row>
    <row r="144" spans="1:21" s="297" customFormat="1" x14ac:dyDescent="0.3">
      <c r="A144" s="423"/>
      <c r="B144" s="224"/>
      <c r="C144" s="427"/>
      <c r="D144" s="430"/>
      <c r="E144" s="423"/>
      <c r="F144" s="423"/>
      <c r="G144" s="412"/>
      <c r="H144" s="412"/>
      <c r="I144" s="226"/>
      <c r="J144" s="226"/>
      <c r="K144" s="224" t="s">
        <v>474</v>
      </c>
      <c r="L144" s="225">
        <v>45827</v>
      </c>
      <c r="M144" s="225">
        <v>45830</v>
      </c>
      <c r="N144" s="224" t="s">
        <v>485</v>
      </c>
      <c r="O144" s="224"/>
      <c r="P144" s="224"/>
      <c r="Q144" s="420"/>
      <c r="R144" s="423"/>
      <c r="S144" s="423"/>
      <c r="T144" s="423"/>
      <c r="U144" s="224"/>
    </row>
    <row r="145" spans="1:21" ht="28" x14ac:dyDescent="0.3">
      <c r="A145" s="276">
        <v>14</v>
      </c>
      <c r="B145" s="276" t="s">
        <v>627</v>
      </c>
      <c r="C145" s="277" t="s">
        <v>683</v>
      </c>
      <c r="D145" s="278" t="s">
        <v>704</v>
      </c>
      <c r="E145" s="215" t="s">
        <v>705</v>
      </c>
      <c r="F145" s="215" t="s">
        <v>469</v>
      </c>
      <c r="G145" s="242">
        <v>45783</v>
      </c>
      <c r="H145" s="242">
        <f>L145</f>
        <v>45791</v>
      </c>
      <c r="I145" s="243"/>
      <c r="J145" s="243"/>
      <c r="K145" s="215" t="s">
        <v>470</v>
      </c>
      <c r="L145" s="242">
        <v>45791</v>
      </c>
      <c r="M145" s="242"/>
      <c r="N145" s="215"/>
      <c r="O145" s="215">
        <f ca="1">O1-L145</f>
        <v>58</v>
      </c>
      <c r="P145" s="215"/>
      <c r="Q145" s="215"/>
      <c r="R145" s="215" t="s">
        <v>495</v>
      </c>
      <c r="S145" s="215"/>
      <c r="T145" s="215" t="s">
        <v>473</v>
      </c>
      <c r="U145" s="215">
        <f ca="1">U1-L145</f>
        <v>58</v>
      </c>
    </row>
    <row r="146" spans="1:21" s="297" customFormat="1" x14ac:dyDescent="0.3">
      <c r="A146" s="221">
        <v>15</v>
      </c>
      <c r="B146" s="414" t="s">
        <v>627</v>
      </c>
      <c r="C146" s="415" t="s">
        <v>683</v>
      </c>
      <c r="D146" s="416" t="s">
        <v>706</v>
      </c>
      <c r="E146" s="413" t="s">
        <v>707</v>
      </c>
      <c r="F146" s="413" t="s">
        <v>469</v>
      </c>
      <c r="G146" s="417">
        <v>45755</v>
      </c>
      <c r="H146" s="410">
        <f>L146</f>
        <v>45755</v>
      </c>
      <c r="I146" s="226"/>
      <c r="J146" s="226"/>
      <c r="K146" s="224" t="s">
        <v>470</v>
      </c>
      <c r="L146" s="225">
        <v>45755</v>
      </c>
      <c r="M146" s="225">
        <v>45770</v>
      </c>
      <c r="N146" s="224" t="s">
        <v>471</v>
      </c>
      <c r="O146" s="224">
        <f t="shared" ref="O146:O151" si="2">M146-L146</f>
        <v>15</v>
      </c>
      <c r="P146" s="224">
        <f>L148-M146</f>
        <v>55</v>
      </c>
      <c r="Q146" s="413"/>
      <c r="R146" s="413" t="s">
        <v>495</v>
      </c>
      <c r="S146" s="413" t="str">
        <f>N148</f>
        <v>CAT - I</v>
      </c>
      <c r="T146" s="413" t="s">
        <v>399</v>
      </c>
      <c r="U146" s="413">
        <f ca="1">U1-L148</f>
        <v>24</v>
      </c>
    </row>
    <row r="147" spans="1:21" s="297" customFormat="1" x14ac:dyDescent="0.3">
      <c r="A147" s="221">
        <v>1</v>
      </c>
      <c r="B147" s="414"/>
      <c r="C147" s="415"/>
      <c r="D147" s="416"/>
      <c r="E147" s="413"/>
      <c r="F147" s="413"/>
      <c r="G147" s="417"/>
      <c r="H147" s="411"/>
      <c r="I147" s="226"/>
      <c r="J147" s="226"/>
      <c r="K147" s="224" t="s">
        <v>472</v>
      </c>
      <c r="L147" s="225">
        <v>45788</v>
      </c>
      <c r="M147" s="225">
        <v>45809</v>
      </c>
      <c r="N147" s="224" t="s">
        <v>471</v>
      </c>
      <c r="O147" s="224">
        <f t="shared" si="2"/>
        <v>21</v>
      </c>
      <c r="P147" s="224">
        <f>L148-M147</f>
        <v>16</v>
      </c>
      <c r="Q147" s="413"/>
      <c r="R147" s="413"/>
      <c r="S147" s="413"/>
      <c r="T147" s="413"/>
      <c r="U147" s="413"/>
    </row>
    <row r="148" spans="1:21" s="297" customFormat="1" x14ac:dyDescent="0.3">
      <c r="A148" s="221">
        <v>1</v>
      </c>
      <c r="B148" s="414"/>
      <c r="C148" s="415"/>
      <c r="D148" s="416"/>
      <c r="E148" s="413"/>
      <c r="F148" s="413"/>
      <c r="G148" s="417"/>
      <c r="H148" s="412"/>
      <c r="I148" s="226"/>
      <c r="J148" s="226"/>
      <c r="K148" s="224" t="s">
        <v>472</v>
      </c>
      <c r="L148" s="225">
        <v>45825</v>
      </c>
      <c r="M148" s="225">
        <v>45830</v>
      </c>
      <c r="N148" s="224" t="s">
        <v>485</v>
      </c>
      <c r="O148" s="224">
        <f t="shared" si="2"/>
        <v>5</v>
      </c>
      <c r="P148" s="224">
        <f ca="1">O1-M148</f>
        <v>19</v>
      </c>
      <c r="Q148" s="413"/>
      <c r="R148" s="413"/>
      <c r="S148" s="413"/>
      <c r="T148" s="413"/>
      <c r="U148" s="413"/>
    </row>
    <row r="149" spans="1:21" s="297" customFormat="1" x14ac:dyDescent="0.3">
      <c r="A149" s="221">
        <v>2</v>
      </c>
      <c r="B149" s="414" t="s">
        <v>627</v>
      </c>
      <c r="C149" s="415" t="s">
        <v>683</v>
      </c>
      <c r="D149" s="416" t="s">
        <v>396</v>
      </c>
      <c r="E149" s="413" t="s">
        <v>708</v>
      </c>
      <c r="F149" s="413" t="s">
        <v>469</v>
      </c>
      <c r="G149" s="417">
        <v>45755</v>
      </c>
      <c r="H149" s="410">
        <f>L149</f>
        <v>45755</v>
      </c>
      <c r="I149" s="226"/>
      <c r="J149" s="226"/>
      <c r="K149" s="224" t="s">
        <v>470</v>
      </c>
      <c r="L149" s="225">
        <v>45755</v>
      </c>
      <c r="M149" s="225">
        <v>45770</v>
      </c>
      <c r="N149" s="224" t="s">
        <v>471</v>
      </c>
      <c r="O149" s="224">
        <f t="shared" si="2"/>
        <v>15</v>
      </c>
      <c r="P149" s="224">
        <f>L151-M149</f>
        <v>55</v>
      </c>
      <c r="Q149" s="413"/>
      <c r="R149" s="413" t="s">
        <v>495</v>
      </c>
      <c r="S149" s="413" t="str">
        <f>N151</f>
        <v>CAT - I</v>
      </c>
      <c r="T149" s="413" t="s">
        <v>399</v>
      </c>
      <c r="U149" s="413">
        <f ca="1">U1-L151</f>
        <v>24</v>
      </c>
    </row>
    <row r="150" spans="1:21" s="297" customFormat="1" x14ac:dyDescent="0.3">
      <c r="A150" s="221">
        <v>3</v>
      </c>
      <c r="B150" s="414"/>
      <c r="C150" s="415"/>
      <c r="D150" s="416"/>
      <c r="E150" s="413"/>
      <c r="F150" s="413"/>
      <c r="G150" s="417"/>
      <c r="H150" s="411"/>
      <c r="I150" s="226"/>
      <c r="J150" s="226"/>
      <c r="K150" s="224" t="s">
        <v>472</v>
      </c>
      <c r="L150" s="225">
        <v>45787</v>
      </c>
      <c r="M150" s="225">
        <v>45809</v>
      </c>
      <c r="N150" s="224" t="s">
        <v>471</v>
      </c>
      <c r="O150" s="224">
        <f t="shared" si="2"/>
        <v>22</v>
      </c>
      <c r="P150" s="224">
        <f>L151-M150</f>
        <v>16</v>
      </c>
      <c r="Q150" s="413"/>
      <c r="R150" s="413"/>
      <c r="S150" s="413"/>
      <c r="T150" s="413"/>
      <c r="U150" s="413"/>
    </row>
    <row r="151" spans="1:21" s="297" customFormat="1" x14ac:dyDescent="0.3">
      <c r="A151" s="221">
        <v>3</v>
      </c>
      <c r="B151" s="414"/>
      <c r="C151" s="415"/>
      <c r="D151" s="416"/>
      <c r="E151" s="413"/>
      <c r="F151" s="413"/>
      <c r="G151" s="417"/>
      <c r="H151" s="412"/>
      <c r="I151" s="226"/>
      <c r="J151" s="226"/>
      <c r="K151" s="224" t="s">
        <v>474</v>
      </c>
      <c r="L151" s="225">
        <v>45825</v>
      </c>
      <c r="M151" s="225">
        <v>45830</v>
      </c>
      <c r="N151" s="224" t="s">
        <v>485</v>
      </c>
      <c r="O151" s="224">
        <f t="shared" si="2"/>
        <v>5</v>
      </c>
      <c r="P151" s="224"/>
      <c r="Q151" s="413"/>
      <c r="R151" s="413"/>
      <c r="S151" s="413"/>
      <c r="T151" s="413"/>
      <c r="U151" s="413"/>
    </row>
    <row r="152" spans="1:21" ht="28" x14ac:dyDescent="0.3">
      <c r="A152" s="276">
        <v>4</v>
      </c>
      <c r="B152" s="276" t="s">
        <v>627</v>
      </c>
      <c r="C152" s="277" t="s">
        <v>683</v>
      </c>
      <c r="D152" s="278" t="s">
        <v>709</v>
      </c>
      <c r="E152" s="215" t="s">
        <v>710</v>
      </c>
      <c r="F152" s="215" t="s">
        <v>479</v>
      </c>
      <c r="G152" s="242">
        <v>45807</v>
      </c>
      <c r="H152" s="234">
        <v>45835</v>
      </c>
      <c r="I152" s="243"/>
      <c r="J152" s="243">
        <v>45807</v>
      </c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5</v>
      </c>
      <c r="B153" s="276" t="s">
        <v>627</v>
      </c>
      <c r="C153" s="277" t="s">
        <v>683</v>
      </c>
      <c r="D153" s="278" t="s">
        <v>711</v>
      </c>
      <c r="E153" s="215" t="s">
        <v>712</v>
      </c>
      <c r="F153" s="215" t="s">
        <v>479</v>
      </c>
      <c r="G153" s="242">
        <v>45845</v>
      </c>
      <c r="H153" s="234">
        <f>G153</f>
        <v>45845</v>
      </c>
      <c r="I153" s="243"/>
      <c r="J153" s="243">
        <v>45845</v>
      </c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6</v>
      </c>
      <c r="B154" s="276" t="s">
        <v>713</v>
      </c>
      <c r="C154" s="277" t="s">
        <v>714</v>
      </c>
      <c r="D154" s="278" t="s">
        <v>715</v>
      </c>
      <c r="E154" s="215" t="s">
        <v>716</v>
      </c>
      <c r="F154" s="215" t="s">
        <v>469</v>
      </c>
      <c r="G154" s="243">
        <v>45803</v>
      </c>
      <c r="H154" s="243">
        <f>L154</f>
        <v>45804</v>
      </c>
      <c r="I154" s="279"/>
      <c r="J154" s="243"/>
      <c r="K154" s="215" t="s">
        <v>470</v>
      </c>
      <c r="L154" s="242">
        <v>45804</v>
      </c>
      <c r="M154" s="242">
        <v>45824</v>
      </c>
      <c r="N154" s="215" t="s">
        <v>471</v>
      </c>
      <c r="O154" s="215">
        <f ca="1">O1-L154</f>
        <v>45</v>
      </c>
      <c r="P154" s="215"/>
      <c r="Q154" s="215"/>
      <c r="R154" s="215" t="s">
        <v>502</v>
      </c>
      <c r="S154" s="215" t="str">
        <f>N154</f>
        <v>CAT - III</v>
      </c>
      <c r="T154" s="215" t="s">
        <v>476</v>
      </c>
      <c r="U154" s="215">
        <f ca="1">U1-L154</f>
        <v>45</v>
      </c>
    </row>
    <row r="155" spans="1:21" ht="28" x14ac:dyDescent="0.3">
      <c r="A155" s="276"/>
      <c r="B155" s="276"/>
      <c r="C155" s="277" t="s">
        <v>714</v>
      </c>
      <c r="D155" s="278" t="s">
        <v>717</v>
      </c>
      <c r="E155" s="215" t="s">
        <v>718</v>
      </c>
      <c r="F155" s="215" t="s">
        <v>469</v>
      </c>
      <c r="G155" s="243">
        <v>45817</v>
      </c>
      <c r="H155" s="243">
        <f>L155</f>
        <v>45813</v>
      </c>
      <c r="I155" s="279"/>
      <c r="J155" s="243"/>
      <c r="K155" s="215" t="s">
        <v>470</v>
      </c>
      <c r="L155" s="242">
        <v>45813</v>
      </c>
      <c r="M155" s="242"/>
      <c r="N155" s="215"/>
      <c r="O155" s="215"/>
      <c r="P155" s="215"/>
      <c r="Q155" s="215"/>
      <c r="R155" s="215" t="s">
        <v>495</v>
      </c>
      <c r="S155" s="215"/>
      <c r="T155" s="215" t="s">
        <v>473</v>
      </c>
      <c r="U155" s="215"/>
    </row>
    <row r="156" spans="1:21" ht="28" x14ac:dyDescent="0.3">
      <c r="A156" s="276">
        <v>7</v>
      </c>
      <c r="B156" s="276" t="s">
        <v>713</v>
      </c>
      <c r="C156" s="277" t="s">
        <v>714</v>
      </c>
      <c r="D156" s="278" t="s">
        <v>719</v>
      </c>
      <c r="E156" s="215" t="s">
        <v>720</v>
      </c>
      <c r="F156" s="215" t="s">
        <v>469</v>
      </c>
      <c r="G156" s="243">
        <v>45816</v>
      </c>
      <c r="H156" s="243">
        <v>45835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8</v>
      </c>
      <c r="B157" s="276" t="s">
        <v>713</v>
      </c>
      <c r="C157" s="277" t="s">
        <v>714</v>
      </c>
      <c r="D157" s="278" t="s">
        <v>721</v>
      </c>
      <c r="E157" s="215" t="s">
        <v>722</v>
      </c>
      <c r="F157" s="215" t="s">
        <v>469</v>
      </c>
      <c r="G157" s="243">
        <v>45805</v>
      </c>
      <c r="H157" s="243">
        <v>45817</v>
      </c>
      <c r="I157" s="243" t="s">
        <v>389</v>
      </c>
      <c r="J157" s="243"/>
      <c r="K157" s="215" t="s">
        <v>470</v>
      </c>
      <c r="L157" s="242">
        <v>45817</v>
      </c>
      <c r="M157" s="242"/>
      <c r="N157" s="215"/>
      <c r="O157" s="215"/>
      <c r="P157" s="215"/>
      <c r="Q157" s="215"/>
      <c r="R157" s="215" t="s">
        <v>495</v>
      </c>
      <c r="S157" s="215"/>
      <c r="T157" s="215" t="s">
        <v>473</v>
      </c>
      <c r="U157" s="215"/>
    </row>
    <row r="158" spans="1:21" ht="28" x14ac:dyDescent="0.3">
      <c r="A158" s="276">
        <v>9</v>
      </c>
      <c r="B158" s="276" t="s">
        <v>713</v>
      </c>
      <c r="C158" s="277" t="s">
        <v>714</v>
      </c>
      <c r="D158" s="278" t="s">
        <v>723</v>
      </c>
      <c r="E158" s="215" t="s">
        <v>724</v>
      </c>
      <c r="F158" s="215" t="s">
        <v>469</v>
      </c>
      <c r="G158" s="243">
        <v>45805</v>
      </c>
      <c r="H158" s="243">
        <v>45817</v>
      </c>
      <c r="I158" s="243" t="s">
        <v>389</v>
      </c>
      <c r="J158" s="243"/>
      <c r="K158" s="215" t="s">
        <v>470</v>
      </c>
      <c r="L158" s="242">
        <v>45817</v>
      </c>
      <c r="M158" s="242"/>
      <c r="N158" s="215"/>
      <c r="O158" s="215"/>
      <c r="P158" s="215"/>
      <c r="Q158" s="215"/>
      <c r="R158" s="215" t="s">
        <v>495</v>
      </c>
      <c r="S158" s="215"/>
      <c r="T158" s="215" t="s">
        <v>473</v>
      </c>
      <c r="U158" s="215"/>
    </row>
    <row r="159" spans="1:21" ht="28" x14ac:dyDescent="0.3">
      <c r="A159" s="276">
        <v>10</v>
      </c>
      <c r="B159" s="276" t="s">
        <v>713</v>
      </c>
      <c r="C159" s="277" t="s">
        <v>714</v>
      </c>
      <c r="D159" s="278" t="s">
        <v>725</v>
      </c>
      <c r="E159" s="215" t="s">
        <v>726</v>
      </c>
      <c r="F159" s="215" t="s">
        <v>469</v>
      </c>
      <c r="G159" s="243">
        <v>45820</v>
      </c>
      <c r="H159" s="243">
        <v>45838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11</v>
      </c>
      <c r="B160" s="276" t="s">
        <v>713</v>
      </c>
      <c r="C160" s="277" t="s">
        <v>714</v>
      </c>
      <c r="D160" s="278" t="s">
        <v>727</v>
      </c>
      <c r="E160" s="215" t="s">
        <v>728</v>
      </c>
      <c r="F160" s="215" t="s">
        <v>469</v>
      </c>
      <c r="G160" s="243">
        <v>45814</v>
      </c>
      <c r="H160" s="243">
        <v>45838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12</v>
      </c>
      <c r="B161" s="276" t="s">
        <v>713</v>
      </c>
      <c r="C161" s="277" t="s">
        <v>714</v>
      </c>
      <c r="D161" s="278" t="s">
        <v>729</v>
      </c>
      <c r="E161" s="215" t="s">
        <v>730</v>
      </c>
      <c r="F161" s="215" t="s">
        <v>469</v>
      </c>
      <c r="G161" s="243">
        <f>[2]Sheet4!E50</f>
        <v>45870</v>
      </c>
      <c r="H161" s="235">
        <f>G161</f>
        <v>45870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13</v>
      </c>
      <c r="B162" s="276" t="s">
        <v>713</v>
      </c>
      <c r="C162" s="277" t="s">
        <v>714</v>
      </c>
      <c r="D162" s="278" t="s">
        <v>731</v>
      </c>
      <c r="E162" s="215" t="s">
        <v>732</v>
      </c>
      <c r="F162" s="215" t="s">
        <v>469</v>
      </c>
      <c r="G162" s="243">
        <f>[2]Sheet4!E51</f>
        <v>45845</v>
      </c>
      <c r="H162" s="235">
        <f>G162</f>
        <v>45845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14</v>
      </c>
      <c r="B163" s="276" t="s">
        <v>713</v>
      </c>
      <c r="C163" s="277" t="s">
        <v>714</v>
      </c>
      <c r="D163" s="278" t="s">
        <v>733</v>
      </c>
      <c r="E163" s="215" t="s">
        <v>734</v>
      </c>
      <c r="F163" s="215" t="s">
        <v>469</v>
      </c>
      <c r="G163" s="243">
        <v>45788</v>
      </c>
      <c r="H163" s="243">
        <v>45824</v>
      </c>
      <c r="I163" s="243" t="s">
        <v>389</v>
      </c>
      <c r="J163" s="243">
        <v>45814</v>
      </c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15</v>
      </c>
      <c r="B164" s="276" t="s">
        <v>713</v>
      </c>
      <c r="C164" s="277" t="s">
        <v>714</v>
      </c>
      <c r="D164" s="278" t="s">
        <v>735</v>
      </c>
      <c r="E164" s="215" t="s">
        <v>736</v>
      </c>
      <c r="F164" s="215" t="s">
        <v>469</v>
      </c>
      <c r="G164" s="243">
        <f>[2]Sheet4!E53</f>
        <v>45865</v>
      </c>
      <c r="H164" s="235">
        <f t="shared" ref="H164:H186" si="3">G164</f>
        <v>45865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16</v>
      </c>
      <c r="B165" s="276" t="s">
        <v>713</v>
      </c>
      <c r="C165" s="277" t="s">
        <v>714</v>
      </c>
      <c r="D165" s="278" t="s">
        <v>737</v>
      </c>
      <c r="E165" s="215" t="s">
        <v>738</v>
      </c>
      <c r="F165" s="215" t="s">
        <v>469</v>
      </c>
      <c r="G165" s="243">
        <f>[2]Sheet4!E54</f>
        <v>45843</v>
      </c>
      <c r="H165" s="235">
        <f t="shared" si="3"/>
        <v>45843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17</v>
      </c>
      <c r="B166" s="276" t="s">
        <v>713</v>
      </c>
      <c r="C166" s="277" t="s">
        <v>714</v>
      </c>
      <c r="D166" s="278" t="s">
        <v>739</v>
      </c>
      <c r="E166" s="215" t="s">
        <v>740</v>
      </c>
      <c r="F166" s="215" t="s">
        <v>469</v>
      </c>
      <c r="G166" s="243">
        <f>[2]Sheet4!E55</f>
        <v>45840</v>
      </c>
      <c r="H166" s="235">
        <f t="shared" si="3"/>
        <v>45840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28" x14ac:dyDescent="0.3">
      <c r="A167" s="276">
        <v>18</v>
      </c>
      <c r="B167" s="276" t="s">
        <v>713</v>
      </c>
      <c r="C167" s="277" t="s">
        <v>714</v>
      </c>
      <c r="D167" s="278" t="s">
        <v>741</v>
      </c>
      <c r="E167" s="215" t="s">
        <v>742</v>
      </c>
      <c r="F167" s="215" t="s">
        <v>469</v>
      </c>
      <c r="G167" s="243">
        <f>[2]Sheet4!E56</f>
        <v>45822</v>
      </c>
      <c r="H167" s="235">
        <v>45835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19</v>
      </c>
      <c r="B168" s="276" t="s">
        <v>713</v>
      </c>
      <c r="C168" s="277" t="s">
        <v>714</v>
      </c>
      <c r="D168" s="278" t="s">
        <v>743</v>
      </c>
      <c r="E168" s="215" t="s">
        <v>744</v>
      </c>
      <c r="F168" s="215" t="s">
        <v>479</v>
      </c>
      <c r="G168" s="243">
        <f>[2]Sheet4!E57</f>
        <v>45840</v>
      </c>
      <c r="H168" s="235">
        <f t="shared" si="3"/>
        <v>45840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20</v>
      </c>
      <c r="B169" s="276" t="s">
        <v>713</v>
      </c>
      <c r="C169" s="277" t="s">
        <v>714</v>
      </c>
      <c r="D169" s="278" t="s">
        <v>745</v>
      </c>
      <c r="E169" s="215" t="s">
        <v>746</v>
      </c>
      <c r="F169" s="215" t="s">
        <v>479</v>
      </c>
      <c r="G169" s="243">
        <f>[2]Sheet4!E58</f>
        <v>45847</v>
      </c>
      <c r="H169" s="235">
        <f t="shared" si="3"/>
        <v>45847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21</v>
      </c>
      <c r="B170" s="276" t="s">
        <v>713</v>
      </c>
      <c r="C170" s="277" t="s">
        <v>714</v>
      </c>
      <c r="D170" s="278" t="s">
        <v>747</v>
      </c>
      <c r="E170" s="215" t="s">
        <v>748</v>
      </c>
      <c r="F170" s="215" t="s">
        <v>469</v>
      </c>
      <c r="G170" s="243">
        <f>[2]Sheet4!E59</f>
        <v>45894</v>
      </c>
      <c r="H170" s="235">
        <f t="shared" si="3"/>
        <v>45894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22</v>
      </c>
      <c r="B171" s="276" t="s">
        <v>713</v>
      </c>
      <c r="C171" s="277" t="s">
        <v>714</v>
      </c>
      <c r="D171" s="278" t="s">
        <v>749</v>
      </c>
      <c r="E171" s="215" t="s">
        <v>750</v>
      </c>
      <c r="F171" s="215" t="s">
        <v>479</v>
      </c>
      <c r="G171" s="243">
        <f>[2]Sheet4!E60</f>
        <v>45813</v>
      </c>
      <c r="H171" s="235">
        <v>45836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v>23</v>
      </c>
      <c r="B172" s="276" t="s">
        <v>713</v>
      </c>
      <c r="C172" s="277" t="s">
        <v>714</v>
      </c>
      <c r="D172" s="278" t="s">
        <v>751</v>
      </c>
      <c r="E172" s="215" t="s">
        <v>752</v>
      </c>
      <c r="F172" s="215" t="s">
        <v>469</v>
      </c>
      <c r="G172" s="243">
        <f>[2]Sheet4!E61</f>
        <v>45858</v>
      </c>
      <c r="H172" s="235">
        <f t="shared" si="3"/>
        <v>45858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v>24</v>
      </c>
      <c r="B173" s="276" t="s">
        <v>713</v>
      </c>
      <c r="C173" s="277" t="s">
        <v>714</v>
      </c>
      <c r="D173" s="278" t="s">
        <v>753</v>
      </c>
      <c r="E173" s="215" t="s">
        <v>754</v>
      </c>
      <c r="F173" s="215" t="s">
        <v>479</v>
      </c>
      <c r="G173" s="243">
        <f>[2]Sheet4!E62</f>
        <v>45834</v>
      </c>
      <c r="H173" s="235">
        <f t="shared" si="3"/>
        <v>45834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v>25</v>
      </c>
      <c r="B174" s="276" t="s">
        <v>713</v>
      </c>
      <c r="C174" s="277" t="s">
        <v>714</v>
      </c>
      <c r="D174" s="278" t="s">
        <v>755</v>
      </c>
      <c r="E174" s="215" t="s">
        <v>756</v>
      </c>
      <c r="F174" s="215" t="s">
        <v>469</v>
      </c>
      <c r="G174" s="243">
        <f>[2]Sheet4!E63</f>
        <v>45840</v>
      </c>
      <c r="H174" s="235">
        <f t="shared" si="3"/>
        <v>45840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v>26</v>
      </c>
      <c r="B175" s="276" t="s">
        <v>713</v>
      </c>
      <c r="C175" s="277" t="s">
        <v>714</v>
      </c>
      <c r="D175" s="278" t="s">
        <v>757</v>
      </c>
      <c r="E175" s="215" t="s">
        <v>758</v>
      </c>
      <c r="F175" s="215" t="s">
        <v>479</v>
      </c>
      <c r="G175" s="243">
        <f>[2]Sheet4!E64</f>
        <v>45962</v>
      </c>
      <c r="H175" s="235">
        <f t="shared" si="3"/>
        <v>45962</v>
      </c>
      <c r="I175" s="243" t="s">
        <v>389</v>
      </c>
      <c r="J175" s="243"/>
      <c r="K175" s="215"/>
      <c r="L175" s="242"/>
      <c r="M175" s="242"/>
      <c r="N175" s="215"/>
      <c r="O175" s="215"/>
      <c r="P175" s="215"/>
      <c r="Q175" s="215"/>
      <c r="R175" s="215"/>
      <c r="S175" s="215"/>
      <c r="T175" s="215"/>
      <c r="U175" s="215"/>
    </row>
    <row r="176" spans="1:21" ht="28" x14ac:dyDescent="0.3">
      <c r="A176" s="276">
        <v>27</v>
      </c>
      <c r="B176" s="276" t="s">
        <v>713</v>
      </c>
      <c r="C176" s="277" t="s">
        <v>714</v>
      </c>
      <c r="D176" s="278" t="s">
        <v>759</v>
      </c>
      <c r="E176" s="215" t="s">
        <v>760</v>
      </c>
      <c r="F176" s="215" t="s">
        <v>469</v>
      </c>
      <c r="G176" s="243">
        <f>[2]Sheet4!E65</f>
        <v>45826</v>
      </c>
      <c r="H176" s="235">
        <v>45838</v>
      </c>
      <c r="I176" s="243" t="s">
        <v>389</v>
      </c>
      <c r="J176" s="243"/>
      <c r="K176" s="215"/>
      <c r="L176" s="242"/>
      <c r="M176" s="242"/>
      <c r="N176" s="215"/>
      <c r="O176" s="215"/>
      <c r="P176" s="215"/>
      <c r="Q176" s="215"/>
      <c r="R176" s="215"/>
      <c r="S176" s="215"/>
      <c r="T176" s="215"/>
      <c r="U176" s="215"/>
    </row>
    <row r="177" spans="1:21" ht="28" x14ac:dyDescent="0.3">
      <c r="A177" s="276">
        <v>28</v>
      </c>
      <c r="B177" s="276" t="s">
        <v>713</v>
      </c>
      <c r="C177" s="277" t="s">
        <v>714</v>
      </c>
      <c r="D177" s="278" t="s">
        <v>761</v>
      </c>
      <c r="E177" s="215" t="s">
        <v>762</v>
      </c>
      <c r="F177" s="215" t="s">
        <v>479</v>
      </c>
      <c r="G177" s="243">
        <f>[2]Sheet4!E66</f>
        <v>45853</v>
      </c>
      <c r="H177" s="235">
        <f t="shared" si="3"/>
        <v>45853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ht="28" x14ac:dyDescent="0.3">
      <c r="A178" s="276">
        <v>29</v>
      </c>
      <c r="B178" s="276" t="s">
        <v>713</v>
      </c>
      <c r="C178" s="277" t="s">
        <v>714</v>
      </c>
      <c r="D178" s="278" t="s">
        <v>763</v>
      </c>
      <c r="E178" s="215" t="s">
        <v>764</v>
      </c>
      <c r="F178" s="215" t="s">
        <v>479</v>
      </c>
      <c r="G178" s="243" t="str">
        <f>[2]Sheet4!E67</f>
        <v>Done</v>
      </c>
      <c r="H178" s="235" t="str">
        <f t="shared" si="3"/>
        <v>Done</v>
      </c>
      <c r="I178" s="243" t="s">
        <v>389</v>
      </c>
      <c r="J178" s="243"/>
      <c r="K178" s="215"/>
      <c r="L178" s="242"/>
      <c r="M178" s="242"/>
      <c r="N178" s="215"/>
      <c r="O178" s="215"/>
      <c r="P178" s="215"/>
      <c r="Q178" s="215"/>
      <c r="R178" s="215"/>
      <c r="S178" s="215"/>
      <c r="T178" s="215"/>
      <c r="U178" s="215"/>
    </row>
    <row r="179" spans="1:21" ht="70" x14ac:dyDescent="0.3">
      <c r="A179" s="276">
        <v>30</v>
      </c>
      <c r="B179" s="276" t="s">
        <v>713</v>
      </c>
      <c r="C179" s="277" t="s">
        <v>714</v>
      </c>
      <c r="D179" s="278" t="s">
        <v>765</v>
      </c>
      <c r="E179" s="215" t="s">
        <v>766</v>
      </c>
      <c r="F179" s="215" t="s">
        <v>479</v>
      </c>
      <c r="G179" s="243">
        <v>45900</v>
      </c>
      <c r="H179" s="235">
        <f t="shared" si="3"/>
        <v>45900</v>
      </c>
      <c r="I179" s="243" t="s">
        <v>389</v>
      </c>
      <c r="J179" s="243"/>
      <c r="K179" s="215"/>
      <c r="L179" s="242"/>
      <c r="M179" s="242"/>
      <c r="N179" s="215"/>
      <c r="O179" s="215"/>
      <c r="P179" s="215"/>
      <c r="Q179" s="215"/>
      <c r="R179" s="215"/>
      <c r="S179" s="215"/>
      <c r="T179" s="215"/>
      <c r="U179" s="215"/>
    </row>
    <row r="180" spans="1:21" ht="28" x14ac:dyDescent="0.3">
      <c r="A180" s="276">
        <v>31</v>
      </c>
      <c r="B180" s="276" t="s">
        <v>713</v>
      </c>
      <c r="C180" s="277" t="s">
        <v>714</v>
      </c>
      <c r="D180" s="278" t="s">
        <v>767</v>
      </c>
      <c r="E180" s="215" t="s">
        <v>768</v>
      </c>
      <c r="F180" s="215" t="s">
        <v>469</v>
      </c>
      <c r="G180" s="243">
        <f>[2]Sheet4!E69</f>
        <v>45834</v>
      </c>
      <c r="H180" s="235">
        <f t="shared" si="3"/>
        <v>45834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ht="28" x14ac:dyDescent="0.3">
      <c r="A181" s="276">
        <v>32</v>
      </c>
      <c r="B181" s="276" t="s">
        <v>713</v>
      </c>
      <c r="C181" s="277" t="s">
        <v>714</v>
      </c>
      <c r="D181" s="278" t="s">
        <v>769</v>
      </c>
      <c r="E181" s="215" t="s">
        <v>770</v>
      </c>
      <c r="F181" s="215" t="s">
        <v>469</v>
      </c>
      <c r="G181" s="243">
        <f>[2]Sheet4!E70</f>
        <v>45814</v>
      </c>
      <c r="H181" s="235">
        <v>45838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ht="28" x14ac:dyDescent="0.3">
      <c r="A182" s="276">
        <v>33</v>
      </c>
      <c r="B182" s="276" t="s">
        <v>713</v>
      </c>
      <c r="C182" s="277" t="s">
        <v>714</v>
      </c>
      <c r="D182" s="278" t="s">
        <v>771</v>
      </c>
      <c r="E182" s="215" t="s">
        <v>772</v>
      </c>
      <c r="F182" s="215" t="s">
        <v>469</v>
      </c>
      <c r="G182" s="243">
        <f>[2]Sheet4!E71</f>
        <v>45814</v>
      </c>
      <c r="H182" s="235">
        <v>45838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ht="28" x14ac:dyDescent="0.3">
      <c r="A183" s="276">
        <v>1</v>
      </c>
      <c r="B183" s="276" t="s">
        <v>713</v>
      </c>
      <c r="C183" s="277" t="s">
        <v>714</v>
      </c>
      <c r="D183" s="278" t="s">
        <v>773</v>
      </c>
      <c r="E183" s="215" t="s">
        <v>774</v>
      </c>
      <c r="F183" s="215" t="s">
        <v>469</v>
      </c>
      <c r="G183" s="243">
        <f>[2]Sheet4!E72</f>
        <v>45826</v>
      </c>
      <c r="H183" s="235">
        <v>45838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ht="28" x14ac:dyDescent="0.3">
      <c r="A184" s="276">
        <f t="shared" ref="A184:A213" si="4">A183+1</f>
        <v>2</v>
      </c>
      <c r="B184" s="276" t="s">
        <v>713</v>
      </c>
      <c r="C184" s="277" t="s">
        <v>714</v>
      </c>
      <c r="D184" s="278" t="s">
        <v>775</v>
      </c>
      <c r="E184" s="215" t="s">
        <v>776</v>
      </c>
      <c r="F184" s="215" t="s">
        <v>469</v>
      </c>
      <c r="G184" s="243">
        <f>[2]Sheet4!E73</f>
        <v>45834</v>
      </c>
      <c r="H184" s="235">
        <v>45838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ht="28" x14ac:dyDescent="0.3">
      <c r="A185" s="276">
        <f t="shared" si="4"/>
        <v>3</v>
      </c>
      <c r="B185" s="276" t="s">
        <v>713</v>
      </c>
      <c r="C185" s="277" t="s">
        <v>714</v>
      </c>
      <c r="D185" s="278" t="s">
        <v>777</v>
      </c>
      <c r="E185" s="215" t="s">
        <v>778</v>
      </c>
      <c r="F185" s="215" t="s">
        <v>469</v>
      </c>
      <c r="G185" s="243">
        <f>[2]Sheet4!E74</f>
        <v>45848</v>
      </c>
      <c r="H185" s="235">
        <f t="shared" si="3"/>
        <v>45848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ht="28" x14ac:dyDescent="0.3">
      <c r="A186" s="276">
        <f t="shared" si="4"/>
        <v>4</v>
      </c>
      <c r="B186" s="276" t="s">
        <v>713</v>
      </c>
      <c r="C186" s="277" t="s">
        <v>714</v>
      </c>
      <c r="D186" s="278" t="s">
        <v>779</v>
      </c>
      <c r="E186" s="215" t="s">
        <v>780</v>
      </c>
      <c r="F186" s="215" t="s">
        <v>469</v>
      </c>
      <c r="G186" s="243">
        <v>45868</v>
      </c>
      <c r="H186" s="235">
        <f t="shared" si="3"/>
        <v>45868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ht="30" customHeight="1" x14ac:dyDescent="0.3">
      <c r="A187" s="402">
        <f t="shared" si="4"/>
        <v>5</v>
      </c>
      <c r="B187" s="276" t="s">
        <v>713</v>
      </c>
      <c r="C187" s="404" t="s">
        <v>714</v>
      </c>
      <c r="D187" s="408" t="s">
        <v>781</v>
      </c>
      <c r="E187" s="391" t="s">
        <v>782</v>
      </c>
      <c r="F187" s="391" t="s">
        <v>469</v>
      </c>
      <c r="G187" s="398">
        <v>45797</v>
      </c>
      <c r="H187" s="398">
        <v>45836</v>
      </c>
      <c r="I187" s="243" t="s">
        <v>389</v>
      </c>
      <c r="J187" s="243"/>
      <c r="K187" s="215" t="s">
        <v>470</v>
      </c>
      <c r="L187" s="242">
        <v>45790</v>
      </c>
      <c r="M187" s="242">
        <v>45812</v>
      </c>
      <c r="N187" s="215" t="s">
        <v>471</v>
      </c>
      <c r="O187" s="215">
        <f>M187-L187</f>
        <v>22</v>
      </c>
      <c r="P187" s="215">
        <f ca="1">O1-M187</f>
        <v>37</v>
      </c>
      <c r="Q187" s="391"/>
      <c r="R187" s="391" t="s">
        <v>495</v>
      </c>
      <c r="S187" s="391" t="str">
        <f>N187</f>
        <v>CAT - III</v>
      </c>
      <c r="T187" s="391" t="s">
        <v>473</v>
      </c>
      <c r="U187" s="391">
        <f ca="1">U1-L187</f>
        <v>59</v>
      </c>
    </row>
    <row r="188" spans="1:21" x14ac:dyDescent="0.3">
      <c r="A188" s="403"/>
      <c r="B188" s="276"/>
      <c r="C188" s="405"/>
      <c r="D188" s="409"/>
      <c r="E188" s="392"/>
      <c r="F188" s="392"/>
      <c r="G188" s="399"/>
      <c r="H188" s="399"/>
      <c r="I188" s="243"/>
      <c r="J188" s="243"/>
      <c r="K188" s="215" t="s">
        <v>472</v>
      </c>
      <c r="L188" s="242">
        <v>45824</v>
      </c>
      <c r="M188" s="242"/>
      <c r="N188" s="215"/>
      <c r="O188" s="215"/>
      <c r="P188" s="215"/>
      <c r="Q188" s="392"/>
      <c r="R188" s="392"/>
      <c r="S188" s="392"/>
      <c r="T188" s="392"/>
      <c r="U188" s="392"/>
    </row>
    <row r="189" spans="1:21" x14ac:dyDescent="0.3">
      <c r="A189" s="276">
        <f>A187+1</f>
        <v>6</v>
      </c>
      <c r="B189" s="276" t="s">
        <v>713</v>
      </c>
      <c r="C189" s="277" t="s">
        <v>783</v>
      </c>
      <c r="D189" s="278" t="s">
        <v>784</v>
      </c>
      <c r="E189" s="215" t="s">
        <v>785</v>
      </c>
      <c r="F189" s="215" t="s">
        <v>469</v>
      </c>
      <c r="G189" s="243">
        <f>[2]Sheet4!E77</f>
        <v>45826</v>
      </c>
      <c r="H189" s="243">
        <f>L189</f>
        <v>45804</v>
      </c>
      <c r="I189" s="243" t="s">
        <v>389</v>
      </c>
      <c r="J189" s="243"/>
      <c r="K189" s="215" t="s">
        <v>470</v>
      </c>
      <c r="L189" s="242">
        <v>45804</v>
      </c>
      <c r="M189" s="242"/>
      <c r="N189" s="215"/>
      <c r="O189" s="215">
        <f ca="1">O1-L189</f>
        <v>45</v>
      </c>
      <c r="P189" s="215"/>
      <c r="Q189" s="215"/>
      <c r="R189" s="215" t="s">
        <v>495</v>
      </c>
      <c r="S189" s="215"/>
      <c r="T189" s="215" t="s">
        <v>473</v>
      </c>
      <c r="U189" s="215">
        <f ca="1">U1-L189</f>
        <v>45</v>
      </c>
    </row>
    <row r="190" spans="1:21" x14ac:dyDescent="0.3">
      <c r="A190" s="276">
        <f t="shared" si="4"/>
        <v>7</v>
      </c>
      <c r="B190" s="276" t="s">
        <v>713</v>
      </c>
      <c r="C190" s="277" t="s">
        <v>783</v>
      </c>
      <c r="D190" s="278" t="s">
        <v>786</v>
      </c>
      <c r="E190" s="215" t="s">
        <v>787</v>
      </c>
      <c r="F190" s="215" t="s">
        <v>479</v>
      </c>
      <c r="G190" s="243">
        <f>[2]Sheet4!E78</f>
        <v>45826</v>
      </c>
      <c r="H190" s="243">
        <f>H156</f>
        <v>45835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x14ac:dyDescent="0.3">
      <c r="A191" s="276">
        <f t="shared" si="4"/>
        <v>8</v>
      </c>
      <c r="B191" s="276" t="s">
        <v>713</v>
      </c>
      <c r="C191" s="277" t="s">
        <v>783</v>
      </c>
      <c r="D191" s="278" t="s">
        <v>788</v>
      </c>
      <c r="E191" s="215" t="s">
        <v>789</v>
      </c>
      <c r="F191" s="215" t="s">
        <v>469</v>
      </c>
      <c r="G191" s="243">
        <f>[2]Sheet4!E79</f>
        <v>45833</v>
      </c>
      <c r="H191" s="243">
        <f>H157</f>
        <v>45817</v>
      </c>
      <c r="I191" s="243" t="s">
        <v>389</v>
      </c>
      <c r="J191" s="243"/>
      <c r="K191" s="215" t="s">
        <v>470</v>
      </c>
      <c r="L191" s="242">
        <v>45817</v>
      </c>
      <c r="M191" s="242">
        <v>45828</v>
      </c>
      <c r="N191" s="215" t="s">
        <v>471</v>
      </c>
      <c r="O191" s="215"/>
      <c r="P191" s="215"/>
      <c r="Q191" s="215"/>
      <c r="R191" s="215" t="s">
        <v>502</v>
      </c>
      <c r="S191" s="215" t="str">
        <f>N191</f>
        <v>CAT - III</v>
      </c>
      <c r="T191" s="215" t="s">
        <v>476</v>
      </c>
      <c r="U191" s="215"/>
    </row>
    <row r="192" spans="1:21" x14ac:dyDescent="0.3">
      <c r="A192" s="276">
        <f t="shared" si="4"/>
        <v>9</v>
      </c>
      <c r="B192" s="276" t="s">
        <v>713</v>
      </c>
      <c r="C192" s="277" t="s">
        <v>783</v>
      </c>
      <c r="D192" s="278" t="s">
        <v>790</v>
      </c>
      <c r="E192" s="215" t="s">
        <v>791</v>
      </c>
      <c r="F192" s="215" t="s">
        <v>469</v>
      </c>
      <c r="G192" s="243">
        <f>[2]Sheet4!E80</f>
        <v>45870</v>
      </c>
      <c r="H192" s="243">
        <f>H158</f>
        <v>45817</v>
      </c>
      <c r="I192" s="243" t="s">
        <v>389</v>
      </c>
      <c r="J192" s="243"/>
      <c r="K192" s="215" t="s">
        <v>470</v>
      </c>
      <c r="L192" s="242">
        <v>45817</v>
      </c>
      <c r="M192" s="242"/>
      <c r="N192" s="215"/>
      <c r="O192" s="215"/>
      <c r="P192" s="215"/>
      <c r="Q192" s="215"/>
      <c r="R192" s="215" t="s">
        <v>495</v>
      </c>
      <c r="S192" s="215"/>
      <c r="T192" s="215" t="s">
        <v>473</v>
      </c>
      <c r="U192" s="215"/>
    </row>
    <row r="193" spans="1:21" x14ac:dyDescent="0.3">
      <c r="A193" s="276">
        <f t="shared" si="4"/>
        <v>10</v>
      </c>
      <c r="B193" s="276" t="s">
        <v>713</v>
      </c>
      <c r="C193" s="277" t="s">
        <v>783</v>
      </c>
      <c r="D193" s="278" t="s">
        <v>792</v>
      </c>
      <c r="E193" s="215" t="s">
        <v>793</v>
      </c>
      <c r="F193" s="215" t="s">
        <v>469</v>
      </c>
      <c r="G193" s="243">
        <f>[2]Sheet4!E81</f>
        <v>45845</v>
      </c>
      <c r="H193" s="235">
        <f t="shared" ref="H193:H208" si="5">G193</f>
        <v>45845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4"/>
        <v>11</v>
      </c>
      <c r="B194" s="276" t="s">
        <v>713</v>
      </c>
      <c r="C194" s="277" t="s">
        <v>783</v>
      </c>
      <c r="D194" s="278" t="s">
        <v>794</v>
      </c>
      <c r="E194" s="215" t="s">
        <v>795</v>
      </c>
      <c r="F194" s="215" t="s">
        <v>479</v>
      </c>
      <c r="G194" s="243">
        <f>[2]Sheet4!E82</f>
        <v>45845</v>
      </c>
      <c r="H194" s="235">
        <f t="shared" si="5"/>
        <v>45845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4"/>
        <v>12</v>
      </c>
      <c r="B195" s="276" t="s">
        <v>713</v>
      </c>
      <c r="C195" s="277" t="s">
        <v>783</v>
      </c>
      <c r="D195" s="278" t="s">
        <v>796</v>
      </c>
      <c r="E195" s="215" t="s">
        <v>797</v>
      </c>
      <c r="F195" s="215" t="s">
        <v>479</v>
      </c>
      <c r="G195" s="243">
        <f>[2]Sheet4!E83</f>
        <v>45865</v>
      </c>
      <c r="H195" s="235">
        <f t="shared" si="5"/>
        <v>45865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276">
        <f t="shared" si="4"/>
        <v>13</v>
      </c>
      <c r="B196" s="276" t="s">
        <v>713</v>
      </c>
      <c r="C196" s="277" t="s">
        <v>783</v>
      </c>
      <c r="D196" s="278" t="s">
        <v>798</v>
      </c>
      <c r="E196" s="215" t="s">
        <v>799</v>
      </c>
      <c r="F196" s="215" t="s">
        <v>469</v>
      </c>
      <c r="G196" s="243">
        <f>[2]Sheet4!E84</f>
        <v>45843</v>
      </c>
      <c r="H196" s="235">
        <f t="shared" si="5"/>
        <v>45843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276">
        <f t="shared" si="4"/>
        <v>14</v>
      </c>
      <c r="B197" s="276" t="s">
        <v>713</v>
      </c>
      <c r="C197" s="277" t="s">
        <v>783</v>
      </c>
      <c r="D197" s="278" t="s">
        <v>800</v>
      </c>
      <c r="E197" s="215" t="s">
        <v>801</v>
      </c>
      <c r="F197" s="215" t="s">
        <v>469</v>
      </c>
      <c r="G197" s="243">
        <f>[2]Sheet4!E85</f>
        <v>45822</v>
      </c>
      <c r="H197" s="235">
        <v>45835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 t="shared" si="4"/>
        <v>15</v>
      </c>
      <c r="B198" s="276" t="s">
        <v>713</v>
      </c>
      <c r="C198" s="277" t="s">
        <v>783</v>
      </c>
      <c r="D198" s="278" t="s">
        <v>802</v>
      </c>
      <c r="E198" s="215" t="s">
        <v>803</v>
      </c>
      <c r="F198" s="215" t="s">
        <v>469</v>
      </c>
      <c r="G198" s="243">
        <f>[2]Sheet4!E86</f>
        <v>45840</v>
      </c>
      <c r="H198" s="235">
        <f t="shared" si="5"/>
        <v>45840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x14ac:dyDescent="0.3">
      <c r="A199" s="276">
        <f t="shared" si="4"/>
        <v>16</v>
      </c>
      <c r="B199" s="276" t="s">
        <v>713</v>
      </c>
      <c r="C199" s="277" t="s">
        <v>783</v>
      </c>
      <c r="D199" s="278" t="s">
        <v>804</v>
      </c>
      <c r="E199" s="215" t="s">
        <v>805</v>
      </c>
      <c r="F199" s="215" t="s">
        <v>469</v>
      </c>
      <c r="G199" s="243">
        <f>[2]Sheet4!E87</f>
        <v>45870</v>
      </c>
      <c r="H199" s="235">
        <f t="shared" si="5"/>
        <v>45870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276">
        <f t="shared" si="4"/>
        <v>17</v>
      </c>
      <c r="B200" s="276" t="s">
        <v>713</v>
      </c>
      <c r="C200" s="277" t="s">
        <v>783</v>
      </c>
      <c r="D200" s="278" t="s">
        <v>806</v>
      </c>
      <c r="E200" s="215" t="s">
        <v>807</v>
      </c>
      <c r="F200" s="215" t="s">
        <v>469</v>
      </c>
      <c r="G200" s="243">
        <f>[2]Sheet4!E88</f>
        <v>45813</v>
      </c>
      <c r="H200" s="235">
        <v>45835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276">
        <f t="shared" si="4"/>
        <v>18</v>
      </c>
      <c r="B201" s="276" t="s">
        <v>713</v>
      </c>
      <c r="C201" s="277" t="s">
        <v>783</v>
      </c>
      <c r="D201" s="278" t="s">
        <v>808</v>
      </c>
      <c r="E201" s="215" t="s">
        <v>809</v>
      </c>
      <c r="F201" s="215" t="s">
        <v>479</v>
      </c>
      <c r="G201" s="243">
        <f>[2]Sheet4!E89</f>
        <v>45858</v>
      </c>
      <c r="H201" s="235">
        <f t="shared" si="5"/>
        <v>45858</v>
      </c>
      <c r="I201" s="243" t="s">
        <v>389</v>
      </c>
      <c r="J201" s="243"/>
      <c r="K201" s="215"/>
      <c r="L201" s="242"/>
      <c r="M201" s="242"/>
      <c r="N201" s="215"/>
      <c r="O201" s="215"/>
      <c r="P201" s="215"/>
      <c r="Q201" s="215"/>
      <c r="R201" s="215"/>
      <c r="S201" s="215"/>
      <c r="T201" s="215"/>
      <c r="U201" s="215"/>
    </row>
    <row r="202" spans="1:21" x14ac:dyDescent="0.3">
      <c r="A202" s="276">
        <f t="shared" si="4"/>
        <v>19</v>
      </c>
      <c r="B202" s="276" t="s">
        <v>713</v>
      </c>
      <c r="C202" s="277" t="s">
        <v>783</v>
      </c>
      <c r="D202" s="278" t="s">
        <v>810</v>
      </c>
      <c r="E202" s="215" t="s">
        <v>811</v>
      </c>
      <c r="F202" s="215" t="s">
        <v>479</v>
      </c>
      <c r="G202" s="243">
        <f>[2]Sheet4!E90</f>
        <v>45834</v>
      </c>
      <c r="H202" s="235">
        <f t="shared" si="5"/>
        <v>45834</v>
      </c>
      <c r="I202" s="243" t="s">
        <v>389</v>
      </c>
      <c r="J202" s="243"/>
      <c r="K202" s="215"/>
      <c r="L202" s="242"/>
      <c r="M202" s="242"/>
      <c r="N202" s="215"/>
      <c r="O202" s="215"/>
      <c r="P202" s="215"/>
      <c r="Q202" s="215"/>
      <c r="R202" s="215"/>
      <c r="S202" s="215"/>
      <c r="T202" s="215"/>
      <c r="U202" s="215"/>
    </row>
    <row r="203" spans="1:21" x14ac:dyDescent="0.3">
      <c r="A203" s="276">
        <f t="shared" si="4"/>
        <v>20</v>
      </c>
      <c r="B203" s="276" t="s">
        <v>713</v>
      </c>
      <c r="C203" s="277" t="s">
        <v>783</v>
      </c>
      <c r="D203" s="278" t="s">
        <v>812</v>
      </c>
      <c r="E203" s="215" t="s">
        <v>813</v>
      </c>
      <c r="F203" s="215" t="s">
        <v>479</v>
      </c>
      <c r="G203" s="243">
        <f>[2]Sheet4!E91</f>
        <v>45840</v>
      </c>
      <c r="H203" s="235">
        <f t="shared" si="5"/>
        <v>45840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s="287" customFormat="1" ht="28" x14ac:dyDescent="0.3">
      <c r="A204" s="276">
        <f t="shared" si="4"/>
        <v>21</v>
      </c>
      <c r="B204" s="276" t="s">
        <v>713</v>
      </c>
      <c r="C204" s="277" t="s">
        <v>783</v>
      </c>
      <c r="D204" s="278" t="s">
        <v>814</v>
      </c>
      <c r="E204" s="215" t="s">
        <v>815</v>
      </c>
      <c r="F204" s="215" t="s">
        <v>479</v>
      </c>
      <c r="G204" s="243">
        <f>[2]Sheet4!E92</f>
        <v>45826</v>
      </c>
      <c r="H204" s="235">
        <v>45835</v>
      </c>
      <c r="I204" s="243" t="s">
        <v>389</v>
      </c>
      <c r="J204" s="243"/>
      <c r="K204" s="286"/>
      <c r="L204" s="242"/>
      <c r="M204" s="242"/>
      <c r="N204" s="286"/>
      <c r="O204" s="215"/>
      <c r="P204" s="215"/>
      <c r="Q204" s="286"/>
      <c r="R204" s="286"/>
      <c r="S204" s="286"/>
      <c r="T204" s="286"/>
      <c r="U204" s="286"/>
    </row>
    <row r="205" spans="1:21" x14ac:dyDescent="0.3">
      <c r="A205" s="276">
        <f t="shared" si="4"/>
        <v>22</v>
      </c>
      <c r="B205" s="276" t="s">
        <v>713</v>
      </c>
      <c r="C205" s="277" t="s">
        <v>783</v>
      </c>
      <c r="D205" s="278" t="s">
        <v>816</v>
      </c>
      <c r="E205" s="215" t="s">
        <v>817</v>
      </c>
      <c r="F205" s="215" t="s">
        <v>469</v>
      </c>
      <c r="G205" s="243" t="str">
        <f>[2]Sheet4!E93</f>
        <v>Done</v>
      </c>
      <c r="H205" s="235" t="str">
        <f t="shared" si="5"/>
        <v>Done</v>
      </c>
      <c r="I205" s="243" t="s">
        <v>389</v>
      </c>
      <c r="J205" s="243"/>
      <c r="K205" s="215"/>
      <c r="L205" s="242"/>
      <c r="M205" s="242"/>
      <c r="N205" s="215"/>
      <c r="O205" s="215"/>
      <c r="P205" s="215"/>
      <c r="Q205" s="215"/>
      <c r="R205" s="215"/>
      <c r="S205" s="215"/>
      <c r="T205" s="215"/>
      <c r="U205" s="215"/>
    </row>
    <row r="206" spans="1:21" x14ac:dyDescent="0.3">
      <c r="A206" s="276">
        <f t="shared" si="4"/>
        <v>23</v>
      </c>
      <c r="B206" s="276" t="s">
        <v>713</v>
      </c>
      <c r="C206" s="277" t="s">
        <v>783</v>
      </c>
      <c r="D206" s="278" t="s">
        <v>818</v>
      </c>
      <c r="E206" s="215" t="s">
        <v>819</v>
      </c>
      <c r="F206" s="215" t="s">
        <v>469</v>
      </c>
      <c r="G206" s="243">
        <f>[2]Sheet4!E94</f>
        <v>45853</v>
      </c>
      <c r="H206" s="235">
        <f t="shared" si="5"/>
        <v>45853</v>
      </c>
      <c r="I206" s="243" t="s">
        <v>389</v>
      </c>
      <c r="J206" s="243"/>
      <c r="K206" s="215"/>
      <c r="L206" s="242"/>
      <c r="M206" s="242"/>
      <c r="N206" s="215"/>
      <c r="O206" s="215"/>
      <c r="P206" s="215"/>
      <c r="Q206" s="215"/>
      <c r="R206" s="215"/>
      <c r="S206" s="215"/>
      <c r="T206" s="215"/>
      <c r="U206" s="215"/>
    </row>
    <row r="207" spans="1:21" x14ac:dyDescent="0.3">
      <c r="A207" s="276">
        <f t="shared" si="4"/>
        <v>24</v>
      </c>
      <c r="B207" s="276" t="s">
        <v>713</v>
      </c>
      <c r="C207" s="277" t="s">
        <v>783</v>
      </c>
      <c r="D207" s="278" t="s">
        <v>820</v>
      </c>
      <c r="E207" s="215" t="s">
        <v>821</v>
      </c>
      <c r="F207" s="214" t="s">
        <v>479</v>
      </c>
      <c r="G207" s="243">
        <f>[2]Sheet4!E95</f>
        <v>45826</v>
      </c>
      <c r="H207" s="235">
        <v>45835</v>
      </c>
      <c r="I207" s="243" t="s">
        <v>389</v>
      </c>
      <c r="J207" s="243"/>
      <c r="K207" s="215"/>
      <c r="L207" s="242"/>
      <c r="M207" s="242"/>
      <c r="N207" s="215"/>
      <c r="O207" s="215"/>
      <c r="P207" s="215"/>
      <c r="Q207" s="215"/>
      <c r="R207" s="215"/>
      <c r="S207" s="215"/>
      <c r="T207" s="215"/>
      <c r="U207" s="215"/>
    </row>
    <row r="208" spans="1:21" x14ac:dyDescent="0.3">
      <c r="A208" s="276">
        <f t="shared" si="4"/>
        <v>25</v>
      </c>
      <c r="B208" s="276" t="s">
        <v>713</v>
      </c>
      <c r="C208" s="277" t="s">
        <v>783</v>
      </c>
      <c r="D208" s="278" t="s">
        <v>822</v>
      </c>
      <c r="E208" s="215" t="s">
        <v>823</v>
      </c>
      <c r="F208" s="215" t="s">
        <v>469</v>
      </c>
      <c r="G208" s="243" t="str">
        <f>[2]Sheet4!E96</f>
        <v>Done</v>
      </c>
      <c r="H208" s="235" t="str">
        <f t="shared" si="5"/>
        <v>Done</v>
      </c>
      <c r="I208" s="243" t="s">
        <v>389</v>
      </c>
      <c r="J208" s="243"/>
      <c r="K208" s="215"/>
      <c r="L208" s="242"/>
      <c r="M208" s="242"/>
      <c r="N208" s="215"/>
      <c r="O208" s="215"/>
      <c r="P208" s="215"/>
      <c r="Q208" s="215"/>
      <c r="R208" s="215"/>
      <c r="S208" s="215"/>
      <c r="T208" s="215"/>
      <c r="U208" s="215"/>
    </row>
    <row r="209" spans="1:21" x14ac:dyDescent="0.3">
      <c r="A209" s="402">
        <f t="shared" si="4"/>
        <v>26</v>
      </c>
      <c r="B209" s="276" t="s">
        <v>713</v>
      </c>
      <c r="C209" s="277" t="s">
        <v>783</v>
      </c>
      <c r="D209" s="278" t="s">
        <v>824</v>
      </c>
      <c r="E209" s="215" t="s">
        <v>825</v>
      </c>
      <c r="F209" s="215" t="s">
        <v>469</v>
      </c>
      <c r="G209" s="243">
        <v>45868</v>
      </c>
      <c r="H209" s="235">
        <f>G209</f>
        <v>45868</v>
      </c>
      <c r="I209" s="243" t="s">
        <v>389</v>
      </c>
      <c r="J209" s="243"/>
      <c r="K209" s="215"/>
      <c r="L209" s="242"/>
      <c r="M209" s="242"/>
      <c r="N209" s="215"/>
      <c r="O209" s="215"/>
      <c r="P209" s="215"/>
      <c r="Q209" s="215"/>
      <c r="R209" s="215"/>
      <c r="S209" s="215"/>
      <c r="T209" s="215"/>
      <c r="U209" s="215"/>
    </row>
    <row r="210" spans="1:21" x14ac:dyDescent="0.3">
      <c r="A210" s="403"/>
      <c r="B210" s="276" t="s">
        <v>713</v>
      </c>
      <c r="C210" s="277" t="s">
        <v>783</v>
      </c>
      <c r="D210" s="278" t="s">
        <v>826</v>
      </c>
      <c r="E210" s="215" t="s">
        <v>827</v>
      </c>
      <c r="F210" s="215" t="s">
        <v>479</v>
      </c>
      <c r="G210" s="243">
        <v>45868</v>
      </c>
      <c r="H210" s="235">
        <f>G210</f>
        <v>45868</v>
      </c>
      <c r="I210" s="243" t="s">
        <v>389</v>
      </c>
      <c r="J210" s="243"/>
      <c r="K210" s="215"/>
      <c r="L210" s="242"/>
      <c r="M210" s="242"/>
      <c r="N210" s="215"/>
      <c r="O210" s="215"/>
      <c r="P210" s="215"/>
      <c r="Q210" s="215"/>
      <c r="R210" s="215"/>
      <c r="S210" s="215"/>
      <c r="T210" s="215"/>
      <c r="U210" s="215"/>
    </row>
    <row r="211" spans="1:21" x14ac:dyDescent="0.3">
      <c r="A211" s="276">
        <f>A209+1</f>
        <v>27</v>
      </c>
      <c r="B211" s="276" t="s">
        <v>713</v>
      </c>
      <c r="C211" s="277" t="s">
        <v>783</v>
      </c>
      <c r="D211" s="278" t="s">
        <v>828</v>
      </c>
      <c r="E211" s="215" t="s">
        <v>829</v>
      </c>
      <c r="F211" s="215" t="s">
        <v>479</v>
      </c>
      <c r="G211" s="243">
        <v>45899</v>
      </c>
      <c r="H211" s="235">
        <f>G211</f>
        <v>45899</v>
      </c>
      <c r="I211" s="243" t="s">
        <v>389</v>
      </c>
      <c r="J211" s="243"/>
      <c r="K211" s="215"/>
      <c r="L211" s="242"/>
      <c r="M211" s="242"/>
      <c r="N211" s="215"/>
      <c r="O211" s="215"/>
      <c r="P211" s="215"/>
      <c r="Q211" s="215"/>
      <c r="R211" s="215"/>
      <c r="S211" s="215"/>
      <c r="T211" s="215"/>
      <c r="U211" s="215"/>
    </row>
    <row r="212" spans="1:21" ht="28" x14ac:dyDescent="0.3">
      <c r="A212" s="281">
        <f t="shared" si="4"/>
        <v>28</v>
      </c>
      <c r="B212" s="276" t="s">
        <v>713</v>
      </c>
      <c r="C212" s="277" t="s">
        <v>783</v>
      </c>
      <c r="D212" s="278" t="s">
        <v>830</v>
      </c>
      <c r="E212" s="215" t="s">
        <v>831</v>
      </c>
      <c r="F212" s="215" t="s">
        <v>479</v>
      </c>
      <c r="G212" s="243">
        <v>45899</v>
      </c>
      <c r="H212" s="235">
        <f>G212</f>
        <v>45899</v>
      </c>
      <c r="I212" s="243" t="s">
        <v>389</v>
      </c>
      <c r="J212" s="243"/>
      <c r="K212" s="215"/>
      <c r="L212" s="242"/>
      <c r="M212" s="242"/>
      <c r="N212" s="215"/>
      <c r="O212" s="215"/>
      <c r="P212" s="215"/>
      <c r="Q212" s="215"/>
      <c r="R212" s="215"/>
      <c r="S212" s="215"/>
      <c r="T212" s="215"/>
      <c r="U212" s="215"/>
    </row>
    <row r="213" spans="1:21" x14ac:dyDescent="0.3">
      <c r="A213" s="298">
        <f t="shared" si="4"/>
        <v>29</v>
      </c>
      <c r="B213" s="276" t="s">
        <v>713</v>
      </c>
      <c r="C213" s="277" t="s">
        <v>783</v>
      </c>
      <c r="D213" s="278" t="s">
        <v>832</v>
      </c>
      <c r="E213" s="215" t="s">
        <v>833</v>
      </c>
      <c r="F213" s="215" t="s">
        <v>469</v>
      </c>
      <c r="G213" s="243">
        <v>45899</v>
      </c>
      <c r="H213" s="235">
        <f>G213</f>
        <v>45899</v>
      </c>
      <c r="I213" s="243" t="s">
        <v>389</v>
      </c>
      <c r="J213" s="243"/>
      <c r="K213" s="215"/>
      <c r="L213" s="242"/>
      <c r="M213" s="242"/>
      <c r="N213" s="215"/>
      <c r="O213" s="215"/>
      <c r="P213" s="215"/>
      <c r="Q213" s="215"/>
      <c r="R213" s="215"/>
      <c r="S213" s="215"/>
      <c r="T213" s="215"/>
      <c r="U213" s="215"/>
    </row>
    <row r="214" spans="1:21" x14ac:dyDescent="0.3">
      <c r="A214" s="298"/>
      <c r="B214" s="276" t="s">
        <v>713</v>
      </c>
      <c r="C214" s="404" t="s">
        <v>783</v>
      </c>
      <c r="D214" s="406" t="s">
        <v>834</v>
      </c>
      <c r="E214" s="391" t="s">
        <v>835</v>
      </c>
      <c r="F214" s="391" t="s">
        <v>469</v>
      </c>
      <c r="G214" s="398">
        <v>45793</v>
      </c>
      <c r="H214" s="398">
        <f>L214</f>
        <v>45793</v>
      </c>
      <c r="I214" s="400" t="s">
        <v>389</v>
      </c>
      <c r="J214" s="400"/>
      <c r="K214" s="215" t="s">
        <v>470</v>
      </c>
      <c r="L214" s="242">
        <v>45793</v>
      </c>
      <c r="M214" s="242">
        <v>45807</v>
      </c>
      <c r="N214" s="215" t="s">
        <v>471</v>
      </c>
      <c r="O214" s="215">
        <f>M214-L214</f>
        <v>14</v>
      </c>
      <c r="P214" s="215">
        <f ca="1">O1-M214</f>
        <v>42</v>
      </c>
      <c r="Q214" s="391"/>
      <c r="R214" s="391" t="s">
        <v>502</v>
      </c>
      <c r="S214" s="391" t="str">
        <f>N214</f>
        <v>CAT - III</v>
      </c>
      <c r="T214" s="391" t="s">
        <v>476</v>
      </c>
      <c r="U214" s="391">
        <f ca="1">U1-M214</f>
        <v>42</v>
      </c>
    </row>
    <row r="215" spans="1:21" x14ac:dyDescent="0.3">
      <c r="A215" s="290"/>
      <c r="B215" s="276"/>
      <c r="C215" s="405"/>
      <c r="D215" s="407"/>
      <c r="E215" s="392"/>
      <c r="F215" s="392"/>
      <c r="G215" s="392"/>
      <c r="H215" s="399"/>
      <c r="I215" s="401"/>
      <c r="J215" s="401"/>
      <c r="K215" s="215" t="s">
        <v>472</v>
      </c>
      <c r="L215" s="242"/>
      <c r="M215" s="242"/>
      <c r="N215" s="215"/>
      <c r="O215" s="215"/>
      <c r="P215" s="215"/>
      <c r="Q215" s="392"/>
      <c r="R215" s="392"/>
      <c r="S215" s="392"/>
      <c r="T215" s="392"/>
      <c r="U215" s="392"/>
    </row>
    <row r="216" spans="1:21" x14ac:dyDescent="0.3">
      <c r="B216" s="276" t="s">
        <v>713</v>
      </c>
      <c r="C216" s="277" t="s">
        <v>783</v>
      </c>
      <c r="D216" s="278" t="s">
        <v>836</v>
      </c>
      <c r="E216" s="215" t="s">
        <v>837</v>
      </c>
      <c r="F216" s="241" t="s">
        <v>469</v>
      </c>
      <c r="G216" s="243">
        <v>45868</v>
      </c>
      <c r="H216" s="235">
        <f>G216</f>
        <v>45868</v>
      </c>
      <c r="I216" s="243" t="s">
        <v>389</v>
      </c>
      <c r="J216" s="243"/>
      <c r="K216" s="215"/>
      <c r="L216" s="242"/>
      <c r="M216" s="242"/>
      <c r="N216" s="215"/>
      <c r="O216" s="215"/>
      <c r="P216" s="215"/>
      <c r="Q216" s="215"/>
      <c r="R216" s="215"/>
      <c r="S216" s="215"/>
      <c r="T216" s="215"/>
      <c r="U216" s="215"/>
    </row>
    <row r="217" spans="1:21" x14ac:dyDescent="0.3">
      <c r="B217" s="281" t="s">
        <v>713</v>
      </c>
      <c r="C217" s="282" t="s">
        <v>783</v>
      </c>
      <c r="D217" s="289" t="s">
        <v>838</v>
      </c>
      <c r="E217" s="267" t="s">
        <v>839</v>
      </c>
      <c r="F217" s="272" t="s">
        <v>469</v>
      </c>
      <c r="G217" s="280">
        <v>45826</v>
      </c>
      <c r="H217" s="235">
        <v>45835</v>
      </c>
      <c r="I217" s="280" t="s">
        <v>389</v>
      </c>
      <c r="J217" s="280"/>
      <c r="K217" s="267"/>
      <c r="L217" s="266"/>
      <c r="M217" s="266"/>
      <c r="N217" s="267"/>
      <c r="O217" s="267"/>
      <c r="P217" s="267"/>
      <c r="Q217" s="267"/>
      <c r="R217" s="267"/>
      <c r="S217" s="267"/>
      <c r="T217" s="267"/>
      <c r="U217" s="267"/>
    </row>
    <row r="218" spans="1:21" s="290" customFormat="1" x14ac:dyDescent="0.3">
      <c r="A218" s="340"/>
      <c r="B218" s="341" t="s">
        <v>713</v>
      </c>
      <c r="C218" s="393" t="s">
        <v>783</v>
      </c>
      <c r="D218" s="394" t="s">
        <v>840</v>
      </c>
      <c r="E218" s="390" t="s">
        <v>839</v>
      </c>
      <c r="F218" s="390" t="s">
        <v>469</v>
      </c>
      <c r="G218" s="395">
        <v>45803</v>
      </c>
      <c r="H218" s="396">
        <f>L218</f>
        <v>45803</v>
      </c>
      <c r="I218" s="395" t="s">
        <v>389</v>
      </c>
      <c r="J218" s="395"/>
      <c r="K218" s="342" t="s">
        <v>470</v>
      </c>
      <c r="L218" s="343">
        <v>45803</v>
      </c>
      <c r="M218" s="343">
        <v>45810</v>
      </c>
      <c r="N218" s="342" t="s">
        <v>471</v>
      </c>
      <c r="O218" s="342">
        <f>M218-L218</f>
        <v>7</v>
      </c>
      <c r="P218" s="342">
        <f>L219-M218</f>
        <v>8</v>
      </c>
      <c r="Q218" s="390"/>
      <c r="R218" s="390" t="s">
        <v>502</v>
      </c>
      <c r="S218" s="390" t="str">
        <f>N219</f>
        <v>CAT - III</v>
      </c>
      <c r="T218" s="390" t="s">
        <v>399</v>
      </c>
      <c r="U218" s="390">
        <f ca="1">U1-M219</f>
        <v>29</v>
      </c>
    </row>
    <row r="219" spans="1:21" s="290" customFormat="1" x14ac:dyDescent="0.3">
      <c r="A219" s="340"/>
      <c r="B219" s="342"/>
      <c r="C219" s="393"/>
      <c r="D219" s="394"/>
      <c r="E219" s="390"/>
      <c r="F219" s="390"/>
      <c r="G219" s="395"/>
      <c r="H219" s="397"/>
      <c r="I219" s="395"/>
      <c r="J219" s="395"/>
      <c r="K219" s="342" t="s">
        <v>472</v>
      </c>
      <c r="L219" s="343">
        <v>45818</v>
      </c>
      <c r="M219" s="343">
        <v>45820</v>
      </c>
      <c r="N219" s="342" t="s">
        <v>471</v>
      </c>
      <c r="O219" s="342">
        <f>M219-L219</f>
        <v>2</v>
      </c>
      <c r="P219" s="342">
        <f ca="1">O1-M219</f>
        <v>29</v>
      </c>
      <c r="Q219" s="390"/>
      <c r="R219" s="390"/>
      <c r="S219" s="390"/>
      <c r="T219" s="390"/>
      <c r="U219" s="390"/>
    </row>
    <row r="220" spans="1:21" s="290" customFormat="1" x14ac:dyDescent="0.3">
      <c r="A220" s="291"/>
      <c r="L220" s="293"/>
      <c r="M220" s="293"/>
    </row>
  </sheetData>
  <autoFilter ref="A2:U219" xr:uid="{3231EE02-D3A7-4921-9CFE-BCAE4C68606C}"/>
  <mergeCells count="310"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  <mergeCell ref="U7:U8"/>
    <mergeCell ref="A10:A11"/>
    <mergeCell ref="C10:C11"/>
    <mergeCell ref="D10:D11"/>
    <mergeCell ref="E10:E11"/>
    <mergeCell ref="F10:F11"/>
    <mergeCell ref="G10:G11"/>
    <mergeCell ref="H10:H11"/>
    <mergeCell ref="Q10:Q11"/>
    <mergeCell ref="R10:R11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S10:S11"/>
    <mergeCell ref="T10:T11"/>
    <mergeCell ref="U10:U11"/>
    <mergeCell ref="A14:A15"/>
    <mergeCell ref="B14:B15"/>
    <mergeCell ref="C14:C15"/>
    <mergeCell ref="D14:D15"/>
    <mergeCell ref="E14:E15"/>
    <mergeCell ref="F14:F15"/>
    <mergeCell ref="G14:G15"/>
    <mergeCell ref="H14:H15"/>
    <mergeCell ref="R14:R15"/>
    <mergeCell ref="S14:S15"/>
    <mergeCell ref="T14:T15"/>
    <mergeCell ref="U14:U15"/>
    <mergeCell ref="A19:A21"/>
    <mergeCell ref="B19:B21"/>
    <mergeCell ref="C19:C21"/>
    <mergeCell ref="D19:D21"/>
    <mergeCell ref="E19:E21"/>
    <mergeCell ref="T19:T21"/>
    <mergeCell ref="U19:U21"/>
    <mergeCell ref="A25:A27"/>
    <mergeCell ref="B25:B27"/>
    <mergeCell ref="C25:C27"/>
    <mergeCell ref="D25:D27"/>
    <mergeCell ref="E25:E27"/>
    <mergeCell ref="F25:F27"/>
    <mergeCell ref="G25:G27"/>
    <mergeCell ref="H25:H27"/>
    <mergeCell ref="F19:F21"/>
    <mergeCell ref="G19:G21"/>
    <mergeCell ref="H19:H21"/>
    <mergeCell ref="Q19:Q21"/>
    <mergeCell ref="R19:R21"/>
    <mergeCell ref="S19:S21"/>
    <mergeCell ref="Q25:Q27"/>
    <mergeCell ref="R25:R27"/>
    <mergeCell ref="S25:S27"/>
    <mergeCell ref="T25:T27"/>
    <mergeCell ref="U25:U27"/>
    <mergeCell ref="A30:A34"/>
    <mergeCell ref="B30:B33"/>
    <mergeCell ref="C30:C34"/>
    <mergeCell ref="D30:D34"/>
    <mergeCell ref="E30:E34"/>
    <mergeCell ref="T30:T34"/>
    <mergeCell ref="U30:U33"/>
    <mergeCell ref="Q30:Q34"/>
    <mergeCell ref="R30:R34"/>
    <mergeCell ref="S30:S34"/>
    <mergeCell ref="A36:A37"/>
    <mergeCell ref="B36:B37"/>
    <mergeCell ref="C36:C37"/>
    <mergeCell ref="D36:D37"/>
    <mergeCell ref="E36:E37"/>
    <mergeCell ref="F36:F37"/>
    <mergeCell ref="G36:G37"/>
    <mergeCell ref="H36:H37"/>
    <mergeCell ref="F30:F34"/>
    <mergeCell ref="G30:G34"/>
    <mergeCell ref="H30:H34"/>
    <mergeCell ref="A38:A41"/>
    <mergeCell ref="B38:B41"/>
    <mergeCell ref="C38:C41"/>
    <mergeCell ref="D38:D41"/>
    <mergeCell ref="E38:E41"/>
    <mergeCell ref="T38:T41"/>
    <mergeCell ref="U38:U41"/>
    <mergeCell ref="Q38:Q41"/>
    <mergeCell ref="R38:R41"/>
    <mergeCell ref="S38:S41"/>
    <mergeCell ref="H44:H47"/>
    <mergeCell ref="F38:F41"/>
    <mergeCell ref="G38:G41"/>
    <mergeCell ref="H38:H41"/>
    <mergeCell ref="Q36:Q37"/>
    <mergeCell ref="R36:R37"/>
    <mergeCell ref="S36:S37"/>
    <mergeCell ref="T36:T37"/>
    <mergeCell ref="U36:U37"/>
    <mergeCell ref="R44:R47"/>
    <mergeCell ref="S44:S47"/>
    <mergeCell ref="T44:T47"/>
    <mergeCell ref="U44:U47"/>
    <mergeCell ref="Q44:Q47"/>
    <mergeCell ref="A44:A47"/>
    <mergeCell ref="B44:B47"/>
    <mergeCell ref="C44:C47"/>
    <mergeCell ref="D44:D47"/>
    <mergeCell ref="E44:E47"/>
    <mergeCell ref="F44:F47"/>
    <mergeCell ref="G44:G47"/>
    <mergeCell ref="A69:A71"/>
    <mergeCell ref="B69:B71"/>
    <mergeCell ref="C69:C71"/>
    <mergeCell ref="D69:D71"/>
    <mergeCell ref="E69:E71"/>
    <mergeCell ref="F69:F71"/>
    <mergeCell ref="G69:G71"/>
    <mergeCell ref="A67:A68"/>
    <mergeCell ref="C67:C68"/>
    <mergeCell ref="D67:D68"/>
    <mergeCell ref="E67:E68"/>
    <mergeCell ref="F67:F68"/>
    <mergeCell ref="G67:G68"/>
    <mergeCell ref="H69:H71"/>
    <mergeCell ref="H67:H68"/>
    <mergeCell ref="Q69:Q71"/>
    <mergeCell ref="R69:R71"/>
    <mergeCell ref="S69:S71"/>
    <mergeCell ref="T69:T71"/>
    <mergeCell ref="U69:U71"/>
    <mergeCell ref="B97:B100"/>
    <mergeCell ref="C97:C100"/>
    <mergeCell ref="D97:D100"/>
    <mergeCell ref="E97:E100"/>
    <mergeCell ref="F97:F100"/>
    <mergeCell ref="U97:U100"/>
    <mergeCell ref="Q97:Q100"/>
    <mergeCell ref="R97:R100"/>
    <mergeCell ref="S97:S100"/>
    <mergeCell ref="T97:T100"/>
    <mergeCell ref="T67:T68"/>
    <mergeCell ref="U67:U68"/>
    <mergeCell ref="I67:I68"/>
    <mergeCell ref="J67:J68"/>
    <mergeCell ref="Q67:Q68"/>
    <mergeCell ref="R67:R68"/>
    <mergeCell ref="S67:S68"/>
    <mergeCell ref="A99:A100"/>
    <mergeCell ref="B101:B102"/>
    <mergeCell ref="C101:C102"/>
    <mergeCell ref="D101:D102"/>
    <mergeCell ref="E101:E102"/>
    <mergeCell ref="F101:F102"/>
    <mergeCell ref="G101:G102"/>
    <mergeCell ref="H101:H102"/>
    <mergeCell ref="J101:J102"/>
    <mergeCell ref="G97:G100"/>
    <mergeCell ref="H97:H100"/>
    <mergeCell ref="U101:U102"/>
    <mergeCell ref="B104:B106"/>
    <mergeCell ref="C104:C106"/>
    <mergeCell ref="D104:D106"/>
    <mergeCell ref="E104:E106"/>
    <mergeCell ref="F104:F106"/>
    <mergeCell ref="T104:T106"/>
    <mergeCell ref="U104:U106"/>
    <mergeCell ref="S104:S106"/>
    <mergeCell ref="G104:G106"/>
    <mergeCell ref="H104:H106"/>
    <mergeCell ref="J104:J106"/>
    <mergeCell ref="Q104:Q106"/>
    <mergeCell ref="R104:R106"/>
    <mergeCell ref="Q101:Q102"/>
    <mergeCell ref="R101:R102"/>
    <mergeCell ref="S101:S102"/>
    <mergeCell ref="T101:T102"/>
    <mergeCell ref="S111:S113"/>
    <mergeCell ref="T111:T113"/>
    <mergeCell ref="U111:U113"/>
    <mergeCell ref="A128:A129"/>
    <mergeCell ref="B133:B134"/>
    <mergeCell ref="C133:C134"/>
    <mergeCell ref="D133:D134"/>
    <mergeCell ref="E133:E134"/>
    <mergeCell ref="F133:F134"/>
    <mergeCell ref="G133:G134"/>
    <mergeCell ref="A111:A113"/>
    <mergeCell ref="C111:C113"/>
    <mergeCell ref="D111:D113"/>
    <mergeCell ref="E111:E113"/>
    <mergeCell ref="F111:F113"/>
    <mergeCell ref="G111:G113"/>
    <mergeCell ref="H111:H113"/>
    <mergeCell ref="R111:R113"/>
    <mergeCell ref="J135:J137"/>
    <mergeCell ref="Q135:Q137"/>
    <mergeCell ref="R135:R137"/>
    <mergeCell ref="S135:S137"/>
    <mergeCell ref="T135:T137"/>
    <mergeCell ref="U135:U137"/>
    <mergeCell ref="T133:T134"/>
    <mergeCell ref="U133:U134"/>
    <mergeCell ref="A135:A137"/>
    <mergeCell ref="C135:C137"/>
    <mergeCell ref="D135:D137"/>
    <mergeCell ref="E135:E137"/>
    <mergeCell ref="F135:F137"/>
    <mergeCell ref="G135:G137"/>
    <mergeCell ref="H135:H137"/>
    <mergeCell ref="I135:I137"/>
    <mergeCell ref="H133:H134"/>
    <mergeCell ref="I133:I134"/>
    <mergeCell ref="J133:J134"/>
    <mergeCell ref="Q133:Q134"/>
    <mergeCell ref="R133:R134"/>
    <mergeCell ref="S133:S134"/>
    <mergeCell ref="G142:G144"/>
    <mergeCell ref="H142:H144"/>
    <mergeCell ref="Q142:Q144"/>
    <mergeCell ref="R142:R144"/>
    <mergeCell ref="S142:S144"/>
    <mergeCell ref="T142:T144"/>
    <mergeCell ref="A139:A140"/>
    <mergeCell ref="A142:A144"/>
    <mergeCell ref="C142:C144"/>
    <mergeCell ref="D142:D144"/>
    <mergeCell ref="E142:E144"/>
    <mergeCell ref="F142:F144"/>
    <mergeCell ref="H146:H148"/>
    <mergeCell ref="Q146:Q148"/>
    <mergeCell ref="R146:R148"/>
    <mergeCell ref="S146:S148"/>
    <mergeCell ref="T146:T148"/>
    <mergeCell ref="U146:U148"/>
    <mergeCell ref="B146:B148"/>
    <mergeCell ref="C146:C148"/>
    <mergeCell ref="D146:D148"/>
    <mergeCell ref="E146:E148"/>
    <mergeCell ref="F146:F148"/>
    <mergeCell ref="G146:G148"/>
    <mergeCell ref="H149:H151"/>
    <mergeCell ref="Q149:Q151"/>
    <mergeCell ref="R149:R151"/>
    <mergeCell ref="S149:S151"/>
    <mergeCell ref="T149:T151"/>
    <mergeCell ref="U149:U151"/>
    <mergeCell ref="B149:B151"/>
    <mergeCell ref="C149:C151"/>
    <mergeCell ref="D149:D151"/>
    <mergeCell ref="E149:E151"/>
    <mergeCell ref="F149:F151"/>
    <mergeCell ref="G149:G151"/>
    <mergeCell ref="S187:S188"/>
    <mergeCell ref="T187:T188"/>
    <mergeCell ref="U187:U188"/>
    <mergeCell ref="A187:A188"/>
    <mergeCell ref="C187:C188"/>
    <mergeCell ref="D187:D188"/>
    <mergeCell ref="E187:E188"/>
    <mergeCell ref="F187:F188"/>
    <mergeCell ref="G187:G188"/>
    <mergeCell ref="A209:A210"/>
    <mergeCell ref="C214:C215"/>
    <mergeCell ref="D214:D215"/>
    <mergeCell ref="E214:E215"/>
    <mergeCell ref="F214:F215"/>
    <mergeCell ref="G214:G215"/>
    <mergeCell ref="H187:H188"/>
    <mergeCell ref="Q187:Q188"/>
    <mergeCell ref="R187:R188"/>
    <mergeCell ref="Q218:Q219"/>
    <mergeCell ref="R218:R219"/>
    <mergeCell ref="S218:S219"/>
    <mergeCell ref="T218:T219"/>
    <mergeCell ref="U218:U219"/>
    <mergeCell ref="T214:T215"/>
    <mergeCell ref="U214:U215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H214:H215"/>
    <mergeCell ref="I214:I215"/>
    <mergeCell ref="J214:J215"/>
    <mergeCell ref="Q214:Q215"/>
    <mergeCell ref="R214:R215"/>
    <mergeCell ref="S214:S215"/>
  </mergeCells>
  <dataValidations count="1">
    <dataValidation type="list" allowBlank="1" showInputMessage="1" showErrorMessage="1" sqref="F135 F3 F208:F214 F72:F97 F7 F189:F206 F114:F133 F42:F44 F16:F19 F36 F22:F25 F101 F149 F38:F40 F69 F28:F30 F103:F111 F138:F143 F48:F67 F145:F146 F152:F187 F9:F10 F12:F14" xr:uid="{BE050F3F-E60D-41B3-9407-81D5CFB8B7E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abSelected="1" topLeftCell="B1" zoomScale="80" zoomScaleNormal="130" workbookViewId="0">
      <pane xSplit="16" ySplit="3" topLeftCell="DK23" activePane="bottomRight" state="frozen"/>
      <selection activeCell="B1" sqref="B1"/>
      <selection pane="topRight" activeCell="Q1" sqref="Q1"/>
      <selection pane="bottomLeft" activeCell="B4" sqref="B4"/>
      <selection pane="bottomRight" activeCell="DQ15" sqref="DQ15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325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7.6328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10.453125" style="54" customWidth="1"/>
    <col min="18" max="18" width="7.6328125" style="54" bestFit="1" customWidth="1"/>
    <col min="19" max="19" width="6.72656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321">
        <f>'Construction DASHBOARD'!B6</f>
        <v>45849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499" t="s">
        <v>96</v>
      </c>
      <c r="C2" s="500" t="s">
        <v>97</v>
      </c>
      <c r="D2" s="501" t="s">
        <v>98</v>
      </c>
      <c r="E2" s="498" t="s">
        <v>306</v>
      </c>
      <c r="F2" s="498" t="s">
        <v>307</v>
      </c>
      <c r="G2" s="490" t="s">
        <v>434</v>
      </c>
      <c r="H2" s="498" t="s">
        <v>428</v>
      </c>
      <c r="I2" s="498" t="s">
        <v>429</v>
      </c>
      <c r="J2" s="500" t="s">
        <v>3</v>
      </c>
      <c r="K2" s="502" t="s">
        <v>1</v>
      </c>
      <c r="L2" s="497" t="s">
        <v>100</v>
      </c>
      <c r="M2" s="488" t="s">
        <v>405</v>
      </c>
      <c r="N2" s="498" t="s">
        <v>102</v>
      </c>
      <c r="O2" s="498" t="s">
        <v>103</v>
      </c>
      <c r="P2" s="498" t="s">
        <v>255</v>
      </c>
      <c r="Q2" s="502" t="s">
        <v>104</v>
      </c>
      <c r="R2" s="502" t="s">
        <v>105</v>
      </c>
      <c r="S2" s="503" t="s">
        <v>254</v>
      </c>
      <c r="T2" s="494" t="s">
        <v>410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499"/>
      <c r="C3" s="500"/>
      <c r="D3" s="501"/>
      <c r="E3" s="498"/>
      <c r="F3" s="498"/>
      <c r="G3" s="491"/>
      <c r="H3" s="498"/>
      <c r="I3" s="498"/>
      <c r="J3" s="500"/>
      <c r="K3" s="502"/>
      <c r="L3" s="497"/>
      <c r="M3" s="489"/>
      <c r="N3" s="498"/>
      <c r="O3" s="498"/>
      <c r="P3" s="498"/>
      <c r="Q3" s="502"/>
      <c r="R3" s="502"/>
      <c r="S3" s="503"/>
      <c r="T3" s="494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96" t="s">
        <v>106</v>
      </c>
      <c r="C4" s="60">
        <v>1</v>
      </c>
      <c r="D4" s="322" t="s">
        <v>406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</row>
    <row r="5" spans="2:147" s="23" customFormat="1" x14ac:dyDescent="0.35">
      <c r="B5" s="496"/>
      <c r="C5" s="60">
        <v>2</v>
      </c>
      <c r="D5" s="322" t="s">
        <v>407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</row>
    <row r="6" spans="2:147" x14ac:dyDescent="0.4">
      <c r="B6" s="496" t="s">
        <v>19</v>
      </c>
      <c r="C6" s="60">
        <v>3</v>
      </c>
      <c r="D6" s="323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</row>
    <row r="7" spans="2:147" x14ac:dyDescent="0.4">
      <c r="B7" s="496"/>
      <c r="C7" s="60">
        <v>4</v>
      </c>
      <c r="D7" s="323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</row>
    <row r="8" spans="2:147" x14ac:dyDescent="0.4">
      <c r="B8" s="496"/>
      <c r="C8" s="60">
        <v>5</v>
      </c>
      <c r="D8" s="323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</row>
    <row r="9" spans="2:147" x14ac:dyDescent="0.4">
      <c r="B9" s="496"/>
      <c r="C9" s="60">
        <v>6</v>
      </c>
      <c r="D9" s="323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</row>
    <row r="10" spans="2:147" x14ac:dyDescent="0.4">
      <c r="B10" s="496"/>
      <c r="C10" s="60">
        <v>7</v>
      </c>
      <c r="D10" s="323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</row>
    <row r="11" spans="2:147" x14ac:dyDescent="0.4">
      <c r="B11" s="496"/>
      <c r="C11" s="60">
        <v>8</v>
      </c>
      <c r="D11" s="323" t="s">
        <v>844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240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0.22500000000000001</v>
      </c>
      <c r="Q11" s="205">
        <f>S11</f>
        <v>54</v>
      </c>
      <c r="R11" s="205">
        <f t="shared" si="5"/>
        <v>186</v>
      </c>
      <c r="S11" s="158">
        <f t="shared" si="6"/>
        <v>54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</row>
    <row r="12" spans="2:147" x14ac:dyDescent="0.4">
      <c r="B12" s="496" t="s">
        <v>109</v>
      </c>
      <c r="C12" s="60">
        <v>9</v>
      </c>
      <c r="D12" s="323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433</v>
      </c>
      <c r="K12" s="201">
        <v>13322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 t="shared" ref="P12:P27" si="10">IFERROR(SUMIF($U$2:$AT$2,"&lt;="&amp;$D$1,U12:BN12)/K12,"-")</f>
        <v>0</v>
      </c>
      <c r="Q12" s="205">
        <f>SUMIF($U$2:$AT$2,"&lt;="&amp;$D$1,U12:AT12)</f>
        <v>0</v>
      </c>
      <c r="R12" s="205">
        <f t="shared" si="5"/>
        <v>13322</v>
      </c>
      <c r="S12" s="65">
        <f t="shared" si="6"/>
        <v>0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</row>
    <row r="13" spans="2:147" x14ac:dyDescent="0.4">
      <c r="B13" s="496"/>
      <c r="C13" s="60">
        <v>10</v>
      </c>
      <c r="D13" s="323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433</v>
      </c>
      <c r="K13" s="201">
        <v>13322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 t="shared" si="10"/>
        <v>0</v>
      </c>
      <c r="Q13" s="205">
        <f>SUMIF($U$2:$AT$2,"&lt;="&amp;$D$1,U13:BN13)</f>
        <v>0</v>
      </c>
      <c r="R13" s="205">
        <f t="shared" si="5"/>
        <v>13322</v>
      </c>
      <c r="S13" s="65">
        <f t="shared" si="6"/>
        <v>0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</row>
    <row r="14" spans="2:147" x14ac:dyDescent="0.4">
      <c r="B14" s="496"/>
      <c r="C14" s="60">
        <v>11</v>
      </c>
      <c r="D14" s="323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433</v>
      </c>
      <c r="K14" s="201">
        <v>13322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si="10"/>
        <v>0</v>
      </c>
      <c r="Q14" s="205">
        <f>SUMIF($U$2:$AT$2,"&lt;="&amp;$D$1,U14:BN14)</f>
        <v>0</v>
      </c>
      <c r="R14" s="205">
        <f t="shared" si="5"/>
        <v>13322</v>
      </c>
      <c r="S14" s="65">
        <f t="shared" si="6"/>
        <v>0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</row>
    <row r="15" spans="2:147" x14ac:dyDescent="0.4">
      <c r="B15" s="496"/>
      <c r="C15" s="60">
        <v>12</v>
      </c>
      <c r="D15" s="323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433</v>
      </c>
      <c r="K15" s="201">
        <v>13322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0"/>
        <v>0</v>
      </c>
      <c r="Q15" s="205">
        <f t="shared" ref="Q15:Q27" si="13">SUMIF($U$2:$AT$2,"&lt;="&amp;$D$1,U15:AT15)</f>
        <v>0</v>
      </c>
      <c r="R15" s="205">
        <f t="shared" si="5"/>
        <v>13322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</row>
    <row r="16" spans="2:147" x14ac:dyDescent="0.4">
      <c r="B16" s="496" t="s">
        <v>114</v>
      </c>
      <c r="C16" s="60">
        <v>13</v>
      </c>
      <c r="D16" s="323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0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</row>
    <row r="17" spans="2:110" x14ac:dyDescent="0.4">
      <c r="B17" s="496"/>
      <c r="C17" s="60">
        <v>14</v>
      </c>
      <c r="D17" s="323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0"/>
        <v>0</v>
      </c>
      <c r="Q17" s="208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</row>
    <row r="18" spans="2:110" x14ac:dyDescent="0.4">
      <c r="B18" s="496"/>
      <c r="C18" s="60">
        <v>15</v>
      </c>
      <c r="D18" s="323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0"/>
        <v>0</v>
      </c>
      <c r="Q18" s="208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</row>
    <row r="19" spans="2:110" x14ac:dyDescent="0.4">
      <c r="B19" s="496"/>
      <c r="C19" s="60">
        <v>16</v>
      </c>
      <c r="D19" s="323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0"/>
        <v>0</v>
      </c>
      <c r="Q19" s="208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</row>
    <row r="20" spans="2:110" x14ac:dyDescent="0.4">
      <c r="B20" s="496"/>
      <c r="C20" s="60">
        <v>17</v>
      </c>
      <c r="D20" s="323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0"/>
        <v>0</v>
      </c>
      <c r="Q20" s="208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</row>
    <row r="21" spans="2:110" x14ac:dyDescent="0.4">
      <c r="B21" s="496"/>
      <c r="C21" s="60">
        <v>18</v>
      </c>
      <c r="D21" s="323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0"/>
        <v>0</v>
      </c>
      <c r="Q21" s="208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</row>
    <row r="22" spans="2:110" x14ac:dyDescent="0.4">
      <c r="B22" s="496"/>
      <c r="C22" s="60">
        <v>19</v>
      </c>
      <c r="D22" s="323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0"/>
        <v>0</v>
      </c>
      <c r="Q22" s="208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</row>
    <row r="23" spans="2:110" x14ac:dyDescent="0.4">
      <c r="B23" s="496"/>
      <c r="C23" s="60">
        <v>20</v>
      </c>
      <c r="D23" s="323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0"/>
        <v>0</v>
      </c>
      <c r="Q23" s="208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</row>
    <row r="24" spans="2:110" x14ac:dyDescent="0.4">
      <c r="B24" s="496"/>
      <c r="C24" s="60">
        <v>21</v>
      </c>
      <c r="D24" s="323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0"/>
        <v>0</v>
      </c>
      <c r="Q24" s="208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</row>
    <row r="25" spans="2:110" x14ac:dyDescent="0.4">
      <c r="B25" s="496"/>
      <c r="C25" s="60">
        <v>22</v>
      </c>
      <c r="D25" s="323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0"/>
        <v>0</v>
      </c>
      <c r="Q25" s="208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</row>
    <row r="26" spans="2:110" x14ac:dyDescent="0.4">
      <c r="B26" s="496"/>
      <c r="C26" s="60">
        <v>23</v>
      </c>
      <c r="D26" s="328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0"/>
        <v>0</v>
      </c>
      <c r="Q26" s="208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</row>
    <row r="27" spans="2:110" x14ac:dyDescent="0.4">
      <c r="B27" s="496"/>
      <c r="C27" s="326">
        <v>24</v>
      </c>
      <c r="D27" s="330" t="s">
        <v>132</v>
      </c>
      <c r="E27" s="327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0"/>
        <v>0</v>
      </c>
      <c r="Q27" s="208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</row>
    <row r="28" spans="2:110" x14ac:dyDescent="0.4">
      <c r="B28" s="492" t="s">
        <v>152</v>
      </c>
      <c r="C28" s="326">
        <v>49</v>
      </c>
      <c r="D28" s="330" t="s">
        <v>159</v>
      </c>
      <c r="E28" s="327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ref="P28:P42" si="20">IFERROR(SUMIF($U$2:$AT$2,"&lt;="&amp;$D$1,U28:BN28)/K28,"-")</f>
        <v>-</v>
      </c>
      <c r="Q28" s="208">
        <f t="shared" ref="Q28:Q42" si="21">SUMIF($U$2:$AT$2,"&lt;="&amp;$D$1,U28:AT28)</f>
        <v>0</v>
      </c>
      <c r="R28" s="205">
        <f t="shared" ref="R28:R42" si="22">K28-Q28</f>
        <v>0</v>
      </c>
      <c r="S28" s="65">
        <f t="shared" ref="S28:S42" si="23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</row>
    <row r="29" spans="2:110" x14ac:dyDescent="0.4">
      <c r="B29" s="493"/>
      <c r="C29" s="326">
        <v>50</v>
      </c>
      <c r="D29" s="330" t="s">
        <v>160</v>
      </c>
      <c r="E29" s="327">
        <v>45863</v>
      </c>
      <c r="F29" s="207">
        <v>45950</v>
      </c>
      <c r="G29" s="199">
        <f t="shared" si="17"/>
        <v>87</v>
      </c>
      <c r="H29" s="207">
        <f t="shared" ref="H29:H33" si="24">E29</f>
        <v>45863</v>
      </c>
      <c r="I29" s="207">
        <f t="shared" ref="I29:I33" si="25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20"/>
        <v>-</v>
      </c>
      <c r="Q29" s="208">
        <f t="shared" si="21"/>
        <v>0</v>
      </c>
      <c r="R29" s="205">
        <f t="shared" si="22"/>
        <v>0</v>
      </c>
      <c r="S29" s="65">
        <f t="shared" si="23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</row>
    <row r="30" spans="2:110" x14ac:dyDescent="0.4">
      <c r="B30" s="493"/>
      <c r="C30" s="326">
        <v>51</v>
      </c>
      <c r="D30" s="330" t="s">
        <v>161</v>
      </c>
      <c r="E30" s="327">
        <v>45966</v>
      </c>
      <c r="F30" s="207">
        <v>46001</v>
      </c>
      <c r="G30" s="199">
        <f t="shared" si="17"/>
        <v>35</v>
      </c>
      <c r="H30" s="207">
        <f t="shared" si="24"/>
        <v>45966</v>
      </c>
      <c r="I30" s="207">
        <f t="shared" si="25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20"/>
        <v>-</v>
      </c>
      <c r="Q30" s="208">
        <f t="shared" si="21"/>
        <v>0</v>
      </c>
      <c r="R30" s="205">
        <f t="shared" si="22"/>
        <v>0</v>
      </c>
      <c r="S30" s="65">
        <f t="shared" si="23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</row>
    <row r="31" spans="2:110" x14ac:dyDescent="0.4">
      <c r="B31" s="493"/>
      <c r="C31" s="326">
        <v>52</v>
      </c>
      <c r="D31" s="330" t="s">
        <v>162</v>
      </c>
      <c r="E31" s="327">
        <v>45981</v>
      </c>
      <c r="F31" s="207">
        <v>46009</v>
      </c>
      <c r="G31" s="199">
        <f t="shared" si="17"/>
        <v>28</v>
      </c>
      <c r="H31" s="207">
        <f t="shared" si="24"/>
        <v>45981</v>
      </c>
      <c r="I31" s="207">
        <f t="shared" si="25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20"/>
        <v>-</v>
      </c>
      <c r="Q31" s="208">
        <f t="shared" si="21"/>
        <v>0</v>
      </c>
      <c r="R31" s="205">
        <f t="shared" si="22"/>
        <v>0</v>
      </c>
      <c r="S31" s="65">
        <f t="shared" si="23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</row>
    <row r="32" spans="2:110" x14ac:dyDescent="0.4">
      <c r="B32" s="493"/>
      <c r="C32" s="60">
        <v>53</v>
      </c>
      <c r="D32" s="329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4"/>
        <v>45971</v>
      </c>
      <c r="I32" s="207">
        <f t="shared" si="25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20"/>
        <v>-</v>
      </c>
      <c r="Q32" s="208">
        <f t="shared" si="21"/>
        <v>0</v>
      </c>
      <c r="R32" s="205">
        <f t="shared" si="22"/>
        <v>0</v>
      </c>
      <c r="S32" s="65">
        <f t="shared" si="23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</row>
    <row r="33" spans="2:110" x14ac:dyDescent="0.4">
      <c r="B33" s="493"/>
      <c r="C33" s="60">
        <v>54</v>
      </c>
      <c r="D33" s="323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4"/>
        <v>45996</v>
      </c>
      <c r="I33" s="207">
        <f t="shared" si="25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20"/>
        <v>-</v>
      </c>
      <c r="Q33" s="208">
        <f t="shared" si="21"/>
        <v>0</v>
      </c>
      <c r="R33" s="205">
        <f t="shared" si="22"/>
        <v>0</v>
      </c>
      <c r="S33" s="65">
        <f t="shared" si="23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</row>
    <row r="34" spans="2:110" x14ac:dyDescent="0.4">
      <c r="B34" s="493"/>
      <c r="C34" s="60">
        <v>55</v>
      </c>
      <c r="D34" s="323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 t="shared" si="20"/>
        <v>0</v>
      </c>
      <c r="Q34" s="208">
        <f t="shared" si="21"/>
        <v>0</v>
      </c>
      <c r="R34" s="205">
        <f t="shared" si="22"/>
        <v>21000</v>
      </c>
      <c r="S34" s="65">
        <f t="shared" si="23"/>
        <v>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</row>
    <row r="35" spans="2:110" x14ac:dyDescent="0.4">
      <c r="B35" s="493"/>
      <c r="C35" s="60">
        <v>56</v>
      </c>
      <c r="D35" s="323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si="20"/>
        <v>0</v>
      </c>
      <c r="Q35" s="208">
        <f t="shared" si="21"/>
        <v>0</v>
      </c>
      <c r="R35" s="205">
        <f t="shared" si="22"/>
        <v>21000</v>
      </c>
      <c r="S35" s="65">
        <f t="shared" si="23"/>
        <v>0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</row>
    <row r="36" spans="2:110" x14ac:dyDescent="0.4">
      <c r="B36" s="493"/>
      <c r="C36" s="60">
        <v>57</v>
      </c>
      <c r="D36" s="323" t="s">
        <v>439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0"/>
        <v>0</v>
      </c>
      <c r="Q36" s="208">
        <f t="shared" si="21"/>
        <v>0</v>
      </c>
      <c r="R36" s="205">
        <f t="shared" si="22"/>
        <v>21000</v>
      </c>
      <c r="S36" s="65">
        <f t="shared" si="23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</row>
    <row r="37" spans="2:110" x14ac:dyDescent="0.4">
      <c r="B37" s="493"/>
      <c r="C37" s="60">
        <v>58</v>
      </c>
      <c r="D37" s="323" t="s">
        <v>430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0"/>
        <v>0</v>
      </c>
      <c r="Q37" s="208">
        <f t="shared" si="21"/>
        <v>0</v>
      </c>
      <c r="R37" s="205">
        <f t="shared" si="22"/>
        <v>21000</v>
      </c>
      <c r="S37" s="65">
        <f t="shared" si="23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</row>
    <row r="38" spans="2:110" x14ac:dyDescent="0.4">
      <c r="B38" s="493"/>
      <c r="C38" s="60">
        <v>59</v>
      </c>
      <c r="D38" s="323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si="20"/>
        <v>-</v>
      </c>
      <c r="Q38" s="208">
        <f t="shared" si="21"/>
        <v>0</v>
      </c>
      <c r="R38" s="205">
        <f t="shared" si="22"/>
        <v>0</v>
      </c>
      <c r="S38" s="65">
        <f t="shared" si="23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</row>
    <row r="39" spans="2:110" x14ac:dyDescent="0.4">
      <c r="B39" s="493"/>
      <c r="C39" s="60">
        <v>60</v>
      </c>
      <c r="D39" s="323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0"/>
        <v>-</v>
      </c>
      <c r="Q39" s="208">
        <f t="shared" si="21"/>
        <v>0</v>
      </c>
      <c r="R39" s="205">
        <f t="shared" si="22"/>
        <v>0</v>
      </c>
      <c r="S39" s="65">
        <f t="shared" si="23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</row>
    <row r="40" spans="2:110" x14ac:dyDescent="0.4">
      <c r="B40" s="493"/>
      <c r="C40" s="60">
        <v>61</v>
      </c>
      <c r="D40" s="323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0"/>
        <v>-</v>
      </c>
      <c r="Q40" s="208">
        <f t="shared" si="21"/>
        <v>0</v>
      </c>
      <c r="R40" s="205">
        <f t="shared" si="22"/>
        <v>0</v>
      </c>
      <c r="S40" s="65">
        <f t="shared" si="23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</row>
    <row r="41" spans="2:110" ht="29" x14ac:dyDescent="0.4">
      <c r="B41" s="496" t="s">
        <v>176</v>
      </c>
      <c r="C41" s="60">
        <v>66</v>
      </c>
      <c r="D41" s="324" t="s">
        <v>441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0"/>
        <v>0</v>
      </c>
      <c r="Q41" s="208">
        <f t="shared" si="21"/>
        <v>0</v>
      </c>
      <c r="R41" s="205">
        <f t="shared" si="22"/>
        <v>1360</v>
      </c>
      <c r="S41" s="65">
        <f t="shared" si="23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10" x14ac:dyDescent="0.4">
      <c r="B42" s="496"/>
      <c r="C42" s="60">
        <v>67</v>
      </c>
      <c r="D42" s="324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0"/>
        <v>0</v>
      </c>
      <c r="Q42" s="208">
        <f t="shared" si="21"/>
        <v>0</v>
      </c>
      <c r="R42" s="205">
        <f t="shared" si="22"/>
        <v>1360</v>
      </c>
      <c r="S42" s="65">
        <f t="shared" si="23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10" x14ac:dyDescent="0.4">
      <c r="B43" s="496"/>
      <c r="C43" s="60">
        <v>68</v>
      </c>
      <c r="D43" s="324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8">IF(OR(M43="",L43=""),"",INT(M43-L43+1))</f>
        <v/>
      </c>
      <c r="O43" s="203" t="str">
        <f t="shared" ref="O43:O73" si="29">IFERROR(K43/N43,"-")</f>
        <v>-</v>
      </c>
      <c r="P43" s="206">
        <f t="shared" ref="P43:P73" si="30">IFERROR(SUMIF($U$2:$AT$2,"&lt;="&amp;$D$1,U43:BN43)/K43,"-")</f>
        <v>0</v>
      </c>
      <c r="Q43" s="208">
        <f t="shared" ref="Q43:Q73" si="31">SUMIF($U$2:$AT$2,"&lt;="&amp;$D$1,U43:AT43)</f>
        <v>0</v>
      </c>
      <c r="R43" s="205">
        <f t="shared" ref="R43:R73" si="32">K43-Q43</f>
        <v>1360</v>
      </c>
      <c r="S43" s="65">
        <f t="shared" ref="S43:S55" si="33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10" x14ac:dyDescent="0.4">
      <c r="B44" s="496"/>
      <c r="C44" s="60">
        <v>69</v>
      </c>
      <c r="D44" s="324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8"/>
        <v/>
      </c>
      <c r="O44" s="203" t="str">
        <f t="shared" si="29"/>
        <v>-</v>
      </c>
      <c r="P44" s="206">
        <f t="shared" si="30"/>
        <v>0</v>
      </c>
      <c r="Q44" s="208">
        <f t="shared" si="31"/>
        <v>0</v>
      </c>
      <c r="R44" s="205">
        <f t="shared" si="32"/>
        <v>1360</v>
      </c>
      <c r="S44" s="65">
        <f t="shared" si="33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10" ht="29" x14ac:dyDescent="0.4">
      <c r="B45" s="496"/>
      <c r="C45" s="60">
        <v>70</v>
      </c>
      <c r="D45" s="324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8"/>
        <v/>
      </c>
      <c r="O45" s="203" t="str">
        <f t="shared" si="29"/>
        <v>-</v>
      </c>
      <c r="P45" s="206">
        <f t="shared" si="30"/>
        <v>0</v>
      </c>
      <c r="Q45" s="208">
        <f t="shared" si="31"/>
        <v>0</v>
      </c>
      <c r="R45" s="205">
        <f t="shared" si="32"/>
        <v>1360</v>
      </c>
      <c r="S45" s="65">
        <f t="shared" si="33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10" x14ac:dyDescent="0.4">
      <c r="B46" s="496"/>
      <c r="C46" s="60">
        <v>71</v>
      </c>
      <c r="D46" s="324" t="s">
        <v>440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8"/>
        <v/>
      </c>
      <c r="O46" s="203" t="str">
        <f t="shared" si="29"/>
        <v>-</v>
      </c>
      <c r="P46" s="206">
        <f t="shared" si="30"/>
        <v>0</v>
      </c>
      <c r="Q46" s="208">
        <f t="shared" si="31"/>
        <v>0</v>
      </c>
      <c r="R46" s="205">
        <f t="shared" si="32"/>
        <v>1360</v>
      </c>
      <c r="S46" s="65">
        <f t="shared" si="33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10" x14ac:dyDescent="0.4">
      <c r="B47" s="496"/>
      <c r="C47" s="60">
        <v>72</v>
      </c>
      <c r="D47" s="324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8"/>
        <v/>
      </c>
      <c r="O47" s="203" t="str">
        <f t="shared" si="29"/>
        <v>-</v>
      </c>
      <c r="P47" s="206">
        <f t="shared" si="30"/>
        <v>0</v>
      </c>
      <c r="Q47" s="208">
        <f t="shared" si="31"/>
        <v>0</v>
      </c>
      <c r="R47" s="205">
        <f t="shared" si="32"/>
        <v>1360</v>
      </c>
      <c r="S47" s="65">
        <f t="shared" si="33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10" x14ac:dyDescent="0.4">
      <c r="B48" s="496"/>
      <c r="C48" s="60">
        <v>73</v>
      </c>
      <c r="D48" s="324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8"/>
        <v/>
      </c>
      <c r="O48" s="203" t="str">
        <f t="shared" si="29"/>
        <v>-</v>
      </c>
      <c r="P48" s="206">
        <f t="shared" si="30"/>
        <v>0</v>
      </c>
      <c r="Q48" s="208">
        <f t="shared" si="31"/>
        <v>0</v>
      </c>
      <c r="R48" s="205">
        <f t="shared" si="32"/>
        <v>1360</v>
      </c>
      <c r="S48" s="65">
        <f t="shared" si="33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96"/>
      <c r="C49" s="60">
        <v>74</v>
      </c>
      <c r="D49" s="324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8"/>
        <v/>
      </c>
      <c r="O49" s="203" t="str">
        <f t="shared" si="29"/>
        <v>-</v>
      </c>
      <c r="P49" s="206">
        <f t="shared" si="30"/>
        <v>0</v>
      </c>
      <c r="Q49" s="208">
        <f t="shared" si="31"/>
        <v>0</v>
      </c>
      <c r="R49" s="205">
        <f t="shared" si="32"/>
        <v>1360</v>
      </c>
      <c r="S49" s="65">
        <f t="shared" si="33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96"/>
      <c r="C50" s="60">
        <v>75</v>
      </c>
      <c r="D50" s="324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8"/>
        <v/>
      </c>
      <c r="O50" s="203" t="str">
        <f t="shared" si="29"/>
        <v>-</v>
      </c>
      <c r="P50" s="206">
        <f t="shared" si="30"/>
        <v>0</v>
      </c>
      <c r="Q50" s="208">
        <f t="shared" si="31"/>
        <v>0</v>
      </c>
      <c r="R50" s="205">
        <f t="shared" si="32"/>
        <v>1360</v>
      </c>
      <c r="S50" s="65">
        <f t="shared" si="33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96" t="s">
        <v>180</v>
      </c>
      <c r="C51" s="60">
        <v>76</v>
      </c>
      <c r="D51" s="324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8"/>
        <v/>
      </c>
      <c r="O51" s="203" t="str">
        <f t="shared" si="29"/>
        <v>-</v>
      </c>
      <c r="P51" s="206">
        <f t="shared" si="30"/>
        <v>0</v>
      </c>
      <c r="Q51" s="208">
        <f t="shared" si="31"/>
        <v>0</v>
      </c>
      <c r="R51" s="205">
        <f t="shared" si="32"/>
        <v>74</v>
      </c>
      <c r="S51" s="65">
        <f t="shared" si="33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96"/>
      <c r="C52" s="60">
        <v>77</v>
      </c>
      <c r="D52" s="324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8"/>
        <v/>
      </c>
      <c r="O52" s="203" t="str">
        <f t="shared" si="29"/>
        <v>-</v>
      </c>
      <c r="P52" s="206">
        <f t="shared" si="30"/>
        <v>0</v>
      </c>
      <c r="Q52" s="208">
        <f t="shared" si="31"/>
        <v>0</v>
      </c>
      <c r="R52" s="205">
        <f t="shared" si="32"/>
        <v>26</v>
      </c>
      <c r="S52" s="65">
        <f t="shared" si="33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96"/>
      <c r="C53" s="60">
        <v>78</v>
      </c>
      <c r="D53" s="324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8"/>
        <v/>
      </c>
      <c r="O53" s="203" t="str">
        <f t="shared" si="29"/>
        <v>-</v>
      </c>
      <c r="P53" s="206">
        <f t="shared" si="30"/>
        <v>0</v>
      </c>
      <c r="Q53" s="208">
        <f t="shared" si="31"/>
        <v>0</v>
      </c>
      <c r="R53" s="205">
        <f t="shared" si="32"/>
        <v>26</v>
      </c>
      <c r="S53" s="65">
        <f t="shared" si="33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96"/>
      <c r="C54" s="60">
        <v>79</v>
      </c>
      <c r="D54" s="324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8"/>
        <v/>
      </c>
      <c r="O54" s="203" t="str">
        <f t="shared" si="29"/>
        <v>-</v>
      </c>
      <c r="P54" s="206">
        <f t="shared" si="30"/>
        <v>0</v>
      </c>
      <c r="Q54" s="208">
        <f t="shared" si="31"/>
        <v>0</v>
      </c>
      <c r="R54" s="205">
        <f t="shared" si="32"/>
        <v>26</v>
      </c>
      <c r="S54" s="65">
        <f t="shared" si="33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96"/>
      <c r="C55" s="60">
        <v>80</v>
      </c>
      <c r="D55" s="324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8"/>
        <v/>
      </c>
      <c r="O55" s="203" t="str">
        <f t="shared" si="29"/>
        <v>-</v>
      </c>
      <c r="P55" s="206">
        <f t="shared" si="30"/>
        <v>0</v>
      </c>
      <c r="Q55" s="208">
        <f t="shared" si="31"/>
        <v>0</v>
      </c>
      <c r="R55" s="205">
        <f t="shared" si="32"/>
        <v>26</v>
      </c>
      <c r="S55" s="65">
        <f t="shared" si="33"/>
        <v>0</v>
      </c>
      <c r="T55" s="158">
        <f t="shared" ref="T55:T118" si="34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96"/>
      <c r="C56" s="60">
        <v>82</v>
      </c>
      <c r="D56" s="324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8"/>
        <v/>
      </c>
      <c r="O56" s="203" t="str">
        <f t="shared" si="29"/>
        <v>-</v>
      </c>
      <c r="P56" s="206">
        <f t="shared" si="30"/>
        <v>0</v>
      </c>
      <c r="Q56" s="208">
        <f t="shared" si="31"/>
        <v>0</v>
      </c>
      <c r="R56" s="205">
        <f t="shared" si="32"/>
        <v>26</v>
      </c>
      <c r="S56" s="65">
        <f t="shared" ref="S56:S73" si="35">SUM(U56:XFD56)</f>
        <v>0</v>
      </c>
      <c r="T56" s="158">
        <f t="shared" si="34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96"/>
      <c r="C57" s="60">
        <v>83</v>
      </c>
      <c r="D57" s="324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8"/>
        <v/>
      </c>
      <c r="O57" s="203" t="str">
        <f t="shared" si="29"/>
        <v>-</v>
      </c>
      <c r="P57" s="206">
        <f t="shared" si="30"/>
        <v>0</v>
      </c>
      <c r="Q57" s="208">
        <f t="shared" si="31"/>
        <v>0</v>
      </c>
      <c r="R57" s="205">
        <f t="shared" si="32"/>
        <v>26</v>
      </c>
      <c r="S57" s="65">
        <f t="shared" si="35"/>
        <v>0</v>
      </c>
      <c r="T57" s="158">
        <f t="shared" si="34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96"/>
      <c r="C58" s="60">
        <v>84</v>
      </c>
      <c r="D58" s="324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8"/>
        <v/>
      </c>
      <c r="O58" s="203" t="str">
        <f t="shared" si="29"/>
        <v>-</v>
      </c>
      <c r="P58" s="206">
        <f t="shared" si="30"/>
        <v>0</v>
      </c>
      <c r="Q58" s="208">
        <f t="shared" si="31"/>
        <v>0</v>
      </c>
      <c r="R58" s="205">
        <f t="shared" si="32"/>
        <v>26</v>
      </c>
      <c r="S58" s="65">
        <f t="shared" si="35"/>
        <v>0</v>
      </c>
      <c r="T58" s="158">
        <f t="shared" si="34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96"/>
      <c r="C59" s="60">
        <v>85</v>
      </c>
      <c r="D59" s="324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8"/>
        <v/>
      </c>
      <c r="O59" s="203" t="str">
        <f t="shared" si="29"/>
        <v>-</v>
      </c>
      <c r="P59" s="206">
        <f t="shared" si="30"/>
        <v>0</v>
      </c>
      <c r="Q59" s="208">
        <f t="shared" si="31"/>
        <v>0</v>
      </c>
      <c r="R59" s="205">
        <f t="shared" si="32"/>
        <v>26</v>
      </c>
      <c r="S59" s="65">
        <f t="shared" si="35"/>
        <v>0</v>
      </c>
      <c r="T59" s="158">
        <f t="shared" si="34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96"/>
      <c r="C60" s="60">
        <v>86</v>
      </c>
      <c r="D60" s="324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8"/>
        <v/>
      </c>
      <c r="O60" s="203" t="str">
        <f t="shared" si="29"/>
        <v>-</v>
      </c>
      <c r="P60" s="206">
        <f t="shared" si="30"/>
        <v>0</v>
      </c>
      <c r="Q60" s="208">
        <f t="shared" si="31"/>
        <v>0</v>
      </c>
      <c r="R60" s="205">
        <f t="shared" si="32"/>
        <v>26</v>
      </c>
      <c r="S60" s="65">
        <f t="shared" si="35"/>
        <v>0</v>
      </c>
      <c r="T60" s="158">
        <f t="shared" si="34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96"/>
      <c r="C61" s="60">
        <v>87</v>
      </c>
      <c r="D61" s="324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8"/>
        <v/>
      </c>
      <c r="O61" s="203" t="str">
        <f t="shared" si="29"/>
        <v>-</v>
      </c>
      <c r="P61" s="206">
        <f t="shared" si="30"/>
        <v>0</v>
      </c>
      <c r="Q61" s="208">
        <f t="shared" si="31"/>
        <v>0</v>
      </c>
      <c r="R61" s="205">
        <f t="shared" si="32"/>
        <v>26</v>
      </c>
      <c r="S61" s="65">
        <f t="shared" si="35"/>
        <v>0</v>
      </c>
      <c r="T61" s="158">
        <f t="shared" si="34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96"/>
      <c r="C62" s="60">
        <v>88</v>
      </c>
      <c r="D62" s="324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6">E62</f>
        <v>45986</v>
      </c>
      <c r="I62" s="196">
        <f t="shared" ref="I62:I91" si="37">F62</f>
        <v>46027</v>
      </c>
      <c r="J62" s="200" t="s">
        <v>2</v>
      </c>
      <c r="K62" s="201">
        <v>26</v>
      </c>
      <c r="L62" s="202"/>
      <c r="M62" s="202"/>
      <c r="N62" s="199" t="str">
        <f t="shared" si="28"/>
        <v/>
      </c>
      <c r="O62" s="203" t="str">
        <f t="shared" si="29"/>
        <v>-</v>
      </c>
      <c r="P62" s="206">
        <f t="shared" si="30"/>
        <v>0</v>
      </c>
      <c r="Q62" s="208">
        <f t="shared" si="31"/>
        <v>0</v>
      </c>
      <c r="R62" s="205">
        <f t="shared" si="32"/>
        <v>26</v>
      </c>
      <c r="S62" s="65">
        <f t="shared" si="35"/>
        <v>0</v>
      </c>
      <c r="T62" s="158">
        <f t="shared" si="34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96" t="s">
        <v>190</v>
      </c>
      <c r="C63" s="60">
        <v>89</v>
      </c>
      <c r="D63" s="324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6"/>
        <v>45950</v>
      </c>
      <c r="I63" s="196">
        <f t="shared" si="37"/>
        <v>45976</v>
      </c>
      <c r="J63" s="200" t="s">
        <v>11</v>
      </c>
      <c r="K63" s="201">
        <v>1</v>
      </c>
      <c r="L63" s="202"/>
      <c r="M63" s="202"/>
      <c r="N63" s="199" t="str">
        <f t="shared" si="28"/>
        <v/>
      </c>
      <c r="O63" s="203" t="str">
        <f t="shared" si="29"/>
        <v>-</v>
      </c>
      <c r="P63" s="206">
        <f t="shared" si="30"/>
        <v>0</v>
      </c>
      <c r="Q63" s="208">
        <f t="shared" si="31"/>
        <v>0</v>
      </c>
      <c r="R63" s="205">
        <f t="shared" si="32"/>
        <v>1</v>
      </c>
      <c r="S63" s="65">
        <f t="shared" si="35"/>
        <v>0</v>
      </c>
      <c r="T63" s="158">
        <f t="shared" si="34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96"/>
      <c r="C64" s="60">
        <v>90</v>
      </c>
      <c r="D64" s="324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6"/>
        <v>45919</v>
      </c>
      <c r="I64" s="196">
        <f t="shared" si="37"/>
        <v>45959</v>
      </c>
      <c r="J64" s="200" t="s">
        <v>11</v>
      </c>
      <c r="K64" s="201">
        <v>1</v>
      </c>
      <c r="L64" s="202"/>
      <c r="M64" s="202"/>
      <c r="N64" s="199" t="str">
        <f t="shared" si="28"/>
        <v/>
      </c>
      <c r="O64" s="203" t="str">
        <f t="shared" si="29"/>
        <v>-</v>
      </c>
      <c r="P64" s="206">
        <f t="shared" si="30"/>
        <v>0</v>
      </c>
      <c r="Q64" s="208">
        <f t="shared" si="31"/>
        <v>0</v>
      </c>
      <c r="R64" s="205">
        <f t="shared" si="32"/>
        <v>1</v>
      </c>
      <c r="S64" s="65">
        <f t="shared" si="35"/>
        <v>0</v>
      </c>
      <c r="T64" s="158">
        <f t="shared" si="34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96"/>
      <c r="C65" s="60">
        <v>91</v>
      </c>
      <c r="D65" s="324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6"/>
        <v>45935</v>
      </c>
      <c r="I65" s="196">
        <f t="shared" si="37"/>
        <v>45971</v>
      </c>
      <c r="J65" s="200" t="s">
        <v>11</v>
      </c>
      <c r="K65" s="201">
        <v>1</v>
      </c>
      <c r="L65" s="202"/>
      <c r="M65" s="202"/>
      <c r="N65" s="199" t="str">
        <f t="shared" si="28"/>
        <v/>
      </c>
      <c r="O65" s="203" t="str">
        <f t="shared" si="29"/>
        <v>-</v>
      </c>
      <c r="P65" s="206">
        <f t="shared" si="30"/>
        <v>0</v>
      </c>
      <c r="Q65" s="208">
        <f t="shared" si="31"/>
        <v>0</v>
      </c>
      <c r="R65" s="205">
        <f t="shared" si="32"/>
        <v>1</v>
      </c>
      <c r="S65" s="65">
        <f t="shared" si="35"/>
        <v>0</v>
      </c>
      <c r="T65" s="158">
        <f t="shared" si="34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96"/>
      <c r="C66" s="60">
        <v>92</v>
      </c>
      <c r="D66" s="324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6"/>
        <v>45996</v>
      </c>
      <c r="I66" s="196">
        <f t="shared" si="37"/>
        <v>46027</v>
      </c>
      <c r="J66" s="200" t="s">
        <v>11</v>
      </c>
      <c r="K66" s="201">
        <v>1</v>
      </c>
      <c r="L66" s="202"/>
      <c r="M66" s="202"/>
      <c r="N66" s="199" t="str">
        <f t="shared" si="28"/>
        <v/>
      </c>
      <c r="O66" s="203" t="str">
        <f t="shared" si="29"/>
        <v>-</v>
      </c>
      <c r="P66" s="206">
        <f t="shared" si="30"/>
        <v>0</v>
      </c>
      <c r="Q66" s="208">
        <f t="shared" si="31"/>
        <v>0</v>
      </c>
      <c r="R66" s="205">
        <f t="shared" si="32"/>
        <v>1</v>
      </c>
      <c r="S66" s="65">
        <f t="shared" si="35"/>
        <v>0</v>
      </c>
      <c r="T66" s="158">
        <f t="shared" si="34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96"/>
      <c r="C67" s="60">
        <v>93</v>
      </c>
      <c r="D67" s="324" t="s">
        <v>431</v>
      </c>
      <c r="E67" s="196">
        <v>46024</v>
      </c>
      <c r="F67" s="196">
        <v>46042</v>
      </c>
      <c r="G67" s="197">
        <f t="shared" si="17"/>
        <v>18</v>
      </c>
      <c r="H67" s="196">
        <f t="shared" si="36"/>
        <v>46024</v>
      </c>
      <c r="I67" s="196">
        <f t="shared" si="37"/>
        <v>46042</v>
      </c>
      <c r="J67" s="200" t="s">
        <v>11</v>
      </c>
      <c r="K67" s="201">
        <v>1</v>
      </c>
      <c r="L67" s="202"/>
      <c r="M67" s="202"/>
      <c r="N67" s="199" t="str">
        <f t="shared" si="28"/>
        <v/>
      </c>
      <c r="O67" s="203" t="str">
        <f t="shared" si="29"/>
        <v>-</v>
      </c>
      <c r="P67" s="206">
        <f t="shared" si="30"/>
        <v>0</v>
      </c>
      <c r="Q67" s="208">
        <f t="shared" si="31"/>
        <v>0</v>
      </c>
      <c r="R67" s="205">
        <f t="shared" si="32"/>
        <v>1</v>
      </c>
      <c r="S67" s="65">
        <f t="shared" si="35"/>
        <v>0</v>
      </c>
      <c r="T67" s="158">
        <f t="shared" si="34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96"/>
      <c r="C68" s="60">
        <v>94</v>
      </c>
      <c r="D68" s="324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6"/>
        <v>46016</v>
      </c>
      <c r="I68" s="196">
        <f t="shared" si="37"/>
        <v>46024</v>
      </c>
      <c r="J68" s="200" t="s">
        <v>11</v>
      </c>
      <c r="K68" s="201">
        <v>1</v>
      </c>
      <c r="L68" s="202"/>
      <c r="M68" s="202"/>
      <c r="N68" s="199" t="str">
        <f t="shared" si="28"/>
        <v/>
      </c>
      <c r="O68" s="203" t="str">
        <f t="shared" si="29"/>
        <v>-</v>
      </c>
      <c r="P68" s="206">
        <f t="shared" si="30"/>
        <v>0</v>
      </c>
      <c r="Q68" s="208">
        <f t="shared" si="31"/>
        <v>0</v>
      </c>
      <c r="R68" s="205">
        <f t="shared" si="32"/>
        <v>1</v>
      </c>
      <c r="S68" s="65">
        <f t="shared" si="35"/>
        <v>0</v>
      </c>
      <c r="T68" s="158">
        <f t="shared" si="34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96"/>
      <c r="C69" s="60">
        <v>95</v>
      </c>
      <c r="D69" s="324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6"/>
        <v>46011</v>
      </c>
      <c r="I69" s="196">
        <f t="shared" si="37"/>
        <v>46019</v>
      </c>
      <c r="J69" s="200" t="s">
        <v>11</v>
      </c>
      <c r="K69" s="201">
        <v>1</v>
      </c>
      <c r="L69" s="202"/>
      <c r="M69" s="202"/>
      <c r="N69" s="199" t="str">
        <f t="shared" si="28"/>
        <v/>
      </c>
      <c r="O69" s="203" t="str">
        <f t="shared" si="29"/>
        <v>-</v>
      </c>
      <c r="P69" s="206">
        <f t="shared" si="30"/>
        <v>0</v>
      </c>
      <c r="Q69" s="208">
        <f t="shared" si="31"/>
        <v>0</v>
      </c>
      <c r="R69" s="205">
        <f t="shared" si="32"/>
        <v>1</v>
      </c>
      <c r="S69" s="65">
        <f t="shared" si="35"/>
        <v>0</v>
      </c>
      <c r="T69" s="158">
        <f t="shared" si="34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96"/>
      <c r="C70" s="60">
        <v>96</v>
      </c>
      <c r="D70" s="324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6"/>
        <v>46019</v>
      </c>
      <c r="I70" s="196">
        <f t="shared" si="37"/>
        <v>46027</v>
      </c>
      <c r="J70" s="200" t="s">
        <v>11</v>
      </c>
      <c r="K70" s="201">
        <v>1</v>
      </c>
      <c r="L70" s="202"/>
      <c r="M70" s="202"/>
      <c r="N70" s="199" t="str">
        <f t="shared" si="28"/>
        <v/>
      </c>
      <c r="O70" s="203" t="str">
        <f t="shared" si="29"/>
        <v>-</v>
      </c>
      <c r="P70" s="206">
        <f t="shared" si="30"/>
        <v>0</v>
      </c>
      <c r="Q70" s="208">
        <f t="shared" si="31"/>
        <v>0</v>
      </c>
      <c r="R70" s="205">
        <f t="shared" si="32"/>
        <v>1</v>
      </c>
      <c r="S70" s="65">
        <f t="shared" si="35"/>
        <v>0</v>
      </c>
      <c r="T70" s="158">
        <f t="shared" si="34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96"/>
      <c r="C71" s="60">
        <v>97</v>
      </c>
      <c r="D71" s="324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6"/>
        <v>46016</v>
      </c>
      <c r="I71" s="196">
        <f t="shared" si="37"/>
        <v>46027</v>
      </c>
      <c r="J71" s="200" t="s">
        <v>11</v>
      </c>
      <c r="K71" s="201">
        <v>1</v>
      </c>
      <c r="L71" s="202"/>
      <c r="M71" s="202"/>
      <c r="N71" s="199" t="str">
        <f t="shared" si="28"/>
        <v/>
      </c>
      <c r="O71" s="203" t="str">
        <f t="shared" si="29"/>
        <v>-</v>
      </c>
      <c r="P71" s="206">
        <f t="shared" si="30"/>
        <v>0</v>
      </c>
      <c r="Q71" s="208">
        <f t="shared" si="31"/>
        <v>0</v>
      </c>
      <c r="R71" s="205">
        <f t="shared" si="32"/>
        <v>1</v>
      </c>
      <c r="S71" s="65">
        <f t="shared" si="35"/>
        <v>0</v>
      </c>
      <c r="T71" s="158">
        <f t="shared" si="34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96"/>
      <c r="C72" s="60">
        <v>98</v>
      </c>
      <c r="D72" s="324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6"/>
        <v>46029</v>
      </c>
      <c r="I72" s="196">
        <f t="shared" si="37"/>
        <v>46031</v>
      </c>
      <c r="J72" s="200" t="s">
        <v>11</v>
      </c>
      <c r="K72" s="201">
        <v>1</v>
      </c>
      <c r="L72" s="202"/>
      <c r="M72" s="202"/>
      <c r="N72" s="199" t="str">
        <f t="shared" si="28"/>
        <v/>
      </c>
      <c r="O72" s="203" t="str">
        <f t="shared" si="29"/>
        <v>-</v>
      </c>
      <c r="P72" s="206">
        <f t="shared" si="30"/>
        <v>0</v>
      </c>
      <c r="Q72" s="208">
        <f t="shared" si="31"/>
        <v>0</v>
      </c>
      <c r="R72" s="205">
        <f t="shared" si="32"/>
        <v>1</v>
      </c>
      <c r="S72" s="65">
        <f t="shared" si="35"/>
        <v>0</v>
      </c>
      <c r="T72" s="158">
        <f t="shared" si="34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96"/>
      <c r="C73" s="60">
        <v>99</v>
      </c>
      <c r="D73" s="324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6"/>
        <v>45966</v>
      </c>
      <c r="I73" s="196">
        <f t="shared" si="37"/>
        <v>45996</v>
      </c>
      <c r="J73" s="200" t="s">
        <v>11</v>
      </c>
      <c r="K73" s="201">
        <v>1</v>
      </c>
      <c r="L73" s="202"/>
      <c r="M73" s="202"/>
      <c r="N73" s="199" t="str">
        <f t="shared" si="28"/>
        <v/>
      </c>
      <c r="O73" s="203" t="str">
        <f t="shared" si="29"/>
        <v>-</v>
      </c>
      <c r="P73" s="206">
        <f t="shared" si="30"/>
        <v>0</v>
      </c>
      <c r="Q73" s="208">
        <f t="shared" si="31"/>
        <v>0</v>
      </c>
      <c r="R73" s="205">
        <f t="shared" si="32"/>
        <v>1</v>
      </c>
      <c r="S73" s="65">
        <f t="shared" si="35"/>
        <v>0</v>
      </c>
      <c r="T73" s="158">
        <f t="shared" si="34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96"/>
      <c r="C74" s="60">
        <v>100</v>
      </c>
      <c r="D74" s="324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6"/>
        <v>46016</v>
      </c>
      <c r="I74" s="196">
        <f t="shared" si="37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8">IF(OR(M74="",L74=""),"",INT(M74-L74+1))</f>
        <v/>
      </c>
      <c r="O74" s="203" t="str">
        <f t="shared" ref="O74:O104" si="39">IFERROR(K74/N74,"-")</f>
        <v>-</v>
      </c>
      <c r="P74" s="206">
        <f t="shared" ref="P74:P104" si="40">IFERROR(SUMIF($U$2:$AT$2,"&lt;="&amp;$D$1,U74:BN74)/K74,"-")</f>
        <v>0</v>
      </c>
      <c r="Q74" s="208">
        <f t="shared" ref="Q74:Q104" si="41">SUMIF($U$2:$AT$2,"&lt;="&amp;$D$1,U74:AT74)</f>
        <v>0</v>
      </c>
      <c r="R74" s="205">
        <f t="shared" ref="R74:R104" si="42">K74-Q74</f>
        <v>1</v>
      </c>
      <c r="S74" s="65">
        <f t="shared" ref="S74:S99" si="43">SUM(U74:XFD74)</f>
        <v>0</v>
      </c>
      <c r="T74" s="158">
        <f t="shared" si="34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96"/>
      <c r="C75" s="60">
        <v>101</v>
      </c>
      <c r="D75" s="324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6"/>
        <v>46017</v>
      </c>
      <c r="I75" s="196">
        <f t="shared" si="37"/>
        <v>46029</v>
      </c>
      <c r="J75" s="200" t="s">
        <v>11</v>
      </c>
      <c r="K75" s="201">
        <v>1</v>
      </c>
      <c r="L75" s="202"/>
      <c r="M75" s="202"/>
      <c r="N75" s="199" t="str">
        <f t="shared" si="38"/>
        <v/>
      </c>
      <c r="O75" s="203" t="str">
        <f t="shared" si="39"/>
        <v>-</v>
      </c>
      <c r="P75" s="206">
        <f t="shared" si="40"/>
        <v>0</v>
      </c>
      <c r="Q75" s="208">
        <f t="shared" si="41"/>
        <v>0</v>
      </c>
      <c r="R75" s="205">
        <f t="shared" si="42"/>
        <v>1</v>
      </c>
      <c r="S75" s="65">
        <f t="shared" si="43"/>
        <v>0</v>
      </c>
      <c r="T75" s="158">
        <f t="shared" si="34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96" t="s">
        <v>202</v>
      </c>
      <c r="C76" s="60">
        <v>102</v>
      </c>
      <c r="D76" s="324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6"/>
        <v>45924</v>
      </c>
      <c r="I76" s="196">
        <f t="shared" si="37"/>
        <v>45950</v>
      </c>
      <c r="J76" s="200" t="s">
        <v>2</v>
      </c>
      <c r="K76" s="201">
        <v>26</v>
      </c>
      <c r="L76" s="202"/>
      <c r="M76" s="202"/>
      <c r="N76" s="199" t="str">
        <f t="shared" si="38"/>
        <v/>
      </c>
      <c r="O76" s="203" t="str">
        <f t="shared" si="39"/>
        <v>-</v>
      </c>
      <c r="P76" s="206">
        <f t="shared" si="40"/>
        <v>0</v>
      </c>
      <c r="Q76" s="208">
        <f t="shared" si="41"/>
        <v>0</v>
      </c>
      <c r="R76" s="205">
        <f t="shared" si="42"/>
        <v>26</v>
      </c>
      <c r="S76" s="65">
        <f t="shared" si="43"/>
        <v>0</v>
      </c>
      <c r="T76" s="158">
        <f t="shared" si="34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96"/>
      <c r="C77" s="60">
        <v>103</v>
      </c>
      <c r="D77" s="324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6"/>
        <v>45929</v>
      </c>
      <c r="I77" s="196">
        <f t="shared" si="37"/>
        <v>45981</v>
      </c>
      <c r="J77" s="200" t="s">
        <v>2</v>
      </c>
      <c r="K77" s="201">
        <v>26</v>
      </c>
      <c r="L77" s="202"/>
      <c r="M77" s="202"/>
      <c r="N77" s="199" t="str">
        <f t="shared" si="38"/>
        <v/>
      </c>
      <c r="O77" s="203" t="str">
        <f t="shared" si="39"/>
        <v>-</v>
      </c>
      <c r="P77" s="206">
        <f t="shared" si="40"/>
        <v>0</v>
      </c>
      <c r="Q77" s="208">
        <f t="shared" si="41"/>
        <v>0</v>
      </c>
      <c r="R77" s="205">
        <f t="shared" si="42"/>
        <v>26</v>
      </c>
      <c r="S77" s="65">
        <f t="shared" si="43"/>
        <v>0</v>
      </c>
      <c r="T77" s="158">
        <f t="shared" si="34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96"/>
      <c r="C78" s="60">
        <v>104</v>
      </c>
      <c r="D78" s="324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6"/>
        <v>45931</v>
      </c>
      <c r="I78" s="196">
        <f t="shared" si="37"/>
        <v>45983</v>
      </c>
      <c r="J78" s="200" t="s">
        <v>2</v>
      </c>
      <c r="K78" s="201">
        <v>26</v>
      </c>
      <c r="L78" s="202"/>
      <c r="M78" s="202"/>
      <c r="N78" s="199" t="str">
        <f t="shared" si="38"/>
        <v/>
      </c>
      <c r="O78" s="203" t="str">
        <f t="shared" si="39"/>
        <v>-</v>
      </c>
      <c r="P78" s="206">
        <f t="shared" si="40"/>
        <v>0</v>
      </c>
      <c r="Q78" s="208">
        <f t="shared" si="41"/>
        <v>0</v>
      </c>
      <c r="R78" s="205">
        <f t="shared" si="42"/>
        <v>26</v>
      </c>
      <c r="S78" s="65">
        <f t="shared" si="43"/>
        <v>0</v>
      </c>
      <c r="T78" s="158">
        <f t="shared" si="34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96" t="s">
        <v>207</v>
      </c>
      <c r="C79" s="60">
        <v>105</v>
      </c>
      <c r="D79" s="324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6"/>
        <v>45889</v>
      </c>
      <c r="I79" s="196">
        <f t="shared" si="37"/>
        <v>46047</v>
      </c>
      <c r="J79" s="200" t="s">
        <v>2</v>
      </c>
      <c r="K79" s="201">
        <v>26</v>
      </c>
      <c r="L79" s="202"/>
      <c r="M79" s="202"/>
      <c r="N79" s="199" t="str">
        <f t="shared" si="38"/>
        <v/>
      </c>
      <c r="O79" s="203" t="str">
        <f t="shared" si="39"/>
        <v>-</v>
      </c>
      <c r="P79" s="206">
        <f t="shared" si="40"/>
        <v>0</v>
      </c>
      <c r="Q79" s="208">
        <f t="shared" si="41"/>
        <v>0</v>
      </c>
      <c r="R79" s="205">
        <f t="shared" si="42"/>
        <v>26</v>
      </c>
      <c r="S79" s="65">
        <f t="shared" si="43"/>
        <v>0</v>
      </c>
      <c r="T79" s="158">
        <f t="shared" si="34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96"/>
      <c r="C80" s="60">
        <v>106</v>
      </c>
      <c r="D80" s="324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6"/>
        <v>45889</v>
      </c>
      <c r="I80" s="196">
        <f t="shared" si="37"/>
        <v>46047</v>
      </c>
      <c r="J80" s="200" t="s">
        <v>2</v>
      </c>
      <c r="K80" s="201">
        <v>26</v>
      </c>
      <c r="L80" s="202"/>
      <c r="M80" s="202"/>
      <c r="N80" s="199" t="str">
        <f t="shared" si="38"/>
        <v/>
      </c>
      <c r="O80" s="203" t="str">
        <f t="shared" si="39"/>
        <v>-</v>
      </c>
      <c r="P80" s="206">
        <f t="shared" si="40"/>
        <v>0</v>
      </c>
      <c r="Q80" s="208">
        <f t="shared" si="41"/>
        <v>0</v>
      </c>
      <c r="R80" s="205">
        <f t="shared" si="42"/>
        <v>26</v>
      </c>
      <c r="S80" s="65">
        <f t="shared" si="43"/>
        <v>0</v>
      </c>
      <c r="T80" s="158">
        <f t="shared" si="34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96"/>
      <c r="C81" s="60">
        <v>107</v>
      </c>
      <c r="D81" s="324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6"/>
        <v>45889</v>
      </c>
      <c r="I81" s="196">
        <f t="shared" si="37"/>
        <v>46047</v>
      </c>
      <c r="J81" s="200" t="s">
        <v>2</v>
      </c>
      <c r="K81" s="201">
        <v>26</v>
      </c>
      <c r="L81" s="202"/>
      <c r="M81" s="202"/>
      <c r="N81" s="199" t="str">
        <f t="shared" si="38"/>
        <v/>
      </c>
      <c r="O81" s="203" t="str">
        <f t="shared" si="39"/>
        <v>-</v>
      </c>
      <c r="P81" s="206">
        <f t="shared" si="40"/>
        <v>0</v>
      </c>
      <c r="Q81" s="208">
        <f t="shared" si="41"/>
        <v>0</v>
      </c>
      <c r="R81" s="205">
        <f t="shared" si="42"/>
        <v>26</v>
      </c>
      <c r="S81" s="65">
        <f t="shared" si="43"/>
        <v>0</v>
      </c>
      <c r="T81" s="158">
        <f t="shared" si="34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96" t="s">
        <v>211</v>
      </c>
      <c r="C82" s="60">
        <v>108</v>
      </c>
      <c r="D82" s="324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6"/>
        <v>45950</v>
      </c>
      <c r="I82" s="196">
        <f t="shared" si="37"/>
        <v>46047</v>
      </c>
      <c r="J82" s="200" t="s">
        <v>2</v>
      </c>
      <c r="K82" s="201">
        <v>26</v>
      </c>
      <c r="L82" s="202"/>
      <c r="M82" s="202"/>
      <c r="N82" s="199" t="str">
        <f t="shared" si="38"/>
        <v/>
      </c>
      <c r="O82" s="203" t="str">
        <f t="shared" si="39"/>
        <v>-</v>
      </c>
      <c r="P82" s="206">
        <f t="shared" si="40"/>
        <v>0</v>
      </c>
      <c r="Q82" s="208">
        <f t="shared" si="41"/>
        <v>0</v>
      </c>
      <c r="R82" s="205">
        <f t="shared" si="42"/>
        <v>26</v>
      </c>
      <c r="S82" s="65">
        <f t="shared" si="43"/>
        <v>0</v>
      </c>
      <c r="T82" s="158">
        <f t="shared" si="34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96"/>
      <c r="C83" s="60">
        <v>109</v>
      </c>
      <c r="D83" s="324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6"/>
        <v>45971</v>
      </c>
      <c r="I83" s="196">
        <f t="shared" si="37"/>
        <v>46011</v>
      </c>
      <c r="J83" s="200" t="s">
        <v>2</v>
      </c>
      <c r="K83" s="201">
        <v>26</v>
      </c>
      <c r="L83" s="202"/>
      <c r="M83" s="202"/>
      <c r="N83" s="199" t="str">
        <f t="shared" si="38"/>
        <v/>
      </c>
      <c r="O83" s="203" t="str">
        <f t="shared" si="39"/>
        <v>-</v>
      </c>
      <c r="P83" s="206">
        <f t="shared" si="40"/>
        <v>0</v>
      </c>
      <c r="Q83" s="208">
        <f t="shared" si="41"/>
        <v>0</v>
      </c>
      <c r="R83" s="205">
        <f t="shared" si="42"/>
        <v>26</v>
      </c>
      <c r="S83" s="65">
        <f t="shared" si="43"/>
        <v>0</v>
      </c>
      <c r="T83" s="158">
        <f t="shared" si="34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96"/>
      <c r="C84" s="60">
        <v>110</v>
      </c>
      <c r="D84" s="324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6"/>
        <v>45971</v>
      </c>
      <c r="I84" s="196">
        <f t="shared" si="37"/>
        <v>46011</v>
      </c>
      <c r="J84" s="200" t="s">
        <v>2</v>
      </c>
      <c r="K84" s="201">
        <v>26</v>
      </c>
      <c r="L84" s="202"/>
      <c r="M84" s="202"/>
      <c r="N84" s="199" t="str">
        <f t="shared" si="38"/>
        <v/>
      </c>
      <c r="O84" s="203" t="str">
        <f t="shared" si="39"/>
        <v>-</v>
      </c>
      <c r="P84" s="206">
        <f t="shared" si="40"/>
        <v>0</v>
      </c>
      <c r="Q84" s="208">
        <f t="shared" si="41"/>
        <v>0</v>
      </c>
      <c r="R84" s="205">
        <f t="shared" si="42"/>
        <v>26</v>
      </c>
      <c r="S84" s="65">
        <f t="shared" si="43"/>
        <v>0</v>
      </c>
      <c r="T84" s="158">
        <f t="shared" si="34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96"/>
      <c r="C85" s="60">
        <v>111</v>
      </c>
      <c r="D85" s="324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6"/>
        <v>45971</v>
      </c>
      <c r="I85" s="196">
        <f t="shared" si="37"/>
        <v>46011</v>
      </c>
      <c r="J85" s="200" t="s">
        <v>2</v>
      </c>
      <c r="K85" s="201">
        <v>26</v>
      </c>
      <c r="L85" s="202"/>
      <c r="M85" s="202"/>
      <c r="N85" s="199" t="str">
        <f t="shared" si="38"/>
        <v/>
      </c>
      <c r="O85" s="203" t="str">
        <f t="shared" si="39"/>
        <v>-</v>
      </c>
      <c r="P85" s="206">
        <f t="shared" si="40"/>
        <v>0</v>
      </c>
      <c r="Q85" s="208">
        <f t="shared" si="41"/>
        <v>0</v>
      </c>
      <c r="R85" s="205">
        <f t="shared" si="42"/>
        <v>26</v>
      </c>
      <c r="S85" s="65">
        <f t="shared" si="43"/>
        <v>0</v>
      </c>
      <c r="T85" s="158">
        <f t="shared" si="34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96"/>
      <c r="C86" s="60">
        <v>112</v>
      </c>
      <c r="D86" s="324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6"/>
        <v>45971</v>
      </c>
      <c r="I86" s="196">
        <f t="shared" si="37"/>
        <v>46011</v>
      </c>
      <c r="J86" s="200" t="s">
        <v>2</v>
      </c>
      <c r="K86" s="201">
        <v>26</v>
      </c>
      <c r="L86" s="202"/>
      <c r="M86" s="202"/>
      <c r="N86" s="199" t="str">
        <f t="shared" si="38"/>
        <v/>
      </c>
      <c r="O86" s="203" t="str">
        <f t="shared" si="39"/>
        <v>-</v>
      </c>
      <c r="P86" s="206">
        <f t="shared" si="40"/>
        <v>0</v>
      </c>
      <c r="Q86" s="208">
        <f t="shared" si="41"/>
        <v>0</v>
      </c>
      <c r="R86" s="205">
        <f t="shared" si="42"/>
        <v>26</v>
      </c>
      <c r="S86" s="65">
        <f t="shared" si="43"/>
        <v>0</v>
      </c>
      <c r="T86" s="158">
        <f t="shared" si="34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96"/>
      <c r="C87" s="60">
        <v>113</v>
      </c>
      <c r="D87" s="324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6"/>
        <v>45971</v>
      </c>
      <c r="I87" s="196">
        <f t="shared" si="37"/>
        <v>46011</v>
      </c>
      <c r="J87" s="200" t="s">
        <v>2</v>
      </c>
      <c r="K87" s="201">
        <v>26</v>
      </c>
      <c r="L87" s="202"/>
      <c r="M87" s="202"/>
      <c r="N87" s="199" t="str">
        <f t="shared" si="38"/>
        <v/>
      </c>
      <c r="O87" s="203" t="str">
        <f t="shared" si="39"/>
        <v>-</v>
      </c>
      <c r="P87" s="206">
        <f t="shared" si="40"/>
        <v>0</v>
      </c>
      <c r="Q87" s="208">
        <f t="shared" si="41"/>
        <v>0</v>
      </c>
      <c r="R87" s="205">
        <f t="shared" si="42"/>
        <v>26</v>
      </c>
      <c r="S87" s="65">
        <f t="shared" si="43"/>
        <v>0</v>
      </c>
      <c r="T87" s="158">
        <f t="shared" si="34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96"/>
      <c r="C88" s="60">
        <v>114</v>
      </c>
      <c r="D88" s="324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6"/>
        <v>45971</v>
      </c>
      <c r="I88" s="196">
        <f t="shared" si="37"/>
        <v>46011</v>
      </c>
      <c r="J88" s="200" t="s">
        <v>2</v>
      </c>
      <c r="K88" s="201">
        <v>26</v>
      </c>
      <c r="L88" s="202"/>
      <c r="M88" s="202"/>
      <c r="N88" s="199" t="str">
        <f t="shared" si="38"/>
        <v/>
      </c>
      <c r="O88" s="203" t="str">
        <f t="shared" si="39"/>
        <v>-</v>
      </c>
      <c r="P88" s="206">
        <f t="shared" si="40"/>
        <v>0</v>
      </c>
      <c r="Q88" s="208">
        <f t="shared" si="41"/>
        <v>0</v>
      </c>
      <c r="R88" s="205">
        <f t="shared" si="42"/>
        <v>26</v>
      </c>
      <c r="S88" s="65">
        <f t="shared" si="43"/>
        <v>0</v>
      </c>
      <c r="T88" s="158">
        <f t="shared" si="34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96" t="s">
        <v>219</v>
      </c>
      <c r="C89" s="60">
        <v>115</v>
      </c>
      <c r="D89" s="324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6"/>
        <v>46018</v>
      </c>
      <c r="I89" s="196">
        <f t="shared" si="37"/>
        <v>46026</v>
      </c>
      <c r="J89" s="200" t="s">
        <v>11</v>
      </c>
      <c r="K89" s="201">
        <v>1</v>
      </c>
      <c r="L89" s="202"/>
      <c r="M89" s="202"/>
      <c r="N89" s="199" t="str">
        <f t="shared" si="38"/>
        <v/>
      </c>
      <c r="O89" s="203" t="str">
        <f t="shared" si="39"/>
        <v>-</v>
      </c>
      <c r="P89" s="206">
        <f t="shared" si="40"/>
        <v>0</v>
      </c>
      <c r="Q89" s="208">
        <f t="shared" si="41"/>
        <v>0</v>
      </c>
      <c r="R89" s="205">
        <f t="shared" si="42"/>
        <v>1</v>
      </c>
      <c r="S89" s="65">
        <f t="shared" si="43"/>
        <v>0</v>
      </c>
      <c r="T89" s="158">
        <f t="shared" si="34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96"/>
      <c r="C90" s="60">
        <v>116</v>
      </c>
      <c r="D90" s="324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6"/>
        <v>46018</v>
      </c>
      <c r="I90" s="196">
        <f t="shared" si="37"/>
        <v>46026</v>
      </c>
      <c r="J90" s="200" t="s">
        <v>11</v>
      </c>
      <c r="K90" s="201">
        <v>1</v>
      </c>
      <c r="L90" s="202"/>
      <c r="M90" s="202"/>
      <c r="N90" s="199" t="str">
        <f t="shared" si="38"/>
        <v/>
      </c>
      <c r="O90" s="203" t="str">
        <f t="shared" si="39"/>
        <v>-</v>
      </c>
      <c r="P90" s="206">
        <f t="shared" si="40"/>
        <v>0</v>
      </c>
      <c r="Q90" s="208">
        <f t="shared" si="41"/>
        <v>0</v>
      </c>
      <c r="R90" s="205">
        <f t="shared" si="42"/>
        <v>1</v>
      </c>
      <c r="S90" s="65">
        <f t="shared" si="43"/>
        <v>0</v>
      </c>
      <c r="T90" s="158">
        <f t="shared" si="34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96"/>
      <c r="C91" s="60">
        <v>117</v>
      </c>
      <c r="D91" s="324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6"/>
        <v>46018</v>
      </c>
      <c r="I91" s="196">
        <f t="shared" si="37"/>
        <v>46026</v>
      </c>
      <c r="J91" s="200" t="s">
        <v>11</v>
      </c>
      <c r="K91" s="201">
        <v>1</v>
      </c>
      <c r="L91" s="202"/>
      <c r="M91" s="202"/>
      <c r="N91" s="199" t="str">
        <f t="shared" si="38"/>
        <v/>
      </c>
      <c r="O91" s="203" t="str">
        <f t="shared" si="39"/>
        <v>-</v>
      </c>
      <c r="P91" s="206">
        <f t="shared" si="40"/>
        <v>0</v>
      </c>
      <c r="Q91" s="208">
        <f t="shared" si="41"/>
        <v>0</v>
      </c>
      <c r="R91" s="205">
        <f t="shared" si="42"/>
        <v>1</v>
      </c>
      <c r="S91" s="65">
        <f t="shared" si="43"/>
        <v>0</v>
      </c>
      <c r="T91" s="158">
        <f t="shared" si="34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96"/>
      <c r="C92" s="60">
        <v>118</v>
      </c>
      <c r="D92" s="324" t="s">
        <v>217</v>
      </c>
      <c r="E92" s="196">
        <v>45919</v>
      </c>
      <c r="F92" s="196">
        <v>46009</v>
      </c>
      <c r="G92" s="197">
        <f t="shared" ref="G92:G120" si="44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8"/>
        <v/>
      </c>
      <c r="O92" s="203" t="str">
        <f t="shared" si="39"/>
        <v>-</v>
      </c>
      <c r="P92" s="206">
        <f t="shared" si="40"/>
        <v>0</v>
      </c>
      <c r="Q92" s="208">
        <f t="shared" si="41"/>
        <v>0</v>
      </c>
      <c r="R92" s="205">
        <f t="shared" si="42"/>
        <v>1</v>
      </c>
      <c r="S92" s="65">
        <f t="shared" si="43"/>
        <v>0</v>
      </c>
      <c r="T92" s="158">
        <f t="shared" si="34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96"/>
      <c r="C93" s="60">
        <v>119</v>
      </c>
      <c r="D93" s="324" t="s">
        <v>218</v>
      </c>
      <c r="E93" s="196">
        <v>45919</v>
      </c>
      <c r="F93" s="196">
        <v>46011</v>
      </c>
      <c r="G93" s="197">
        <f t="shared" si="44"/>
        <v>92</v>
      </c>
      <c r="H93" s="196">
        <f t="shared" ref="H93:H120" si="45">E93</f>
        <v>45919</v>
      </c>
      <c r="I93" s="196">
        <f t="shared" ref="I93:I120" si="46">F93</f>
        <v>46011</v>
      </c>
      <c r="J93" s="200" t="s">
        <v>11</v>
      </c>
      <c r="K93" s="201">
        <v>1</v>
      </c>
      <c r="L93" s="202"/>
      <c r="M93" s="202"/>
      <c r="N93" s="199" t="str">
        <f t="shared" si="38"/>
        <v/>
      </c>
      <c r="O93" s="203" t="str">
        <f t="shared" si="39"/>
        <v>-</v>
      </c>
      <c r="P93" s="206">
        <f t="shared" si="40"/>
        <v>0</v>
      </c>
      <c r="Q93" s="208">
        <f t="shared" si="41"/>
        <v>0</v>
      </c>
      <c r="R93" s="205">
        <f t="shared" si="42"/>
        <v>1</v>
      </c>
      <c r="S93" s="65">
        <f t="shared" si="43"/>
        <v>0</v>
      </c>
      <c r="T93" s="158">
        <f t="shared" si="34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96" t="s">
        <v>223</v>
      </c>
      <c r="C94" s="60">
        <v>120</v>
      </c>
      <c r="D94" s="324" t="s">
        <v>224</v>
      </c>
      <c r="E94" s="196">
        <v>45940</v>
      </c>
      <c r="F94" s="196">
        <v>46006</v>
      </c>
      <c r="G94" s="197">
        <f t="shared" si="44"/>
        <v>66</v>
      </c>
      <c r="H94" s="196">
        <f t="shared" si="45"/>
        <v>45940</v>
      </c>
      <c r="I94" s="196">
        <f t="shared" si="46"/>
        <v>46006</v>
      </c>
      <c r="J94" s="200" t="s">
        <v>2</v>
      </c>
      <c r="K94" s="201">
        <v>26</v>
      </c>
      <c r="L94" s="202"/>
      <c r="M94" s="202"/>
      <c r="N94" s="199" t="str">
        <f t="shared" si="38"/>
        <v/>
      </c>
      <c r="O94" s="203" t="str">
        <f t="shared" si="39"/>
        <v>-</v>
      </c>
      <c r="P94" s="206">
        <f t="shared" si="40"/>
        <v>0</v>
      </c>
      <c r="Q94" s="208">
        <f t="shared" si="41"/>
        <v>0</v>
      </c>
      <c r="R94" s="205">
        <f t="shared" si="42"/>
        <v>26</v>
      </c>
      <c r="S94" s="65">
        <f t="shared" si="43"/>
        <v>0</v>
      </c>
      <c r="T94" s="158">
        <f t="shared" si="34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96"/>
      <c r="C95" s="60">
        <v>121</v>
      </c>
      <c r="D95" s="324" t="s">
        <v>225</v>
      </c>
      <c r="E95" s="196">
        <v>45992</v>
      </c>
      <c r="F95" s="196">
        <v>46011</v>
      </c>
      <c r="G95" s="197">
        <f t="shared" si="44"/>
        <v>19</v>
      </c>
      <c r="H95" s="196">
        <f t="shared" si="45"/>
        <v>45992</v>
      </c>
      <c r="I95" s="196">
        <f t="shared" si="46"/>
        <v>46011</v>
      </c>
      <c r="J95" s="200" t="s">
        <v>2</v>
      </c>
      <c r="K95" s="201">
        <v>26</v>
      </c>
      <c r="L95" s="202"/>
      <c r="M95" s="202"/>
      <c r="N95" s="199" t="str">
        <f t="shared" si="38"/>
        <v/>
      </c>
      <c r="O95" s="203" t="str">
        <f t="shared" si="39"/>
        <v>-</v>
      </c>
      <c r="P95" s="206">
        <f t="shared" si="40"/>
        <v>0</v>
      </c>
      <c r="Q95" s="208">
        <f t="shared" si="41"/>
        <v>0</v>
      </c>
      <c r="R95" s="205">
        <f t="shared" si="42"/>
        <v>26</v>
      </c>
      <c r="S95" s="65">
        <f t="shared" si="43"/>
        <v>0</v>
      </c>
      <c r="T95" s="158">
        <f t="shared" si="34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96"/>
      <c r="C96" s="60">
        <v>122</v>
      </c>
      <c r="D96" s="324" t="s">
        <v>431</v>
      </c>
      <c r="E96" s="196">
        <v>45962</v>
      </c>
      <c r="F96" s="196">
        <v>45996</v>
      </c>
      <c r="G96" s="197">
        <f t="shared" si="44"/>
        <v>34</v>
      </c>
      <c r="H96" s="196">
        <f t="shared" si="45"/>
        <v>45962</v>
      </c>
      <c r="I96" s="196">
        <f t="shared" si="46"/>
        <v>45996</v>
      </c>
      <c r="J96" s="200" t="s">
        <v>2</v>
      </c>
      <c r="K96" s="201">
        <v>26</v>
      </c>
      <c r="L96" s="202"/>
      <c r="M96" s="202"/>
      <c r="N96" s="199" t="str">
        <f t="shared" si="38"/>
        <v/>
      </c>
      <c r="O96" s="203" t="str">
        <f t="shared" si="39"/>
        <v>-</v>
      </c>
      <c r="P96" s="206">
        <f t="shared" si="40"/>
        <v>0</v>
      </c>
      <c r="Q96" s="208">
        <f t="shared" si="41"/>
        <v>0</v>
      </c>
      <c r="R96" s="205">
        <f t="shared" si="42"/>
        <v>26</v>
      </c>
      <c r="S96" s="65">
        <f t="shared" si="43"/>
        <v>0</v>
      </c>
      <c r="T96" s="158">
        <f t="shared" si="34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95" t="s">
        <v>226</v>
      </c>
      <c r="C97" s="60">
        <v>123</v>
      </c>
      <c r="D97" s="324" t="s">
        <v>227</v>
      </c>
      <c r="E97" s="196">
        <v>45986</v>
      </c>
      <c r="F97" s="196">
        <v>46016</v>
      </c>
      <c r="G97" s="197">
        <f t="shared" si="44"/>
        <v>30</v>
      </c>
      <c r="H97" s="196">
        <f t="shared" si="45"/>
        <v>45986</v>
      </c>
      <c r="I97" s="196">
        <f t="shared" si="46"/>
        <v>46016</v>
      </c>
      <c r="J97" s="200" t="s">
        <v>2</v>
      </c>
      <c r="K97" s="201">
        <v>26</v>
      </c>
      <c r="L97" s="202"/>
      <c r="M97" s="202"/>
      <c r="N97" s="199" t="str">
        <f t="shared" si="38"/>
        <v/>
      </c>
      <c r="O97" s="203" t="str">
        <f t="shared" si="39"/>
        <v>-</v>
      </c>
      <c r="P97" s="206">
        <f t="shared" si="40"/>
        <v>0</v>
      </c>
      <c r="Q97" s="208">
        <f t="shared" si="41"/>
        <v>0</v>
      </c>
      <c r="R97" s="205">
        <f t="shared" si="42"/>
        <v>26</v>
      </c>
      <c r="S97" s="65">
        <f t="shared" si="43"/>
        <v>0</v>
      </c>
      <c r="T97" s="158">
        <f t="shared" si="34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95"/>
      <c r="C98" s="60">
        <v>124</v>
      </c>
      <c r="D98" s="324" t="s">
        <v>228</v>
      </c>
      <c r="E98" s="196">
        <v>45984</v>
      </c>
      <c r="F98" s="196">
        <v>46008</v>
      </c>
      <c r="G98" s="197">
        <f t="shared" si="44"/>
        <v>24</v>
      </c>
      <c r="H98" s="196">
        <f t="shared" si="45"/>
        <v>45984</v>
      </c>
      <c r="I98" s="196">
        <f t="shared" si="46"/>
        <v>46008</v>
      </c>
      <c r="J98" s="200" t="s">
        <v>2</v>
      </c>
      <c r="K98" s="201">
        <v>26</v>
      </c>
      <c r="L98" s="202"/>
      <c r="M98" s="202"/>
      <c r="N98" s="199" t="str">
        <f t="shared" si="38"/>
        <v/>
      </c>
      <c r="O98" s="203" t="str">
        <f t="shared" si="39"/>
        <v>-</v>
      </c>
      <c r="P98" s="206">
        <f t="shared" si="40"/>
        <v>0</v>
      </c>
      <c r="Q98" s="208">
        <f t="shared" si="41"/>
        <v>0</v>
      </c>
      <c r="R98" s="205">
        <f t="shared" si="42"/>
        <v>26</v>
      </c>
      <c r="S98" s="65">
        <f t="shared" si="43"/>
        <v>0</v>
      </c>
      <c r="T98" s="158">
        <f t="shared" si="34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95"/>
      <c r="C99" s="60">
        <v>125</v>
      </c>
      <c r="D99" s="324" t="s">
        <v>436</v>
      </c>
      <c r="E99" s="196">
        <v>45988</v>
      </c>
      <c r="F99" s="196">
        <v>46007</v>
      </c>
      <c r="G99" s="197">
        <f t="shared" si="44"/>
        <v>19</v>
      </c>
      <c r="H99" s="196">
        <f t="shared" si="45"/>
        <v>45988</v>
      </c>
      <c r="I99" s="196">
        <f t="shared" si="46"/>
        <v>46007</v>
      </c>
      <c r="J99" s="200" t="s">
        <v>2</v>
      </c>
      <c r="K99" s="201">
        <v>26</v>
      </c>
      <c r="L99" s="202"/>
      <c r="M99" s="202"/>
      <c r="N99" s="199" t="str">
        <f t="shared" si="38"/>
        <v/>
      </c>
      <c r="O99" s="203" t="str">
        <f t="shared" si="39"/>
        <v>-</v>
      </c>
      <c r="P99" s="206">
        <f t="shared" si="40"/>
        <v>0</v>
      </c>
      <c r="Q99" s="208">
        <f t="shared" si="41"/>
        <v>0</v>
      </c>
      <c r="R99" s="205">
        <f t="shared" si="42"/>
        <v>26</v>
      </c>
      <c r="S99" s="65">
        <f t="shared" si="43"/>
        <v>0</v>
      </c>
      <c r="T99" s="158">
        <f t="shared" si="34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95"/>
      <c r="C100" s="60">
        <v>127</v>
      </c>
      <c r="D100" s="324" t="s">
        <v>231</v>
      </c>
      <c r="E100" s="196">
        <v>45978</v>
      </c>
      <c r="F100" s="196">
        <v>45984</v>
      </c>
      <c r="G100" s="197">
        <f t="shared" si="44"/>
        <v>6</v>
      </c>
      <c r="H100" s="196">
        <f t="shared" si="45"/>
        <v>45978</v>
      </c>
      <c r="I100" s="196">
        <f t="shared" si="46"/>
        <v>45984</v>
      </c>
      <c r="J100" s="200" t="s">
        <v>2</v>
      </c>
      <c r="K100" s="201">
        <v>26</v>
      </c>
      <c r="L100" s="202"/>
      <c r="M100" s="202"/>
      <c r="N100" s="199" t="str">
        <f t="shared" si="38"/>
        <v/>
      </c>
      <c r="O100" s="203" t="str">
        <f t="shared" si="39"/>
        <v>-</v>
      </c>
      <c r="P100" s="206">
        <f t="shared" si="40"/>
        <v>0</v>
      </c>
      <c r="Q100" s="208">
        <f t="shared" si="41"/>
        <v>0</v>
      </c>
      <c r="R100" s="205">
        <f t="shared" si="42"/>
        <v>26</v>
      </c>
      <c r="S100" s="65">
        <f t="shared" ref="S100:S120" si="47">SUM(U100:XFD100)</f>
        <v>0</v>
      </c>
      <c r="T100" s="158">
        <f t="shared" si="34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95"/>
      <c r="C101" s="60">
        <v>128</v>
      </c>
      <c r="D101" s="324" t="s">
        <v>437</v>
      </c>
      <c r="E101" s="196">
        <v>45985</v>
      </c>
      <c r="F101" s="196">
        <v>45989</v>
      </c>
      <c r="G101" s="197">
        <f t="shared" si="44"/>
        <v>4</v>
      </c>
      <c r="H101" s="196">
        <f t="shared" si="45"/>
        <v>45985</v>
      </c>
      <c r="I101" s="196">
        <f t="shared" si="46"/>
        <v>45989</v>
      </c>
      <c r="J101" s="200" t="s">
        <v>2</v>
      </c>
      <c r="K101" s="201">
        <v>26</v>
      </c>
      <c r="L101" s="202"/>
      <c r="M101" s="202"/>
      <c r="N101" s="199" t="str">
        <f t="shared" si="38"/>
        <v/>
      </c>
      <c r="O101" s="203" t="str">
        <f t="shared" si="39"/>
        <v>-</v>
      </c>
      <c r="P101" s="206">
        <f t="shared" si="40"/>
        <v>0</v>
      </c>
      <c r="Q101" s="208">
        <f t="shared" si="41"/>
        <v>0</v>
      </c>
      <c r="R101" s="205">
        <f t="shared" si="42"/>
        <v>26</v>
      </c>
      <c r="S101" s="65">
        <f t="shared" si="47"/>
        <v>0</v>
      </c>
      <c r="T101" s="158">
        <f t="shared" si="34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95"/>
      <c r="C102" s="60">
        <v>129</v>
      </c>
      <c r="D102" s="324" t="s">
        <v>438</v>
      </c>
      <c r="E102" s="196">
        <v>45985</v>
      </c>
      <c r="F102" s="196">
        <v>45992</v>
      </c>
      <c r="G102" s="197">
        <f t="shared" si="44"/>
        <v>7</v>
      </c>
      <c r="H102" s="196">
        <f t="shared" si="45"/>
        <v>45985</v>
      </c>
      <c r="I102" s="196">
        <f t="shared" si="46"/>
        <v>45992</v>
      </c>
      <c r="J102" s="200" t="s">
        <v>2</v>
      </c>
      <c r="K102" s="201">
        <v>26</v>
      </c>
      <c r="L102" s="202"/>
      <c r="M102" s="202"/>
      <c r="N102" s="199" t="str">
        <f t="shared" si="38"/>
        <v/>
      </c>
      <c r="O102" s="203" t="str">
        <f t="shared" si="39"/>
        <v>-</v>
      </c>
      <c r="P102" s="206">
        <f t="shared" si="40"/>
        <v>0</v>
      </c>
      <c r="Q102" s="208">
        <f t="shared" si="41"/>
        <v>0</v>
      </c>
      <c r="R102" s="205">
        <f t="shared" si="42"/>
        <v>26</v>
      </c>
      <c r="S102" s="65">
        <f t="shared" si="47"/>
        <v>0</v>
      </c>
      <c r="T102" s="158">
        <f t="shared" si="34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95"/>
      <c r="C103" s="60">
        <v>130</v>
      </c>
      <c r="D103" s="324" t="s">
        <v>234</v>
      </c>
      <c r="E103" s="196">
        <v>45988</v>
      </c>
      <c r="F103" s="196">
        <v>46017</v>
      </c>
      <c r="G103" s="197">
        <f t="shared" si="44"/>
        <v>29</v>
      </c>
      <c r="H103" s="196">
        <f t="shared" si="45"/>
        <v>45988</v>
      </c>
      <c r="I103" s="196">
        <f t="shared" si="46"/>
        <v>46017</v>
      </c>
      <c r="J103" s="200" t="s">
        <v>2</v>
      </c>
      <c r="K103" s="201">
        <v>26</v>
      </c>
      <c r="L103" s="202"/>
      <c r="M103" s="202"/>
      <c r="N103" s="199" t="str">
        <f t="shared" si="38"/>
        <v/>
      </c>
      <c r="O103" s="203" t="str">
        <f t="shared" si="39"/>
        <v>-</v>
      </c>
      <c r="P103" s="206">
        <f t="shared" si="40"/>
        <v>0</v>
      </c>
      <c r="Q103" s="208">
        <f t="shared" si="41"/>
        <v>0</v>
      </c>
      <c r="R103" s="205">
        <f t="shared" si="42"/>
        <v>26</v>
      </c>
      <c r="S103" s="65">
        <f t="shared" si="47"/>
        <v>0</v>
      </c>
      <c r="T103" s="158">
        <f t="shared" si="34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95"/>
      <c r="C104" s="60">
        <v>131</v>
      </c>
      <c r="D104" s="324" t="s">
        <v>432</v>
      </c>
      <c r="E104" s="196">
        <v>45997</v>
      </c>
      <c r="F104" s="196">
        <v>46028</v>
      </c>
      <c r="G104" s="197">
        <f t="shared" si="44"/>
        <v>31</v>
      </c>
      <c r="H104" s="196">
        <f t="shared" si="45"/>
        <v>45997</v>
      </c>
      <c r="I104" s="196">
        <f t="shared" si="46"/>
        <v>46028</v>
      </c>
      <c r="J104" s="200" t="s">
        <v>2</v>
      </c>
      <c r="K104" s="201">
        <v>26</v>
      </c>
      <c r="L104" s="202"/>
      <c r="M104" s="202"/>
      <c r="N104" s="199" t="str">
        <f t="shared" si="38"/>
        <v/>
      </c>
      <c r="O104" s="203" t="str">
        <f t="shared" si="39"/>
        <v>-</v>
      </c>
      <c r="P104" s="206">
        <f t="shared" si="40"/>
        <v>0</v>
      </c>
      <c r="Q104" s="208">
        <f t="shared" si="41"/>
        <v>0</v>
      </c>
      <c r="R104" s="205">
        <f t="shared" si="42"/>
        <v>26</v>
      </c>
      <c r="S104" s="65">
        <f t="shared" si="47"/>
        <v>0</v>
      </c>
      <c r="T104" s="158">
        <f t="shared" si="34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95"/>
      <c r="C105" s="60">
        <v>132</v>
      </c>
      <c r="D105" s="324" t="s">
        <v>236</v>
      </c>
      <c r="E105" s="196">
        <v>46006</v>
      </c>
      <c r="F105" s="196">
        <v>46004</v>
      </c>
      <c r="G105" s="197">
        <f t="shared" si="44"/>
        <v>-2</v>
      </c>
      <c r="H105" s="196">
        <f t="shared" si="45"/>
        <v>46006</v>
      </c>
      <c r="I105" s="196">
        <f t="shared" si="46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8">IF(OR(M105="",L105=""),"",INT(M105-L105+1))</f>
        <v/>
      </c>
      <c r="O105" s="203" t="str">
        <f t="shared" ref="O105:O120" si="49">IFERROR(K105/N105,"-")</f>
        <v>-</v>
      </c>
      <c r="P105" s="206">
        <f t="shared" ref="P105:P120" si="50">IFERROR(SUMIF($U$2:$AT$2,"&lt;="&amp;$D$1,U105:BN105)/K105,"-")</f>
        <v>0</v>
      </c>
      <c r="Q105" s="208">
        <f t="shared" ref="Q105:Q120" si="51">SUMIF($U$2:$AT$2,"&lt;="&amp;$D$1,U105:AT105)</f>
        <v>0</v>
      </c>
      <c r="R105" s="205">
        <f t="shared" ref="R105:R115" si="52">K105-Q105</f>
        <v>26</v>
      </c>
      <c r="S105" s="65">
        <f t="shared" si="47"/>
        <v>0</v>
      </c>
      <c r="T105" s="158">
        <f t="shared" si="34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95"/>
      <c r="C106" s="60">
        <v>133</v>
      </c>
      <c r="D106" s="324" t="s">
        <v>237</v>
      </c>
      <c r="E106" s="196">
        <v>46016</v>
      </c>
      <c r="F106" s="196">
        <v>46032</v>
      </c>
      <c r="G106" s="197">
        <f t="shared" si="44"/>
        <v>16</v>
      </c>
      <c r="H106" s="196">
        <f t="shared" si="45"/>
        <v>46016</v>
      </c>
      <c r="I106" s="196">
        <f t="shared" si="46"/>
        <v>46032</v>
      </c>
      <c r="J106" s="200" t="s">
        <v>2</v>
      </c>
      <c r="K106" s="201">
        <v>26</v>
      </c>
      <c r="L106" s="202"/>
      <c r="M106" s="202"/>
      <c r="N106" s="199" t="str">
        <f t="shared" si="48"/>
        <v/>
      </c>
      <c r="O106" s="203" t="str">
        <f t="shared" si="49"/>
        <v>-</v>
      </c>
      <c r="P106" s="206">
        <f t="shared" si="50"/>
        <v>0</v>
      </c>
      <c r="Q106" s="208">
        <f t="shared" si="51"/>
        <v>0</v>
      </c>
      <c r="R106" s="205">
        <f t="shared" si="52"/>
        <v>26</v>
      </c>
      <c r="S106" s="65">
        <f t="shared" si="47"/>
        <v>0</v>
      </c>
      <c r="T106" s="158">
        <f t="shared" si="34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95" t="s">
        <v>238</v>
      </c>
      <c r="C107" s="60">
        <v>134</v>
      </c>
      <c r="D107" s="324" t="s">
        <v>239</v>
      </c>
      <c r="E107" s="196">
        <v>45914</v>
      </c>
      <c r="F107" s="196">
        <v>45966</v>
      </c>
      <c r="G107" s="197">
        <f t="shared" si="44"/>
        <v>52</v>
      </c>
      <c r="H107" s="196">
        <f t="shared" si="45"/>
        <v>45914</v>
      </c>
      <c r="I107" s="196">
        <f t="shared" si="46"/>
        <v>45966</v>
      </c>
      <c r="J107" s="210" t="s">
        <v>13</v>
      </c>
      <c r="K107" s="201">
        <v>1173</v>
      </c>
      <c r="L107" s="202"/>
      <c r="M107" s="202"/>
      <c r="N107" s="199" t="str">
        <f t="shared" si="48"/>
        <v/>
      </c>
      <c r="O107" s="203" t="str">
        <f t="shared" si="49"/>
        <v>-</v>
      </c>
      <c r="P107" s="206">
        <f t="shared" si="50"/>
        <v>0</v>
      </c>
      <c r="Q107" s="208">
        <f t="shared" si="51"/>
        <v>0</v>
      </c>
      <c r="R107" s="205">
        <f t="shared" si="52"/>
        <v>1173</v>
      </c>
      <c r="S107" s="65">
        <f t="shared" si="47"/>
        <v>0</v>
      </c>
      <c r="T107" s="158">
        <f t="shared" si="34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95"/>
      <c r="C108" s="60">
        <v>135</v>
      </c>
      <c r="D108" s="324" t="s">
        <v>240</v>
      </c>
      <c r="E108" s="196">
        <v>45935</v>
      </c>
      <c r="F108" s="196">
        <v>45974</v>
      </c>
      <c r="G108" s="197">
        <f t="shared" si="44"/>
        <v>39</v>
      </c>
      <c r="H108" s="196">
        <f t="shared" si="45"/>
        <v>45935</v>
      </c>
      <c r="I108" s="196">
        <f t="shared" si="46"/>
        <v>45974</v>
      </c>
      <c r="J108" s="210" t="s">
        <v>13</v>
      </c>
      <c r="K108" s="201">
        <v>1173</v>
      </c>
      <c r="L108" s="202"/>
      <c r="M108" s="202"/>
      <c r="N108" s="199" t="str">
        <f t="shared" si="48"/>
        <v/>
      </c>
      <c r="O108" s="203" t="str">
        <f t="shared" si="49"/>
        <v>-</v>
      </c>
      <c r="P108" s="206">
        <f t="shared" si="50"/>
        <v>0</v>
      </c>
      <c r="Q108" s="208">
        <f t="shared" si="51"/>
        <v>0</v>
      </c>
      <c r="R108" s="205">
        <f t="shared" si="52"/>
        <v>1173</v>
      </c>
      <c r="S108" s="65">
        <f t="shared" si="47"/>
        <v>0</v>
      </c>
      <c r="T108" s="158">
        <f t="shared" si="34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95"/>
      <c r="C109" s="60">
        <v>136</v>
      </c>
      <c r="D109" s="324" t="s">
        <v>241</v>
      </c>
      <c r="E109" s="196">
        <v>45976</v>
      </c>
      <c r="F109" s="196">
        <v>45996</v>
      </c>
      <c r="G109" s="197">
        <f t="shared" si="44"/>
        <v>20</v>
      </c>
      <c r="H109" s="196">
        <f t="shared" si="45"/>
        <v>45976</v>
      </c>
      <c r="I109" s="196">
        <f t="shared" si="46"/>
        <v>45996</v>
      </c>
      <c r="J109" s="210" t="s">
        <v>13</v>
      </c>
      <c r="K109" s="201">
        <v>1173</v>
      </c>
      <c r="L109" s="202"/>
      <c r="M109" s="202"/>
      <c r="N109" s="199" t="str">
        <f t="shared" si="48"/>
        <v/>
      </c>
      <c r="O109" s="203" t="str">
        <f t="shared" si="49"/>
        <v>-</v>
      </c>
      <c r="P109" s="206">
        <f t="shared" si="50"/>
        <v>0</v>
      </c>
      <c r="Q109" s="208">
        <f t="shared" si="51"/>
        <v>0</v>
      </c>
      <c r="R109" s="205">
        <f t="shared" si="52"/>
        <v>1173</v>
      </c>
      <c r="S109" s="65">
        <f t="shared" si="47"/>
        <v>0</v>
      </c>
      <c r="T109" s="158">
        <f t="shared" si="34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95"/>
      <c r="C110" s="60">
        <v>137</v>
      </c>
      <c r="D110" s="324" t="s">
        <v>242</v>
      </c>
      <c r="E110" s="196">
        <v>45979</v>
      </c>
      <c r="F110" s="196">
        <v>46001</v>
      </c>
      <c r="G110" s="197">
        <f t="shared" si="44"/>
        <v>22</v>
      </c>
      <c r="H110" s="196">
        <f t="shared" si="45"/>
        <v>45979</v>
      </c>
      <c r="I110" s="196">
        <f t="shared" si="46"/>
        <v>46001</v>
      </c>
      <c r="J110" s="210" t="s">
        <v>13</v>
      </c>
      <c r="K110" s="201">
        <v>1173</v>
      </c>
      <c r="L110" s="202"/>
      <c r="M110" s="202"/>
      <c r="N110" s="199" t="str">
        <f t="shared" si="48"/>
        <v/>
      </c>
      <c r="O110" s="203" t="str">
        <f t="shared" si="49"/>
        <v>-</v>
      </c>
      <c r="P110" s="206">
        <f t="shared" si="50"/>
        <v>0</v>
      </c>
      <c r="Q110" s="208">
        <f t="shared" si="51"/>
        <v>0</v>
      </c>
      <c r="R110" s="205">
        <f t="shared" si="52"/>
        <v>1173</v>
      </c>
      <c r="S110" s="65">
        <f t="shared" si="47"/>
        <v>0</v>
      </c>
      <c r="T110" s="158">
        <f t="shared" si="34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95"/>
      <c r="C111" s="60">
        <v>138</v>
      </c>
      <c r="D111" s="324" t="s">
        <v>243</v>
      </c>
      <c r="E111" s="196">
        <v>45986</v>
      </c>
      <c r="F111" s="196">
        <v>45981</v>
      </c>
      <c r="G111" s="197">
        <f t="shared" si="44"/>
        <v>-5</v>
      </c>
      <c r="H111" s="196">
        <f t="shared" si="45"/>
        <v>45986</v>
      </c>
      <c r="I111" s="196">
        <f t="shared" si="46"/>
        <v>45981</v>
      </c>
      <c r="J111" s="210" t="s">
        <v>13</v>
      </c>
      <c r="K111" s="201">
        <v>1173</v>
      </c>
      <c r="L111" s="202"/>
      <c r="M111" s="202"/>
      <c r="N111" s="199" t="str">
        <f t="shared" si="48"/>
        <v/>
      </c>
      <c r="O111" s="203" t="str">
        <f t="shared" si="49"/>
        <v>-</v>
      </c>
      <c r="P111" s="206">
        <f t="shared" si="50"/>
        <v>0</v>
      </c>
      <c r="Q111" s="208">
        <f t="shared" si="51"/>
        <v>0</v>
      </c>
      <c r="R111" s="205">
        <f t="shared" si="52"/>
        <v>1173</v>
      </c>
      <c r="S111" s="65">
        <f t="shared" si="47"/>
        <v>0</v>
      </c>
      <c r="T111" s="158">
        <f t="shared" si="34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95"/>
      <c r="C112" s="60">
        <v>139</v>
      </c>
      <c r="D112" s="324" t="s">
        <v>244</v>
      </c>
      <c r="E112" s="196">
        <v>45859</v>
      </c>
      <c r="F112" s="196">
        <v>46021</v>
      </c>
      <c r="G112" s="197">
        <f t="shared" si="44"/>
        <v>162</v>
      </c>
      <c r="H112" s="196">
        <f t="shared" si="45"/>
        <v>45859</v>
      </c>
      <c r="I112" s="196">
        <f t="shared" si="46"/>
        <v>46021</v>
      </c>
      <c r="J112" s="200" t="s">
        <v>2</v>
      </c>
      <c r="K112" s="201">
        <v>26</v>
      </c>
      <c r="L112" s="202"/>
      <c r="M112" s="202"/>
      <c r="N112" s="199" t="str">
        <f t="shared" si="48"/>
        <v/>
      </c>
      <c r="O112" s="203" t="str">
        <f t="shared" si="49"/>
        <v>-</v>
      </c>
      <c r="P112" s="206">
        <f t="shared" si="50"/>
        <v>0</v>
      </c>
      <c r="Q112" s="208">
        <f t="shared" si="51"/>
        <v>0</v>
      </c>
      <c r="R112" s="205">
        <f t="shared" si="52"/>
        <v>26</v>
      </c>
      <c r="S112" s="65">
        <f t="shared" si="47"/>
        <v>0</v>
      </c>
      <c r="T112" s="158">
        <f t="shared" si="34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95" t="s">
        <v>245</v>
      </c>
      <c r="C113" s="60">
        <v>140</v>
      </c>
      <c r="D113" s="324" t="s">
        <v>268</v>
      </c>
      <c r="E113" s="196">
        <v>45926</v>
      </c>
      <c r="F113" s="196">
        <v>45941</v>
      </c>
      <c r="G113" s="197">
        <f t="shared" si="44"/>
        <v>15</v>
      </c>
      <c r="H113" s="196">
        <f t="shared" si="45"/>
        <v>45926</v>
      </c>
      <c r="I113" s="196">
        <f t="shared" si="46"/>
        <v>45941</v>
      </c>
      <c r="J113" s="200" t="s">
        <v>2</v>
      </c>
      <c r="K113" s="201">
        <v>26</v>
      </c>
      <c r="L113" s="202"/>
      <c r="M113" s="202"/>
      <c r="N113" s="199" t="str">
        <f t="shared" si="48"/>
        <v/>
      </c>
      <c r="O113" s="203" t="str">
        <f t="shared" si="49"/>
        <v>-</v>
      </c>
      <c r="P113" s="206">
        <f t="shared" si="50"/>
        <v>0</v>
      </c>
      <c r="Q113" s="208">
        <f t="shared" si="51"/>
        <v>0</v>
      </c>
      <c r="R113" s="205">
        <f t="shared" si="52"/>
        <v>26</v>
      </c>
      <c r="S113" s="65">
        <f t="shared" si="47"/>
        <v>0</v>
      </c>
      <c r="T113" s="158">
        <f t="shared" si="34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95"/>
      <c r="C114" s="60">
        <v>141</v>
      </c>
      <c r="D114" s="324" t="s">
        <v>267</v>
      </c>
      <c r="E114" s="196">
        <v>45929</v>
      </c>
      <c r="F114" s="196">
        <v>46029</v>
      </c>
      <c r="G114" s="197">
        <f t="shared" si="44"/>
        <v>100</v>
      </c>
      <c r="H114" s="196">
        <f t="shared" si="45"/>
        <v>45929</v>
      </c>
      <c r="I114" s="196">
        <f t="shared" si="46"/>
        <v>46029</v>
      </c>
      <c r="J114" s="200" t="s">
        <v>2</v>
      </c>
      <c r="K114" s="201">
        <v>26</v>
      </c>
      <c r="L114" s="202"/>
      <c r="M114" s="202"/>
      <c r="N114" s="199" t="str">
        <f t="shared" si="48"/>
        <v/>
      </c>
      <c r="O114" s="203" t="str">
        <f t="shared" si="49"/>
        <v>-</v>
      </c>
      <c r="P114" s="206">
        <f t="shared" si="50"/>
        <v>0</v>
      </c>
      <c r="Q114" s="208">
        <f t="shared" si="51"/>
        <v>0</v>
      </c>
      <c r="R114" s="205">
        <f t="shared" si="52"/>
        <v>26</v>
      </c>
      <c r="S114" s="65">
        <f t="shared" si="47"/>
        <v>0</v>
      </c>
      <c r="T114" s="158">
        <f t="shared" si="34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95"/>
      <c r="C115" s="60">
        <v>143</v>
      </c>
      <c r="D115" s="324" t="s">
        <v>42</v>
      </c>
      <c r="E115" s="196">
        <v>45940</v>
      </c>
      <c r="F115" s="196">
        <v>46042</v>
      </c>
      <c r="G115" s="197">
        <f t="shared" si="44"/>
        <v>102</v>
      </c>
      <c r="H115" s="196">
        <f t="shared" si="45"/>
        <v>45940</v>
      </c>
      <c r="I115" s="196">
        <f t="shared" si="46"/>
        <v>46042</v>
      </c>
      <c r="J115" s="200" t="s">
        <v>2</v>
      </c>
      <c r="K115" s="201">
        <v>26</v>
      </c>
      <c r="L115" s="202"/>
      <c r="M115" s="202"/>
      <c r="N115" s="199" t="str">
        <f t="shared" si="48"/>
        <v/>
      </c>
      <c r="O115" s="203" t="str">
        <f t="shared" si="49"/>
        <v>-</v>
      </c>
      <c r="P115" s="206">
        <f t="shared" si="50"/>
        <v>0</v>
      </c>
      <c r="Q115" s="208">
        <f t="shared" si="51"/>
        <v>0</v>
      </c>
      <c r="R115" s="205">
        <f t="shared" si="52"/>
        <v>26</v>
      </c>
      <c r="S115" s="65">
        <f t="shared" si="47"/>
        <v>0</v>
      </c>
      <c r="T115" s="158">
        <f t="shared" si="34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95" t="s">
        <v>247</v>
      </c>
      <c r="C116" s="60">
        <v>144</v>
      </c>
      <c r="D116" s="324" t="s">
        <v>248</v>
      </c>
      <c r="E116" s="196">
        <v>45966</v>
      </c>
      <c r="F116" s="196">
        <v>46032</v>
      </c>
      <c r="G116" s="197">
        <f t="shared" si="44"/>
        <v>66</v>
      </c>
      <c r="H116" s="196">
        <f t="shared" si="45"/>
        <v>45966</v>
      </c>
      <c r="I116" s="196">
        <f t="shared" si="46"/>
        <v>46032</v>
      </c>
      <c r="J116" s="200" t="s">
        <v>12</v>
      </c>
      <c r="K116" s="201">
        <v>100</v>
      </c>
      <c r="L116" s="202"/>
      <c r="M116" s="202"/>
      <c r="N116" s="199" t="str">
        <f t="shared" si="48"/>
        <v/>
      </c>
      <c r="O116" s="203" t="str">
        <f t="shared" si="49"/>
        <v>-</v>
      </c>
      <c r="P116" s="206">
        <f t="shared" si="50"/>
        <v>0</v>
      </c>
      <c r="Q116" s="208">
        <f t="shared" si="51"/>
        <v>0</v>
      </c>
      <c r="R116" s="205">
        <f>K116-Q116%</f>
        <v>100</v>
      </c>
      <c r="S116" s="65">
        <f t="shared" si="47"/>
        <v>0</v>
      </c>
      <c r="T116" s="158">
        <f t="shared" si="34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95"/>
      <c r="C117" s="60">
        <v>145</v>
      </c>
      <c r="D117" s="324" t="s">
        <v>435</v>
      </c>
      <c r="E117" s="196">
        <v>46011</v>
      </c>
      <c r="F117" s="196">
        <v>46040</v>
      </c>
      <c r="G117" s="197">
        <f t="shared" si="44"/>
        <v>29</v>
      </c>
      <c r="H117" s="196">
        <f t="shared" si="45"/>
        <v>46011</v>
      </c>
      <c r="I117" s="196">
        <f t="shared" si="46"/>
        <v>46040</v>
      </c>
      <c r="J117" s="200" t="s">
        <v>12</v>
      </c>
      <c r="K117" s="201">
        <v>100</v>
      </c>
      <c r="L117" s="202"/>
      <c r="M117" s="202"/>
      <c r="N117" s="199" t="str">
        <f t="shared" si="48"/>
        <v/>
      </c>
      <c r="O117" s="203" t="str">
        <f t="shared" si="49"/>
        <v>-</v>
      </c>
      <c r="P117" s="206">
        <f t="shared" si="50"/>
        <v>0</v>
      </c>
      <c r="Q117" s="208">
        <f t="shared" si="51"/>
        <v>0</v>
      </c>
      <c r="R117" s="205">
        <f>K117-Q117</f>
        <v>100</v>
      </c>
      <c r="S117" s="65">
        <f t="shared" si="47"/>
        <v>0</v>
      </c>
      <c r="T117" s="158">
        <f t="shared" si="34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95"/>
      <c r="C118" s="60">
        <v>146</v>
      </c>
      <c r="D118" s="324" t="s">
        <v>250</v>
      </c>
      <c r="E118" s="196">
        <v>46012</v>
      </c>
      <c r="F118" s="196">
        <v>46031</v>
      </c>
      <c r="G118" s="197">
        <f t="shared" si="44"/>
        <v>19</v>
      </c>
      <c r="H118" s="196">
        <f t="shared" si="45"/>
        <v>46012</v>
      </c>
      <c r="I118" s="196">
        <f t="shared" si="46"/>
        <v>46031</v>
      </c>
      <c r="J118" s="200" t="s">
        <v>12</v>
      </c>
      <c r="K118" s="201">
        <v>100</v>
      </c>
      <c r="L118" s="202"/>
      <c r="M118" s="202"/>
      <c r="N118" s="199" t="str">
        <f t="shared" si="48"/>
        <v/>
      </c>
      <c r="O118" s="203" t="str">
        <f t="shared" si="49"/>
        <v>-</v>
      </c>
      <c r="P118" s="206">
        <f t="shared" si="50"/>
        <v>0</v>
      </c>
      <c r="Q118" s="208">
        <f t="shared" si="51"/>
        <v>0</v>
      </c>
      <c r="R118" s="205">
        <f>K118-Q118</f>
        <v>100</v>
      </c>
      <c r="S118" s="65">
        <f t="shared" si="47"/>
        <v>0</v>
      </c>
      <c r="T118" s="158">
        <f t="shared" si="34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95"/>
      <c r="C119" s="60">
        <v>147</v>
      </c>
      <c r="D119" s="324" t="s">
        <v>251</v>
      </c>
      <c r="E119" s="196">
        <v>46032</v>
      </c>
      <c r="F119" s="196">
        <v>46047</v>
      </c>
      <c r="G119" s="197">
        <f t="shared" si="44"/>
        <v>15</v>
      </c>
      <c r="H119" s="196">
        <f t="shared" si="45"/>
        <v>46032</v>
      </c>
      <c r="I119" s="196">
        <f t="shared" si="46"/>
        <v>46047</v>
      </c>
      <c r="J119" s="200" t="s">
        <v>12</v>
      </c>
      <c r="K119" s="201">
        <v>100</v>
      </c>
      <c r="L119" s="202"/>
      <c r="M119" s="202"/>
      <c r="N119" s="199" t="str">
        <f t="shared" si="48"/>
        <v/>
      </c>
      <c r="O119" s="203" t="str">
        <f t="shared" si="49"/>
        <v>-</v>
      </c>
      <c r="P119" s="206">
        <f t="shared" si="50"/>
        <v>0</v>
      </c>
      <c r="Q119" s="208">
        <f t="shared" si="51"/>
        <v>0</v>
      </c>
      <c r="R119" s="205">
        <f>K119-Q119</f>
        <v>100</v>
      </c>
      <c r="S119" s="65">
        <f t="shared" si="47"/>
        <v>0</v>
      </c>
      <c r="T119" s="158">
        <f t="shared" ref="T119:T120" si="53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95"/>
      <c r="C120" s="60">
        <v>148</v>
      </c>
      <c r="D120" s="324" t="s">
        <v>54</v>
      </c>
      <c r="E120" s="196">
        <v>46048</v>
      </c>
      <c r="F120" s="196">
        <v>46058</v>
      </c>
      <c r="G120" s="197">
        <f t="shared" si="44"/>
        <v>10</v>
      </c>
      <c r="H120" s="196">
        <f t="shared" si="45"/>
        <v>46048</v>
      </c>
      <c r="I120" s="196">
        <f t="shared" si="46"/>
        <v>46058</v>
      </c>
      <c r="J120" s="200" t="s">
        <v>12</v>
      </c>
      <c r="K120" s="201">
        <v>100</v>
      </c>
      <c r="L120" s="202"/>
      <c r="M120" s="202"/>
      <c r="N120" s="199" t="str">
        <f t="shared" si="48"/>
        <v/>
      </c>
      <c r="O120" s="203" t="str">
        <f t="shared" si="49"/>
        <v>-</v>
      </c>
      <c r="P120" s="206">
        <f t="shared" si="50"/>
        <v>0</v>
      </c>
      <c r="Q120" s="208">
        <f t="shared" si="51"/>
        <v>0</v>
      </c>
      <c r="R120" s="205">
        <f>K120-Q120</f>
        <v>100</v>
      </c>
      <c r="S120" s="65">
        <f t="shared" si="47"/>
        <v>0</v>
      </c>
      <c r="T120" s="158">
        <f t="shared" si="53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86"/>
    </row>
    <row r="122" spans="2:110" x14ac:dyDescent="0.4">
      <c r="B122" s="487"/>
    </row>
    <row r="123" spans="2:110" x14ac:dyDescent="0.4">
      <c r="B123" s="487"/>
    </row>
    <row r="124" spans="2:110" x14ac:dyDescent="0.4">
      <c r="B124" s="487"/>
    </row>
    <row r="125" spans="2:110" x14ac:dyDescent="0.4">
      <c r="B125" s="487"/>
    </row>
    <row r="126" spans="2:110" x14ac:dyDescent="0.4">
      <c r="B126" s="487"/>
    </row>
    <row r="127" spans="2:110" x14ac:dyDescent="0.4">
      <c r="B127" s="487"/>
    </row>
    <row r="128" spans="2:110" x14ac:dyDescent="0.4">
      <c r="B128" s="487"/>
      <c r="K128" s="151"/>
    </row>
    <row r="129" spans="11:11" x14ac:dyDescent="0.4">
      <c r="K129" s="151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77CF-CF38-4C84-8730-A452AEA15100}">
  <dimension ref="A1:X207"/>
  <sheetViews>
    <sheetView zoomScale="85" zoomScaleNormal="8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0" sqref="G10"/>
    </sheetView>
  </sheetViews>
  <sheetFormatPr defaultColWidth="9" defaultRowHeight="14" x14ac:dyDescent="0.3"/>
  <cols>
    <col min="1" max="1" width="6.453125" style="291" customWidth="1"/>
    <col min="2" max="2" width="17.7265625" style="291" hidden="1" customWidth="1"/>
    <col min="3" max="3" width="31.54296875" style="291" customWidth="1"/>
    <col min="4" max="4" width="32.26953125" style="294" customWidth="1"/>
    <col min="5" max="5" width="24.1796875" style="290" customWidth="1"/>
    <col min="6" max="6" width="13.81640625" style="218" bestFit="1" customWidth="1"/>
    <col min="7" max="8" width="11.81640625" style="290" customWidth="1"/>
    <col min="9" max="9" width="24.1796875" style="290" hidden="1" customWidth="1"/>
    <col min="10" max="10" width="13.453125" style="218" hidden="1" customWidth="1"/>
    <col min="11" max="11" width="14.1796875" style="290" bestFit="1" customWidth="1"/>
    <col min="12" max="12" width="21.81640625" style="293" bestFit="1" customWidth="1"/>
    <col min="13" max="13" width="14.81640625" style="293" bestFit="1" customWidth="1"/>
    <col min="14" max="14" width="25.26953125" style="290" bestFit="1" customWidth="1"/>
    <col min="15" max="16" width="14.81640625" style="290" customWidth="1"/>
    <col min="17" max="17" width="19" style="290" bestFit="1" customWidth="1"/>
    <col min="18" max="18" width="18.54296875" style="290" customWidth="1"/>
    <col min="19" max="19" width="14.81640625" style="290" bestFit="1" customWidth="1"/>
    <col min="20" max="20" width="26.453125" style="290" bestFit="1" customWidth="1"/>
    <col min="21" max="21" width="26" style="290" bestFit="1" customWidth="1"/>
    <col min="22" max="23" width="9" style="218"/>
    <col min="24" max="24" width="23.81640625" style="218" bestFit="1" customWidth="1"/>
    <col min="25" max="27" width="9" style="218"/>
    <col min="28" max="28" width="23.81640625" style="218" bestFit="1" customWidth="1"/>
    <col min="29" max="16384" width="9" style="218"/>
  </cols>
  <sheetData>
    <row r="1" spans="1:24" ht="27.5" x14ac:dyDescent="0.3">
      <c r="A1" s="485" t="s">
        <v>446</v>
      </c>
      <c r="B1" s="485"/>
      <c r="C1" s="485"/>
      <c r="D1" s="485"/>
      <c r="E1" s="485"/>
      <c r="F1" s="485"/>
      <c r="G1" s="485"/>
      <c r="H1" s="212"/>
      <c r="I1" s="213"/>
      <c r="J1" s="214"/>
      <c r="K1" s="215"/>
      <c r="L1" s="215"/>
      <c r="M1" s="215"/>
      <c r="N1" s="216"/>
      <c r="O1" s="216">
        <f ca="1">TODAY()</f>
        <v>45849</v>
      </c>
      <c r="P1" s="215"/>
      <c r="Q1" s="215"/>
      <c r="R1" s="215"/>
      <c r="S1" s="215"/>
      <c r="T1" s="215"/>
      <c r="U1" s="217">
        <f ca="1">TODAY()</f>
        <v>45849</v>
      </c>
    </row>
    <row r="2" spans="1:24" ht="56" x14ac:dyDescent="0.3">
      <c r="A2" s="219" t="s">
        <v>447</v>
      </c>
      <c r="B2" s="219" t="s">
        <v>448</v>
      </c>
      <c r="C2" s="219" t="s">
        <v>448</v>
      </c>
      <c r="D2" s="219" t="s">
        <v>449</v>
      </c>
      <c r="E2" s="220" t="s">
        <v>450</v>
      </c>
      <c r="F2" s="220" t="s">
        <v>451</v>
      </c>
      <c r="G2" s="220" t="s">
        <v>452</v>
      </c>
      <c r="H2" s="220" t="s">
        <v>841</v>
      </c>
      <c r="I2" s="220" t="s">
        <v>453</v>
      </c>
      <c r="J2" s="220" t="s">
        <v>454</v>
      </c>
      <c r="K2" s="220" t="s">
        <v>455</v>
      </c>
      <c r="L2" s="220" t="s">
        <v>456</v>
      </c>
      <c r="M2" s="220" t="s">
        <v>457</v>
      </c>
      <c r="N2" s="220" t="s">
        <v>458</v>
      </c>
      <c r="O2" s="220" t="s">
        <v>459</v>
      </c>
      <c r="P2" s="220" t="s">
        <v>460</v>
      </c>
      <c r="Q2" s="220" t="s">
        <v>461</v>
      </c>
      <c r="R2" s="220" t="s">
        <v>462</v>
      </c>
      <c r="S2" s="220" t="s">
        <v>463</v>
      </c>
      <c r="T2" s="220" t="s">
        <v>319</v>
      </c>
      <c r="U2" s="220" t="s">
        <v>464</v>
      </c>
    </row>
    <row r="3" spans="1:24" x14ac:dyDescent="0.3">
      <c r="A3" s="414">
        <v>1</v>
      </c>
      <c r="B3" s="414" t="s">
        <v>465</v>
      </c>
      <c r="C3" s="415" t="s">
        <v>466</v>
      </c>
      <c r="D3" s="416" t="s">
        <v>467</v>
      </c>
      <c r="E3" s="413" t="s">
        <v>468</v>
      </c>
      <c r="F3" s="413" t="s">
        <v>469</v>
      </c>
      <c r="G3" s="417">
        <v>45698</v>
      </c>
      <c r="H3" s="417">
        <v>45698</v>
      </c>
      <c r="I3" s="226"/>
      <c r="J3" s="227"/>
      <c r="K3" s="224" t="s">
        <v>470</v>
      </c>
      <c r="L3" s="225">
        <v>45698</v>
      </c>
      <c r="M3" s="225"/>
      <c r="N3" s="224"/>
      <c r="O3" s="224"/>
      <c r="P3" s="224"/>
      <c r="Q3" s="413"/>
      <c r="R3" s="413" t="s">
        <v>399</v>
      </c>
      <c r="S3" s="413" t="s">
        <v>471</v>
      </c>
      <c r="T3" s="413" t="s">
        <v>399</v>
      </c>
      <c r="U3" s="413"/>
    </row>
    <row r="4" spans="1:24" x14ac:dyDescent="0.3">
      <c r="A4" s="414"/>
      <c r="B4" s="414"/>
      <c r="C4" s="415"/>
      <c r="D4" s="416"/>
      <c r="E4" s="413"/>
      <c r="F4" s="413"/>
      <c r="G4" s="417"/>
      <c r="H4" s="417"/>
      <c r="I4" s="226"/>
      <c r="J4" s="227"/>
      <c r="K4" s="224" t="s">
        <v>472</v>
      </c>
      <c r="L4" s="225">
        <v>45700</v>
      </c>
      <c r="M4" s="225">
        <v>45700</v>
      </c>
      <c r="N4" s="224"/>
      <c r="O4" s="224">
        <f>M4-L4</f>
        <v>0</v>
      </c>
      <c r="P4" s="224">
        <f>L5-M4</f>
        <v>2</v>
      </c>
      <c r="Q4" s="413"/>
      <c r="R4" s="413"/>
      <c r="S4" s="413"/>
      <c r="T4" s="413"/>
      <c r="U4" s="413"/>
      <c r="X4" s="228" t="s">
        <v>473</v>
      </c>
    </row>
    <row r="5" spans="1:24" x14ac:dyDescent="0.3">
      <c r="A5" s="414"/>
      <c r="B5" s="414"/>
      <c r="C5" s="415"/>
      <c r="D5" s="416"/>
      <c r="E5" s="413"/>
      <c r="F5" s="413"/>
      <c r="G5" s="417"/>
      <c r="H5" s="417"/>
      <c r="I5" s="226"/>
      <c r="J5" s="227"/>
      <c r="K5" s="224" t="s">
        <v>474</v>
      </c>
      <c r="L5" s="225">
        <v>45702</v>
      </c>
      <c r="M5" s="225">
        <v>45705</v>
      </c>
      <c r="N5" s="224"/>
      <c r="O5" s="224">
        <f>M5-L5</f>
        <v>3</v>
      </c>
      <c r="P5" s="224">
        <f>L6-M5</f>
        <v>2</v>
      </c>
      <c r="Q5" s="413"/>
      <c r="R5" s="413"/>
      <c r="S5" s="413"/>
      <c r="T5" s="413"/>
      <c r="U5" s="413"/>
      <c r="X5" s="229" t="s">
        <v>399</v>
      </c>
    </row>
    <row r="6" spans="1:24" x14ac:dyDescent="0.3">
      <c r="A6" s="414"/>
      <c r="B6" s="414"/>
      <c r="C6" s="415"/>
      <c r="D6" s="416"/>
      <c r="E6" s="413"/>
      <c r="F6" s="413"/>
      <c r="G6" s="417"/>
      <c r="H6" s="417"/>
      <c r="I6" s="226"/>
      <c r="J6" s="227"/>
      <c r="K6" s="224" t="s">
        <v>475</v>
      </c>
      <c r="L6" s="225">
        <v>45707</v>
      </c>
      <c r="M6" s="225"/>
      <c r="N6" s="224"/>
      <c r="O6" s="224"/>
      <c r="P6" s="224"/>
      <c r="Q6" s="413"/>
      <c r="R6" s="413"/>
      <c r="S6" s="413"/>
      <c r="T6" s="413"/>
      <c r="U6" s="413"/>
      <c r="X6" s="229" t="s">
        <v>476</v>
      </c>
    </row>
    <row r="7" spans="1:24" x14ac:dyDescent="0.3">
      <c r="A7" s="414">
        <v>2</v>
      </c>
      <c r="B7" s="414" t="s">
        <v>465</v>
      </c>
      <c r="C7" s="415" t="s">
        <v>466</v>
      </c>
      <c r="D7" s="416" t="s">
        <v>477</v>
      </c>
      <c r="E7" s="413" t="s">
        <v>478</v>
      </c>
      <c r="F7" s="413" t="s">
        <v>479</v>
      </c>
      <c r="G7" s="417">
        <v>45740</v>
      </c>
      <c r="H7" s="417">
        <v>45740</v>
      </c>
      <c r="I7" s="226"/>
      <c r="J7" s="227"/>
      <c r="K7" s="224" t="s">
        <v>470</v>
      </c>
      <c r="L7" s="225">
        <v>45740</v>
      </c>
      <c r="M7" s="225">
        <v>45743</v>
      </c>
      <c r="N7" s="224" t="s">
        <v>480</v>
      </c>
      <c r="O7" s="224">
        <f>M7-L7</f>
        <v>3</v>
      </c>
      <c r="P7" s="224">
        <f>L8-M7</f>
        <v>6</v>
      </c>
      <c r="Q7" s="461">
        <f>M8</f>
        <v>45755</v>
      </c>
      <c r="R7" s="413" t="str">
        <f>T7</f>
        <v>Approved</v>
      </c>
      <c r="S7" s="413" t="str">
        <f>N8</f>
        <v>CAT -IV</v>
      </c>
      <c r="T7" s="413" t="s">
        <v>399</v>
      </c>
      <c r="U7" s="413">
        <f>M8-L8</f>
        <v>6</v>
      </c>
      <c r="X7" s="229" t="s">
        <v>481</v>
      </c>
    </row>
    <row r="8" spans="1:24" x14ac:dyDescent="0.3">
      <c r="A8" s="414"/>
      <c r="B8" s="414"/>
      <c r="C8" s="415"/>
      <c r="D8" s="416"/>
      <c r="E8" s="413"/>
      <c r="F8" s="413"/>
      <c r="G8" s="417"/>
      <c r="H8" s="417"/>
      <c r="I8" s="226"/>
      <c r="J8" s="227"/>
      <c r="K8" s="224" t="s">
        <v>472</v>
      </c>
      <c r="L8" s="225">
        <v>45749</v>
      </c>
      <c r="M8" s="225">
        <v>45755</v>
      </c>
      <c r="N8" s="224" t="s">
        <v>482</v>
      </c>
      <c r="O8" s="224">
        <f>M8-L8</f>
        <v>6</v>
      </c>
      <c r="P8" s="224"/>
      <c r="Q8" s="461"/>
      <c r="R8" s="413"/>
      <c r="S8" s="413"/>
      <c r="T8" s="413"/>
      <c r="U8" s="413"/>
    </row>
    <row r="9" spans="1:24" ht="28" x14ac:dyDescent="0.3">
      <c r="A9" s="231">
        <v>3</v>
      </c>
      <c r="B9" s="231" t="s">
        <v>465</v>
      </c>
      <c r="C9" s="232" t="s">
        <v>466</v>
      </c>
      <c r="D9" s="233" t="s">
        <v>483</v>
      </c>
      <c r="E9" s="213" t="s">
        <v>484</v>
      </c>
      <c r="F9" s="213" t="s">
        <v>469</v>
      </c>
      <c r="G9" s="234"/>
      <c r="H9" s="225"/>
      <c r="I9" s="235"/>
      <c r="J9" s="236"/>
      <c r="K9" s="213" t="s">
        <v>470</v>
      </c>
      <c r="L9" s="234"/>
      <c r="M9" s="234"/>
      <c r="N9" s="213"/>
      <c r="O9" s="213"/>
      <c r="P9" s="213"/>
      <c r="Q9" s="213"/>
      <c r="R9" s="213"/>
      <c r="S9" s="213" t="s">
        <v>485</v>
      </c>
      <c r="T9" s="213" t="s">
        <v>399</v>
      </c>
      <c r="U9" s="213"/>
    </row>
    <row r="10" spans="1:24" ht="42" x14ac:dyDescent="0.3">
      <c r="A10" s="221">
        <v>4</v>
      </c>
      <c r="B10" s="221" t="s">
        <v>465</v>
      </c>
      <c r="C10" s="222" t="s">
        <v>466</v>
      </c>
      <c r="D10" s="223" t="s">
        <v>486</v>
      </c>
      <c r="E10" s="224" t="s">
        <v>487</v>
      </c>
      <c r="F10" s="224" t="s">
        <v>479</v>
      </c>
      <c r="G10" s="225">
        <v>45768</v>
      </c>
      <c r="H10" s="225">
        <v>45768</v>
      </c>
      <c r="I10" s="226"/>
      <c r="J10" s="227"/>
      <c r="K10" s="224" t="s">
        <v>470</v>
      </c>
      <c r="L10" s="225">
        <v>45768</v>
      </c>
      <c r="M10" s="225">
        <v>45776</v>
      </c>
      <c r="N10" s="224" t="s">
        <v>480</v>
      </c>
      <c r="O10" s="224">
        <f>M10-L10</f>
        <v>8</v>
      </c>
      <c r="P10" s="224"/>
      <c r="Q10" s="230">
        <f>M10</f>
        <v>45776</v>
      </c>
      <c r="R10" s="224" t="s">
        <v>399</v>
      </c>
      <c r="S10" s="224" t="str">
        <f>N10</f>
        <v>CAT -IV R</v>
      </c>
      <c r="T10" s="224" t="s">
        <v>399</v>
      </c>
      <c r="U10" s="224"/>
    </row>
    <row r="11" spans="1:24" ht="28" x14ac:dyDescent="0.3">
      <c r="A11" s="237">
        <v>5</v>
      </c>
      <c r="B11" s="238" t="s">
        <v>465</v>
      </c>
      <c r="C11" s="239" t="s">
        <v>466</v>
      </c>
      <c r="D11" s="240" t="s">
        <v>488</v>
      </c>
      <c r="E11" s="215" t="s">
        <v>489</v>
      </c>
      <c r="F11" s="213" t="s">
        <v>479</v>
      </c>
      <c r="G11" s="234">
        <v>45814</v>
      </c>
      <c r="H11" s="234">
        <v>45820</v>
      </c>
      <c r="I11" s="235"/>
      <c r="J11" s="241"/>
      <c r="K11" s="215"/>
      <c r="L11" s="242"/>
      <c r="M11" s="242"/>
      <c r="N11" s="215"/>
      <c r="O11" s="215"/>
      <c r="P11" s="215"/>
      <c r="Q11" s="215"/>
      <c r="R11" s="215" t="s">
        <v>495</v>
      </c>
      <c r="S11" s="215"/>
      <c r="T11" s="215" t="s">
        <v>473</v>
      </c>
      <c r="U11" s="215"/>
    </row>
    <row r="12" spans="1:24" x14ac:dyDescent="0.3">
      <c r="A12" s="237">
        <v>6</v>
      </c>
      <c r="B12" s="238" t="s">
        <v>465</v>
      </c>
      <c r="C12" s="239" t="s">
        <v>466</v>
      </c>
      <c r="D12" s="240" t="s">
        <v>490</v>
      </c>
      <c r="E12" s="215" t="s">
        <v>491</v>
      </c>
      <c r="F12" s="215" t="s">
        <v>479</v>
      </c>
      <c r="G12" s="242">
        <v>45814</v>
      </c>
      <c r="H12" s="242">
        <v>45820</v>
      </c>
      <c r="I12" s="243"/>
      <c r="J12" s="241"/>
      <c r="K12" s="215"/>
      <c r="L12" s="242"/>
      <c r="M12" s="242"/>
      <c r="N12" s="215"/>
      <c r="O12" s="215"/>
      <c r="P12" s="215"/>
      <c r="Q12" s="215"/>
      <c r="R12" s="215"/>
      <c r="S12" s="215"/>
      <c r="T12" s="215"/>
      <c r="U12" s="215"/>
    </row>
    <row r="13" spans="1:24" x14ac:dyDescent="0.3">
      <c r="A13" s="504">
        <v>7</v>
      </c>
      <c r="B13" s="469" t="s">
        <v>465</v>
      </c>
      <c r="C13" s="470" t="s">
        <v>466</v>
      </c>
      <c r="D13" s="505" t="s">
        <v>492</v>
      </c>
      <c r="E13" s="443" t="s">
        <v>493</v>
      </c>
      <c r="F13" s="443" t="s">
        <v>469</v>
      </c>
      <c r="G13" s="455">
        <v>45742</v>
      </c>
      <c r="H13" s="455">
        <v>45742</v>
      </c>
      <c r="I13" s="243"/>
      <c r="J13" s="241"/>
      <c r="K13" s="215" t="s">
        <v>470</v>
      </c>
      <c r="L13" s="242">
        <v>45742</v>
      </c>
      <c r="M13" s="242">
        <v>45751</v>
      </c>
      <c r="N13" s="215" t="s">
        <v>494</v>
      </c>
      <c r="O13" s="215">
        <f>M13-L13</f>
        <v>9</v>
      </c>
      <c r="P13" s="215">
        <f>L14-M13</f>
        <v>0</v>
      </c>
      <c r="Q13" s="215"/>
      <c r="R13" s="443" t="s">
        <v>495</v>
      </c>
      <c r="S13" s="443" t="str">
        <f>N13</f>
        <v>CAT - II</v>
      </c>
      <c r="T13" s="443" t="s">
        <v>473</v>
      </c>
      <c r="U13" s="443">
        <f ca="1">U1-L14</f>
        <v>98</v>
      </c>
    </row>
    <row r="14" spans="1:24" x14ac:dyDescent="0.3">
      <c r="A14" s="504"/>
      <c r="B14" s="469"/>
      <c r="C14" s="470"/>
      <c r="D14" s="505"/>
      <c r="E14" s="443"/>
      <c r="F14" s="443"/>
      <c r="G14" s="455"/>
      <c r="H14" s="455"/>
      <c r="I14" s="243"/>
      <c r="J14" s="241"/>
      <c r="K14" s="215" t="s">
        <v>472</v>
      </c>
      <c r="L14" s="242">
        <v>45751</v>
      </c>
      <c r="M14" s="242"/>
      <c r="N14" s="215"/>
      <c r="O14" s="215">
        <f ca="1">O1-L14</f>
        <v>98</v>
      </c>
      <c r="P14" s="215"/>
      <c r="Q14" s="215"/>
      <c r="R14" s="443"/>
      <c r="S14" s="443"/>
      <c r="T14" s="443"/>
      <c r="U14" s="443"/>
    </row>
    <row r="15" spans="1:24" x14ac:dyDescent="0.3">
      <c r="A15" s="237">
        <v>8</v>
      </c>
      <c r="B15" s="238" t="s">
        <v>465</v>
      </c>
      <c r="C15" s="239" t="s">
        <v>466</v>
      </c>
      <c r="D15" s="240" t="s">
        <v>496</v>
      </c>
      <c r="E15" s="215" t="s">
        <v>497</v>
      </c>
      <c r="F15" s="215" t="s">
        <v>479</v>
      </c>
      <c r="G15" s="242">
        <v>45771</v>
      </c>
      <c r="H15" s="242">
        <v>45771</v>
      </c>
      <c r="I15" s="243"/>
      <c r="J15" s="241"/>
      <c r="K15" s="215" t="s">
        <v>470</v>
      </c>
      <c r="L15" s="242">
        <v>45772</v>
      </c>
      <c r="M15" s="242"/>
      <c r="N15" s="215"/>
      <c r="O15" s="215">
        <f ca="1">O1-L15</f>
        <v>77</v>
      </c>
      <c r="P15" s="215"/>
      <c r="Q15" s="215"/>
      <c r="R15" s="215" t="s">
        <v>495</v>
      </c>
      <c r="S15" s="215"/>
      <c r="T15" s="215" t="s">
        <v>473</v>
      </c>
      <c r="U15" s="215">
        <f ca="1">U1-L15</f>
        <v>77</v>
      </c>
    </row>
    <row r="16" spans="1:24" x14ac:dyDescent="0.3">
      <c r="A16" s="221">
        <v>9</v>
      </c>
      <c r="B16" s="221" t="s">
        <v>465</v>
      </c>
      <c r="C16" s="222" t="s">
        <v>466</v>
      </c>
      <c r="D16" s="223" t="s">
        <v>498</v>
      </c>
      <c r="E16" s="224" t="s">
        <v>499</v>
      </c>
      <c r="F16" s="224" t="s">
        <v>479</v>
      </c>
      <c r="G16" s="225"/>
      <c r="H16" s="225"/>
      <c r="I16" s="226"/>
      <c r="J16" s="227"/>
      <c r="K16" s="224" t="s">
        <v>470</v>
      </c>
      <c r="L16" s="225"/>
      <c r="M16" s="225"/>
      <c r="N16" s="224"/>
      <c r="O16" s="224"/>
      <c r="P16" s="224"/>
      <c r="Q16" s="224"/>
      <c r="R16" s="224" t="s">
        <v>399</v>
      </c>
      <c r="S16" s="224" t="s">
        <v>485</v>
      </c>
      <c r="T16" s="224" t="s">
        <v>399</v>
      </c>
      <c r="U16" s="224"/>
    </row>
    <row r="17" spans="1:21" x14ac:dyDescent="0.3">
      <c r="A17" s="237">
        <v>10</v>
      </c>
      <c r="B17" s="238" t="s">
        <v>465</v>
      </c>
      <c r="C17" s="239" t="s">
        <v>466</v>
      </c>
      <c r="D17" s="240" t="s">
        <v>500</v>
      </c>
      <c r="E17" s="215" t="s">
        <v>501</v>
      </c>
      <c r="F17" s="213" t="s">
        <v>479</v>
      </c>
      <c r="G17" s="234">
        <v>45772</v>
      </c>
      <c r="H17" s="234">
        <v>45772</v>
      </c>
      <c r="I17" s="235"/>
      <c r="J17" s="241"/>
      <c r="K17" s="215" t="s">
        <v>470</v>
      </c>
      <c r="L17" s="242">
        <v>45772</v>
      </c>
      <c r="M17" s="242">
        <v>45778</v>
      </c>
      <c r="N17" s="215" t="s">
        <v>480</v>
      </c>
      <c r="O17" s="215">
        <f>M17-L17</f>
        <v>6</v>
      </c>
      <c r="P17" s="215"/>
      <c r="Q17" s="215"/>
      <c r="R17" s="215" t="s">
        <v>502</v>
      </c>
      <c r="S17" s="215" t="str">
        <f>N17</f>
        <v>CAT -IV R</v>
      </c>
      <c r="T17" s="215" t="s">
        <v>476</v>
      </c>
      <c r="U17" s="215">
        <f ca="1">U1-M17</f>
        <v>71</v>
      </c>
    </row>
    <row r="18" spans="1:21" x14ac:dyDescent="0.3">
      <c r="A18" s="414">
        <v>11</v>
      </c>
      <c r="B18" s="414" t="s">
        <v>465</v>
      </c>
      <c r="C18" s="415" t="s">
        <v>466</v>
      </c>
      <c r="D18" s="416" t="s">
        <v>503</v>
      </c>
      <c r="E18" s="413" t="s">
        <v>504</v>
      </c>
      <c r="F18" s="413" t="s">
        <v>469</v>
      </c>
      <c r="G18" s="417">
        <v>45769</v>
      </c>
      <c r="H18" s="417">
        <f>L18</f>
        <v>45769</v>
      </c>
      <c r="I18" s="226"/>
      <c r="J18" s="227"/>
      <c r="K18" s="224" t="s">
        <v>470</v>
      </c>
      <c r="L18" s="225">
        <v>45769</v>
      </c>
      <c r="M18" s="225">
        <v>45771</v>
      </c>
      <c r="N18" s="224" t="s">
        <v>471</v>
      </c>
      <c r="O18" s="224">
        <f>M18-L18</f>
        <v>2</v>
      </c>
      <c r="P18" s="224">
        <f>L19-M18</f>
        <v>6</v>
      </c>
      <c r="Q18" s="461">
        <f>M20</f>
        <v>45793</v>
      </c>
      <c r="R18" s="413" t="s">
        <v>495</v>
      </c>
      <c r="S18" s="413" t="str">
        <f>N20</f>
        <v>CAT - I</v>
      </c>
      <c r="T18" s="413" t="s">
        <v>399</v>
      </c>
      <c r="U18" s="413">
        <f>M20-L20</f>
        <v>7</v>
      </c>
    </row>
    <row r="19" spans="1:21" x14ac:dyDescent="0.3">
      <c r="A19" s="414"/>
      <c r="B19" s="414"/>
      <c r="C19" s="415"/>
      <c r="D19" s="416"/>
      <c r="E19" s="413"/>
      <c r="F19" s="413"/>
      <c r="G19" s="417"/>
      <c r="H19" s="417"/>
      <c r="I19" s="226"/>
      <c r="J19" s="227"/>
      <c r="K19" s="224" t="s">
        <v>472</v>
      </c>
      <c r="L19" s="225">
        <v>45777</v>
      </c>
      <c r="M19" s="225">
        <v>45778</v>
      </c>
      <c r="N19" s="224" t="s">
        <v>494</v>
      </c>
      <c r="O19" s="224">
        <f>M19-L19</f>
        <v>1</v>
      </c>
      <c r="P19" s="224">
        <f>L20-M19</f>
        <v>8</v>
      </c>
      <c r="Q19" s="461"/>
      <c r="R19" s="413"/>
      <c r="S19" s="413"/>
      <c r="T19" s="413"/>
      <c r="U19" s="413"/>
    </row>
    <row r="20" spans="1:21" x14ac:dyDescent="0.3">
      <c r="A20" s="414"/>
      <c r="B20" s="414"/>
      <c r="C20" s="415"/>
      <c r="D20" s="416"/>
      <c r="E20" s="413"/>
      <c r="F20" s="413"/>
      <c r="G20" s="417"/>
      <c r="H20" s="417"/>
      <c r="I20" s="226"/>
      <c r="J20" s="227"/>
      <c r="K20" s="224" t="s">
        <v>474</v>
      </c>
      <c r="L20" s="225">
        <v>45786</v>
      </c>
      <c r="M20" s="225">
        <v>45793</v>
      </c>
      <c r="N20" s="224" t="s">
        <v>485</v>
      </c>
      <c r="O20" s="224">
        <f>M20-L20</f>
        <v>7</v>
      </c>
      <c r="P20" s="224"/>
      <c r="Q20" s="461"/>
      <c r="R20" s="413"/>
      <c r="S20" s="413"/>
      <c r="T20" s="413"/>
      <c r="U20" s="413"/>
    </row>
    <row r="21" spans="1:21" x14ac:dyDescent="0.3">
      <c r="A21" s="237">
        <v>12</v>
      </c>
      <c r="B21" s="238" t="s">
        <v>465</v>
      </c>
      <c r="C21" s="239" t="s">
        <v>466</v>
      </c>
      <c r="D21" s="240" t="s">
        <v>505</v>
      </c>
      <c r="E21" s="215" t="s">
        <v>506</v>
      </c>
      <c r="F21" s="213" t="s">
        <v>479</v>
      </c>
      <c r="G21" s="234">
        <v>45801</v>
      </c>
      <c r="H21" s="234">
        <v>45843</v>
      </c>
      <c r="I21" s="235"/>
      <c r="J21" s="241"/>
      <c r="K21" s="215"/>
      <c r="L21" s="242"/>
      <c r="M21" s="242"/>
      <c r="N21" s="215"/>
      <c r="O21" s="215"/>
      <c r="P21" s="215"/>
      <c r="Q21" s="215"/>
      <c r="R21" s="215"/>
      <c r="S21" s="215"/>
      <c r="T21" s="215"/>
      <c r="U21" s="215"/>
    </row>
    <row r="22" spans="1:21" s="249" customFormat="1" x14ac:dyDescent="0.3">
      <c r="A22" s="237">
        <v>13</v>
      </c>
      <c r="B22" s="238" t="s">
        <v>465</v>
      </c>
      <c r="C22" s="239" t="s">
        <v>466</v>
      </c>
      <c r="D22" s="240" t="s">
        <v>507</v>
      </c>
      <c r="E22" s="215" t="s">
        <v>508</v>
      </c>
      <c r="F22" s="244" t="s">
        <v>479</v>
      </c>
      <c r="G22" s="245"/>
      <c r="H22" s="245"/>
      <c r="I22" s="246"/>
      <c r="J22" s="247"/>
      <c r="K22" s="248"/>
      <c r="L22" s="242"/>
      <c r="M22" s="242"/>
      <c r="N22" s="248"/>
      <c r="O22" s="215"/>
      <c r="P22" s="215"/>
      <c r="Q22" s="248"/>
      <c r="R22" s="248"/>
      <c r="S22" s="248"/>
      <c r="T22" s="248"/>
      <c r="U22" s="248"/>
    </row>
    <row r="23" spans="1:21" ht="28" x14ac:dyDescent="0.3">
      <c r="A23" s="237">
        <v>14</v>
      </c>
      <c r="B23" s="238" t="s">
        <v>465</v>
      </c>
      <c r="C23" s="239" t="s">
        <v>466</v>
      </c>
      <c r="D23" s="240" t="s">
        <v>509</v>
      </c>
      <c r="E23" s="215" t="s">
        <v>510</v>
      </c>
      <c r="F23" s="213" t="s">
        <v>469</v>
      </c>
      <c r="G23" s="234"/>
      <c r="H23" s="234"/>
      <c r="I23" s="235"/>
      <c r="J23" s="241"/>
      <c r="K23" s="215"/>
      <c r="L23" s="242"/>
      <c r="M23" s="242"/>
      <c r="N23" s="215"/>
      <c r="O23" s="215"/>
      <c r="P23" s="215"/>
      <c r="Q23" s="215"/>
      <c r="R23" s="215"/>
      <c r="S23" s="215"/>
      <c r="T23" s="215"/>
      <c r="U23" s="215"/>
    </row>
    <row r="24" spans="1:21" x14ac:dyDescent="0.3">
      <c r="A24" s="434">
        <v>1</v>
      </c>
      <c r="B24" s="434" t="s">
        <v>6</v>
      </c>
      <c r="C24" s="437" t="s">
        <v>511</v>
      </c>
      <c r="D24" s="479" t="s">
        <v>512</v>
      </c>
      <c r="E24" s="421" t="s">
        <v>513</v>
      </c>
      <c r="F24" s="421" t="s">
        <v>469</v>
      </c>
      <c r="G24" s="410">
        <v>45727</v>
      </c>
      <c r="H24" s="410">
        <f>L24</f>
        <v>45727</v>
      </c>
      <c r="I24" s="250"/>
      <c r="J24" s="227"/>
      <c r="K24" s="224" t="s">
        <v>470</v>
      </c>
      <c r="L24" s="225">
        <v>45727</v>
      </c>
      <c r="M24" s="225">
        <v>45736</v>
      </c>
      <c r="N24" s="224" t="s">
        <v>471</v>
      </c>
      <c r="O24" s="224">
        <f>M24-L24</f>
        <v>9</v>
      </c>
      <c r="P24" s="224">
        <f>L25-M24</f>
        <v>19</v>
      </c>
      <c r="Q24" s="421"/>
      <c r="R24" s="421" t="s">
        <v>399</v>
      </c>
      <c r="S24" s="421" t="str">
        <f>N26</f>
        <v>CAT - I</v>
      </c>
      <c r="T24" s="421" t="s">
        <v>399</v>
      </c>
      <c r="U24" s="421">
        <f ca="1">U1-L26</f>
        <v>44</v>
      </c>
    </row>
    <row r="25" spans="1:21" x14ac:dyDescent="0.3">
      <c r="A25" s="434"/>
      <c r="B25" s="434"/>
      <c r="C25" s="437"/>
      <c r="D25" s="479"/>
      <c r="E25" s="421"/>
      <c r="F25" s="421"/>
      <c r="G25" s="410"/>
      <c r="H25" s="410"/>
      <c r="I25" s="251"/>
      <c r="J25" s="227"/>
      <c r="K25" s="224" t="s">
        <v>472</v>
      </c>
      <c r="L25" s="225">
        <v>45755</v>
      </c>
      <c r="M25" s="225">
        <v>45758</v>
      </c>
      <c r="N25" s="224" t="s">
        <v>494</v>
      </c>
      <c r="O25" s="224">
        <f>M25-L25</f>
        <v>3</v>
      </c>
      <c r="P25" s="224">
        <f>L26-M25</f>
        <v>47</v>
      </c>
      <c r="Q25" s="421"/>
      <c r="R25" s="421"/>
      <c r="S25" s="421"/>
      <c r="T25" s="421"/>
      <c r="U25" s="421"/>
    </row>
    <row r="26" spans="1:21" x14ac:dyDescent="0.3">
      <c r="A26" s="434"/>
      <c r="B26" s="434"/>
      <c r="C26" s="437"/>
      <c r="D26" s="479"/>
      <c r="E26" s="421"/>
      <c r="F26" s="421"/>
      <c r="G26" s="410"/>
      <c r="H26" s="410"/>
      <c r="I26" s="252"/>
      <c r="J26" s="227"/>
      <c r="K26" s="224" t="s">
        <v>474</v>
      </c>
      <c r="L26" s="225">
        <v>45805</v>
      </c>
      <c r="M26" s="225">
        <v>45810</v>
      </c>
      <c r="N26" s="224" t="s">
        <v>485</v>
      </c>
      <c r="O26" s="224">
        <f>M26-L26</f>
        <v>5</v>
      </c>
      <c r="P26" s="224"/>
      <c r="Q26" s="421"/>
      <c r="R26" s="421"/>
      <c r="S26" s="421"/>
      <c r="T26" s="421"/>
      <c r="U26" s="421"/>
    </row>
    <row r="27" spans="1:21" s="259" customFormat="1" ht="28" x14ac:dyDescent="0.3">
      <c r="A27" s="253">
        <v>2</v>
      </c>
      <c r="B27" s="254" t="s">
        <v>6</v>
      </c>
      <c r="C27" s="255" t="s">
        <v>511</v>
      </c>
      <c r="D27" s="256" t="s">
        <v>842</v>
      </c>
      <c r="E27" s="215" t="s">
        <v>514</v>
      </c>
      <c r="F27" s="213" t="s">
        <v>469</v>
      </c>
      <c r="G27" s="234">
        <v>45805</v>
      </c>
      <c r="H27" s="245">
        <f>L27</f>
        <v>45811</v>
      </c>
      <c r="I27" s="257"/>
      <c r="J27" s="258"/>
      <c r="K27" s="215" t="s">
        <v>470</v>
      </c>
      <c r="L27" s="242">
        <v>45811</v>
      </c>
      <c r="M27" s="242">
        <v>45818</v>
      </c>
      <c r="N27" s="215" t="s">
        <v>471</v>
      </c>
      <c r="O27" s="215">
        <f ca="1">O1-L27</f>
        <v>38</v>
      </c>
      <c r="P27" s="215"/>
      <c r="Q27" s="215"/>
      <c r="R27" s="215" t="s">
        <v>502</v>
      </c>
      <c r="S27" s="215" t="str">
        <f>N27</f>
        <v>CAT - III</v>
      </c>
      <c r="T27" s="215" t="s">
        <v>476</v>
      </c>
      <c r="U27" s="215">
        <f ca="1">U1-L27</f>
        <v>38</v>
      </c>
    </row>
    <row r="28" spans="1:21" ht="28" x14ac:dyDescent="0.3">
      <c r="A28" s="237">
        <v>3</v>
      </c>
      <c r="B28" s="238" t="s">
        <v>6</v>
      </c>
      <c r="C28" s="239" t="s">
        <v>511</v>
      </c>
      <c r="D28" s="240" t="s">
        <v>515</v>
      </c>
      <c r="E28" s="215" t="s">
        <v>516</v>
      </c>
      <c r="F28" s="213" t="s">
        <v>469</v>
      </c>
      <c r="G28" s="234">
        <v>45795</v>
      </c>
      <c r="H28" s="234">
        <f>L28</f>
        <v>45786</v>
      </c>
      <c r="I28" s="235"/>
      <c r="J28" s="241"/>
      <c r="K28" s="215" t="s">
        <v>470</v>
      </c>
      <c r="L28" s="242">
        <v>45786</v>
      </c>
      <c r="M28" s="242"/>
      <c r="N28" s="215"/>
      <c r="O28" s="215">
        <f ca="1">O1-L28</f>
        <v>63</v>
      </c>
      <c r="P28" s="215"/>
      <c r="Q28" s="215"/>
      <c r="R28" s="215" t="s">
        <v>495</v>
      </c>
      <c r="S28" s="215"/>
      <c r="T28" s="215" t="s">
        <v>473</v>
      </c>
      <c r="U28" s="215">
        <f ca="1">U1-L28</f>
        <v>63</v>
      </c>
    </row>
    <row r="29" spans="1:21" x14ac:dyDescent="0.3">
      <c r="A29" s="434">
        <v>4</v>
      </c>
      <c r="B29" s="434" t="s">
        <v>6</v>
      </c>
      <c r="C29" s="437" t="s">
        <v>511</v>
      </c>
      <c r="D29" s="479" t="s">
        <v>517</v>
      </c>
      <c r="E29" s="421" t="s">
        <v>518</v>
      </c>
      <c r="F29" s="421" t="s">
        <v>469</v>
      </c>
      <c r="G29" s="410">
        <v>45751</v>
      </c>
      <c r="H29" s="410">
        <f>L29</f>
        <v>45727</v>
      </c>
      <c r="I29" s="250"/>
      <c r="J29" s="227"/>
      <c r="K29" s="224" t="s">
        <v>470</v>
      </c>
      <c r="L29" s="225">
        <v>45727</v>
      </c>
      <c r="M29" s="225">
        <v>45736</v>
      </c>
      <c r="N29" s="224" t="s">
        <v>494</v>
      </c>
      <c r="O29" s="224">
        <f>M29-L29</f>
        <v>9</v>
      </c>
      <c r="P29" s="224">
        <f>L30-M29</f>
        <v>19</v>
      </c>
      <c r="Q29" s="481">
        <f>M31</f>
        <v>45784</v>
      </c>
      <c r="R29" s="421" t="s">
        <v>502</v>
      </c>
      <c r="S29" s="421" t="str">
        <f>N32</f>
        <v>CAT - II</v>
      </c>
      <c r="T29" s="421" t="s">
        <v>476</v>
      </c>
      <c r="U29" s="421">
        <f>M31-L31</f>
        <v>1</v>
      </c>
    </row>
    <row r="30" spans="1:21" ht="14.15" customHeight="1" x14ac:dyDescent="0.3">
      <c r="A30" s="435"/>
      <c r="B30" s="435"/>
      <c r="C30" s="438"/>
      <c r="D30" s="480"/>
      <c r="E30" s="422"/>
      <c r="F30" s="422"/>
      <c r="G30" s="411"/>
      <c r="H30" s="411"/>
      <c r="I30" s="251"/>
      <c r="J30" s="227"/>
      <c r="K30" s="224" t="s">
        <v>472</v>
      </c>
      <c r="L30" s="225">
        <v>45755</v>
      </c>
      <c r="M30" s="225">
        <v>45758</v>
      </c>
      <c r="N30" s="224" t="s">
        <v>485</v>
      </c>
      <c r="O30" s="224">
        <f>M30-L30</f>
        <v>3</v>
      </c>
      <c r="P30" s="224">
        <f>L31-M30</f>
        <v>25</v>
      </c>
      <c r="Q30" s="482"/>
      <c r="R30" s="422"/>
      <c r="S30" s="422"/>
      <c r="T30" s="422"/>
      <c r="U30" s="422"/>
    </row>
    <row r="31" spans="1:21" ht="14.15" customHeight="1" x14ac:dyDescent="0.3">
      <c r="A31" s="435"/>
      <c r="B31" s="435"/>
      <c r="C31" s="438"/>
      <c r="D31" s="480"/>
      <c r="E31" s="422"/>
      <c r="F31" s="422"/>
      <c r="G31" s="411"/>
      <c r="H31" s="411"/>
      <c r="I31" s="251"/>
      <c r="J31" s="227"/>
      <c r="K31" s="224" t="s">
        <v>474</v>
      </c>
      <c r="L31" s="225">
        <v>45783</v>
      </c>
      <c r="M31" s="225">
        <v>45784</v>
      </c>
      <c r="N31" s="224" t="s">
        <v>485</v>
      </c>
      <c r="O31" s="224">
        <f>M31-L31</f>
        <v>1</v>
      </c>
      <c r="P31" s="224">
        <f>L32-M31</f>
        <v>21</v>
      </c>
      <c r="Q31" s="482"/>
      <c r="R31" s="422"/>
      <c r="S31" s="422"/>
      <c r="T31" s="422"/>
      <c r="U31" s="422"/>
    </row>
    <row r="32" spans="1:21" ht="14.15" customHeight="1" x14ac:dyDescent="0.3">
      <c r="A32" s="436"/>
      <c r="B32" s="436"/>
      <c r="C32" s="439"/>
      <c r="D32" s="442"/>
      <c r="E32" s="423"/>
      <c r="F32" s="423"/>
      <c r="G32" s="412"/>
      <c r="H32" s="412"/>
      <c r="I32" s="252"/>
      <c r="J32" s="227"/>
      <c r="K32" s="224" t="s">
        <v>475</v>
      </c>
      <c r="L32" s="225">
        <v>45805</v>
      </c>
      <c r="M32" s="225">
        <v>45807</v>
      </c>
      <c r="N32" s="224" t="s">
        <v>494</v>
      </c>
      <c r="O32" s="224">
        <f>M32-L32</f>
        <v>2</v>
      </c>
      <c r="P32" s="224"/>
      <c r="Q32" s="483"/>
      <c r="R32" s="423"/>
      <c r="S32" s="423"/>
      <c r="T32" s="423"/>
      <c r="U32" s="423"/>
    </row>
    <row r="33" spans="1:21" ht="28" x14ac:dyDescent="0.3">
      <c r="A33" s="260">
        <v>5</v>
      </c>
      <c r="B33" s="260" t="s">
        <v>6</v>
      </c>
      <c r="C33" s="261" t="s">
        <v>511</v>
      </c>
      <c r="D33" s="262" t="s">
        <v>519</v>
      </c>
      <c r="E33" s="215" t="s">
        <v>520</v>
      </c>
      <c r="F33" s="215" t="s">
        <v>469</v>
      </c>
      <c r="G33" s="242">
        <v>45811</v>
      </c>
      <c r="H33" s="242">
        <f>L33</f>
        <v>45811</v>
      </c>
      <c r="I33" s="243"/>
      <c r="J33" s="241"/>
      <c r="K33" s="215" t="s">
        <v>470</v>
      </c>
      <c r="L33" s="242">
        <v>45811</v>
      </c>
      <c r="M33" s="242">
        <v>45818</v>
      </c>
      <c r="N33" s="215" t="s">
        <v>471</v>
      </c>
      <c r="O33" s="215">
        <f ca="1">O1-L33</f>
        <v>38</v>
      </c>
      <c r="P33" s="215"/>
      <c r="Q33" s="215"/>
      <c r="R33" s="215" t="s">
        <v>502</v>
      </c>
      <c r="S33" s="215" t="str">
        <f>N33</f>
        <v>CAT - III</v>
      </c>
      <c r="T33" s="215" t="s">
        <v>476</v>
      </c>
      <c r="U33" s="215">
        <f ca="1">U1-L33</f>
        <v>38</v>
      </c>
    </row>
    <row r="34" spans="1:21" x14ac:dyDescent="0.3">
      <c r="A34" s="414">
        <v>6</v>
      </c>
      <c r="B34" s="414" t="s">
        <v>6</v>
      </c>
      <c r="C34" s="415" t="s">
        <v>511</v>
      </c>
      <c r="D34" s="416" t="s">
        <v>521</v>
      </c>
      <c r="E34" s="413" t="s">
        <v>522</v>
      </c>
      <c r="F34" s="413" t="s">
        <v>469</v>
      </c>
      <c r="G34" s="417">
        <v>45751</v>
      </c>
      <c r="H34" s="417">
        <f>L34</f>
        <v>45727</v>
      </c>
      <c r="I34" s="226"/>
      <c r="J34" s="227"/>
      <c r="K34" s="224" t="s">
        <v>470</v>
      </c>
      <c r="L34" s="225">
        <v>45727</v>
      </c>
      <c r="M34" s="225">
        <v>45736</v>
      </c>
      <c r="N34" s="224" t="s">
        <v>471</v>
      </c>
      <c r="O34" s="224">
        <f>M34-L34</f>
        <v>9</v>
      </c>
      <c r="P34" s="224">
        <f>L35-M34</f>
        <v>19</v>
      </c>
      <c r="Q34" s="478">
        <v>45758</v>
      </c>
      <c r="R34" s="413" t="s">
        <v>502</v>
      </c>
      <c r="S34" s="413" t="str">
        <f>N35</f>
        <v>CAT - I</v>
      </c>
      <c r="T34" s="413" t="s">
        <v>476</v>
      </c>
      <c r="U34" s="413"/>
    </row>
    <row r="35" spans="1:21" x14ac:dyDescent="0.3">
      <c r="A35" s="414"/>
      <c r="B35" s="414"/>
      <c r="C35" s="415"/>
      <c r="D35" s="416"/>
      <c r="E35" s="413"/>
      <c r="F35" s="413"/>
      <c r="G35" s="417"/>
      <c r="H35" s="417"/>
      <c r="I35" s="226"/>
      <c r="J35" s="227"/>
      <c r="K35" s="224" t="s">
        <v>472</v>
      </c>
      <c r="L35" s="225">
        <v>45755</v>
      </c>
      <c r="M35" s="225">
        <v>45758</v>
      </c>
      <c r="N35" s="224" t="s">
        <v>485</v>
      </c>
      <c r="O35" s="224">
        <f>M35-L35</f>
        <v>3</v>
      </c>
      <c r="P35" s="224"/>
      <c r="Q35" s="413"/>
      <c r="R35" s="413"/>
      <c r="S35" s="413"/>
      <c r="T35" s="413"/>
      <c r="U35" s="413"/>
    </row>
    <row r="36" spans="1:21" x14ac:dyDescent="0.3">
      <c r="A36" s="434">
        <v>7</v>
      </c>
      <c r="B36" s="434" t="s">
        <v>6</v>
      </c>
      <c r="C36" s="437" t="s">
        <v>511</v>
      </c>
      <c r="D36" s="479" t="s">
        <v>523</v>
      </c>
      <c r="E36" s="421" t="s">
        <v>524</v>
      </c>
      <c r="F36" s="421" t="s">
        <v>479</v>
      </c>
      <c r="G36" s="410">
        <v>45769</v>
      </c>
      <c r="H36" s="410">
        <f>L36</f>
        <v>45769</v>
      </c>
      <c r="I36" s="250"/>
      <c r="J36" s="227"/>
      <c r="K36" s="224" t="s">
        <v>470</v>
      </c>
      <c r="L36" s="225">
        <v>45769</v>
      </c>
      <c r="M36" s="225">
        <v>45779</v>
      </c>
      <c r="N36" s="224" t="s">
        <v>525</v>
      </c>
      <c r="O36" s="224">
        <f>M36-L36</f>
        <v>10</v>
      </c>
      <c r="P36" s="224">
        <f>L37-M36</f>
        <v>3</v>
      </c>
      <c r="Q36" s="418">
        <f>M36</f>
        <v>45779</v>
      </c>
      <c r="R36" s="421" t="s">
        <v>502</v>
      </c>
      <c r="S36" s="421" t="str">
        <f>N37</f>
        <v xml:space="preserve">CAT -IV </v>
      </c>
      <c r="T36" s="421" t="s">
        <v>476</v>
      </c>
      <c r="U36" s="421">
        <f ca="1">U1-M38</f>
        <v>42</v>
      </c>
    </row>
    <row r="37" spans="1:21" x14ac:dyDescent="0.3">
      <c r="A37" s="435"/>
      <c r="B37" s="435"/>
      <c r="C37" s="438"/>
      <c r="D37" s="480"/>
      <c r="E37" s="422"/>
      <c r="F37" s="422"/>
      <c r="G37" s="411"/>
      <c r="H37" s="411"/>
      <c r="I37" s="251"/>
      <c r="J37" s="227"/>
      <c r="K37" s="224" t="s">
        <v>472</v>
      </c>
      <c r="L37" s="225">
        <v>45782</v>
      </c>
      <c r="M37" s="225">
        <v>45784</v>
      </c>
      <c r="N37" s="224" t="s">
        <v>525</v>
      </c>
      <c r="O37" s="224">
        <f>M37-L37</f>
        <v>2</v>
      </c>
      <c r="P37" s="224">
        <f>L38-M37</f>
        <v>21</v>
      </c>
      <c r="Q37" s="419"/>
      <c r="R37" s="422"/>
      <c r="S37" s="422"/>
      <c r="T37" s="422"/>
      <c r="U37" s="422"/>
    </row>
    <row r="38" spans="1:21" x14ac:dyDescent="0.3">
      <c r="A38" s="436"/>
      <c r="B38" s="436"/>
      <c r="C38" s="439"/>
      <c r="D38" s="442"/>
      <c r="E38" s="423"/>
      <c r="F38" s="423"/>
      <c r="G38" s="412"/>
      <c r="H38" s="412"/>
      <c r="I38" s="252"/>
      <c r="J38" s="227"/>
      <c r="K38" s="224" t="s">
        <v>474</v>
      </c>
      <c r="L38" s="225">
        <v>45805</v>
      </c>
      <c r="M38" s="225">
        <v>45807</v>
      </c>
      <c r="N38" s="224" t="s">
        <v>525</v>
      </c>
      <c r="O38" s="224">
        <f>M38-L38</f>
        <v>2</v>
      </c>
      <c r="P38" s="224"/>
      <c r="Q38" s="420"/>
      <c r="R38" s="423"/>
      <c r="S38" s="423"/>
      <c r="T38" s="423"/>
      <c r="U38" s="423"/>
    </row>
    <row r="39" spans="1:21" ht="28" x14ac:dyDescent="0.3">
      <c r="A39" s="237">
        <v>8</v>
      </c>
      <c r="B39" s="237" t="s">
        <v>6</v>
      </c>
      <c r="C39" s="239" t="s">
        <v>511</v>
      </c>
      <c r="D39" s="263" t="s">
        <v>526</v>
      </c>
      <c r="E39" s="215" t="s">
        <v>527</v>
      </c>
      <c r="F39" s="213" t="s">
        <v>479</v>
      </c>
      <c r="G39" s="234">
        <v>45811</v>
      </c>
      <c r="H39" s="234">
        <f>L39</f>
        <v>45811</v>
      </c>
      <c r="I39" s="235"/>
      <c r="J39" s="241"/>
      <c r="K39" s="215" t="s">
        <v>470</v>
      </c>
      <c r="L39" s="242">
        <v>45811</v>
      </c>
      <c r="M39" s="242">
        <v>45818</v>
      </c>
      <c r="N39" s="215" t="s">
        <v>480</v>
      </c>
      <c r="O39" s="215">
        <f ca="1">O1-L39</f>
        <v>38</v>
      </c>
      <c r="P39" s="215"/>
      <c r="Q39" s="215"/>
      <c r="R39" s="215" t="s">
        <v>502</v>
      </c>
      <c r="S39" s="215" t="str">
        <f>N39</f>
        <v>CAT -IV R</v>
      </c>
      <c r="T39" s="215" t="s">
        <v>476</v>
      </c>
      <c r="U39" s="215"/>
    </row>
    <row r="40" spans="1:21" ht="28" x14ac:dyDescent="0.3">
      <c r="A40" s="237">
        <v>9</v>
      </c>
      <c r="B40" s="237" t="s">
        <v>6</v>
      </c>
      <c r="C40" s="239" t="s">
        <v>511</v>
      </c>
      <c r="D40" s="264" t="s">
        <v>528</v>
      </c>
      <c r="E40" s="215" t="s">
        <v>529</v>
      </c>
      <c r="F40" s="213" t="s">
        <v>479</v>
      </c>
      <c r="G40" s="234">
        <v>45824</v>
      </c>
      <c r="H40" s="234">
        <v>45823</v>
      </c>
      <c r="I40" s="235"/>
      <c r="J40" s="241"/>
      <c r="K40" s="215"/>
      <c r="L40" s="265"/>
      <c r="M40" s="242"/>
      <c r="N40" s="215"/>
      <c r="O40" s="215"/>
      <c r="P40" s="215"/>
      <c r="Q40" s="215"/>
      <c r="R40" s="215"/>
      <c r="S40" s="215"/>
      <c r="T40" s="215"/>
      <c r="U40" s="215"/>
    </row>
    <row r="41" spans="1:21" ht="14.15" customHeight="1" x14ac:dyDescent="0.3">
      <c r="A41" s="466">
        <v>1</v>
      </c>
      <c r="B41" s="469" t="s">
        <v>6</v>
      </c>
      <c r="C41" s="470" t="s">
        <v>530</v>
      </c>
      <c r="D41" s="471" t="s">
        <v>531</v>
      </c>
      <c r="E41" s="443" t="s">
        <v>532</v>
      </c>
      <c r="F41" s="443" t="s">
        <v>469</v>
      </c>
      <c r="G41" s="450">
        <v>45763</v>
      </c>
      <c r="H41" s="450">
        <f>L41</f>
        <v>45763</v>
      </c>
      <c r="I41" s="243"/>
      <c r="J41" s="241"/>
      <c r="K41" s="215" t="s">
        <v>470</v>
      </c>
      <c r="L41" s="242">
        <v>45763</v>
      </c>
      <c r="M41" s="242">
        <v>45784</v>
      </c>
      <c r="N41" s="215" t="s">
        <v>471</v>
      </c>
      <c r="O41" s="215">
        <f>M41-L41</f>
        <v>21</v>
      </c>
      <c r="P41" s="215">
        <f>L42-M41</f>
        <v>7</v>
      </c>
      <c r="Q41" s="215"/>
      <c r="R41" s="391" t="s">
        <v>495</v>
      </c>
      <c r="S41" s="391" t="str">
        <f>N41</f>
        <v>CAT - III</v>
      </c>
      <c r="T41" s="391" t="s">
        <v>473</v>
      </c>
      <c r="U41" s="391"/>
    </row>
    <row r="42" spans="1:21" x14ac:dyDescent="0.3">
      <c r="A42" s="468"/>
      <c r="B42" s="469"/>
      <c r="C42" s="470"/>
      <c r="D42" s="471"/>
      <c r="E42" s="443"/>
      <c r="F42" s="443"/>
      <c r="G42" s="452"/>
      <c r="H42" s="452"/>
      <c r="I42" s="243"/>
      <c r="J42" s="241"/>
      <c r="K42" s="215" t="s">
        <v>472</v>
      </c>
      <c r="L42" s="242">
        <v>45791</v>
      </c>
      <c r="M42" s="242"/>
      <c r="N42" s="215"/>
      <c r="O42" s="215">
        <f ca="1">O1-L42</f>
        <v>58</v>
      </c>
      <c r="P42" s="215"/>
      <c r="Q42" s="215"/>
      <c r="R42" s="392"/>
      <c r="S42" s="392"/>
      <c r="T42" s="392"/>
      <c r="U42" s="392"/>
    </row>
    <row r="43" spans="1:21" ht="28" x14ac:dyDescent="0.3">
      <c r="A43" s="237">
        <v>2</v>
      </c>
      <c r="B43" s="238" t="s">
        <v>6</v>
      </c>
      <c r="C43" s="239" t="s">
        <v>530</v>
      </c>
      <c r="D43" s="240" t="s">
        <v>533</v>
      </c>
      <c r="E43" s="215" t="s">
        <v>534</v>
      </c>
      <c r="F43" s="213" t="s">
        <v>469</v>
      </c>
      <c r="G43" s="234">
        <v>45868</v>
      </c>
      <c r="H43" s="234">
        <f t="shared" ref="H43:H50" si="0">G43</f>
        <v>45868</v>
      </c>
      <c r="I43" s="235" t="s">
        <v>535</v>
      </c>
      <c r="J43" s="241"/>
      <c r="K43" s="215"/>
      <c r="L43" s="242"/>
      <c r="M43" s="242"/>
      <c r="N43" s="215"/>
      <c r="O43" s="215"/>
      <c r="P43" s="215"/>
      <c r="Q43" s="215"/>
      <c r="R43" s="215"/>
      <c r="S43" s="215"/>
      <c r="T43" s="215"/>
      <c r="U43" s="215"/>
    </row>
    <row r="44" spans="1:21" ht="28" x14ac:dyDescent="0.3">
      <c r="A44" s="237">
        <v>3</v>
      </c>
      <c r="B44" s="238" t="s">
        <v>6</v>
      </c>
      <c r="C44" s="239" t="s">
        <v>530</v>
      </c>
      <c r="D44" s="240" t="s">
        <v>536</v>
      </c>
      <c r="E44" s="215" t="s">
        <v>537</v>
      </c>
      <c r="F44" s="215" t="s">
        <v>469</v>
      </c>
      <c r="G44" s="242">
        <v>45843</v>
      </c>
      <c r="H44" s="242">
        <f t="shared" si="0"/>
        <v>45843</v>
      </c>
      <c r="I44" s="243"/>
      <c r="J44" s="241"/>
      <c r="K44" s="215"/>
      <c r="L44" s="242"/>
      <c r="M44" s="242"/>
      <c r="N44" s="215"/>
      <c r="O44" s="215"/>
      <c r="P44" s="215"/>
      <c r="Q44" s="215"/>
      <c r="R44" s="215"/>
      <c r="S44" s="215"/>
      <c r="T44" s="215"/>
      <c r="U44" s="215"/>
    </row>
    <row r="45" spans="1:21" ht="28" x14ac:dyDescent="0.3">
      <c r="A45" s="237">
        <v>4</v>
      </c>
      <c r="B45" s="238" t="s">
        <v>6</v>
      </c>
      <c r="C45" s="239" t="s">
        <v>530</v>
      </c>
      <c r="D45" s="240" t="s">
        <v>538</v>
      </c>
      <c r="E45" s="215" t="s">
        <v>539</v>
      </c>
      <c r="F45" s="215" t="s">
        <v>469</v>
      </c>
      <c r="G45" s="242">
        <v>45838</v>
      </c>
      <c r="H45" s="242">
        <f t="shared" si="0"/>
        <v>45838</v>
      </c>
      <c r="I45" s="243"/>
      <c r="J45" s="241"/>
      <c r="K45" s="215"/>
      <c r="L45" s="242"/>
      <c r="M45" s="242"/>
      <c r="N45" s="215"/>
      <c r="O45" s="215"/>
      <c r="P45" s="215"/>
      <c r="Q45" s="215"/>
      <c r="R45" s="215"/>
      <c r="S45" s="215"/>
      <c r="T45" s="215"/>
      <c r="U45" s="215"/>
    </row>
    <row r="46" spans="1:21" ht="42" x14ac:dyDescent="0.3">
      <c r="A46" s="237">
        <v>5</v>
      </c>
      <c r="B46" s="238" t="s">
        <v>6</v>
      </c>
      <c r="C46" s="239" t="s">
        <v>530</v>
      </c>
      <c r="D46" s="240" t="s">
        <v>540</v>
      </c>
      <c r="E46" s="215" t="s">
        <v>541</v>
      </c>
      <c r="F46" s="215" t="s">
        <v>469</v>
      </c>
      <c r="G46" s="242">
        <v>45874</v>
      </c>
      <c r="H46" s="242">
        <f t="shared" si="0"/>
        <v>45874</v>
      </c>
      <c r="I46" s="243"/>
      <c r="J46" s="241"/>
      <c r="K46" s="215"/>
      <c r="L46" s="242"/>
      <c r="M46" s="242"/>
      <c r="N46" s="215"/>
      <c r="O46" s="215"/>
      <c r="P46" s="215"/>
      <c r="Q46" s="215"/>
      <c r="R46" s="215"/>
      <c r="S46" s="215"/>
      <c r="T46" s="215"/>
      <c r="U46" s="215"/>
    </row>
    <row r="47" spans="1:21" x14ac:dyDescent="0.3">
      <c r="A47" s="237">
        <v>6</v>
      </c>
      <c r="B47" s="238" t="s">
        <v>6</v>
      </c>
      <c r="C47" s="239" t="s">
        <v>530</v>
      </c>
      <c r="D47" s="240" t="s">
        <v>542</v>
      </c>
      <c r="E47" s="215" t="s">
        <v>543</v>
      </c>
      <c r="F47" s="215" t="s">
        <v>469</v>
      </c>
      <c r="G47" s="242">
        <v>45905</v>
      </c>
      <c r="H47" s="242">
        <f t="shared" si="0"/>
        <v>45905</v>
      </c>
      <c r="I47" s="243"/>
      <c r="J47" s="241"/>
      <c r="K47" s="215"/>
      <c r="L47" s="242"/>
      <c r="M47" s="242"/>
      <c r="N47" s="215"/>
      <c r="O47" s="215"/>
      <c r="P47" s="215"/>
      <c r="Q47" s="215"/>
      <c r="R47" s="215"/>
      <c r="S47" s="215"/>
      <c r="T47" s="215"/>
      <c r="U47" s="215"/>
    </row>
    <row r="48" spans="1:21" x14ac:dyDescent="0.3">
      <c r="A48" s="237">
        <v>7</v>
      </c>
      <c r="B48" s="238" t="s">
        <v>6</v>
      </c>
      <c r="C48" s="239" t="s">
        <v>530</v>
      </c>
      <c r="D48" s="240" t="s">
        <v>544</v>
      </c>
      <c r="E48" s="215" t="s">
        <v>545</v>
      </c>
      <c r="F48" s="215" t="s">
        <v>469</v>
      </c>
      <c r="G48" s="242">
        <v>45908</v>
      </c>
      <c r="H48" s="242">
        <f t="shared" si="0"/>
        <v>45908</v>
      </c>
      <c r="I48" s="243"/>
      <c r="J48" s="241"/>
      <c r="K48" s="215"/>
      <c r="L48" s="242"/>
      <c r="M48" s="242"/>
      <c r="N48" s="215"/>
      <c r="O48" s="215"/>
      <c r="P48" s="215"/>
      <c r="Q48" s="215"/>
      <c r="R48" s="215"/>
      <c r="S48" s="215"/>
      <c r="T48" s="215"/>
      <c r="U48" s="215"/>
    </row>
    <row r="49" spans="1:21" ht="28" x14ac:dyDescent="0.3">
      <c r="A49" s="237">
        <v>8</v>
      </c>
      <c r="B49" s="238" t="s">
        <v>6</v>
      </c>
      <c r="C49" s="239" t="s">
        <v>530</v>
      </c>
      <c r="D49" s="240" t="s">
        <v>546</v>
      </c>
      <c r="E49" s="215" t="s">
        <v>547</v>
      </c>
      <c r="F49" s="215" t="s">
        <v>469</v>
      </c>
      <c r="G49" s="242">
        <v>45858</v>
      </c>
      <c r="H49" s="242">
        <f t="shared" si="0"/>
        <v>45858</v>
      </c>
      <c r="I49" s="243"/>
      <c r="J49" s="241"/>
      <c r="K49" s="215"/>
      <c r="L49" s="242"/>
      <c r="M49" s="242"/>
      <c r="N49" s="215"/>
      <c r="O49" s="215"/>
      <c r="P49" s="215"/>
      <c r="Q49" s="215"/>
      <c r="R49" s="215"/>
      <c r="S49" s="215"/>
      <c r="T49" s="215"/>
      <c r="U49" s="215"/>
    </row>
    <row r="50" spans="1:21" ht="28" x14ac:dyDescent="0.3">
      <c r="A50" s="237">
        <v>9</v>
      </c>
      <c r="B50" s="238" t="s">
        <v>6</v>
      </c>
      <c r="C50" s="239" t="s">
        <v>530</v>
      </c>
      <c r="D50" s="240" t="s">
        <v>548</v>
      </c>
      <c r="E50" s="215" t="s">
        <v>549</v>
      </c>
      <c r="F50" s="215" t="s">
        <v>469</v>
      </c>
      <c r="G50" s="242">
        <v>45868</v>
      </c>
      <c r="H50" s="242">
        <f t="shared" si="0"/>
        <v>45868</v>
      </c>
      <c r="I50" s="243"/>
      <c r="J50" s="241"/>
      <c r="K50" s="215"/>
      <c r="L50" s="242"/>
      <c r="M50" s="242"/>
      <c r="N50" s="215"/>
      <c r="O50" s="215"/>
      <c r="P50" s="215"/>
      <c r="Q50" s="215"/>
      <c r="R50" s="215"/>
      <c r="S50" s="215"/>
      <c r="T50" s="215"/>
      <c r="U50" s="215"/>
    </row>
    <row r="51" spans="1:21" x14ac:dyDescent="0.3">
      <c r="A51" s="237">
        <v>1</v>
      </c>
      <c r="B51" s="238" t="s">
        <v>6</v>
      </c>
      <c r="C51" s="239" t="s">
        <v>550</v>
      </c>
      <c r="D51" s="240" t="s">
        <v>551</v>
      </c>
      <c r="E51" s="215" t="s">
        <v>552</v>
      </c>
      <c r="F51" s="215" t="s">
        <v>469</v>
      </c>
      <c r="G51" s="242">
        <v>45818</v>
      </c>
      <c r="H51" s="242">
        <v>45825</v>
      </c>
      <c r="I51" s="243"/>
      <c r="J51" s="241"/>
      <c r="K51" s="215"/>
      <c r="L51" s="242"/>
      <c r="M51" s="242"/>
      <c r="N51" s="215"/>
      <c r="O51" s="215"/>
      <c r="P51" s="215"/>
      <c r="Q51" s="215"/>
      <c r="R51" s="215"/>
      <c r="S51" s="215"/>
      <c r="T51" s="215"/>
      <c r="U51" s="215"/>
    </row>
    <row r="52" spans="1:21" ht="28" x14ac:dyDescent="0.3">
      <c r="A52" s="237">
        <v>2</v>
      </c>
      <c r="B52" s="238" t="s">
        <v>6</v>
      </c>
      <c r="C52" s="239" t="s">
        <v>550</v>
      </c>
      <c r="D52" s="240" t="s">
        <v>553</v>
      </c>
      <c r="E52" s="215" t="s">
        <v>554</v>
      </c>
      <c r="F52" s="215" t="s">
        <v>469</v>
      </c>
      <c r="G52" s="242">
        <v>45823</v>
      </c>
      <c r="H52" s="242">
        <v>45825</v>
      </c>
      <c r="I52" s="243"/>
      <c r="J52" s="241"/>
      <c r="K52" s="215"/>
      <c r="L52" s="242"/>
      <c r="M52" s="242"/>
      <c r="N52" s="215"/>
      <c r="O52" s="215"/>
      <c r="P52" s="215"/>
      <c r="Q52" s="215"/>
      <c r="R52" s="215"/>
      <c r="S52" s="215"/>
      <c r="T52" s="215"/>
      <c r="U52" s="215"/>
    </row>
    <row r="53" spans="1:21" ht="28" x14ac:dyDescent="0.3">
      <c r="A53" s="237">
        <v>3</v>
      </c>
      <c r="B53" s="238" t="s">
        <v>6</v>
      </c>
      <c r="C53" s="239" t="s">
        <v>550</v>
      </c>
      <c r="D53" s="240" t="s">
        <v>555</v>
      </c>
      <c r="E53" s="215" t="s">
        <v>556</v>
      </c>
      <c r="F53" s="215" t="s">
        <v>469</v>
      </c>
      <c r="G53" s="242">
        <v>45828</v>
      </c>
      <c r="H53" s="242">
        <v>45825</v>
      </c>
      <c r="I53" s="243"/>
      <c r="J53" s="241"/>
      <c r="K53" s="215"/>
      <c r="L53" s="242"/>
      <c r="M53" s="242"/>
      <c r="N53" s="215"/>
      <c r="O53" s="215"/>
      <c r="P53" s="215"/>
      <c r="Q53" s="215"/>
      <c r="R53" s="215"/>
      <c r="S53" s="215"/>
      <c r="T53" s="215"/>
      <c r="U53" s="215"/>
    </row>
    <row r="54" spans="1:21" ht="28" x14ac:dyDescent="0.3">
      <c r="A54" s="237">
        <v>4</v>
      </c>
      <c r="B54" s="238" t="s">
        <v>6</v>
      </c>
      <c r="C54" s="239" t="s">
        <v>550</v>
      </c>
      <c r="D54" s="240" t="s">
        <v>557</v>
      </c>
      <c r="E54" s="215" t="s">
        <v>558</v>
      </c>
      <c r="F54" s="215" t="s">
        <v>469</v>
      </c>
      <c r="G54" s="242">
        <v>45823</v>
      </c>
      <c r="H54" s="242">
        <v>45820</v>
      </c>
      <c r="I54" s="243"/>
      <c r="J54" s="241"/>
      <c r="K54" s="215"/>
      <c r="L54" s="242"/>
      <c r="M54" s="242"/>
      <c r="N54" s="215"/>
      <c r="O54" s="215"/>
      <c r="P54" s="215"/>
      <c r="Q54" s="215"/>
      <c r="R54" s="215"/>
      <c r="S54" s="215"/>
      <c r="T54" s="215"/>
      <c r="U54" s="215"/>
    </row>
    <row r="55" spans="1:21" ht="28" x14ac:dyDescent="0.3">
      <c r="A55" s="237">
        <v>5</v>
      </c>
      <c r="B55" s="238" t="s">
        <v>6</v>
      </c>
      <c r="C55" s="239" t="s">
        <v>550</v>
      </c>
      <c r="D55" s="240" t="s">
        <v>559</v>
      </c>
      <c r="E55" s="215" t="s">
        <v>560</v>
      </c>
      <c r="F55" s="215" t="s">
        <v>469</v>
      </c>
      <c r="G55" s="242">
        <v>45833</v>
      </c>
      <c r="H55" s="242">
        <v>45820</v>
      </c>
      <c r="I55" s="243"/>
      <c r="J55" s="241"/>
      <c r="K55" s="215"/>
      <c r="L55" s="242"/>
      <c r="M55" s="242"/>
      <c r="N55" s="215"/>
      <c r="O55" s="215"/>
      <c r="P55" s="215"/>
      <c r="Q55" s="215"/>
      <c r="R55" s="215"/>
      <c r="S55" s="215"/>
      <c r="T55" s="215"/>
      <c r="U55" s="215"/>
    </row>
    <row r="56" spans="1:21" ht="28" x14ac:dyDescent="0.3">
      <c r="A56" s="237">
        <v>6</v>
      </c>
      <c r="B56" s="238" t="s">
        <v>6</v>
      </c>
      <c r="C56" s="239" t="s">
        <v>550</v>
      </c>
      <c r="D56" s="240" t="s">
        <v>561</v>
      </c>
      <c r="E56" s="215" t="s">
        <v>562</v>
      </c>
      <c r="F56" s="215" t="s">
        <v>469</v>
      </c>
      <c r="G56" s="242">
        <v>45840</v>
      </c>
      <c r="H56" s="268">
        <v>45822</v>
      </c>
      <c r="I56" s="243"/>
      <c r="J56" s="241"/>
      <c r="K56" s="215"/>
      <c r="L56" s="242"/>
      <c r="M56" s="242"/>
      <c r="N56" s="215"/>
      <c r="O56" s="215"/>
      <c r="P56" s="215"/>
      <c r="Q56" s="215"/>
      <c r="R56" s="215"/>
      <c r="S56" s="215"/>
      <c r="T56" s="215"/>
      <c r="U56" s="215"/>
    </row>
    <row r="57" spans="1:21" ht="28" x14ac:dyDescent="0.3">
      <c r="A57" s="237">
        <v>7</v>
      </c>
      <c r="B57" s="237" t="s">
        <v>6</v>
      </c>
      <c r="C57" s="239" t="s">
        <v>550</v>
      </c>
      <c r="D57" s="263" t="s">
        <v>563</v>
      </c>
      <c r="E57" s="215" t="s">
        <v>564</v>
      </c>
      <c r="F57" s="213" t="s">
        <v>469</v>
      </c>
      <c r="G57" s="234">
        <v>45836</v>
      </c>
      <c r="H57" s="268">
        <v>45822</v>
      </c>
      <c r="I57" s="235"/>
      <c r="J57" s="241"/>
      <c r="K57" s="215"/>
      <c r="L57" s="242"/>
      <c r="M57" s="242"/>
      <c r="N57" s="215"/>
      <c r="O57" s="215"/>
      <c r="P57" s="215"/>
      <c r="Q57" s="215"/>
      <c r="R57" s="215"/>
      <c r="S57" s="215"/>
      <c r="T57" s="215"/>
      <c r="U57" s="215"/>
    </row>
    <row r="58" spans="1:21" ht="28" x14ac:dyDescent="0.3">
      <c r="A58" s="269">
        <v>8</v>
      </c>
      <c r="B58" s="237" t="s">
        <v>6</v>
      </c>
      <c r="C58" s="239" t="s">
        <v>550</v>
      </c>
      <c r="D58" s="263" t="s">
        <v>565</v>
      </c>
      <c r="E58" s="215" t="s">
        <v>566</v>
      </c>
      <c r="F58" s="213" t="s">
        <v>469</v>
      </c>
      <c r="G58" s="234">
        <v>45840</v>
      </c>
      <c r="H58" s="234">
        <v>45852</v>
      </c>
      <c r="I58" s="235"/>
      <c r="J58" s="241"/>
      <c r="K58" s="215"/>
      <c r="L58" s="242"/>
      <c r="M58" s="242"/>
      <c r="N58" s="215"/>
      <c r="O58" s="215"/>
      <c r="P58" s="215"/>
      <c r="Q58" s="215"/>
      <c r="R58" s="215"/>
      <c r="S58" s="215"/>
      <c r="T58" s="215"/>
      <c r="U58" s="215"/>
    </row>
    <row r="59" spans="1:21" x14ac:dyDescent="0.3">
      <c r="A59" s="269">
        <v>9</v>
      </c>
      <c r="B59" s="238" t="s">
        <v>6</v>
      </c>
      <c r="C59" s="239" t="s">
        <v>550</v>
      </c>
      <c r="D59" s="240" t="s">
        <v>567</v>
      </c>
      <c r="E59" s="215" t="s">
        <v>568</v>
      </c>
      <c r="F59" s="213" t="s">
        <v>469</v>
      </c>
      <c r="G59" s="234">
        <v>45843</v>
      </c>
      <c r="H59" s="234">
        <f>H55+1</f>
        <v>45821</v>
      </c>
      <c r="I59" s="235"/>
      <c r="J59" s="241"/>
      <c r="K59" s="215"/>
      <c r="L59" s="242"/>
      <c r="M59" s="242"/>
      <c r="N59" s="215"/>
      <c r="O59" s="215"/>
      <c r="P59" s="215"/>
      <c r="Q59" s="215"/>
      <c r="R59" s="215"/>
      <c r="S59" s="215"/>
      <c r="T59" s="215"/>
      <c r="U59" s="215"/>
    </row>
    <row r="60" spans="1:21" x14ac:dyDescent="0.3">
      <c r="A60" s="269">
        <v>1</v>
      </c>
      <c r="B60" s="237" t="s">
        <v>6</v>
      </c>
      <c r="C60" s="270" t="s">
        <v>569</v>
      </c>
      <c r="D60" s="263" t="s">
        <v>570</v>
      </c>
      <c r="E60" s="215" t="s">
        <v>571</v>
      </c>
      <c r="F60" s="213" t="s">
        <v>479</v>
      </c>
      <c r="G60" s="234">
        <v>45828</v>
      </c>
      <c r="H60" s="234">
        <v>45839</v>
      </c>
      <c r="I60" s="235"/>
      <c r="J60" s="241"/>
      <c r="K60" s="215"/>
      <c r="L60" s="242"/>
      <c r="M60" s="242"/>
      <c r="N60" s="215"/>
      <c r="O60" s="215"/>
      <c r="P60" s="215"/>
      <c r="Q60" s="215"/>
      <c r="R60" s="215"/>
      <c r="S60" s="215"/>
      <c r="T60" s="215"/>
      <c r="U60" s="215"/>
    </row>
    <row r="61" spans="1:21" x14ac:dyDescent="0.3">
      <c r="A61" s="237">
        <v>2</v>
      </c>
      <c r="B61" s="237" t="s">
        <v>6</v>
      </c>
      <c r="C61" s="270" t="s">
        <v>569</v>
      </c>
      <c r="D61" s="263" t="s">
        <v>572</v>
      </c>
      <c r="E61" s="215" t="s">
        <v>573</v>
      </c>
      <c r="F61" s="213" t="s">
        <v>479</v>
      </c>
      <c r="G61" s="234">
        <v>45833</v>
      </c>
      <c r="H61" s="234">
        <v>45839</v>
      </c>
      <c r="I61" s="235"/>
      <c r="J61" s="241"/>
      <c r="K61" s="215"/>
      <c r="L61" s="242"/>
      <c r="M61" s="242"/>
      <c r="N61" s="215"/>
      <c r="O61" s="215"/>
      <c r="P61" s="215"/>
      <c r="Q61" s="215"/>
      <c r="R61" s="215"/>
      <c r="S61" s="215"/>
      <c r="T61" s="215"/>
      <c r="U61" s="215"/>
    </row>
    <row r="62" spans="1:21" ht="30" customHeight="1" x14ac:dyDescent="0.3">
      <c r="A62" s="466">
        <v>3</v>
      </c>
      <c r="B62" s="237" t="s">
        <v>6</v>
      </c>
      <c r="C62" s="472" t="s">
        <v>569</v>
      </c>
      <c r="D62" s="474" t="s">
        <v>574</v>
      </c>
      <c r="E62" s="391" t="s">
        <v>575</v>
      </c>
      <c r="F62" s="476" t="s">
        <v>479</v>
      </c>
      <c r="G62" s="271">
        <v>45738</v>
      </c>
      <c r="H62" s="271">
        <f>L62</f>
        <v>45799</v>
      </c>
      <c r="I62" s="462"/>
      <c r="J62" s="464"/>
      <c r="K62" s="215" t="s">
        <v>470</v>
      </c>
      <c r="L62" s="242">
        <v>45799</v>
      </c>
      <c r="M62" s="242">
        <v>45800</v>
      </c>
      <c r="N62" s="215" t="s">
        <v>480</v>
      </c>
      <c r="O62" s="215">
        <f>M62-L62</f>
        <v>1</v>
      </c>
      <c r="P62" s="215">
        <f>L63-M62</f>
        <v>15</v>
      </c>
      <c r="Q62" s="391"/>
      <c r="R62" s="391" t="s">
        <v>495</v>
      </c>
      <c r="S62" s="391" t="str">
        <f>N62</f>
        <v>CAT -IV R</v>
      </c>
      <c r="T62" s="391" t="s">
        <v>473</v>
      </c>
      <c r="U62" s="391">
        <f ca="1">U1-M62</f>
        <v>49</v>
      </c>
    </row>
    <row r="63" spans="1:21" x14ac:dyDescent="0.3">
      <c r="A63" s="468"/>
      <c r="B63" s="237"/>
      <c r="C63" s="473"/>
      <c r="D63" s="506"/>
      <c r="E63" s="392"/>
      <c r="F63" s="477"/>
      <c r="G63" s="273"/>
      <c r="H63" s="273"/>
      <c r="I63" s="463"/>
      <c r="J63" s="465"/>
      <c r="K63" s="215" t="s">
        <v>472</v>
      </c>
      <c r="L63" s="242">
        <v>45815</v>
      </c>
      <c r="M63" s="242"/>
      <c r="N63" s="215"/>
      <c r="O63" s="215">
        <f ca="1">O1-L63</f>
        <v>34</v>
      </c>
      <c r="P63" s="215"/>
      <c r="Q63" s="392"/>
      <c r="R63" s="392"/>
      <c r="S63" s="392"/>
      <c r="T63" s="392"/>
      <c r="U63" s="392"/>
    </row>
    <row r="64" spans="1:21" ht="14.15" customHeight="1" x14ac:dyDescent="0.3">
      <c r="A64" s="466">
        <v>4</v>
      </c>
      <c r="B64" s="414" t="s">
        <v>6</v>
      </c>
      <c r="C64" s="415" t="s">
        <v>569</v>
      </c>
      <c r="D64" s="416" t="s">
        <v>576</v>
      </c>
      <c r="E64" s="413" t="s">
        <v>577</v>
      </c>
      <c r="F64" s="413" t="s">
        <v>469</v>
      </c>
      <c r="G64" s="417">
        <v>45719</v>
      </c>
      <c r="H64" s="417">
        <f>L64</f>
        <v>45719</v>
      </c>
      <c r="I64" s="226"/>
      <c r="J64" s="227"/>
      <c r="K64" s="224" t="s">
        <v>470</v>
      </c>
      <c r="L64" s="225">
        <v>45719</v>
      </c>
      <c r="M64" s="225">
        <v>45721</v>
      </c>
      <c r="N64" s="224" t="s">
        <v>471</v>
      </c>
      <c r="O64" s="224">
        <f>M64-L64</f>
        <v>2</v>
      </c>
      <c r="P64" s="224">
        <f>L65-M64</f>
        <v>15</v>
      </c>
      <c r="Q64" s="461">
        <f>M66</f>
        <v>45800</v>
      </c>
      <c r="R64" s="413" t="str">
        <f>T64</f>
        <v>Approved</v>
      </c>
      <c r="S64" s="413" t="str">
        <f>N65</f>
        <v>CAT - I</v>
      </c>
      <c r="T64" s="413" t="s">
        <v>399</v>
      </c>
      <c r="U64" s="413">
        <f>M66-L66</f>
        <v>1</v>
      </c>
    </row>
    <row r="65" spans="1:21" x14ac:dyDescent="0.3">
      <c r="A65" s="467"/>
      <c r="B65" s="414"/>
      <c r="C65" s="415"/>
      <c r="D65" s="416"/>
      <c r="E65" s="413"/>
      <c r="F65" s="413"/>
      <c r="G65" s="417"/>
      <c r="H65" s="417"/>
      <c r="I65" s="226"/>
      <c r="J65" s="227"/>
      <c r="K65" s="224" t="s">
        <v>472</v>
      </c>
      <c r="L65" s="225">
        <v>45736</v>
      </c>
      <c r="M65" s="225">
        <v>45738</v>
      </c>
      <c r="N65" s="224" t="s">
        <v>485</v>
      </c>
      <c r="O65" s="224">
        <f>M65-L65</f>
        <v>2</v>
      </c>
      <c r="P65" s="224">
        <f>L66-M65</f>
        <v>61</v>
      </c>
      <c r="Q65" s="461"/>
      <c r="R65" s="413"/>
      <c r="S65" s="413"/>
      <c r="T65" s="413"/>
      <c r="U65" s="413"/>
    </row>
    <row r="66" spans="1:21" x14ac:dyDescent="0.3">
      <c r="A66" s="468"/>
      <c r="B66" s="414"/>
      <c r="C66" s="415"/>
      <c r="D66" s="416"/>
      <c r="E66" s="413"/>
      <c r="F66" s="413"/>
      <c r="G66" s="417"/>
      <c r="H66" s="417"/>
      <c r="I66" s="226"/>
      <c r="J66" s="227"/>
      <c r="K66" s="224" t="s">
        <v>474</v>
      </c>
      <c r="L66" s="225">
        <v>45799</v>
      </c>
      <c r="M66" s="225">
        <v>45800</v>
      </c>
      <c r="N66" s="224" t="s">
        <v>485</v>
      </c>
      <c r="O66" s="224">
        <f>M66-L66</f>
        <v>1</v>
      </c>
      <c r="P66" s="224"/>
      <c r="Q66" s="461"/>
      <c r="R66" s="413"/>
      <c r="S66" s="413"/>
      <c r="T66" s="413"/>
      <c r="U66" s="413"/>
    </row>
    <row r="67" spans="1:21" x14ac:dyDescent="0.3">
      <c r="A67" s="237">
        <v>5</v>
      </c>
      <c r="B67" s="238" t="s">
        <v>6</v>
      </c>
      <c r="C67" s="239" t="s">
        <v>569</v>
      </c>
      <c r="D67" s="240" t="s">
        <v>578</v>
      </c>
      <c r="E67" s="215" t="s">
        <v>579</v>
      </c>
      <c r="F67" s="215" t="s">
        <v>469</v>
      </c>
      <c r="G67" s="242">
        <v>45853</v>
      </c>
      <c r="H67" s="242">
        <f>H53</f>
        <v>45825</v>
      </c>
      <c r="I67" s="243"/>
      <c r="J67" s="241"/>
      <c r="K67" s="215"/>
      <c r="L67" s="242"/>
      <c r="M67" s="242"/>
      <c r="N67" s="215"/>
      <c r="O67" s="215"/>
      <c r="P67" s="215"/>
      <c r="Q67" s="215"/>
      <c r="R67" s="215"/>
      <c r="S67" s="215"/>
      <c r="T67" s="215"/>
      <c r="U67" s="215"/>
    </row>
    <row r="68" spans="1:21" ht="28" x14ac:dyDescent="0.3">
      <c r="A68" s="237">
        <v>6</v>
      </c>
      <c r="B68" s="238" t="s">
        <v>6</v>
      </c>
      <c r="C68" s="239" t="s">
        <v>569</v>
      </c>
      <c r="D68" s="263" t="s">
        <v>388</v>
      </c>
      <c r="E68" s="215" t="s">
        <v>580</v>
      </c>
      <c r="F68" s="215" t="s">
        <v>469</v>
      </c>
      <c r="G68" s="242">
        <v>45795</v>
      </c>
      <c r="H68" s="242">
        <v>45848</v>
      </c>
      <c r="I68" s="243"/>
      <c r="J68" s="241"/>
      <c r="K68" s="215"/>
      <c r="L68" s="242"/>
      <c r="M68" s="242"/>
      <c r="N68" s="215"/>
      <c r="O68" s="215"/>
      <c r="P68" s="215"/>
      <c r="Q68" s="215"/>
      <c r="R68" s="215"/>
      <c r="S68" s="215"/>
      <c r="T68" s="215"/>
      <c r="U68" s="215"/>
    </row>
    <row r="69" spans="1:21" x14ac:dyDescent="0.3">
      <c r="A69" s="237">
        <v>7</v>
      </c>
      <c r="B69" s="238" t="s">
        <v>6</v>
      </c>
      <c r="C69" s="239" t="s">
        <v>569</v>
      </c>
      <c r="D69" s="240" t="s">
        <v>581</v>
      </c>
      <c r="E69" s="215" t="s">
        <v>582</v>
      </c>
      <c r="F69" s="215" t="s">
        <v>469</v>
      </c>
      <c r="G69" s="242">
        <v>45858</v>
      </c>
      <c r="H69" s="242">
        <v>45848</v>
      </c>
      <c r="I69" s="243"/>
      <c r="J69" s="241"/>
      <c r="K69" s="215"/>
      <c r="L69" s="242"/>
      <c r="M69" s="242"/>
      <c r="N69" s="215"/>
      <c r="O69" s="215"/>
      <c r="P69" s="215"/>
      <c r="Q69" s="215"/>
      <c r="R69" s="215"/>
      <c r="S69" s="215"/>
      <c r="T69" s="215"/>
      <c r="U69" s="215"/>
    </row>
    <row r="70" spans="1:21" x14ac:dyDescent="0.3">
      <c r="A70" s="237">
        <v>8</v>
      </c>
      <c r="B70" s="238" t="s">
        <v>6</v>
      </c>
      <c r="C70" s="239" t="s">
        <v>569</v>
      </c>
      <c r="D70" s="240" t="s">
        <v>583</v>
      </c>
      <c r="E70" s="215" t="s">
        <v>584</v>
      </c>
      <c r="F70" s="215" t="s">
        <v>469</v>
      </c>
      <c r="G70" s="242">
        <v>45863</v>
      </c>
      <c r="H70" s="242">
        <v>45853</v>
      </c>
      <c r="I70" s="243"/>
      <c r="J70" s="241"/>
      <c r="K70" s="215"/>
      <c r="L70" s="242"/>
      <c r="M70" s="242"/>
      <c r="N70" s="215"/>
      <c r="O70" s="215"/>
      <c r="P70" s="215"/>
      <c r="Q70" s="215"/>
      <c r="R70" s="215"/>
      <c r="S70" s="215"/>
      <c r="T70" s="215"/>
      <c r="U70" s="215"/>
    </row>
    <row r="71" spans="1:21" x14ac:dyDescent="0.3">
      <c r="A71" s="237">
        <v>9</v>
      </c>
      <c r="B71" s="238" t="s">
        <v>6</v>
      </c>
      <c r="C71" s="239" t="s">
        <v>569</v>
      </c>
      <c r="D71" s="240" t="s">
        <v>585</v>
      </c>
      <c r="E71" s="215" t="s">
        <v>586</v>
      </c>
      <c r="F71" s="215" t="s">
        <v>469</v>
      </c>
      <c r="G71" s="242">
        <v>45874</v>
      </c>
      <c r="H71" s="242">
        <v>45853</v>
      </c>
      <c r="I71" s="243"/>
      <c r="J71" s="241"/>
      <c r="K71" s="215"/>
      <c r="L71" s="242"/>
      <c r="M71" s="242"/>
      <c r="N71" s="215"/>
      <c r="O71" s="215"/>
      <c r="P71" s="215"/>
      <c r="Q71" s="215"/>
      <c r="R71" s="215"/>
      <c r="S71" s="215"/>
      <c r="T71" s="215"/>
      <c r="U71" s="215"/>
    </row>
    <row r="72" spans="1:21" ht="28" x14ac:dyDescent="0.3">
      <c r="A72" s="237">
        <v>10</v>
      </c>
      <c r="B72" s="238" t="s">
        <v>6</v>
      </c>
      <c r="C72" s="239" t="s">
        <v>569</v>
      </c>
      <c r="D72" s="240" t="s">
        <v>587</v>
      </c>
      <c r="E72" s="215" t="s">
        <v>588</v>
      </c>
      <c r="F72" s="215" t="s">
        <v>469</v>
      </c>
      <c r="G72" s="242">
        <v>45877</v>
      </c>
      <c r="H72" s="242">
        <v>45853</v>
      </c>
      <c r="I72" s="243"/>
      <c r="J72" s="241"/>
      <c r="K72" s="215"/>
      <c r="L72" s="242"/>
      <c r="M72" s="242"/>
      <c r="N72" s="215"/>
      <c r="O72" s="215"/>
      <c r="P72" s="215"/>
      <c r="Q72" s="215"/>
      <c r="R72" s="215"/>
      <c r="S72" s="215"/>
      <c r="T72" s="215"/>
      <c r="U72" s="215"/>
    </row>
    <row r="73" spans="1:21" ht="28" x14ac:dyDescent="0.3">
      <c r="A73" s="237">
        <v>11</v>
      </c>
      <c r="B73" s="238" t="s">
        <v>6</v>
      </c>
      <c r="C73" s="239" t="s">
        <v>569</v>
      </c>
      <c r="D73" s="240" t="s">
        <v>589</v>
      </c>
      <c r="E73" s="215" t="s">
        <v>590</v>
      </c>
      <c r="F73" s="215" t="s">
        <v>469</v>
      </c>
      <c r="G73" s="242">
        <v>45881</v>
      </c>
      <c r="H73" s="242">
        <v>45860</v>
      </c>
      <c r="I73" s="243"/>
      <c r="J73" s="241"/>
      <c r="K73" s="215"/>
      <c r="L73" s="242"/>
      <c r="M73" s="242"/>
      <c r="N73" s="215"/>
      <c r="O73" s="215"/>
      <c r="P73" s="215"/>
      <c r="Q73" s="215"/>
      <c r="R73" s="215"/>
      <c r="S73" s="215"/>
      <c r="T73" s="215"/>
      <c r="U73" s="215"/>
    </row>
    <row r="74" spans="1:21" x14ac:dyDescent="0.3">
      <c r="A74" s="237">
        <v>12</v>
      </c>
      <c r="B74" s="238" t="s">
        <v>6</v>
      </c>
      <c r="C74" s="239" t="s">
        <v>569</v>
      </c>
      <c r="D74" s="240" t="s">
        <v>591</v>
      </c>
      <c r="E74" s="215" t="s">
        <v>592</v>
      </c>
      <c r="F74" s="215" t="s">
        <v>469</v>
      </c>
      <c r="G74" s="242">
        <v>45843</v>
      </c>
      <c r="H74" s="242">
        <v>45860</v>
      </c>
      <c r="I74" s="243"/>
      <c r="J74" s="241"/>
      <c r="K74" s="215"/>
      <c r="L74" s="242"/>
      <c r="M74" s="242"/>
      <c r="N74" s="215"/>
      <c r="O74" s="215"/>
      <c r="P74" s="215"/>
      <c r="Q74" s="215"/>
      <c r="R74" s="215"/>
      <c r="S74" s="215"/>
      <c r="T74" s="215"/>
      <c r="U74" s="215"/>
    </row>
    <row r="75" spans="1:21" ht="28" x14ac:dyDescent="0.3">
      <c r="A75" s="237">
        <v>13</v>
      </c>
      <c r="B75" s="238" t="s">
        <v>6</v>
      </c>
      <c r="C75" s="239" t="s">
        <v>569</v>
      </c>
      <c r="D75" s="240" t="s">
        <v>593</v>
      </c>
      <c r="E75" s="215" t="s">
        <v>594</v>
      </c>
      <c r="F75" s="215" t="s">
        <v>469</v>
      </c>
      <c r="G75" s="242">
        <v>45848</v>
      </c>
      <c r="H75" s="242">
        <v>45864</v>
      </c>
      <c r="I75" s="243"/>
      <c r="J75" s="241"/>
      <c r="K75" s="215"/>
      <c r="L75" s="242"/>
      <c r="M75" s="242"/>
      <c r="N75" s="215"/>
      <c r="O75" s="215"/>
      <c r="P75" s="215"/>
      <c r="Q75" s="215"/>
      <c r="R75" s="215"/>
      <c r="S75" s="215"/>
      <c r="T75" s="215"/>
      <c r="U75" s="215"/>
    </row>
    <row r="76" spans="1:21" ht="28" x14ac:dyDescent="0.3">
      <c r="A76" s="237">
        <v>14</v>
      </c>
      <c r="B76" s="238" t="s">
        <v>6</v>
      </c>
      <c r="C76" s="239" t="s">
        <v>569</v>
      </c>
      <c r="D76" s="240" t="s">
        <v>595</v>
      </c>
      <c r="E76" s="215" t="s">
        <v>596</v>
      </c>
      <c r="F76" s="215" t="s">
        <v>469</v>
      </c>
      <c r="G76" s="242">
        <v>45833</v>
      </c>
      <c r="H76" s="242">
        <v>45870</v>
      </c>
      <c r="I76" s="243"/>
      <c r="J76" s="241"/>
      <c r="K76" s="215"/>
      <c r="L76" s="242"/>
      <c r="M76" s="242"/>
      <c r="N76" s="215"/>
      <c r="O76" s="215"/>
      <c r="P76" s="215"/>
      <c r="Q76" s="215"/>
      <c r="R76" s="215"/>
      <c r="S76" s="215"/>
      <c r="T76" s="215"/>
      <c r="U76" s="215"/>
    </row>
    <row r="77" spans="1:21" ht="28" x14ac:dyDescent="0.3">
      <c r="A77" s="237">
        <v>15</v>
      </c>
      <c r="B77" s="238" t="s">
        <v>6</v>
      </c>
      <c r="C77" s="239" t="s">
        <v>569</v>
      </c>
      <c r="D77" s="240" t="s">
        <v>597</v>
      </c>
      <c r="E77" s="215" t="s">
        <v>598</v>
      </c>
      <c r="F77" s="215" t="s">
        <v>469</v>
      </c>
      <c r="G77" s="242">
        <v>45838</v>
      </c>
      <c r="H77" s="242">
        <v>45868</v>
      </c>
      <c r="I77" s="243"/>
      <c r="J77" s="241"/>
      <c r="K77" s="215"/>
      <c r="L77" s="242"/>
      <c r="M77" s="242"/>
      <c r="N77" s="215"/>
      <c r="O77" s="215"/>
      <c r="P77" s="215"/>
      <c r="Q77" s="215"/>
      <c r="R77" s="215"/>
      <c r="S77" s="215"/>
      <c r="T77" s="215"/>
      <c r="U77" s="215"/>
    </row>
    <row r="78" spans="1:21" ht="28" x14ac:dyDescent="0.3">
      <c r="A78" s="237">
        <v>16</v>
      </c>
      <c r="B78" s="238" t="s">
        <v>6</v>
      </c>
      <c r="C78" s="239" t="s">
        <v>569</v>
      </c>
      <c r="D78" s="240" t="s">
        <v>599</v>
      </c>
      <c r="E78" s="215" t="s">
        <v>600</v>
      </c>
      <c r="F78" s="215" t="s">
        <v>469</v>
      </c>
      <c r="G78" s="242">
        <v>45843</v>
      </c>
      <c r="H78" s="242">
        <v>45868</v>
      </c>
      <c r="I78" s="243"/>
      <c r="J78" s="241"/>
      <c r="K78" s="215"/>
      <c r="L78" s="242"/>
      <c r="M78" s="242"/>
      <c r="N78" s="215"/>
      <c r="O78" s="215"/>
      <c r="P78" s="215"/>
      <c r="Q78" s="215"/>
      <c r="R78" s="215"/>
      <c r="S78" s="215"/>
      <c r="T78" s="215"/>
      <c r="U78" s="215"/>
    </row>
    <row r="79" spans="1:21" ht="28" x14ac:dyDescent="0.3">
      <c r="A79" s="237">
        <v>17</v>
      </c>
      <c r="B79" s="238" t="s">
        <v>6</v>
      </c>
      <c r="C79" s="239" t="s">
        <v>569</v>
      </c>
      <c r="D79" s="240" t="s">
        <v>601</v>
      </c>
      <c r="E79" s="215" t="s">
        <v>602</v>
      </c>
      <c r="F79" s="215" t="s">
        <v>469</v>
      </c>
      <c r="G79" s="242">
        <v>45846</v>
      </c>
      <c r="H79" s="234">
        <f>H76</f>
        <v>45870</v>
      </c>
      <c r="I79" s="243"/>
      <c r="J79" s="241"/>
      <c r="K79" s="215"/>
      <c r="L79" s="242"/>
      <c r="M79" s="242"/>
      <c r="N79" s="215"/>
      <c r="O79" s="215"/>
      <c r="P79" s="215"/>
      <c r="Q79" s="215"/>
      <c r="R79" s="215"/>
      <c r="S79" s="215"/>
      <c r="T79" s="215"/>
      <c r="U79" s="215"/>
    </row>
    <row r="80" spans="1:21" ht="28" x14ac:dyDescent="0.3">
      <c r="A80" s="237">
        <v>18</v>
      </c>
      <c r="B80" s="238" t="s">
        <v>6</v>
      </c>
      <c r="C80" s="239" t="s">
        <v>569</v>
      </c>
      <c r="D80" s="263" t="s">
        <v>603</v>
      </c>
      <c r="E80" s="215" t="s">
        <v>604</v>
      </c>
      <c r="F80" s="213" t="s">
        <v>479</v>
      </c>
      <c r="G80" s="234">
        <v>45848</v>
      </c>
      <c r="H80" s="234">
        <v>45822</v>
      </c>
      <c r="I80" s="235"/>
      <c r="J80" s="241"/>
      <c r="K80" s="215"/>
      <c r="L80" s="242"/>
      <c r="M80" s="242"/>
      <c r="N80" s="215"/>
      <c r="O80" s="215"/>
      <c r="P80" s="215"/>
      <c r="Q80" s="215"/>
      <c r="R80" s="215"/>
      <c r="S80" s="215"/>
      <c r="T80" s="215"/>
      <c r="U80" s="215"/>
    </row>
    <row r="81" spans="1:21" x14ac:dyDescent="0.3">
      <c r="A81" s="237">
        <v>19</v>
      </c>
      <c r="B81" s="238" t="s">
        <v>6</v>
      </c>
      <c r="C81" s="239" t="s">
        <v>569</v>
      </c>
      <c r="D81" s="263" t="s">
        <v>605</v>
      </c>
      <c r="E81" s="215" t="s">
        <v>606</v>
      </c>
      <c r="F81" s="213" t="s">
        <v>479</v>
      </c>
      <c r="G81" s="234">
        <v>45853</v>
      </c>
      <c r="H81" s="234">
        <v>45876</v>
      </c>
      <c r="I81" s="235"/>
      <c r="J81" s="241"/>
      <c r="K81" s="215"/>
      <c r="L81" s="242"/>
      <c r="M81" s="242"/>
      <c r="N81" s="215"/>
      <c r="O81" s="215"/>
      <c r="P81" s="215"/>
      <c r="Q81" s="215"/>
      <c r="R81" s="215"/>
      <c r="S81" s="215"/>
      <c r="T81" s="215"/>
      <c r="U81" s="215"/>
    </row>
    <row r="82" spans="1:21" ht="28" x14ac:dyDescent="0.3">
      <c r="A82" s="237">
        <v>20</v>
      </c>
      <c r="B82" s="238" t="s">
        <v>6</v>
      </c>
      <c r="C82" s="239" t="s">
        <v>569</v>
      </c>
      <c r="D82" s="263" t="s">
        <v>607</v>
      </c>
      <c r="E82" s="215" t="s">
        <v>608</v>
      </c>
      <c r="F82" s="213" t="s">
        <v>469</v>
      </c>
      <c r="G82" s="234">
        <v>45853</v>
      </c>
      <c r="H82" s="234">
        <v>45876</v>
      </c>
      <c r="I82" s="235"/>
      <c r="J82" s="241"/>
      <c r="K82" s="215"/>
      <c r="L82" s="242"/>
      <c r="M82" s="242"/>
      <c r="N82" s="215"/>
      <c r="O82" s="215"/>
      <c r="P82" s="215"/>
      <c r="Q82" s="215"/>
      <c r="R82" s="215"/>
      <c r="S82" s="215"/>
      <c r="T82" s="215"/>
      <c r="U82" s="215"/>
    </row>
    <row r="83" spans="1:21" ht="28" x14ac:dyDescent="0.3">
      <c r="A83" s="237">
        <v>21</v>
      </c>
      <c r="B83" s="238" t="s">
        <v>6</v>
      </c>
      <c r="C83" s="239" t="s">
        <v>569</v>
      </c>
      <c r="D83" s="263" t="s">
        <v>609</v>
      </c>
      <c r="E83" s="215" t="s">
        <v>610</v>
      </c>
      <c r="F83" s="213" t="s">
        <v>479</v>
      </c>
      <c r="G83" s="234">
        <v>45858</v>
      </c>
      <c r="H83" s="234">
        <v>45882</v>
      </c>
      <c r="I83" s="235"/>
      <c r="J83" s="241"/>
      <c r="K83" s="215"/>
      <c r="L83" s="242"/>
      <c r="M83" s="242"/>
      <c r="N83" s="215"/>
      <c r="O83" s="215"/>
      <c r="P83" s="215"/>
      <c r="Q83" s="215"/>
      <c r="R83" s="215"/>
      <c r="S83" s="215"/>
      <c r="T83" s="215"/>
      <c r="U83" s="215"/>
    </row>
    <row r="84" spans="1:21" ht="28" x14ac:dyDescent="0.3">
      <c r="A84" s="237">
        <v>22</v>
      </c>
      <c r="B84" s="238" t="s">
        <v>6</v>
      </c>
      <c r="C84" s="239" t="s">
        <v>569</v>
      </c>
      <c r="D84" s="263" t="s">
        <v>611</v>
      </c>
      <c r="E84" s="215" t="s">
        <v>612</v>
      </c>
      <c r="F84" s="213" t="s">
        <v>469</v>
      </c>
      <c r="G84" s="234">
        <v>45826</v>
      </c>
      <c r="H84" s="234">
        <f>H83</f>
        <v>45882</v>
      </c>
      <c r="I84" s="235"/>
      <c r="J84" s="241"/>
      <c r="K84" s="215"/>
      <c r="L84" s="242"/>
      <c r="M84" s="242"/>
      <c r="N84" s="215"/>
      <c r="O84" s="215"/>
      <c r="P84" s="215"/>
      <c r="Q84" s="215"/>
      <c r="R84" s="215"/>
      <c r="S84" s="215"/>
      <c r="T84" s="215"/>
      <c r="U84" s="215"/>
    </row>
    <row r="85" spans="1:21" ht="28" x14ac:dyDescent="0.3">
      <c r="A85" s="237">
        <v>23</v>
      </c>
      <c r="B85" s="238" t="s">
        <v>6</v>
      </c>
      <c r="C85" s="239" t="s">
        <v>569</v>
      </c>
      <c r="D85" s="263" t="s">
        <v>613</v>
      </c>
      <c r="E85" s="215" t="s">
        <v>614</v>
      </c>
      <c r="F85" s="213" t="s">
        <v>479</v>
      </c>
      <c r="G85" s="234">
        <v>45833</v>
      </c>
      <c r="H85" s="234">
        <v>45887</v>
      </c>
      <c r="I85" s="235"/>
      <c r="J85" s="241"/>
      <c r="K85" s="215"/>
      <c r="L85" s="242"/>
      <c r="M85" s="242"/>
      <c r="N85" s="215"/>
      <c r="O85" s="215"/>
      <c r="P85" s="215"/>
      <c r="Q85" s="215"/>
      <c r="R85" s="215"/>
      <c r="S85" s="215"/>
      <c r="T85" s="215"/>
      <c r="U85" s="215"/>
    </row>
    <row r="86" spans="1:21" ht="28" x14ac:dyDescent="0.3">
      <c r="A86" s="237">
        <v>24</v>
      </c>
      <c r="B86" s="238" t="s">
        <v>6</v>
      </c>
      <c r="C86" s="239" t="s">
        <v>569</v>
      </c>
      <c r="D86" s="263" t="s">
        <v>615</v>
      </c>
      <c r="E86" s="215" t="s">
        <v>616</v>
      </c>
      <c r="F86" s="213" t="s">
        <v>469</v>
      </c>
      <c r="G86" s="234">
        <v>45863</v>
      </c>
      <c r="H86" s="234">
        <v>45887</v>
      </c>
      <c r="I86" s="235"/>
      <c r="J86" s="241"/>
      <c r="K86" s="215"/>
      <c r="L86" s="242"/>
      <c r="M86" s="242"/>
      <c r="N86" s="215"/>
      <c r="O86" s="215"/>
      <c r="P86" s="215"/>
      <c r="Q86" s="215"/>
      <c r="R86" s="215"/>
      <c r="S86" s="215"/>
      <c r="T86" s="215"/>
      <c r="U86" s="215"/>
    </row>
    <row r="87" spans="1:21" x14ac:dyDescent="0.3">
      <c r="A87" s="269">
        <v>25</v>
      </c>
      <c r="B87" s="238" t="s">
        <v>6</v>
      </c>
      <c r="C87" s="239" t="s">
        <v>569</v>
      </c>
      <c r="D87" s="240" t="s">
        <v>617</v>
      </c>
      <c r="E87" s="215" t="s">
        <v>618</v>
      </c>
      <c r="F87" s="213" t="s">
        <v>469</v>
      </c>
      <c r="G87" s="242">
        <v>45828</v>
      </c>
      <c r="H87" s="234">
        <v>45887</v>
      </c>
      <c r="I87" s="274"/>
      <c r="J87" s="241"/>
      <c r="K87" s="215"/>
      <c r="L87" s="242"/>
      <c r="M87" s="242"/>
      <c r="N87" s="215"/>
      <c r="O87" s="215"/>
      <c r="P87" s="215"/>
      <c r="Q87" s="215"/>
      <c r="R87" s="215"/>
      <c r="S87" s="215"/>
      <c r="T87" s="215"/>
      <c r="U87" s="215"/>
    </row>
    <row r="88" spans="1:21" ht="28" x14ac:dyDescent="0.3">
      <c r="A88" s="269">
        <v>26</v>
      </c>
      <c r="B88" s="238" t="s">
        <v>6</v>
      </c>
      <c r="C88" s="239" t="s">
        <v>569</v>
      </c>
      <c r="D88" s="263" t="s">
        <v>619</v>
      </c>
      <c r="E88" s="215" t="s">
        <v>620</v>
      </c>
      <c r="F88" s="213" t="s">
        <v>479</v>
      </c>
      <c r="G88" s="242">
        <v>45833</v>
      </c>
      <c r="H88" s="234">
        <f>H76</f>
        <v>45870</v>
      </c>
      <c r="I88" s="274"/>
      <c r="J88" s="241"/>
      <c r="K88" s="215"/>
      <c r="L88" s="242"/>
      <c r="M88" s="242"/>
      <c r="N88" s="215"/>
      <c r="O88" s="215"/>
      <c r="P88" s="215"/>
      <c r="Q88" s="215"/>
      <c r="R88" s="215"/>
      <c r="S88" s="215"/>
      <c r="T88" s="215"/>
      <c r="U88" s="215"/>
    </row>
    <row r="89" spans="1:21" ht="28" x14ac:dyDescent="0.3">
      <c r="A89" s="269">
        <v>27</v>
      </c>
      <c r="B89" s="238" t="s">
        <v>6</v>
      </c>
      <c r="C89" s="239" t="s">
        <v>569</v>
      </c>
      <c r="D89" s="240" t="s">
        <v>621</v>
      </c>
      <c r="E89" s="215" t="s">
        <v>622</v>
      </c>
      <c r="F89" s="213" t="s">
        <v>469</v>
      </c>
      <c r="G89" s="242">
        <v>45836</v>
      </c>
      <c r="H89" s="234">
        <v>45889</v>
      </c>
      <c r="I89" s="274"/>
      <c r="J89" s="241"/>
      <c r="K89" s="215"/>
      <c r="L89" s="242"/>
      <c r="M89" s="242"/>
      <c r="N89" s="215"/>
      <c r="O89" s="215"/>
      <c r="P89" s="215"/>
      <c r="Q89" s="215"/>
      <c r="R89" s="215"/>
      <c r="S89" s="215"/>
      <c r="T89" s="215"/>
      <c r="U89" s="215"/>
    </row>
    <row r="90" spans="1:21" x14ac:dyDescent="0.3">
      <c r="A90" s="269">
        <v>28</v>
      </c>
      <c r="B90" s="238" t="s">
        <v>6</v>
      </c>
      <c r="C90" s="239" t="s">
        <v>569</v>
      </c>
      <c r="D90" s="240" t="s">
        <v>623</v>
      </c>
      <c r="E90" s="215" t="s">
        <v>624</v>
      </c>
      <c r="F90" s="215" t="s">
        <v>469</v>
      </c>
      <c r="G90" s="242">
        <v>45858</v>
      </c>
      <c r="H90" s="234">
        <v>45889</v>
      </c>
      <c r="I90" s="243"/>
      <c r="J90" s="241"/>
      <c r="K90" s="215"/>
      <c r="L90" s="242"/>
      <c r="M90" s="242"/>
      <c r="N90" s="215"/>
      <c r="O90" s="215"/>
      <c r="P90" s="215"/>
      <c r="Q90" s="215"/>
      <c r="R90" s="215"/>
      <c r="S90" s="215"/>
      <c r="T90" s="215"/>
      <c r="U90" s="215"/>
    </row>
    <row r="91" spans="1:21" x14ac:dyDescent="0.3">
      <c r="A91" s="269">
        <v>29</v>
      </c>
      <c r="B91" s="238" t="s">
        <v>6</v>
      </c>
      <c r="C91" s="239" t="s">
        <v>569</v>
      </c>
      <c r="D91" s="240" t="s">
        <v>625</v>
      </c>
      <c r="E91" s="215" t="s">
        <v>626</v>
      </c>
      <c r="F91" s="215" t="s">
        <v>469</v>
      </c>
      <c r="G91" s="242">
        <v>45863</v>
      </c>
      <c r="H91" s="234">
        <f>G91</f>
        <v>45863</v>
      </c>
      <c r="I91" s="243"/>
      <c r="J91" s="241"/>
      <c r="K91" s="215"/>
      <c r="L91" s="242"/>
      <c r="M91" s="242"/>
      <c r="N91" s="215"/>
      <c r="O91" s="215"/>
      <c r="P91" s="215"/>
      <c r="Q91" s="215"/>
      <c r="R91" s="215"/>
      <c r="S91" s="215"/>
      <c r="T91" s="215"/>
      <c r="U91" s="215"/>
    </row>
    <row r="92" spans="1:21" x14ac:dyDescent="0.3">
      <c r="A92" s="275"/>
      <c r="B92" s="414" t="s">
        <v>627</v>
      </c>
      <c r="C92" s="415" t="s">
        <v>628</v>
      </c>
      <c r="D92" s="416" t="s">
        <v>629</v>
      </c>
      <c r="E92" s="413" t="s">
        <v>630</v>
      </c>
      <c r="F92" s="413" t="s">
        <v>469</v>
      </c>
      <c r="G92" s="417">
        <v>45719</v>
      </c>
      <c r="H92" s="410">
        <f>L92</f>
        <v>45714</v>
      </c>
      <c r="I92" s="226"/>
      <c r="J92" s="227"/>
      <c r="K92" s="224" t="s">
        <v>470</v>
      </c>
      <c r="L92" s="225">
        <v>45714</v>
      </c>
      <c r="M92" s="225">
        <v>45721</v>
      </c>
      <c r="N92" s="224" t="s">
        <v>471</v>
      </c>
      <c r="O92" s="224">
        <f>M92-L92</f>
        <v>7</v>
      </c>
      <c r="P92" s="224">
        <f>L93-M92</f>
        <v>33</v>
      </c>
      <c r="Q92" s="413"/>
      <c r="R92" s="413" t="s">
        <v>495</v>
      </c>
      <c r="S92" s="413" t="str">
        <f>N94</f>
        <v>CAT - II</v>
      </c>
      <c r="T92" s="413" t="s">
        <v>399</v>
      </c>
      <c r="U92" s="413"/>
    </row>
    <row r="93" spans="1:21" x14ac:dyDescent="0.3">
      <c r="A93" s="276">
        <v>3</v>
      </c>
      <c r="B93" s="414"/>
      <c r="C93" s="415"/>
      <c r="D93" s="416"/>
      <c r="E93" s="413"/>
      <c r="F93" s="413"/>
      <c r="G93" s="417"/>
      <c r="H93" s="411"/>
      <c r="I93" s="226"/>
      <c r="J93" s="227"/>
      <c r="K93" s="224" t="s">
        <v>472</v>
      </c>
      <c r="L93" s="225">
        <v>45754</v>
      </c>
      <c r="M93" s="225">
        <v>45763</v>
      </c>
      <c r="N93" s="224" t="s">
        <v>471</v>
      </c>
      <c r="O93" s="224">
        <f>M93-L93</f>
        <v>9</v>
      </c>
      <c r="P93" s="224">
        <f>L94-M93</f>
        <v>4</v>
      </c>
      <c r="Q93" s="413"/>
      <c r="R93" s="413"/>
      <c r="S93" s="413"/>
      <c r="T93" s="413"/>
      <c r="U93" s="413"/>
    </row>
    <row r="94" spans="1:21" x14ac:dyDescent="0.3">
      <c r="A94" s="424">
        <v>4</v>
      </c>
      <c r="B94" s="414"/>
      <c r="C94" s="415"/>
      <c r="D94" s="416"/>
      <c r="E94" s="413"/>
      <c r="F94" s="413"/>
      <c r="G94" s="417"/>
      <c r="H94" s="411"/>
      <c r="I94" s="226"/>
      <c r="J94" s="227"/>
      <c r="K94" s="224" t="s">
        <v>474</v>
      </c>
      <c r="L94" s="225">
        <v>45767</v>
      </c>
      <c r="M94" s="225">
        <v>45770</v>
      </c>
      <c r="N94" s="224" t="s">
        <v>494</v>
      </c>
      <c r="O94" s="224">
        <f>M94-L94</f>
        <v>3</v>
      </c>
      <c r="P94" s="224">
        <f>L95-M94</f>
        <v>1</v>
      </c>
      <c r="Q94" s="413"/>
      <c r="R94" s="413"/>
      <c r="S94" s="413"/>
      <c r="T94" s="413"/>
      <c r="U94" s="413"/>
    </row>
    <row r="95" spans="1:21" x14ac:dyDescent="0.3">
      <c r="A95" s="424"/>
      <c r="B95" s="414"/>
      <c r="C95" s="415"/>
      <c r="D95" s="416"/>
      <c r="E95" s="413"/>
      <c r="F95" s="413"/>
      <c r="G95" s="417"/>
      <c r="H95" s="412"/>
      <c r="I95" s="226"/>
      <c r="J95" s="227"/>
      <c r="K95" s="224" t="s">
        <v>475</v>
      </c>
      <c r="L95" s="225">
        <v>45771</v>
      </c>
      <c r="M95" s="225"/>
      <c r="N95" s="224"/>
      <c r="O95" s="224">
        <f ca="1">O1-L95</f>
        <v>78</v>
      </c>
      <c r="P95" s="224"/>
      <c r="Q95" s="413"/>
      <c r="R95" s="413"/>
      <c r="S95" s="413"/>
      <c r="T95" s="413"/>
      <c r="U95" s="413"/>
    </row>
    <row r="96" spans="1:21" x14ac:dyDescent="0.3">
      <c r="A96" s="276">
        <v>5</v>
      </c>
      <c r="B96" s="424" t="s">
        <v>627</v>
      </c>
      <c r="C96" s="453" t="s">
        <v>628</v>
      </c>
      <c r="D96" s="454" t="s">
        <v>631</v>
      </c>
      <c r="E96" s="443" t="s">
        <v>632</v>
      </c>
      <c r="F96" s="443" t="s">
        <v>469</v>
      </c>
      <c r="G96" s="455">
        <v>45755</v>
      </c>
      <c r="H96" s="450">
        <f>L96</f>
        <v>45772</v>
      </c>
      <c r="I96" s="243"/>
      <c r="J96" s="507"/>
      <c r="K96" s="215" t="s">
        <v>470</v>
      </c>
      <c r="L96" s="242">
        <v>45772</v>
      </c>
      <c r="M96" s="242">
        <v>45790</v>
      </c>
      <c r="N96" s="215" t="s">
        <v>471</v>
      </c>
      <c r="O96" s="215">
        <f>M96-L96</f>
        <v>18</v>
      </c>
      <c r="P96" s="215">
        <f>L97-M96</f>
        <v>3</v>
      </c>
      <c r="Q96" s="443"/>
      <c r="R96" s="443" t="s">
        <v>495</v>
      </c>
      <c r="S96" s="443" t="str">
        <f>N96</f>
        <v>CAT - III</v>
      </c>
      <c r="T96" s="443" t="s">
        <v>473</v>
      </c>
      <c r="U96" s="443">
        <f ca="1">U1-L97</f>
        <v>56</v>
      </c>
    </row>
    <row r="97" spans="1:21" x14ac:dyDescent="0.3">
      <c r="A97" s="276">
        <v>6</v>
      </c>
      <c r="B97" s="424"/>
      <c r="C97" s="453"/>
      <c r="D97" s="454"/>
      <c r="E97" s="443"/>
      <c r="F97" s="443"/>
      <c r="G97" s="455"/>
      <c r="H97" s="452"/>
      <c r="I97" s="243"/>
      <c r="J97" s="507"/>
      <c r="K97" s="215" t="s">
        <v>472</v>
      </c>
      <c r="L97" s="242">
        <v>45793</v>
      </c>
      <c r="M97" s="242"/>
      <c r="N97" s="215"/>
      <c r="O97" s="215">
        <f ca="1">O1-L97</f>
        <v>56</v>
      </c>
      <c r="P97" s="215"/>
      <c r="Q97" s="443"/>
      <c r="R97" s="443"/>
      <c r="S97" s="443"/>
      <c r="T97" s="443"/>
      <c r="U97" s="443"/>
    </row>
    <row r="98" spans="1:21" ht="28" x14ac:dyDescent="0.3">
      <c r="A98" s="276">
        <v>7</v>
      </c>
      <c r="B98" s="276" t="s">
        <v>627</v>
      </c>
      <c r="C98" s="277" t="s">
        <v>628</v>
      </c>
      <c r="D98" s="278" t="s">
        <v>633</v>
      </c>
      <c r="E98" s="215" t="s">
        <v>634</v>
      </c>
      <c r="F98" s="215" t="s">
        <v>469</v>
      </c>
      <c r="G98" s="242">
        <v>45762</v>
      </c>
      <c r="H98" s="242">
        <f>L98</f>
        <v>45790</v>
      </c>
      <c r="I98" s="243"/>
      <c r="J98" s="243"/>
      <c r="K98" s="215" t="s">
        <v>470</v>
      </c>
      <c r="L98" s="242">
        <v>45790</v>
      </c>
      <c r="M98" s="242"/>
      <c r="N98" s="215"/>
      <c r="O98" s="215">
        <f ca="1">O1-L98</f>
        <v>59</v>
      </c>
      <c r="P98" s="215"/>
      <c r="Q98" s="215"/>
      <c r="R98" s="215" t="s">
        <v>495</v>
      </c>
      <c r="S98" s="215"/>
      <c r="T98" s="215" t="s">
        <v>473</v>
      </c>
      <c r="U98" s="215">
        <f ca="1">U1-L98</f>
        <v>59</v>
      </c>
    </row>
    <row r="99" spans="1:21" x14ac:dyDescent="0.3">
      <c r="A99" s="276">
        <v>8</v>
      </c>
      <c r="B99" s="424" t="s">
        <v>627</v>
      </c>
      <c r="C99" s="453" t="s">
        <v>628</v>
      </c>
      <c r="D99" s="454" t="s">
        <v>635</v>
      </c>
      <c r="E99" s="443" t="s">
        <v>636</v>
      </c>
      <c r="F99" s="443" t="s">
        <v>469</v>
      </c>
      <c r="G99" s="455">
        <v>45780</v>
      </c>
      <c r="H99" s="450">
        <f>L99</f>
        <v>45758</v>
      </c>
      <c r="I99" s="243"/>
      <c r="J99" s="456">
        <v>45821</v>
      </c>
      <c r="K99" s="215" t="s">
        <v>470</v>
      </c>
      <c r="L99" s="242">
        <v>45758</v>
      </c>
      <c r="M99" s="242">
        <v>45766</v>
      </c>
      <c r="N99" s="215" t="s">
        <v>471</v>
      </c>
      <c r="O99" s="215">
        <f>M99-L99</f>
        <v>8</v>
      </c>
      <c r="P99" s="215">
        <f>L100-M99</f>
        <v>27</v>
      </c>
      <c r="Q99" s="443"/>
      <c r="R99" s="443" t="s">
        <v>502</v>
      </c>
      <c r="S99" s="443" t="str">
        <f>N99</f>
        <v>CAT - III</v>
      </c>
      <c r="T99" s="443" t="s">
        <v>476</v>
      </c>
      <c r="U99" s="443">
        <f ca="1">U1-M100</f>
        <v>41</v>
      </c>
    </row>
    <row r="100" spans="1:21" x14ac:dyDescent="0.3">
      <c r="A100" s="276">
        <v>9</v>
      </c>
      <c r="B100" s="424"/>
      <c r="C100" s="453"/>
      <c r="D100" s="454"/>
      <c r="E100" s="443"/>
      <c r="F100" s="443"/>
      <c r="G100" s="455"/>
      <c r="H100" s="452"/>
      <c r="I100" s="243"/>
      <c r="J100" s="458"/>
      <c r="K100" s="215" t="s">
        <v>472</v>
      </c>
      <c r="L100" s="242">
        <v>45793</v>
      </c>
      <c r="M100" s="242">
        <v>45808</v>
      </c>
      <c r="N100" s="215" t="s">
        <v>471</v>
      </c>
      <c r="O100" s="215">
        <f ca="1">O1-L100</f>
        <v>56</v>
      </c>
      <c r="P100" s="215"/>
      <c r="Q100" s="443"/>
      <c r="R100" s="443"/>
      <c r="S100" s="443"/>
      <c r="T100" s="443"/>
      <c r="U100" s="443"/>
    </row>
    <row r="101" spans="1:21" ht="14.25" customHeight="1" x14ac:dyDescent="0.3">
      <c r="A101" s="276">
        <v>10</v>
      </c>
      <c r="B101" s="276" t="s">
        <v>627</v>
      </c>
      <c r="C101" s="277" t="s">
        <v>628</v>
      </c>
      <c r="D101" s="278" t="s">
        <v>637</v>
      </c>
      <c r="E101" s="215" t="s">
        <v>638</v>
      </c>
      <c r="F101" s="215" t="s">
        <v>469</v>
      </c>
      <c r="G101" s="242">
        <v>45835</v>
      </c>
      <c r="H101" s="234">
        <f>G101</f>
        <v>45835</v>
      </c>
      <c r="I101" s="215" t="s">
        <v>639</v>
      </c>
      <c r="J101" s="243">
        <v>45821</v>
      </c>
      <c r="K101" s="215"/>
      <c r="L101" s="242"/>
      <c r="M101" s="242"/>
      <c r="N101" s="215"/>
      <c r="O101" s="215"/>
      <c r="P101" s="215"/>
      <c r="Q101" s="215"/>
      <c r="R101" s="215"/>
      <c r="S101" s="215"/>
      <c r="T101" s="215"/>
      <c r="U101" s="215"/>
    </row>
    <row r="102" spans="1:21" ht="28" x14ac:dyDescent="0.3">
      <c r="A102" s="276">
        <v>11</v>
      </c>
      <c r="B102" s="276" t="s">
        <v>627</v>
      </c>
      <c r="C102" s="277" t="s">
        <v>628</v>
      </c>
      <c r="D102" s="278" t="s">
        <v>640</v>
      </c>
      <c r="E102" s="215" t="s">
        <v>641</v>
      </c>
      <c r="F102" s="215" t="s">
        <v>469</v>
      </c>
      <c r="G102" s="242">
        <v>45835</v>
      </c>
      <c r="H102" s="234">
        <f>G102</f>
        <v>45835</v>
      </c>
      <c r="I102" s="215" t="s">
        <v>639</v>
      </c>
      <c r="J102" s="243">
        <v>45821</v>
      </c>
      <c r="K102" s="215"/>
      <c r="L102" s="242"/>
      <c r="M102" s="242"/>
      <c r="N102" s="215"/>
      <c r="O102" s="215"/>
      <c r="P102" s="215"/>
      <c r="Q102" s="215"/>
      <c r="R102" s="215"/>
      <c r="S102" s="215"/>
      <c r="T102" s="215"/>
      <c r="U102" s="215"/>
    </row>
    <row r="103" spans="1:21" x14ac:dyDescent="0.3">
      <c r="A103" s="276">
        <v>12</v>
      </c>
      <c r="B103" s="276" t="s">
        <v>627</v>
      </c>
      <c r="C103" s="277" t="s">
        <v>628</v>
      </c>
      <c r="D103" s="278" t="s">
        <v>642</v>
      </c>
      <c r="E103" s="215" t="s">
        <v>643</v>
      </c>
      <c r="F103" s="215" t="s">
        <v>469</v>
      </c>
      <c r="G103" s="242">
        <v>45835</v>
      </c>
      <c r="H103" s="234">
        <f>G103</f>
        <v>45835</v>
      </c>
      <c r="I103" s="215" t="s">
        <v>639</v>
      </c>
      <c r="J103" s="243">
        <v>45821</v>
      </c>
      <c r="K103" s="215"/>
      <c r="L103" s="242"/>
      <c r="M103" s="242"/>
      <c r="N103" s="215"/>
      <c r="O103" s="215"/>
      <c r="P103" s="215"/>
      <c r="Q103" s="215"/>
      <c r="R103" s="215"/>
      <c r="S103" s="215"/>
      <c r="T103" s="215"/>
      <c r="U103" s="215"/>
    </row>
    <row r="104" spans="1:21" x14ac:dyDescent="0.3">
      <c r="A104" s="276">
        <v>13</v>
      </c>
      <c r="B104" s="276" t="s">
        <v>627</v>
      </c>
      <c r="C104" s="277" t="s">
        <v>628</v>
      </c>
      <c r="D104" s="278" t="s">
        <v>644</v>
      </c>
      <c r="E104" s="215" t="s">
        <v>645</v>
      </c>
      <c r="F104" s="215" t="s">
        <v>469</v>
      </c>
      <c r="G104" s="242">
        <v>45835</v>
      </c>
      <c r="H104" s="234">
        <f>G104</f>
        <v>45835</v>
      </c>
      <c r="I104" s="215" t="s">
        <v>639</v>
      </c>
      <c r="J104" s="243">
        <v>45821</v>
      </c>
      <c r="K104" s="215"/>
      <c r="L104" s="242"/>
      <c r="M104" s="242"/>
      <c r="N104" s="215"/>
      <c r="O104" s="215"/>
      <c r="P104" s="215"/>
      <c r="Q104" s="215"/>
      <c r="R104" s="215"/>
      <c r="S104" s="215"/>
      <c r="T104" s="215"/>
      <c r="U104" s="215"/>
    </row>
    <row r="105" spans="1:21" x14ac:dyDescent="0.3">
      <c r="A105" s="276">
        <v>14</v>
      </c>
      <c r="B105" s="276" t="s">
        <v>627</v>
      </c>
      <c r="C105" s="277" t="s">
        <v>628</v>
      </c>
      <c r="D105" s="278" t="s">
        <v>646</v>
      </c>
      <c r="E105" s="215" t="s">
        <v>647</v>
      </c>
      <c r="F105" s="215" t="s">
        <v>469</v>
      </c>
      <c r="G105" s="242">
        <v>45768</v>
      </c>
      <c r="H105" s="242">
        <f>L105</f>
        <v>45804</v>
      </c>
      <c r="I105" s="243"/>
      <c r="J105" s="243">
        <v>45804</v>
      </c>
      <c r="K105" s="215" t="s">
        <v>470</v>
      </c>
      <c r="L105" s="242">
        <v>45804</v>
      </c>
      <c r="M105" s="242">
        <v>45812</v>
      </c>
      <c r="N105" s="215" t="s">
        <v>471</v>
      </c>
      <c r="O105" s="215">
        <f>M105-L105</f>
        <v>8</v>
      </c>
      <c r="P105" s="215">
        <f ca="1">O1-M105</f>
        <v>37</v>
      </c>
      <c r="Q105" s="215"/>
      <c r="R105" s="215" t="s">
        <v>502</v>
      </c>
      <c r="S105" s="215" t="str">
        <f>N105</f>
        <v>CAT - III</v>
      </c>
      <c r="T105" s="215" t="s">
        <v>476</v>
      </c>
      <c r="U105" s="215">
        <f ca="1">U1-L105</f>
        <v>45</v>
      </c>
    </row>
    <row r="106" spans="1:21" ht="28" x14ac:dyDescent="0.3">
      <c r="A106" s="276">
        <v>15</v>
      </c>
      <c r="B106" s="276" t="s">
        <v>627</v>
      </c>
      <c r="C106" s="277" t="s">
        <v>628</v>
      </c>
      <c r="D106" s="278" t="s">
        <v>648</v>
      </c>
      <c r="E106" s="215" t="s">
        <v>649</v>
      </c>
      <c r="F106" s="215" t="s">
        <v>469</v>
      </c>
      <c r="G106" s="242">
        <v>45800</v>
      </c>
      <c r="H106" s="242">
        <f>L106</f>
        <v>45800</v>
      </c>
      <c r="I106" s="243"/>
      <c r="J106" s="243"/>
      <c r="K106" s="215" t="s">
        <v>470</v>
      </c>
      <c r="L106" s="242">
        <v>45800</v>
      </c>
      <c r="M106" s="242"/>
      <c r="N106" s="215"/>
      <c r="O106" s="215">
        <f ca="1">O1-L106</f>
        <v>49</v>
      </c>
      <c r="P106" s="215"/>
      <c r="Q106" s="215"/>
      <c r="R106" s="215" t="s">
        <v>495</v>
      </c>
      <c r="S106" s="215"/>
      <c r="T106" s="215" t="s">
        <v>473</v>
      </c>
      <c r="U106" s="215">
        <f ca="1">U1-L106</f>
        <v>49</v>
      </c>
    </row>
    <row r="107" spans="1:21" ht="28" x14ac:dyDescent="0.3">
      <c r="A107" s="276">
        <v>16</v>
      </c>
      <c r="B107" s="276" t="s">
        <v>627</v>
      </c>
      <c r="C107" s="277" t="s">
        <v>628</v>
      </c>
      <c r="D107" s="278" t="s">
        <v>650</v>
      </c>
      <c r="E107" s="215" t="s">
        <v>651</v>
      </c>
      <c r="F107" s="215" t="s">
        <v>469</v>
      </c>
      <c r="G107" s="242">
        <v>45826</v>
      </c>
      <c r="H107" s="234">
        <f>G107</f>
        <v>45826</v>
      </c>
      <c r="I107" s="279" t="s">
        <v>652</v>
      </c>
      <c r="J107" s="243">
        <v>45814</v>
      </c>
      <c r="K107" s="215"/>
      <c r="L107" s="242"/>
      <c r="M107" s="242"/>
      <c r="N107" s="215"/>
      <c r="O107" s="215"/>
      <c r="P107" s="215"/>
      <c r="Q107" s="215"/>
      <c r="R107" s="215"/>
      <c r="S107" s="215"/>
      <c r="T107" s="215"/>
      <c r="U107" s="215"/>
    </row>
    <row r="108" spans="1:21" x14ac:dyDescent="0.3">
      <c r="A108" s="276">
        <v>17</v>
      </c>
      <c r="B108" s="276" t="s">
        <v>627</v>
      </c>
      <c r="C108" s="277" t="s">
        <v>628</v>
      </c>
      <c r="D108" s="278" t="s">
        <v>653</v>
      </c>
      <c r="E108" s="215" t="s">
        <v>654</v>
      </c>
      <c r="F108" s="215" t="s">
        <v>469</v>
      </c>
      <c r="G108" s="242">
        <v>45826</v>
      </c>
      <c r="H108" s="234">
        <f>G108</f>
        <v>45826</v>
      </c>
      <c r="I108" s="243" t="s">
        <v>655</v>
      </c>
      <c r="J108" s="243">
        <v>45814</v>
      </c>
      <c r="K108" s="215"/>
      <c r="L108" s="242"/>
      <c r="M108" s="242"/>
      <c r="N108" s="215"/>
      <c r="O108" s="215"/>
      <c r="P108" s="215"/>
      <c r="Q108" s="215"/>
      <c r="R108" s="215"/>
      <c r="S108" s="215"/>
      <c r="T108" s="215"/>
      <c r="U108" s="215"/>
    </row>
    <row r="109" spans="1:21" ht="28" x14ac:dyDescent="0.3">
      <c r="A109" s="276">
        <v>18</v>
      </c>
      <c r="B109" s="276" t="s">
        <v>627</v>
      </c>
      <c r="C109" s="277" t="s">
        <v>628</v>
      </c>
      <c r="D109" s="278" t="s">
        <v>656</v>
      </c>
      <c r="E109" s="215" t="s">
        <v>657</v>
      </c>
      <c r="F109" s="215" t="s">
        <v>469</v>
      </c>
      <c r="G109" s="242">
        <v>45826</v>
      </c>
      <c r="H109" s="234">
        <f>G109</f>
        <v>45826</v>
      </c>
      <c r="I109" s="243" t="s">
        <v>655</v>
      </c>
      <c r="J109" s="243">
        <v>45814</v>
      </c>
      <c r="K109" s="215"/>
      <c r="L109" s="242"/>
      <c r="M109" s="242"/>
      <c r="N109" s="215"/>
      <c r="O109" s="215"/>
      <c r="P109" s="215"/>
      <c r="Q109" s="215"/>
      <c r="R109" s="215"/>
      <c r="S109" s="215"/>
      <c r="T109" s="215"/>
      <c r="U109" s="215"/>
    </row>
    <row r="110" spans="1:21" x14ac:dyDescent="0.3">
      <c r="A110" s="276">
        <v>19</v>
      </c>
      <c r="B110" s="276" t="s">
        <v>627</v>
      </c>
      <c r="C110" s="277" t="s">
        <v>628</v>
      </c>
      <c r="D110" s="278" t="s">
        <v>658</v>
      </c>
      <c r="E110" s="215" t="s">
        <v>659</v>
      </c>
      <c r="F110" s="215" t="s">
        <v>469</v>
      </c>
      <c r="G110" s="242">
        <v>45794</v>
      </c>
      <c r="H110" s="234">
        <v>45825</v>
      </c>
      <c r="I110" s="243"/>
      <c r="J110" s="243"/>
      <c r="K110" s="215"/>
      <c r="L110" s="242"/>
      <c r="M110" s="242"/>
      <c r="N110" s="215"/>
      <c r="O110" s="215"/>
      <c r="P110" s="215"/>
      <c r="Q110" s="215"/>
      <c r="R110" s="215"/>
      <c r="S110" s="215"/>
      <c r="T110" s="215"/>
      <c r="U110" s="215"/>
    </row>
    <row r="111" spans="1:21" ht="28" x14ac:dyDescent="0.3">
      <c r="A111" s="276">
        <v>20</v>
      </c>
      <c r="B111" s="276" t="s">
        <v>627</v>
      </c>
      <c r="C111" s="277" t="s">
        <v>628</v>
      </c>
      <c r="D111" s="278" t="s">
        <v>660</v>
      </c>
      <c r="E111" s="215" t="s">
        <v>661</v>
      </c>
      <c r="F111" s="215" t="s">
        <v>469</v>
      </c>
      <c r="G111" s="242">
        <v>45821</v>
      </c>
      <c r="H111" s="234">
        <f t="shared" ref="H111:H121" si="1">G111</f>
        <v>45821</v>
      </c>
      <c r="I111" s="243"/>
      <c r="J111" s="243"/>
      <c r="K111" s="215"/>
      <c r="L111" s="242"/>
      <c r="M111" s="242"/>
      <c r="N111" s="215"/>
      <c r="O111" s="215"/>
      <c r="P111" s="215"/>
      <c r="Q111" s="215"/>
      <c r="R111" s="215"/>
      <c r="S111" s="215"/>
      <c r="T111" s="215"/>
      <c r="U111" s="215"/>
    </row>
    <row r="112" spans="1:21" ht="28" x14ac:dyDescent="0.3">
      <c r="A112" s="276">
        <v>21</v>
      </c>
      <c r="B112" s="276" t="s">
        <v>627</v>
      </c>
      <c r="C112" s="277" t="s">
        <v>628</v>
      </c>
      <c r="D112" s="278" t="s">
        <v>662</v>
      </c>
      <c r="E112" s="215" t="s">
        <v>663</v>
      </c>
      <c r="F112" s="215" t="s">
        <v>469</v>
      </c>
      <c r="G112" s="242">
        <v>45835</v>
      </c>
      <c r="H112" s="234">
        <f t="shared" si="1"/>
        <v>45835</v>
      </c>
      <c r="I112" s="243" t="s">
        <v>664</v>
      </c>
      <c r="J112" s="243">
        <v>45828</v>
      </c>
      <c r="K112" s="215"/>
      <c r="L112" s="242"/>
      <c r="M112" s="242"/>
      <c r="N112" s="215"/>
      <c r="O112" s="215"/>
      <c r="P112" s="215"/>
      <c r="Q112" s="215"/>
      <c r="R112" s="215"/>
      <c r="S112" s="215"/>
      <c r="T112" s="215"/>
      <c r="U112" s="215"/>
    </row>
    <row r="113" spans="1:21" ht="28" x14ac:dyDescent="0.3">
      <c r="A113" s="276">
        <v>22</v>
      </c>
      <c r="B113" s="276" t="s">
        <v>627</v>
      </c>
      <c r="C113" s="277" t="s">
        <v>628</v>
      </c>
      <c r="D113" s="278" t="s">
        <v>665</v>
      </c>
      <c r="E113" s="215" t="s">
        <v>666</v>
      </c>
      <c r="F113" s="215" t="s">
        <v>479</v>
      </c>
      <c r="G113" s="242">
        <v>45842</v>
      </c>
      <c r="H113" s="234">
        <f t="shared" si="1"/>
        <v>45842</v>
      </c>
      <c r="I113" s="243" t="s">
        <v>664</v>
      </c>
      <c r="J113" s="243">
        <v>45828</v>
      </c>
      <c r="K113" s="215"/>
      <c r="L113" s="242"/>
      <c r="M113" s="242"/>
      <c r="N113" s="215"/>
      <c r="O113" s="215"/>
      <c r="P113" s="215"/>
      <c r="Q113" s="215"/>
      <c r="R113" s="215"/>
      <c r="S113" s="215"/>
      <c r="T113" s="215"/>
      <c r="U113" s="215"/>
    </row>
    <row r="114" spans="1:21" x14ac:dyDescent="0.3">
      <c r="A114" s="276">
        <v>23</v>
      </c>
      <c r="B114" s="276" t="s">
        <v>627</v>
      </c>
      <c r="C114" s="277" t="s">
        <v>628</v>
      </c>
      <c r="D114" s="278" t="s">
        <v>667</v>
      </c>
      <c r="E114" s="215" t="s">
        <v>668</v>
      </c>
      <c r="F114" s="215" t="s">
        <v>469</v>
      </c>
      <c r="G114" s="242">
        <v>45853</v>
      </c>
      <c r="H114" s="234">
        <f t="shared" si="1"/>
        <v>45853</v>
      </c>
      <c r="I114" s="243"/>
      <c r="J114" s="243">
        <v>45835</v>
      </c>
      <c r="K114" s="215"/>
      <c r="L114" s="242"/>
      <c r="M114" s="242"/>
      <c r="N114" s="215"/>
      <c r="O114" s="215"/>
      <c r="P114" s="215"/>
      <c r="Q114" s="215"/>
      <c r="R114" s="215"/>
      <c r="S114" s="215"/>
      <c r="T114" s="215"/>
      <c r="U114" s="215"/>
    </row>
    <row r="115" spans="1:21" ht="28" x14ac:dyDescent="0.3">
      <c r="A115" s="276">
        <v>24</v>
      </c>
      <c r="B115" s="276" t="s">
        <v>627</v>
      </c>
      <c r="C115" s="277" t="s">
        <v>628</v>
      </c>
      <c r="D115" s="278" t="s">
        <v>669</v>
      </c>
      <c r="E115" s="215" t="s">
        <v>670</v>
      </c>
      <c r="F115" s="215" t="s">
        <v>469</v>
      </c>
      <c r="G115" s="242">
        <v>45838</v>
      </c>
      <c r="H115" s="234">
        <f t="shared" si="1"/>
        <v>45838</v>
      </c>
      <c r="I115" s="243"/>
      <c r="J115" s="243">
        <v>45838</v>
      </c>
      <c r="K115" s="215"/>
      <c r="L115" s="242"/>
      <c r="M115" s="242"/>
      <c r="N115" s="215"/>
      <c r="O115" s="215"/>
      <c r="P115" s="215"/>
      <c r="Q115" s="215"/>
      <c r="R115" s="215"/>
      <c r="S115" s="215"/>
      <c r="T115" s="215"/>
      <c r="U115" s="215"/>
    </row>
    <row r="116" spans="1:21" x14ac:dyDescent="0.3">
      <c r="A116" s="276">
        <v>25</v>
      </c>
      <c r="B116" s="276" t="s">
        <v>627</v>
      </c>
      <c r="C116" s="277" t="s">
        <v>628</v>
      </c>
      <c r="D116" s="278" t="s">
        <v>671</v>
      </c>
      <c r="E116" s="215" t="s">
        <v>672</v>
      </c>
      <c r="F116" s="215" t="s">
        <v>469</v>
      </c>
      <c r="G116" s="242">
        <v>45850</v>
      </c>
      <c r="H116" s="234">
        <f t="shared" si="1"/>
        <v>45850</v>
      </c>
      <c r="I116" s="243"/>
      <c r="J116" s="243">
        <v>45850</v>
      </c>
      <c r="K116" s="215"/>
      <c r="L116" s="242"/>
      <c r="M116" s="242"/>
      <c r="N116" s="215"/>
      <c r="O116" s="215"/>
      <c r="P116" s="215"/>
      <c r="Q116" s="215"/>
      <c r="R116" s="215"/>
      <c r="S116" s="215"/>
      <c r="T116" s="215"/>
      <c r="U116" s="215"/>
    </row>
    <row r="117" spans="1:21" x14ac:dyDescent="0.3">
      <c r="A117" s="276">
        <v>1</v>
      </c>
      <c r="B117" s="276" t="s">
        <v>627</v>
      </c>
      <c r="C117" s="277" t="s">
        <v>628</v>
      </c>
      <c r="D117" s="278" t="s">
        <v>673</v>
      </c>
      <c r="E117" s="215" t="s">
        <v>674</v>
      </c>
      <c r="F117" s="215" t="s">
        <v>469</v>
      </c>
      <c r="G117" s="242">
        <v>45852</v>
      </c>
      <c r="H117" s="234">
        <f t="shared" si="1"/>
        <v>45852</v>
      </c>
      <c r="I117" s="243"/>
      <c r="J117" s="243">
        <v>45852</v>
      </c>
      <c r="K117" s="215"/>
      <c r="L117" s="242"/>
      <c r="M117" s="242"/>
      <c r="N117" s="215"/>
      <c r="O117" s="215"/>
      <c r="P117" s="215"/>
      <c r="Q117" s="215"/>
      <c r="R117" s="215"/>
      <c r="S117" s="215"/>
      <c r="T117" s="215"/>
      <c r="U117" s="215"/>
    </row>
    <row r="118" spans="1:21" x14ac:dyDescent="0.3">
      <c r="A118" s="276">
        <v>2</v>
      </c>
      <c r="B118" s="276" t="s">
        <v>627</v>
      </c>
      <c r="C118" s="277" t="s">
        <v>628</v>
      </c>
      <c r="D118" s="278" t="s">
        <v>675</v>
      </c>
      <c r="E118" s="215" t="s">
        <v>676</v>
      </c>
      <c r="F118" s="215" t="s">
        <v>469</v>
      </c>
      <c r="G118" s="242">
        <v>45863</v>
      </c>
      <c r="H118" s="234">
        <f t="shared" si="1"/>
        <v>45863</v>
      </c>
      <c r="I118" s="243"/>
      <c r="J118" s="243">
        <v>45853</v>
      </c>
      <c r="K118" s="215"/>
      <c r="L118" s="242"/>
      <c r="M118" s="242"/>
      <c r="N118" s="215"/>
      <c r="O118" s="215"/>
      <c r="P118" s="215"/>
      <c r="Q118" s="215"/>
      <c r="R118" s="215"/>
      <c r="S118" s="215"/>
      <c r="T118" s="215"/>
      <c r="U118" s="215"/>
    </row>
    <row r="119" spans="1:21" ht="28" x14ac:dyDescent="0.3">
      <c r="A119" s="276">
        <v>3</v>
      </c>
      <c r="B119" s="276" t="s">
        <v>627</v>
      </c>
      <c r="C119" s="277" t="s">
        <v>628</v>
      </c>
      <c r="D119" s="278" t="s">
        <v>677</v>
      </c>
      <c r="E119" s="215" t="s">
        <v>678</v>
      </c>
      <c r="F119" s="215" t="s">
        <v>469</v>
      </c>
      <c r="G119" s="242">
        <v>45854</v>
      </c>
      <c r="H119" s="234">
        <f t="shared" si="1"/>
        <v>45854</v>
      </c>
      <c r="I119" s="243"/>
      <c r="J119" s="243">
        <v>45854</v>
      </c>
      <c r="K119" s="215"/>
      <c r="L119" s="242"/>
      <c r="M119" s="242"/>
      <c r="N119" s="215"/>
      <c r="O119" s="215"/>
      <c r="P119" s="215"/>
      <c r="Q119" s="215"/>
      <c r="R119" s="215"/>
      <c r="S119" s="215"/>
      <c r="T119" s="215"/>
      <c r="U119" s="215"/>
    </row>
    <row r="120" spans="1:21" ht="28" x14ac:dyDescent="0.3">
      <c r="A120" s="424">
        <v>4</v>
      </c>
      <c r="B120" s="276" t="s">
        <v>627</v>
      </c>
      <c r="C120" s="277" t="s">
        <v>628</v>
      </c>
      <c r="D120" s="278" t="s">
        <v>679</v>
      </c>
      <c r="E120" s="215" t="s">
        <v>680</v>
      </c>
      <c r="F120" s="215" t="s">
        <v>469</v>
      </c>
      <c r="G120" s="242">
        <v>45860</v>
      </c>
      <c r="H120" s="234">
        <f t="shared" si="1"/>
        <v>45860</v>
      </c>
      <c r="I120" s="243"/>
      <c r="J120" s="243">
        <v>45860</v>
      </c>
      <c r="K120" s="215"/>
      <c r="L120" s="242"/>
      <c r="M120" s="242"/>
      <c r="N120" s="215"/>
      <c r="O120" s="215"/>
      <c r="P120" s="215"/>
      <c r="Q120" s="215"/>
      <c r="R120" s="215"/>
      <c r="S120" s="215"/>
      <c r="T120" s="215"/>
      <c r="U120" s="215"/>
    </row>
    <row r="121" spans="1:21" ht="28" x14ac:dyDescent="0.3">
      <c r="A121" s="424"/>
      <c r="B121" s="276" t="s">
        <v>627</v>
      </c>
      <c r="C121" s="277" t="s">
        <v>628</v>
      </c>
      <c r="D121" s="278" t="s">
        <v>681</v>
      </c>
      <c r="E121" s="215" t="s">
        <v>682</v>
      </c>
      <c r="F121" s="215" t="s">
        <v>469</v>
      </c>
      <c r="G121" s="242">
        <v>45866</v>
      </c>
      <c r="H121" s="234">
        <f t="shared" si="1"/>
        <v>45866</v>
      </c>
      <c r="I121" s="243"/>
      <c r="J121" s="243">
        <v>45866</v>
      </c>
      <c r="K121" s="215"/>
      <c r="L121" s="242"/>
      <c r="M121" s="242"/>
      <c r="N121" s="215"/>
      <c r="O121" s="215"/>
      <c r="P121" s="215"/>
      <c r="Q121" s="215"/>
      <c r="R121" s="215"/>
      <c r="S121" s="215"/>
      <c r="T121" s="215"/>
      <c r="U121" s="215"/>
    </row>
    <row r="122" spans="1:21" ht="28" x14ac:dyDescent="0.3">
      <c r="A122" s="276">
        <v>5</v>
      </c>
      <c r="B122" s="276" t="s">
        <v>627</v>
      </c>
      <c r="C122" s="277" t="s">
        <v>683</v>
      </c>
      <c r="D122" s="278" t="s">
        <v>684</v>
      </c>
      <c r="E122" s="215" t="s">
        <v>685</v>
      </c>
      <c r="F122" s="215" t="s">
        <v>469</v>
      </c>
      <c r="G122" s="242">
        <v>45714</v>
      </c>
      <c r="H122" s="242">
        <f>L122</f>
        <v>45714</v>
      </c>
      <c r="I122" s="243"/>
      <c r="J122" s="243"/>
      <c r="K122" s="215" t="s">
        <v>470</v>
      </c>
      <c r="L122" s="242">
        <v>45714</v>
      </c>
      <c r="M122" s="242"/>
      <c r="N122" s="215"/>
      <c r="O122" s="215">
        <f ca="1">O1-L122</f>
        <v>135</v>
      </c>
      <c r="P122" s="215"/>
      <c r="Q122" s="215"/>
      <c r="R122" s="215" t="s">
        <v>495</v>
      </c>
      <c r="S122" s="215"/>
      <c r="T122" s="215" t="s">
        <v>473</v>
      </c>
      <c r="U122" s="215">
        <f ca="1">U1-L122</f>
        <v>135</v>
      </c>
    </row>
    <row r="123" spans="1:21" ht="28" x14ac:dyDescent="0.3">
      <c r="A123" s="276">
        <v>6</v>
      </c>
      <c r="B123" s="276" t="s">
        <v>627</v>
      </c>
      <c r="C123" s="277" t="s">
        <v>683</v>
      </c>
      <c r="D123" s="278" t="s">
        <v>686</v>
      </c>
      <c r="E123" s="215" t="s">
        <v>687</v>
      </c>
      <c r="F123" s="215" t="s">
        <v>469</v>
      </c>
      <c r="G123" s="242">
        <v>45877</v>
      </c>
      <c r="H123" s="234">
        <f>G123</f>
        <v>45877</v>
      </c>
      <c r="I123" s="243"/>
      <c r="J123" s="243">
        <v>45877</v>
      </c>
      <c r="K123" s="215"/>
      <c r="L123" s="242"/>
      <c r="M123" s="242"/>
      <c r="N123" s="215"/>
      <c r="O123" s="215"/>
      <c r="P123" s="215"/>
      <c r="Q123" s="215"/>
      <c r="R123" s="215"/>
      <c r="S123" s="215"/>
      <c r="T123" s="215"/>
      <c r="U123" s="215"/>
    </row>
    <row r="124" spans="1:21" ht="28" x14ac:dyDescent="0.3">
      <c r="A124" s="276">
        <v>7</v>
      </c>
      <c r="B124" s="276" t="s">
        <v>627</v>
      </c>
      <c r="C124" s="277" t="s">
        <v>683</v>
      </c>
      <c r="D124" s="278" t="s">
        <v>688</v>
      </c>
      <c r="E124" s="215" t="s">
        <v>689</v>
      </c>
      <c r="F124" s="215" t="s">
        <v>469</v>
      </c>
      <c r="G124" s="242">
        <v>45987</v>
      </c>
      <c r="H124" s="234">
        <f>G124</f>
        <v>45987</v>
      </c>
      <c r="I124" s="243"/>
      <c r="J124" s="243">
        <v>45987</v>
      </c>
      <c r="K124" s="215"/>
      <c r="L124" s="242"/>
      <c r="M124" s="242"/>
      <c r="N124" s="215"/>
      <c r="O124" s="215"/>
      <c r="P124" s="215"/>
      <c r="Q124" s="215"/>
      <c r="R124" s="215"/>
      <c r="S124" s="215"/>
      <c r="T124" s="215"/>
      <c r="U124" s="215"/>
    </row>
    <row r="125" spans="1:21" x14ac:dyDescent="0.3">
      <c r="A125" s="276">
        <v>8</v>
      </c>
      <c r="B125" s="424" t="s">
        <v>627</v>
      </c>
      <c r="C125" s="453" t="s">
        <v>683</v>
      </c>
      <c r="D125" s="454" t="s">
        <v>690</v>
      </c>
      <c r="E125" s="443" t="s">
        <v>691</v>
      </c>
      <c r="F125" s="391" t="s">
        <v>469</v>
      </c>
      <c r="G125" s="455">
        <v>45754</v>
      </c>
      <c r="H125" s="450">
        <f>L125</f>
        <v>45773</v>
      </c>
      <c r="I125" s="400"/>
      <c r="J125" s="400"/>
      <c r="K125" s="215" t="s">
        <v>470</v>
      </c>
      <c r="L125" s="242">
        <v>45773</v>
      </c>
      <c r="M125" s="242">
        <v>45777</v>
      </c>
      <c r="N125" s="215" t="s">
        <v>471</v>
      </c>
      <c r="O125" s="215">
        <f>M125-L125</f>
        <v>4</v>
      </c>
      <c r="P125" s="215">
        <f>L126-M125</f>
        <v>14</v>
      </c>
      <c r="Q125" s="443"/>
      <c r="R125" s="443" t="s">
        <v>495</v>
      </c>
      <c r="S125" s="443" t="s">
        <v>485</v>
      </c>
      <c r="T125" s="443" t="s">
        <v>399</v>
      </c>
      <c r="U125" s="443">
        <f>M126-L126</f>
        <v>21</v>
      </c>
    </row>
    <row r="126" spans="1:21" x14ac:dyDescent="0.3">
      <c r="A126" s="276">
        <v>9</v>
      </c>
      <c r="B126" s="424"/>
      <c r="C126" s="453"/>
      <c r="D126" s="454"/>
      <c r="E126" s="443"/>
      <c r="F126" s="392"/>
      <c r="G126" s="455"/>
      <c r="H126" s="452"/>
      <c r="I126" s="401"/>
      <c r="J126" s="401"/>
      <c r="K126" s="215" t="s">
        <v>472</v>
      </c>
      <c r="L126" s="242">
        <v>45791</v>
      </c>
      <c r="M126" s="242">
        <v>45812</v>
      </c>
      <c r="N126" s="224" t="s">
        <v>485</v>
      </c>
      <c r="O126" s="215">
        <f>M126-L126</f>
        <v>21</v>
      </c>
      <c r="P126" s="215"/>
      <c r="Q126" s="443"/>
      <c r="R126" s="443"/>
      <c r="S126" s="443"/>
      <c r="T126" s="443"/>
      <c r="U126" s="443"/>
    </row>
    <row r="127" spans="1:21" ht="28" customHeight="1" x14ac:dyDescent="0.3">
      <c r="A127" s="402">
        <v>10</v>
      </c>
      <c r="B127" s="276" t="s">
        <v>627</v>
      </c>
      <c r="C127" s="404" t="s">
        <v>683</v>
      </c>
      <c r="D127" s="408" t="s">
        <v>692</v>
      </c>
      <c r="E127" s="391" t="s">
        <v>693</v>
      </c>
      <c r="F127" s="391" t="s">
        <v>469</v>
      </c>
      <c r="G127" s="450">
        <v>45754</v>
      </c>
      <c r="H127" s="450">
        <f>L127</f>
        <v>45791</v>
      </c>
      <c r="I127" s="400"/>
      <c r="J127" s="400"/>
      <c r="K127" s="215" t="s">
        <v>470</v>
      </c>
      <c r="L127" s="242">
        <v>45791</v>
      </c>
      <c r="M127" s="242">
        <v>45809</v>
      </c>
      <c r="N127" s="215" t="s">
        <v>471</v>
      </c>
      <c r="O127" s="215">
        <f>M127-L127</f>
        <v>18</v>
      </c>
      <c r="P127" s="215">
        <f>L128-M127</f>
        <v>3</v>
      </c>
      <c r="Q127" s="391"/>
      <c r="R127" s="391" t="s">
        <v>502</v>
      </c>
      <c r="S127" s="391" t="str">
        <f>N127</f>
        <v>CAT - III</v>
      </c>
      <c r="T127" s="391" t="s">
        <v>476</v>
      </c>
      <c r="U127" s="391">
        <f ca="1">U1-L127</f>
        <v>58</v>
      </c>
    </row>
    <row r="128" spans="1:21" x14ac:dyDescent="0.3">
      <c r="A128" s="403"/>
      <c r="B128" s="276"/>
      <c r="C128" s="405"/>
      <c r="D128" s="409"/>
      <c r="E128" s="392"/>
      <c r="F128" s="392"/>
      <c r="G128" s="452"/>
      <c r="H128" s="452"/>
      <c r="I128" s="401"/>
      <c r="J128" s="401"/>
      <c r="K128" s="215" t="s">
        <v>472</v>
      </c>
      <c r="L128" s="242">
        <v>45812</v>
      </c>
      <c r="M128" s="242"/>
      <c r="N128" s="215"/>
      <c r="O128" s="215">
        <f ca="1">O1-L128</f>
        <v>37</v>
      </c>
      <c r="P128" s="215"/>
      <c r="Q128" s="392"/>
      <c r="R128" s="392"/>
      <c r="S128" s="392"/>
      <c r="T128" s="392"/>
      <c r="U128" s="392"/>
    </row>
    <row r="129" spans="1:21" ht="28" x14ac:dyDescent="0.3">
      <c r="A129" s="276">
        <v>11</v>
      </c>
      <c r="B129" s="276" t="s">
        <v>627</v>
      </c>
      <c r="C129" s="277" t="s">
        <v>683</v>
      </c>
      <c r="D129" s="278" t="s">
        <v>694</v>
      </c>
      <c r="E129" s="215" t="s">
        <v>695</v>
      </c>
      <c r="F129" s="215" t="s">
        <v>469</v>
      </c>
      <c r="G129" s="242">
        <v>45811</v>
      </c>
      <c r="H129" s="242">
        <v>45828</v>
      </c>
      <c r="I129" s="243"/>
      <c r="J129" s="243">
        <f>J101+7</f>
        <v>45828</v>
      </c>
      <c r="K129" s="215"/>
      <c r="L129" s="242"/>
      <c r="M129" s="242"/>
      <c r="N129" s="215"/>
      <c r="O129" s="215"/>
      <c r="P129" s="215"/>
      <c r="Q129" s="215"/>
      <c r="R129" s="215"/>
      <c r="S129" s="215"/>
      <c r="T129" s="215"/>
      <c r="U129" s="215"/>
    </row>
    <row r="130" spans="1:21" ht="28" x14ac:dyDescent="0.3">
      <c r="A130" s="424">
        <v>12</v>
      </c>
      <c r="B130" s="276" t="s">
        <v>627</v>
      </c>
      <c r="C130" s="277" t="s">
        <v>683</v>
      </c>
      <c r="D130" s="278" t="s">
        <v>696</v>
      </c>
      <c r="E130" s="215" t="s">
        <v>697</v>
      </c>
      <c r="F130" s="215" t="s">
        <v>469</v>
      </c>
      <c r="G130" s="242">
        <v>45808</v>
      </c>
      <c r="H130" s="242">
        <v>45828</v>
      </c>
      <c r="I130" s="243"/>
      <c r="J130" s="243">
        <f>J102+7</f>
        <v>45828</v>
      </c>
      <c r="K130" s="215"/>
      <c r="L130" s="242"/>
      <c r="M130" s="242"/>
      <c r="N130" s="215"/>
      <c r="O130" s="215"/>
      <c r="P130" s="215"/>
      <c r="Q130" s="215"/>
      <c r="R130" s="215"/>
      <c r="S130" s="215"/>
      <c r="T130" s="215"/>
      <c r="U130" s="215"/>
    </row>
    <row r="131" spans="1:21" ht="28" x14ac:dyDescent="0.3">
      <c r="A131" s="424"/>
      <c r="B131" s="276" t="s">
        <v>627</v>
      </c>
      <c r="C131" s="277" t="s">
        <v>683</v>
      </c>
      <c r="D131" s="278" t="s">
        <v>698</v>
      </c>
      <c r="E131" s="215" t="s">
        <v>699</v>
      </c>
      <c r="F131" s="215" t="s">
        <v>469</v>
      </c>
      <c r="G131" s="242">
        <v>45831</v>
      </c>
      <c r="H131" s="234">
        <f>G131</f>
        <v>45831</v>
      </c>
      <c r="I131" s="243"/>
      <c r="J131" s="243">
        <v>45831</v>
      </c>
      <c r="K131" s="215"/>
      <c r="L131" s="242"/>
      <c r="M131" s="242"/>
      <c r="N131" s="215"/>
      <c r="O131" s="215"/>
      <c r="P131" s="215"/>
      <c r="Q131" s="215"/>
      <c r="R131" s="215"/>
      <c r="S131" s="215"/>
      <c r="T131" s="215"/>
      <c r="U131" s="215"/>
    </row>
    <row r="132" spans="1:21" ht="28" x14ac:dyDescent="0.3">
      <c r="A132" s="275">
        <v>13</v>
      </c>
      <c r="B132" s="276" t="s">
        <v>627</v>
      </c>
      <c r="C132" s="277" t="s">
        <v>683</v>
      </c>
      <c r="D132" s="278" t="s">
        <v>700</v>
      </c>
      <c r="E132" s="215" t="s">
        <v>701</v>
      </c>
      <c r="F132" s="215" t="s">
        <v>479</v>
      </c>
      <c r="G132" s="242">
        <v>45829</v>
      </c>
      <c r="H132" s="234">
        <f>G132</f>
        <v>45829</v>
      </c>
      <c r="I132" s="243"/>
      <c r="J132" s="243">
        <v>45829</v>
      </c>
      <c r="K132" s="215"/>
      <c r="L132" s="242"/>
      <c r="M132" s="242"/>
      <c r="N132" s="215"/>
      <c r="O132" s="215"/>
      <c r="P132" s="215"/>
      <c r="Q132" s="215"/>
      <c r="R132" s="215"/>
      <c r="S132" s="215"/>
      <c r="T132" s="215"/>
      <c r="U132" s="215"/>
    </row>
    <row r="133" spans="1:21" s="259" customFormat="1" ht="29.15" customHeight="1" x14ac:dyDescent="0.3">
      <c r="A133" s="283"/>
      <c r="B133" s="284" t="s">
        <v>627</v>
      </c>
      <c r="C133" s="425" t="s">
        <v>683</v>
      </c>
      <c r="D133" s="428" t="s">
        <v>702</v>
      </c>
      <c r="E133" s="421" t="s">
        <v>703</v>
      </c>
      <c r="F133" s="421" t="s">
        <v>469</v>
      </c>
      <c r="G133" s="410">
        <v>45783</v>
      </c>
      <c r="H133" s="410">
        <f>L133</f>
        <v>45792</v>
      </c>
      <c r="I133" s="226"/>
      <c r="J133" s="226"/>
      <c r="K133" s="224" t="s">
        <v>470</v>
      </c>
      <c r="L133" s="225">
        <v>45792</v>
      </c>
      <c r="M133" s="225">
        <v>45813</v>
      </c>
      <c r="N133" s="224" t="s">
        <v>471</v>
      </c>
      <c r="O133" s="224">
        <f ca="1">O1-L133</f>
        <v>57</v>
      </c>
      <c r="P133" s="285"/>
      <c r="Q133" s="511">
        <f>M133</f>
        <v>45813</v>
      </c>
      <c r="R133" s="508" t="s">
        <v>495</v>
      </c>
      <c r="S133" s="508" t="str">
        <f>N133</f>
        <v>CAT - III</v>
      </c>
      <c r="T133" s="508" t="s">
        <v>473</v>
      </c>
      <c r="U133" s="285">
        <f ca="1">U1-L133</f>
        <v>57</v>
      </c>
    </row>
    <row r="134" spans="1:21" s="259" customFormat="1" x14ac:dyDescent="0.3">
      <c r="A134" s="283"/>
      <c r="B134" s="284"/>
      <c r="C134" s="427"/>
      <c r="D134" s="510"/>
      <c r="E134" s="423"/>
      <c r="F134" s="423"/>
      <c r="G134" s="412"/>
      <c r="H134" s="412"/>
      <c r="I134" s="226"/>
      <c r="J134" s="226"/>
      <c r="K134" s="224" t="s">
        <v>472</v>
      </c>
      <c r="L134" s="225">
        <v>45813</v>
      </c>
      <c r="M134" s="225"/>
      <c r="N134" s="224"/>
      <c r="O134" s="224"/>
      <c r="P134" s="285"/>
      <c r="Q134" s="512"/>
      <c r="R134" s="509"/>
      <c r="S134" s="509"/>
      <c r="T134" s="509"/>
      <c r="U134" s="285"/>
    </row>
    <row r="135" spans="1:21" ht="28" x14ac:dyDescent="0.3">
      <c r="A135" s="276">
        <v>14</v>
      </c>
      <c r="B135" s="276" t="s">
        <v>627</v>
      </c>
      <c r="C135" s="277" t="s">
        <v>683</v>
      </c>
      <c r="D135" s="278" t="s">
        <v>704</v>
      </c>
      <c r="E135" s="215" t="s">
        <v>705</v>
      </c>
      <c r="F135" s="215" t="s">
        <v>469</v>
      </c>
      <c r="G135" s="242">
        <v>45783</v>
      </c>
      <c r="H135" s="242">
        <f>L135</f>
        <v>45791</v>
      </c>
      <c r="I135" s="243"/>
      <c r="J135" s="243"/>
      <c r="K135" s="215" t="s">
        <v>470</v>
      </c>
      <c r="L135" s="242">
        <v>45791</v>
      </c>
      <c r="M135" s="242"/>
      <c r="N135" s="215"/>
      <c r="O135" s="215">
        <f ca="1">O1-L135</f>
        <v>58</v>
      </c>
      <c r="P135" s="215"/>
      <c r="Q135" s="215"/>
      <c r="R135" s="215" t="s">
        <v>495</v>
      </c>
      <c r="S135" s="215"/>
      <c r="T135" s="215" t="s">
        <v>473</v>
      </c>
      <c r="U135" s="215">
        <f ca="1">U1-L135</f>
        <v>58</v>
      </c>
    </row>
    <row r="136" spans="1:21" x14ac:dyDescent="0.3">
      <c r="A136" s="276">
        <v>15</v>
      </c>
      <c r="B136" s="424" t="s">
        <v>627</v>
      </c>
      <c r="C136" s="453" t="s">
        <v>683</v>
      </c>
      <c r="D136" s="454" t="s">
        <v>706</v>
      </c>
      <c r="E136" s="443" t="s">
        <v>707</v>
      </c>
      <c r="F136" s="443" t="s">
        <v>469</v>
      </c>
      <c r="G136" s="455">
        <v>45755</v>
      </c>
      <c r="H136" s="450">
        <f>L136</f>
        <v>45755</v>
      </c>
      <c r="I136" s="243"/>
      <c r="J136" s="243"/>
      <c r="K136" s="215" t="s">
        <v>470</v>
      </c>
      <c r="L136" s="242">
        <v>45755</v>
      </c>
      <c r="M136" s="242">
        <v>45770</v>
      </c>
      <c r="N136" s="215" t="s">
        <v>471</v>
      </c>
      <c r="O136" s="215">
        <f>M136-L136</f>
        <v>15</v>
      </c>
      <c r="P136" s="215">
        <f>L137-M136</f>
        <v>18</v>
      </c>
      <c r="Q136" s="443"/>
      <c r="R136" s="443" t="s">
        <v>502</v>
      </c>
      <c r="S136" s="443" t="str">
        <f>N137</f>
        <v>CAT - III</v>
      </c>
      <c r="T136" s="443" t="s">
        <v>476</v>
      </c>
      <c r="U136" s="443">
        <f ca="1">U1-L137</f>
        <v>61</v>
      </c>
    </row>
    <row r="137" spans="1:21" x14ac:dyDescent="0.3">
      <c r="A137" s="276">
        <v>1</v>
      </c>
      <c r="B137" s="424"/>
      <c r="C137" s="453"/>
      <c r="D137" s="454"/>
      <c r="E137" s="443"/>
      <c r="F137" s="443"/>
      <c r="G137" s="455"/>
      <c r="H137" s="452"/>
      <c r="I137" s="243"/>
      <c r="J137" s="243"/>
      <c r="K137" s="215" t="s">
        <v>472</v>
      </c>
      <c r="L137" s="242">
        <v>45788</v>
      </c>
      <c r="M137" s="242">
        <v>45809</v>
      </c>
      <c r="N137" s="215" t="s">
        <v>471</v>
      </c>
      <c r="O137" s="215">
        <f>M137-L137</f>
        <v>21</v>
      </c>
      <c r="P137" s="215">
        <f ca="1">O1-M137</f>
        <v>40</v>
      </c>
      <c r="Q137" s="443"/>
      <c r="R137" s="443"/>
      <c r="S137" s="443"/>
      <c r="T137" s="443"/>
      <c r="U137" s="443"/>
    </row>
    <row r="138" spans="1:21" x14ac:dyDescent="0.3">
      <c r="A138" s="276">
        <v>2</v>
      </c>
      <c r="B138" s="424" t="s">
        <v>627</v>
      </c>
      <c r="C138" s="453" t="s">
        <v>683</v>
      </c>
      <c r="D138" s="454" t="s">
        <v>396</v>
      </c>
      <c r="E138" s="443" t="s">
        <v>708</v>
      </c>
      <c r="F138" s="443" t="s">
        <v>469</v>
      </c>
      <c r="G138" s="455">
        <v>45755</v>
      </c>
      <c r="H138" s="450">
        <f>L138</f>
        <v>45755</v>
      </c>
      <c r="I138" s="243"/>
      <c r="J138" s="243"/>
      <c r="K138" s="215" t="s">
        <v>470</v>
      </c>
      <c r="L138" s="242">
        <v>45755</v>
      </c>
      <c r="M138" s="242">
        <v>45770</v>
      </c>
      <c r="N138" s="215" t="s">
        <v>471</v>
      </c>
      <c r="O138" s="215">
        <f>M138-L138</f>
        <v>15</v>
      </c>
      <c r="P138" s="215">
        <f>L139-M138</f>
        <v>17</v>
      </c>
      <c r="Q138" s="443"/>
      <c r="R138" s="443" t="s">
        <v>502</v>
      </c>
      <c r="S138" s="443" t="str">
        <f>N139</f>
        <v>CAT - III</v>
      </c>
      <c r="T138" s="443" t="s">
        <v>476</v>
      </c>
      <c r="U138" s="443">
        <f ca="1">U1-L139</f>
        <v>62</v>
      </c>
    </row>
    <row r="139" spans="1:21" x14ac:dyDescent="0.3">
      <c r="A139" s="276">
        <v>3</v>
      </c>
      <c r="B139" s="424"/>
      <c r="C139" s="453"/>
      <c r="D139" s="454"/>
      <c r="E139" s="443"/>
      <c r="F139" s="443"/>
      <c r="G139" s="455"/>
      <c r="H139" s="452"/>
      <c r="I139" s="243"/>
      <c r="J139" s="243"/>
      <c r="K139" s="215" t="s">
        <v>472</v>
      </c>
      <c r="L139" s="242">
        <v>45787</v>
      </c>
      <c r="M139" s="242">
        <v>45809</v>
      </c>
      <c r="N139" s="215" t="s">
        <v>471</v>
      </c>
      <c r="O139" s="215">
        <f>M139-L139</f>
        <v>22</v>
      </c>
      <c r="P139" s="215">
        <f ca="1">O1-M139</f>
        <v>40</v>
      </c>
      <c r="Q139" s="443"/>
      <c r="R139" s="443"/>
      <c r="S139" s="443"/>
      <c r="T139" s="443"/>
      <c r="U139" s="443"/>
    </row>
    <row r="140" spans="1:21" ht="28" x14ac:dyDescent="0.3">
      <c r="A140" s="276">
        <v>4</v>
      </c>
      <c r="B140" s="276" t="s">
        <v>627</v>
      </c>
      <c r="C140" s="277" t="s">
        <v>683</v>
      </c>
      <c r="D140" s="278" t="s">
        <v>709</v>
      </c>
      <c r="E140" s="215" t="s">
        <v>710</v>
      </c>
      <c r="F140" s="215" t="s">
        <v>479</v>
      </c>
      <c r="G140" s="242">
        <v>45807</v>
      </c>
      <c r="H140" s="234">
        <v>45821</v>
      </c>
      <c r="I140" s="243"/>
      <c r="J140" s="243">
        <v>45807</v>
      </c>
      <c r="K140" s="215"/>
      <c r="L140" s="242"/>
      <c r="M140" s="242"/>
      <c r="N140" s="215"/>
      <c r="O140" s="215"/>
      <c r="P140" s="215"/>
      <c r="Q140" s="215"/>
      <c r="R140" s="215"/>
      <c r="S140" s="215"/>
      <c r="T140" s="215"/>
      <c r="U140" s="215"/>
    </row>
    <row r="141" spans="1:21" ht="28" x14ac:dyDescent="0.3">
      <c r="A141" s="276">
        <v>5</v>
      </c>
      <c r="B141" s="276" t="s">
        <v>627</v>
      </c>
      <c r="C141" s="277" t="s">
        <v>683</v>
      </c>
      <c r="D141" s="278" t="s">
        <v>711</v>
      </c>
      <c r="E141" s="215" t="s">
        <v>712</v>
      </c>
      <c r="F141" s="215" t="s">
        <v>479</v>
      </c>
      <c r="G141" s="242">
        <v>45845</v>
      </c>
      <c r="H141" s="234">
        <f>G141</f>
        <v>45845</v>
      </c>
      <c r="I141" s="243"/>
      <c r="J141" s="243">
        <v>45845</v>
      </c>
      <c r="K141" s="215"/>
      <c r="L141" s="242"/>
      <c r="M141" s="242"/>
      <c r="N141" s="215"/>
      <c r="O141" s="215"/>
      <c r="P141" s="215"/>
      <c r="Q141" s="215"/>
      <c r="R141" s="215"/>
      <c r="S141" s="215"/>
      <c r="T141" s="215"/>
      <c r="U141" s="215"/>
    </row>
    <row r="142" spans="1:21" ht="28" x14ac:dyDescent="0.3">
      <c r="A142" s="276">
        <v>6</v>
      </c>
      <c r="B142" s="276" t="s">
        <v>713</v>
      </c>
      <c r="C142" s="277" t="s">
        <v>714</v>
      </c>
      <c r="D142" s="278" t="s">
        <v>715</v>
      </c>
      <c r="E142" s="215" t="s">
        <v>716</v>
      </c>
      <c r="F142" s="215" t="s">
        <v>469</v>
      </c>
      <c r="G142" s="242">
        <v>45803</v>
      </c>
      <c r="H142" s="242">
        <f>L142</f>
        <v>45804</v>
      </c>
      <c r="I142" s="279"/>
      <c r="J142" s="243"/>
      <c r="K142" s="215" t="s">
        <v>470</v>
      </c>
      <c r="L142" s="242">
        <v>45804</v>
      </c>
      <c r="M142" s="242"/>
      <c r="N142" s="215"/>
      <c r="O142" s="215">
        <f ca="1">O1-L142</f>
        <v>45</v>
      </c>
      <c r="P142" s="215"/>
      <c r="Q142" s="215"/>
      <c r="R142" s="215" t="s">
        <v>495</v>
      </c>
      <c r="S142" s="215"/>
      <c r="T142" s="215" t="s">
        <v>473</v>
      </c>
      <c r="U142" s="215">
        <f ca="1">U1-L142</f>
        <v>45</v>
      </c>
    </row>
    <row r="143" spans="1:21" ht="28" x14ac:dyDescent="0.3">
      <c r="A143" s="276"/>
      <c r="B143" s="276"/>
      <c r="C143" s="277" t="s">
        <v>714</v>
      </c>
      <c r="D143" s="278" t="s">
        <v>717</v>
      </c>
      <c r="E143" s="215" t="s">
        <v>718</v>
      </c>
      <c r="F143" s="215" t="s">
        <v>469</v>
      </c>
      <c r="G143" s="242">
        <v>45817</v>
      </c>
      <c r="H143" s="242">
        <f>L143</f>
        <v>45813</v>
      </c>
      <c r="I143" s="279"/>
      <c r="J143" s="243"/>
      <c r="K143" s="215" t="s">
        <v>470</v>
      </c>
      <c r="L143" s="242">
        <v>45813</v>
      </c>
      <c r="M143" s="242"/>
      <c r="N143" s="215"/>
      <c r="O143" s="215"/>
      <c r="P143" s="215"/>
      <c r="Q143" s="215"/>
      <c r="R143" s="215"/>
      <c r="S143" s="215"/>
      <c r="T143" s="215"/>
      <c r="U143" s="215"/>
    </row>
    <row r="144" spans="1:21" ht="28" x14ac:dyDescent="0.3">
      <c r="A144" s="276">
        <v>7</v>
      </c>
      <c r="B144" s="276" t="s">
        <v>713</v>
      </c>
      <c r="C144" s="277" t="s">
        <v>714</v>
      </c>
      <c r="D144" s="278" t="s">
        <v>719</v>
      </c>
      <c r="E144" s="215" t="s">
        <v>720</v>
      </c>
      <c r="F144" s="215" t="s">
        <v>469</v>
      </c>
      <c r="G144" s="242">
        <v>45816</v>
      </c>
      <c r="H144" s="242">
        <v>45834</v>
      </c>
      <c r="I144" s="243" t="s">
        <v>389</v>
      </c>
      <c r="J144" s="243"/>
      <c r="K144" s="215"/>
      <c r="L144" s="242"/>
      <c r="M144" s="242"/>
      <c r="N144" s="215"/>
      <c r="O144" s="215"/>
      <c r="P144" s="215"/>
      <c r="Q144" s="215"/>
      <c r="R144" s="215"/>
      <c r="S144" s="215"/>
      <c r="T144" s="215"/>
      <c r="U144" s="215"/>
    </row>
    <row r="145" spans="1:21" ht="28" x14ac:dyDescent="0.3">
      <c r="A145" s="276">
        <v>8</v>
      </c>
      <c r="B145" s="276" t="s">
        <v>713</v>
      </c>
      <c r="C145" s="277" t="s">
        <v>714</v>
      </c>
      <c r="D145" s="278" t="s">
        <v>721</v>
      </c>
      <c r="E145" s="215" t="s">
        <v>722</v>
      </c>
      <c r="F145" s="215" t="s">
        <v>469</v>
      </c>
      <c r="G145" s="242">
        <v>45805</v>
      </c>
      <c r="H145" s="242">
        <f>L145</f>
        <v>45817</v>
      </c>
      <c r="I145" s="243" t="s">
        <v>389</v>
      </c>
      <c r="J145" s="243"/>
      <c r="K145" s="215" t="s">
        <v>470</v>
      </c>
      <c r="L145" s="242">
        <v>45817</v>
      </c>
      <c r="M145" s="242"/>
      <c r="N145" s="215"/>
      <c r="O145" s="215"/>
      <c r="P145" s="215"/>
      <c r="Q145" s="215"/>
      <c r="R145" s="215" t="s">
        <v>495</v>
      </c>
      <c r="S145" s="215"/>
      <c r="T145" s="215" t="s">
        <v>473</v>
      </c>
      <c r="U145" s="215"/>
    </row>
    <row r="146" spans="1:21" ht="28" x14ac:dyDescent="0.3">
      <c r="A146" s="276">
        <v>9</v>
      </c>
      <c r="B146" s="276" t="s">
        <v>713</v>
      </c>
      <c r="C146" s="277" t="s">
        <v>714</v>
      </c>
      <c r="D146" s="278" t="s">
        <v>723</v>
      </c>
      <c r="E146" s="215" t="s">
        <v>724</v>
      </c>
      <c r="F146" s="215" t="s">
        <v>469</v>
      </c>
      <c r="G146" s="242">
        <v>45805</v>
      </c>
      <c r="H146" s="242">
        <f>L146</f>
        <v>45817</v>
      </c>
      <c r="I146" s="243" t="s">
        <v>389</v>
      </c>
      <c r="J146" s="243"/>
      <c r="K146" s="215" t="s">
        <v>470</v>
      </c>
      <c r="L146" s="242">
        <v>45817</v>
      </c>
      <c r="M146" s="242"/>
      <c r="N146" s="215"/>
      <c r="O146" s="215"/>
      <c r="P146" s="215"/>
      <c r="Q146" s="215"/>
      <c r="R146" s="215" t="s">
        <v>495</v>
      </c>
      <c r="S146" s="215"/>
      <c r="T146" s="215" t="s">
        <v>473</v>
      </c>
      <c r="U146" s="215"/>
    </row>
    <row r="147" spans="1:21" ht="28" x14ac:dyDescent="0.3">
      <c r="A147" s="276">
        <v>10</v>
      </c>
      <c r="B147" s="276" t="s">
        <v>713</v>
      </c>
      <c r="C147" s="277" t="s">
        <v>714</v>
      </c>
      <c r="D147" s="278" t="s">
        <v>725</v>
      </c>
      <c r="E147" s="215" t="s">
        <v>726</v>
      </c>
      <c r="F147" s="215" t="s">
        <v>469</v>
      </c>
      <c r="G147" s="242">
        <v>45820</v>
      </c>
      <c r="H147" s="242">
        <v>45826</v>
      </c>
      <c r="I147" s="243" t="s">
        <v>389</v>
      </c>
      <c r="J147" s="243"/>
      <c r="K147" s="215"/>
      <c r="L147" s="242"/>
      <c r="M147" s="242"/>
      <c r="N147" s="215"/>
      <c r="O147" s="215"/>
      <c r="P147" s="215"/>
      <c r="Q147" s="215"/>
      <c r="R147" s="215"/>
      <c r="S147" s="215"/>
      <c r="T147" s="215"/>
      <c r="U147" s="215"/>
    </row>
    <row r="148" spans="1:21" ht="28" x14ac:dyDescent="0.3">
      <c r="A148" s="276">
        <v>11</v>
      </c>
      <c r="B148" s="276" t="s">
        <v>713</v>
      </c>
      <c r="C148" s="277" t="s">
        <v>714</v>
      </c>
      <c r="D148" s="278" t="s">
        <v>727</v>
      </c>
      <c r="E148" s="215" t="s">
        <v>728</v>
      </c>
      <c r="F148" s="215" t="s">
        <v>469</v>
      </c>
      <c r="G148" s="242">
        <v>45814</v>
      </c>
      <c r="H148" s="242">
        <v>45826</v>
      </c>
      <c r="I148" s="243" t="s">
        <v>389</v>
      </c>
      <c r="J148" s="243"/>
      <c r="K148" s="215"/>
      <c r="L148" s="242"/>
      <c r="M148" s="242"/>
      <c r="N148" s="215"/>
      <c r="O148" s="215"/>
      <c r="P148" s="215"/>
      <c r="Q148" s="215"/>
      <c r="R148" s="215"/>
      <c r="S148" s="215"/>
      <c r="T148" s="215"/>
      <c r="U148" s="215"/>
    </row>
    <row r="149" spans="1:21" ht="28" x14ac:dyDescent="0.3">
      <c r="A149" s="276">
        <v>12</v>
      </c>
      <c r="B149" s="276" t="s">
        <v>713</v>
      </c>
      <c r="C149" s="277" t="s">
        <v>714</v>
      </c>
      <c r="D149" s="278" t="s">
        <v>729</v>
      </c>
      <c r="E149" s="215" t="s">
        <v>730</v>
      </c>
      <c r="F149" s="215" t="s">
        <v>469</v>
      </c>
      <c r="G149" s="242">
        <f>[2]Sheet4!E41</f>
        <v>45834</v>
      </c>
      <c r="H149" s="234">
        <f>G149</f>
        <v>45834</v>
      </c>
      <c r="I149" s="243" t="s">
        <v>389</v>
      </c>
      <c r="J149" s="243"/>
      <c r="K149" s="215"/>
      <c r="L149" s="242"/>
      <c r="M149" s="242"/>
      <c r="N149" s="215"/>
      <c r="O149" s="215"/>
      <c r="P149" s="215"/>
      <c r="Q149" s="215"/>
      <c r="R149" s="215"/>
      <c r="S149" s="215"/>
      <c r="T149" s="215"/>
      <c r="U149" s="215"/>
    </row>
    <row r="150" spans="1:21" ht="28" x14ac:dyDescent="0.3">
      <c r="A150" s="276">
        <v>13</v>
      </c>
      <c r="B150" s="276" t="s">
        <v>713</v>
      </c>
      <c r="C150" s="277" t="s">
        <v>714</v>
      </c>
      <c r="D150" s="278" t="s">
        <v>731</v>
      </c>
      <c r="E150" s="215" t="s">
        <v>732</v>
      </c>
      <c r="F150" s="215" t="s">
        <v>469</v>
      </c>
      <c r="G150" s="242">
        <f>[2]Sheet4!E42</f>
        <v>45848</v>
      </c>
      <c r="H150" s="234">
        <f>G150</f>
        <v>45848</v>
      </c>
      <c r="I150" s="243" t="s">
        <v>389</v>
      </c>
      <c r="J150" s="243"/>
      <c r="K150" s="215"/>
      <c r="L150" s="242"/>
      <c r="M150" s="242"/>
      <c r="N150" s="215"/>
      <c r="O150" s="215"/>
      <c r="P150" s="215"/>
      <c r="Q150" s="215"/>
      <c r="R150" s="215"/>
      <c r="S150" s="215"/>
      <c r="T150" s="215"/>
      <c r="U150" s="215"/>
    </row>
    <row r="151" spans="1:21" ht="28" x14ac:dyDescent="0.3">
      <c r="A151" s="276">
        <v>14</v>
      </c>
      <c r="B151" s="276" t="s">
        <v>713</v>
      </c>
      <c r="C151" s="277" t="s">
        <v>714</v>
      </c>
      <c r="D151" s="278" t="s">
        <v>733</v>
      </c>
      <c r="E151" s="215" t="s">
        <v>734</v>
      </c>
      <c r="F151" s="215" t="s">
        <v>469</v>
      </c>
      <c r="G151" s="242">
        <v>45788</v>
      </c>
      <c r="H151" s="242">
        <v>45824</v>
      </c>
      <c r="I151" s="243" t="s">
        <v>389</v>
      </c>
      <c r="J151" s="243">
        <v>45814</v>
      </c>
      <c r="K151" s="215"/>
      <c r="L151" s="242"/>
      <c r="M151" s="242"/>
      <c r="N151" s="215"/>
      <c r="O151" s="215"/>
      <c r="P151" s="215"/>
      <c r="Q151" s="215"/>
      <c r="R151" s="215"/>
      <c r="S151" s="215"/>
      <c r="T151" s="215"/>
      <c r="U151" s="215"/>
    </row>
    <row r="152" spans="1:21" ht="28" x14ac:dyDescent="0.3">
      <c r="A152" s="276">
        <v>15</v>
      </c>
      <c r="B152" s="276" t="s">
        <v>713</v>
      </c>
      <c r="C152" s="277" t="s">
        <v>714</v>
      </c>
      <c r="D152" s="278" t="s">
        <v>735</v>
      </c>
      <c r="E152" s="215" t="s">
        <v>736</v>
      </c>
      <c r="F152" s="215" t="s">
        <v>469</v>
      </c>
      <c r="G152" s="242">
        <f>[2]Sheet4!E44</f>
        <v>45826</v>
      </c>
      <c r="H152" s="234">
        <f t="shared" ref="H152:H174" si="2">G152</f>
        <v>45826</v>
      </c>
      <c r="I152" s="243" t="s">
        <v>389</v>
      </c>
      <c r="J152" s="243"/>
      <c r="K152" s="215"/>
      <c r="L152" s="242"/>
      <c r="M152" s="242"/>
      <c r="N152" s="215"/>
      <c r="O152" s="215"/>
      <c r="P152" s="215"/>
      <c r="Q152" s="215"/>
      <c r="R152" s="215"/>
      <c r="S152" s="215"/>
      <c r="T152" s="215"/>
      <c r="U152" s="215"/>
    </row>
    <row r="153" spans="1:21" ht="28" x14ac:dyDescent="0.3">
      <c r="A153" s="276">
        <v>16</v>
      </c>
      <c r="B153" s="276" t="s">
        <v>713</v>
      </c>
      <c r="C153" s="277" t="s">
        <v>714</v>
      </c>
      <c r="D153" s="278" t="s">
        <v>737</v>
      </c>
      <c r="E153" s="215" t="s">
        <v>738</v>
      </c>
      <c r="F153" s="215" t="s">
        <v>469</v>
      </c>
      <c r="G153" s="242">
        <f>[2]Sheet4!E45</f>
        <v>45826</v>
      </c>
      <c r="H153" s="234">
        <f t="shared" si="2"/>
        <v>45826</v>
      </c>
      <c r="I153" s="243" t="s">
        <v>389</v>
      </c>
      <c r="J153" s="243"/>
      <c r="K153" s="215"/>
      <c r="L153" s="242"/>
      <c r="M153" s="242"/>
      <c r="N153" s="215"/>
      <c r="O153" s="215"/>
      <c r="P153" s="215"/>
      <c r="Q153" s="215"/>
      <c r="R153" s="215"/>
      <c r="S153" s="215"/>
      <c r="T153" s="215"/>
      <c r="U153" s="215"/>
    </row>
    <row r="154" spans="1:21" ht="28" x14ac:dyDescent="0.3">
      <c r="A154" s="276">
        <v>17</v>
      </c>
      <c r="B154" s="276" t="s">
        <v>713</v>
      </c>
      <c r="C154" s="277" t="s">
        <v>714</v>
      </c>
      <c r="D154" s="278" t="s">
        <v>739</v>
      </c>
      <c r="E154" s="215" t="s">
        <v>740</v>
      </c>
      <c r="F154" s="215" t="s">
        <v>469</v>
      </c>
      <c r="G154" s="242">
        <f>[2]Sheet4!E46</f>
        <v>45826</v>
      </c>
      <c r="H154" s="234">
        <f t="shared" si="2"/>
        <v>45826</v>
      </c>
      <c r="I154" s="243" t="s">
        <v>389</v>
      </c>
      <c r="J154" s="243"/>
      <c r="K154" s="215"/>
      <c r="L154" s="242"/>
      <c r="M154" s="242"/>
      <c r="N154" s="215"/>
      <c r="O154" s="215"/>
      <c r="P154" s="215"/>
      <c r="Q154" s="215"/>
      <c r="R154" s="215"/>
      <c r="S154" s="215"/>
      <c r="T154" s="215"/>
      <c r="U154" s="215"/>
    </row>
    <row r="155" spans="1:21" ht="28" x14ac:dyDescent="0.3">
      <c r="A155" s="276">
        <v>18</v>
      </c>
      <c r="B155" s="276" t="s">
        <v>713</v>
      </c>
      <c r="C155" s="277" t="s">
        <v>714</v>
      </c>
      <c r="D155" s="278" t="s">
        <v>741</v>
      </c>
      <c r="E155" s="215" t="s">
        <v>742</v>
      </c>
      <c r="F155" s="215" t="s">
        <v>469</v>
      </c>
      <c r="G155" s="242">
        <f>[2]Sheet4!E47</f>
        <v>45833</v>
      </c>
      <c r="H155" s="234">
        <f t="shared" si="2"/>
        <v>45833</v>
      </c>
      <c r="I155" s="243" t="s">
        <v>389</v>
      </c>
      <c r="J155" s="243"/>
      <c r="K155" s="215"/>
      <c r="L155" s="242"/>
      <c r="M155" s="242"/>
      <c r="N155" s="215"/>
      <c r="O155" s="215"/>
      <c r="P155" s="215"/>
      <c r="Q155" s="215"/>
      <c r="R155" s="215"/>
      <c r="S155" s="215"/>
      <c r="T155" s="215"/>
      <c r="U155" s="215"/>
    </row>
    <row r="156" spans="1:21" ht="28" x14ac:dyDescent="0.3">
      <c r="A156" s="276">
        <v>19</v>
      </c>
      <c r="B156" s="276" t="s">
        <v>713</v>
      </c>
      <c r="C156" s="277" t="s">
        <v>714</v>
      </c>
      <c r="D156" s="278" t="s">
        <v>743</v>
      </c>
      <c r="E156" s="215" t="s">
        <v>744</v>
      </c>
      <c r="F156" s="215" t="s">
        <v>479</v>
      </c>
      <c r="G156" s="242">
        <f>[2]Sheet4!E48</f>
        <v>45847</v>
      </c>
      <c r="H156" s="234">
        <f t="shared" si="2"/>
        <v>45847</v>
      </c>
      <c r="I156" s="243" t="s">
        <v>389</v>
      </c>
      <c r="J156" s="243"/>
      <c r="K156" s="215"/>
      <c r="L156" s="242"/>
      <c r="M156" s="242"/>
      <c r="N156" s="215"/>
      <c r="O156" s="215"/>
      <c r="P156" s="215"/>
      <c r="Q156" s="215"/>
      <c r="R156" s="215"/>
      <c r="S156" s="215"/>
      <c r="T156" s="215"/>
      <c r="U156" s="215"/>
    </row>
    <row r="157" spans="1:21" ht="28" x14ac:dyDescent="0.3">
      <c r="A157" s="276">
        <v>20</v>
      </c>
      <c r="B157" s="276" t="s">
        <v>713</v>
      </c>
      <c r="C157" s="277" t="s">
        <v>714</v>
      </c>
      <c r="D157" s="278" t="s">
        <v>745</v>
      </c>
      <c r="E157" s="215" t="s">
        <v>746</v>
      </c>
      <c r="F157" s="215" t="s">
        <v>479</v>
      </c>
      <c r="G157" s="242">
        <f>[2]Sheet4!E49</f>
        <v>45870</v>
      </c>
      <c r="H157" s="234">
        <f t="shared" si="2"/>
        <v>45870</v>
      </c>
      <c r="I157" s="243" t="s">
        <v>389</v>
      </c>
      <c r="J157" s="243"/>
      <c r="K157" s="215"/>
      <c r="L157" s="242"/>
      <c r="M157" s="242"/>
      <c r="N157" s="215"/>
      <c r="O157" s="215"/>
      <c r="P157" s="215"/>
      <c r="Q157" s="215"/>
      <c r="R157" s="215"/>
      <c r="S157" s="215"/>
      <c r="T157" s="215"/>
      <c r="U157" s="215"/>
    </row>
    <row r="158" spans="1:21" ht="28" x14ac:dyDescent="0.3">
      <c r="A158" s="276">
        <v>21</v>
      </c>
      <c r="B158" s="276" t="s">
        <v>713</v>
      </c>
      <c r="C158" s="277" t="s">
        <v>714</v>
      </c>
      <c r="D158" s="278" t="s">
        <v>747</v>
      </c>
      <c r="E158" s="215" t="s">
        <v>748</v>
      </c>
      <c r="F158" s="215" t="s">
        <v>469</v>
      </c>
      <c r="G158" s="242">
        <f>[2]Sheet4!E50</f>
        <v>45870</v>
      </c>
      <c r="H158" s="234">
        <f t="shared" si="2"/>
        <v>45870</v>
      </c>
      <c r="I158" s="243" t="s">
        <v>389</v>
      </c>
      <c r="J158" s="243"/>
      <c r="K158" s="215"/>
      <c r="L158" s="242"/>
      <c r="M158" s="242"/>
      <c r="N158" s="215"/>
      <c r="O158" s="215"/>
      <c r="P158" s="215"/>
      <c r="Q158" s="215"/>
      <c r="R158" s="215"/>
      <c r="S158" s="215"/>
      <c r="T158" s="215"/>
      <c r="U158" s="215"/>
    </row>
    <row r="159" spans="1:21" ht="28" x14ac:dyDescent="0.3">
      <c r="A159" s="276">
        <v>22</v>
      </c>
      <c r="B159" s="276" t="s">
        <v>713</v>
      </c>
      <c r="C159" s="277" t="s">
        <v>714</v>
      </c>
      <c r="D159" s="278" t="s">
        <v>749</v>
      </c>
      <c r="E159" s="215" t="s">
        <v>750</v>
      </c>
      <c r="F159" s="215" t="s">
        <v>479</v>
      </c>
      <c r="G159" s="242">
        <f>[2]Sheet4!E51</f>
        <v>45845</v>
      </c>
      <c r="H159" s="234">
        <f t="shared" si="2"/>
        <v>45845</v>
      </c>
      <c r="I159" s="243" t="s">
        <v>389</v>
      </c>
      <c r="J159" s="243"/>
      <c r="K159" s="215"/>
      <c r="L159" s="242"/>
      <c r="M159" s="242"/>
      <c r="N159" s="215"/>
      <c r="O159" s="215"/>
      <c r="P159" s="215"/>
      <c r="Q159" s="215"/>
      <c r="R159" s="215"/>
      <c r="S159" s="215"/>
      <c r="T159" s="215"/>
      <c r="U159" s="215"/>
    </row>
    <row r="160" spans="1:21" ht="28" x14ac:dyDescent="0.3">
      <c r="A160" s="276">
        <v>23</v>
      </c>
      <c r="B160" s="276" t="s">
        <v>713</v>
      </c>
      <c r="C160" s="277" t="s">
        <v>714</v>
      </c>
      <c r="D160" s="278" t="s">
        <v>751</v>
      </c>
      <c r="E160" s="215" t="s">
        <v>752</v>
      </c>
      <c r="F160" s="215" t="s">
        <v>469</v>
      </c>
      <c r="G160" s="242">
        <f>[2]Sheet4!E52</f>
        <v>45845</v>
      </c>
      <c r="H160" s="234">
        <f t="shared" si="2"/>
        <v>45845</v>
      </c>
      <c r="I160" s="243" t="s">
        <v>389</v>
      </c>
      <c r="J160" s="243"/>
      <c r="K160" s="215"/>
      <c r="L160" s="242"/>
      <c r="M160" s="242"/>
      <c r="N160" s="215"/>
      <c r="O160" s="215"/>
      <c r="P160" s="215"/>
      <c r="Q160" s="215"/>
      <c r="R160" s="215"/>
      <c r="S160" s="215"/>
      <c r="T160" s="215"/>
      <c r="U160" s="215"/>
    </row>
    <row r="161" spans="1:21" ht="28" x14ac:dyDescent="0.3">
      <c r="A161" s="276">
        <v>24</v>
      </c>
      <c r="B161" s="276" t="s">
        <v>713</v>
      </c>
      <c r="C161" s="277" t="s">
        <v>714</v>
      </c>
      <c r="D161" s="278" t="s">
        <v>753</v>
      </c>
      <c r="E161" s="215" t="s">
        <v>754</v>
      </c>
      <c r="F161" s="215" t="s">
        <v>479</v>
      </c>
      <c r="G161" s="242">
        <f>[2]Sheet4!E53</f>
        <v>45865</v>
      </c>
      <c r="H161" s="234">
        <f t="shared" si="2"/>
        <v>45865</v>
      </c>
      <c r="I161" s="243" t="s">
        <v>389</v>
      </c>
      <c r="J161" s="243"/>
      <c r="K161" s="215"/>
      <c r="L161" s="242"/>
      <c r="M161" s="242"/>
      <c r="N161" s="215"/>
      <c r="O161" s="215"/>
      <c r="P161" s="215"/>
      <c r="Q161" s="215"/>
      <c r="R161" s="215"/>
      <c r="S161" s="215"/>
      <c r="T161" s="215"/>
      <c r="U161" s="215"/>
    </row>
    <row r="162" spans="1:21" ht="28" x14ac:dyDescent="0.3">
      <c r="A162" s="276">
        <v>25</v>
      </c>
      <c r="B162" s="276" t="s">
        <v>713</v>
      </c>
      <c r="C162" s="277" t="s">
        <v>714</v>
      </c>
      <c r="D162" s="278" t="s">
        <v>755</v>
      </c>
      <c r="E162" s="215" t="s">
        <v>756</v>
      </c>
      <c r="F162" s="215" t="s">
        <v>469</v>
      </c>
      <c r="G162" s="242">
        <f>[2]Sheet4!E54</f>
        <v>45843</v>
      </c>
      <c r="H162" s="234">
        <f t="shared" si="2"/>
        <v>45843</v>
      </c>
      <c r="I162" s="243" t="s">
        <v>389</v>
      </c>
      <c r="J162" s="243"/>
      <c r="K162" s="215"/>
      <c r="L162" s="242"/>
      <c r="M162" s="242"/>
      <c r="N162" s="215"/>
      <c r="O162" s="215"/>
      <c r="P162" s="215"/>
      <c r="Q162" s="215"/>
      <c r="R162" s="215"/>
      <c r="S162" s="215"/>
      <c r="T162" s="215"/>
      <c r="U162" s="215"/>
    </row>
    <row r="163" spans="1:21" ht="28" x14ac:dyDescent="0.3">
      <c r="A163" s="276">
        <v>26</v>
      </c>
      <c r="B163" s="276" t="s">
        <v>713</v>
      </c>
      <c r="C163" s="277" t="s">
        <v>714</v>
      </c>
      <c r="D163" s="278" t="s">
        <v>757</v>
      </c>
      <c r="E163" s="215" t="s">
        <v>758</v>
      </c>
      <c r="F163" s="215" t="s">
        <v>479</v>
      </c>
      <c r="G163" s="242">
        <f>[2]Sheet4!E55</f>
        <v>45840</v>
      </c>
      <c r="H163" s="234">
        <f t="shared" si="2"/>
        <v>45840</v>
      </c>
      <c r="I163" s="243" t="s">
        <v>389</v>
      </c>
      <c r="J163" s="243"/>
      <c r="K163" s="215"/>
      <c r="L163" s="242"/>
      <c r="M163" s="242"/>
      <c r="N163" s="215"/>
      <c r="O163" s="215"/>
      <c r="P163" s="215"/>
      <c r="Q163" s="215"/>
      <c r="R163" s="215"/>
      <c r="S163" s="215"/>
      <c r="T163" s="215"/>
      <c r="U163" s="215"/>
    </row>
    <row r="164" spans="1:21" ht="28" x14ac:dyDescent="0.3">
      <c r="A164" s="276">
        <v>27</v>
      </c>
      <c r="B164" s="276" t="s">
        <v>713</v>
      </c>
      <c r="C164" s="277" t="s">
        <v>714</v>
      </c>
      <c r="D164" s="278" t="s">
        <v>759</v>
      </c>
      <c r="E164" s="215" t="s">
        <v>760</v>
      </c>
      <c r="F164" s="215" t="s">
        <v>469</v>
      </c>
      <c r="G164" s="242">
        <f>[2]Sheet4!E56</f>
        <v>45822</v>
      </c>
      <c r="H164" s="234">
        <f t="shared" si="2"/>
        <v>45822</v>
      </c>
      <c r="I164" s="243" t="s">
        <v>389</v>
      </c>
      <c r="J164" s="243"/>
      <c r="K164" s="215"/>
      <c r="L164" s="242"/>
      <c r="M164" s="242"/>
      <c r="N164" s="215"/>
      <c r="O164" s="215"/>
      <c r="P164" s="215"/>
      <c r="Q164" s="215"/>
      <c r="R164" s="215"/>
      <c r="S164" s="215"/>
      <c r="T164" s="215"/>
      <c r="U164" s="215"/>
    </row>
    <row r="165" spans="1:21" ht="28" x14ac:dyDescent="0.3">
      <c r="A165" s="276">
        <v>28</v>
      </c>
      <c r="B165" s="276" t="s">
        <v>713</v>
      </c>
      <c r="C165" s="277" t="s">
        <v>714</v>
      </c>
      <c r="D165" s="278" t="s">
        <v>761</v>
      </c>
      <c r="E165" s="215" t="s">
        <v>762</v>
      </c>
      <c r="F165" s="215" t="s">
        <v>479</v>
      </c>
      <c r="G165" s="242">
        <f>[2]Sheet4!E57</f>
        <v>45840</v>
      </c>
      <c r="H165" s="234">
        <f t="shared" si="2"/>
        <v>45840</v>
      </c>
      <c r="I165" s="243" t="s">
        <v>389</v>
      </c>
      <c r="J165" s="243"/>
      <c r="K165" s="215"/>
      <c r="L165" s="242"/>
      <c r="M165" s="242"/>
      <c r="N165" s="215"/>
      <c r="O165" s="215"/>
      <c r="P165" s="215"/>
      <c r="Q165" s="215"/>
      <c r="R165" s="215"/>
      <c r="S165" s="215"/>
      <c r="T165" s="215"/>
      <c r="U165" s="215"/>
    </row>
    <row r="166" spans="1:21" ht="28" x14ac:dyDescent="0.3">
      <c r="A166" s="276">
        <v>29</v>
      </c>
      <c r="B166" s="276" t="s">
        <v>713</v>
      </c>
      <c r="C166" s="277" t="s">
        <v>714</v>
      </c>
      <c r="D166" s="278" t="s">
        <v>763</v>
      </c>
      <c r="E166" s="215" t="s">
        <v>764</v>
      </c>
      <c r="F166" s="215" t="s">
        <v>479</v>
      </c>
      <c r="G166" s="242">
        <f>[2]Sheet4!E58</f>
        <v>45847</v>
      </c>
      <c r="H166" s="234">
        <f t="shared" si="2"/>
        <v>45847</v>
      </c>
      <c r="I166" s="243" t="s">
        <v>389</v>
      </c>
      <c r="J166" s="243"/>
      <c r="K166" s="215"/>
      <c r="L166" s="242"/>
      <c r="M166" s="242"/>
      <c r="N166" s="215"/>
      <c r="O166" s="215"/>
      <c r="P166" s="215"/>
      <c r="Q166" s="215"/>
      <c r="R166" s="215"/>
      <c r="S166" s="215"/>
      <c r="T166" s="215"/>
      <c r="U166" s="215"/>
    </row>
    <row r="167" spans="1:21" ht="70" x14ac:dyDescent="0.3">
      <c r="A167" s="276">
        <v>30</v>
      </c>
      <c r="B167" s="276" t="s">
        <v>713</v>
      </c>
      <c r="C167" s="277" t="s">
        <v>714</v>
      </c>
      <c r="D167" s="278" t="s">
        <v>765</v>
      </c>
      <c r="E167" s="215" t="s">
        <v>766</v>
      </c>
      <c r="F167" s="215" t="s">
        <v>479</v>
      </c>
      <c r="G167" s="242">
        <v>45900</v>
      </c>
      <c r="H167" s="234">
        <f t="shared" si="2"/>
        <v>45900</v>
      </c>
      <c r="I167" s="243" t="s">
        <v>389</v>
      </c>
      <c r="J167" s="243"/>
      <c r="K167" s="215"/>
      <c r="L167" s="242"/>
      <c r="M167" s="242"/>
      <c r="N167" s="215"/>
      <c r="O167" s="215"/>
      <c r="P167" s="215"/>
      <c r="Q167" s="215"/>
      <c r="R167" s="215"/>
      <c r="S167" s="215"/>
      <c r="T167" s="215"/>
      <c r="U167" s="215"/>
    </row>
    <row r="168" spans="1:21" ht="28" x14ac:dyDescent="0.3">
      <c r="A168" s="276">
        <v>31</v>
      </c>
      <c r="B168" s="276" t="s">
        <v>713</v>
      </c>
      <c r="C168" s="277" t="s">
        <v>714</v>
      </c>
      <c r="D168" s="278" t="s">
        <v>767</v>
      </c>
      <c r="E168" s="215" t="s">
        <v>768</v>
      </c>
      <c r="F168" s="215" t="s">
        <v>469</v>
      </c>
      <c r="G168" s="242">
        <f>[2]Sheet4!E60</f>
        <v>45813</v>
      </c>
      <c r="H168" s="234">
        <f t="shared" si="2"/>
        <v>45813</v>
      </c>
      <c r="I168" s="243" t="s">
        <v>389</v>
      </c>
      <c r="J168" s="243"/>
      <c r="K168" s="215"/>
      <c r="L168" s="242"/>
      <c r="M168" s="242"/>
      <c r="N168" s="215"/>
      <c r="O168" s="215"/>
      <c r="P168" s="215"/>
      <c r="Q168" s="215"/>
      <c r="R168" s="215"/>
      <c r="S168" s="215"/>
      <c r="T168" s="215"/>
      <c r="U168" s="215"/>
    </row>
    <row r="169" spans="1:21" ht="28" x14ac:dyDescent="0.3">
      <c r="A169" s="276">
        <v>32</v>
      </c>
      <c r="B169" s="276" t="s">
        <v>713</v>
      </c>
      <c r="C169" s="277" t="s">
        <v>714</v>
      </c>
      <c r="D169" s="278" t="s">
        <v>769</v>
      </c>
      <c r="E169" s="215" t="s">
        <v>770</v>
      </c>
      <c r="F169" s="215" t="s">
        <v>469</v>
      </c>
      <c r="G169" s="242">
        <f>[2]Sheet4!E61</f>
        <v>45858</v>
      </c>
      <c r="H169" s="234">
        <f t="shared" si="2"/>
        <v>45858</v>
      </c>
      <c r="I169" s="243" t="s">
        <v>389</v>
      </c>
      <c r="J169" s="243"/>
      <c r="K169" s="215"/>
      <c r="L169" s="242"/>
      <c r="M169" s="242"/>
      <c r="N169" s="215"/>
      <c r="O169" s="215"/>
      <c r="P169" s="215"/>
      <c r="Q169" s="215"/>
      <c r="R169" s="215"/>
      <c r="S169" s="215"/>
      <c r="T169" s="215"/>
      <c r="U169" s="215"/>
    </row>
    <row r="170" spans="1:21" ht="28" x14ac:dyDescent="0.3">
      <c r="A170" s="276">
        <v>33</v>
      </c>
      <c r="B170" s="276" t="s">
        <v>713</v>
      </c>
      <c r="C170" s="277" t="s">
        <v>714</v>
      </c>
      <c r="D170" s="278" t="s">
        <v>771</v>
      </c>
      <c r="E170" s="215" t="s">
        <v>772</v>
      </c>
      <c r="F170" s="215" t="s">
        <v>469</v>
      </c>
      <c r="G170" s="242">
        <f>[2]Sheet4!E62</f>
        <v>45834</v>
      </c>
      <c r="H170" s="234">
        <f t="shared" si="2"/>
        <v>45834</v>
      </c>
      <c r="I170" s="243" t="s">
        <v>389</v>
      </c>
      <c r="J170" s="243"/>
      <c r="K170" s="215"/>
      <c r="L170" s="242"/>
      <c r="M170" s="242"/>
      <c r="N170" s="215"/>
      <c r="O170" s="215"/>
      <c r="P170" s="215"/>
      <c r="Q170" s="215"/>
      <c r="R170" s="215"/>
      <c r="S170" s="215"/>
      <c r="T170" s="215"/>
      <c r="U170" s="215"/>
    </row>
    <row r="171" spans="1:21" ht="28" x14ac:dyDescent="0.3">
      <c r="A171" s="276">
        <v>1</v>
      </c>
      <c r="B171" s="276" t="s">
        <v>713</v>
      </c>
      <c r="C171" s="277" t="s">
        <v>714</v>
      </c>
      <c r="D171" s="278" t="s">
        <v>773</v>
      </c>
      <c r="E171" s="215" t="s">
        <v>774</v>
      </c>
      <c r="F171" s="215" t="s">
        <v>469</v>
      </c>
      <c r="G171" s="242">
        <f>[2]Sheet4!E63</f>
        <v>45840</v>
      </c>
      <c r="H171" s="234">
        <f t="shared" si="2"/>
        <v>45840</v>
      </c>
      <c r="I171" s="243" t="s">
        <v>389</v>
      </c>
      <c r="J171" s="243"/>
      <c r="K171" s="215"/>
      <c r="L171" s="242"/>
      <c r="M171" s="242"/>
      <c r="N171" s="215"/>
      <c r="O171" s="215"/>
      <c r="P171" s="215"/>
      <c r="Q171" s="215"/>
      <c r="R171" s="215"/>
      <c r="S171" s="215"/>
      <c r="T171" s="215"/>
      <c r="U171" s="215"/>
    </row>
    <row r="172" spans="1:21" ht="28" x14ac:dyDescent="0.3">
      <c r="A172" s="276">
        <f t="shared" ref="A172:A200" si="3">A171+1</f>
        <v>2</v>
      </c>
      <c r="B172" s="276" t="s">
        <v>713</v>
      </c>
      <c r="C172" s="277" t="s">
        <v>714</v>
      </c>
      <c r="D172" s="278" t="s">
        <v>775</v>
      </c>
      <c r="E172" s="215" t="s">
        <v>776</v>
      </c>
      <c r="F172" s="215" t="s">
        <v>469</v>
      </c>
      <c r="G172" s="242">
        <f>[2]Sheet4!E64</f>
        <v>45962</v>
      </c>
      <c r="H172" s="234">
        <f t="shared" si="2"/>
        <v>45962</v>
      </c>
      <c r="I172" s="243" t="s">
        <v>389</v>
      </c>
      <c r="J172" s="243"/>
      <c r="K172" s="215"/>
      <c r="L172" s="242"/>
      <c r="M172" s="242"/>
      <c r="N172" s="215"/>
      <c r="O172" s="215"/>
      <c r="P172" s="215"/>
      <c r="Q172" s="215"/>
      <c r="R172" s="215"/>
      <c r="S172" s="215"/>
      <c r="T172" s="215"/>
      <c r="U172" s="215"/>
    </row>
    <row r="173" spans="1:21" ht="28" x14ac:dyDescent="0.3">
      <c r="A173" s="276">
        <f t="shared" si="3"/>
        <v>3</v>
      </c>
      <c r="B173" s="276" t="s">
        <v>713</v>
      </c>
      <c r="C173" s="277" t="s">
        <v>714</v>
      </c>
      <c r="D173" s="278" t="s">
        <v>777</v>
      </c>
      <c r="E173" s="215" t="s">
        <v>778</v>
      </c>
      <c r="F173" s="215" t="s">
        <v>469</v>
      </c>
      <c r="G173" s="242">
        <f>[2]Sheet4!E65</f>
        <v>45826</v>
      </c>
      <c r="H173" s="234">
        <f t="shared" si="2"/>
        <v>45826</v>
      </c>
      <c r="I173" s="243" t="s">
        <v>389</v>
      </c>
      <c r="J173" s="243"/>
      <c r="K173" s="215"/>
      <c r="L173" s="242"/>
      <c r="M173" s="242"/>
      <c r="N173" s="215"/>
      <c r="O173" s="215"/>
      <c r="P173" s="215"/>
      <c r="Q173" s="215"/>
      <c r="R173" s="215"/>
      <c r="S173" s="215"/>
      <c r="T173" s="215"/>
      <c r="U173" s="215"/>
    </row>
    <row r="174" spans="1:21" ht="28" x14ac:dyDescent="0.3">
      <c r="A174" s="276">
        <f t="shared" si="3"/>
        <v>4</v>
      </c>
      <c r="B174" s="276" t="s">
        <v>713</v>
      </c>
      <c r="C174" s="277" t="s">
        <v>714</v>
      </c>
      <c r="D174" s="278" t="s">
        <v>779</v>
      </c>
      <c r="E174" s="215" t="s">
        <v>780</v>
      </c>
      <c r="F174" s="215" t="s">
        <v>469</v>
      </c>
      <c r="G174" s="242">
        <v>45868</v>
      </c>
      <c r="H174" s="234">
        <f t="shared" si="2"/>
        <v>45868</v>
      </c>
      <c r="I174" s="243" t="s">
        <v>389</v>
      </c>
      <c r="J174" s="243"/>
      <c r="K174" s="215"/>
      <c r="L174" s="242"/>
      <c r="M174" s="242"/>
      <c r="N174" s="215"/>
      <c r="O174" s="215"/>
      <c r="P174" s="215"/>
      <c r="Q174" s="215"/>
      <c r="R174" s="215"/>
      <c r="S174" s="215"/>
      <c r="T174" s="215"/>
      <c r="U174" s="215"/>
    </row>
    <row r="175" spans="1:21" ht="28" x14ac:dyDescent="0.3">
      <c r="A175" s="276">
        <f t="shared" si="3"/>
        <v>5</v>
      </c>
      <c r="B175" s="276" t="s">
        <v>713</v>
      </c>
      <c r="C175" s="277" t="s">
        <v>714</v>
      </c>
      <c r="D175" s="278" t="s">
        <v>781</v>
      </c>
      <c r="E175" s="215" t="s">
        <v>782</v>
      </c>
      <c r="F175" s="215" t="s">
        <v>469</v>
      </c>
      <c r="G175" s="242">
        <v>45797</v>
      </c>
      <c r="H175" s="242">
        <f>L175</f>
        <v>45790</v>
      </c>
      <c r="I175" s="243" t="s">
        <v>389</v>
      </c>
      <c r="J175" s="243"/>
      <c r="K175" s="215" t="s">
        <v>470</v>
      </c>
      <c r="L175" s="242">
        <v>45790</v>
      </c>
      <c r="M175" s="242">
        <v>45812</v>
      </c>
      <c r="N175" s="215" t="s">
        <v>471</v>
      </c>
      <c r="O175" s="215">
        <f>M175-L175</f>
        <v>22</v>
      </c>
      <c r="P175" s="215">
        <f ca="1">O1-M175</f>
        <v>37</v>
      </c>
      <c r="Q175" s="215"/>
      <c r="R175" s="215" t="s">
        <v>495</v>
      </c>
      <c r="S175" s="215" t="str">
        <f>N175</f>
        <v>CAT - III</v>
      </c>
      <c r="T175" s="215" t="s">
        <v>473</v>
      </c>
      <c r="U175" s="215">
        <f ca="1">U1-L175</f>
        <v>59</v>
      </c>
    </row>
    <row r="176" spans="1:21" x14ac:dyDescent="0.3">
      <c r="A176" s="276">
        <f t="shared" si="3"/>
        <v>6</v>
      </c>
      <c r="B176" s="276" t="s">
        <v>713</v>
      </c>
      <c r="C176" s="277" t="s">
        <v>783</v>
      </c>
      <c r="D176" s="278" t="s">
        <v>784</v>
      </c>
      <c r="E176" s="215" t="s">
        <v>785</v>
      </c>
      <c r="F176" s="215" t="s">
        <v>469</v>
      </c>
      <c r="G176" s="242">
        <f>[2]Sheet4!E68</f>
        <v>45814</v>
      </c>
      <c r="H176" s="242">
        <f>L176</f>
        <v>45804</v>
      </c>
      <c r="I176" s="243" t="s">
        <v>389</v>
      </c>
      <c r="J176" s="243"/>
      <c r="K176" s="215" t="s">
        <v>470</v>
      </c>
      <c r="L176" s="242">
        <v>45804</v>
      </c>
      <c r="M176" s="242"/>
      <c r="N176" s="215"/>
      <c r="O176" s="215">
        <f ca="1">O1-L176</f>
        <v>45</v>
      </c>
      <c r="P176" s="215"/>
      <c r="Q176" s="215"/>
      <c r="R176" s="215" t="s">
        <v>495</v>
      </c>
      <c r="S176" s="215"/>
      <c r="T176" s="215" t="s">
        <v>473</v>
      </c>
      <c r="U176" s="215">
        <f ca="1">U1-L176</f>
        <v>45</v>
      </c>
    </row>
    <row r="177" spans="1:21" x14ac:dyDescent="0.3">
      <c r="A177" s="276">
        <f t="shared" si="3"/>
        <v>7</v>
      </c>
      <c r="B177" s="276" t="s">
        <v>713</v>
      </c>
      <c r="C177" s="277" t="s">
        <v>783</v>
      </c>
      <c r="D177" s="278" t="s">
        <v>786</v>
      </c>
      <c r="E177" s="215" t="s">
        <v>787</v>
      </c>
      <c r="F177" s="215" t="s">
        <v>479</v>
      </c>
      <c r="G177" s="242">
        <f>[2]Sheet4!E69</f>
        <v>45834</v>
      </c>
      <c r="H177" s="242">
        <f>H144</f>
        <v>45834</v>
      </c>
      <c r="I177" s="243" t="s">
        <v>389</v>
      </c>
      <c r="J177" s="243"/>
      <c r="K177" s="215"/>
      <c r="L177" s="242"/>
      <c r="M177" s="242"/>
      <c r="N177" s="215"/>
      <c r="O177" s="215"/>
      <c r="P177" s="215"/>
      <c r="Q177" s="215"/>
      <c r="R177" s="215"/>
      <c r="S177" s="215"/>
      <c r="T177" s="215"/>
      <c r="U177" s="215"/>
    </row>
    <row r="178" spans="1:21" x14ac:dyDescent="0.3">
      <c r="A178" s="276">
        <f t="shared" si="3"/>
        <v>8</v>
      </c>
      <c r="B178" s="276" t="s">
        <v>713</v>
      </c>
      <c r="C178" s="277" t="s">
        <v>783</v>
      </c>
      <c r="D178" s="278" t="s">
        <v>788</v>
      </c>
      <c r="E178" s="215" t="s">
        <v>789</v>
      </c>
      <c r="F178" s="215" t="s">
        <v>469</v>
      </c>
      <c r="G178" s="242">
        <f>[2]Sheet4!E70</f>
        <v>45814</v>
      </c>
      <c r="H178" s="242">
        <f>H145</f>
        <v>45817</v>
      </c>
      <c r="I178" s="243" t="s">
        <v>389</v>
      </c>
      <c r="J178" s="243"/>
      <c r="K178" s="215" t="s">
        <v>470</v>
      </c>
      <c r="L178" s="242">
        <v>45817</v>
      </c>
      <c r="M178" s="242"/>
      <c r="N178" s="215"/>
      <c r="O178" s="215"/>
      <c r="P178" s="215"/>
      <c r="Q178" s="215"/>
      <c r="R178" s="215" t="s">
        <v>495</v>
      </c>
      <c r="S178" s="215"/>
      <c r="T178" s="215" t="s">
        <v>473</v>
      </c>
      <c r="U178" s="215"/>
    </row>
    <row r="179" spans="1:21" x14ac:dyDescent="0.3">
      <c r="A179" s="276">
        <f t="shared" si="3"/>
        <v>9</v>
      </c>
      <c r="B179" s="276" t="s">
        <v>713</v>
      </c>
      <c r="C179" s="277" t="s">
        <v>783</v>
      </c>
      <c r="D179" s="278" t="s">
        <v>790</v>
      </c>
      <c r="E179" s="215" t="s">
        <v>791</v>
      </c>
      <c r="F179" s="215" t="s">
        <v>469</v>
      </c>
      <c r="G179" s="242">
        <f>[2]Sheet4!E71</f>
        <v>45814</v>
      </c>
      <c r="H179" s="242">
        <f>H146</f>
        <v>45817</v>
      </c>
      <c r="I179" s="243" t="s">
        <v>389</v>
      </c>
      <c r="J179" s="243"/>
      <c r="K179" s="215" t="s">
        <v>470</v>
      </c>
      <c r="L179" s="242">
        <v>45817</v>
      </c>
      <c r="M179" s="242"/>
      <c r="N179" s="215"/>
      <c r="O179" s="215"/>
      <c r="P179" s="215"/>
      <c r="Q179" s="215"/>
      <c r="R179" s="215" t="s">
        <v>495</v>
      </c>
      <c r="S179" s="215"/>
      <c r="T179" s="215" t="s">
        <v>473</v>
      </c>
      <c r="U179" s="215"/>
    </row>
    <row r="180" spans="1:21" x14ac:dyDescent="0.3">
      <c r="A180" s="276">
        <f t="shared" si="3"/>
        <v>10</v>
      </c>
      <c r="B180" s="276" t="s">
        <v>713</v>
      </c>
      <c r="C180" s="277" t="s">
        <v>783</v>
      </c>
      <c r="D180" s="278" t="s">
        <v>792</v>
      </c>
      <c r="E180" s="215" t="s">
        <v>793</v>
      </c>
      <c r="F180" s="215" t="s">
        <v>469</v>
      </c>
      <c r="G180" s="242">
        <f>[2]Sheet4!E72</f>
        <v>45826</v>
      </c>
      <c r="H180" s="234">
        <f t="shared" ref="H180:H195" si="4">G180</f>
        <v>45826</v>
      </c>
      <c r="I180" s="243" t="s">
        <v>389</v>
      </c>
      <c r="J180" s="243"/>
      <c r="K180" s="215"/>
      <c r="L180" s="242"/>
      <c r="M180" s="242"/>
      <c r="N180" s="215"/>
      <c r="O180" s="215"/>
      <c r="P180" s="215"/>
      <c r="Q180" s="215"/>
      <c r="R180" s="215"/>
      <c r="S180" s="215"/>
      <c r="T180" s="215"/>
      <c r="U180" s="215"/>
    </row>
    <row r="181" spans="1:21" x14ac:dyDescent="0.3">
      <c r="A181" s="276">
        <f t="shared" si="3"/>
        <v>11</v>
      </c>
      <c r="B181" s="276" t="s">
        <v>713</v>
      </c>
      <c r="C181" s="277" t="s">
        <v>783</v>
      </c>
      <c r="D181" s="278" t="s">
        <v>794</v>
      </c>
      <c r="E181" s="215" t="s">
        <v>795</v>
      </c>
      <c r="F181" s="215" t="s">
        <v>479</v>
      </c>
      <c r="G181" s="242">
        <f>[2]Sheet4!E73</f>
        <v>45834</v>
      </c>
      <c r="H181" s="234">
        <f t="shared" si="4"/>
        <v>45834</v>
      </c>
      <c r="I181" s="243" t="s">
        <v>389</v>
      </c>
      <c r="J181" s="243"/>
      <c r="K181" s="215"/>
      <c r="L181" s="242"/>
      <c r="M181" s="242"/>
      <c r="N181" s="215"/>
      <c r="O181" s="215"/>
      <c r="P181" s="215"/>
      <c r="Q181" s="215"/>
      <c r="R181" s="215"/>
      <c r="S181" s="215"/>
      <c r="T181" s="215"/>
      <c r="U181" s="215"/>
    </row>
    <row r="182" spans="1:21" x14ac:dyDescent="0.3">
      <c r="A182" s="276">
        <f t="shared" si="3"/>
        <v>12</v>
      </c>
      <c r="B182" s="276" t="s">
        <v>713</v>
      </c>
      <c r="C182" s="277" t="s">
        <v>783</v>
      </c>
      <c r="D182" s="278" t="s">
        <v>796</v>
      </c>
      <c r="E182" s="215" t="s">
        <v>797</v>
      </c>
      <c r="F182" s="215" t="s">
        <v>479</v>
      </c>
      <c r="G182" s="242">
        <f>[2]Sheet4!E74</f>
        <v>45848</v>
      </c>
      <c r="H182" s="234">
        <f t="shared" si="4"/>
        <v>45848</v>
      </c>
      <c r="I182" s="243" t="s">
        <v>389</v>
      </c>
      <c r="J182" s="243"/>
      <c r="K182" s="215"/>
      <c r="L182" s="242"/>
      <c r="M182" s="242"/>
      <c r="N182" s="215"/>
      <c r="O182" s="215"/>
      <c r="P182" s="215"/>
      <c r="Q182" s="215"/>
      <c r="R182" s="215"/>
      <c r="S182" s="215"/>
      <c r="T182" s="215"/>
      <c r="U182" s="215"/>
    </row>
    <row r="183" spans="1:21" x14ac:dyDescent="0.3">
      <c r="A183" s="276">
        <f t="shared" si="3"/>
        <v>13</v>
      </c>
      <c r="B183" s="276" t="s">
        <v>713</v>
      </c>
      <c r="C183" s="277" t="s">
        <v>783</v>
      </c>
      <c r="D183" s="278" t="s">
        <v>798</v>
      </c>
      <c r="E183" s="215" t="s">
        <v>799</v>
      </c>
      <c r="F183" s="215" t="s">
        <v>469</v>
      </c>
      <c r="G183" s="242">
        <f>[2]Sheet4!E75</f>
        <v>45824</v>
      </c>
      <c r="H183" s="234">
        <f t="shared" si="4"/>
        <v>45824</v>
      </c>
      <c r="I183" s="243" t="s">
        <v>389</v>
      </c>
      <c r="J183" s="243"/>
      <c r="K183" s="215"/>
      <c r="L183" s="242"/>
      <c r="M183" s="242"/>
      <c r="N183" s="215"/>
      <c r="O183" s="215"/>
      <c r="P183" s="215"/>
      <c r="Q183" s="215"/>
      <c r="R183" s="215"/>
      <c r="S183" s="215"/>
      <c r="T183" s="215"/>
      <c r="U183" s="215"/>
    </row>
    <row r="184" spans="1:21" x14ac:dyDescent="0.3">
      <c r="A184" s="276">
        <f t="shared" si="3"/>
        <v>14</v>
      </c>
      <c r="B184" s="276" t="s">
        <v>713</v>
      </c>
      <c r="C184" s="277" t="s">
        <v>783</v>
      </c>
      <c r="D184" s="278" t="s">
        <v>800</v>
      </c>
      <c r="E184" s="215" t="s">
        <v>801</v>
      </c>
      <c r="F184" s="215" t="s">
        <v>469</v>
      </c>
      <c r="G184" s="242">
        <f>[2]Sheet4!E76</f>
        <v>45826</v>
      </c>
      <c r="H184" s="234">
        <f t="shared" si="4"/>
        <v>45826</v>
      </c>
      <c r="I184" s="243" t="s">
        <v>389</v>
      </c>
      <c r="J184" s="243"/>
      <c r="K184" s="215"/>
      <c r="L184" s="242"/>
      <c r="M184" s="242"/>
      <c r="N184" s="215"/>
      <c r="O184" s="215"/>
      <c r="P184" s="215"/>
      <c r="Q184" s="215"/>
      <c r="R184" s="215"/>
      <c r="S184" s="215"/>
      <c r="T184" s="215"/>
      <c r="U184" s="215"/>
    </row>
    <row r="185" spans="1:21" x14ac:dyDescent="0.3">
      <c r="A185" s="276">
        <f t="shared" si="3"/>
        <v>15</v>
      </c>
      <c r="B185" s="276" t="s">
        <v>713</v>
      </c>
      <c r="C185" s="277" t="s">
        <v>783</v>
      </c>
      <c r="D185" s="278" t="s">
        <v>802</v>
      </c>
      <c r="E185" s="215" t="s">
        <v>803</v>
      </c>
      <c r="F185" s="215" t="s">
        <v>469</v>
      </c>
      <c r="G185" s="242">
        <f>[2]Sheet4!E77</f>
        <v>45826</v>
      </c>
      <c r="H185" s="234">
        <f t="shared" si="4"/>
        <v>45826</v>
      </c>
      <c r="I185" s="243" t="s">
        <v>389</v>
      </c>
      <c r="J185" s="243"/>
      <c r="K185" s="215"/>
      <c r="L185" s="242"/>
      <c r="M185" s="242"/>
      <c r="N185" s="215"/>
      <c r="O185" s="215"/>
      <c r="P185" s="215"/>
      <c r="Q185" s="215"/>
      <c r="R185" s="215"/>
      <c r="S185" s="215"/>
      <c r="T185" s="215"/>
      <c r="U185" s="215"/>
    </row>
    <row r="186" spans="1:21" x14ac:dyDescent="0.3">
      <c r="A186" s="276">
        <f t="shared" si="3"/>
        <v>16</v>
      </c>
      <c r="B186" s="276" t="s">
        <v>713</v>
      </c>
      <c r="C186" s="277" t="s">
        <v>783</v>
      </c>
      <c r="D186" s="278" t="s">
        <v>804</v>
      </c>
      <c r="E186" s="215" t="s">
        <v>805</v>
      </c>
      <c r="F186" s="215" t="s">
        <v>469</v>
      </c>
      <c r="G186" s="242">
        <f>[2]Sheet4!E78</f>
        <v>45826</v>
      </c>
      <c r="H186" s="234">
        <f t="shared" si="4"/>
        <v>45826</v>
      </c>
      <c r="I186" s="243" t="s">
        <v>389</v>
      </c>
      <c r="J186" s="243"/>
      <c r="K186" s="215"/>
      <c r="L186" s="242"/>
      <c r="M186" s="242"/>
      <c r="N186" s="215"/>
      <c r="O186" s="215"/>
      <c r="P186" s="215"/>
      <c r="Q186" s="215"/>
      <c r="R186" s="215"/>
      <c r="S186" s="215"/>
      <c r="T186" s="215"/>
      <c r="U186" s="215"/>
    </row>
    <row r="187" spans="1:21" x14ac:dyDescent="0.3">
      <c r="A187" s="276">
        <f t="shared" si="3"/>
        <v>17</v>
      </c>
      <c r="B187" s="276" t="s">
        <v>713</v>
      </c>
      <c r="C187" s="277" t="s">
        <v>783</v>
      </c>
      <c r="D187" s="278" t="s">
        <v>806</v>
      </c>
      <c r="E187" s="215" t="s">
        <v>807</v>
      </c>
      <c r="F187" s="215" t="s">
        <v>469</v>
      </c>
      <c r="G187" s="242">
        <f>[2]Sheet4!E79</f>
        <v>45833</v>
      </c>
      <c r="H187" s="234">
        <f t="shared" si="4"/>
        <v>45833</v>
      </c>
      <c r="I187" s="243" t="s">
        <v>389</v>
      </c>
      <c r="J187" s="243"/>
      <c r="K187" s="215"/>
      <c r="L187" s="242"/>
      <c r="M187" s="242"/>
      <c r="N187" s="215"/>
      <c r="O187" s="215"/>
      <c r="P187" s="215"/>
      <c r="Q187" s="215"/>
      <c r="R187" s="215"/>
      <c r="S187" s="215"/>
      <c r="T187" s="215"/>
      <c r="U187" s="215"/>
    </row>
    <row r="188" spans="1:21" x14ac:dyDescent="0.3">
      <c r="A188" s="276">
        <f t="shared" si="3"/>
        <v>18</v>
      </c>
      <c r="B188" s="276" t="s">
        <v>713</v>
      </c>
      <c r="C188" s="277" t="s">
        <v>783</v>
      </c>
      <c r="D188" s="278" t="s">
        <v>808</v>
      </c>
      <c r="E188" s="215" t="s">
        <v>809</v>
      </c>
      <c r="F188" s="215" t="s">
        <v>479</v>
      </c>
      <c r="G188" s="242">
        <f>[2]Sheet4!E80</f>
        <v>45870</v>
      </c>
      <c r="H188" s="234">
        <f t="shared" si="4"/>
        <v>45870</v>
      </c>
      <c r="I188" s="243" t="s">
        <v>389</v>
      </c>
      <c r="J188" s="243"/>
      <c r="K188" s="215"/>
      <c r="L188" s="242"/>
      <c r="M188" s="242"/>
      <c r="N188" s="215"/>
      <c r="O188" s="215"/>
      <c r="P188" s="215"/>
      <c r="Q188" s="215"/>
      <c r="R188" s="215"/>
      <c r="S188" s="215"/>
      <c r="T188" s="215"/>
      <c r="U188" s="215"/>
    </row>
    <row r="189" spans="1:21" x14ac:dyDescent="0.3">
      <c r="A189" s="276">
        <f t="shared" si="3"/>
        <v>19</v>
      </c>
      <c r="B189" s="276" t="s">
        <v>713</v>
      </c>
      <c r="C189" s="277" t="s">
        <v>783</v>
      </c>
      <c r="D189" s="278" t="s">
        <v>810</v>
      </c>
      <c r="E189" s="215" t="s">
        <v>811</v>
      </c>
      <c r="F189" s="215" t="s">
        <v>479</v>
      </c>
      <c r="G189" s="242">
        <f>[2]Sheet4!E81</f>
        <v>45845</v>
      </c>
      <c r="H189" s="234">
        <f t="shared" si="4"/>
        <v>45845</v>
      </c>
      <c r="I189" s="243" t="s">
        <v>389</v>
      </c>
      <c r="J189" s="243"/>
      <c r="K189" s="215"/>
      <c r="L189" s="242"/>
      <c r="M189" s="242"/>
      <c r="N189" s="215"/>
      <c r="O189" s="215"/>
      <c r="P189" s="215"/>
      <c r="Q189" s="215"/>
      <c r="R189" s="215"/>
      <c r="S189" s="215"/>
      <c r="T189" s="215"/>
      <c r="U189" s="215"/>
    </row>
    <row r="190" spans="1:21" x14ac:dyDescent="0.3">
      <c r="A190" s="276">
        <f t="shared" si="3"/>
        <v>20</v>
      </c>
      <c r="B190" s="276" t="s">
        <v>713</v>
      </c>
      <c r="C190" s="277" t="s">
        <v>783</v>
      </c>
      <c r="D190" s="278" t="s">
        <v>812</v>
      </c>
      <c r="E190" s="215" t="s">
        <v>813</v>
      </c>
      <c r="F190" s="215" t="s">
        <v>479</v>
      </c>
      <c r="G190" s="242">
        <f>[2]Sheet4!E82</f>
        <v>45845</v>
      </c>
      <c r="H190" s="234">
        <f t="shared" si="4"/>
        <v>45845</v>
      </c>
      <c r="I190" s="243" t="s">
        <v>389</v>
      </c>
      <c r="J190" s="243"/>
      <c r="K190" s="215"/>
      <c r="L190" s="242"/>
      <c r="M190" s="242"/>
      <c r="N190" s="215"/>
      <c r="O190" s="215"/>
      <c r="P190" s="215"/>
      <c r="Q190" s="215"/>
      <c r="R190" s="215"/>
      <c r="S190" s="215"/>
      <c r="T190" s="215"/>
      <c r="U190" s="215"/>
    </row>
    <row r="191" spans="1:21" s="287" customFormat="1" ht="28" x14ac:dyDescent="0.3">
      <c r="A191" s="276">
        <f t="shared" si="3"/>
        <v>21</v>
      </c>
      <c r="B191" s="276" t="s">
        <v>713</v>
      </c>
      <c r="C191" s="277" t="s">
        <v>783</v>
      </c>
      <c r="D191" s="278" t="s">
        <v>814</v>
      </c>
      <c r="E191" s="215" t="s">
        <v>815</v>
      </c>
      <c r="F191" s="215" t="s">
        <v>479</v>
      </c>
      <c r="G191" s="242">
        <f>[2]Sheet4!E83</f>
        <v>45865</v>
      </c>
      <c r="H191" s="234">
        <f t="shared" si="4"/>
        <v>45865</v>
      </c>
      <c r="I191" s="243" t="s">
        <v>389</v>
      </c>
      <c r="J191" s="243"/>
      <c r="K191" s="286"/>
      <c r="L191" s="242"/>
      <c r="M191" s="242"/>
      <c r="N191" s="286"/>
      <c r="O191" s="215"/>
      <c r="P191" s="215"/>
      <c r="Q191" s="286"/>
      <c r="R191" s="286"/>
      <c r="S191" s="286"/>
      <c r="T191" s="286"/>
      <c r="U191" s="286"/>
    </row>
    <row r="192" spans="1:21" x14ac:dyDescent="0.3">
      <c r="A192" s="276">
        <f t="shared" si="3"/>
        <v>22</v>
      </c>
      <c r="B192" s="276" t="s">
        <v>713</v>
      </c>
      <c r="C192" s="277" t="s">
        <v>783</v>
      </c>
      <c r="D192" s="278" t="s">
        <v>816</v>
      </c>
      <c r="E192" s="215" t="s">
        <v>817</v>
      </c>
      <c r="F192" s="215" t="s">
        <v>469</v>
      </c>
      <c r="G192" s="242">
        <f>[2]Sheet4!E84</f>
        <v>45843</v>
      </c>
      <c r="H192" s="234">
        <f t="shared" si="4"/>
        <v>45843</v>
      </c>
      <c r="I192" s="243" t="s">
        <v>389</v>
      </c>
      <c r="J192" s="243"/>
      <c r="K192" s="215"/>
      <c r="L192" s="242"/>
      <c r="M192" s="242"/>
      <c r="N192" s="215"/>
      <c r="O192" s="215"/>
      <c r="P192" s="215"/>
      <c r="Q192" s="215"/>
      <c r="R192" s="215"/>
      <c r="S192" s="215"/>
      <c r="T192" s="215"/>
      <c r="U192" s="215"/>
    </row>
    <row r="193" spans="1:21" x14ac:dyDescent="0.3">
      <c r="A193" s="276">
        <f t="shared" si="3"/>
        <v>23</v>
      </c>
      <c r="B193" s="276" t="s">
        <v>713</v>
      </c>
      <c r="C193" s="277" t="s">
        <v>783</v>
      </c>
      <c r="D193" s="278" t="s">
        <v>818</v>
      </c>
      <c r="E193" s="215" t="s">
        <v>819</v>
      </c>
      <c r="F193" s="215" t="s">
        <v>469</v>
      </c>
      <c r="G193" s="242">
        <f>[2]Sheet4!E85</f>
        <v>45822</v>
      </c>
      <c r="H193" s="234">
        <f t="shared" si="4"/>
        <v>45822</v>
      </c>
      <c r="I193" s="243" t="s">
        <v>389</v>
      </c>
      <c r="J193" s="243"/>
      <c r="K193" s="215"/>
      <c r="L193" s="242"/>
      <c r="M193" s="242"/>
      <c r="N193" s="215"/>
      <c r="O193" s="215"/>
      <c r="P193" s="215"/>
      <c r="Q193" s="215"/>
      <c r="R193" s="215"/>
      <c r="S193" s="215"/>
      <c r="T193" s="215"/>
      <c r="U193" s="215"/>
    </row>
    <row r="194" spans="1:21" x14ac:dyDescent="0.3">
      <c r="A194" s="276">
        <f t="shared" si="3"/>
        <v>24</v>
      </c>
      <c r="B194" s="276" t="s">
        <v>713</v>
      </c>
      <c r="C194" s="277" t="s">
        <v>783</v>
      </c>
      <c r="D194" s="278" t="s">
        <v>820</v>
      </c>
      <c r="E194" s="215" t="s">
        <v>821</v>
      </c>
      <c r="F194" s="214" t="s">
        <v>479</v>
      </c>
      <c r="G194" s="242">
        <f>[2]Sheet4!E86</f>
        <v>45840</v>
      </c>
      <c r="H194" s="234">
        <f t="shared" si="4"/>
        <v>45840</v>
      </c>
      <c r="I194" s="243" t="s">
        <v>389</v>
      </c>
      <c r="J194" s="243"/>
      <c r="K194" s="215"/>
      <c r="L194" s="242"/>
      <c r="M194" s="242"/>
      <c r="N194" s="215"/>
      <c r="O194" s="215"/>
      <c r="P194" s="215"/>
      <c r="Q194" s="215"/>
      <c r="R194" s="215"/>
      <c r="S194" s="215"/>
      <c r="T194" s="215"/>
      <c r="U194" s="215"/>
    </row>
    <row r="195" spans="1:21" x14ac:dyDescent="0.3">
      <c r="A195" s="276">
        <f t="shared" si="3"/>
        <v>25</v>
      </c>
      <c r="B195" s="276" t="s">
        <v>713</v>
      </c>
      <c r="C195" s="277" t="s">
        <v>783</v>
      </c>
      <c r="D195" s="278" t="s">
        <v>822</v>
      </c>
      <c r="E195" s="215" t="s">
        <v>823</v>
      </c>
      <c r="F195" s="215" t="s">
        <v>469</v>
      </c>
      <c r="G195" s="242">
        <f>[2]Sheet4!E87</f>
        <v>45870</v>
      </c>
      <c r="H195" s="234">
        <f t="shared" si="4"/>
        <v>45870</v>
      </c>
      <c r="I195" s="243" t="s">
        <v>389</v>
      </c>
      <c r="J195" s="243"/>
      <c r="K195" s="215"/>
      <c r="L195" s="242"/>
      <c r="M195" s="242"/>
      <c r="N195" s="215"/>
      <c r="O195" s="215"/>
      <c r="P195" s="215"/>
      <c r="Q195" s="215"/>
      <c r="R195" s="215"/>
      <c r="S195" s="215"/>
      <c r="T195" s="215"/>
      <c r="U195" s="215"/>
    </row>
    <row r="196" spans="1:21" x14ac:dyDescent="0.3">
      <c r="A196" s="402">
        <f t="shared" si="3"/>
        <v>26</v>
      </c>
      <c r="B196" s="276" t="s">
        <v>713</v>
      </c>
      <c r="C196" s="277" t="s">
        <v>783</v>
      </c>
      <c r="D196" s="278" t="s">
        <v>824</v>
      </c>
      <c r="E196" s="215" t="s">
        <v>825</v>
      </c>
      <c r="F196" s="215" t="s">
        <v>469</v>
      </c>
      <c r="G196" s="242">
        <f>[2]Sheet4!E88</f>
        <v>45813</v>
      </c>
      <c r="H196" s="234">
        <v>45823</v>
      </c>
      <c r="I196" s="243" t="s">
        <v>389</v>
      </c>
      <c r="J196" s="243"/>
      <c r="K196" s="215"/>
      <c r="L196" s="242"/>
      <c r="M196" s="242"/>
      <c r="N196" s="215"/>
      <c r="O196" s="215"/>
      <c r="P196" s="215"/>
      <c r="Q196" s="215"/>
      <c r="R196" s="215"/>
      <c r="S196" s="215"/>
      <c r="T196" s="215"/>
      <c r="U196" s="215"/>
    </row>
    <row r="197" spans="1:21" x14ac:dyDescent="0.3">
      <c r="A197" s="403"/>
      <c r="B197" s="276" t="s">
        <v>713</v>
      </c>
      <c r="C197" s="277" t="s">
        <v>783</v>
      </c>
      <c r="D197" s="278" t="s">
        <v>826</v>
      </c>
      <c r="E197" s="215" t="s">
        <v>827</v>
      </c>
      <c r="F197" s="215" t="s">
        <v>479</v>
      </c>
      <c r="G197" s="242">
        <f>[2]Sheet4!E89</f>
        <v>45858</v>
      </c>
      <c r="H197" s="234">
        <f>G197</f>
        <v>45858</v>
      </c>
      <c r="I197" s="243" t="s">
        <v>389</v>
      </c>
      <c r="J197" s="243"/>
      <c r="K197" s="215"/>
      <c r="L197" s="242"/>
      <c r="M197" s="242"/>
      <c r="N197" s="215"/>
      <c r="O197" s="215"/>
      <c r="P197" s="215"/>
      <c r="Q197" s="215"/>
      <c r="R197" s="215"/>
      <c r="S197" s="215"/>
      <c r="T197" s="215"/>
      <c r="U197" s="215"/>
    </row>
    <row r="198" spans="1:21" x14ac:dyDescent="0.3">
      <c r="A198" s="276">
        <f>A196+1</f>
        <v>27</v>
      </c>
      <c r="B198" s="276" t="s">
        <v>713</v>
      </c>
      <c r="C198" s="277" t="s">
        <v>783</v>
      </c>
      <c r="D198" s="278" t="s">
        <v>828</v>
      </c>
      <c r="E198" s="215" t="s">
        <v>829</v>
      </c>
      <c r="F198" s="215" t="s">
        <v>479</v>
      </c>
      <c r="G198" s="242">
        <f>[2]Sheet4!E90</f>
        <v>45834</v>
      </c>
      <c r="H198" s="234">
        <f>G198</f>
        <v>45834</v>
      </c>
      <c r="I198" s="243" t="s">
        <v>389</v>
      </c>
      <c r="J198" s="243"/>
      <c r="K198" s="215"/>
      <c r="L198" s="242"/>
      <c r="M198" s="242"/>
      <c r="N198" s="215"/>
      <c r="O198" s="215"/>
      <c r="P198" s="215"/>
      <c r="Q198" s="215"/>
      <c r="R198" s="215"/>
      <c r="S198" s="215"/>
      <c r="T198" s="215"/>
      <c r="U198" s="215"/>
    </row>
    <row r="199" spans="1:21" ht="28" x14ac:dyDescent="0.3">
      <c r="A199" s="281">
        <f t="shared" si="3"/>
        <v>28</v>
      </c>
      <c r="B199" s="276" t="s">
        <v>713</v>
      </c>
      <c r="C199" s="277" t="s">
        <v>783</v>
      </c>
      <c r="D199" s="278" t="s">
        <v>830</v>
      </c>
      <c r="E199" s="215" t="s">
        <v>831</v>
      </c>
      <c r="F199" s="215" t="s">
        <v>479</v>
      </c>
      <c r="G199" s="242">
        <f>[2]Sheet4!E91</f>
        <v>45840</v>
      </c>
      <c r="H199" s="234">
        <f>G199</f>
        <v>45840</v>
      </c>
      <c r="I199" s="243" t="s">
        <v>389</v>
      </c>
      <c r="J199" s="243"/>
      <c r="K199" s="215"/>
      <c r="L199" s="242"/>
      <c r="M199" s="242"/>
      <c r="N199" s="215"/>
      <c r="O199" s="215"/>
      <c r="P199" s="215"/>
      <c r="Q199" s="215"/>
      <c r="R199" s="215"/>
      <c r="S199" s="215"/>
      <c r="T199" s="215"/>
      <c r="U199" s="215"/>
    </row>
    <row r="200" spans="1:21" x14ac:dyDescent="0.3">
      <c r="A200" s="513">
        <f t="shared" si="3"/>
        <v>29</v>
      </c>
      <c r="B200" s="276" t="s">
        <v>713</v>
      </c>
      <c r="C200" s="277" t="s">
        <v>783</v>
      </c>
      <c r="D200" s="278" t="s">
        <v>832</v>
      </c>
      <c r="E200" s="215" t="s">
        <v>833</v>
      </c>
      <c r="F200" s="215" t="s">
        <v>469</v>
      </c>
      <c r="G200" s="242">
        <f>[2]Sheet4!E92</f>
        <v>45826</v>
      </c>
      <c r="H200" s="234">
        <f>G200</f>
        <v>45826</v>
      </c>
      <c r="I200" s="243" t="s">
        <v>389</v>
      </c>
      <c r="J200" s="243"/>
      <c r="K200" s="215"/>
      <c r="L200" s="242"/>
      <c r="M200" s="242"/>
      <c r="N200" s="215"/>
      <c r="O200" s="215"/>
      <c r="P200" s="215"/>
      <c r="Q200" s="215"/>
      <c r="R200" s="215"/>
      <c r="S200" s="215"/>
      <c r="T200" s="215"/>
      <c r="U200" s="215"/>
    </row>
    <row r="201" spans="1:21" x14ac:dyDescent="0.3">
      <c r="A201" s="513"/>
      <c r="B201" s="276" t="s">
        <v>713</v>
      </c>
      <c r="C201" s="404" t="s">
        <v>783</v>
      </c>
      <c r="D201" s="406" t="s">
        <v>834</v>
      </c>
      <c r="E201" s="391" t="s">
        <v>835</v>
      </c>
      <c r="F201" s="391" t="s">
        <v>469</v>
      </c>
      <c r="G201" s="450">
        <v>45793</v>
      </c>
      <c r="H201" s="450">
        <f>L201</f>
        <v>45793</v>
      </c>
      <c r="I201" s="400" t="s">
        <v>389</v>
      </c>
      <c r="J201" s="400"/>
      <c r="K201" s="215" t="s">
        <v>470</v>
      </c>
      <c r="L201" s="242">
        <v>45793</v>
      </c>
      <c r="M201" s="242">
        <v>45807</v>
      </c>
      <c r="N201" s="215"/>
      <c r="O201" s="215">
        <f>M201-L201</f>
        <v>14</v>
      </c>
      <c r="P201" s="215">
        <f ca="1">O1-M201</f>
        <v>42</v>
      </c>
      <c r="Q201" s="391"/>
      <c r="R201" s="391" t="s">
        <v>502</v>
      </c>
      <c r="S201" s="391"/>
      <c r="T201" s="391" t="s">
        <v>476</v>
      </c>
      <c r="U201" s="391">
        <f ca="1">U1-M201</f>
        <v>42</v>
      </c>
    </row>
    <row r="202" spans="1:21" x14ac:dyDescent="0.3">
      <c r="A202" s="290"/>
      <c r="B202" s="276"/>
      <c r="C202" s="405"/>
      <c r="D202" s="407"/>
      <c r="E202" s="392"/>
      <c r="F202" s="392"/>
      <c r="G202" s="452"/>
      <c r="H202" s="452"/>
      <c r="I202" s="401"/>
      <c r="J202" s="401"/>
      <c r="K202" s="215" t="s">
        <v>472</v>
      </c>
      <c r="L202" s="242"/>
      <c r="M202" s="242"/>
      <c r="N202" s="215"/>
      <c r="O202" s="215"/>
      <c r="P202" s="215"/>
      <c r="Q202" s="392"/>
      <c r="R202" s="392"/>
      <c r="S202" s="392"/>
      <c r="T202" s="392"/>
      <c r="U202" s="392"/>
    </row>
    <row r="203" spans="1:21" x14ac:dyDescent="0.3">
      <c r="B203" s="276" t="s">
        <v>713</v>
      </c>
      <c r="C203" s="277" t="s">
        <v>783</v>
      </c>
      <c r="D203" s="278" t="s">
        <v>836</v>
      </c>
      <c r="E203" s="215" t="s">
        <v>837</v>
      </c>
      <c r="F203" s="241" t="s">
        <v>469</v>
      </c>
      <c r="G203" s="242">
        <v>45868</v>
      </c>
      <c r="H203" s="234">
        <f>G203</f>
        <v>45868</v>
      </c>
      <c r="I203" s="243" t="s">
        <v>389</v>
      </c>
      <c r="J203" s="243"/>
      <c r="K203" s="215"/>
      <c r="L203" s="242"/>
      <c r="M203" s="242"/>
      <c r="N203" s="215"/>
      <c r="O203" s="215"/>
      <c r="P203" s="215"/>
      <c r="Q203" s="215"/>
      <c r="R203" s="215"/>
      <c r="S203" s="215"/>
      <c r="T203" s="215"/>
      <c r="U203" s="215"/>
    </row>
    <row r="204" spans="1:21" x14ac:dyDescent="0.3">
      <c r="B204" s="281" t="s">
        <v>713</v>
      </c>
      <c r="C204" s="282" t="s">
        <v>783</v>
      </c>
      <c r="D204" s="289" t="s">
        <v>838</v>
      </c>
      <c r="E204" s="267" t="s">
        <v>839</v>
      </c>
      <c r="F204" s="272" t="s">
        <v>469</v>
      </c>
      <c r="G204" s="266">
        <v>45826</v>
      </c>
      <c r="H204" s="234">
        <f>G204</f>
        <v>45826</v>
      </c>
      <c r="I204" s="280" t="s">
        <v>389</v>
      </c>
      <c r="J204" s="280"/>
      <c r="K204" s="267"/>
      <c r="L204" s="266"/>
      <c r="M204" s="266"/>
      <c r="N204" s="267"/>
      <c r="O204" s="267"/>
      <c r="P204" s="267"/>
      <c r="Q204" s="267"/>
      <c r="R204" s="267"/>
      <c r="S204" s="267"/>
      <c r="T204" s="267"/>
      <c r="U204" s="267"/>
    </row>
    <row r="205" spans="1:21" s="290" customFormat="1" x14ac:dyDescent="0.3">
      <c r="A205" s="291"/>
      <c r="B205" s="288" t="s">
        <v>713</v>
      </c>
      <c r="C205" s="514" t="s">
        <v>783</v>
      </c>
      <c r="D205" s="515" t="s">
        <v>840</v>
      </c>
      <c r="E205" s="516" t="s">
        <v>839</v>
      </c>
      <c r="F205" s="516" t="s">
        <v>469</v>
      </c>
      <c r="G205" s="517">
        <v>45803</v>
      </c>
      <c r="H205" s="518">
        <f>L205</f>
        <v>45803</v>
      </c>
      <c r="I205" s="520" t="s">
        <v>389</v>
      </c>
      <c r="J205" s="520"/>
      <c r="K205" s="228" t="s">
        <v>470</v>
      </c>
      <c r="L205" s="292">
        <v>45803</v>
      </c>
      <c r="M205" s="292">
        <v>45810</v>
      </c>
      <c r="N205" s="228"/>
      <c r="O205" s="228">
        <f>M205-L205</f>
        <v>7</v>
      </c>
      <c r="P205" s="228">
        <f ca="1">O1-M205</f>
        <v>39</v>
      </c>
      <c r="Q205" s="516"/>
      <c r="R205" s="516" t="s">
        <v>502</v>
      </c>
      <c r="S205" s="516"/>
      <c r="T205" s="516" t="s">
        <v>476</v>
      </c>
      <c r="U205" s="516"/>
    </row>
    <row r="206" spans="1:21" s="290" customFormat="1" x14ac:dyDescent="0.3">
      <c r="A206" s="291"/>
      <c r="B206" s="228"/>
      <c r="C206" s="514"/>
      <c r="D206" s="515"/>
      <c r="E206" s="516"/>
      <c r="F206" s="516"/>
      <c r="G206" s="517"/>
      <c r="H206" s="519"/>
      <c r="I206" s="520"/>
      <c r="J206" s="520"/>
      <c r="K206" s="228" t="s">
        <v>472</v>
      </c>
      <c r="L206" s="292"/>
      <c r="M206" s="292"/>
      <c r="N206" s="228"/>
      <c r="O206" s="228"/>
      <c r="P206" s="228"/>
      <c r="Q206" s="516"/>
      <c r="R206" s="516"/>
      <c r="S206" s="516"/>
      <c r="T206" s="516"/>
      <c r="U206" s="516"/>
    </row>
    <row r="207" spans="1:21" s="290" customFormat="1" x14ac:dyDescent="0.3">
      <c r="A207" s="291"/>
      <c r="L207" s="293"/>
      <c r="M207" s="293"/>
    </row>
  </sheetData>
  <autoFilter ref="A2:AB206" xr:uid="{3231EE02-D3A7-4921-9CFE-BCAE4C68606C}"/>
  <mergeCells count="272">
    <mergeCell ref="J205:J206"/>
    <mergeCell ref="Q205:Q206"/>
    <mergeCell ref="R205:R206"/>
    <mergeCell ref="S205:S206"/>
    <mergeCell ref="T205:T206"/>
    <mergeCell ref="U205:U206"/>
    <mergeCell ref="S201:S202"/>
    <mergeCell ref="T201:T202"/>
    <mergeCell ref="U201:U202"/>
    <mergeCell ref="J201:J202"/>
    <mergeCell ref="Q201:Q202"/>
    <mergeCell ref="R201:R202"/>
    <mergeCell ref="C205:C206"/>
    <mergeCell ref="D205:D206"/>
    <mergeCell ref="E205:E206"/>
    <mergeCell ref="F205:F206"/>
    <mergeCell ref="G205:G206"/>
    <mergeCell ref="H205:H206"/>
    <mergeCell ref="I205:I206"/>
    <mergeCell ref="G201:G202"/>
    <mergeCell ref="H201:H202"/>
    <mergeCell ref="I201:I202"/>
    <mergeCell ref="A196:A197"/>
    <mergeCell ref="A200:A201"/>
    <mergeCell ref="C201:C202"/>
    <mergeCell ref="D201:D202"/>
    <mergeCell ref="E201:E202"/>
    <mergeCell ref="F201:F202"/>
    <mergeCell ref="H138:H139"/>
    <mergeCell ref="Q138:Q139"/>
    <mergeCell ref="R138:R139"/>
    <mergeCell ref="T138:T139"/>
    <mergeCell ref="U138:U139"/>
    <mergeCell ref="R136:R137"/>
    <mergeCell ref="S136:S137"/>
    <mergeCell ref="T136:T137"/>
    <mergeCell ref="U136:U137"/>
    <mergeCell ref="B138:B139"/>
    <mergeCell ref="C138:C139"/>
    <mergeCell ref="D138:D139"/>
    <mergeCell ref="E138:E139"/>
    <mergeCell ref="F138:F139"/>
    <mergeCell ref="G138:G139"/>
    <mergeCell ref="B136:B137"/>
    <mergeCell ref="C136:C137"/>
    <mergeCell ref="D136:D137"/>
    <mergeCell ref="E136:E137"/>
    <mergeCell ref="F136:F137"/>
    <mergeCell ref="G136:G137"/>
    <mergeCell ref="H136:H137"/>
    <mergeCell ref="Q136:Q137"/>
    <mergeCell ref="S138:S139"/>
    <mergeCell ref="S127:S128"/>
    <mergeCell ref="T127:T128"/>
    <mergeCell ref="S133:S134"/>
    <mergeCell ref="T133:T134"/>
    <mergeCell ref="A127:A128"/>
    <mergeCell ref="C127:C128"/>
    <mergeCell ref="D127:D128"/>
    <mergeCell ref="E127:E128"/>
    <mergeCell ref="F127:F128"/>
    <mergeCell ref="G127:G128"/>
    <mergeCell ref="A130:A131"/>
    <mergeCell ref="C133:C134"/>
    <mergeCell ref="D133:D134"/>
    <mergeCell ref="E133:E134"/>
    <mergeCell ref="F133:F134"/>
    <mergeCell ref="G133:G134"/>
    <mergeCell ref="H133:H134"/>
    <mergeCell ref="Q133:Q134"/>
    <mergeCell ref="R133:R134"/>
    <mergeCell ref="H127:H128"/>
    <mergeCell ref="G125:G126"/>
    <mergeCell ref="H125:H126"/>
    <mergeCell ref="S99:S100"/>
    <mergeCell ref="T99:T100"/>
    <mergeCell ref="U99:U100"/>
    <mergeCell ref="A120:A121"/>
    <mergeCell ref="B125:B126"/>
    <mergeCell ref="C125:C126"/>
    <mergeCell ref="D125:D126"/>
    <mergeCell ref="E125:E126"/>
    <mergeCell ref="F125:F126"/>
    <mergeCell ref="S125:S126"/>
    <mergeCell ref="T125:T126"/>
    <mergeCell ref="U125:U126"/>
    <mergeCell ref="I125:I126"/>
    <mergeCell ref="J125:J126"/>
    <mergeCell ref="Q125:Q126"/>
    <mergeCell ref="R125:R126"/>
    <mergeCell ref="U127:U128"/>
    <mergeCell ref="I127:I128"/>
    <mergeCell ref="J127:J128"/>
    <mergeCell ref="Q127:Q128"/>
    <mergeCell ref="R127:R128"/>
    <mergeCell ref="A94:A95"/>
    <mergeCell ref="B96:B97"/>
    <mergeCell ref="C96:C97"/>
    <mergeCell ref="D96:D97"/>
    <mergeCell ref="E96:E97"/>
    <mergeCell ref="F96:F97"/>
    <mergeCell ref="G96:G97"/>
    <mergeCell ref="U96:U97"/>
    <mergeCell ref="B99:B100"/>
    <mergeCell ref="C99:C100"/>
    <mergeCell ref="D99:D100"/>
    <mergeCell ref="E99:E100"/>
    <mergeCell ref="F99:F100"/>
    <mergeCell ref="G99:G100"/>
    <mergeCell ref="H99:H100"/>
    <mergeCell ref="J99:J100"/>
    <mergeCell ref="Q99:Q100"/>
    <mergeCell ref="H96:H97"/>
    <mergeCell ref="J96:J97"/>
    <mergeCell ref="Q96:Q97"/>
    <mergeCell ref="R96:R97"/>
    <mergeCell ref="S96:S97"/>
    <mergeCell ref="T96:T97"/>
    <mergeCell ref="R99:R100"/>
    <mergeCell ref="U64:U66"/>
    <mergeCell ref="B92:B95"/>
    <mergeCell ref="C92:C95"/>
    <mergeCell ref="D92:D95"/>
    <mergeCell ref="E92:E95"/>
    <mergeCell ref="F92:F95"/>
    <mergeCell ref="G92:G95"/>
    <mergeCell ref="H92:H95"/>
    <mergeCell ref="Q92:Q95"/>
    <mergeCell ref="R92:R95"/>
    <mergeCell ref="G64:G66"/>
    <mergeCell ref="H64:H66"/>
    <mergeCell ref="Q64:Q66"/>
    <mergeCell ref="R64:R66"/>
    <mergeCell ref="S64:S66"/>
    <mergeCell ref="T64:T66"/>
    <mergeCell ref="S92:S95"/>
    <mergeCell ref="T92:T95"/>
    <mergeCell ref="U92:U95"/>
    <mergeCell ref="A64:A66"/>
    <mergeCell ref="B64:B66"/>
    <mergeCell ref="C64:C66"/>
    <mergeCell ref="D64:D66"/>
    <mergeCell ref="E64:E66"/>
    <mergeCell ref="F64:F66"/>
    <mergeCell ref="J62:J63"/>
    <mergeCell ref="Q62:Q63"/>
    <mergeCell ref="R62:R63"/>
    <mergeCell ref="U41:U42"/>
    <mergeCell ref="R36:R38"/>
    <mergeCell ref="S36:S38"/>
    <mergeCell ref="T36:T38"/>
    <mergeCell ref="U36:U38"/>
    <mergeCell ref="S62:S63"/>
    <mergeCell ref="T62:T63"/>
    <mergeCell ref="U62:U63"/>
    <mergeCell ref="A62:A63"/>
    <mergeCell ref="C62:C63"/>
    <mergeCell ref="D62:D63"/>
    <mergeCell ref="E62:E63"/>
    <mergeCell ref="F62:F63"/>
    <mergeCell ref="I62:I63"/>
    <mergeCell ref="G34:G35"/>
    <mergeCell ref="H34:H35"/>
    <mergeCell ref="Q34:Q35"/>
    <mergeCell ref="R34:R35"/>
    <mergeCell ref="S34:S35"/>
    <mergeCell ref="T34:T35"/>
    <mergeCell ref="G41:G42"/>
    <mergeCell ref="H41:H42"/>
    <mergeCell ref="R41:R42"/>
    <mergeCell ref="S41:S42"/>
    <mergeCell ref="T41:T42"/>
    <mergeCell ref="T29:T32"/>
    <mergeCell ref="U29:U32"/>
    <mergeCell ref="A34:A35"/>
    <mergeCell ref="B34:B35"/>
    <mergeCell ref="C34:C35"/>
    <mergeCell ref="D34:D35"/>
    <mergeCell ref="E34:E35"/>
    <mergeCell ref="F34:F35"/>
    <mergeCell ref="A41:A42"/>
    <mergeCell ref="B41:B42"/>
    <mergeCell ref="C41:C42"/>
    <mergeCell ref="D41:D42"/>
    <mergeCell ref="E41:E42"/>
    <mergeCell ref="F41:F42"/>
    <mergeCell ref="U34:U35"/>
    <mergeCell ref="A36:A38"/>
    <mergeCell ref="B36:B38"/>
    <mergeCell ref="C36:C38"/>
    <mergeCell ref="D36:D38"/>
    <mergeCell ref="E36:E38"/>
    <mergeCell ref="F36:F38"/>
    <mergeCell ref="G36:G38"/>
    <mergeCell ref="H36:H38"/>
    <mergeCell ref="Q36:Q38"/>
    <mergeCell ref="U24:U26"/>
    <mergeCell ref="A29:A32"/>
    <mergeCell ref="B29:B32"/>
    <mergeCell ref="C29:C32"/>
    <mergeCell ref="D29:D32"/>
    <mergeCell ref="E29:E32"/>
    <mergeCell ref="F29:F32"/>
    <mergeCell ref="G29:G32"/>
    <mergeCell ref="H29:H32"/>
    <mergeCell ref="Q29:Q32"/>
    <mergeCell ref="G24:G26"/>
    <mergeCell ref="H24:H26"/>
    <mergeCell ref="Q24:Q26"/>
    <mergeCell ref="R24:R26"/>
    <mergeCell ref="S24:S26"/>
    <mergeCell ref="T24:T26"/>
    <mergeCell ref="A24:A26"/>
    <mergeCell ref="B24:B26"/>
    <mergeCell ref="C24:C26"/>
    <mergeCell ref="D24:D26"/>
    <mergeCell ref="E24:E26"/>
    <mergeCell ref="F24:F26"/>
    <mergeCell ref="R29:R32"/>
    <mergeCell ref="S29:S32"/>
    <mergeCell ref="H18:H20"/>
    <mergeCell ref="Q18:Q20"/>
    <mergeCell ref="R18:R20"/>
    <mergeCell ref="S18:S20"/>
    <mergeCell ref="T18:T20"/>
    <mergeCell ref="U18:U20"/>
    <mergeCell ref="S13:S14"/>
    <mergeCell ref="T13:T14"/>
    <mergeCell ref="U13:U14"/>
    <mergeCell ref="A18:A20"/>
    <mergeCell ref="B18:B20"/>
    <mergeCell ref="C18:C20"/>
    <mergeCell ref="D18:D20"/>
    <mergeCell ref="E18:E20"/>
    <mergeCell ref="F18:F20"/>
    <mergeCell ref="G18:G20"/>
    <mergeCell ref="U7:U8"/>
    <mergeCell ref="A13:A14"/>
    <mergeCell ref="B13:B14"/>
    <mergeCell ref="C13:C14"/>
    <mergeCell ref="D13:D14"/>
    <mergeCell ref="E13:E14"/>
    <mergeCell ref="F13:F14"/>
    <mergeCell ref="G13:G14"/>
    <mergeCell ref="H13:H14"/>
    <mergeCell ref="R13:R14"/>
    <mergeCell ref="G7:G8"/>
    <mergeCell ref="H7:H8"/>
    <mergeCell ref="Q7:Q8"/>
    <mergeCell ref="R7:R8"/>
    <mergeCell ref="S7:S8"/>
    <mergeCell ref="T7:T8"/>
    <mergeCell ref="A7:A8"/>
    <mergeCell ref="B7:B8"/>
    <mergeCell ref="C7:C8"/>
    <mergeCell ref="D7:D8"/>
    <mergeCell ref="E7:E8"/>
    <mergeCell ref="F7:F8"/>
    <mergeCell ref="H3:H6"/>
    <mergeCell ref="Q3:Q6"/>
    <mergeCell ref="R3:R6"/>
    <mergeCell ref="S3:S6"/>
    <mergeCell ref="T3:T6"/>
    <mergeCell ref="U3:U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39:F41 F3 F195:F201 F67:F92 F7 F9:F13 F138 F140:F193 F15:F18 F34 F21:F24 F96 F135:F136 F36:F37 F98:F125 F27:F29 F127 F129:F133 F43:F62 F64" xr:uid="{F436A11D-18D7-4AD4-AD7B-E3C51E939B6B}">
      <formula1>"Approval, Information"</formula1>
    </dataValidation>
  </dataValidation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366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343</v>
      </c>
      <c r="C2" s="134">
        <v>45783</v>
      </c>
      <c r="D2" s="188">
        <f>C2</f>
        <v>45783</v>
      </c>
      <c r="E2" s="189" t="s">
        <v>421</v>
      </c>
    </row>
    <row r="3" spans="1:9" x14ac:dyDescent="0.4">
      <c r="A3" s="135">
        <v>2</v>
      </c>
      <c r="B3" s="133" t="s">
        <v>344</v>
      </c>
      <c r="C3" s="134">
        <v>45803</v>
      </c>
      <c r="D3" s="188">
        <v>45807</v>
      </c>
      <c r="E3" s="189" t="s">
        <v>423</v>
      </c>
    </row>
    <row r="4" spans="1:9" x14ac:dyDescent="0.4">
      <c r="A4" s="124">
        <v>3</v>
      </c>
      <c r="B4" s="125" t="s">
        <v>345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346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347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348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349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350</v>
      </c>
      <c r="C9" s="134">
        <v>45797</v>
      </c>
      <c r="D9" s="188">
        <v>45790</v>
      </c>
      <c r="E9" s="189" t="s">
        <v>423</v>
      </c>
    </row>
    <row r="10" spans="1:9" x14ac:dyDescent="0.4">
      <c r="A10" s="124">
        <v>9</v>
      </c>
      <c r="B10" s="125" t="s">
        <v>352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353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354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355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356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357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358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359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360</v>
      </c>
      <c r="C18" s="126">
        <v>45813</v>
      </c>
      <c r="D18" s="184">
        <f>Ordering!E19+7</f>
        <v>45842</v>
      </c>
      <c r="E18" s="140"/>
    </row>
    <row r="19" spans="1:5" x14ac:dyDescent="0.4">
      <c r="A19" s="124">
        <v>18</v>
      </c>
      <c r="B19" s="125" t="s">
        <v>361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362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363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390</v>
      </c>
      <c r="C22" s="122" t="s">
        <v>365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367</v>
      </c>
      <c r="C23" s="138">
        <v>45701</v>
      </c>
      <c r="D23" s="137" t="s">
        <v>368</v>
      </c>
      <c r="E23" s="152" t="s">
        <v>368</v>
      </c>
    </row>
    <row r="24" spans="1:5" s="131" customFormat="1" x14ac:dyDescent="0.35">
      <c r="A24" s="144">
        <v>2</v>
      </c>
      <c r="B24" s="145" t="s">
        <v>369</v>
      </c>
      <c r="C24" s="146">
        <v>45780</v>
      </c>
      <c r="D24" s="146">
        <f>C24</f>
        <v>45780</v>
      </c>
      <c r="E24" s="152" t="s">
        <v>442</v>
      </c>
    </row>
    <row r="25" spans="1:5" s="131" customFormat="1" x14ac:dyDescent="0.35">
      <c r="A25" s="128">
        <v>3</v>
      </c>
      <c r="B25" s="129" t="s">
        <v>370</v>
      </c>
      <c r="C25" s="130">
        <v>45823</v>
      </c>
      <c r="D25" s="130">
        <f>C25</f>
        <v>45823</v>
      </c>
      <c r="E25" s="211" t="s">
        <v>443</v>
      </c>
    </row>
    <row r="26" spans="1:5" s="131" customFormat="1" x14ac:dyDescent="0.35">
      <c r="A26" s="137">
        <v>4</v>
      </c>
      <c r="B26" s="139" t="s">
        <v>371</v>
      </c>
      <c r="C26" s="137" t="s">
        <v>372</v>
      </c>
      <c r="D26" s="138" t="s">
        <v>368</v>
      </c>
      <c r="E26" s="152" t="s">
        <v>399</v>
      </c>
    </row>
    <row r="27" spans="1:5" s="131" customFormat="1" x14ac:dyDescent="0.35">
      <c r="A27" s="128">
        <v>5</v>
      </c>
      <c r="B27" s="129" t="s">
        <v>373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374</v>
      </c>
      <c r="C28" s="130">
        <v>45777</v>
      </c>
      <c r="D28" s="130">
        <v>45804</v>
      </c>
      <c r="E28" s="211" t="s">
        <v>444</v>
      </c>
    </row>
    <row r="29" spans="1:5" s="131" customFormat="1" hidden="1" x14ac:dyDescent="0.35">
      <c r="A29" s="128">
        <v>7</v>
      </c>
      <c r="B29" s="129" t="s">
        <v>375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376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377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378</v>
      </c>
      <c r="C32" s="130">
        <v>45772</v>
      </c>
      <c r="D32" s="130">
        <v>45787</v>
      </c>
      <c r="E32" s="183" t="s">
        <v>445</v>
      </c>
    </row>
    <row r="33" spans="1:5" s="131" customFormat="1" x14ac:dyDescent="0.35">
      <c r="A33" s="192">
        <v>11</v>
      </c>
      <c r="B33" s="193" t="s">
        <v>379</v>
      </c>
      <c r="C33" s="194">
        <v>45772</v>
      </c>
      <c r="D33" s="194">
        <v>45773</v>
      </c>
      <c r="E33" s="152" t="s">
        <v>424</v>
      </c>
    </row>
    <row r="34" spans="1:5" s="131" customFormat="1" x14ac:dyDescent="0.35">
      <c r="A34" s="128">
        <v>12</v>
      </c>
      <c r="B34" s="129" t="s">
        <v>380</v>
      </c>
      <c r="C34" s="130">
        <v>45783</v>
      </c>
      <c r="D34" s="130">
        <v>45795</v>
      </c>
      <c r="E34" s="152" t="s">
        <v>426</v>
      </c>
    </row>
    <row r="35" spans="1:5" s="131" customFormat="1" ht="32" x14ac:dyDescent="0.35">
      <c r="A35" s="128">
        <v>13</v>
      </c>
      <c r="B35" s="129" t="s">
        <v>381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382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383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384</v>
      </c>
      <c r="C38" s="138">
        <v>45719</v>
      </c>
      <c r="D38" s="138" t="s">
        <v>368</v>
      </c>
      <c r="E38" s="152" t="s">
        <v>420</v>
      </c>
    </row>
    <row r="39" spans="1:5" s="131" customFormat="1" x14ac:dyDescent="0.35">
      <c r="A39" s="144">
        <v>17</v>
      </c>
      <c r="B39" s="145" t="s">
        <v>385</v>
      </c>
      <c r="C39" s="146">
        <v>45762</v>
      </c>
      <c r="D39" s="146"/>
      <c r="E39" s="183" t="s">
        <v>419</v>
      </c>
    </row>
    <row r="40" spans="1:5" s="131" customFormat="1" x14ac:dyDescent="0.35">
      <c r="A40" s="128">
        <v>18</v>
      </c>
      <c r="B40" s="129" t="s">
        <v>386</v>
      </c>
      <c r="C40" s="130">
        <v>45772</v>
      </c>
      <c r="D40" s="130">
        <v>45787</v>
      </c>
      <c r="E40" s="183" t="s">
        <v>422</v>
      </c>
    </row>
    <row r="41" spans="1:5" s="131" customFormat="1" ht="32" x14ac:dyDescent="0.35">
      <c r="A41" s="144">
        <v>19</v>
      </c>
      <c r="B41" s="145" t="s">
        <v>387</v>
      </c>
      <c r="C41" s="146">
        <v>45772</v>
      </c>
      <c r="D41" s="146"/>
      <c r="E41" s="183" t="s">
        <v>427</v>
      </c>
    </row>
    <row r="42" spans="1:5" s="131" customFormat="1" ht="32" x14ac:dyDescent="0.35">
      <c r="A42" s="128">
        <v>20</v>
      </c>
      <c r="B42" s="129" t="s">
        <v>388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396</v>
      </c>
      <c r="C43" s="130"/>
      <c r="D43" s="130"/>
      <c r="E43" s="183" t="s">
        <v>442</v>
      </c>
    </row>
    <row r="44" spans="1:5" s="131" customFormat="1" ht="32" x14ac:dyDescent="0.35">
      <c r="A44" s="128">
        <v>20</v>
      </c>
      <c r="B44" s="129" t="s">
        <v>397</v>
      </c>
      <c r="C44" s="130"/>
      <c r="D44" s="130"/>
      <c r="E44" s="183" t="s">
        <v>442</v>
      </c>
    </row>
    <row r="45" spans="1:5" s="131" customFormat="1" ht="32" x14ac:dyDescent="0.35">
      <c r="A45" s="132" t="s">
        <v>316</v>
      </c>
      <c r="B45" s="132" t="s">
        <v>392</v>
      </c>
      <c r="C45" s="132" t="s">
        <v>305</v>
      </c>
      <c r="D45" s="132" t="s">
        <v>391</v>
      </c>
      <c r="E45" s="132" t="s">
        <v>301</v>
      </c>
    </row>
    <row r="46" spans="1:5" x14ac:dyDescent="0.4">
      <c r="A46" s="124">
        <v>1</v>
      </c>
      <c r="B46" s="125" t="s">
        <v>343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344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345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346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347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348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349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350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352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353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354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355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356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357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358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359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360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361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362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363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21" t="s">
        <v>297</v>
      </c>
      <c r="B1" s="522"/>
      <c r="C1" s="522"/>
      <c r="D1" s="522"/>
      <c r="E1" s="522"/>
      <c r="F1" s="523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45849</v>
      </c>
      <c r="E1" s="121"/>
      <c r="F1" s="121"/>
      <c r="G1" s="121"/>
      <c r="H1" s="121"/>
      <c r="S1" s="159" t="s">
        <v>401</v>
      </c>
    </row>
    <row r="2" spans="2:64" s="22" customFormat="1" ht="72" customHeight="1" x14ac:dyDescent="0.35">
      <c r="B2" s="499" t="s">
        <v>96</v>
      </c>
      <c r="C2" s="500" t="s">
        <v>97</v>
      </c>
      <c r="D2" s="498" t="s">
        <v>98</v>
      </c>
      <c r="E2" s="490" t="s">
        <v>306</v>
      </c>
      <c r="F2" s="490" t="s">
        <v>307</v>
      </c>
      <c r="G2" s="490" t="s">
        <v>308</v>
      </c>
      <c r="H2" s="490" t="s">
        <v>309</v>
      </c>
      <c r="I2" s="500" t="s">
        <v>99</v>
      </c>
      <c r="J2" s="502" t="s">
        <v>1</v>
      </c>
      <c r="K2" s="524" t="s">
        <v>100</v>
      </c>
      <c r="L2" s="524" t="s">
        <v>101</v>
      </c>
      <c r="M2" s="498" t="s">
        <v>102</v>
      </c>
      <c r="N2" s="498" t="s">
        <v>103</v>
      </c>
      <c r="O2" s="498" t="s">
        <v>255</v>
      </c>
      <c r="P2" s="502" t="s">
        <v>104</v>
      </c>
      <c r="Q2" s="502" t="s">
        <v>105</v>
      </c>
      <c r="R2" s="503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99"/>
      <c r="C3" s="500"/>
      <c r="D3" s="498"/>
      <c r="E3" s="491"/>
      <c r="F3" s="491"/>
      <c r="G3" s="491"/>
      <c r="H3" s="491"/>
      <c r="I3" s="500"/>
      <c r="J3" s="502"/>
      <c r="K3" s="525"/>
      <c r="L3" s="525"/>
      <c r="M3" s="498"/>
      <c r="N3" s="498"/>
      <c r="O3" s="498"/>
      <c r="P3" s="502"/>
      <c r="Q3" s="502"/>
      <c r="R3" s="503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96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96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96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96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96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96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96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96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96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96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96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96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96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96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96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96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96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96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96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96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96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96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96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96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96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96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96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96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96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96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96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96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96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96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96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96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96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96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96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96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96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96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96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96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96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96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96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96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96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96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96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96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96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96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96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96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96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96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96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96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96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96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96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96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96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96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96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96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96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96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96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96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96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96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96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96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96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96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96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96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96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96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96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96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96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96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96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96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96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96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96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96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96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96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96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96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96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96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96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96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96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96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96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96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96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96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96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96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96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96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96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496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96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96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96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96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96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96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96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96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96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96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96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96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96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95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95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95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95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95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95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95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95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95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95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95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95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95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95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95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95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95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95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95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95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95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95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95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95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95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95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95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 (2)</vt:lpstr>
      <vt:lpstr>Construction Status</vt:lpstr>
      <vt:lpstr>MDL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2025-07-11T05:17:14Z</dcterms:modified>
</cp:coreProperties>
</file>