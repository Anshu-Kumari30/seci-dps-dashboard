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46" documentId="8_{15397660-B0F5-42AD-B715-0EA17A7D90CB}" xr6:coauthVersionLast="47" xr6:coauthVersionMax="47" xr10:uidLastSave="{78406E14-BCCE-4B75-AD3C-8C21DD56C81F}"/>
  <bookViews>
    <workbookView xWindow="-110" yWindow="-110" windowWidth="19420" windowHeight="10300" tabRatio="865" activeTab="8" xr2:uid="{885A4D7C-356D-44FF-B3CE-730EC0C96E04}"/>
  </bookViews>
  <sheets>
    <sheet name="Construction DASHBOARD" sheetId="8" r:id="rId1"/>
    <sheet name="Sheet1" sheetId="18" state="hidden" r:id="rId2"/>
    <sheet name="Ordering" sheetId="15" r:id="rId3"/>
    <sheet name="Preliminary Activity" sheetId="14" r:id="rId4"/>
    <sheet name="Manpower" sheetId="10" state="hidden" r:id="rId5"/>
    <sheet name="Machinery" sheetId="12" state="hidden" r:id="rId6"/>
    <sheet name="MDL" sheetId="29" r:id="rId7"/>
    <sheet name="Sheet2" sheetId="30" r:id="rId8"/>
    <sheet name="Construction Status" sheetId="11" r:id="rId9"/>
    <sheet name="Engineering &amp; Delivery" sheetId="16" state="hidden" r:id="rId10"/>
    <sheet name="Hinderance Register" sheetId="13" state="hidden" r:id="rId11"/>
    <sheet name="Construction Status (2)" sheetId="17" state="hidden" r:id="rId12"/>
  </sheets>
  <externalReferences>
    <externalReference r:id="rId13"/>
  </externalReferences>
  <definedNames>
    <definedName name="_xlnm._FilterDatabase" localSheetId="8" hidden="1">'Construction Status'!$B$1:$BN$120</definedName>
    <definedName name="_xlnm._FilterDatabase" localSheetId="11" hidden="1">'Construction Status (2)'!$B$1:$BL$156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10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0" i="30" l="1"/>
  <c r="U249" i="30"/>
  <c r="S249" i="30"/>
  <c r="P249" i="30"/>
  <c r="O249" i="30"/>
  <c r="H249" i="30"/>
  <c r="S245" i="30"/>
  <c r="O245" i="30"/>
  <c r="H245" i="30"/>
  <c r="S223" i="30"/>
  <c r="O223" i="30"/>
  <c r="H223" i="30"/>
  <c r="S222" i="30"/>
  <c r="P222" i="30"/>
  <c r="O222" i="30"/>
  <c r="H221" i="30"/>
  <c r="S220" i="30"/>
  <c r="O220" i="30"/>
  <c r="H220" i="30"/>
  <c r="P218" i="30"/>
  <c r="O218" i="30"/>
  <c r="S217" i="30"/>
  <c r="P217" i="30"/>
  <c r="O217" i="30"/>
  <c r="A216" i="30"/>
  <c r="A217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2" i="30" s="1"/>
  <c r="A243" i="30" s="1"/>
  <c r="A244" i="30" s="1"/>
  <c r="S205" i="30"/>
  <c r="S192" i="30"/>
  <c r="O192" i="30"/>
  <c r="S186" i="30"/>
  <c r="O186" i="30"/>
  <c r="H186" i="30"/>
  <c r="S184" i="30"/>
  <c r="O184" i="30"/>
  <c r="H184" i="30"/>
  <c r="H222" i="30" s="1"/>
  <c r="S181" i="30"/>
  <c r="O181" i="30"/>
  <c r="H181" i="30"/>
  <c r="O179" i="30"/>
  <c r="S178" i="30"/>
  <c r="P178" i="30"/>
  <c r="O178" i="30"/>
  <c r="H178" i="30"/>
  <c r="O175" i="30"/>
  <c r="P174" i="30"/>
  <c r="O174" i="30"/>
  <c r="S173" i="30"/>
  <c r="P173" i="30"/>
  <c r="O173" i="30"/>
  <c r="H173" i="30"/>
  <c r="O172" i="30"/>
  <c r="P171" i="30"/>
  <c r="O171" i="30"/>
  <c r="S170" i="30"/>
  <c r="P170" i="30"/>
  <c r="O170" i="30"/>
  <c r="H170" i="30"/>
  <c r="U169" i="30"/>
  <c r="S169" i="30"/>
  <c r="H169" i="30"/>
  <c r="O168" i="30"/>
  <c r="P167" i="30"/>
  <c r="O167" i="30"/>
  <c r="S166" i="30"/>
  <c r="Q166" i="30"/>
  <c r="P166" i="30"/>
  <c r="O166" i="30"/>
  <c r="H166" i="30"/>
  <c r="S163" i="30"/>
  <c r="O161" i="30"/>
  <c r="O160" i="30"/>
  <c r="P159" i="30"/>
  <c r="O159" i="30"/>
  <c r="S158" i="30"/>
  <c r="P158" i="30"/>
  <c r="O158" i="30"/>
  <c r="H158" i="30"/>
  <c r="O157" i="30"/>
  <c r="U156" i="30"/>
  <c r="P156" i="30"/>
  <c r="O156" i="30"/>
  <c r="H156" i="30"/>
  <c r="H155" i="30"/>
  <c r="H154" i="30"/>
  <c r="H153" i="30"/>
  <c r="H152" i="30"/>
  <c r="H149" i="30"/>
  <c r="H145" i="30"/>
  <c r="S141" i="30"/>
  <c r="H141" i="30"/>
  <c r="S137" i="30"/>
  <c r="O137" i="30"/>
  <c r="H137" i="30"/>
  <c r="O136" i="30"/>
  <c r="P135" i="30"/>
  <c r="O135" i="30"/>
  <c r="U134" i="30"/>
  <c r="S134" i="30"/>
  <c r="P134" i="30"/>
  <c r="O134" i="30"/>
  <c r="H134" i="30"/>
  <c r="O128" i="30"/>
  <c r="P127" i="30"/>
  <c r="O127" i="30"/>
  <c r="S126" i="30"/>
  <c r="P126" i="30"/>
  <c r="O126" i="30"/>
  <c r="H126" i="30"/>
  <c r="O125" i="30"/>
  <c r="S124" i="30"/>
  <c r="P124" i="30"/>
  <c r="O124" i="30"/>
  <c r="H124" i="30"/>
  <c r="O123" i="30"/>
  <c r="U122" i="30"/>
  <c r="S122" i="30"/>
  <c r="P122" i="30"/>
  <c r="O122" i="30"/>
  <c r="H122" i="30"/>
  <c r="O121" i="30"/>
  <c r="P120" i="30"/>
  <c r="O120" i="30"/>
  <c r="P119" i="30"/>
  <c r="O119" i="30"/>
  <c r="S118" i="30"/>
  <c r="P118" i="30"/>
  <c r="O118" i="30"/>
  <c r="H118" i="30"/>
  <c r="H117" i="30"/>
  <c r="S113" i="30"/>
  <c r="H113" i="30"/>
  <c r="S111" i="30"/>
  <c r="H108" i="30"/>
  <c r="S105" i="30"/>
  <c r="H103" i="30"/>
  <c r="S91" i="30"/>
  <c r="O91" i="30"/>
  <c r="O90" i="30"/>
  <c r="P89" i="30"/>
  <c r="O89" i="30"/>
  <c r="U88" i="30"/>
  <c r="S88" i="30"/>
  <c r="R88" i="30"/>
  <c r="Q88" i="30"/>
  <c r="P88" i="30"/>
  <c r="O88" i="30"/>
  <c r="H88" i="30"/>
  <c r="O87" i="30"/>
  <c r="U86" i="30"/>
  <c r="S86" i="30"/>
  <c r="P86" i="30"/>
  <c r="O86" i="30"/>
  <c r="H86" i="30"/>
  <c r="H73" i="30"/>
  <c r="S72" i="30"/>
  <c r="S70" i="30"/>
  <c r="O70" i="30"/>
  <c r="H70" i="30"/>
  <c r="O61" i="30"/>
  <c r="O60" i="30"/>
  <c r="P59" i="30"/>
  <c r="O59" i="30"/>
  <c r="P58" i="30"/>
  <c r="O58" i="30"/>
  <c r="S57" i="30"/>
  <c r="P57" i="30"/>
  <c r="O57" i="30"/>
  <c r="H57" i="30"/>
  <c r="O56" i="30"/>
  <c r="H56" i="30"/>
  <c r="S55" i="30"/>
  <c r="O55" i="30"/>
  <c r="H55" i="30"/>
  <c r="O54" i="30"/>
  <c r="O53" i="30"/>
  <c r="S52" i="30"/>
  <c r="P52" i="30"/>
  <c r="O52" i="30"/>
  <c r="H52" i="30"/>
  <c r="O50" i="30"/>
  <c r="O49" i="30"/>
  <c r="P48" i="30"/>
  <c r="O48" i="30"/>
  <c r="P47" i="30"/>
  <c r="O47" i="30"/>
  <c r="S46" i="30"/>
  <c r="Q46" i="30"/>
  <c r="P46" i="30"/>
  <c r="O46" i="30"/>
  <c r="H46" i="30"/>
  <c r="O45" i="30"/>
  <c r="S44" i="30"/>
  <c r="P44" i="30"/>
  <c r="O44" i="30"/>
  <c r="H44" i="30"/>
  <c r="O43" i="30"/>
  <c r="U42" i="30"/>
  <c r="S42" i="30"/>
  <c r="P42" i="30"/>
  <c r="O42" i="30"/>
  <c r="H42" i="30"/>
  <c r="O41" i="30"/>
  <c r="O40" i="30"/>
  <c r="O39" i="30"/>
  <c r="P38" i="30"/>
  <c r="O38" i="30"/>
  <c r="P37" i="30"/>
  <c r="O37" i="30"/>
  <c r="U36" i="30"/>
  <c r="S36" i="30"/>
  <c r="Q36" i="30"/>
  <c r="P36" i="30"/>
  <c r="O36" i="30"/>
  <c r="H36" i="30"/>
  <c r="S34" i="30"/>
  <c r="P34" i="30"/>
  <c r="O34" i="30"/>
  <c r="H34" i="30"/>
  <c r="O33" i="30"/>
  <c r="S32" i="30"/>
  <c r="P32" i="30"/>
  <c r="O32" i="30"/>
  <c r="H32" i="30"/>
  <c r="O31" i="30"/>
  <c r="P30" i="30"/>
  <c r="O30" i="30"/>
  <c r="S29" i="30"/>
  <c r="P29" i="30"/>
  <c r="O29" i="30"/>
  <c r="H29" i="30"/>
  <c r="O26" i="30"/>
  <c r="O25" i="30"/>
  <c r="P24" i="30"/>
  <c r="O24" i="30"/>
  <c r="U23" i="30"/>
  <c r="S23" i="30"/>
  <c r="S26" i="30" s="1"/>
  <c r="Q23" i="30"/>
  <c r="P23" i="30"/>
  <c r="O23" i="30"/>
  <c r="H23" i="30"/>
  <c r="S19" i="30"/>
  <c r="P19" i="30"/>
  <c r="O19" i="30"/>
  <c r="S17" i="30"/>
  <c r="O17" i="30"/>
  <c r="O16" i="30"/>
  <c r="U15" i="30"/>
  <c r="S15" i="30"/>
  <c r="P15" i="30"/>
  <c r="O15" i="30"/>
  <c r="U13" i="30"/>
  <c r="O13" i="30"/>
  <c r="S10" i="30"/>
  <c r="Q10" i="30"/>
  <c r="O10" i="30"/>
  <c r="O8" i="30"/>
  <c r="U7" i="30"/>
  <c r="S7" i="30"/>
  <c r="R7" i="30"/>
  <c r="Q7" i="30"/>
  <c r="P7" i="30"/>
  <c r="O7" i="30"/>
  <c r="P5" i="30"/>
  <c r="O5" i="30"/>
  <c r="P4" i="30"/>
  <c r="O4" i="30"/>
  <c r="U1" i="30"/>
  <c r="U178" i="30" s="1"/>
  <c r="O1" i="30"/>
  <c r="P186" i="30" s="1"/>
  <c r="Q13" i="11"/>
  <c r="Q14" i="11"/>
  <c r="P192" i="30" l="1"/>
  <c r="P250" i="30"/>
  <c r="U29" i="30"/>
  <c r="U126" i="30"/>
  <c r="U173" i="30"/>
  <c r="P181" i="30"/>
  <c r="P17" i="30"/>
  <c r="P87" i="30"/>
  <c r="P123" i="30"/>
  <c r="P220" i="30"/>
  <c r="U34" i="30"/>
  <c r="P70" i="30"/>
  <c r="O101" i="30"/>
  <c r="O153" i="30"/>
  <c r="U166" i="30"/>
  <c r="P223" i="30"/>
  <c r="P245" i="30"/>
  <c r="O11" i="30"/>
  <c r="U17" i="30"/>
  <c r="O35" i="30"/>
  <c r="U153" i="30"/>
  <c r="U158" i="30"/>
  <c r="U170" i="30"/>
  <c r="U220" i="30"/>
  <c r="O130" i="30"/>
  <c r="P184" i="30"/>
  <c r="U245" i="30"/>
  <c r="O131" i="30"/>
  <c r="O14" i="30"/>
  <c r="O73" i="30"/>
  <c r="U124" i="30"/>
  <c r="O133" i="30"/>
  <c r="U137" i="30"/>
  <c r="U19" i="30"/>
  <c r="O169" i="30"/>
  <c r="P172" i="30"/>
  <c r="U217" i="30"/>
  <c r="O20" i="30"/>
  <c r="U32" i="30"/>
  <c r="O141" i="30"/>
  <c r="P169" i="30"/>
  <c r="O249" i="29" l="1"/>
  <c r="S248" i="29"/>
  <c r="P248" i="29"/>
  <c r="O248" i="29"/>
  <c r="H248" i="29"/>
  <c r="S244" i="29"/>
  <c r="O244" i="29"/>
  <c r="H244" i="29"/>
  <c r="S222" i="29"/>
  <c r="O222" i="29"/>
  <c r="H222" i="29"/>
  <c r="S221" i="29"/>
  <c r="O221" i="29"/>
  <c r="H220" i="29"/>
  <c r="S219" i="29"/>
  <c r="O219" i="29"/>
  <c r="H219" i="29"/>
  <c r="O217" i="29"/>
  <c r="S216" i="29"/>
  <c r="P216" i="29"/>
  <c r="O216" i="29"/>
  <c r="A215" i="29"/>
  <c r="A216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1" i="29" s="1"/>
  <c r="A242" i="29" s="1"/>
  <c r="A243" i="29" s="1"/>
  <c r="S204" i="29"/>
  <c r="S191" i="29"/>
  <c r="O191" i="29"/>
  <c r="S185" i="29"/>
  <c r="O185" i="29"/>
  <c r="H185" i="29"/>
  <c r="S183" i="29"/>
  <c r="O183" i="29"/>
  <c r="H183" i="29"/>
  <c r="H221" i="29" s="1"/>
  <c r="S180" i="29"/>
  <c r="O180" i="29"/>
  <c r="H180" i="29"/>
  <c r="S177" i="29"/>
  <c r="P177" i="29"/>
  <c r="O177" i="29"/>
  <c r="H177" i="29"/>
  <c r="O174" i="29"/>
  <c r="P173" i="29"/>
  <c r="O173" i="29"/>
  <c r="S172" i="29"/>
  <c r="P172" i="29"/>
  <c r="O172" i="29"/>
  <c r="H172" i="29"/>
  <c r="O171" i="29"/>
  <c r="P170" i="29"/>
  <c r="O170" i="29"/>
  <c r="S169" i="29"/>
  <c r="P169" i="29"/>
  <c r="O169" i="29"/>
  <c r="H169" i="29"/>
  <c r="S168" i="29"/>
  <c r="H168" i="29"/>
  <c r="O167" i="29"/>
  <c r="P166" i="29"/>
  <c r="O166" i="29"/>
  <c r="S165" i="29"/>
  <c r="Q165" i="29"/>
  <c r="P165" i="29"/>
  <c r="O165" i="29"/>
  <c r="H165" i="29"/>
  <c r="S162" i="29"/>
  <c r="O160" i="29"/>
  <c r="O159" i="29"/>
  <c r="P158" i="29"/>
  <c r="O158" i="29"/>
  <c r="S157" i="29"/>
  <c r="P157" i="29"/>
  <c r="O157" i="29"/>
  <c r="H157" i="29"/>
  <c r="O156" i="29"/>
  <c r="U155" i="29"/>
  <c r="P155" i="29"/>
  <c r="O155" i="29"/>
  <c r="H155" i="29"/>
  <c r="H154" i="29"/>
  <c r="H153" i="29"/>
  <c r="H152" i="29"/>
  <c r="H151" i="29"/>
  <c r="H148" i="29"/>
  <c r="H144" i="29"/>
  <c r="S140" i="29"/>
  <c r="H140" i="29"/>
  <c r="S136" i="29"/>
  <c r="O136" i="29"/>
  <c r="H136" i="29"/>
  <c r="O135" i="29"/>
  <c r="P134" i="29"/>
  <c r="O134" i="29"/>
  <c r="S133" i="29"/>
  <c r="P133" i="29"/>
  <c r="O133" i="29"/>
  <c r="H133" i="29"/>
  <c r="O127" i="29"/>
  <c r="P126" i="29"/>
  <c r="O126" i="29"/>
  <c r="S125" i="29"/>
  <c r="P125" i="29"/>
  <c r="O125" i="29"/>
  <c r="H125" i="29"/>
  <c r="O124" i="29"/>
  <c r="S123" i="29"/>
  <c r="P123" i="29"/>
  <c r="O123" i="29"/>
  <c r="H123" i="29"/>
  <c r="O122" i="29"/>
  <c r="S121" i="29"/>
  <c r="P121" i="29"/>
  <c r="O121" i="29"/>
  <c r="H121" i="29"/>
  <c r="O120" i="29"/>
  <c r="P119" i="29"/>
  <c r="O119" i="29"/>
  <c r="P118" i="29"/>
  <c r="O118" i="29"/>
  <c r="S117" i="29"/>
  <c r="P117" i="29"/>
  <c r="O117" i="29"/>
  <c r="H117" i="29"/>
  <c r="H116" i="29"/>
  <c r="S112" i="29"/>
  <c r="H112" i="29"/>
  <c r="S110" i="29"/>
  <c r="H107" i="29"/>
  <c r="S104" i="29"/>
  <c r="H102" i="29"/>
  <c r="S90" i="29"/>
  <c r="O90" i="29"/>
  <c r="O89" i="29"/>
  <c r="P88" i="29"/>
  <c r="O88" i="29"/>
  <c r="U87" i="29"/>
  <c r="S87" i="29"/>
  <c r="R87" i="29"/>
  <c r="Q87" i="29"/>
  <c r="P87" i="29"/>
  <c r="O87" i="29"/>
  <c r="H87" i="29"/>
  <c r="O86" i="29"/>
  <c r="S85" i="29"/>
  <c r="P85" i="29"/>
  <c r="O85" i="29"/>
  <c r="H85" i="29"/>
  <c r="H72" i="29"/>
  <c r="S71" i="29"/>
  <c r="S69" i="29"/>
  <c r="O69" i="29"/>
  <c r="H69" i="29"/>
  <c r="O60" i="29"/>
  <c r="O59" i="29"/>
  <c r="P58" i="29"/>
  <c r="O58" i="29"/>
  <c r="P57" i="29"/>
  <c r="O57" i="29"/>
  <c r="S56" i="29"/>
  <c r="P56" i="29"/>
  <c r="O56" i="29"/>
  <c r="H56" i="29"/>
  <c r="O55" i="29"/>
  <c r="H55" i="29"/>
  <c r="S54" i="29"/>
  <c r="O54" i="29"/>
  <c r="H54" i="29"/>
  <c r="O53" i="29"/>
  <c r="O52" i="29"/>
  <c r="S51" i="29"/>
  <c r="P51" i="29"/>
  <c r="O51" i="29"/>
  <c r="H51" i="29"/>
  <c r="O49" i="29"/>
  <c r="O48" i="29"/>
  <c r="P47" i="29"/>
  <c r="O47" i="29"/>
  <c r="P46" i="29"/>
  <c r="O46" i="29"/>
  <c r="S45" i="29"/>
  <c r="Q45" i="29"/>
  <c r="P45" i="29"/>
  <c r="O45" i="29"/>
  <c r="H45" i="29"/>
  <c r="O44" i="29"/>
  <c r="S43" i="29"/>
  <c r="P43" i="29"/>
  <c r="O43" i="29"/>
  <c r="H43" i="29"/>
  <c r="O42" i="29"/>
  <c r="S41" i="29"/>
  <c r="P41" i="29"/>
  <c r="O41" i="29"/>
  <c r="H41" i="29"/>
  <c r="O40" i="29"/>
  <c r="O39" i="29"/>
  <c r="O38" i="29"/>
  <c r="P37" i="29"/>
  <c r="O37" i="29"/>
  <c r="P36" i="29"/>
  <c r="O36" i="29"/>
  <c r="U35" i="29"/>
  <c r="S35" i="29"/>
  <c r="Q35" i="29"/>
  <c r="P35" i="29"/>
  <c r="O35" i="29"/>
  <c r="H35" i="29"/>
  <c r="S33" i="29"/>
  <c r="P33" i="29"/>
  <c r="O33" i="29"/>
  <c r="H33" i="29"/>
  <c r="S31" i="29"/>
  <c r="P31" i="29"/>
  <c r="O31" i="29"/>
  <c r="H31" i="29"/>
  <c r="O30" i="29"/>
  <c r="P29" i="29"/>
  <c r="O29" i="29"/>
  <c r="S28" i="29"/>
  <c r="P28" i="29"/>
  <c r="O28" i="29"/>
  <c r="H28" i="29"/>
  <c r="O25" i="29"/>
  <c r="O24" i="29"/>
  <c r="P23" i="29"/>
  <c r="O23" i="29"/>
  <c r="U22" i="29"/>
  <c r="S22" i="29"/>
  <c r="S25" i="29" s="1"/>
  <c r="Q22" i="29"/>
  <c r="P22" i="29"/>
  <c r="O22" i="29"/>
  <c r="H22" i="29"/>
  <c r="S19" i="29"/>
  <c r="P19" i="29"/>
  <c r="O19" i="29"/>
  <c r="S17" i="29"/>
  <c r="O17" i="29"/>
  <c r="O16" i="29"/>
  <c r="S15" i="29"/>
  <c r="P15" i="29"/>
  <c r="O15" i="29"/>
  <c r="U13" i="29"/>
  <c r="O13" i="29"/>
  <c r="S10" i="29"/>
  <c r="Q10" i="29"/>
  <c r="O10" i="29"/>
  <c r="O8" i="29"/>
  <c r="U7" i="29"/>
  <c r="S7" i="29"/>
  <c r="R7" i="29"/>
  <c r="Q7" i="29"/>
  <c r="P7" i="29"/>
  <c r="O7" i="29"/>
  <c r="P5" i="29"/>
  <c r="O5" i="29"/>
  <c r="P4" i="29"/>
  <c r="O4" i="29"/>
  <c r="U1" i="29"/>
  <c r="U133" i="29" s="1"/>
  <c r="O1" i="29"/>
  <c r="P249" i="29" s="1"/>
  <c r="P180" i="29" l="1"/>
  <c r="O152" i="29"/>
  <c r="P222" i="29"/>
  <c r="P69" i="29"/>
  <c r="O11" i="29"/>
  <c r="O34" i="29"/>
  <c r="P244" i="29"/>
  <c r="P219" i="29"/>
  <c r="P17" i="29"/>
  <c r="P122" i="29"/>
  <c r="P86" i="29"/>
  <c r="O100" i="29"/>
  <c r="U28" i="29"/>
  <c r="U125" i="29"/>
  <c r="U172" i="29"/>
  <c r="U33" i="29"/>
  <c r="U165" i="29"/>
  <c r="U17" i="29"/>
  <c r="U152" i="29"/>
  <c r="U157" i="29"/>
  <c r="U169" i="29"/>
  <c r="U219" i="29"/>
  <c r="O129" i="29"/>
  <c r="P183" i="29"/>
  <c r="U244" i="29"/>
  <c r="O130" i="29"/>
  <c r="O14" i="29"/>
  <c r="O72" i="29"/>
  <c r="U123" i="29"/>
  <c r="O132" i="29"/>
  <c r="U136" i="29"/>
  <c r="U19" i="29"/>
  <c r="O168" i="29"/>
  <c r="P171" i="29"/>
  <c r="U216" i="29"/>
  <c r="O20" i="29"/>
  <c r="U31" i="29"/>
  <c r="O140" i="29"/>
  <c r="P168" i="29"/>
  <c r="U177" i="29"/>
  <c r="P185" i="29"/>
  <c r="O32" i="29"/>
  <c r="U41" i="29"/>
  <c r="O178" i="29"/>
  <c r="P217" i="29"/>
  <c r="P221" i="29"/>
  <c r="U248" i="29"/>
  <c r="U15" i="29"/>
  <c r="U168" i="29"/>
  <c r="U85" i="29"/>
  <c r="U121" i="29"/>
  <c r="P191" i="29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S12" i="11" l="1"/>
  <c r="Q12" i="11" s="1"/>
  <c r="T12" i="11"/>
  <c r="T11" i="11"/>
  <c r="O12" i="11"/>
  <c r="K6" i="8" l="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P12" i="11"/>
  <c r="N4" i="8"/>
  <c r="K11" i="8" s="1" a="1"/>
  <c r="K11" i="8" s="1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D23" i="8" s="1"/>
  <c r="S14" i="11"/>
  <c r="S13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D26" i="8"/>
  <c r="H23" i="8"/>
  <c r="G23" i="8" s="1"/>
  <c r="E23" i="8"/>
  <c r="P13" i="1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H21" i="8" l="1"/>
  <c r="G21" i="8" s="1"/>
  <c r="E21" i="8"/>
  <c r="D11" i="8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G59" i="8" s="1"/>
  <c r="C72" i="8" s="1"/>
  <c r="R17" i="1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<sst xmlns="http://schemas.openxmlformats.org/spreadsheetml/2006/main" count="3760" uniqueCount="857">
  <si>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</si>
  <si>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</si>
  <si>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</si>
  <si>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</si>
  <si>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</si>
  <si>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</si>
  <si>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</si>
  <si>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</si>
  <si>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</si>
  <si>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</si>
  <si>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</si>
  <si>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</si>
  <si>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</si>
  <si>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</si>
  <si>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</si>
  <si>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</si>
  <si>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</si>
  <si>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</si>
  <si>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</si>
  <si>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</si>
  <si>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</si>
  <si>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</si>
  <si>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</si>
  <si>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</si>
  <si>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</si>
  <si>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</si>
  <si>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</si>
  <si>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</si>
  <si>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</si>
  <si>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</si>
  <si>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</si>
  <si>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</si>
  <si>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</si>
  <si>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</si>
  <si>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</si>
  <si>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</si>
  <si>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</si>
  <si>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</si>
  <si>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</si>
  <si>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</si>
  <si>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</si>
  <si>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</si>
  <si>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</si>
  <si>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</si>
  <si>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</si>
  <si>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</si>
  <si>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</si>
  <si>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</si>
  <si>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</si>
  <si>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</si>
  <si>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</si>
  <si>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</si>
  <si>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</si>
  <si>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</si>
  <si>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</si>
  <si>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</si>
  <si>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</si>
  <si>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</si>
  <si>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</si>
  <si>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</si>
  <si>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</si>
  <si>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</si>
  <si>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</si>
  <si>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</si>
  <si>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</si>
  <si>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</si>
  <si>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</si>
  <si>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</si>
  <si>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</si>
  <si>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</si>
  <si>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</si>
  <si>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</si>
  <si>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</si>
  <si>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</si>
  <si>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</si>
  <si>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</si>
  <si>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</si>
  <si>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</si>
  <si>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</si>
  <si>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</si>
  <si>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</si>
  <si>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</si>
  <si>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</si>
  <si>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</si>
  <si>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</si>
  <si>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</si>
  <si>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</si>
  <si>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</si>
  <si>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</si>
  <si>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</si>
  <si>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</si>
  <si>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</si>
  <si>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</si>
  <si>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</si>
  <si>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</si>
  <si>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</si>
  <si>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</si>
  <si>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</si>
  <si>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</si>
  <si>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</si>
  <si>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</si>
  <si>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</si>
  <si>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</si>
  <si>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</si>
  <si>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</si>
  <si>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</si>
  <si>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</si>
  <si>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</si>
  <si>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</si>
  <si>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</si>
  <si>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</si>
  <si>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</si>
  <si>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</si>
  <si>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</si>
  <si>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</si>
  <si>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</si>
  <si>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</si>
  <si>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</si>
  <si>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</si>
  <si>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</si>
  <si>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</si>
  <si>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</si>
  <si>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</si>
  <si>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</si>
  <si>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</si>
  <si>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</si>
  <si>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</si>
  <si>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</si>
  <si>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</si>
  <si>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</si>
  <si>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</si>
  <si>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</si>
  <si>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</si>
  <si>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</si>
  <si>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</si>
  <si>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</si>
  <si>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</si>
  <si>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</si>
  <si>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</si>
  <si>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</si>
  <si>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</si>
  <si>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</si>
  <si>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</si>
  <si>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</si>
  <si>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</si>
  <si>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</si>
  <si>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</si>
  <si>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</si>
  <si>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</si>
  <si>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</si>
  <si>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</si>
  <si>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</si>
  <si>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</si>
  <si>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</si>
  <si>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</si>
  <si>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</si>
  <si>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</si>
  <si>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</si>
  <si>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</si>
  <si>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</si>
  <si>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</si>
  <si>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</si>
  <si>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</si>
  <si>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</si>
  <si>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</si>
  <si>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</si>
  <si>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</si>
  <si>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</si>
  <si>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</si>
  <si>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</si>
  <si>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</si>
  <si>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</si>
  <si>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</si>
  <si>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</si>
  <si>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</si>
  <si>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</si>
  <si>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</si>
  <si>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</si>
  <si>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</si>
  <si>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</si>
  <si>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</si>
  <si>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</si>
  <si>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</si>
  <si>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</si>
  <si>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</si>
  <si>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</si>
  <si>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</si>
  <si>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</si>
  <si>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</si>
  <si>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</si>
  <si>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</si>
  <si>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</si>
  <si>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</si>
  <si>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</si>
  <si>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</si>
  <si>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</si>
  <si>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</si>
  <si>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</si>
  <si>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</si>
  <si>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</si>
  <si>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</si>
  <si>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</si>
  <si>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</si>
  <si>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</si>
  <si>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</si>
  <si>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</si>
  <si>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</si>
  <si>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</si>
  <si>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</si>
  <si>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</si>
  <si>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</si>
  <si>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</si>
  <si>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</si>
  <si>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</si>
  <si>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</si>
  <si>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</si>
  <si>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</si>
  <si>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</si>
  <si>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</si>
  <si>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</si>
  <si>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</si>
  <si>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</si>
  <si>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</si>
  <si>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</si>
  <si>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</si>
  <si>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</si>
  <si>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</si>
  <si>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</si>
  <si>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</si>
  <si>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</si>
  <si>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</si>
  <si>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</si>
  <si>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</si>
  <si>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</si>
  <si>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</si>
  <si>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</si>
  <si>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</si>
  <si>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</si>
  <si>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</si>
  <si>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</si>
  <si>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</si>
  <si>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</si>
  <si>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</si>
  <si>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</si>
  <si>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</si>
  <si>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</si>
  <si>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</si>
  <si>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</si>
  <si>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</si>
  <si>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</si>
  <si>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</si>
  <si>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</si>
  <si>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</si>
  <si>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</si>
  <si>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</si>
  <si>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</si>
  <si>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</si>
  <si>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</si>
  <si>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</si>
  <si>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</si>
  <si>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</si>
  <si>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</si>
  <si>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</si>
  <si>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</si>
  <si>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</si>
  <si>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</si>
  <si>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</si>
  <si>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</si>
  <si>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</si>
  <si>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</si>
  <si>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</si>
  <si>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</si>
  <si>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</si>
  <si>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</si>
  <si>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</si>
  <si>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</si>
  <si>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</si>
  <si>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</si>
  <si>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</si>
  <si>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</si>
  <si>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</si>
  <si>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</si>
  <si>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</si>
  <si>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</si>
  <si>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</si>
  <si>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</si>
  <si>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</si>
  <si>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</si>
  <si>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</si>
  <si>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</si>
  <si>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</si>
  <si>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</si>
  <si>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</si>
  <si>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</si>
  <si>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</si>
  <si>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</si>
  <si>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</si>
  <si>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</si>
  <si>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</si>
  <si>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</si>
  <si>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</si>
  <si>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</si>
  <si>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</si>
  <si>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</si>
  <si>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</si>
  <si>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</si>
  <si>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</si>
  <si>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</si>
  <si>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</si>
  <si>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</si>
  <si>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</si>
  <si>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</si>
  <si>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</si>
  <si>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</si>
  <si>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</si>
  <si>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</si>
  <si>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</si>
  <si>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</si>
  <si>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</si>
  <si>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</si>
  <si>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</si>
  <si>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</si>
  <si>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</si>
  <si>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</si>
  <si>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</si>
  <si>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</si>
  <si>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</si>
  <si>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</si>
  <si>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</si>
  <si>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</si>
  <si>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</si>
  <si>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</si>
  <si>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</si>
  <si>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</si>
  <si>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</si>
  <si>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</si>
  <si>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</si>
  <si>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</si>
  <si>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</si>
  <si>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</si>
  <si>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</si>
  <si>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</si>
  <si>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</si>
  <si>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</si>
  <si>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</si>
  <si>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</si>
  <si>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</si>
  <si>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</si>
  <si>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</si>
  <si>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</si>
  <si>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</si>
  <si>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</si>
  <si>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</si>
  <si>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</si>
  <si>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</si>
  <si>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</si>
  <si>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</si>
  <si>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</si>
  <si>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</si>
  <si>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</si>
  <si>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</si>
  <si>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</si>
  <si>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</si>
  <si>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</si>
  <si>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</si>
  <si>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</si>
  <si>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</si>
  <si>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</si>
  <si>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</si>
  <si>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</si>
  <si>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</si>
  <si>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</si>
  <si>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</si>
  <si>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</si>
  <si>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</si>
  <si>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</si>
  <si>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</si>
  <si>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</si>
  <si>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</si>
  <si>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</si>
  <si>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</si>
  <si>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</si>
  <si>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</si>
  <si>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</si>
  <si>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</si>
  <si>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</si>
  <si>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</si>
  <si>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</si>
  <si>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</si>
  <si>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</si>
  <si>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</si>
  <si>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</si>
  <si>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</si>
  <si>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</si>
  <si>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</si>
  <si>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</si>
  <si>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</si>
  <si>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</si>
  <si>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</si>
  <si>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</si>
  <si>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</si>
  <si>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</si>
  <si>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</si>
  <si>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</si>
  <si>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</si>
  <si>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</si>
  <si>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</si>
  <si>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</si>
  <si>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</si>
  <si>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</si>
  <si>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</si>
  <si>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</si>
  <si>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</si>
  <si>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</si>
  <si>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</si>
  <si>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</si>
  <si>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</si>
  <si>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</si>
  <si>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</si>
  <si>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</si>
  <si>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</si>
  <si>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</si>
  <si>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</si>
  <si>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</si>
  <si>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</si>
  <si>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</si>
  <si>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</si>
  <si>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</si>
  <si>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</si>
  <si>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</si>
  <si>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</si>
  <si>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</si>
  <si>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</si>
  <si>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</si>
  <si>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</si>
  <si>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</si>
  <si>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</si>
  <si>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</si>
  <si>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</si>
  <si>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</si>
  <si>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</si>
  <si>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</si>
  <si>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</si>
  <si>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</si>
  <si>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</si>
  <si>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</si>
  <si>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</si>
  <si>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</si>
  <si>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</si>
  <si>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</si>
  <si>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</si>
  <si>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</si>
  <si>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</si>
  <si>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</si>
  <si>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</si>
  <si>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</si>
  <si>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</si>
  <si>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</si>
  <si>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</si>
  <si>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</si>
  <si>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</si>
  <si>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</si>
  <si>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</si>
  <si>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</si>
  <si>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</si>
  <si>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</si>
  <si>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</si>
  <si>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</si>
  <si>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</si>
  <si>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</si>
  <si>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</si>
  <si>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</si>
  <si>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</si>
  <si>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</si>
  <si>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</si>
  <si>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</si>
  <si>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</si>
  <si>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</si>
  <si>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</si>
  <si>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</si>
  <si>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</si>
  <si>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</si>
  <si>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</si>
  <si>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</si>
  <si>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</si>
  <si>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</si>
  <si>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</si>
  <si>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</si>
  <si>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</si>
  <si>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</si>
  <si>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</si>
  <si>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</si>
  <si>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</si>
  <si>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</si>
  <si>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</si>
  <si>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</si>
  <si>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</si>
  <si>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</si>
  <si>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</si>
  <si>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</si>
  <si>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</si>
  <si>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</si>
  <si>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</si>
  <si>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</si>
  <si>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</si>
  <si>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</si>
  <si>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</si>
  <si>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</si>
  <si>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</si>
  <si>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</si>
  <si>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</si>
  <si>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</si>
  <si>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</si>
  <si>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</si>
  <si>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</si>
  <si>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</si>
  <si>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</si>
  <si>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</si>
  <si>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</si>
  <si>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</si>
  <si>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</si>
  <si>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</si>
  <si>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</si>
  <si>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</si>
  <si>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</si>
  <si>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</si>
  <si>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</si>
  <si>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</si>
  <si>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</si>
  <si>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</si>
  <si>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</si>
  <si>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</si>
  <si>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</si>
  <si>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</si>
  <si>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</si>
  <si>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</si>
  <si>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</si>
  <si>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</si>
  <si>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</si>
  <si>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</si>
  <si>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</si>
  <si>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</si>
  <si>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</si>
  <si>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</si>
  <si>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</si>
  <si>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</si>
  <si>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</si>
  <si>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</si>
  <si>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</si>
  <si>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</si>
  <si>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</si>
  <si>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</si>
  <si>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</si>
  <si>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</si>
  <si>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</si>
  <si>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</si>
  <si>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</si>
  <si>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</si>
  <si>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</si>
  <si>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</si>
  <si>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</si>
  <si>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</si>
  <si>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</si>
  <si>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</si>
  <si>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</si>
  <si>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</si>
  <si>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</si>
  <si>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</si>
  <si>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</si>
  <si>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</si>
  <si>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</si>
  <si>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</si>
  <si>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</si>
  <si>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</si>
  <si>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</si>
  <si>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</si>
  <si>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</si>
  <si>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</si>
  <si>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</si>
  <si>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</si>
  <si>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</si>
  <si>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</si>
  <si>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</si>
  <si>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</si>
  <si>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</si>
  <si>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</si>
  <si>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</si>
  <si>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</si>
  <si>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</si>
  <si>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</si>
  <si>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</si>
  <si>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</si>
  <si>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</si>
  <si>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</si>
  <si>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</si>
  <si>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</si>
  <si>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</si>
  <si>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</si>
  <si>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</si>
  <si>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</si>
  <si>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</si>
  <si>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</si>
  <si>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</si>
  <si>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</si>
  <si>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</si>
  <si>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</si>
  <si>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</si>
  <si>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</si>
  <si>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</si>
  <si>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</si>
  <si>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</si>
  <si>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</si>
  <si>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</si>
  <si>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</si>
  <si>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</si>
  <si>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</si>
  <si>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</si>
  <si>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</si>
  <si>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</si>
  <si>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</si>
  <si>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</si>
  <si>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</si>
  <si>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</si>
  <si>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</si>
  <si>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</si>
  <si>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</si>
  <si>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</si>
  <si>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</si>
  <si>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</si>
  <si>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</si>
  <si>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</si>
  <si>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</si>
  <si>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</si>
  <si>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</si>
  <si>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</si>
  <si>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</si>
  <si>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</si>
  <si>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</si>
  <si>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</si>
  <si>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</si>
  <si>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</si>
  <si>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</si>
  <si>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</si>
  <si>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</si>
  <si>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</si>
  <si>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</si>
  <si>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</si>
  <si>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</si>
  <si>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</si>
  <si>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</si>
  <si>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</si>
  <si>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</si>
  <si>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</si>
  <si>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</si>
  <si>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</si>
  <si>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</si>
  <si>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</si>
  <si>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</si>
  <si>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</si>
  <si>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</si>
  <si>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</si>
  <si>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</si>
  <si>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</si>
  <si>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</si>
  <si>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</si>
  <si>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</si>
  <si>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</si>
  <si>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</si>
  <si>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</si>
  <si>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</si>
  <si>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</si>
  <si>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</si>
  <si>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</si>
  <si>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</si>
  <si>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</si>
  <si>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</si>
  <si>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</si>
  <si>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</si>
  <si>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</si>
  <si>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</si>
  <si>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</si>
  <si>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</si>
  <si>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</si>
  <si>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</si>
  <si>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</si>
  <si>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</si>
  <si>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</si>
  <si>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</si>
  <si>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</si>
  <si>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</si>
  <si>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</si>
  <si>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</si>
  <si>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</si>
  <si>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</si>
  <si>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</si>
  <si>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</si>
  <si>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</si>
  <si>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</si>
  <si>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</si>
  <si>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</si>
  <si>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</si>
  <si>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</si>
  <si>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</si>
  <si>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</si>
  <si>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</si>
  <si>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</si>
  <si>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</si>
  <si>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</si>
  <si>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</si>
  <si>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</si>
  <si>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</si>
  <si>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</si>
  <si>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</si>
  <si>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</si>
  <si>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</si>
  <si>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</si>
  <si>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</si>
  <si>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</si>
  <si>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</si>
  <si>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</si>
  <si>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</si>
  <si>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</si>
  <si>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</si>
  <si>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</si>
  <si>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</si>
  <si>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</si>
  <si>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</si>
  <si>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</si>
  <si>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</si>
  <si>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</si>
  <si>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</si>
  <si>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</si>
  <si>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</si>
  <si>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</si>
  <si>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</si>
  <si>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</si>
  <si>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</si>
  <si>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</si>
  <si>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</si>
  <si>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</si>
  <si>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</si>
  <si>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</si>
  <si>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</si>
  <si>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</si>
  <si>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</si>
  <si>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</si>
  <si>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</si>
  <si>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</si>
  <si>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</si>
  <si>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</si>
  <si>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</si>
  <si>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</si>
  <si>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</si>
  <si>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</si>
  <si>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</si>
  <si>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</si>
  <si>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</si>
  <si>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</si>
  <si>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</si>
  <si>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</si>
  <si>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</si>
  <si>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</si>
  <si>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</si>
  <si>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</si>
  <si>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</si>
  <si>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</si>
  <si>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</si>
  <si>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</si>
  <si>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</si>
  <si>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</si>
  <si>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</si>
  <si>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</si>
  <si>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</si>
  <si>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</si>
  <si>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</si>
  <si>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</si>
  <si>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</si>
  <si>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</si>
  <si>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</si>
  <si>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</si>
  <si>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</si>
  <si>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</si>
  <si>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</si>
  <si>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</si>
  <si>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</si>
  <si>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</si>
  <si>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</si>
  <si>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</si>
  <si>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</si>
  <si>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</si>
  <si>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</si>
  <si>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</si>
  <si>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</si>
  <si>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</si>
  <si>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</si>
  <si>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</si>
  <si>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</si>
  <si>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</si>
  <si>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</si>
  <si>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</si>
  <si>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</si>
  <si>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</si>
  <si>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</si>
  <si>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</si>
  <si>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</si>
  <si>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</si>
  <si>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</si>
  <si>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</si>
  <si>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</si>
  <si>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</si>
  <si>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</si>
  <si>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</si>
  <si>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</si>
  <si>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</si>
  <si>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</si>
  <si>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</si>
  <si>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</si>
  <si>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</si>
  <si>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</si>
  <si>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</si>
  <si>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</si>
  <si>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</si>
  <si>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</si>
  <si>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</si>
  <si>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</si>
  <si>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</si>
  <si>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</si>
  <si>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</si>
  <si>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</si>
  <si>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</si>
  <si>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</si>
  <si>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</si>
  <si>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</si>
  <si>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</si>
  <si>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</si>
  <si>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</si>
  <si>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</si>
  <si>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</si>
  <si>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</si>
  <si>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</si>
  <si>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</si>
  <si>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</si>
  <si>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</si>
  <si>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</si>
  <si>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</si>
  <si>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</si>
  <si>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Done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</si>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</sst>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49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8"/>
      <color rgb="FF002060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67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11" fillId="17" borderId="0" xfId="0" applyFont="1" applyFill="1" applyAlignment="1">
      <alignment horizontal="center"/>
    </xf>
    <xf numFmtId="0" fontId="43" fillId="21" borderId="1" xfId="7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/>
    </xf>
    <xf numFmtId="0" fontId="43" fillId="0" borderId="1" xfId="0" applyFont="1" applyBorder="1"/>
    <xf numFmtId="0" fontId="43" fillId="0" borderId="1" xfId="0" applyFont="1" applyBorder="1" applyAlignment="1">
      <alignment horizontal="center" vertical="center"/>
    </xf>
    <xf numFmtId="14" fontId="43" fillId="0" borderId="1" xfId="0" applyNumberFormat="1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0" fontId="45" fillId="22" borderId="1" xfId="0" applyFont="1" applyFill="1" applyBorder="1" applyAlignment="1">
      <alignment horizontal="center" vertical="center"/>
    </xf>
    <xf numFmtId="0" fontId="45" fillId="22" borderId="1" xfId="0" applyFont="1" applyFill="1" applyBorder="1" applyAlignment="1">
      <alignment horizontal="center" vertical="center" wrapText="1"/>
    </xf>
    <xf numFmtId="0" fontId="43" fillId="5" borderId="1" xfId="0" applyFont="1" applyFill="1" applyBorder="1" applyAlignment="1">
      <alignment vertical="center" wrapText="1"/>
    </xf>
    <xf numFmtId="164" fontId="43" fillId="5" borderId="1" xfId="0" applyNumberFormat="1" applyFont="1" applyFill="1" applyBorder="1" applyAlignment="1">
      <alignment horizontal="center" vertical="center"/>
    </xf>
    <xf numFmtId="0" fontId="43" fillId="5" borderId="1" xfId="7" applyFont="1" applyFill="1" applyBorder="1" applyAlignment="1">
      <alignment horizontal="left" vertical="center" wrapText="1"/>
    </xf>
    <xf numFmtId="0" fontId="43" fillId="23" borderId="1" xfId="0" applyFont="1" applyFill="1" applyBorder="1" applyAlignment="1">
      <alignment horizontal="center" vertical="center"/>
    </xf>
    <xf numFmtId="0" fontId="43" fillId="23" borderId="1" xfId="0" applyFont="1" applyFill="1" applyBorder="1" applyAlignment="1">
      <alignment vertical="center" wrapText="1"/>
    </xf>
    <xf numFmtId="0" fontId="43" fillId="23" borderId="1" xfId="7" applyFont="1" applyFill="1" applyBorder="1" applyAlignment="1">
      <alignment horizontal="left" vertical="center" wrapText="1"/>
    </xf>
    <xf numFmtId="164" fontId="43" fillId="23" borderId="1" xfId="0" applyNumberFormat="1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horizontal="center" vertical="center"/>
    </xf>
    <xf numFmtId="164" fontId="43" fillId="23" borderId="2" xfId="0" applyNumberFormat="1" applyFont="1" applyFill="1" applyBorder="1" applyAlignment="1">
      <alignment horizontal="center" vertical="center"/>
    </xf>
    <xf numFmtId="0" fontId="43" fillId="24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vertical="center" wrapText="1"/>
    </xf>
    <xf numFmtId="164" fontId="43" fillId="0" borderId="1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5" borderId="2" xfId="0" applyFont="1" applyFill="1" applyBorder="1" applyAlignment="1">
      <alignment horizontal="center" vertical="center"/>
    </xf>
    <xf numFmtId="0" fontId="43" fillId="24" borderId="42" xfId="0" applyFont="1" applyFill="1" applyBorder="1" applyAlignment="1">
      <alignment horizontal="center" vertical="center"/>
    </xf>
    <xf numFmtId="0" fontId="43" fillId="21" borderId="42" xfId="0" applyFont="1" applyFill="1" applyBorder="1" applyAlignment="1">
      <alignment horizontal="center" vertical="center"/>
    </xf>
    <xf numFmtId="0" fontId="43" fillId="21" borderId="42" xfId="0" applyFont="1" applyFill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23" borderId="42" xfId="0" applyFont="1" applyFill="1" applyBorder="1" applyAlignment="1">
      <alignment horizontal="center" vertical="center"/>
    </xf>
    <xf numFmtId="16" fontId="43" fillId="23" borderId="1" xfId="0" applyNumberFormat="1" applyFont="1" applyFill="1" applyBorder="1" applyAlignment="1">
      <alignment horizontal="center" vertical="center"/>
    </xf>
    <xf numFmtId="0" fontId="43" fillId="23" borderId="7" xfId="0" applyFont="1" applyFill="1" applyBorder="1" applyAlignment="1">
      <alignment horizontal="center" vertical="center"/>
    </xf>
    <xf numFmtId="164" fontId="43" fillId="23" borderId="7" xfId="0" applyNumberFormat="1" applyFont="1" applyFill="1" applyBorder="1" applyAlignment="1">
      <alignment horizontal="center" vertical="center"/>
    </xf>
    <xf numFmtId="0" fontId="43" fillId="23" borderId="0" xfId="0" applyFont="1" applyFill="1" applyAlignment="1">
      <alignment horizontal="center" vertical="center"/>
    </xf>
    <xf numFmtId="164" fontId="43" fillId="23" borderId="0" xfId="0" applyNumberFormat="1" applyFont="1" applyFill="1" applyAlignment="1">
      <alignment horizontal="center" vertical="center"/>
    </xf>
    <xf numFmtId="15" fontId="43" fillId="23" borderId="46" xfId="0" applyNumberFormat="1" applyFont="1" applyFill="1" applyBorder="1" applyAlignment="1">
      <alignment horizontal="center" vertical="center"/>
    </xf>
    <xf numFmtId="0" fontId="43" fillId="23" borderId="5" xfId="0" applyFont="1" applyFill="1" applyBorder="1" applyAlignment="1">
      <alignment horizontal="center" vertical="center"/>
    </xf>
    <xf numFmtId="164" fontId="43" fillId="23" borderId="5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vertical="center" wrapText="1"/>
    </xf>
    <xf numFmtId="0" fontId="43" fillId="0" borderId="1" xfId="7" applyFont="1" applyBorder="1" applyAlignment="1">
      <alignment horizontal="left" vertical="center" wrapText="1"/>
    </xf>
    <xf numFmtId="164" fontId="43" fillId="0" borderId="7" xfId="0" applyNumberFormat="1" applyFont="1" applyBorder="1" applyAlignment="1">
      <alignment horizontal="center" vertical="center"/>
    </xf>
    <xf numFmtId="16" fontId="43" fillId="0" borderId="1" xfId="0" applyNumberFormat="1" applyFont="1" applyBorder="1" applyAlignment="1">
      <alignment horizontal="center" vertical="center"/>
    </xf>
    <xf numFmtId="0" fontId="43" fillId="24" borderId="1" xfId="7" applyFont="1" applyFill="1" applyBorder="1" applyAlignment="1">
      <alignment horizontal="left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21" borderId="42" xfId="7" applyFont="1" applyFill="1" applyBorder="1" applyAlignment="1">
      <alignment horizontal="left" vertical="center" wrapText="1"/>
    </xf>
    <xf numFmtId="164" fontId="43" fillId="0" borderId="42" xfId="0" applyNumberFormat="1" applyFont="1" applyBorder="1" applyAlignment="1">
      <alignment horizontal="center" vertical="center"/>
    </xf>
    <xf numFmtId="0" fontId="43" fillId="20" borderId="1" xfId="0" applyFont="1" applyFill="1" applyBorder="1" applyAlignment="1">
      <alignment horizontal="center" vertical="center"/>
    </xf>
    <xf numFmtId="0" fontId="43" fillId="20" borderId="1" xfId="0" applyFont="1" applyFill="1" applyBorder="1" applyAlignment="1">
      <alignment vertical="center" wrapText="1"/>
    </xf>
    <xf numFmtId="0" fontId="43" fillId="20" borderId="1" xfId="7" applyFont="1" applyFill="1" applyBorder="1" applyAlignment="1">
      <alignment horizontal="left" vertical="center" wrapText="1"/>
    </xf>
    <xf numFmtId="0" fontId="43" fillId="24" borderId="1" xfId="0" applyFont="1" applyFill="1" applyBorder="1" applyAlignment="1">
      <alignment vertical="center" wrapText="1"/>
    </xf>
    <xf numFmtId="0" fontId="43" fillId="21" borderId="1" xfId="7" applyFont="1" applyFill="1" applyBorder="1" applyAlignment="1">
      <alignment vertical="center" wrapText="1"/>
    </xf>
    <xf numFmtId="0" fontId="43" fillId="24" borderId="1" xfId="7" applyFont="1" applyFill="1" applyBorder="1" applyAlignment="1">
      <alignment vertical="center" wrapText="1"/>
    </xf>
    <xf numFmtId="0" fontId="43" fillId="23" borderId="1" xfId="7" applyFont="1" applyFill="1" applyBorder="1" applyAlignment="1">
      <alignment vertical="center" wrapText="1"/>
    </xf>
    <xf numFmtId="0" fontId="43" fillId="25" borderId="1" xfId="0" applyFont="1" applyFill="1" applyBorder="1" applyAlignment="1">
      <alignment horizontal="center" vertical="center"/>
    </xf>
    <xf numFmtId="0" fontId="43" fillId="25" borderId="1" xfId="0" applyFont="1" applyFill="1" applyBorder="1" applyAlignment="1">
      <alignment vertical="center" wrapText="1"/>
    </xf>
    <xf numFmtId="0" fontId="43" fillId="25" borderId="2" xfId="7" applyFont="1" applyFill="1" applyBorder="1" applyAlignment="1">
      <alignment horizontal="left" vertical="center" wrapText="1"/>
    </xf>
    <xf numFmtId="0" fontId="43" fillId="25" borderId="2" xfId="0" applyFont="1" applyFill="1" applyBorder="1" applyAlignment="1">
      <alignment horizontal="center" vertical="center"/>
    </xf>
    <xf numFmtId="0" fontId="43" fillId="25" borderId="1" xfId="7" applyFont="1" applyFill="1" applyBorder="1" applyAlignment="1">
      <alignment vertical="center" wrapText="1"/>
    </xf>
    <xf numFmtId="0" fontId="43" fillId="25" borderId="1" xfId="7" applyFont="1" applyFill="1" applyBorder="1" applyAlignment="1">
      <alignment horizontal="left" vertical="center" wrapText="1"/>
    </xf>
    <xf numFmtId="0" fontId="43" fillId="25" borderId="2" xfId="0" applyFont="1" applyFill="1" applyBorder="1" applyAlignment="1">
      <alignment vertical="center" wrapText="1"/>
    </xf>
    <xf numFmtId="2" fontId="43" fillId="0" borderId="1" xfId="0" applyNumberFormat="1" applyFont="1" applyBorder="1" applyAlignment="1">
      <alignment horizontal="center" vertical="center"/>
    </xf>
    <xf numFmtId="171" fontId="43" fillId="0" borderId="2" xfId="0" applyNumberFormat="1" applyFont="1" applyBorder="1" applyAlignment="1">
      <alignment horizontal="center" vertical="center"/>
    </xf>
    <xf numFmtId="0" fontId="43" fillId="25" borderId="7" xfId="0" applyFont="1" applyFill="1" applyBorder="1" applyAlignment="1">
      <alignment horizontal="center" vertical="center"/>
    </xf>
    <xf numFmtId="171" fontId="43" fillId="0" borderId="1" xfId="0" applyNumberFormat="1" applyFont="1" applyBorder="1" applyAlignment="1">
      <alignment horizontal="center" vertical="center"/>
    </xf>
    <xf numFmtId="171" fontId="43" fillId="5" borderId="1" xfId="0" applyNumberFormat="1" applyFont="1" applyFill="1" applyBorder="1" applyAlignment="1">
      <alignment horizontal="center" vertical="center"/>
    </xf>
    <xf numFmtId="171" fontId="43" fillId="23" borderId="1" xfId="0" applyNumberFormat="1" applyFont="1" applyFill="1" applyBorder="1" applyAlignment="1">
      <alignment horizontal="center" vertical="center"/>
    </xf>
    <xf numFmtId="16" fontId="43" fillId="0" borderId="7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3" fillId="25" borderId="5" xfId="0" applyFont="1" applyFill="1" applyBorder="1" applyAlignment="1">
      <alignment horizontal="center" vertical="center"/>
    </xf>
    <xf numFmtId="0" fontId="43" fillId="26" borderId="5" xfId="0" applyFont="1" applyFill="1" applyBorder="1" applyAlignment="1">
      <alignment horizontal="center" vertical="center"/>
    </xf>
    <xf numFmtId="0" fontId="43" fillId="25" borderId="46" xfId="0" applyFont="1" applyFill="1" applyBorder="1" applyAlignment="1">
      <alignment horizontal="center" vertical="center"/>
    </xf>
    <xf numFmtId="0" fontId="43" fillId="25" borderId="44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0" fontId="43" fillId="23" borderId="22" xfId="0" applyFont="1" applyFill="1" applyBorder="1" applyAlignment="1">
      <alignment horizontal="center" vertical="center"/>
    </xf>
    <xf numFmtId="0" fontId="43" fillId="23" borderId="14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43" fillId="23" borderId="1" xfId="0" applyFont="1" applyFill="1" applyBorder="1" applyAlignment="1">
      <alignment horizontal="center" vertical="center"/>
    </xf>
    <xf numFmtId="0" fontId="43" fillId="23" borderId="22" xfId="0" applyFont="1" applyFill="1" applyBorder="1" applyAlignment="1">
      <alignment horizontal="center" vertical="center"/>
    </xf>
    <xf numFmtId="171" fontId="43" fillId="23" borderId="5" xfId="0" applyNumberFormat="1" applyFont="1" applyFill="1" applyBorder="1" applyAlignment="1">
      <alignment horizontal="center" vertical="center"/>
    </xf>
    <xf numFmtId="0" fontId="43" fillId="23" borderId="5" xfId="0" applyFont="1" applyFill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23" borderId="5" xfId="0" applyFont="1" applyFill="1" applyBorder="1" applyAlignment="1">
      <alignment vertical="center" wrapText="1"/>
    </xf>
    <xf numFmtId="0" fontId="43" fillId="23" borderId="5" xfId="7" applyFont="1" applyFill="1" applyBorder="1" applyAlignment="1">
      <alignment horizontal="left" vertical="center" wrapText="1"/>
    </xf>
    <xf numFmtId="16" fontId="43" fillId="0" borderId="2" xfId="0" applyNumberFormat="1" applyFont="1" applyBorder="1" applyAlignment="1">
      <alignment horizontal="center" vertical="center"/>
    </xf>
    <xf numFmtId="16" fontId="43" fillId="0" borderId="7" xfId="0" applyNumberFormat="1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25" borderId="2" xfId="0" applyFont="1" applyFill="1" applyBorder="1" applyAlignment="1">
      <alignment horizontal="center" vertical="center"/>
    </xf>
    <xf numFmtId="0" fontId="43" fillId="25" borderId="7" xfId="0" applyFont="1" applyFill="1" applyBorder="1" applyAlignment="1">
      <alignment horizontal="center" vertical="center"/>
    </xf>
    <xf numFmtId="0" fontId="43" fillId="26" borderId="5" xfId="0" applyFont="1" applyFill="1" applyBorder="1" applyAlignment="1">
      <alignment horizontal="center" vertical="center"/>
    </xf>
    <xf numFmtId="0" fontId="43" fillId="25" borderId="46" xfId="0" applyFont="1" applyFill="1" applyBorder="1" applyAlignment="1">
      <alignment horizontal="center" vertical="center"/>
    </xf>
    <xf numFmtId="0" fontId="43" fillId="25" borderId="47" xfId="0" applyFont="1" applyFill="1" applyBorder="1" applyAlignment="1">
      <alignment horizontal="center" vertical="center"/>
    </xf>
    <xf numFmtId="0" fontId="43" fillId="25" borderId="2" xfId="0" applyFont="1" applyFill="1" applyBorder="1" applyAlignment="1">
      <alignment vertical="center" wrapText="1"/>
    </xf>
    <xf numFmtId="0" fontId="43" fillId="25" borderId="7" xfId="0" applyFont="1" applyFill="1" applyBorder="1" applyAlignment="1">
      <alignment vertical="center" wrapText="1"/>
    </xf>
    <xf numFmtId="0" fontId="43" fillId="25" borderId="2" xfId="7" applyFont="1" applyFill="1" applyBorder="1" applyAlignment="1">
      <alignment horizontal="left" vertical="center" wrapText="1"/>
    </xf>
    <xf numFmtId="0" fontId="43" fillId="25" borderId="7" xfId="7" applyFont="1" applyFill="1" applyBorder="1" applyAlignment="1">
      <alignment horizontal="left" vertical="center" wrapText="1"/>
    </xf>
    <xf numFmtId="0" fontId="43" fillId="25" borderId="42" xfId="0" applyFont="1" applyFill="1" applyBorder="1" applyAlignment="1">
      <alignment horizontal="center" vertical="center"/>
    </xf>
    <xf numFmtId="0" fontId="43" fillId="25" borderId="2" xfId="0" applyFont="1" applyFill="1" applyBorder="1" applyAlignment="1">
      <alignment horizontal="center" vertical="center" wrapText="1"/>
    </xf>
    <xf numFmtId="0" fontId="43" fillId="25" borderId="42" xfId="0" applyFont="1" applyFill="1" applyBorder="1" applyAlignment="1">
      <alignment horizontal="center" vertical="center" wrapText="1"/>
    </xf>
    <xf numFmtId="0" fontId="43" fillId="25" borderId="7" xfId="0" applyFont="1" applyFill="1" applyBorder="1" applyAlignment="1">
      <alignment horizontal="center" vertical="center" wrapText="1"/>
    </xf>
    <xf numFmtId="0" fontId="43" fillId="25" borderId="2" xfId="7" applyFont="1" applyFill="1" applyBorder="1" applyAlignment="1">
      <alignment horizontal="center" vertical="center" wrapText="1"/>
    </xf>
    <xf numFmtId="0" fontId="43" fillId="25" borderId="42" xfId="7" applyFont="1" applyFill="1" applyBorder="1" applyAlignment="1">
      <alignment horizontal="center" vertical="center" wrapText="1"/>
    </xf>
    <xf numFmtId="0" fontId="43" fillId="25" borderId="7" xfId="7" applyFont="1" applyFill="1" applyBorder="1" applyAlignment="1">
      <alignment horizontal="center" vertical="center" wrapText="1"/>
    </xf>
    <xf numFmtId="0" fontId="43" fillId="25" borderId="2" xfId="7" applyFont="1" applyFill="1" applyBorder="1" applyAlignment="1">
      <alignment vertical="center" wrapText="1"/>
    </xf>
    <xf numFmtId="171" fontId="43" fillId="0" borderId="2" xfId="0" applyNumberFormat="1" applyFont="1" applyBorder="1" applyAlignment="1">
      <alignment horizontal="center" vertical="center"/>
    </xf>
    <xf numFmtId="171" fontId="43" fillId="0" borderId="7" xfId="0" applyNumberFormat="1" applyFont="1" applyBorder="1" applyAlignment="1">
      <alignment horizontal="center" vertical="center"/>
    </xf>
    <xf numFmtId="0" fontId="43" fillId="23" borderId="2" xfId="0" applyFont="1" applyFill="1" applyBorder="1" applyAlignment="1">
      <alignment horizontal="center" vertical="center"/>
    </xf>
    <xf numFmtId="0" fontId="43" fillId="23" borderId="7" xfId="0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horizontal="center" vertical="center" wrapText="1"/>
    </xf>
    <xf numFmtId="0" fontId="43" fillId="23" borderId="7" xfId="0" applyFont="1" applyFill="1" applyBorder="1" applyAlignment="1">
      <alignment horizontal="center" vertical="center" wrapText="1"/>
    </xf>
    <xf numFmtId="0" fontId="43" fillId="23" borderId="2" xfId="7" applyFont="1" applyFill="1" applyBorder="1" applyAlignment="1">
      <alignment horizontal="center" vertical="center" wrapText="1"/>
    </xf>
    <xf numFmtId="0" fontId="43" fillId="23" borderId="7" xfId="7" applyFont="1" applyFill="1" applyBorder="1" applyAlignment="1">
      <alignment horizontal="center" vertical="center" wrapText="1"/>
    </xf>
    <xf numFmtId="171" fontId="43" fillId="23" borderId="2" xfId="0" applyNumberFormat="1" applyFont="1" applyFill="1" applyBorder="1" applyAlignment="1">
      <alignment horizontal="center" vertical="center"/>
    </xf>
    <xf numFmtId="171" fontId="43" fillId="23" borderId="7" xfId="0" applyNumberFormat="1" applyFont="1" applyFill="1" applyBorder="1" applyAlignment="1">
      <alignment horizontal="center" vertical="center"/>
    </xf>
    <xf numFmtId="171" fontId="43" fillId="0" borderId="42" xfId="0" applyNumberFormat="1" applyFont="1" applyBorder="1" applyAlignment="1">
      <alignment horizontal="center" vertical="center"/>
    </xf>
    <xf numFmtId="0" fontId="43" fillId="25" borderId="42" xfId="7" applyFont="1" applyFill="1" applyBorder="1" applyAlignment="1">
      <alignment horizontal="left" vertical="center" wrapText="1"/>
    </xf>
    <xf numFmtId="164" fontId="43" fillId="23" borderId="1" xfId="0" applyNumberFormat="1" applyFont="1" applyFill="1" applyBorder="1" applyAlignment="1">
      <alignment horizontal="center" vertical="center"/>
    </xf>
    <xf numFmtId="164" fontId="43" fillId="23" borderId="2" xfId="0" applyNumberFormat="1" applyFont="1" applyFill="1" applyBorder="1" applyAlignment="1">
      <alignment horizontal="center" vertical="center"/>
    </xf>
    <xf numFmtId="0" fontId="43" fillId="23" borderId="1" xfId="0" applyFont="1" applyFill="1" applyBorder="1" applyAlignment="1">
      <alignment vertical="center" wrapText="1"/>
    </xf>
    <xf numFmtId="0" fontId="43" fillId="23" borderId="1" xfId="7" applyFont="1" applyFill="1" applyBorder="1" applyAlignment="1">
      <alignment horizontal="left" vertical="center" wrapText="1"/>
    </xf>
    <xf numFmtId="15" fontId="43" fillId="23" borderId="2" xfId="0" applyNumberFormat="1" applyFont="1" applyFill="1" applyBorder="1" applyAlignment="1">
      <alignment horizontal="center" vertical="center"/>
    </xf>
    <xf numFmtId="0" fontId="43" fillId="23" borderId="42" xfId="0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vertical="center" wrapText="1"/>
    </xf>
    <xf numFmtId="0" fontId="43" fillId="23" borderId="2" xfId="7" applyFont="1" applyFill="1" applyBorder="1" applyAlignment="1">
      <alignment horizontal="left" vertical="center" wrapText="1"/>
    </xf>
    <xf numFmtId="164" fontId="43" fillId="23" borderId="42" xfId="0" applyNumberFormat="1" applyFont="1" applyFill="1" applyBorder="1" applyAlignment="1">
      <alignment horizontal="center" vertical="center"/>
    </xf>
    <xf numFmtId="164" fontId="43" fillId="23" borderId="7" xfId="0" applyNumberFormat="1" applyFont="1" applyFill="1" applyBorder="1" applyAlignment="1">
      <alignment horizontal="center" vertical="center"/>
    </xf>
    <xf numFmtId="0" fontId="43" fillId="23" borderId="42" xfId="0" applyFont="1" applyFill="1" applyBorder="1" applyAlignment="1">
      <alignment vertical="center" wrapText="1"/>
    </xf>
    <xf numFmtId="0" fontId="43" fillId="23" borderId="7" xfId="0" applyFont="1" applyFill="1" applyBorder="1" applyAlignment="1">
      <alignment vertical="center" wrapText="1"/>
    </xf>
    <xf numFmtId="0" fontId="43" fillId="23" borderId="2" xfId="7" applyFont="1" applyFill="1" applyBorder="1" applyAlignment="1">
      <alignment vertical="center" wrapText="1"/>
    </xf>
    <xf numFmtId="0" fontId="43" fillId="23" borderId="42" xfId="7" applyFont="1" applyFill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43" fillId="25" borderId="1" xfId="0" applyFont="1" applyFill="1" applyBorder="1" applyAlignment="1">
      <alignment vertical="center" wrapText="1"/>
    </xf>
    <xf numFmtId="0" fontId="43" fillId="5" borderId="2" xfId="0" applyFont="1" applyFill="1" applyBorder="1" applyAlignment="1">
      <alignment horizontal="center" vertical="center"/>
    </xf>
    <xf numFmtId="0" fontId="43" fillId="5" borderId="7" xfId="0" applyFont="1" applyFill="1" applyBorder="1" applyAlignment="1">
      <alignment horizontal="center" vertical="center"/>
    </xf>
    <xf numFmtId="164" fontId="43" fillId="0" borderId="7" xfId="0" applyNumberFormat="1" applyFont="1" applyBorder="1" applyAlignment="1">
      <alignment horizontal="center" vertical="center"/>
    </xf>
    <xf numFmtId="164" fontId="43" fillId="5" borderId="2" xfId="0" applyNumberFormat="1" applyFont="1" applyFill="1" applyBorder="1" applyAlignment="1">
      <alignment horizontal="center" vertical="center"/>
    </xf>
    <xf numFmtId="164" fontId="43" fillId="5" borderId="7" xfId="0" applyNumberFormat="1" applyFont="1" applyFill="1" applyBorder="1" applyAlignment="1">
      <alignment horizontal="center" vertical="center"/>
    </xf>
    <xf numFmtId="0" fontId="43" fillId="24" borderId="2" xfId="0" applyFont="1" applyFill="1" applyBorder="1" applyAlignment="1">
      <alignment horizontal="center" vertical="center"/>
    </xf>
    <xf numFmtId="0" fontId="43" fillId="24" borderId="7" xfId="0" applyFont="1" applyFill="1" applyBorder="1" applyAlignment="1">
      <alignment horizontal="center" vertical="center"/>
    </xf>
    <xf numFmtId="0" fontId="43" fillId="21" borderId="2" xfId="0" applyFont="1" applyFill="1" applyBorder="1" applyAlignment="1">
      <alignment horizontal="center" vertical="center"/>
    </xf>
    <xf numFmtId="0" fontId="43" fillId="21" borderId="7" xfId="0" applyFont="1" applyFill="1" applyBorder="1" applyAlignment="1">
      <alignment horizontal="center" vertical="center"/>
    </xf>
    <xf numFmtId="0" fontId="43" fillId="21" borderId="2" xfId="0" applyFont="1" applyFill="1" applyBorder="1" applyAlignment="1">
      <alignment horizontal="center" vertical="center" wrapText="1"/>
    </xf>
    <xf numFmtId="0" fontId="43" fillId="21" borderId="7" xfId="0" applyFont="1" applyFill="1" applyBorder="1" applyAlignment="1">
      <alignment horizontal="center" vertical="center" wrapText="1"/>
    </xf>
    <xf numFmtId="0" fontId="43" fillId="24" borderId="2" xfId="7" applyFont="1" applyFill="1" applyBorder="1" applyAlignment="1">
      <alignment horizontal="center" vertical="center" wrapText="1"/>
    </xf>
    <xf numFmtId="0" fontId="43" fillId="24" borderId="7" xfId="7" applyFont="1" applyFill="1" applyBorder="1" applyAlignment="1">
      <alignment horizontal="center" vertical="center" wrapText="1"/>
    </xf>
    <xf numFmtId="0" fontId="43" fillId="21" borderId="2" xfId="7" applyFont="1" applyFill="1" applyBorder="1" applyAlignment="1">
      <alignment horizontal="center" vertical="center" wrapText="1"/>
    </xf>
    <xf numFmtId="0" fontId="43" fillId="21" borderId="7" xfId="7" applyFont="1" applyFill="1" applyBorder="1" applyAlignment="1">
      <alignment horizontal="center" vertical="center" wrapText="1"/>
    </xf>
    <xf numFmtId="15" fontId="43" fillId="23" borderId="1" xfId="0" applyNumberFormat="1" applyFont="1" applyFill="1" applyBorder="1" applyAlignment="1">
      <alignment horizontal="center" vertical="center"/>
    </xf>
    <xf numFmtId="0" fontId="43" fillId="24" borderId="2" xfId="0" applyFont="1" applyFill="1" applyBorder="1" applyAlignment="1">
      <alignment vertical="center" wrapText="1"/>
    </xf>
    <xf numFmtId="0" fontId="43" fillId="24" borderId="2" xfId="7" applyFont="1" applyFill="1" applyBorder="1" applyAlignment="1">
      <alignment horizontal="left" vertical="center" wrapText="1"/>
    </xf>
    <xf numFmtId="0" fontId="43" fillId="21" borderId="2" xfId="7" applyFont="1" applyFill="1" applyBorder="1" applyAlignment="1">
      <alignment vertical="center" wrapText="1"/>
    </xf>
    <xf numFmtId="0" fontId="43" fillId="21" borderId="7" xfId="7" applyFont="1" applyFill="1" applyBorder="1" applyAlignment="1">
      <alignment horizontal="left" vertical="center" wrapText="1"/>
    </xf>
    <xf numFmtId="0" fontId="43" fillId="21" borderId="1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vertical="center" wrapText="1"/>
    </xf>
    <xf numFmtId="0" fontId="43" fillId="24" borderId="1" xfId="7" applyFont="1" applyFill="1" applyBorder="1" applyAlignment="1">
      <alignment horizontal="left" vertical="center" wrapText="1"/>
    </xf>
    <xf numFmtId="0" fontId="43" fillId="23" borderId="46" xfId="0" applyFont="1" applyFill="1" applyBorder="1" applyAlignment="1">
      <alignment horizontal="center" vertical="center"/>
    </xf>
    <xf numFmtId="0" fontId="43" fillId="23" borderId="2" xfId="0" applyFont="1" applyFill="1" applyBorder="1" applyAlignment="1">
      <alignment vertical="center"/>
    </xf>
    <xf numFmtId="0" fontId="43" fillId="23" borderId="42" xfId="0" applyFont="1" applyFill="1" applyBorder="1" applyAlignment="1">
      <alignment vertical="center"/>
    </xf>
    <xf numFmtId="0" fontId="43" fillId="23" borderId="7" xfId="0" applyFont="1" applyFill="1" applyBorder="1" applyAlignment="1">
      <alignment vertical="center"/>
    </xf>
    <xf numFmtId="0" fontId="43" fillId="23" borderId="42" xfId="0" applyFont="1" applyFill="1" applyBorder="1" applyAlignment="1">
      <alignment horizontal="center" vertical="center" wrapText="1"/>
    </xf>
    <xf numFmtId="16" fontId="43" fillId="23" borderId="1" xfId="0" applyNumberFormat="1" applyFont="1" applyFill="1" applyBorder="1" applyAlignment="1">
      <alignment horizontal="center" vertical="center"/>
    </xf>
    <xf numFmtId="16" fontId="43" fillId="23" borderId="2" xfId="0" applyNumberFormat="1" applyFont="1" applyFill="1" applyBorder="1" applyAlignment="1">
      <alignment horizontal="center" vertical="center"/>
    </xf>
    <xf numFmtId="0" fontId="43" fillId="21" borderId="2" xfId="0" applyFont="1" applyFill="1" applyBorder="1" applyAlignment="1">
      <alignment vertical="center" wrapText="1"/>
    </xf>
    <xf numFmtId="164" fontId="43" fillId="5" borderId="42" xfId="0" applyNumberFormat="1" applyFont="1" applyFill="1" applyBorder="1" applyAlignment="1">
      <alignment horizontal="center" vertical="center"/>
    </xf>
    <xf numFmtId="0" fontId="43" fillId="24" borderId="42" xfId="0" applyFont="1" applyFill="1" applyBorder="1" applyAlignment="1">
      <alignment horizontal="center" vertical="center"/>
    </xf>
    <xf numFmtId="0" fontId="43" fillId="21" borderId="42" xfId="0" applyFont="1" applyFill="1" applyBorder="1" applyAlignment="1">
      <alignment horizontal="center" vertical="center"/>
    </xf>
    <xf numFmtId="0" fontId="43" fillId="21" borderId="42" xfId="0" applyFont="1" applyFill="1" applyBorder="1" applyAlignment="1">
      <alignment horizontal="center" vertical="center" wrapText="1"/>
    </xf>
    <xf numFmtId="0" fontId="43" fillId="21" borderId="42" xfId="7" applyFont="1" applyFill="1" applyBorder="1" applyAlignment="1">
      <alignment horizontal="center" vertical="center" wrapText="1"/>
    </xf>
    <xf numFmtId="0" fontId="43" fillId="5" borderId="42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0" fontId="44" fillId="21" borderId="1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vertical="center" wrapText="1"/>
    </xf>
    <xf numFmtId="0" fontId="43" fillId="5" borderId="1" xfId="7" applyFont="1" applyFill="1" applyBorder="1" applyAlignment="1">
      <alignment vertical="center" wrapText="1"/>
    </xf>
    <xf numFmtId="0" fontId="43" fillId="5" borderId="1" xfId="7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horizontal="center" vertical="center"/>
    </xf>
    <xf numFmtId="0" fontId="48" fillId="0" borderId="1" xfId="0" applyFont="1" applyBorder="1"/>
    <xf numFmtId="0" fontId="48" fillId="0" borderId="1" xfId="0" applyFont="1" applyBorder="1" applyAlignment="1">
      <alignment horizontal="center" vertical="center"/>
    </xf>
    <xf numFmtId="14" fontId="48" fillId="0" borderId="1" xfId="0" applyNumberFormat="1" applyFont="1" applyBorder="1" applyAlignment="1">
      <alignment horizontal="center" vertical="center"/>
    </xf>
    <xf numFmtId="14" fontId="47" fillId="0" borderId="1" xfId="0" applyNumberFormat="1" applyFont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center" vertical="center"/>
    </xf>
    <xf numFmtId="0" fontId="48" fillId="5" borderId="1" xfId="0" applyFont="1" applyFill="1" applyBorder="1" applyAlignment="1">
      <alignment vertical="center" wrapText="1"/>
    </xf>
    <xf numFmtId="0" fontId="48" fillId="5" borderId="1" xfId="7" applyFont="1" applyFill="1" applyBorder="1" applyAlignment="1">
      <alignment vertical="center" wrapText="1"/>
    </xf>
    <xf numFmtId="164" fontId="48" fillId="5" borderId="1" xfId="0" applyNumberFormat="1" applyFont="1" applyFill="1" applyBorder="1" applyAlignment="1">
      <alignment horizontal="center" vertical="center"/>
    </xf>
    <xf numFmtId="164" fontId="48" fillId="5" borderId="1" xfId="0" applyNumberFormat="1" applyFont="1" applyFill="1" applyBorder="1" applyAlignment="1">
      <alignment horizontal="center" vertical="center"/>
    </xf>
    <xf numFmtId="0" fontId="48" fillId="5" borderId="1" xfId="7" applyFont="1" applyFill="1" applyBorder="1" applyAlignment="1">
      <alignment horizontal="left" vertical="center" wrapText="1"/>
    </xf>
    <xf numFmtId="0" fontId="48" fillId="23" borderId="1" xfId="0" applyFont="1" applyFill="1" applyBorder="1" applyAlignment="1">
      <alignment horizontal="center" vertical="center"/>
    </xf>
    <xf numFmtId="0" fontId="48" fillId="23" borderId="1" xfId="0" applyFont="1" applyFill="1" applyBorder="1" applyAlignment="1">
      <alignment vertical="center" wrapText="1"/>
    </xf>
    <xf numFmtId="0" fontId="48" fillId="23" borderId="1" xfId="7" applyFont="1" applyFill="1" applyBorder="1" applyAlignment="1">
      <alignment horizontal="left" vertical="center" wrapText="1"/>
    </xf>
    <xf numFmtId="164" fontId="48" fillId="23" borderId="1" xfId="0" applyNumberFormat="1" applyFont="1" applyFill="1" applyBorder="1" applyAlignment="1">
      <alignment horizontal="center" vertical="center"/>
    </xf>
    <xf numFmtId="0" fontId="48" fillId="23" borderId="1" xfId="0" applyFont="1" applyFill="1" applyBorder="1" applyAlignment="1">
      <alignment horizontal="center" vertical="center"/>
    </xf>
    <xf numFmtId="164" fontId="48" fillId="23" borderId="1" xfId="0" applyNumberFormat="1" applyFont="1" applyFill="1" applyBorder="1" applyAlignment="1">
      <alignment horizontal="center" vertical="center"/>
    </xf>
    <xf numFmtId="15" fontId="48" fillId="23" borderId="1" xfId="0" applyNumberFormat="1" applyFont="1" applyFill="1" applyBorder="1" applyAlignment="1">
      <alignment horizontal="center" vertical="center"/>
    </xf>
    <xf numFmtId="0" fontId="48" fillId="23" borderId="1" xfId="0" applyFont="1" applyFill="1" applyBorder="1" applyAlignment="1">
      <alignment vertical="center" wrapText="1"/>
    </xf>
    <xf numFmtId="0" fontId="48" fillId="23" borderId="1" xfId="7" applyFont="1" applyFill="1" applyBorder="1" applyAlignment="1">
      <alignment horizontal="left" vertical="center" wrapText="1"/>
    </xf>
    <xf numFmtId="0" fontId="48" fillId="23" borderId="2" xfId="0" applyFont="1" applyFill="1" applyBorder="1" applyAlignment="1">
      <alignment horizontal="center" vertical="center"/>
    </xf>
    <xf numFmtId="0" fontId="48" fillId="23" borderId="2" xfId="0" applyFont="1" applyFill="1" applyBorder="1" applyAlignment="1">
      <alignment vertical="center" wrapText="1"/>
    </xf>
    <xf numFmtId="0" fontId="48" fillId="23" borderId="2" xfId="7" applyFont="1" applyFill="1" applyBorder="1" applyAlignment="1">
      <alignment vertical="center" wrapText="1"/>
    </xf>
    <xf numFmtId="164" fontId="48" fillId="23" borderId="2" xfId="0" applyNumberFormat="1" applyFont="1" applyFill="1" applyBorder="1" applyAlignment="1">
      <alignment horizontal="center" vertical="center"/>
    </xf>
    <xf numFmtId="15" fontId="48" fillId="23" borderId="2" xfId="0" applyNumberFormat="1" applyFont="1" applyFill="1" applyBorder="1" applyAlignment="1">
      <alignment horizontal="center" vertical="center"/>
    </xf>
    <xf numFmtId="0" fontId="48" fillId="23" borderId="2" xfId="7" applyFont="1" applyFill="1" applyBorder="1" applyAlignment="1">
      <alignment horizontal="left" vertical="center" wrapText="1"/>
    </xf>
    <xf numFmtId="0" fontId="48" fillId="24" borderId="1" xfId="0" applyFont="1" applyFill="1" applyBorder="1" applyAlignment="1">
      <alignment horizontal="center" vertical="center"/>
    </xf>
    <xf numFmtId="0" fontId="48" fillId="21" borderId="1" xfId="0" applyFont="1" applyFill="1" applyBorder="1" applyAlignment="1">
      <alignment horizontal="center" vertical="center"/>
    </xf>
    <xf numFmtId="0" fontId="48" fillId="21" borderId="1" xfId="0" applyFont="1" applyFill="1" applyBorder="1" applyAlignment="1">
      <alignment vertical="center" wrapText="1"/>
    </xf>
    <xf numFmtId="0" fontId="48" fillId="21" borderId="1" xfId="7" applyFont="1" applyFill="1" applyBorder="1" applyAlignment="1">
      <alignment horizontal="left" vertical="center" wrapText="1"/>
    </xf>
    <xf numFmtId="164" fontId="48" fillId="0" borderId="1" xfId="0" applyNumberFormat="1" applyFont="1" applyBorder="1" applyAlignment="1">
      <alignment horizontal="center" vertical="center"/>
    </xf>
    <xf numFmtId="0" fontId="48" fillId="5" borderId="1" xfId="0" applyFont="1" applyFill="1" applyBorder="1" applyAlignment="1">
      <alignment vertical="center" wrapText="1"/>
    </xf>
    <xf numFmtId="0" fontId="48" fillId="5" borderId="1" xfId="7" applyFont="1" applyFill="1" applyBorder="1" applyAlignment="1">
      <alignment horizontal="left" vertical="center" wrapText="1"/>
    </xf>
    <xf numFmtId="0" fontId="48" fillId="24" borderId="2" xfId="0" applyFont="1" applyFill="1" applyBorder="1" applyAlignment="1">
      <alignment horizontal="center" vertical="center"/>
    </xf>
    <xf numFmtId="0" fontId="48" fillId="21" borderId="2" xfId="0" applyFont="1" applyFill="1" applyBorder="1" applyAlignment="1">
      <alignment horizontal="center" vertical="center"/>
    </xf>
    <xf numFmtId="0" fontId="48" fillId="21" borderId="2" xfId="0" applyFont="1" applyFill="1" applyBorder="1" applyAlignment="1">
      <alignment horizontal="center" vertical="center" wrapText="1"/>
    </xf>
    <xf numFmtId="0" fontId="48" fillId="21" borderId="2" xfId="7" applyFont="1" applyFill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/>
    </xf>
    <xf numFmtId="0" fontId="48" fillId="5" borderId="2" xfId="0" applyFont="1" applyFill="1" applyBorder="1" applyAlignment="1">
      <alignment horizontal="center" vertical="center"/>
    </xf>
    <xf numFmtId="164" fontId="48" fillId="5" borderId="2" xfId="0" applyNumberFormat="1" applyFont="1" applyFill="1" applyBorder="1" applyAlignment="1">
      <alignment horizontal="center" vertical="center"/>
    </xf>
    <xf numFmtId="0" fontId="48" fillId="24" borderId="42" xfId="0" applyFont="1" applyFill="1" applyBorder="1" applyAlignment="1">
      <alignment horizontal="center" vertical="center"/>
    </xf>
    <xf numFmtId="0" fontId="48" fillId="21" borderId="42" xfId="0" applyFont="1" applyFill="1" applyBorder="1" applyAlignment="1">
      <alignment horizontal="center" vertical="center"/>
    </xf>
    <xf numFmtId="0" fontId="48" fillId="21" borderId="42" xfId="0" applyFont="1" applyFill="1" applyBorder="1" applyAlignment="1">
      <alignment horizontal="center" vertical="center" wrapText="1"/>
    </xf>
    <xf numFmtId="0" fontId="48" fillId="21" borderId="42" xfId="7" applyFont="1" applyFill="1" applyBorder="1" applyAlignment="1">
      <alignment horizontal="center" vertical="center" wrapText="1"/>
    </xf>
    <xf numFmtId="0" fontId="48" fillId="0" borderId="42" xfId="0" applyFont="1" applyBorder="1" applyAlignment="1">
      <alignment horizontal="center" vertical="center"/>
    </xf>
    <xf numFmtId="0" fontId="48" fillId="5" borderId="42" xfId="0" applyFont="1" applyFill="1" applyBorder="1" applyAlignment="1">
      <alignment horizontal="center" vertical="center"/>
    </xf>
    <xf numFmtId="164" fontId="48" fillId="5" borderId="42" xfId="0" applyNumberFormat="1" applyFont="1" applyFill="1" applyBorder="1" applyAlignment="1">
      <alignment horizontal="center" vertical="center"/>
    </xf>
    <xf numFmtId="0" fontId="48" fillId="5" borderId="2" xfId="0" applyFont="1" applyFill="1" applyBorder="1" applyAlignment="1">
      <alignment horizontal="center" vertical="center"/>
    </xf>
    <xf numFmtId="0" fontId="48" fillId="0" borderId="2" xfId="0" applyFont="1" applyBorder="1" applyAlignment="1">
      <alignment horizontal="center" vertical="center"/>
    </xf>
    <xf numFmtId="0" fontId="48" fillId="24" borderId="7" xfId="0" applyFont="1" applyFill="1" applyBorder="1" applyAlignment="1">
      <alignment horizontal="center" vertical="center"/>
    </xf>
    <xf numFmtId="0" fontId="48" fillId="21" borderId="7" xfId="0" applyFont="1" applyFill="1" applyBorder="1" applyAlignment="1">
      <alignment horizontal="center" vertical="center"/>
    </xf>
    <xf numFmtId="0" fontId="48" fillId="21" borderId="7" xfId="0" applyFont="1" applyFill="1" applyBorder="1" applyAlignment="1">
      <alignment horizontal="center" vertical="center" wrapText="1"/>
    </xf>
    <xf numFmtId="0" fontId="48" fillId="21" borderId="7" xfId="7" applyFont="1" applyFill="1" applyBorder="1" applyAlignment="1">
      <alignment horizontal="center" vertical="center" wrapText="1"/>
    </xf>
    <xf numFmtId="0" fontId="48" fillId="0" borderId="7" xfId="0" applyFont="1" applyBorder="1" applyAlignment="1">
      <alignment horizontal="center" vertical="center"/>
    </xf>
    <xf numFmtId="0" fontId="48" fillId="5" borderId="7" xfId="0" applyFont="1" applyFill="1" applyBorder="1" applyAlignment="1">
      <alignment horizontal="center" vertical="center"/>
    </xf>
    <xf numFmtId="164" fontId="48" fillId="5" borderId="7" xfId="0" applyNumberFormat="1" applyFont="1" applyFill="1" applyBorder="1" applyAlignment="1">
      <alignment horizontal="center" vertical="center"/>
    </xf>
    <xf numFmtId="0" fontId="48" fillId="21" borderId="2" xfId="0" applyFont="1" applyFill="1" applyBorder="1" applyAlignment="1">
      <alignment vertical="center" wrapText="1"/>
    </xf>
    <xf numFmtId="0" fontId="48" fillId="21" borderId="2" xfId="7" applyFont="1" applyFill="1" applyBorder="1" applyAlignment="1">
      <alignment vertical="center" wrapText="1"/>
    </xf>
    <xf numFmtId="0" fontId="48" fillId="23" borderId="2" xfId="0" applyFont="1" applyFill="1" applyBorder="1" applyAlignment="1">
      <alignment horizontal="center" vertical="center" wrapText="1"/>
    </xf>
    <xf numFmtId="16" fontId="48" fillId="23" borderId="2" xfId="0" applyNumberFormat="1" applyFont="1" applyFill="1" applyBorder="1" applyAlignment="1">
      <alignment horizontal="center" vertical="center"/>
    </xf>
    <xf numFmtId="0" fontId="48" fillId="23" borderId="42" xfId="0" applyFont="1" applyFill="1" applyBorder="1" applyAlignment="1">
      <alignment horizontal="center" vertical="center"/>
    </xf>
    <xf numFmtId="16" fontId="48" fillId="23" borderId="1" xfId="0" applyNumberFormat="1" applyFont="1" applyFill="1" applyBorder="1" applyAlignment="1">
      <alignment horizontal="center" vertical="center"/>
    </xf>
    <xf numFmtId="0" fontId="48" fillId="23" borderId="2" xfId="7" applyFont="1" applyFill="1" applyBorder="1" applyAlignment="1">
      <alignment horizontal="center" vertical="center" wrapText="1"/>
    </xf>
    <xf numFmtId="0" fontId="48" fillId="23" borderId="2" xfId="0" applyFont="1" applyFill="1" applyBorder="1" applyAlignment="1">
      <alignment vertical="center"/>
    </xf>
    <xf numFmtId="0" fontId="48" fillId="23" borderId="42" xfId="0" applyFont="1" applyFill="1" applyBorder="1" applyAlignment="1">
      <alignment horizontal="center" vertical="center"/>
    </xf>
    <xf numFmtId="0" fontId="48" fillId="23" borderId="42" xfId="0" applyFont="1" applyFill="1" applyBorder="1" applyAlignment="1">
      <alignment horizontal="center" vertical="center" wrapText="1"/>
    </xf>
    <xf numFmtId="0" fontId="48" fillId="23" borderId="42" xfId="7" applyFont="1" applyFill="1" applyBorder="1" applyAlignment="1">
      <alignment horizontal="center" vertical="center" wrapText="1"/>
    </xf>
    <xf numFmtId="164" fontId="48" fillId="23" borderId="42" xfId="0" applyNumberFormat="1" applyFont="1" applyFill="1" applyBorder="1" applyAlignment="1">
      <alignment horizontal="center" vertical="center"/>
    </xf>
    <xf numFmtId="0" fontId="48" fillId="23" borderId="42" xfId="0" applyFont="1" applyFill="1" applyBorder="1" applyAlignment="1">
      <alignment vertical="center"/>
    </xf>
    <xf numFmtId="0" fontId="48" fillId="23" borderId="2" xfId="0" applyFont="1" applyFill="1" applyBorder="1" applyAlignment="1">
      <alignment horizontal="center" vertical="center"/>
    </xf>
    <xf numFmtId="164" fontId="48" fillId="23" borderId="2" xfId="0" applyNumberFormat="1" applyFont="1" applyFill="1" applyBorder="1" applyAlignment="1">
      <alignment horizontal="center" vertical="center"/>
    </xf>
    <xf numFmtId="0" fontId="48" fillId="23" borderId="7" xfId="0" applyFont="1" applyFill="1" applyBorder="1" applyAlignment="1">
      <alignment horizontal="center" vertical="center"/>
    </xf>
    <xf numFmtId="0" fontId="48" fillId="23" borderId="7" xfId="0" applyFont="1" applyFill="1" applyBorder="1" applyAlignment="1">
      <alignment horizontal="center" vertical="center"/>
    </xf>
    <xf numFmtId="0" fontId="48" fillId="23" borderId="7" xfId="0" applyFont="1" applyFill="1" applyBorder="1" applyAlignment="1">
      <alignment horizontal="center" vertical="center" wrapText="1"/>
    </xf>
    <xf numFmtId="0" fontId="48" fillId="23" borderId="7" xfId="7" applyFont="1" applyFill="1" applyBorder="1" applyAlignment="1">
      <alignment horizontal="center" vertical="center" wrapText="1"/>
    </xf>
    <xf numFmtId="164" fontId="48" fillId="23" borderId="7" xfId="0" applyNumberFormat="1" applyFont="1" applyFill="1" applyBorder="1" applyAlignment="1">
      <alignment horizontal="center" vertical="center"/>
    </xf>
    <xf numFmtId="0" fontId="48" fillId="23" borderId="0" xfId="0" applyFont="1" applyFill="1" applyAlignment="1">
      <alignment horizontal="center" vertical="center"/>
    </xf>
    <xf numFmtId="15" fontId="48" fillId="23" borderId="46" xfId="0" applyNumberFormat="1" applyFont="1" applyFill="1" applyBorder="1" applyAlignment="1">
      <alignment horizontal="center" vertical="center"/>
    </xf>
    <xf numFmtId="0" fontId="48" fillId="23" borderId="7" xfId="0" applyFont="1" applyFill="1" applyBorder="1" applyAlignment="1">
      <alignment vertical="center"/>
    </xf>
    <xf numFmtId="0" fontId="48" fillId="23" borderId="5" xfId="0" applyFont="1" applyFill="1" applyBorder="1" applyAlignment="1">
      <alignment horizontal="center" vertical="center"/>
    </xf>
    <xf numFmtId="164" fontId="48" fillId="23" borderId="5" xfId="0" applyNumberFormat="1" applyFont="1" applyFill="1" applyBorder="1" applyAlignment="1">
      <alignment horizontal="center" vertical="center"/>
    </xf>
    <xf numFmtId="0" fontId="48" fillId="23" borderId="46" xfId="0" applyFont="1" applyFill="1" applyBorder="1" applyAlignment="1">
      <alignment horizontal="center" vertical="center"/>
    </xf>
    <xf numFmtId="164" fontId="48" fillId="23" borderId="7" xfId="0" applyNumberFormat="1" applyFont="1" applyFill="1" applyBorder="1" applyAlignment="1">
      <alignment horizontal="center" vertical="center"/>
    </xf>
    <xf numFmtId="16" fontId="48" fillId="23" borderId="1" xfId="0" applyNumberFormat="1" applyFont="1" applyFill="1" applyBorder="1" applyAlignment="1">
      <alignment horizontal="center" vertical="center"/>
    </xf>
    <xf numFmtId="0" fontId="48" fillId="0" borderId="1" xfId="0" applyFont="1" applyBorder="1" applyAlignment="1">
      <alignment vertical="center" wrapText="1"/>
    </xf>
    <xf numFmtId="0" fontId="48" fillId="0" borderId="1" xfId="7" applyFont="1" applyBorder="1" applyAlignment="1">
      <alignment horizontal="left" vertical="center" wrapText="1"/>
    </xf>
    <xf numFmtId="0" fontId="48" fillId="0" borderId="7" xfId="0" applyFont="1" applyBorder="1" applyAlignment="1">
      <alignment horizontal="center" vertical="center"/>
    </xf>
    <xf numFmtId="164" fontId="48" fillId="0" borderId="7" xfId="0" applyNumberFormat="1" applyFont="1" applyBorder="1" applyAlignment="1">
      <alignment horizontal="center" vertical="center"/>
    </xf>
    <xf numFmtId="16" fontId="48" fillId="0" borderId="1" xfId="0" applyNumberFormat="1" applyFont="1" applyBorder="1" applyAlignment="1">
      <alignment horizontal="center" vertical="center"/>
    </xf>
    <xf numFmtId="0" fontId="48" fillId="21" borderId="1" xfId="0" applyFont="1" applyFill="1" applyBorder="1" applyAlignment="1">
      <alignment horizontal="center" vertical="center"/>
    </xf>
    <xf numFmtId="0" fontId="48" fillId="21" borderId="1" xfId="0" applyFont="1" applyFill="1" applyBorder="1" applyAlignment="1">
      <alignment vertical="center" wrapText="1"/>
    </xf>
    <xf numFmtId="0" fontId="48" fillId="24" borderId="1" xfId="7" applyFont="1" applyFill="1" applyBorder="1" applyAlignment="1">
      <alignment horizontal="left" vertical="center" wrapText="1"/>
    </xf>
    <xf numFmtId="0" fontId="48" fillId="0" borderId="1" xfId="0" applyFont="1" applyBorder="1" applyAlignment="1">
      <alignment horizontal="center" vertical="center"/>
    </xf>
    <xf numFmtId="164" fontId="48" fillId="0" borderId="2" xfId="0" applyNumberFormat="1" applyFont="1" applyBorder="1" applyAlignment="1">
      <alignment horizontal="center" vertical="center"/>
    </xf>
    <xf numFmtId="0" fontId="48" fillId="21" borderId="7" xfId="7" applyFont="1" applyFill="1" applyBorder="1" applyAlignment="1">
      <alignment horizontal="left" vertical="center" wrapText="1"/>
    </xf>
    <xf numFmtId="164" fontId="48" fillId="0" borderId="7" xfId="0" applyNumberFormat="1" applyFont="1" applyBorder="1" applyAlignment="1">
      <alignment horizontal="center" vertical="center"/>
    </xf>
    <xf numFmtId="0" fontId="48" fillId="24" borderId="42" xfId="0" applyFont="1" applyFill="1" applyBorder="1" applyAlignment="1">
      <alignment horizontal="center" vertical="center"/>
    </xf>
    <xf numFmtId="0" fontId="48" fillId="21" borderId="42" xfId="0" applyFont="1" applyFill="1" applyBorder="1" applyAlignment="1">
      <alignment horizontal="center" vertical="center"/>
    </xf>
    <xf numFmtId="0" fontId="48" fillId="21" borderId="42" xfId="0" applyFont="1" applyFill="1" applyBorder="1" applyAlignment="1">
      <alignment horizontal="center" vertical="center" wrapText="1"/>
    </xf>
    <xf numFmtId="0" fontId="48" fillId="21" borderId="42" xfId="7" applyFont="1" applyFill="1" applyBorder="1" applyAlignment="1">
      <alignment horizontal="left" vertical="center" wrapText="1"/>
    </xf>
    <xf numFmtId="0" fontId="48" fillId="0" borderId="42" xfId="0" applyFont="1" applyBorder="1" applyAlignment="1">
      <alignment horizontal="center" vertical="center"/>
    </xf>
    <xf numFmtId="164" fontId="48" fillId="0" borderId="42" xfId="0" applyNumberFormat="1" applyFont="1" applyBorder="1" applyAlignment="1">
      <alignment horizontal="center" vertical="center"/>
    </xf>
    <xf numFmtId="164" fontId="48" fillId="0" borderId="2" xfId="0" applyNumberFormat="1" applyFont="1" applyBorder="1" applyAlignment="1">
      <alignment horizontal="center" vertical="center"/>
    </xf>
    <xf numFmtId="0" fontId="48" fillId="24" borderId="1" xfId="7" applyFont="1" applyFill="1" applyBorder="1" applyAlignment="1">
      <alignment horizontal="left" vertical="center" wrapText="1"/>
    </xf>
    <xf numFmtId="0" fontId="48" fillId="20" borderId="1" xfId="0" applyFont="1" applyFill="1" applyBorder="1" applyAlignment="1">
      <alignment horizontal="center" vertical="center"/>
    </xf>
    <xf numFmtId="0" fontId="48" fillId="20" borderId="1" xfId="0" applyFont="1" applyFill="1" applyBorder="1" applyAlignment="1">
      <alignment vertical="center" wrapText="1"/>
    </xf>
    <xf numFmtId="0" fontId="48" fillId="20" borderId="1" xfId="7" applyFont="1" applyFill="1" applyBorder="1" applyAlignment="1">
      <alignment horizontal="left" vertical="center" wrapText="1"/>
    </xf>
    <xf numFmtId="0" fontId="48" fillId="24" borderId="1" xfId="0" applyFont="1" applyFill="1" applyBorder="1" applyAlignment="1">
      <alignment vertical="center" wrapText="1"/>
    </xf>
    <xf numFmtId="0" fontId="48" fillId="24" borderId="2" xfId="0" applyFont="1" applyFill="1" applyBorder="1" applyAlignment="1">
      <alignment vertical="center" wrapText="1"/>
    </xf>
    <xf numFmtId="0" fontId="48" fillId="24" borderId="2" xfId="7" applyFont="1" applyFill="1" applyBorder="1" applyAlignment="1">
      <alignment horizontal="left" vertical="center" wrapText="1"/>
    </xf>
    <xf numFmtId="0" fontId="48" fillId="21" borderId="1" xfId="7" applyFont="1" applyFill="1" applyBorder="1" applyAlignment="1">
      <alignment vertical="center" wrapText="1"/>
    </xf>
    <xf numFmtId="0" fontId="48" fillId="24" borderId="1" xfId="7" applyFont="1" applyFill="1" applyBorder="1" applyAlignment="1">
      <alignment vertical="center" wrapText="1"/>
    </xf>
    <xf numFmtId="0" fontId="48" fillId="23" borderId="1" xfId="7" applyFont="1" applyFill="1" applyBorder="1" applyAlignment="1">
      <alignment vertical="center" wrapText="1"/>
    </xf>
    <xf numFmtId="0" fontId="48" fillId="24" borderId="2" xfId="7" applyFont="1" applyFill="1" applyBorder="1" applyAlignment="1">
      <alignment horizontal="center" vertical="center" wrapText="1"/>
    </xf>
    <xf numFmtId="0" fontId="48" fillId="24" borderId="7" xfId="7" applyFont="1" applyFill="1" applyBorder="1" applyAlignment="1">
      <alignment horizontal="center" vertical="center" wrapText="1"/>
    </xf>
    <xf numFmtId="0" fontId="48" fillId="25" borderId="1" xfId="0" applyFont="1" applyFill="1" applyBorder="1" applyAlignment="1">
      <alignment horizontal="center" vertical="center"/>
    </xf>
    <xf numFmtId="0" fontId="48" fillId="25" borderId="1" xfId="0" applyFont="1" applyFill="1" applyBorder="1" applyAlignment="1">
      <alignment vertical="center" wrapText="1"/>
    </xf>
    <xf numFmtId="0" fontId="48" fillId="25" borderId="2" xfId="7" applyFont="1" applyFill="1" applyBorder="1" applyAlignment="1">
      <alignment horizontal="left" vertical="center" wrapText="1"/>
    </xf>
    <xf numFmtId="164" fontId="48" fillId="0" borderId="1" xfId="0" applyNumberFormat="1" applyFont="1" applyBorder="1" applyAlignment="1">
      <alignment horizontal="center" vertical="center"/>
    </xf>
    <xf numFmtId="0" fontId="48" fillId="25" borderId="2" xfId="0" applyFont="1" applyFill="1" applyBorder="1" applyAlignment="1">
      <alignment horizontal="center" vertical="center"/>
    </xf>
    <xf numFmtId="0" fontId="48" fillId="25" borderId="2" xfId="0" applyFont="1" applyFill="1" applyBorder="1" applyAlignment="1">
      <alignment horizontal="center" vertical="center" wrapText="1"/>
    </xf>
    <xf numFmtId="0" fontId="48" fillId="25" borderId="2" xfId="7" applyFont="1" applyFill="1" applyBorder="1" applyAlignment="1">
      <alignment vertical="center" wrapText="1"/>
    </xf>
    <xf numFmtId="0" fontId="48" fillId="25" borderId="1" xfId="0" applyFont="1" applyFill="1" applyBorder="1" applyAlignment="1">
      <alignment horizontal="center" vertical="center"/>
    </xf>
    <xf numFmtId="0" fontId="48" fillId="25" borderId="1" xfId="0" applyFont="1" applyFill="1" applyBorder="1" applyAlignment="1">
      <alignment vertical="center" wrapText="1"/>
    </xf>
    <xf numFmtId="0" fontId="48" fillId="25" borderId="1" xfId="7" applyFont="1" applyFill="1" applyBorder="1" applyAlignment="1">
      <alignment vertical="center" wrapText="1"/>
    </xf>
    <xf numFmtId="0" fontId="48" fillId="25" borderId="1" xfId="7" applyFont="1" applyFill="1" applyBorder="1" applyAlignment="1">
      <alignment horizontal="left" vertical="center" wrapText="1"/>
    </xf>
    <xf numFmtId="0" fontId="48" fillId="25" borderId="2" xfId="0" applyFont="1" applyFill="1" applyBorder="1" applyAlignment="1">
      <alignment vertical="center" wrapText="1"/>
    </xf>
    <xf numFmtId="2" fontId="48" fillId="0" borderId="1" xfId="0" applyNumberFormat="1" applyFont="1" applyBorder="1" applyAlignment="1">
      <alignment horizontal="center" vertical="center"/>
    </xf>
    <xf numFmtId="0" fontId="48" fillId="23" borderId="42" xfId="0" applyFont="1" applyFill="1" applyBorder="1" applyAlignment="1">
      <alignment vertical="center" wrapText="1"/>
    </xf>
    <xf numFmtId="0" fontId="48" fillId="23" borderId="7" xfId="0" applyFont="1" applyFill="1" applyBorder="1" applyAlignment="1">
      <alignment vertical="center" wrapText="1"/>
    </xf>
    <xf numFmtId="171" fontId="48" fillId="0" borderId="2" xfId="0" applyNumberFormat="1" applyFont="1" applyBorder="1" applyAlignment="1">
      <alignment horizontal="center" vertical="center"/>
    </xf>
    <xf numFmtId="0" fontId="48" fillId="25" borderId="42" xfId="0" applyFont="1" applyFill="1" applyBorder="1" applyAlignment="1">
      <alignment horizontal="center" vertical="center"/>
    </xf>
    <xf numFmtId="0" fontId="48" fillId="25" borderId="42" xfId="0" applyFont="1" applyFill="1" applyBorder="1" applyAlignment="1">
      <alignment horizontal="center" vertical="center" wrapText="1"/>
    </xf>
    <xf numFmtId="0" fontId="48" fillId="25" borderId="42" xfId="7" applyFont="1" applyFill="1" applyBorder="1" applyAlignment="1">
      <alignment horizontal="left" vertical="center" wrapText="1"/>
    </xf>
    <xf numFmtId="171" fontId="48" fillId="0" borderId="42" xfId="0" applyNumberFormat="1" applyFont="1" applyBorder="1" applyAlignment="1">
      <alignment horizontal="center" vertical="center"/>
    </xf>
    <xf numFmtId="0" fontId="48" fillId="25" borderId="7" xfId="0" applyFont="1" applyFill="1" applyBorder="1" applyAlignment="1">
      <alignment horizontal="center" vertical="center"/>
    </xf>
    <xf numFmtId="0" fontId="48" fillId="25" borderId="7" xfId="0" applyFont="1" applyFill="1" applyBorder="1" applyAlignment="1">
      <alignment horizontal="center" vertical="center" wrapText="1"/>
    </xf>
    <xf numFmtId="0" fontId="48" fillId="25" borderId="7" xfId="7" applyFont="1" applyFill="1" applyBorder="1" applyAlignment="1">
      <alignment horizontal="left" vertical="center" wrapText="1"/>
    </xf>
    <xf numFmtId="171" fontId="48" fillId="0" borderId="7" xfId="0" applyNumberFormat="1" applyFont="1" applyBorder="1" applyAlignment="1">
      <alignment horizontal="center" vertical="center"/>
    </xf>
    <xf numFmtId="171" fontId="48" fillId="23" borderId="2" xfId="0" applyNumberFormat="1" applyFont="1" applyFill="1" applyBorder="1" applyAlignment="1">
      <alignment horizontal="center" vertical="center"/>
    </xf>
    <xf numFmtId="171" fontId="48" fillId="23" borderId="7" xfId="0" applyNumberFormat="1" applyFont="1" applyFill="1" applyBorder="1" applyAlignment="1">
      <alignment horizontal="center" vertical="center"/>
    </xf>
    <xf numFmtId="171" fontId="48" fillId="0" borderId="1" xfId="0" applyNumberFormat="1" applyFont="1" applyBorder="1" applyAlignment="1">
      <alignment horizontal="center" vertical="center"/>
    </xf>
    <xf numFmtId="0" fontId="48" fillId="25" borderId="7" xfId="7" applyFont="1" applyFill="1" applyBorder="1" applyAlignment="1">
      <alignment horizontal="center" vertical="center" wrapText="1"/>
    </xf>
    <xf numFmtId="171" fontId="48" fillId="5" borderId="1" xfId="0" applyNumberFormat="1" applyFont="1" applyFill="1" applyBorder="1" applyAlignment="1">
      <alignment horizontal="center" vertical="center"/>
    </xf>
    <xf numFmtId="171" fontId="48" fillId="23" borderId="1" xfId="0" applyNumberFormat="1" applyFont="1" applyFill="1" applyBorder="1" applyAlignment="1">
      <alignment horizontal="center" vertical="center"/>
    </xf>
    <xf numFmtId="0" fontId="48" fillId="25" borderId="2" xfId="7" applyFont="1" applyFill="1" applyBorder="1" applyAlignment="1">
      <alignment horizontal="center" vertical="center" wrapText="1"/>
    </xf>
    <xf numFmtId="16" fontId="48" fillId="0" borderId="2" xfId="0" applyNumberFormat="1" applyFont="1" applyBorder="1" applyAlignment="1">
      <alignment horizontal="center" vertical="center"/>
    </xf>
    <xf numFmtId="0" fontId="48" fillId="25" borderId="42" xfId="7" applyFont="1" applyFill="1" applyBorder="1" applyAlignment="1">
      <alignment horizontal="center" vertical="center" wrapText="1"/>
    </xf>
    <xf numFmtId="16" fontId="48" fillId="0" borderId="7" xfId="0" applyNumberFormat="1" applyFont="1" applyBorder="1" applyAlignment="1">
      <alignment horizontal="center" vertical="center"/>
    </xf>
    <xf numFmtId="0" fontId="48" fillId="25" borderId="7" xfId="0" applyFont="1" applyFill="1" applyBorder="1" applyAlignment="1">
      <alignment horizontal="center" vertical="center"/>
    </xf>
    <xf numFmtId="16" fontId="48" fillId="0" borderId="7" xfId="0" applyNumberFormat="1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 wrapText="1"/>
    </xf>
    <xf numFmtId="0" fontId="48" fillId="25" borderId="2" xfId="0" applyFont="1" applyFill="1" applyBorder="1" applyAlignment="1">
      <alignment horizontal="center" vertical="center"/>
    </xf>
    <xf numFmtId="0" fontId="48" fillId="25" borderId="5" xfId="0" applyFont="1" applyFill="1" applyBorder="1" applyAlignment="1">
      <alignment horizontal="center" vertical="center"/>
    </xf>
    <xf numFmtId="0" fontId="48" fillId="26" borderId="5" xfId="0" applyFont="1" applyFill="1" applyBorder="1" applyAlignment="1">
      <alignment horizontal="center" vertical="center"/>
    </xf>
    <xf numFmtId="0" fontId="48" fillId="25" borderId="46" xfId="0" applyFont="1" applyFill="1" applyBorder="1" applyAlignment="1">
      <alignment horizontal="center" vertical="center"/>
    </xf>
    <xf numFmtId="0" fontId="48" fillId="25" borderId="47" xfId="0" applyFont="1" applyFill="1" applyBorder="1" applyAlignment="1">
      <alignment horizontal="center" vertical="center"/>
    </xf>
    <xf numFmtId="0" fontId="48" fillId="25" borderId="7" xfId="0" applyFont="1" applyFill="1" applyBorder="1" applyAlignment="1">
      <alignment vertical="center" wrapText="1"/>
    </xf>
    <xf numFmtId="0" fontId="48" fillId="26" borderId="5" xfId="0" applyFont="1" applyFill="1" applyBorder="1" applyAlignment="1">
      <alignment horizontal="center" vertical="center"/>
    </xf>
    <xf numFmtId="0" fontId="48" fillId="25" borderId="44" xfId="0" applyFont="1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25" borderId="46" xfId="0" applyFont="1" applyFill="1" applyBorder="1" applyAlignment="1">
      <alignment horizontal="center" vertical="center"/>
    </xf>
    <xf numFmtId="0" fontId="48" fillId="25" borderId="2" xfId="0" applyFont="1" applyFill="1" applyBorder="1" applyAlignment="1">
      <alignment vertical="center" wrapText="1"/>
    </xf>
    <xf numFmtId="0" fontId="48" fillId="25" borderId="2" xfId="7" applyFont="1" applyFill="1" applyBorder="1" applyAlignment="1">
      <alignment horizontal="left" vertical="center" wrapText="1"/>
    </xf>
    <xf numFmtId="0" fontId="48" fillId="0" borderId="2" xfId="0" applyFont="1" applyBorder="1" applyAlignment="1">
      <alignment horizontal="center"/>
    </xf>
    <xf numFmtId="171" fontId="48" fillId="0" borderId="2" xfId="0" applyNumberFormat="1" applyFont="1" applyBorder="1" applyAlignment="1">
      <alignment horizontal="center" vertical="center"/>
    </xf>
    <xf numFmtId="0" fontId="48" fillId="23" borderId="5" xfId="0" applyFont="1" applyFill="1" applyBorder="1" applyAlignment="1">
      <alignment horizontal="center" vertical="center"/>
    </xf>
    <xf numFmtId="0" fontId="48" fillId="23" borderId="22" xfId="0" applyFont="1" applyFill="1" applyBorder="1" applyAlignment="1">
      <alignment horizontal="center" vertical="center"/>
    </xf>
    <xf numFmtId="0" fontId="48" fillId="23" borderId="5" xfId="0" applyFont="1" applyFill="1" applyBorder="1" applyAlignment="1">
      <alignment vertical="center" wrapText="1"/>
    </xf>
    <xf numFmtId="0" fontId="48" fillId="23" borderId="5" xfId="7" applyFont="1" applyFill="1" applyBorder="1" applyAlignment="1">
      <alignment horizontal="left" vertical="center" wrapText="1"/>
    </xf>
    <xf numFmtId="171" fontId="48" fillId="23" borderId="5" xfId="0" applyNumberFormat="1" applyFont="1" applyFill="1" applyBorder="1" applyAlignment="1">
      <alignment horizontal="center" vertical="center"/>
    </xf>
    <xf numFmtId="0" fontId="48" fillId="23" borderId="22" xfId="0" applyFont="1" applyFill="1" applyBorder="1" applyAlignment="1">
      <alignment horizontal="center" vertical="center"/>
    </xf>
    <xf numFmtId="0" fontId="48" fillId="23" borderId="14" xfId="0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zoomScale="80" zoomScaleNormal="80" workbookViewId="0">
      <pane xSplit="6" ySplit="7" topLeftCell="G37" activePane="bottomRight" state="frozen"/>
      <selection pane="topRight" activeCell="G1" sqref="G1"/>
      <selection pane="bottomLeft" activeCell="A8" sqref="A8"/>
      <selection pane="bottomRight" activeCell="J12" sqref="J12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6328125" hidden="1" customWidth="1"/>
    <col min="15" max="15" width="5" hidden="1" customWidth="1"/>
  </cols>
  <sheetData>
    <row r="1" spans="1:15" s="10" customFormat="1" ht="37" customHeight="1" x14ac:dyDescent="0.35">
      <c r="A1" s="332" t="s">
        <v>52</v>
      </c>
      <c r="B1" s="333"/>
      <c r="C1" s="333"/>
      <c r="D1" s="333"/>
      <c r="E1" s="333"/>
      <c r="F1" s="333"/>
      <c r="G1" s="334"/>
      <c r="H1" s="334"/>
      <c r="I1" s="334"/>
      <c r="J1" s="334"/>
      <c r="K1" s="334"/>
      <c r="L1" s="335"/>
    </row>
    <row r="2" spans="1:15" s="13" customFormat="1" ht="12" x14ac:dyDescent="0.35">
      <c r="A2" s="117" t="s">
        <v>48</v>
      </c>
      <c r="B2" s="324" t="s">
        <v>49</v>
      </c>
      <c r="C2" s="325"/>
      <c r="D2" s="325"/>
      <c r="E2" s="325"/>
      <c r="F2" s="325"/>
      <c r="G2" s="114"/>
      <c r="H2" s="114"/>
      <c r="I2" s="114"/>
      <c r="J2" s="114"/>
      <c r="K2" s="114"/>
      <c r="L2" s="115"/>
      <c r="N2" s="143" t="s">
        <v>393</v>
      </c>
      <c r="O2" s="143" t="s">
        <v>394</v>
      </c>
    </row>
    <row r="3" spans="1:15" s="13" customFormat="1" ht="12" x14ac:dyDescent="0.35">
      <c r="A3" s="118" t="s">
        <v>50</v>
      </c>
      <c r="B3" s="326">
        <v>390</v>
      </c>
      <c r="C3" s="327"/>
      <c r="D3" s="327"/>
      <c r="E3" s="327"/>
      <c r="F3" s="328"/>
      <c r="G3" s="114"/>
      <c r="H3" s="114"/>
      <c r="I3" s="114"/>
      <c r="J3" s="114"/>
      <c r="K3" s="114"/>
      <c r="L3" s="115"/>
      <c r="N3" s="142">
        <v>45866</v>
      </c>
      <c r="O3" s="142">
        <v>45839</v>
      </c>
    </row>
    <row r="4" spans="1:15" s="13" customFormat="1" ht="12" x14ac:dyDescent="0.35">
      <c r="A4" s="116" t="s">
        <v>51</v>
      </c>
      <c r="B4" s="329">
        <v>45694</v>
      </c>
      <c r="C4" s="330"/>
      <c r="D4" s="330"/>
      <c r="E4" s="330"/>
      <c r="F4" s="331"/>
      <c r="G4" s="114"/>
      <c r="H4" s="114"/>
      <c r="I4" s="114"/>
      <c r="J4" s="114"/>
      <c r="K4" s="114"/>
      <c r="L4" s="115"/>
      <c r="N4" s="142">
        <f>N3+5</f>
        <v>45871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402</v>
      </c>
      <c r="L5" s="163" t="s">
        <v>403</v>
      </c>
    </row>
    <row r="6" spans="1:15" s="13" customFormat="1" ht="12" x14ac:dyDescent="0.35">
      <c r="A6" s="116" t="s">
        <v>10</v>
      </c>
      <c r="B6" s="14">
        <v>45867</v>
      </c>
      <c r="C6" s="12"/>
      <c r="D6" s="12"/>
      <c r="E6" s="12"/>
      <c r="F6" s="120"/>
      <c r="G6" s="114"/>
      <c r="H6" s="114"/>
      <c r="I6" s="114"/>
      <c r="J6" s="114"/>
      <c r="K6" s="164">
        <f>N3</f>
        <v>45866</v>
      </c>
      <c r="L6" s="163">
        <v>45839</v>
      </c>
    </row>
    <row r="7" spans="1:15" s="13" customFormat="1" ht="12" x14ac:dyDescent="0.35">
      <c r="A7" s="117"/>
      <c r="B7" s="212"/>
      <c r="C7" s="213"/>
      <c r="D7" s="213"/>
      <c r="E7" s="213"/>
      <c r="F7" s="215"/>
      <c r="G7" s="114"/>
      <c r="H7" s="114"/>
      <c r="I7" s="114"/>
      <c r="J7" s="114"/>
      <c r="K7" s="216">
        <f>N4</f>
        <v>45871</v>
      </c>
      <c r="L7" s="217">
        <f>L6+30</f>
        <v>45869</v>
      </c>
    </row>
    <row r="8" spans="1:15" s="2" customFormat="1" ht="29" x14ac:dyDescent="0.35">
      <c r="A8" s="218" t="s">
        <v>0</v>
      </c>
      <c r="B8" s="218" t="s">
        <v>9</v>
      </c>
      <c r="C8" s="218" t="s">
        <v>3</v>
      </c>
      <c r="D8" s="218" t="s">
        <v>7</v>
      </c>
      <c r="E8" s="218" t="s">
        <v>8</v>
      </c>
      <c r="F8" s="219" t="s">
        <v>59</v>
      </c>
      <c r="G8" s="219" t="s">
        <v>58</v>
      </c>
      <c r="H8" s="219" t="s">
        <v>57</v>
      </c>
      <c r="I8" s="219" t="s">
        <v>61</v>
      </c>
      <c r="J8" s="219" t="s">
        <v>62</v>
      </c>
      <c r="K8" s="219" t="s">
        <v>407</v>
      </c>
      <c r="L8" s="219" t="s">
        <v>408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20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405</v>
      </c>
      <c r="B11" s="8">
        <v>1033</v>
      </c>
      <c r="C11" s="8" t="s">
        <v>5</v>
      </c>
      <c r="D11" s="6">
        <f>'Construction Status'!S4</f>
        <v>875</v>
      </c>
      <c r="E11" s="6">
        <f>B11-D11</f>
        <v>158</v>
      </c>
      <c r="F11" s="166">
        <v>0.01</v>
      </c>
      <c r="G11" s="113">
        <f>F11*H11</f>
        <v>8.4704743465634086E-3</v>
      </c>
      <c r="H11" s="18">
        <f>D11/B11</f>
        <v>0.8470474346563408</v>
      </c>
      <c r="I11" s="7">
        <f>SUMIF('Construction Status'!$U$2:$DF$2,'Construction DASHBOARD'!$B$6,'Construction Status'!U4:DF4)</f>
        <v>0</v>
      </c>
      <c r="J11" s="7">
        <v>3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45859</v>
      </c>
      <c r="O11" s="3">
        <v>1</v>
      </c>
    </row>
    <row r="12" spans="1:15" s="3" customFormat="1" x14ac:dyDescent="0.35">
      <c r="A12" s="167" t="s">
        <v>406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220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45860</v>
      </c>
      <c r="O13" s="3">
        <v>1</v>
      </c>
    </row>
    <row r="14" spans="1:15" s="3" customFormat="1" x14ac:dyDescent="0.35">
      <c r="A14" s="221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45861</v>
      </c>
      <c r="O14" s="3">
        <v>1</v>
      </c>
    </row>
    <row r="15" spans="1:15" s="3" customFormat="1" x14ac:dyDescent="0.35">
      <c r="A15" s="221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45862</v>
      </c>
      <c r="O15" s="3">
        <v>1</v>
      </c>
    </row>
    <row r="16" spans="1:15" s="3" customFormat="1" x14ac:dyDescent="0.35">
      <c r="A16" s="221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45863</v>
      </c>
      <c r="O16" s="3">
        <v>2</v>
      </c>
    </row>
    <row r="17" spans="1:15" s="3" customFormat="1" x14ac:dyDescent="0.35">
      <c r="A17" s="221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45864</v>
      </c>
      <c r="O17" s="3">
        <v>2</v>
      </c>
    </row>
    <row r="18" spans="1:15" s="3" customFormat="1" x14ac:dyDescent="0.35">
      <c r="A18" s="221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45865</v>
      </c>
      <c r="O18" s="3">
        <v>1</v>
      </c>
    </row>
    <row r="19" spans="1:15" s="3" customFormat="1" ht="16" x14ac:dyDescent="0.35">
      <c r="A19" s="68" t="s">
        <v>833</v>
      </c>
      <c r="B19" s="8">
        <f>'Construction Status'!K11</f>
        <v>180</v>
      </c>
      <c r="C19" s="8" t="s">
        <v>11</v>
      </c>
      <c r="D19" s="6">
        <f>'Construction Status'!Q11</f>
        <v>160</v>
      </c>
      <c r="E19" s="6">
        <f t="shared" si="0"/>
        <v>20</v>
      </c>
      <c r="F19" s="166">
        <v>2E-3</v>
      </c>
      <c r="G19" s="113">
        <f t="shared" si="1"/>
        <v>1.7777777777777776E-3</v>
      </c>
      <c r="H19" s="18">
        <f t="shared" si="2"/>
        <v>0.88888888888888884</v>
      </c>
      <c r="I19" s="7">
        <f>SUMIF('Construction Status'!$U$2:$DF$2,'Construction DASHBOARD'!$B$6,'Construction Status'!U11:DF11)</f>
        <v>0</v>
      </c>
      <c r="J19" s="7">
        <v>6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45866</v>
      </c>
      <c r="O19" s="3">
        <v>1</v>
      </c>
    </row>
    <row r="20" spans="1:15" s="3" customFormat="1" x14ac:dyDescent="0.35">
      <c r="A20" s="220" t="s">
        <v>6</v>
      </c>
      <c r="B20" s="8"/>
      <c r="C20" s="8"/>
      <c r="D20" s="6"/>
      <c r="E20" s="6"/>
      <c r="F20" s="165"/>
      <c r="G20" s="113"/>
      <c r="H20" s="18"/>
      <c r="I20" s="7"/>
      <c r="J20" s="7"/>
      <c r="K20" s="7"/>
      <c r="L20" s="7"/>
      <c r="N20" s="160">
        <v>45867</v>
      </c>
    </row>
    <row r="21" spans="1:15" s="3" customFormat="1" x14ac:dyDescent="0.35">
      <c r="A21" s="221" t="s">
        <v>20</v>
      </c>
      <c r="B21" s="8">
        <v>116500</v>
      </c>
      <c r="C21" s="8" t="s">
        <v>315</v>
      </c>
      <c r="D21" s="6">
        <v>3111</v>
      </c>
      <c r="E21" s="6">
        <f t="shared" si="0"/>
        <v>113389</v>
      </c>
      <c r="F21" s="166">
        <v>0.21</v>
      </c>
      <c r="G21" s="113">
        <f t="shared" si="1"/>
        <v>5.6078111587982834E-3</v>
      </c>
      <c r="H21" s="18">
        <f t="shared" si="2"/>
        <v>2.6703862660944207E-2</v>
      </c>
      <c r="I21" s="7"/>
      <c r="J21" s="7">
        <v>200</v>
      </c>
      <c r="K21" s="7"/>
      <c r="L21" s="7"/>
      <c r="N21" s="160">
        <v>45868</v>
      </c>
    </row>
    <row r="22" spans="1:15" x14ac:dyDescent="0.35">
      <c r="A22" s="221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6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60">
        <v>45869</v>
      </c>
      <c r="O22" s="3">
        <v>4</v>
      </c>
    </row>
    <row r="23" spans="1:15" x14ac:dyDescent="0.35">
      <c r="A23" s="221" t="s">
        <v>22</v>
      </c>
      <c r="B23" s="8">
        <v>24</v>
      </c>
      <c r="C23" s="8" t="s">
        <v>2</v>
      </c>
      <c r="D23" s="6">
        <f>'Construction Status'!Q15</f>
        <v>0</v>
      </c>
      <c r="E23" s="6">
        <f t="shared" si="0"/>
        <v>24</v>
      </c>
      <c r="F23" s="166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60"/>
      <c r="O23" s="3">
        <v>4</v>
      </c>
    </row>
    <row r="24" spans="1:15" x14ac:dyDescent="0.35">
      <c r="A24" s="221" t="s">
        <v>133</v>
      </c>
      <c r="B24" s="8">
        <v>1</v>
      </c>
      <c r="C24" s="8" t="s">
        <v>11</v>
      </c>
      <c r="D24" s="6">
        <f>'Construction Status'!Q16</f>
        <v>0</v>
      </c>
      <c r="E24" s="6">
        <f t="shared" si="0"/>
        <v>1</v>
      </c>
      <c r="F24" s="166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60"/>
      <c r="O24" s="3">
        <v>4</v>
      </c>
    </row>
    <row r="25" spans="1:15" ht="17.149999999999999" customHeight="1" x14ac:dyDescent="0.35">
      <c r="A25" s="221" t="s">
        <v>23</v>
      </c>
      <c r="B25" s="8"/>
      <c r="C25" s="8" t="s">
        <v>204</v>
      </c>
      <c r="D25" s="6">
        <f>'Construction Status'!Q17</f>
        <v>0</v>
      </c>
      <c r="E25" s="9"/>
      <c r="F25" s="166">
        <v>0.02</v>
      </c>
      <c r="G25" s="113"/>
      <c r="H25" s="18"/>
      <c r="I25" s="8"/>
      <c r="J25" s="8"/>
      <c r="K25" s="8"/>
      <c r="L25" s="8"/>
      <c r="N25" s="160"/>
      <c r="O25" s="3">
        <v>4</v>
      </c>
    </row>
    <row r="26" spans="1:15" ht="17.149999999999999" customHeight="1" x14ac:dyDescent="0.35">
      <c r="A26" s="221" t="s">
        <v>392</v>
      </c>
      <c r="B26" s="8">
        <v>21000</v>
      </c>
      <c r="C26" s="8" t="s">
        <v>850</v>
      </c>
      <c r="D26" s="6">
        <f>'Construction Status'!Q35/4</f>
        <v>359.75</v>
      </c>
      <c r="E26" s="9"/>
      <c r="F26" s="166">
        <v>0.02</v>
      </c>
      <c r="G26" s="113">
        <f t="shared" si="1"/>
        <v>3.4261904761904766E-4</v>
      </c>
      <c r="H26" s="18">
        <f t="shared" si="2"/>
        <v>1.7130952380952382E-2</v>
      </c>
      <c r="I26" s="8"/>
      <c r="J26" s="8">
        <v>200</v>
      </c>
      <c r="K26" s="8"/>
      <c r="L26" s="8"/>
      <c r="N26" s="160"/>
      <c r="O26">
        <v>4</v>
      </c>
    </row>
    <row r="27" spans="1:15" x14ac:dyDescent="0.35">
      <c r="A27" s="220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/>
      <c r="O27">
        <v>6</v>
      </c>
    </row>
    <row r="28" spans="1:15" x14ac:dyDescent="0.35">
      <c r="A28" s="221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/>
      <c r="O28">
        <v>6</v>
      </c>
    </row>
    <row r="29" spans="1:15" x14ac:dyDescent="0.35">
      <c r="A29" s="221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/>
      <c r="O29">
        <v>6</v>
      </c>
    </row>
    <row r="30" spans="1:15" x14ac:dyDescent="0.35">
      <c r="A30" s="220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/>
      <c r="O30">
        <v>6</v>
      </c>
    </row>
    <row r="31" spans="1:15" x14ac:dyDescent="0.35">
      <c r="A31" s="221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/>
      <c r="O31">
        <v>4</v>
      </c>
    </row>
    <row r="32" spans="1:15" x14ac:dyDescent="0.35">
      <c r="A32" s="221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/>
    </row>
    <row r="33" spans="1:12" x14ac:dyDescent="0.35">
      <c r="A33" s="221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221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21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221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221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220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221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221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221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221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221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221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221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220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221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221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220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221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21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221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21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20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221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221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221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221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2">
        <f>SUM(F11:F58)</f>
        <v>1.0000000000000002</v>
      </c>
      <c r="G59" s="222">
        <f>SUM(G11:G58)</f>
        <v>4.7640115050990854E-2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4.7640115050990854E-2</v>
      </c>
    </row>
    <row r="73" spans="2:3" x14ac:dyDescent="0.35">
      <c r="B73" s="20" t="s">
        <v>8</v>
      </c>
      <c r="C73" s="21">
        <f>C71-C72</f>
        <v>0.95235988494900936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410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411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412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411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412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414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416</v>
      </c>
      <c r="AE13" t="s">
        <v>8</v>
      </c>
      <c r="AF13" t="s">
        <v>415</v>
      </c>
      <c r="AG13" t="s">
        <v>417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zoomScale="80" zoomScaleNormal="80" workbookViewId="0">
      <selection activeCell="E15" sqref="E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388</v>
      </c>
      <c r="C1" s="122" t="s">
        <v>341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226"/>
      <c r="D2" s="127"/>
      <c r="E2" s="127"/>
      <c r="F2" s="127"/>
    </row>
    <row r="3" spans="1:6" x14ac:dyDescent="0.4">
      <c r="A3" s="135">
        <v>1</v>
      </c>
      <c r="B3" s="133" t="s">
        <v>342</v>
      </c>
      <c r="C3" s="135" t="s">
        <v>399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343</v>
      </c>
      <c r="C4" s="135" t="s">
        <v>363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224" t="s">
        <v>344</v>
      </c>
      <c r="C5" s="227"/>
      <c r="D5" s="225">
        <v>45780</v>
      </c>
      <c r="E5" s="126">
        <v>45838</v>
      </c>
      <c r="F5" s="127"/>
    </row>
    <row r="6" spans="1:6" x14ac:dyDescent="0.4">
      <c r="A6" s="135">
        <v>4</v>
      </c>
      <c r="B6" s="133" t="s">
        <v>345</v>
      </c>
      <c r="C6" s="135" t="s">
        <v>424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346</v>
      </c>
      <c r="C7" s="135" t="s">
        <v>424</v>
      </c>
      <c r="D7" s="134">
        <v>45768</v>
      </c>
      <c r="E7" s="134">
        <v>45797</v>
      </c>
      <c r="F7" s="137" t="s">
        <v>7</v>
      </c>
    </row>
    <row r="8" spans="1:6" x14ac:dyDescent="0.4">
      <c r="A8" s="135">
        <v>6</v>
      </c>
      <c r="B8" s="133" t="s">
        <v>347</v>
      </c>
      <c r="C8" s="247" t="s">
        <v>849</v>
      </c>
      <c r="D8" s="134">
        <v>45784</v>
      </c>
      <c r="E8" s="134">
        <v>45848</v>
      </c>
      <c r="F8" s="137" t="s">
        <v>7</v>
      </c>
    </row>
    <row r="9" spans="1:6" x14ac:dyDescent="0.4">
      <c r="A9" s="124">
        <v>7</v>
      </c>
      <c r="B9" s="125" t="s">
        <v>348</v>
      </c>
      <c r="C9" s="227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349</v>
      </c>
      <c r="C10" s="135" t="s">
        <v>350</v>
      </c>
      <c r="D10" s="138">
        <v>45760</v>
      </c>
      <c r="E10" s="138">
        <v>45747</v>
      </c>
      <c r="F10" s="137" t="s">
        <v>7</v>
      </c>
    </row>
    <row r="11" spans="1:6" x14ac:dyDescent="0.4">
      <c r="A11" s="135">
        <v>9</v>
      </c>
      <c r="B11" s="133" t="s">
        <v>351</v>
      </c>
      <c r="C11" s="135" t="s">
        <v>838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352</v>
      </c>
      <c r="C12" s="226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353</v>
      </c>
      <c r="C13" s="226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354</v>
      </c>
      <c r="C14" s="226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355</v>
      </c>
      <c r="C15" s="226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356</v>
      </c>
      <c r="C16" s="226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357</v>
      </c>
      <c r="C17" s="226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358</v>
      </c>
      <c r="C18" s="135" t="s">
        <v>835</v>
      </c>
      <c r="D18" s="134">
        <v>45768</v>
      </c>
      <c r="E18" s="134">
        <v>45815</v>
      </c>
      <c r="F18" s="137" t="s">
        <v>7</v>
      </c>
    </row>
    <row r="19" spans="1:6" x14ac:dyDescent="0.4">
      <c r="A19" s="135">
        <v>17</v>
      </c>
      <c r="B19" s="133" t="s">
        <v>359</v>
      </c>
      <c r="C19" s="135" t="s">
        <v>847</v>
      </c>
      <c r="D19" s="134">
        <v>45783</v>
      </c>
      <c r="E19" s="134">
        <v>45857</v>
      </c>
      <c r="F19" s="137" t="s">
        <v>7</v>
      </c>
    </row>
    <row r="20" spans="1:6" ht="32" x14ac:dyDescent="0.4">
      <c r="A20" s="135">
        <v>18</v>
      </c>
      <c r="B20" s="133" t="s">
        <v>360</v>
      </c>
      <c r="C20" s="135" t="s">
        <v>848</v>
      </c>
      <c r="D20" s="134">
        <v>45784</v>
      </c>
      <c r="E20" s="134">
        <v>45849</v>
      </c>
      <c r="F20" s="137" t="s">
        <v>7</v>
      </c>
    </row>
    <row r="21" spans="1:6" s="131" customFormat="1" x14ac:dyDescent="0.35">
      <c r="A21" s="128">
        <v>19</v>
      </c>
      <c r="B21" s="129" t="s">
        <v>361</v>
      </c>
      <c r="C21" s="226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362</v>
      </c>
      <c r="C22" s="226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9" zoomScale="80" zoomScaleNormal="80" workbookViewId="0">
      <selection activeCell="D23" sqref="D23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238" t="s">
        <v>833</v>
      </c>
      <c r="C16" s="239">
        <f>C15+28</f>
        <v>45801</v>
      </c>
      <c r="D16" s="239">
        <v>45837</v>
      </c>
      <c r="E16" s="214" t="s">
        <v>832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397</v>
      </c>
      <c r="C18" s="138">
        <v>45760</v>
      </c>
      <c r="D18" s="134">
        <v>45752</v>
      </c>
      <c r="E18" s="223" t="s">
        <v>7</v>
      </c>
    </row>
    <row r="19" spans="1:5" s="131" customFormat="1" x14ac:dyDescent="0.4">
      <c r="A19" s="137">
        <f>+SUM(A18+1)</f>
        <v>2</v>
      </c>
      <c r="B19" s="139" t="s">
        <v>837</v>
      </c>
      <c r="C19" s="138">
        <v>45833</v>
      </c>
      <c r="D19" s="134">
        <v>45837</v>
      </c>
      <c r="E19" s="223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331</v>
      </c>
      <c r="C20" s="138">
        <v>45783</v>
      </c>
      <c r="D20" s="134">
        <v>45838</v>
      </c>
      <c r="E20" s="223" t="s">
        <v>7</v>
      </c>
    </row>
    <row r="21" spans="1:5" s="131" customFormat="1" x14ac:dyDescent="0.4">
      <c r="A21" s="137">
        <f t="shared" si="0"/>
        <v>4</v>
      </c>
      <c r="B21" s="139" t="s">
        <v>332</v>
      </c>
      <c r="C21" s="138">
        <v>45767</v>
      </c>
      <c r="D21" s="134">
        <v>45767</v>
      </c>
      <c r="E21" s="223" t="s">
        <v>7</v>
      </c>
    </row>
    <row r="22" spans="1:5" s="131" customFormat="1" x14ac:dyDescent="0.4">
      <c r="A22" s="137">
        <f t="shared" si="0"/>
        <v>5</v>
      </c>
      <c r="B22" s="139" t="s">
        <v>333</v>
      </c>
      <c r="C22" s="138">
        <v>45767</v>
      </c>
      <c r="D22" s="134">
        <v>45752</v>
      </c>
      <c r="E22" s="223" t="s">
        <v>7</v>
      </c>
    </row>
    <row r="23" spans="1:5" s="131" customFormat="1" x14ac:dyDescent="0.4">
      <c r="A23" s="137">
        <f t="shared" si="0"/>
        <v>6</v>
      </c>
      <c r="B23" s="139" t="s">
        <v>334</v>
      </c>
      <c r="C23" s="138">
        <v>45762</v>
      </c>
      <c r="D23" s="134">
        <v>45740</v>
      </c>
      <c r="E23" s="223" t="s">
        <v>335</v>
      </c>
    </row>
    <row r="24" spans="1:5" s="131" customFormat="1" x14ac:dyDescent="0.4">
      <c r="A24" s="137">
        <f t="shared" si="0"/>
        <v>7</v>
      </c>
      <c r="B24" s="139" t="s">
        <v>336</v>
      </c>
      <c r="C24" s="138">
        <v>45774</v>
      </c>
      <c r="D24" s="134">
        <v>45844</v>
      </c>
      <c r="E24" s="223" t="s">
        <v>7</v>
      </c>
    </row>
    <row r="25" spans="1:5" s="131" customFormat="1" x14ac:dyDescent="0.4">
      <c r="A25" s="137">
        <f t="shared" si="0"/>
        <v>8</v>
      </c>
      <c r="B25" s="139" t="s">
        <v>337</v>
      </c>
      <c r="C25" s="138">
        <v>45774</v>
      </c>
      <c r="D25" s="134">
        <v>45838</v>
      </c>
      <c r="E25" s="223" t="s">
        <v>7</v>
      </c>
    </row>
    <row r="26" spans="1:5" s="131" customFormat="1" x14ac:dyDescent="0.4">
      <c r="A26" s="144">
        <f>+SUM(A25+1)</f>
        <v>9</v>
      </c>
      <c r="B26" s="145" t="s">
        <v>338</v>
      </c>
      <c r="C26" s="146">
        <v>45764</v>
      </c>
      <c r="D26" s="239">
        <v>45838</v>
      </c>
      <c r="E26" s="214" t="s">
        <v>832</v>
      </c>
    </row>
    <row r="27" spans="1:5" x14ac:dyDescent="0.4">
      <c r="A27" s="240" t="s">
        <v>316</v>
      </c>
      <c r="B27" s="241" t="s">
        <v>839</v>
      </c>
      <c r="C27" s="241" t="s">
        <v>317</v>
      </c>
      <c r="D27" s="241" t="s">
        <v>318</v>
      </c>
      <c r="E27" s="241" t="s">
        <v>319</v>
      </c>
    </row>
    <row r="28" spans="1:5" x14ac:dyDescent="0.4">
      <c r="A28" s="242">
        <v>1</v>
      </c>
      <c r="B28" s="243" t="s">
        <v>840</v>
      </c>
      <c r="C28" s="246"/>
      <c r="D28" s="245">
        <v>45836</v>
      </c>
      <c r="E28" s="244" t="s">
        <v>832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36" t="s">
        <v>94</v>
      </c>
      <c r="C1" s="337"/>
      <c r="D1" s="338"/>
      <c r="E1" s="22"/>
    </row>
    <row r="2" spans="1:351" s="23" customFormat="1" x14ac:dyDescent="0.35">
      <c r="A2" s="24" t="s">
        <v>64</v>
      </c>
      <c r="B2" s="339" t="s">
        <v>95</v>
      </c>
      <c r="C2" s="340"/>
      <c r="D2" s="341"/>
      <c r="E2" s="22"/>
    </row>
    <row r="3" spans="1:351" s="23" customFormat="1" ht="16.5" thickBot="1" x14ac:dyDescent="0.4">
      <c r="A3" s="25" t="s">
        <v>65</v>
      </c>
      <c r="B3" s="342">
        <f>'[1]Project Overview'!P1</f>
        <v>45702</v>
      </c>
      <c r="C3" s="343"/>
      <c r="D3" s="344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45" t="s">
        <v>66</v>
      </c>
      <c r="B5" s="345" t="s">
        <v>67</v>
      </c>
      <c r="C5" s="346" t="s">
        <v>68</v>
      </c>
      <c r="D5" s="345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45"/>
      <c r="B6" s="345"/>
      <c r="C6" s="347"/>
      <c r="D6" s="345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48"/>
      <c r="C8" s="348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49"/>
      <c r="C9" s="349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48"/>
      <c r="C10" s="348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49"/>
      <c r="C11" s="349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50"/>
      <c r="C13" s="350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50"/>
      <c r="C14" s="350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50"/>
      <c r="C15" s="350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50"/>
      <c r="C16" s="350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50"/>
      <c r="C17" s="350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50"/>
      <c r="C18" s="350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50"/>
      <c r="C19" s="350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50"/>
      <c r="C20" s="350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50"/>
      <c r="C21" s="350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50"/>
      <c r="C22" s="350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50"/>
      <c r="C23" s="350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50"/>
      <c r="C24" s="350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50"/>
      <c r="C25" s="350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50"/>
      <c r="C26" s="350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50"/>
      <c r="C27" s="350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50"/>
      <c r="C28" s="350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50"/>
      <c r="C29" s="350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50"/>
      <c r="C30" s="350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50"/>
      <c r="C31" s="350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50"/>
      <c r="C32" s="350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50"/>
      <c r="C33" s="350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51"/>
      <c r="C34" s="351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52"/>
      <c r="C35" s="352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52"/>
      <c r="C36" s="352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50"/>
      <c r="C37" s="350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50"/>
      <c r="C38" s="350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50"/>
      <c r="C39" s="350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51"/>
      <c r="C40" s="351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52"/>
      <c r="C41" s="352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52"/>
      <c r="C42" s="352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51"/>
      <c r="C43" s="350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52"/>
      <c r="C44" s="350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52"/>
      <c r="C45" s="350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51"/>
      <c r="C46" s="351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52"/>
      <c r="C47" s="352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53"/>
      <c r="C48" s="353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x14ac:dyDescent="0.4">
      <c r="A49" s="30">
        <v>43</v>
      </c>
      <c r="B49" s="352"/>
      <c r="C49" s="352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52"/>
      <c r="C50" s="352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52"/>
      <c r="C51" s="352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51"/>
      <c r="C52" s="351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52"/>
      <c r="C53" s="352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52"/>
      <c r="C54" s="353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51"/>
      <c r="C55" s="351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52"/>
      <c r="C56" s="352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52"/>
      <c r="C57" s="352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52"/>
      <c r="C58" s="352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52"/>
      <c r="C59" s="352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53"/>
      <c r="C60" s="353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51"/>
      <c r="C61" s="351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52"/>
      <c r="C62" s="352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52"/>
      <c r="C63" s="352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52"/>
      <c r="C64" s="352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52"/>
      <c r="C65" s="352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53"/>
      <c r="C66" s="353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51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52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52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52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52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53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51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52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52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52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52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53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51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52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52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52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52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53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51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52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52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52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52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53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51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52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52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52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52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53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51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52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52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52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52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53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51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52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52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52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52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53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51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52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52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52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52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53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51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52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52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52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52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53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51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52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52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52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52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53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51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52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52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53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50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50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50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50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50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50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50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50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50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54" t="s">
        <v>94</v>
      </c>
      <c r="C1" s="355"/>
      <c r="D1" s="356"/>
      <c r="E1" s="22"/>
    </row>
    <row r="2" spans="1:326" s="23" customFormat="1" x14ac:dyDescent="0.35">
      <c r="A2" s="71" t="s">
        <v>64</v>
      </c>
      <c r="B2" s="357" t="s">
        <v>95</v>
      </c>
      <c r="C2" s="358"/>
      <c r="D2" s="359"/>
      <c r="E2" s="22"/>
    </row>
    <row r="3" spans="1:326" s="23" customFormat="1" ht="20.149999999999999" customHeight="1" thickBot="1" x14ac:dyDescent="0.4">
      <c r="A3" s="73" t="s">
        <v>65</v>
      </c>
      <c r="B3" s="360">
        <v>45703</v>
      </c>
      <c r="C3" s="361"/>
      <c r="D3" s="362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63" t="s">
        <v>66</v>
      </c>
      <c r="B5" s="363" t="s">
        <v>67</v>
      </c>
      <c r="C5" s="363" t="s">
        <v>68</v>
      </c>
      <c r="D5" s="363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63"/>
      <c r="B6" s="363"/>
      <c r="C6" s="363"/>
      <c r="D6" s="363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66" t="s">
        <v>401</v>
      </c>
      <c r="C7" s="366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66"/>
      <c r="C8" s="366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66"/>
      <c r="C9" s="366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66"/>
      <c r="C10" s="366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64" t="s">
        <v>274</v>
      </c>
      <c r="C11" s="367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64"/>
      <c r="C12" s="367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64"/>
      <c r="C13" s="367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64"/>
      <c r="C14" s="367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64"/>
      <c r="C15" s="367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64" t="s">
        <v>280</v>
      </c>
      <c r="C16" s="365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64"/>
      <c r="C17" s="365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64" t="s">
        <v>282</v>
      </c>
      <c r="C18" s="367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64"/>
      <c r="C19" s="367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64"/>
      <c r="C20" s="367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64"/>
      <c r="C21" s="367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64"/>
      <c r="C22" s="367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64" t="s">
        <v>286</v>
      </c>
      <c r="C23" s="367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64"/>
      <c r="C24" s="367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64"/>
      <c r="C25" s="367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64"/>
      <c r="C26" s="367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64"/>
      <c r="C27" s="367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68" t="s">
        <v>288</v>
      </c>
      <c r="C28" s="369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68"/>
      <c r="C29" s="369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68"/>
      <c r="C30" s="369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68"/>
      <c r="C31" s="369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68"/>
      <c r="C32" s="369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68"/>
      <c r="C33" s="369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68" t="s">
        <v>292</v>
      </c>
      <c r="C34" s="369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68"/>
      <c r="C35" s="369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68"/>
      <c r="C36" s="369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68"/>
      <c r="C37" s="369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68" t="s">
        <v>294</v>
      </c>
      <c r="C38" s="369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68"/>
      <c r="C39" s="369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68"/>
      <c r="C40" s="369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68"/>
      <c r="C41" s="369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68"/>
      <c r="C42" s="369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68" t="s">
        <v>86</v>
      </c>
      <c r="C43" s="369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68"/>
      <c r="C44" s="369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68"/>
      <c r="C45" s="369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68"/>
      <c r="C46" s="369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68"/>
      <c r="C47" s="369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3F28-FC2D-4529-993E-1B533C7508B7}">
  <dimension ref="A1:U250"/>
  <sheetViews>
    <sheetView zoomScale="60" zoomScaleNormal="60" workbookViewId="0">
      <selection activeCell="F19" sqref="F19:F21"/>
    </sheetView>
  </sheetViews>
  <sheetFormatPr defaultRowHeight="14.5" x14ac:dyDescent="0.35"/>
  <cols>
    <col min="1" max="1" width="11" bestFit="1" customWidth="1"/>
    <col min="2" max="2" width="17.90625" bestFit="1" customWidth="1"/>
    <col min="3" max="3" width="28.1796875" bestFit="1" customWidth="1"/>
    <col min="4" max="4" width="30.26953125" customWidth="1"/>
    <col min="5" max="5" width="28.54296875" bestFit="1" customWidth="1"/>
    <col min="6" max="6" width="13.81640625" bestFit="1" customWidth="1"/>
    <col min="7" max="7" width="16.7265625" bestFit="1" customWidth="1"/>
    <col min="8" max="8" width="22.26953125" bestFit="1" customWidth="1"/>
    <col min="9" max="10" width="0" hidden="1" customWidth="1"/>
    <col min="11" max="11" width="8.453125" bestFit="1" customWidth="1"/>
    <col min="12" max="12" width="16.453125" bestFit="1" customWidth="1"/>
    <col min="13" max="13" width="13.1796875" bestFit="1" customWidth="1"/>
    <col min="14" max="14" width="22.453125" bestFit="1" customWidth="1"/>
    <col min="15" max="17" width="0" hidden="1" customWidth="1"/>
    <col min="18" max="18" width="17.54296875" bestFit="1" customWidth="1"/>
    <col min="19" max="19" width="10.54296875" bestFit="1" customWidth="1"/>
    <col min="20" max="20" width="26.26953125" bestFit="1" customWidth="1"/>
    <col min="21" max="21" width="22.7265625" bestFit="1" customWidth="1"/>
  </cols>
  <sheetData>
    <row r="1" spans="1:21" ht="15.5" x14ac:dyDescent="0.35">
      <c r="A1" s="468" t="s">
        <v>444</v>
      </c>
      <c r="B1" s="468"/>
      <c r="C1" s="468"/>
      <c r="D1" s="468"/>
      <c r="E1" s="468"/>
      <c r="F1" s="468"/>
      <c r="G1" s="468"/>
      <c r="H1" s="249"/>
      <c r="I1" s="250"/>
      <c r="J1" s="251"/>
      <c r="K1" s="252"/>
      <c r="L1" s="252"/>
      <c r="M1" s="252"/>
      <c r="N1" s="253"/>
      <c r="O1" s="253">
        <f ca="1">TODAY()</f>
        <v>45867</v>
      </c>
      <c r="P1" s="252"/>
      <c r="Q1" s="252"/>
      <c r="R1" s="252"/>
      <c r="S1" s="252"/>
      <c r="T1" s="252"/>
      <c r="U1" s="254">
        <f ca="1">TODAY()</f>
        <v>45867</v>
      </c>
    </row>
    <row r="2" spans="1:21" ht="90" x14ac:dyDescent="0.35">
      <c r="A2" s="255" t="s">
        <v>445</v>
      </c>
      <c r="B2" s="255" t="s">
        <v>446</v>
      </c>
      <c r="C2" s="255" t="s">
        <v>446</v>
      </c>
      <c r="D2" s="255" t="s">
        <v>447</v>
      </c>
      <c r="E2" s="256" t="s">
        <v>448</v>
      </c>
      <c r="F2" s="256" t="s">
        <v>449</v>
      </c>
      <c r="G2" s="256" t="s">
        <v>450</v>
      </c>
      <c r="H2" s="256" t="s">
        <v>830</v>
      </c>
      <c r="I2" s="256" t="s">
        <v>451</v>
      </c>
      <c r="J2" s="256" t="s">
        <v>452</v>
      </c>
      <c r="K2" s="256" t="s">
        <v>453</v>
      </c>
      <c r="L2" s="256" t="s">
        <v>454</v>
      </c>
      <c r="M2" s="256" t="s">
        <v>455</v>
      </c>
      <c r="N2" s="256" t="s">
        <v>456</v>
      </c>
      <c r="O2" s="256" t="s">
        <v>457</v>
      </c>
      <c r="P2" s="256" t="s">
        <v>458</v>
      </c>
      <c r="Q2" s="256" t="s">
        <v>459</v>
      </c>
      <c r="R2" s="256" t="s">
        <v>460</v>
      </c>
      <c r="S2" s="256" t="s">
        <v>461</v>
      </c>
      <c r="T2" s="256" t="s">
        <v>319</v>
      </c>
      <c r="U2" s="256" t="s">
        <v>462</v>
      </c>
    </row>
    <row r="3" spans="1:21" ht="15.5" x14ac:dyDescent="0.35">
      <c r="A3" s="466">
        <v>1</v>
      </c>
      <c r="B3" s="466" t="s">
        <v>463</v>
      </c>
      <c r="C3" s="469" t="s">
        <v>464</v>
      </c>
      <c r="D3" s="470" t="s">
        <v>465</v>
      </c>
      <c r="E3" s="466" t="s">
        <v>466</v>
      </c>
      <c r="F3" s="466" t="s">
        <v>467</v>
      </c>
      <c r="G3" s="467">
        <v>45698</v>
      </c>
      <c r="H3" s="467">
        <v>45698</v>
      </c>
      <c r="I3" s="466"/>
      <c r="J3" s="466"/>
      <c r="K3" s="250" t="s">
        <v>468</v>
      </c>
      <c r="L3" s="258">
        <v>45698</v>
      </c>
      <c r="M3" s="258"/>
      <c r="N3" s="250"/>
      <c r="O3" s="250"/>
      <c r="P3" s="250"/>
      <c r="Q3" s="466"/>
      <c r="R3" s="466" t="s">
        <v>398</v>
      </c>
      <c r="S3" s="466" t="s">
        <v>469</v>
      </c>
      <c r="T3" s="466" t="s">
        <v>471</v>
      </c>
      <c r="U3" s="466"/>
    </row>
    <row r="4" spans="1:21" ht="15.5" x14ac:dyDescent="0.35">
      <c r="A4" s="466"/>
      <c r="B4" s="466"/>
      <c r="C4" s="469"/>
      <c r="D4" s="471"/>
      <c r="E4" s="466"/>
      <c r="F4" s="466"/>
      <c r="G4" s="467"/>
      <c r="H4" s="467"/>
      <c r="I4" s="466"/>
      <c r="J4" s="466"/>
      <c r="K4" s="250" t="s">
        <v>470</v>
      </c>
      <c r="L4" s="258">
        <v>45700</v>
      </c>
      <c r="M4" s="258">
        <v>45700</v>
      </c>
      <c r="N4" s="250"/>
      <c r="O4" s="250">
        <f>M4-L4</f>
        <v>0</v>
      </c>
      <c r="P4" s="250">
        <f>L5-M4</f>
        <v>2</v>
      </c>
      <c r="Q4" s="466"/>
      <c r="R4" s="466"/>
      <c r="S4" s="466"/>
      <c r="T4" s="466"/>
      <c r="U4" s="466"/>
    </row>
    <row r="5" spans="1:21" ht="15.5" x14ac:dyDescent="0.35">
      <c r="A5" s="466"/>
      <c r="B5" s="466"/>
      <c r="C5" s="469"/>
      <c r="D5" s="471"/>
      <c r="E5" s="466"/>
      <c r="F5" s="466"/>
      <c r="G5" s="467"/>
      <c r="H5" s="467"/>
      <c r="I5" s="466"/>
      <c r="J5" s="466"/>
      <c r="K5" s="250" t="s">
        <v>472</v>
      </c>
      <c r="L5" s="258">
        <v>45702</v>
      </c>
      <c r="M5" s="258">
        <v>45705</v>
      </c>
      <c r="N5" s="250"/>
      <c r="O5" s="250">
        <f>M5-L5</f>
        <v>3</v>
      </c>
      <c r="P5" s="250">
        <f>L6-M5</f>
        <v>2</v>
      </c>
      <c r="Q5" s="466"/>
      <c r="R5" s="466"/>
      <c r="S5" s="466"/>
      <c r="T5" s="466"/>
      <c r="U5" s="466"/>
    </row>
    <row r="6" spans="1:21" ht="15.5" x14ac:dyDescent="0.35">
      <c r="A6" s="466"/>
      <c r="B6" s="466"/>
      <c r="C6" s="469"/>
      <c r="D6" s="471"/>
      <c r="E6" s="466"/>
      <c r="F6" s="466"/>
      <c r="G6" s="467"/>
      <c r="H6" s="467"/>
      <c r="I6" s="466"/>
      <c r="J6" s="466"/>
      <c r="K6" s="250" t="s">
        <v>473</v>
      </c>
      <c r="L6" s="258">
        <v>45707</v>
      </c>
      <c r="M6" s="258"/>
      <c r="N6" s="250"/>
      <c r="O6" s="250"/>
      <c r="P6" s="250"/>
      <c r="Q6" s="466"/>
      <c r="R6" s="466"/>
      <c r="S6" s="466"/>
      <c r="T6" s="466"/>
      <c r="U6" s="466"/>
    </row>
    <row r="7" spans="1:21" ht="15.5" x14ac:dyDescent="0.35">
      <c r="A7" s="370">
        <v>2</v>
      </c>
      <c r="B7" s="370" t="s">
        <v>463</v>
      </c>
      <c r="C7" s="412" t="s">
        <v>464</v>
      </c>
      <c r="D7" s="413" t="s">
        <v>475</v>
      </c>
      <c r="E7" s="370" t="s">
        <v>476</v>
      </c>
      <c r="F7" s="370" t="s">
        <v>477</v>
      </c>
      <c r="G7" s="410">
        <v>45740</v>
      </c>
      <c r="H7" s="410">
        <v>45740</v>
      </c>
      <c r="I7" s="370"/>
      <c r="J7" s="370"/>
      <c r="K7" s="260" t="s">
        <v>468</v>
      </c>
      <c r="L7" s="263">
        <v>45740</v>
      </c>
      <c r="M7" s="263">
        <v>45743</v>
      </c>
      <c r="N7" s="260" t="s">
        <v>478</v>
      </c>
      <c r="O7" s="260">
        <f>M7-L7</f>
        <v>3</v>
      </c>
      <c r="P7" s="260">
        <f>L8-M7</f>
        <v>6</v>
      </c>
      <c r="Q7" s="444">
        <f>M8</f>
        <v>45755</v>
      </c>
      <c r="R7" s="370" t="str">
        <f>T7</f>
        <v>Approved</v>
      </c>
      <c r="S7" s="370" t="str">
        <f>N8</f>
        <v>CAT -IV</v>
      </c>
      <c r="T7" s="370" t="s">
        <v>398</v>
      </c>
      <c r="U7" s="370">
        <f>M8-L8</f>
        <v>6</v>
      </c>
    </row>
    <row r="8" spans="1:21" ht="15.5" x14ac:dyDescent="0.35">
      <c r="A8" s="370"/>
      <c r="B8" s="370"/>
      <c r="C8" s="412"/>
      <c r="D8" s="413"/>
      <c r="E8" s="370"/>
      <c r="F8" s="370"/>
      <c r="G8" s="410"/>
      <c r="H8" s="410"/>
      <c r="I8" s="370"/>
      <c r="J8" s="370"/>
      <c r="K8" s="260" t="s">
        <v>470</v>
      </c>
      <c r="L8" s="263">
        <v>45749</v>
      </c>
      <c r="M8" s="263">
        <v>45755</v>
      </c>
      <c r="N8" s="260" t="s">
        <v>479</v>
      </c>
      <c r="O8" s="260">
        <f>M8-L8</f>
        <v>6</v>
      </c>
      <c r="P8" s="260"/>
      <c r="Q8" s="444"/>
      <c r="R8" s="370"/>
      <c r="S8" s="370"/>
      <c r="T8" s="370"/>
      <c r="U8" s="370"/>
    </row>
    <row r="9" spans="1:21" ht="31" x14ac:dyDescent="0.35">
      <c r="A9" s="260">
        <v>3</v>
      </c>
      <c r="B9" s="260" t="s">
        <v>463</v>
      </c>
      <c r="C9" s="261" t="s">
        <v>464</v>
      </c>
      <c r="D9" s="262" t="s">
        <v>480</v>
      </c>
      <c r="E9" s="260" t="s">
        <v>481</v>
      </c>
      <c r="F9" s="260" t="s">
        <v>467</v>
      </c>
      <c r="G9" s="263">
        <v>45740</v>
      </c>
      <c r="H9" s="263"/>
      <c r="I9" s="260"/>
      <c r="J9" s="260"/>
      <c r="K9" s="260" t="s">
        <v>468</v>
      </c>
      <c r="L9" s="263"/>
      <c r="M9" s="263"/>
      <c r="N9" s="260"/>
      <c r="O9" s="260"/>
      <c r="P9" s="260"/>
      <c r="Q9" s="260"/>
      <c r="R9" s="260"/>
      <c r="S9" s="260"/>
      <c r="T9" s="260" t="s">
        <v>398</v>
      </c>
      <c r="U9" s="260"/>
    </row>
    <row r="10" spans="1:21" ht="15.5" x14ac:dyDescent="0.35">
      <c r="A10" s="400">
        <v>4</v>
      </c>
      <c r="B10" s="400" t="s">
        <v>463</v>
      </c>
      <c r="C10" s="416" t="s">
        <v>464</v>
      </c>
      <c r="D10" s="422" t="s">
        <v>483</v>
      </c>
      <c r="E10" s="400" t="s">
        <v>484</v>
      </c>
      <c r="F10" s="400" t="s">
        <v>477</v>
      </c>
      <c r="G10" s="411">
        <v>45768</v>
      </c>
      <c r="H10" s="411">
        <v>45768</v>
      </c>
      <c r="I10" s="400"/>
      <c r="J10" s="400"/>
      <c r="K10" s="260" t="s">
        <v>468</v>
      </c>
      <c r="L10" s="263">
        <v>45768</v>
      </c>
      <c r="M10" s="263">
        <v>45776</v>
      </c>
      <c r="N10" s="260" t="s">
        <v>478</v>
      </c>
      <c r="O10" s="260">
        <f>M10-L10</f>
        <v>8</v>
      </c>
      <c r="P10" s="260"/>
      <c r="Q10" s="414">
        <f>M10</f>
        <v>45776</v>
      </c>
      <c r="R10" s="400" t="s">
        <v>492</v>
      </c>
      <c r="S10" s="400" t="str">
        <f>N10</f>
        <v>CAT -IV R</v>
      </c>
      <c r="T10" s="400" t="s">
        <v>471</v>
      </c>
      <c r="U10" s="400"/>
    </row>
    <row r="11" spans="1:21" ht="15.5" x14ac:dyDescent="0.35">
      <c r="A11" s="400"/>
      <c r="B11" s="400"/>
      <c r="C11" s="416"/>
      <c r="D11" s="417"/>
      <c r="E11" s="400"/>
      <c r="F11" s="400"/>
      <c r="G11" s="411"/>
      <c r="H11" s="411"/>
      <c r="I11" s="400"/>
      <c r="J11" s="400"/>
      <c r="K11" s="260" t="s">
        <v>470</v>
      </c>
      <c r="L11" s="263">
        <v>45827</v>
      </c>
      <c r="M11" s="263"/>
      <c r="N11" s="260"/>
      <c r="O11" s="260">
        <f ca="1">O1-L11</f>
        <v>40</v>
      </c>
      <c r="P11" s="260"/>
      <c r="Q11" s="414"/>
      <c r="R11" s="400"/>
      <c r="S11" s="400"/>
      <c r="T11" s="400"/>
      <c r="U11" s="400"/>
    </row>
    <row r="12" spans="1:21" ht="31" x14ac:dyDescent="0.35">
      <c r="A12" s="266">
        <v>5</v>
      </c>
      <c r="B12" s="267" t="s">
        <v>463</v>
      </c>
      <c r="C12" s="268" t="s">
        <v>464</v>
      </c>
      <c r="D12" s="248" t="s">
        <v>485</v>
      </c>
      <c r="E12" s="252" t="s">
        <v>486</v>
      </c>
      <c r="F12" s="250" t="s">
        <v>477</v>
      </c>
      <c r="G12" s="258">
        <v>45814</v>
      </c>
      <c r="H12" s="258">
        <v>45820</v>
      </c>
      <c r="I12" s="250"/>
      <c r="J12" s="250"/>
      <c r="K12" s="252"/>
      <c r="L12" s="269"/>
      <c r="M12" s="269"/>
      <c r="N12" s="252"/>
      <c r="O12" s="252"/>
      <c r="P12" s="252"/>
      <c r="Q12" s="252"/>
      <c r="R12" s="252"/>
      <c r="S12" s="252"/>
      <c r="T12" s="252"/>
      <c r="U12" s="252"/>
    </row>
    <row r="13" spans="1:21" ht="15.5" x14ac:dyDescent="0.35">
      <c r="A13" s="400">
        <v>6</v>
      </c>
      <c r="B13" s="400" t="s">
        <v>463</v>
      </c>
      <c r="C13" s="416" t="s">
        <v>464</v>
      </c>
      <c r="D13" s="417" t="s">
        <v>487</v>
      </c>
      <c r="E13" s="400" t="s">
        <v>488</v>
      </c>
      <c r="F13" s="400" t="s">
        <v>477</v>
      </c>
      <c r="G13" s="411">
        <v>45814</v>
      </c>
      <c r="H13" s="411">
        <v>45815</v>
      </c>
      <c r="I13" s="400"/>
      <c r="J13" s="400"/>
      <c r="K13" s="260" t="s">
        <v>468</v>
      </c>
      <c r="L13" s="263">
        <v>45815</v>
      </c>
      <c r="M13" s="263">
        <v>45828</v>
      </c>
      <c r="N13" s="260" t="s">
        <v>478</v>
      </c>
      <c r="O13" s="260">
        <f>M13-L13</f>
        <v>13</v>
      </c>
      <c r="P13" s="260"/>
      <c r="Q13" s="260"/>
      <c r="R13" s="400" t="s">
        <v>398</v>
      </c>
      <c r="S13" s="400" t="s">
        <v>479</v>
      </c>
      <c r="T13" s="400" t="s">
        <v>398</v>
      </c>
      <c r="U13" s="400">
        <f>M14-L14</f>
        <v>12</v>
      </c>
    </row>
    <row r="14" spans="1:21" ht="15.5" x14ac:dyDescent="0.35">
      <c r="A14" s="400"/>
      <c r="B14" s="400"/>
      <c r="C14" s="416"/>
      <c r="D14" s="417"/>
      <c r="E14" s="400"/>
      <c r="F14" s="400"/>
      <c r="G14" s="411"/>
      <c r="H14" s="411"/>
      <c r="I14" s="400"/>
      <c r="J14" s="400"/>
      <c r="K14" s="260" t="s">
        <v>470</v>
      </c>
      <c r="L14" s="263">
        <v>45834</v>
      </c>
      <c r="M14" s="263">
        <v>45846</v>
      </c>
      <c r="N14" s="260" t="s">
        <v>479</v>
      </c>
      <c r="O14" s="260">
        <f ca="1">O1-L14</f>
        <v>33</v>
      </c>
      <c r="P14" s="260"/>
      <c r="Q14" s="260"/>
      <c r="R14" s="400"/>
      <c r="S14" s="400"/>
      <c r="T14" s="400"/>
      <c r="U14" s="400"/>
    </row>
    <row r="15" spans="1:21" ht="15.5" x14ac:dyDescent="0.35">
      <c r="A15" s="370">
        <v>7</v>
      </c>
      <c r="B15" s="370" t="s">
        <v>463</v>
      </c>
      <c r="C15" s="412" t="s">
        <v>464</v>
      </c>
      <c r="D15" s="413" t="s">
        <v>489</v>
      </c>
      <c r="E15" s="370" t="s">
        <v>490</v>
      </c>
      <c r="F15" s="370" t="s">
        <v>467</v>
      </c>
      <c r="G15" s="410">
        <v>45742</v>
      </c>
      <c r="H15" s="410">
        <v>45742</v>
      </c>
      <c r="I15" s="370"/>
      <c r="J15" s="370"/>
      <c r="K15" s="260" t="s">
        <v>468</v>
      </c>
      <c r="L15" s="263">
        <v>45742</v>
      </c>
      <c r="M15" s="263">
        <v>45751</v>
      </c>
      <c r="N15" s="260" t="s">
        <v>491</v>
      </c>
      <c r="O15" s="260">
        <f>M15-L15</f>
        <v>9</v>
      </c>
      <c r="P15" s="260">
        <f>L16-M15</f>
        <v>0</v>
      </c>
      <c r="Q15" s="260"/>
      <c r="R15" s="370" t="s">
        <v>398</v>
      </c>
      <c r="S15" s="370" t="str">
        <f>N16</f>
        <v>CAT - I</v>
      </c>
      <c r="T15" s="370" t="s">
        <v>398</v>
      </c>
      <c r="U15" s="370">
        <f ca="1">U1-L16</f>
        <v>116</v>
      </c>
    </row>
    <row r="16" spans="1:21" ht="15.5" x14ac:dyDescent="0.35">
      <c r="A16" s="370"/>
      <c r="B16" s="370"/>
      <c r="C16" s="412"/>
      <c r="D16" s="413"/>
      <c r="E16" s="370"/>
      <c r="F16" s="370"/>
      <c r="G16" s="410"/>
      <c r="H16" s="410"/>
      <c r="I16" s="370"/>
      <c r="J16" s="370"/>
      <c r="K16" s="260" t="s">
        <v>470</v>
      </c>
      <c r="L16" s="263">
        <v>45751</v>
      </c>
      <c r="M16" s="263">
        <v>45833</v>
      </c>
      <c r="N16" s="260" t="s">
        <v>482</v>
      </c>
      <c r="O16" s="260">
        <f>M16-L16</f>
        <v>82</v>
      </c>
      <c r="P16" s="260"/>
      <c r="Q16" s="260"/>
      <c r="R16" s="370"/>
      <c r="S16" s="370"/>
      <c r="T16" s="370"/>
      <c r="U16" s="370"/>
    </row>
    <row r="17" spans="1:21" ht="15.5" x14ac:dyDescent="0.35">
      <c r="A17" s="266">
        <v>8</v>
      </c>
      <c r="B17" s="267" t="s">
        <v>463</v>
      </c>
      <c r="C17" s="268" t="s">
        <v>464</v>
      </c>
      <c r="D17" s="248" t="s">
        <v>493</v>
      </c>
      <c r="E17" s="252" t="s">
        <v>494</v>
      </c>
      <c r="F17" s="252" t="s">
        <v>477</v>
      </c>
      <c r="G17" s="269">
        <v>45771</v>
      </c>
      <c r="H17" s="269">
        <v>45771</v>
      </c>
      <c r="I17" s="252"/>
      <c r="J17" s="252"/>
      <c r="K17" s="252" t="s">
        <v>468</v>
      </c>
      <c r="L17" s="269">
        <v>45772</v>
      </c>
      <c r="M17" s="269">
        <v>45833</v>
      </c>
      <c r="N17" s="252" t="s">
        <v>478</v>
      </c>
      <c r="O17" s="252">
        <f>M17-L17</f>
        <v>61</v>
      </c>
      <c r="P17" s="252">
        <f ca="1">O1-M17</f>
        <v>34</v>
      </c>
      <c r="Q17" s="252"/>
      <c r="R17" s="252" t="s">
        <v>499</v>
      </c>
      <c r="S17" s="252" t="str">
        <f>N17</f>
        <v>CAT -IV R</v>
      </c>
      <c r="T17" s="252" t="s">
        <v>474</v>
      </c>
      <c r="U17" s="252">
        <f ca="1">U1-L17</f>
        <v>95</v>
      </c>
    </row>
    <row r="18" spans="1:21" ht="15.5" x14ac:dyDescent="0.35">
      <c r="A18" s="250">
        <v>9</v>
      </c>
      <c r="B18" s="250" t="s">
        <v>463</v>
      </c>
      <c r="C18" s="257" t="s">
        <v>464</v>
      </c>
      <c r="D18" s="259" t="s">
        <v>495</v>
      </c>
      <c r="E18" s="250" t="s">
        <v>496</v>
      </c>
      <c r="F18" s="250" t="s">
        <v>477</v>
      </c>
      <c r="G18" s="258"/>
      <c r="H18" s="258"/>
      <c r="I18" s="250"/>
      <c r="J18" s="250"/>
      <c r="K18" s="250"/>
      <c r="L18" s="258"/>
      <c r="M18" s="258"/>
      <c r="N18" s="250"/>
      <c r="O18" s="250"/>
      <c r="P18" s="250"/>
      <c r="Q18" s="250"/>
      <c r="R18" s="250"/>
      <c r="S18" s="250"/>
      <c r="T18" s="250"/>
      <c r="U18" s="250"/>
    </row>
    <row r="19" spans="1:21" ht="15.5" x14ac:dyDescent="0.35">
      <c r="A19" s="434">
        <v>10</v>
      </c>
      <c r="B19" s="436" t="s">
        <v>463</v>
      </c>
      <c r="C19" s="438" t="s">
        <v>464</v>
      </c>
      <c r="D19" s="442" t="s">
        <v>497</v>
      </c>
      <c r="E19" s="374" t="s">
        <v>498</v>
      </c>
      <c r="F19" s="429" t="s">
        <v>477</v>
      </c>
      <c r="G19" s="432">
        <v>45772</v>
      </c>
      <c r="H19" s="432">
        <v>45772</v>
      </c>
      <c r="I19" s="429"/>
      <c r="J19" s="429"/>
      <c r="K19" s="252" t="s">
        <v>468</v>
      </c>
      <c r="L19" s="269">
        <v>45772</v>
      </c>
      <c r="M19" s="269">
        <v>45778</v>
      </c>
      <c r="N19" s="252" t="s">
        <v>478</v>
      </c>
      <c r="O19" s="252">
        <f>M19-L19</f>
        <v>6</v>
      </c>
      <c r="P19" s="252">
        <f>L20-M19</f>
        <v>70</v>
      </c>
      <c r="Q19" s="374"/>
      <c r="R19" s="374" t="s">
        <v>492</v>
      </c>
      <c r="S19" s="374" t="str">
        <f>N21</f>
        <v>CAT -IV R</v>
      </c>
      <c r="T19" s="374" t="s">
        <v>474</v>
      </c>
      <c r="U19" s="374">
        <f ca="1">U1-M19</f>
        <v>89</v>
      </c>
    </row>
    <row r="20" spans="1:21" ht="15.5" x14ac:dyDescent="0.35">
      <c r="A20" s="461"/>
      <c r="B20" s="462"/>
      <c r="C20" s="463"/>
      <c r="D20" s="464"/>
      <c r="E20" s="380"/>
      <c r="F20" s="465"/>
      <c r="G20" s="460"/>
      <c r="H20" s="460"/>
      <c r="I20" s="429"/>
      <c r="J20" s="429"/>
      <c r="K20" s="252" t="s">
        <v>470</v>
      </c>
      <c r="L20" s="269">
        <v>45848</v>
      </c>
      <c r="M20" s="269">
        <v>45850</v>
      </c>
      <c r="N20" s="252" t="s">
        <v>478</v>
      </c>
      <c r="O20" s="252">
        <f ca="1">O1-L20</f>
        <v>19</v>
      </c>
      <c r="P20" s="252"/>
      <c r="Q20" s="374"/>
      <c r="R20" s="380"/>
      <c r="S20" s="380"/>
      <c r="T20" s="380"/>
      <c r="U20" s="380"/>
    </row>
    <row r="21" spans="1:21" ht="15.5" x14ac:dyDescent="0.35">
      <c r="A21" s="435"/>
      <c r="B21" s="437"/>
      <c r="C21" s="439"/>
      <c r="D21" s="443"/>
      <c r="E21" s="375"/>
      <c r="F21" s="430"/>
      <c r="G21" s="433"/>
      <c r="H21" s="433"/>
      <c r="I21" s="271"/>
      <c r="J21" s="271"/>
      <c r="K21" s="252" t="s">
        <v>472</v>
      </c>
      <c r="L21" s="269">
        <v>45862</v>
      </c>
      <c r="M21" s="269">
        <v>45863</v>
      </c>
      <c r="N21" s="252" t="s">
        <v>478</v>
      </c>
      <c r="O21" s="252"/>
      <c r="P21" s="252"/>
      <c r="Q21" s="270"/>
      <c r="R21" s="375"/>
      <c r="S21" s="375"/>
      <c r="T21" s="375"/>
      <c r="U21" s="375"/>
    </row>
    <row r="22" spans="1:21" ht="15.5" x14ac:dyDescent="0.35">
      <c r="A22" s="370">
        <v>11</v>
      </c>
      <c r="B22" s="370" t="s">
        <v>463</v>
      </c>
      <c r="C22" s="412" t="s">
        <v>464</v>
      </c>
      <c r="D22" s="413" t="s">
        <v>500</v>
      </c>
      <c r="E22" s="370" t="s">
        <v>501</v>
      </c>
      <c r="F22" s="370" t="s">
        <v>467</v>
      </c>
      <c r="G22" s="410">
        <v>45769</v>
      </c>
      <c r="H22" s="410">
        <f>L22</f>
        <v>45769</v>
      </c>
      <c r="I22" s="370"/>
      <c r="J22" s="370"/>
      <c r="K22" s="260" t="s">
        <v>468</v>
      </c>
      <c r="L22" s="263">
        <v>45769</v>
      </c>
      <c r="M22" s="263">
        <v>45771</v>
      </c>
      <c r="N22" s="260" t="s">
        <v>469</v>
      </c>
      <c r="O22" s="260">
        <f>M22-L22</f>
        <v>2</v>
      </c>
      <c r="P22" s="260">
        <f>L23-M22</f>
        <v>6</v>
      </c>
      <c r="Q22" s="444">
        <f>M24</f>
        <v>45793</v>
      </c>
      <c r="R22" s="370" t="s">
        <v>492</v>
      </c>
      <c r="S22" s="370" t="str">
        <f>N24</f>
        <v>CAT - I</v>
      </c>
      <c r="T22" s="370" t="s">
        <v>398</v>
      </c>
      <c r="U22" s="370">
        <f>M24-L24</f>
        <v>7</v>
      </c>
    </row>
    <row r="23" spans="1:21" ht="15.5" x14ac:dyDescent="0.35">
      <c r="A23" s="370"/>
      <c r="B23" s="370"/>
      <c r="C23" s="412"/>
      <c r="D23" s="413"/>
      <c r="E23" s="370"/>
      <c r="F23" s="370"/>
      <c r="G23" s="410"/>
      <c r="H23" s="410"/>
      <c r="I23" s="370"/>
      <c r="J23" s="370"/>
      <c r="K23" s="260" t="s">
        <v>470</v>
      </c>
      <c r="L23" s="263">
        <v>45777</v>
      </c>
      <c r="M23" s="263">
        <v>45778</v>
      </c>
      <c r="N23" s="260" t="s">
        <v>491</v>
      </c>
      <c r="O23" s="260">
        <f>M23-L23</f>
        <v>1</v>
      </c>
      <c r="P23" s="260">
        <f>L24-M23</f>
        <v>8</v>
      </c>
      <c r="Q23" s="444"/>
      <c r="R23" s="370"/>
      <c r="S23" s="370"/>
      <c r="T23" s="370"/>
      <c r="U23" s="370"/>
    </row>
    <row r="24" spans="1:21" ht="15.5" x14ac:dyDescent="0.35">
      <c r="A24" s="370"/>
      <c r="B24" s="370"/>
      <c r="C24" s="412"/>
      <c r="D24" s="413"/>
      <c r="E24" s="370"/>
      <c r="F24" s="370"/>
      <c r="G24" s="410"/>
      <c r="H24" s="410"/>
      <c r="I24" s="370"/>
      <c r="J24" s="370"/>
      <c r="K24" s="260" t="s">
        <v>472</v>
      </c>
      <c r="L24" s="263">
        <v>45786</v>
      </c>
      <c r="M24" s="263">
        <v>45793</v>
      </c>
      <c r="N24" s="260" t="s">
        <v>482</v>
      </c>
      <c r="O24" s="260">
        <f>M24-L24</f>
        <v>7</v>
      </c>
      <c r="P24" s="260"/>
      <c r="Q24" s="444"/>
      <c r="R24" s="370"/>
      <c r="S24" s="370"/>
      <c r="T24" s="370"/>
      <c r="U24" s="370"/>
    </row>
    <row r="25" spans="1:21" ht="31" x14ac:dyDescent="0.35">
      <c r="A25" s="260">
        <v>12</v>
      </c>
      <c r="B25" s="260" t="s">
        <v>463</v>
      </c>
      <c r="C25" s="261" t="s">
        <v>464</v>
      </c>
      <c r="D25" s="262" t="s">
        <v>502</v>
      </c>
      <c r="E25" s="260" t="s">
        <v>503</v>
      </c>
      <c r="F25" s="260" t="s">
        <v>477</v>
      </c>
      <c r="G25" s="263">
        <v>45801</v>
      </c>
      <c r="H25" s="263">
        <v>45843</v>
      </c>
      <c r="I25" s="260"/>
      <c r="J25" s="260"/>
      <c r="K25" s="260" t="s">
        <v>468</v>
      </c>
      <c r="L25" s="263">
        <v>45843</v>
      </c>
      <c r="M25" s="263">
        <v>45845</v>
      </c>
      <c r="N25" s="260" t="s">
        <v>479</v>
      </c>
      <c r="O25" s="260">
        <f>M25-L25</f>
        <v>2</v>
      </c>
      <c r="P25" s="260"/>
      <c r="Q25" s="260"/>
      <c r="R25" s="260" t="s">
        <v>492</v>
      </c>
      <c r="S25" s="260" t="str">
        <f>S22</f>
        <v>CAT - I</v>
      </c>
      <c r="T25" s="260" t="s">
        <v>398</v>
      </c>
      <c r="U25" s="260"/>
    </row>
    <row r="26" spans="1:21" ht="15.5" x14ac:dyDescent="0.35">
      <c r="A26" s="266">
        <v>13</v>
      </c>
      <c r="B26" s="267" t="s">
        <v>463</v>
      </c>
      <c r="C26" s="268" t="s">
        <v>464</v>
      </c>
      <c r="D26" s="248" t="s">
        <v>504</v>
      </c>
      <c r="E26" s="252" t="s">
        <v>505</v>
      </c>
      <c r="F26" s="250" t="s">
        <v>477</v>
      </c>
      <c r="G26" s="258">
        <v>45741</v>
      </c>
      <c r="H26" s="258"/>
      <c r="I26" s="250"/>
      <c r="J26" s="250"/>
      <c r="K26" s="252"/>
      <c r="L26" s="269"/>
      <c r="M26" s="269"/>
      <c r="N26" s="252"/>
      <c r="O26" s="252"/>
      <c r="P26" s="252"/>
      <c r="Q26" s="252"/>
      <c r="R26" s="252"/>
      <c r="S26" s="252"/>
      <c r="T26" s="252"/>
      <c r="U26" s="252"/>
    </row>
    <row r="27" spans="1:21" ht="31" x14ac:dyDescent="0.35">
      <c r="A27" s="266">
        <v>14</v>
      </c>
      <c r="B27" s="267" t="s">
        <v>463</v>
      </c>
      <c r="C27" s="268" t="s">
        <v>464</v>
      </c>
      <c r="D27" s="248" t="s">
        <v>506</v>
      </c>
      <c r="E27" s="252" t="s">
        <v>507</v>
      </c>
      <c r="F27" s="250" t="s">
        <v>467</v>
      </c>
      <c r="G27" s="258">
        <v>45741</v>
      </c>
      <c r="H27" s="258"/>
      <c r="I27" s="250"/>
      <c r="J27" s="250"/>
      <c r="K27" s="252"/>
      <c r="L27" s="269"/>
      <c r="M27" s="269"/>
      <c r="N27" s="252"/>
      <c r="O27" s="252"/>
      <c r="P27" s="252"/>
      <c r="Q27" s="252"/>
      <c r="R27" s="252"/>
      <c r="S27" s="252"/>
      <c r="T27" s="252"/>
      <c r="U27" s="252"/>
    </row>
    <row r="28" spans="1:21" ht="15.5" x14ac:dyDescent="0.35">
      <c r="A28" s="400">
        <v>1</v>
      </c>
      <c r="B28" s="400" t="s">
        <v>6</v>
      </c>
      <c r="C28" s="416" t="s">
        <v>508</v>
      </c>
      <c r="D28" s="417" t="s">
        <v>509</v>
      </c>
      <c r="E28" s="400" t="s">
        <v>510</v>
      </c>
      <c r="F28" s="400" t="s">
        <v>467</v>
      </c>
      <c r="G28" s="411">
        <v>45727</v>
      </c>
      <c r="H28" s="411">
        <f>L28</f>
        <v>45727</v>
      </c>
      <c r="I28" s="400"/>
      <c r="J28" s="400"/>
      <c r="K28" s="260" t="s">
        <v>468</v>
      </c>
      <c r="L28" s="263">
        <v>45727</v>
      </c>
      <c r="M28" s="263">
        <v>45736</v>
      </c>
      <c r="N28" s="260" t="s">
        <v>469</v>
      </c>
      <c r="O28" s="260">
        <f>M28-L28</f>
        <v>9</v>
      </c>
      <c r="P28" s="260">
        <f>L29-M28</f>
        <v>19</v>
      </c>
      <c r="Q28" s="400"/>
      <c r="R28" s="400" t="s">
        <v>398</v>
      </c>
      <c r="S28" s="400" t="str">
        <f>N30</f>
        <v>CAT - I</v>
      </c>
      <c r="T28" s="400" t="s">
        <v>398</v>
      </c>
      <c r="U28" s="400">
        <f ca="1">U1-L30</f>
        <v>62</v>
      </c>
    </row>
    <row r="29" spans="1:21" ht="15.5" x14ac:dyDescent="0.35">
      <c r="A29" s="400"/>
      <c r="B29" s="400"/>
      <c r="C29" s="416"/>
      <c r="D29" s="417"/>
      <c r="E29" s="400"/>
      <c r="F29" s="400"/>
      <c r="G29" s="411"/>
      <c r="H29" s="411"/>
      <c r="I29" s="400"/>
      <c r="J29" s="400"/>
      <c r="K29" s="260" t="s">
        <v>470</v>
      </c>
      <c r="L29" s="263">
        <v>45755</v>
      </c>
      <c r="M29" s="263">
        <v>45758</v>
      </c>
      <c r="N29" s="260" t="s">
        <v>491</v>
      </c>
      <c r="O29" s="260">
        <f>M29-L29</f>
        <v>3</v>
      </c>
      <c r="P29" s="260">
        <f>L30-M29</f>
        <v>47</v>
      </c>
      <c r="Q29" s="400"/>
      <c r="R29" s="400"/>
      <c r="S29" s="400"/>
      <c r="T29" s="400"/>
      <c r="U29" s="400"/>
    </row>
    <row r="30" spans="1:21" ht="15.5" x14ac:dyDescent="0.35">
      <c r="A30" s="400"/>
      <c r="B30" s="400"/>
      <c r="C30" s="416"/>
      <c r="D30" s="417"/>
      <c r="E30" s="400"/>
      <c r="F30" s="400"/>
      <c r="G30" s="411"/>
      <c r="H30" s="411"/>
      <c r="I30" s="400"/>
      <c r="J30" s="400"/>
      <c r="K30" s="260" t="s">
        <v>472</v>
      </c>
      <c r="L30" s="263">
        <v>45805</v>
      </c>
      <c r="M30" s="263">
        <v>45810</v>
      </c>
      <c r="N30" s="260" t="s">
        <v>482</v>
      </c>
      <c r="O30" s="260">
        <f>M30-L30</f>
        <v>5</v>
      </c>
      <c r="P30" s="260"/>
      <c r="Q30" s="400"/>
      <c r="R30" s="400"/>
      <c r="S30" s="400"/>
      <c r="T30" s="400"/>
      <c r="U30" s="400"/>
    </row>
    <row r="31" spans="1:21" ht="15.5" x14ac:dyDescent="0.35">
      <c r="A31" s="400">
        <v>2</v>
      </c>
      <c r="B31" s="400" t="s">
        <v>6</v>
      </c>
      <c r="C31" s="416" t="s">
        <v>508</v>
      </c>
      <c r="D31" s="417" t="s">
        <v>831</v>
      </c>
      <c r="E31" s="400" t="s">
        <v>511</v>
      </c>
      <c r="F31" s="400" t="s">
        <v>467</v>
      </c>
      <c r="G31" s="411">
        <v>45805</v>
      </c>
      <c r="H31" s="411">
        <f>L31</f>
        <v>45811</v>
      </c>
      <c r="I31" s="400"/>
      <c r="J31" s="400"/>
      <c r="K31" s="260" t="s">
        <v>468</v>
      </c>
      <c r="L31" s="263">
        <v>45811</v>
      </c>
      <c r="M31" s="263">
        <v>45818</v>
      </c>
      <c r="N31" s="260" t="s">
        <v>469</v>
      </c>
      <c r="O31" s="260">
        <f>M31-L31</f>
        <v>7</v>
      </c>
      <c r="P31" s="260">
        <f>L32-M31</f>
        <v>15</v>
      </c>
      <c r="Q31" s="400"/>
      <c r="R31" s="400" t="s">
        <v>492</v>
      </c>
      <c r="S31" s="400" t="str">
        <f>N32</f>
        <v>CAT - I</v>
      </c>
      <c r="T31" s="400" t="s">
        <v>398</v>
      </c>
      <c r="U31" s="400">
        <f ca="1">U1-L31</f>
        <v>56</v>
      </c>
    </row>
    <row r="32" spans="1:21" ht="15.5" x14ac:dyDescent="0.35">
      <c r="A32" s="400"/>
      <c r="B32" s="400"/>
      <c r="C32" s="416"/>
      <c r="D32" s="417"/>
      <c r="E32" s="400"/>
      <c r="F32" s="400"/>
      <c r="G32" s="411"/>
      <c r="H32" s="411"/>
      <c r="I32" s="400"/>
      <c r="J32" s="400"/>
      <c r="K32" s="260" t="s">
        <v>470</v>
      </c>
      <c r="L32" s="263">
        <v>45833</v>
      </c>
      <c r="M32" s="263">
        <v>45846</v>
      </c>
      <c r="N32" s="260" t="s">
        <v>482</v>
      </c>
      <c r="O32" s="260">
        <f ca="1">O1-L32</f>
        <v>34</v>
      </c>
      <c r="P32" s="260"/>
      <c r="Q32" s="400"/>
      <c r="R32" s="400"/>
      <c r="S32" s="400"/>
      <c r="T32" s="400"/>
      <c r="U32" s="400"/>
    </row>
    <row r="33" spans="1:21" ht="15.5" x14ac:dyDescent="0.35">
      <c r="A33" s="434">
        <v>3</v>
      </c>
      <c r="B33" s="436" t="s">
        <v>6</v>
      </c>
      <c r="C33" s="459" t="s">
        <v>508</v>
      </c>
      <c r="D33" s="447" t="s">
        <v>512</v>
      </c>
      <c r="E33" s="374" t="s">
        <v>513</v>
      </c>
      <c r="F33" s="429" t="s">
        <v>467</v>
      </c>
      <c r="G33" s="432">
        <v>45795</v>
      </c>
      <c r="H33" s="432">
        <f>L33</f>
        <v>45813</v>
      </c>
      <c r="I33" s="250"/>
      <c r="J33" s="250"/>
      <c r="K33" s="252" t="s">
        <v>468</v>
      </c>
      <c r="L33" s="269">
        <v>45813</v>
      </c>
      <c r="M33" s="269">
        <v>45828</v>
      </c>
      <c r="N33" s="252" t="s">
        <v>469</v>
      </c>
      <c r="O33" s="252">
        <f t="shared" ref="O33:O39" si="0">M33-L33</f>
        <v>15</v>
      </c>
      <c r="P33" s="252">
        <f>L34-M33</f>
        <v>21</v>
      </c>
      <c r="Q33" s="374"/>
      <c r="R33" s="374" t="s">
        <v>492</v>
      </c>
      <c r="S33" s="374" t="str">
        <f>N33</f>
        <v>CAT - III</v>
      </c>
      <c r="T33" s="374" t="s">
        <v>471</v>
      </c>
      <c r="U33" s="374">
        <f ca="1">U1-L33</f>
        <v>54</v>
      </c>
    </row>
    <row r="34" spans="1:21" ht="15.5" x14ac:dyDescent="0.35">
      <c r="A34" s="434"/>
      <c r="B34" s="436"/>
      <c r="C34" s="459"/>
      <c r="D34" s="447"/>
      <c r="E34" s="374"/>
      <c r="F34" s="429"/>
      <c r="G34" s="432"/>
      <c r="H34" s="432"/>
      <c r="I34" s="271"/>
      <c r="J34" s="271"/>
      <c r="K34" s="252" t="s">
        <v>470</v>
      </c>
      <c r="L34" s="269">
        <v>45849</v>
      </c>
      <c r="M34" s="269"/>
      <c r="N34" s="252"/>
      <c r="O34" s="252">
        <f ca="1">O1-L34</f>
        <v>18</v>
      </c>
      <c r="P34" s="252"/>
      <c r="Q34" s="374"/>
      <c r="R34" s="374"/>
      <c r="S34" s="374"/>
      <c r="T34" s="374"/>
      <c r="U34" s="374"/>
    </row>
    <row r="35" spans="1:21" ht="15.5" x14ac:dyDescent="0.35">
      <c r="A35" s="400">
        <v>4</v>
      </c>
      <c r="B35" s="400" t="s">
        <v>6</v>
      </c>
      <c r="C35" s="402" t="s">
        <v>508</v>
      </c>
      <c r="D35" s="422" t="s">
        <v>514</v>
      </c>
      <c r="E35" s="400" t="s">
        <v>515</v>
      </c>
      <c r="F35" s="400" t="s">
        <v>467</v>
      </c>
      <c r="G35" s="411">
        <v>45751</v>
      </c>
      <c r="H35" s="411">
        <f>L35</f>
        <v>45727</v>
      </c>
      <c r="I35" s="400"/>
      <c r="J35" s="400"/>
      <c r="K35" s="260" t="s">
        <v>468</v>
      </c>
      <c r="L35" s="263">
        <v>45727</v>
      </c>
      <c r="M35" s="263">
        <v>45736</v>
      </c>
      <c r="N35" s="260" t="s">
        <v>491</v>
      </c>
      <c r="O35" s="260">
        <f t="shared" si="0"/>
        <v>9</v>
      </c>
      <c r="P35" s="260">
        <f>L36-M35</f>
        <v>19</v>
      </c>
      <c r="Q35" s="458">
        <f>M39</f>
        <v>45825</v>
      </c>
      <c r="R35" s="400" t="s">
        <v>492</v>
      </c>
      <c r="S35" s="400" t="str">
        <f>N40</f>
        <v>CAT - I</v>
      </c>
      <c r="T35" s="400" t="s">
        <v>398</v>
      </c>
      <c r="U35" s="400">
        <f>M37-L37</f>
        <v>1</v>
      </c>
    </row>
    <row r="36" spans="1:21" ht="15.5" x14ac:dyDescent="0.35">
      <c r="A36" s="400"/>
      <c r="B36" s="400"/>
      <c r="C36" s="402"/>
      <c r="D36" s="417"/>
      <c r="E36" s="400"/>
      <c r="F36" s="400"/>
      <c r="G36" s="411"/>
      <c r="H36" s="411"/>
      <c r="I36" s="400"/>
      <c r="J36" s="400"/>
      <c r="K36" s="260" t="s">
        <v>470</v>
      </c>
      <c r="L36" s="263">
        <v>45755</v>
      </c>
      <c r="M36" s="263">
        <v>45758</v>
      </c>
      <c r="N36" s="260" t="s">
        <v>482</v>
      </c>
      <c r="O36" s="260">
        <f t="shared" si="0"/>
        <v>3</v>
      </c>
      <c r="P36" s="260">
        <f>L37-M36</f>
        <v>25</v>
      </c>
      <c r="Q36" s="458"/>
      <c r="R36" s="400"/>
      <c r="S36" s="400"/>
      <c r="T36" s="400"/>
      <c r="U36" s="400"/>
    </row>
    <row r="37" spans="1:21" ht="15.5" x14ac:dyDescent="0.35">
      <c r="A37" s="400"/>
      <c r="B37" s="400"/>
      <c r="C37" s="402"/>
      <c r="D37" s="417"/>
      <c r="E37" s="400"/>
      <c r="F37" s="400"/>
      <c r="G37" s="411"/>
      <c r="H37" s="411"/>
      <c r="I37" s="400"/>
      <c r="J37" s="400"/>
      <c r="K37" s="260" t="s">
        <v>472</v>
      </c>
      <c r="L37" s="263">
        <v>45783</v>
      </c>
      <c r="M37" s="263">
        <v>45784</v>
      </c>
      <c r="N37" s="260" t="s">
        <v>482</v>
      </c>
      <c r="O37" s="260">
        <f t="shared" si="0"/>
        <v>1</v>
      </c>
      <c r="P37" s="260">
        <f>L38-M37</f>
        <v>21</v>
      </c>
      <c r="Q37" s="458"/>
      <c r="R37" s="400"/>
      <c r="S37" s="400"/>
      <c r="T37" s="400"/>
      <c r="U37" s="400"/>
    </row>
    <row r="38" spans="1:21" ht="15.5" x14ac:dyDescent="0.35">
      <c r="A38" s="400"/>
      <c r="B38" s="400"/>
      <c r="C38" s="402"/>
      <c r="D38" s="417"/>
      <c r="E38" s="400"/>
      <c r="F38" s="400"/>
      <c r="G38" s="411"/>
      <c r="H38" s="411"/>
      <c r="I38" s="400"/>
      <c r="J38" s="400"/>
      <c r="K38" s="260" t="s">
        <v>473</v>
      </c>
      <c r="L38" s="263">
        <v>45805</v>
      </c>
      <c r="M38" s="263">
        <v>45807</v>
      </c>
      <c r="N38" s="260" t="s">
        <v>491</v>
      </c>
      <c r="O38" s="260">
        <f t="shared" si="0"/>
        <v>2</v>
      </c>
      <c r="P38" s="260"/>
      <c r="Q38" s="458"/>
      <c r="R38" s="400"/>
      <c r="S38" s="400"/>
      <c r="T38" s="400"/>
      <c r="U38" s="400"/>
    </row>
    <row r="39" spans="1:21" ht="15.5" x14ac:dyDescent="0.35">
      <c r="A39" s="400"/>
      <c r="B39" s="400"/>
      <c r="C39" s="402"/>
      <c r="D39" s="417"/>
      <c r="E39" s="400"/>
      <c r="F39" s="400"/>
      <c r="G39" s="411"/>
      <c r="H39" s="411"/>
      <c r="I39" s="400"/>
      <c r="J39" s="400"/>
      <c r="K39" s="260" t="s">
        <v>834</v>
      </c>
      <c r="L39" s="263">
        <v>45825</v>
      </c>
      <c r="M39" s="263">
        <v>45825</v>
      </c>
      <c r="N39" s="260" t="s">
        <v>482</v>
      </c>
      <c r="O39" s="260">
        <f t="shared" si="0"/>
        <v>0</v>
      </c>
      <c r="P39" s="260"/>
      <c r="Q39" s="458"/>
      <c r="R39" s="400"/>
      <c r="S39" s="400"/>
      <c r="T39" s="400"/>
      <c r="U39" s="400"/>
    </row>
    <row r="40" spans="1:21" ht="15.5" x14ac:dyDescent="0.35">
      <c r="A40" s="400"/>
      <c r="B40" s="400"/>
      <c r="C40" s="402"/>
      <c r="D40" s="417"/>
      <c r="E40" s="400"/>
      <c r="F40" s="400"/>
      <c r="G40" s="411"/>
      <c r="H40" s="411"/>
      <c r="I40" s="277"/>
      <c r="J40" s="277"/>
      <c r="K40" s="260" t="s">
        <v>841</v>
      </c>
      <c r="L40" s="263">
        <v>45855</v>
      </c>
      <c r="M40" s="263">
        <v>45859</v>
      </c>
      <c r="N40" s="260" t="s">
        <v>482</v>
      </c>
      <c r="O40" s="260">
        <f>M40-L40</f>
        <v>4</v>
      </c>
      <c r="P40" s="260"/>
      <c r="Q40" s="458"/>
      <c r="R40" s="400"/>
      <c r="S40" s="400"/>
      <c r="T40" s="400"/>
      <c r="U40" s="400"/>
    </row>
    <row r="41" spans="1:21" ht="15.5" x14ac:dyDescent="0.35">
      <c r="A41" s="400">
        <v>5</v>
      </c>
      <c r="B41" s="400" t="s">
        <v>6</v>
      </c>
      <c r="C41" s="416" t="s">
        <v>508</v>
      </c>
      <c r="D41" s="417" t="s">
        <v>516</v>
      </c>
      <c r="E41" s="400" t="s">
        <v>518</v>
      </c>
      <c r="F41" s="400" t="s">
        <v>467</v>
      </c>
      <c r="G41" s="411">
        <v>45811</v>
      </c>
      <c r="H41" s="411">
        <f>L41</f>
        <v>45811</v>
      </c>
      <c r="I41" s="400"/>
      <c r="J41" s="400"/>
      <c r="K41" s="260" t="s">
        <v>468</v>
      </c>
      <c r="L41" s="263">
        <v>45811</v>
      </c>
      <c r="M41" s="263">
        <v>45818</v>
      </c>
      <c r="N41" s="260" t="s">
        <v>469</v>
      </c>
      <c r="O41" s="260">
        <f>M41-L41</f>
        <v>7</v>
      </c>
      <c r="P41" s="260">
        <f>L42-M41</f>
        <v>15</v>
      </c>
      <c r="Q41" s="400"/>
      <c r="R41" s="400" t="s">
        <v>492</v>
      </c>
      <c r="S41" s="400" t="str">
        <f>N42</f>
        <v>CAT - I</v>
      </c>
      <c r="T41" s="400" t="s">
        <v>398</v>
      </c>
      <c r="U41" s="260">
        <f ca="1">U1-L41</f>
        <v>56</v>
      </c>
    </row>
    <row r="42" spans="1:21" ht="15.5" x14ac:dyDescent="0.35">
      <c r="A42" s="400"/>
      <c r="B42" s="400"/>
      <c r="C42" s="416"/>
      <c r="D42" s="417"/>
      <c r="E42" s="400"/>
      <c r="F42" s="400"/>
      <c r="G42" s="411"/>
      <c r="H42" s="411"/>
      <c r="I42" s="400"/>
      <c r="J42" s="400"/>
      <c r="K42" s="260" t="s">
        <v>470</v>
      </c>
      <c r="L42" s="263">
        <v>45833</v>
      </c>
      <c r="M42" s="263">
        <v>45846</v>
      </c>
      <c r="N42" s="260" t="s">
        <v>482</v>
      </c>
      <c r="O42" s="260">
        <f>M42-L42</f>
        <v>13</v>
      </c>
      <c r="P42" s="260"/>
      <c r="Q42" s="400"/>
      <c r="R42" s="400"/>
      <c r="S42" s="400"/>
      <c r="T42" s="400"/>
      <c r="U42" s="260"/>
    </row>
    <row r="43" spans="1:21" ht="15.5" x14ac:dyDescent="0.35">
      <c r="A43" s="370">
        <v>6</v>
      </c>
      <c r="B43" s="370" t="s">
        <v>6</v>
      </c>
      <c r="C43" s="412" t="s">
        <v>508</v>
      </c>
      <c r="D43" s="413" t="s">
        <v>517</v>
      </c>
      <c r="E43" s="370" t="s">
        <v>518</v>
      </c>
      <c r="F43" s="370" t="s">
        <v>467</v>
      </c>
      <c r="G43" s="410">
        <v>45751</v>
      </c>
      <c r="H43" s="410">
        <f>L43</f>
        <v>45727</v>
      </c>
      <c r="I43" s="370"/>
      <c r="J43" s="370"/>
      <c r="K43" s="260" t="s">
        <v>468</v>
      </c>
      <c r="L43" s="263">
        <v>45727</v>
      </c>
      <c r="M43" s="263">
        <v>45736</v>
      </c>
      <c r="N43" s="260" t="s">
        <v>469</v>
      </c>
      <c r="O43" s="260">
        <f t="shared" ref="O43:O60" si="1">M43-L43</f>
        <v>9</v>
      </c>
      <c r="P43" s="260">
        <f>L44-M43</f>
        <v>19</v>
      </c>
      <c r="Q43" s="457">
        <v>45758</v>
      </c>
      <c r="R43" s="370" t="s">
        <v>499</v>
      </c>
      <c r="S43" s="370" t="str">
        <f>N44</f>
        <v>CAT - I</v>
      </c>
      <c r="T43" s="370" t="s">
        <v>398</v>
      </c>
      <c r="U43" s="370"/>
    </row>
    <row r="44" spans="1:21" ht="15.5" x14ac:dyDescent="0.35">
      <c r="A44" s="370"/>
      <c r="B44" s="370"/>
      <c r="C44" s="412"/>
      <c r="D44" s="413"/>
      <c r="E44" s="370"/>
      <c r="F44" s="370"/>
      <c r="G44" s="410"/>
      <c r="H44" s="410"/>
      <c r="I44" s="370"/>
      <c r="J44" s="370"/>
      <c r="K44" s="260" t="s">
        <v>470</v>
      </c>
      <c r="L44" s="263">
        <v>45755</v>
      </c>
      <c r="M44" s="263">
        <v>45758</v>
      </c>
      <c r="N44" s="260" t="s">
        <v>482</v>
      </c>
      <c r="O44" s="260">
        <f t="shared" si="1"/>
        <v>3</v>
      </c>
      <c r="P44" s="260"/>
      <c r="Q44" s="457"/>
      <c r="R44" s="370"/>
      <c r="S44" s="370"/>
      <c r="T44" s="370"/>
      <c r="U44" s="370"/>
    </row>
    <row r="45" spans="1:21" ht="15.5" x14ac:dyDescent="0.35">
      <c r="A45" s="400">
        <v>7</v>
      </c>
      <c r="B45" s="400" t="s">
        <v>6</v>
      </c>
      <c r="C45" s="402" t="s">
        <v>508</v>
      </c>
      <c r="D45" s="404" t="s">
        <v>519</v>
      </c>
      <c r="E45" s="400" t="s">
        <v>520</v>
      </c>
      <c r="F45" s="400" t="s">
        <v>477</v>
      </c>
      <c r="G45" s="411">
        <v>45769</v>
      </c>
      <c r="H45" s="411">
        <f>L45</f>
        <v>45769</v>
      </c>
      <c r="I45" s="400"/>
      <c r="J45" s="400"/>
      <c r="K45" s="260" t="s">
        <v>468</v>
      </c>
      <c r="L45" s="263">
        <v>45769</v>
      </c>
      <c r="M45" s="263">
        <v>45779</v>
      </c>
      <c r="N45" s="260" t="s">
        <v>521</v>
      </c>
      <c r="O45" s="260">
        <f t="shared" si="1"/>
        <v>10</v>
      </c>
      <c r="P45" s="260">
        <f>L46-M45</f>
        <v>3</v>
      </c>
      <c r="Q45" s="414">
        <f>M45</f>
        <v>45779</v>
      </c>
      <c r="R45" s="400" t="s">
        <v>492</v>
      </c>
      <c r="S45" s="400" t="str">
        <f>N46</f>
        <v xml:space="preserve">CAT -IV </v>
      </c>
      <c r="T45" s="453" t="s">
        <v>471</v>
      </c>
      <c r="U45" s="400"/>
    </row>
    <row r="46" spans="1:21" ht="15.5" x14ac:dyDescent="0.35">
      <c r="A46" s="415"/>
      <c r="B46" s="415"/>
      <c r="C46" s="456"/>
      <c r="D46" s="423"/>
      <c r="E46" s="415"/>
      <c r="F46" s="415"/>
      <c r="G46" s="418"/>
      <c r="H46" s="418"/>
      <c r="I46" s="400"/>
      <c r="J46" s="400"/>
      <c r="K46" s="260" t="s">
        <v>470</v>
      </c>
      <c r="L46" s="263">
        <v>45782</v>
      </c>
      <c r="M46" s="263">
        <v>45784</v>
      </c>
      <c r="N46" s="260" t="s">
        <v>521</v>
      </c>
      <c r="O46" s="260">
        <f t="shared" si="1"/>
        <v>2</v>
      </c>
      <c r="P46" s="260">
        <f>L48-M46</f>
        <v>41</v>
      </c>
      <c r="Q46" s="414"/>
      <c r="R46" s="415"/>
      <c r="S46" s="415"/>
      <c r="T46" s="454"/>
      <c r="U46" s="400"/>
    </row>
    <row r="47" spans="1:21" ht="15.5" x14ac:dyDescent="0.35">
      <c r="A47" s="415"/>
      <c r="B47" s="415"/>
      <c r="C47" s="456"/>
      <c r="D47" s="423"/>
      <c r="E47" s="415"/>
      <c r="F47" s="415"/>
      <c r="G47" s="418"/>
      <c r="H47" s="418"/>
      <c r="I47" s="400"/>
      <c r="J47" s="400"/>
      <c r="K47" s="260" t="s">
        <v>472</v>
      </c>
      <c r="L47" s="263">
        <v>45805</v>
      </c>
      <c r="M47" s="263">
        <v>45807</v>
      </c>
      <c r="N47" s="260" t="s">
        <v>521</v>
      </c>
      <c r="O47" s="260">
        <f t="shared" si="1"/>
        <v>2</v>
      </c>
      <c r="P47" s="260">
        <f>L48-M47</f>
        <v>18</v>
      </c>
      <c r="Q47" s="414"/>
      <c r="R47" s="415"/>
      <c r="S47" s="415"/>
      <c r="T47" s="454"/>
      <c r="U47" s="400"/>
    </row>
    <row r="48" spans="1:21" ht="15.5" x14ac:dyDescent="0.35">
      <c r="A48" s="415"/>
      <c r="B48" s="415"/>
      <c r="C48" s="456"/>
      <c r="D48" s="423"/>
      <c r="E48" s="415"/>
      <c r="F48" s="415"/>
      <c r="G48" s="418"/>
      <c r="H48" s="418"/>
      <c r="I48" s="400"/>
      <c r="J48" s="400"/>
      <c r="K48" s="260" t="s">
        <v>473</v>
      </c>
      <c r="L48" s="263">
        <v>45825</v>
      </c>
      <c r="M48" s="263">
        <v>45825</v>
      </c>
      <c r="N48" s="260" t="s">
        <v>521</v>
      </c>
      <c r="O48" s="260">
        <f t="shared" si="1"/>
        <v>0</v>
      </c>
      <c r="P48" s="260"/>
      <c r="Q48" s="414"/>
      <c r="R48" s="415"/>
      <c r="S48" s="415"/>
      <c r="T48" s="454"/>
      <c r="U48" s="400"/>
    </row>
    <row r="49" spans="1:21" ht="15.5" x14ac:dyDescent="0.35">
      <c r="A49" s="415"/>
      <c r="B49" s="415"/>
      <c r="C49" s="456"/>
      <c r="D49" s="423"/>
      <c r="E49" s="415"/>
      <c r="F49" s="415"/>
      <c r="G49" s="418"/>
      <c r="H49" s="418"/>
      <c r="I49" s="400"/>
      <c r="J49" s="400"/>
      <c r="K49" s="264" t="s">
        <v>834</v>
      </c>
      <c r="L49" s="265">
        <v>45838</v>
      </c>
      <c r="M49" s="265">
        <v>45838</v>
      </c>
      <c r="N49" s="264" t="s">
        <v>521</v>
      </c>
      <c r="O49" s="264">
        <f t="shared" si="1"/>
        <v>0</v>
      </c>
      <c r="P49" s="264"/>
      <c r="Q49" s="414"/>
      <c r="R49" s="415"/>
      <c r="S49" s="415"/>
      <c r="T49" s="454"/>
      <c r="U49" s="279"/>
    </row>
    <row r="50" spans="1:21" ht="15.5" x14ac:dyDescent="0.35">
      <c r="A50" s="401"/>
      <c r="B50" s="401"/>
      <c r="C50" s="403"/>
      <c r="D50" s="405"/>
      <c r="E50" s="401"/>
      <c r="F50" s="401"/>
      <c r="G50" s="419"/>
      <c r="H50" s="419"/>
      <c r="I50" s="264"/>
      <c r="J50" s="264"/>
      <c r="K50" s="281" t="s">
        <v>841</v>
      </c>
      <c r="L50" s="282">
        <v>45864</v>
      </c>
      <c r="M50" s="282"/>
      <c r="N50" s="281"/>
      <c r="O50" s="281"/>
      <c r="P50" s="281"/>
      <c r="Q50" s="283"/>
      <c r="R50" s="401"/>
      <c r="S50" s="401"/>
      <c r="T50" s="455"/>
      <c r="U50" s="279"/>
    </row>
    <row r="51" spans="1:21" ht="15.5" x14ac:dyDescent="0.35">
      <c r="A51" s="400">
        <v>8</v>
      </c>
      <c r="B51" s="400" t="s">
        <v>6</v>
      </c>
      <c r="C51" s="416" t="s">
        <v>508</v>
      </c>
      <c r="D51" s="417" t="s">
        <v>522</v>
      </c>
      <c r="E51" s="400" t="s">
        <v>523</v>
      </c>
      <c r="F51" s="400" t="s">
        <v>477</v>
      </c>
      <c r="G51" s="411">
        <v>45811</v>
      </c>
      <c r="H51" s="411">
        <f>L51</f>
        <v>45811</v>
      </c>
      <c r="I51" s="400"/>
      <c r="J51" s="400"/>
      <c r="K51" s="284" t="s">
        <v>468</v>
      </c>
      <c r="L51" s="285">
        <v>45811</v>
      </c>
      <c r="M51" s="285">
        <v>45818</v>
      </c>
      <c r="N51" s="284" t="s">
        <v>478</v>
      </c>
      <c r="O51" s="284">
        <f t="shared" si="1"/>
        <v>7</v>
      </c>
      <c r="P51" s="284">
        <f>L52-M51</f>
        <v>15</v>
      </c>
      <c r="Q51" s="452"/>
      <c r="R51" s="400" t="s">
        <v>492</v>
      </c>
      <c r="S51" s="400" t="str">
        <f>N52</f>
        <v xml:space="preserve">CAT -IV </v>
      </c>
      <c r="T51" s="400" t="s">
        <v>398</v>
      </c>
      <c r="U51" s="260"/>
    </row>
    <row r="52" spans="1:21" ht="15.5" x14ac:dyDescent="0.35">
      <c r="A52" s="400"/>
      <c r="B52" s="400"/>
      <c r="C52" s="416"/>
      <c r="D52" s="417"/>
      <c r="E52" s="400"/>
      <c r="F52" s="400"/>
      <c r="G52" s="411"/>
      <c r="H52" s="411"/>
      <c r="I52" s="400"/>
      <c r="J52" s="400"/>
      <c r="K52" s="284" t="s">
        <v>470</v>
      </c>
      <c r="L52" s="285">
        <v>45833</v>
      </c>
      <c r="M52" s="285">
        <v>45846</v>
      </c>
      <c r="N52" s="284" t="s">
        <v>521</v>
      </c>
      <c r="O52" s="284">
        <f t="shared" si="1"/>
        <v>13</v>
      </c>
      <c r="P52" s="284"/>
      <c r="Q52" s="452"/>
      <c r="R52" s="400"/>
      <c r="S52" s="400"/>
      <c r="T52" s="400"/>
      <c r="U52" s="260"/>
    </row>
    <row r="53" spans="1:21" ht="31" x14ac:dyDescent="0.35">
      <c r="A53" s="260">
        <v>9</v>
      </c>
      <c r="B53" s="260" t="s">
        <v>6</v>
      </c>
      <c r="C53" s="261" t="s">
        <v>508</v>
      </c>
      <c r="D53" s="262" t="s">
        <v>524</v>
      </c>
      <c r="E53" s="260" t="s">
        <v>525</v>
      </c>
      <c r="F53" s="260" t="s">
        <v>477</v>
      </c>
      <c r="G53" s="263">
        <v>45824</v>
      </c>
      <c r="H53" s="263">
        <v>45842</v>
      </c>
      <c r="I53" s="260"/>
      <c r="J53" s="260"/>
      <c r="K53" s="279" t="s">
        <v>468</v>
      </c>
      <c r="L53" s="280">
        <v>45842</v>
      </c>
      <c r="M53" s="280">
        <v>45845</v>
      </c>
      <c r="N53" s="279" t="s">
        <v>521</v>
      </c>
      <c r="O53" s="279">
        <f t="shared" si="1"/>
        <v>3</v>
      </c>
      <c r="P53" s="279"/>
      <c r="Q53" s="278">
        <v>45845</v>
      </c>
      <c r="R53" s="260" t="s">
        <v>492</v>
      </c>
      <c r="S53" s="260" t="s">
        <v>521</v>
      </c>
      <c r="T53" s="260" t="s">
        <v>398</v>
      </c>
      <c r="U53" s="260"/>
    </row>
    <row r="54" spans="1:21" ht="31" x14ac:dyDescent="0.35">
      <c r="A54" s="270">
        <v>10</v>
      </c>
      <c r="B54" s="252" t="s">
        <v>6</v>
      </c>
      <c r="C54" s="286" t="s">
        <v>508</v>
      </c>
      <c r="D54" s="287" t="s">
        <v>842</v>
      </c>
      <c r="E54" s="252" t="s">
        <v>843</v>
      </c>
      <c r="F54" s="252" t="s">
        <v>477</v>
      </c>
      <c r="G54" s="269">
        <v>45824</v>
      </c>
      <c r="H54" s="269">
        <f>L54</f>
        <v>45848</v>
      </c>
      <c r="I54" s="252"/>
      <c r="J54" s="252"/>
      <c r="K54" s="276" t="s">
        <v>468</v>
      </c>
      <c r="L54" s="288">
        <v>45848</v>
      </c>
      <c r="M54" s="288">
        <v>45850</v>
      </c>
      <c r="N54" s="276" t="s">
        <v>478</v>
      </c>
      <c r="O54" s="276">
        <f t="shared" si="1"/>
        <v>2</v>
      </c>
      <c r="P54" s="276"/>
      <c r="Q54" s="289"/>
      <c r="R54" s="252" t="s">
        <v>499</v>
      </c>
      <c r="S54" s="252" t="str">
        <f>N54</f>
        <v>CAT -IV R</v>
      </c>
      <c r="T54" s="252" t="s">
        <v>474</v>
      </c>
      <c r="U54" s="270"/>
    </row>
    <row r="55" spans="1:21" ht="31" x14ac:dyDescent="0.35">
      <c r="A55" s="264">
        <v>11</v>
      </c>
      <c r="B55" s="260" t="s">
        <v>6</v>
      </c>
      <c r="C55" s="261" t="s">
        <v>508</v>
      </c>
      <c r="D55" s="262" t="s">
        <v>844</v>
      </c>
      <c r="E55" s="260" t="s">
        <v>845</v>
      </c>
      <c r="F55" s="260" t="s">
        <v>477</v>
      </c>
      <c r="G55" s="263">
        <v>45824</v>
      </c>
      <c r="H55" s="263">
        <f>L55</f>
        <v>45848</v>
      </c>
      <c r="I55" s="260"/>
      <c r="J55" s="260"/>
      <c r="K55" s="279" t="s">
        <v>468</v>
      </c>
      <c r="L55" s="280">
        <v>45848</v>
      </c>
      <c r="M55" s="280">
        <v>45850</v>
      </c>
      <c r="N55" s="264" t="s">
        <v>521</v>
      </c>
      <c r="O55" s="279">
        <f t="shared" si="1"/>
        <v>2</v>
      </c>
      <c r="P55" s="279"/>
      <c r="Q55" s="278"/>
      <c r="R55" s="260" t="s">
        <v>492</v>
      </c>
      <c r="S55" s="260" t="s">
        <v>521</v>
      </c>
      <c r="T55" s="260" t="s">
        <v>398</v>
      </c>
      <c r="U55" s="264"/>
    </row>
    <row r="56" spans="1:21" ht="15.5" x14ac:dyDescent="0.35">
      <c r="A56" s="434">
        <v>1</v>
      </c>
      <c r="B56" s="449" t="s">
        <v>6</v>
      </c>
      <c r="C56" s="450" t="s">
        <v>526</v>
      </c>
      <c r="D56" s="451" t="s">
        <v>527</v>
      </c>
      <c r="E56" s="425" t="s">
        <v>528</v>
      </c>
      <c r="F56" s="425" t="s">
        <v>467</v>
      </c>
      <c r="G56" s="424">
        <v>45763</v>
      </c>
      <c r="H56" s="424">
        <f>L56</f>
        <v>45763</v>
      </c>
      <c r="I56" s="425"/>
      <c r="J56" s="425"/>
      <c r="K56" s="252" t="s">
        <v>468</v>
      </c>
      <c r="L56" s="269">
        <v>45763</v>
      </c>
      <c r="M56" s="269">
        <v>45784</v>
      </c>
      <c r="N56" s="252" t="s">
        <v>469</v>
      </c>
      <c r="O56" s="252">
        <f t="shared" si="1"/>
        <v>21</v>
      </c>
      <c r="P56" s="252">
        <f>L60-M56</f>
        <v>69</v>
      </c>
      <c r="Q56" s="252"/>
      <c r="R56" s="374" t="s">
        <v>499</v>
      </c>
      <c r="S56" s="374" t="str">
        <f>N60</f>
        <v>CAT - II</v>
      </c>
      <c r="T56" s="374" t="s">
        <v>471</v>
      </c>
      <c r="U56" s="374"/>
    </row>
    <row r="57" spans="1:21" ht="15.5" x14ac:dyDescent="0.35">
      <c r="A57" s="434"/>
      <c r="B57" s="449"/>
      <c r="C57" s="450"/>
      <c r="D57" s="451"/>
      <c r="E57" s="425"/>
      <c r="F57" s="425"/>
      <c r="G57" s="424"/>
      <c r="H57" s="424"/>
      <c r="I57" s="425"/>
      <c r="J57" s="425"/>
      <c r="K57" s="252" t="s">
        <v>470</v>
      </c>
      <c r="L57" s="269">
        <v>45791</v>
      </c>
      <c r="M57" s="269">
        <v>45800</v>
      </c>
      <c r="N57" s="252" t="s">
        <v>469</v>
      </c>
      <c r="O57" s="252">
        <f t="shared" si="1"/>
        <v>9</v>
      </c>
      <c r="P57" s="252">
        <f>L58-M57</f>
        <v>16</v>
      </c>
      <c r="Q57" s="252"/>
      <c r="R57" s="374"/>
      <c r="S57" s="374"/>
      <c r="T57" s="374"/>
      <c r="U57" s="374"/>
    </row>
    <row r="58" spans="1:21" ht="15.5" x14ac:dyDescent="0.35">
      <c r="A58" s="434"/>
      <c r="B58" s="449"/>
      <c r="C58" s="450"/>
      <c r="D58" s="451"/>
      <c r="E58" s="425"/>
      <c r="F58" s="425"/>
      <c r="G58" s="424"/>
      <c r="H58" s="424"/>
      <c r="I58" s="425"/>
      <c r="J58" s="425"/>
      <c r="K58" s="252" t="s">
        <v>472</v>
      </c>
      <c r="L58" s="269">
        <v>45816</v>
      </c>
      <c r="M58" s="269">
        <v>45821</v>
      </c>
      <c r="N58" s="252" t="s">
        <v>469</v>
      </c>
      <c r="O58" s="252">
        <f t="shared" si="1"/>
        <v>5</v>
      </c>
      <c r="P58" s="252">
        <f>L60-M58</f>
        <v>32</v>
      </c>
      <c r="Q58" s="252"/>
      <c r="R58" s="374"/>
      <c r="S58" s="374"/>
      <c r="T58" s="374"/>
      <c r="U58" s="374"/>
    </row>
    <row r="59" spans="1:21" ht="15.5" x14ac:dyDescent="0.35">
      <c r="A59" s="434"/>
      <c r="B59" s="449"/>
      <c r="C59" s="450"/>
      <c r="D59" s="451"/>
      <c r="E59" s="425"/>
      <c r="F59" s="425"/>
      <c r="G59" s="424"/>
      <c r="H59" s="424"/>
      <c r="I59" s="425"/>
      <c r="J59" s="425"/>
      <c r="K59" s="252" t="s">
        <v>473</v>
      </c>
      <c r="L59" s="269">
        <v>45825</v>
      </c>
      <c r="M59" s="269">
        <v>45827</v>
      </c>
      <c r="N59" s="252" t="s">
        <v>491</v>
      </c>
      <c r="O59" s="252">
        <f>M59-L59</f>
        <v>2</v>
      </c>
      <c r="P59" s="252"/>
      <c r="Q59" s="252"/>
      <c r="R59" s="374"/>
      <c r="S59" s="374"/>
      <c r="T59" s="374"/>
      <c r="U59" s="374"/>
    </row>
    <row r="60" spans="1:21" ht="15.5" x14ac:dyDescent="0.35">
      <c r="A60" s="434"/>
      <c r="B60" s="449"/>
      <c r="C60" s="450"/>
      <c r="D60" s="451"/>
      <c r="E60" s="425"/>
      <c r="F60" s="425"/>
      <c r="G60" s="424"/>
      <c r="H60" s="424"/>
      <c r="I60" s="425"/>
      <c r="J60" s="425"/>
      <c r="K60" s="252" t="s">
        <v>834</v>
      </c>
      <c r="L60" s="269">
        <v>45853</v>
      </c>
      <c r="M60" s="269"/>
      <c r="N60" s="252" t="s">
        <v>491</v>
      </c>
      <c r="O60" s="252">
        <f t="shared" si="1"/>
        <v>-45853</v>
      </c>
      <c r="P60" s="252"/>
      <c r="Q60" s="252"/>
      <c r="R60" s="374"/>
      <c r="S60" s="374"/>
      <c r="T60" s="374"/>
      <c r="U60" s="374"/>
    </row>
    <row r="61" spans="1:21" ht="31" x14ac:dyDescent="0.35">
      <c r="A61" s="266">
        <v>2</v>
      </c>
      <c r="B61" s="267" t="s">
        <v>6</v>
      </c>
      <c r="C61" s="268" t="s">
        <v>526</v>
      </c>
      <c r="D61" s="248" t="s">
        <v>529</v>
      </c>
      <c r="E61" s="252" t="s">
        <v>530</v>
      </c>
      <c r="F61" s="250" t="s">
        <v>467</v>
      </c>
      <c r="G61" s="258">
        <v>45868</v>
      </c>
      <c r="H61" s="258">
        <v>45868</v>
      </c>
      <c r="I61" s="250"/>
      <c r="J61" s="250"/>
      <c r="K61" s="252"/>
      <c r="L61" s="269"/>
      <c r="M61" s="269"/>
      <c r="N61" s="252"/>
      <c r="O61" s="252"/>
      <c r="P61" s="252"/>
      <c r="Q61" s="252"/>
      <c r="R61" s="252"/>
      <c r="S61" s="252"/>
      <c r="T61" s="252"/>
      <c r="U61" s="252"/>
    </row>
    <row r="62" spans="1:21" ht="46.5" x14ac:dyDescent="0.35">
      <c r="A62" s="266">
        <v>3</v>
      </c>
      <c r="B62" s="267" t="s">
        <v>6</v>
      </c>
      <c r="C62" s="268" t="s">
        <v>526</v>
      </c>
      <c r="D62" s="248" t="s">
        <v>531</v>
      </c>
      <c r="E62" s="252" t="s">
        <v>532</v>
      </c>
      <c r="F62" s="252" t="s">
        <v>467</v>
      </c>
      <c r="G62" s="269">
        <v>45843</v>
      </c>
      <c r="H62" s="269">
        <v>45856</v>
      </c>
      <c r="I62" s="252"/>
      <c r="J62" s="252"/>
      <c r="K62" s="252"/>
      <c r="L62" s="269"/>
      <c r="M62" s="269"/>
      <c r="N62" s="252"/>
      <c r="O62" s="252"/>
      <c r="P62" s="252"/>
      <c r="Q62" s="252"/>
      <c r="R62" s="252"/>
      <c r="S62" s="252"/>
      <c r="T62" s="252"/>
      <c r="U62" s="252"/>
    </row>
    <row r="63" spans="1:21" ht="31" x14ac:dyDescent="0.35">
      <c r="A63" s="266">
        <v>4</v>
      </c>
      <c r="B63" s="267" t="s">
        <v>6</v>
      </c>
      <c r="C63" s="268" t="s">
        <v>526</v>
      </c>
      <c r="D63" s="248" t="s">
        <v>533</v>
      </c>
      <c r="E63" s="252" t="s">
        <v>534</v>
      </c>
      <c r="F63" s="252" t="s">
        <v>467</v>
      </c>
      <c r="G63" s="269">
        <v>45838</v>
      </c>
      <c r="H63" s="269">
        <v>45856</v>
      </c>
      <c r="I63" s="252"/>
      <c r="J63" s="252"/>
      <c r="K63" s="252"/>
      <c r="L63" s="269"/>
      <c r="M63" s="269"/>
      <c r="N63" s="252"/>
      <c r="O63" s="252"/>
      <c r="P63" s="252"/>
      <c r="Q63" s="252"/>
      <c r="R63" s="252"/>
      <c r="S63" s="252"/>
      <c r="T63" s="252"/>
      <c r="U63" s="252"/>
    </row>
    <row r="64" spans="1:21" ht="46.5" x14ac:dyDescent="0.35">
      <c r="A64" s="266">
        <v>5</v>
      </c>
      <c r="B64" s="267" t="s">
        <v>6</v>
      </c>
      <c r="C64" s="268" t="s">
        <v>526</v>
      </c>
      <c r="D64" s="248" t="s">
        <v>535</v>
      </c>
      <c r="E64" s="252" t="s">
        <v>536</v>
      </c>
      <c r="F64" s="252" t="s">
        <v>467</v>
      </c>
      <c r="G64" s="269">
        <v>45874</v>
      </c>
      <c r="H64" s="269">
        <v>45874</v>
      </c>
      <c r="I64" s="252"/>
      <c r="J64" s="252"/>
      <c r="K64" s="252"/>
      <c r="L64" s="269"/>
      <c r="M64" s="269"/>
      <c r="N64" s="252"/>
      <c r="O64" s="252"/>
      <c r="P64" s="252"/>
      <c r="Q64" s="252"/>
      <c r="R64" s="252"/>
      <c r="S64" s="252"/>
      <c r="T64" s="252"/>
      <c r="U64" s="252"/>
    </row>
    <row r="65" spans="1:21" ht="31" x14ac:dyDescent="0.35">
      <c r="A65" s="266">
        <v>6</v>
      </c>
      <c r="B65" s="267" t="s">
        <v>6</v>
      </c>
      <c r="C65" s="268" t="s">
        <v>526</v>
      </c>
      <c r="D65" s="248" t="s">
        <v>537</v>
      </c>
      <c r="E65" s="252" t="s">
        <v>538</v>
      </c>
      <c r="F65" s="252" t="s">
        <v>467</v>
      </c>
      <c r="G65" s="269">
        <v>45905</v>
      </c>
      <c r="H65" s="269">
        <v>45905</v>
      </c>
      <c r="I65" s="252"/>
      <c r="J65" s="252"/>
      <c r="K65" s="252"/>
      <c r="L65" s="269"/>
      <c r="M65" s="269"/>
      <c r="N65" s="252"/>
      <c r="O65" s="252"/>
      <c r="P65" s="252"/>
      <c r="Q65" s="252"/>
      <c r="R65" s="252"/>
      <c r="S65" s="252"/>
      <c r="T65" s="252"/>
      <c r="U65" s="252"/>
    </row>
    <row r="66" spans="1:21" ht="31" x14ac:dyDescent="0.35">
      <c r="A66" s="266">
        <v>7</v>
      </c>
      <c r="B66" s="267" t="s">
        <v>6</v>
      </c>
      <c r="C66" s="268" t="s">
        <v>526</v>
      </c>
      <c r="D66" s="248" t="s">
        <v>539</v>
      </c>
      <c r="E66" s="252" t="s">
        <v>540</v>
      </c>
      <c r="F66" s="252" t="s">
        <v>467</v>
      </c>
      <c r="G66" s="269">
        <v>45908</v>
      </c>
      <c r="H66" s="269">
        <v>45908</v>
      </c>
      <c r="I66" s="252"/>
      <c r="J66" s="252"/>
      <c r="K66" s="252"/>
      <c r="L66" s="269"/>
      <c r="M66" s="269"/>
      <c r="N66" s="252"/>
      <c r="O66" s="252"/>
      <c r="P66" s="252"/>
      <c r="Q66" s="252"/>
      <c r="R66" s="252"/>
      <c r="S66" s="252"/>
      <c r="T66" s="252"/>
      <c r="U66" s="252"/>
    </row>
    <row r="67" spans="1:21" ht="31" x14ac:dyDescent="0.35">
      <c r="A67" s="266">
        <v>8</v>
      </c>
      <c r="B67" s="267" t="s">
        <v>6</v>
      </c>
      <c r="C67" s="268" t="s">
        <v>526</v>
      </c>
      <c r="D67" s="248" t="s">
        <v>541</v>
      </c>
      <c r="E67" s="252" t="s">
        <v>542</v>
      </c>
      <c r="F67" s="252" t="s">
        <v>467</v>
      </c>
      <c r="G67" s="269">
        <v>45858</v>
      </c>
      <c r="H67" s="269">
        <v>45858</v>
      </c>
      <c r="I67" s="252"/>
      <c r="J67" s="252"/>
      <c r="K67" s="252"/>
      <c r="L67" s="269"/>
      <c r="M67" s="269"/>
      <c r="N67" s="252"/>
      <c r="O67" s="252"/>
      <c r="P67" s="252"/>
      <c r="Q67" s="252"/>
      <c r="R67" s="252"/>
      <c r="S67" s="252"/>
      <c r="T67" s="252"/>
      <c r="U67" s="252"/>
    </row>
    <row r="68" spans="1:21" ht="31" x14ac:dyDescent="0.35">
      <c r="A68" s="266">
        <v>9</v>
      </c>
      <c r="B68" s="267" t="s">
        <v>6</v>
      </c>
      <c r="C68" s="268" t="s">
        <v>526</v>
      </c>
      <c r="D68" s="248" t="s">
        <v>543</v>
      </c>
      <c r="E68" s="252" t="s">
        <v>544</v>
      </c>
      <c r="F68" s="252" t="s">
        <v>467</v>
      </c>
      <c r="G68" s="269">
        <v>45868</v>
      </c>
      <c r="H68" s="269">
        <v>45868</v>
      </c>
      <c r="I68" s="252"/>
      <c r="J68" s="252"/>
      <c r="K68" s="252"/>
      <c r="L68" s="269"/>
      <c r="M68" s="269"/>
      <c r="N68" s="252"/>
      <c r="O68" s="252"/>
      <c r="P68" s="252"/>
      <c r="Q68" s="252"/>
      <c r="R68" s="252"/>
      <c r="S68" s="252"/>
      <c r="T68" s="252"/>
      <c r="U68" s="252"/>
    </row>
    <row r="69" spans="1:21" ht="15.5" x14ac:dyDescent="0.35">
      <c r="A69" s="434">
        <v>1</v>
      </c>
      <c r="B69" s="436" t="s">
        <v>6</v>
      </c>
      <c r="C69" s="438" t="s">
        <v>545</v>
      </c>
      <c r="D69" s="447" t="s">
        <v>546</v>
      </c>
      <c r="E69" s="374" t="s">
        <v>547</v>
      </c>
      <c r="F69" s="374" t="s">
        <v>467</v>
      </c>
      <c r="G69" s="424">
        <v>45825</v>
      </c>
      <c r="H69" s="424">
        <f>L69</f>
        <v>45835</v>
      </c>
      <c r="I69" s="252"/>
      <c r="J69" s="252"/>
      <c r="K69" s="252" t="s">
        <v>468</v>
      </c>
      <c r="L69" s="269">
        <v>45835</v>
      </c>
      <c r="M69" s="269">
        <v>45845</v>
      </c>
      <c r="N69" s="252" t="s">
        <v>469</v>
      </c>
      <c r="O69" s="252">
        <f>M69-L69</f>
        <v>10</v>
      </c>
      <c r="P69" s="252">
        <f ca="1">O1-M69</f>
        <v>22</v>
      </c>
      <c r="Q69" s="374"/>
      <c r="R69" s="374" t="s">
        <v>492</v>
      </c>
      <c r="S69" s="374" t="str">
        <f>N69</f>
        <v>CAT - III</v>
      </c>
      <c r="T69" s="374" t="s">
        <v>471</v>
      </c>
      <c r="U69" s="252"/>
    </row>
    <row r="70" spans="1:21" ht="15.5" x14ac:dyDescent="0.35">
      <c r="A70" s="435"/>
      <c r="B70" s="437"/>
      <c r="C70" s="439"/>
      <c r="D70" s="448"/>
      <c r="E70" s="375"/>
      <c r="F70" s="375"/>
      <c r="G70" s="431"/>
      <c r="H70" s="431"/>
      <c r="I70" s="252"/>
      <c r="J70" s="252"/>
      <c r="K70" s="252" t="s">
        <v>470</v>
      </c>
      <c r="L70" s="269">
        <v>45856</v>
      </c>
      <c r="M70" s="269"/>
      <c r="N70" s="252"/>
      <c r="O70" s="252"/>
      <c r="P70" s="252"/>
      <c r="Q70" s="375"/>
      <c r="R70" s="375"/>
      <c r="S70" s="375"/>
      <c r="T70" s="375"/>
      <c r="U70" s="252"/>
    </row>
    <row r="71" spans="1:21" ht="31" x14ac:dyDescent="0.35">
      <c r="A71" s="272">
        <v>2</v>
      </c>
      <c r="B71" s="273"/>
      <c r="C71" s="274" t="s">
        <v>545</v>
      </c>
      <c r="D71" s="292" t="s">
        <v>546</v>
      </c>
      <c r="E71" s="275" t="s">
        <v>851</v>
      </c>
      <c r="F71" s="275"/>
      <c r="G71" s="293"/>
      <c r="H71" s="293"/>
      <c r="I71" s="252"/>
      <c r="J71" s="252"/>
      <c r="K71" s="252" t="s">
        <v>468</v>
      </c>
      <c r="L71" s="269">
        <v>45861</v>
      </c>
      <c r="M71" s="269">
        <v>45862</v>
      </c>
      <c r="N71" s="252" t="s">
        <v>469</v>
      </c>
      <c r="O71" s="252"/>
      <c r="P71" s="252"/>
      <c r="Q71" s="252"/>
      <c r="R71" s="252" t="s">
        <v>499</v>
      </c>
      <c r="S71" s="252" t="str">
        <f>N71</f>
        <v>CAT - III</v>
      </c>
      <c r="T71" s="252" t="s">
        <v>474</v>
      </c>
      <c r="U71" s="252"/>
    </row>
    <row r="72" spans="1:21" ht="15.5" x14ac:dyDescent="0.35">
      <c r="A72" s="434">
        <v>3</v>
      </c>
      <c r="B72" s="436" t="s">
        <v>6</v>
      </c>
      <c r="C72" s="438" t="s">
        <v>545</v>
      </c>
      <c r="D72" s="447" t="s">
        <v>548</v>
      </c>
      <c r="E72" s="374" t="s">
        <v>549</v>
      </c>
      <c r="F72" s="374" t="s">
        <v>467</v>
      </c>
      <c r="G72" s="424">
        <v>45825</v>
      </c>
      <c r="H72" s="424">
        <f>L72</f>
        <v>45835</v>
      </c>
      <c r="I72" s="252"/>
      <c r="J72" s="252"/>
      <c r="K72" s="252" t="s">
        <v>468</v>
      </c>
      <c r="L72" s="269">
        <v>45835</v>
      </c>
      <c r="M72" s="269"/>
      <c r="N72" s="252"/>
      <c r="O72" s="252">
        <f ca="1">O1-L72</f>
        <v>32</v>
      </c>
      <c r="P72" s="252"/>
      <c r="Q72" s="252"/>
      <c r="R72" s="374" t="s">
        <v>492</v>
      </c>
      <c r="S72" s="374" t="s">
        <v>469</v>
      </c>
      <c r="T72" s="374" t="s">
        <v>471</v>
      </c>
      <c r="U72" s="252"/>
    </row>
    <row r="73" spans="1:21" ht="15.5" x14ac:dyDescent="0.35">
      <c r="A73" s="435"/>
      <c r="B73" s="437"/>
      <c r="C73" s="439"/>
      <c r="D73" s="448"/>
      <c r="E73" s="375"/>
      <c r="F73" s="375"/>
      <c r="G73" s="431"/>
      <c r="H73" s="431"/>
      <c r="I73" s="252"/>
      <c r="J73" s="252"/>
      <c r="K73" s="252" t="s">
        <v>470</v>
      </c>
      <c r="L73" s="269">
        <v>45856</v>
      </c>
      <c r="M73" s="269"/>
      <c r="N73" s="252"/>
      <c r="O73" s="252"/>
      <c r="P73" s="252"/>
      <c r="Q73" s="252"/>
      <c r="R73" s="375"/>
      <c r="S73" s="375"/>
      <c r="T73" s="375"/>
      <c r="U73" s="252"/>
    </row>
    <row r="74" spans="1:21" ht="46.5" x14ac:dyDescent="0.35">
      <c r="A74" s="266">
        <v>4</v>
      </c>
      <c r="B74" s="267" t="s">
        <v>6</v>
      </c>
      <c r="C74" s="268" t="s">
        <v>545</v>
      </c>
      <c r="D74" s="248" t="s">
        <v>550</v>
      </c>
      <c r="E74" s="252" t="s">
        <v>551</v>
      </c>
      <c r="F74" s="252" t="s">
        <v>467</v>
      </c>
      <c r="G74" s="269">
        <v>45828</v>
      </c>
      <c r="H74" s="269">
        <v>45843</v>
      </c>
      <c r="I74" s="252"/>
      <c r="J74" s="252"/>
      <c r="K74" s="252" t="s">
        <v>468</v>
      </c>
      <c r="L74" s="269">
        <v>45861</v>
      </c>
      <c r="M74" s="269"/>
      <c r="N74" s="252"/>
      <c r="O74" s="252"/>
      <c r="P74" s="252"/>
      <c r="Q74" s="252"/>
      <c r="R74" s="252" t="s">
        <v>492</v>
      </c>
      <c r="S74" s="252"/>
      <c r="T74" s="252" t="s">
        <v>471</v>
      </c>
      <c r="U74" s="252"/>
    </row>
    <row r="75" spans="1:21" ht="31" x14ac:dyDescent="0.35">
      <c r="A75" s="266">
        <v>5</v>
      </c>
      <c r="B75" s="267" t="s">
        <v>6</v>
      </c>
      <c r="C75" s="268" t="s">
        <v>545</v>
      </c>
      <c r="D75" s="248" t="s">
        <v>552</v>
      </c>
      <c r="E75" s="252" t="s">
        <v>553</v>
      </c>
      <c r="F75" s="252" t="s">
        <v>467</v>
      </c>
      <c r="G75" s="269">
        <v>45823</v>
      </c>
      <c r="H75" s="269">
        <v>45853</v>
      </c>
      <c r="I75" s="252"/>
      <c r="J75" s="252"/>
      <c r="K75" s="252" t="s">
        <v>468</v>
      </c>
      <c r="L75" s="269">
        <v>45861</v>
      </c>
      <c r="M75" s="269"/>
      <c r="N75" s="252"/>
      <c r="O75" s="252"/>
      <c r="P75" s="252"/>
      <c r="Q75" s="252"/>
      <c r="R75" s="252" t="s">
        <v>492</v>
      </c>
      <c r="S75" s="252"/>
      <c r="T75" s="252" t="s">
        <v>471</v>
      </c>
      <c r="U75" s="252"/>
    </row>
    <row r="76" spans="1:21" ht="31" x14ac:dyDescent="0.35">
      <c r="A76" s="266">
        <v>6</v>
      </c>
      <c r="B76" s="267" t="s">
        <v>6</v>
      </c>
      <c r="C76" s="268" t="s">
        <v>545</v>
      </c>
      <c r="D76" s="248" t="s">
        <v>554</v>
      </c>
      <c r="E76" s="252" t="s">
        <v>555</v>
      </c>
      <c r="F76" s="252" t="s">
        <v>467</v>
      </c>
      <c r="G76" s="269">
        <v>45833</v>
      </c>
      <c r="H76" s="269">
        <v>45853</v>
      </c>
      <c r="I76" s="252"/>
      <c r="J76" s="252"/>
      <c r="K76" s="252" t="s">
        <v>468</v>
      </c>
      <c r="L76" s="269">
        <v>45861</v>
      </c>
      <c r="M76" s="269"/>
      <c r="N76" s="252"/>
      <c r="O76" s="252"/>
      <c r="P76" s="252"/>
      <c r="Q76" s="252"/>
      <c r="R76" s="252" t="s">
        <v>492</v>
      </c>
      <c r="S76" s="252"/>
      <c r="T76" s="252" t="s">
        <v>471</v>
      </c>
      <c r="U76" s="252"/>
    </row>
    <row r="77" spans="1:21" ht="31" x14ac:dyDescent="0.35">
      <c r="A77" s="266">
        <v>7</v>
      </c>
      <c r="B77" s="267" t="s">
        <v>6</v>
      </c>
      <c r="C77" s="268" t="s">
        <v>545</v>
      </c>
      <c r="D77" s="248" t="s">
        <v>556</v>
      </c>
      <c r="E77" s="252" t="s">
        <v>557</v>
      </c>
      <c r="F77" s="252" t="s">
        <v>467</v>
      </c>
      <c r="G77" s="269">
        <v>45840</v>
      </c>
      <c r="H77" s="291">
        <v>45843</v>
      </c>
      <c r="I77" s="252"/>
      <c r="J77" s="252"/>
      <c r="K77" s="252"/>
      <c r="L77" s="269"/>
      <c r="M77" s="269"/>
      <c r="N77" s="252"/>
      <c r="O77" s="252"/>
      <c r="P77" s="252"/>
      <c r="Q77" s="252"/>
      <c r="R77" s="252"/>
      <c r="S77" s="252"/>
      <c r="T77" s="252"/>
      <c r="U77" s="252"/>
    </row>
    <row r="78" spans="1:21" ht="31" x14ac:dyDescent="0.35">
      <c r="A78" s="266">
        <v>8</v>
      </c>
      <c r="B78" s="266" t="s">
        <v>6</v>
      </c>
      <c r="C78" s="268" t="s">
        <v>545</v>
      </c>
      <c r="D78" s="290" t="s">
        <v>558</v>
      </c>
      <c r="E78" s="252" t="s">
        <v>559</v>
      </c>
      <c r="F78" s="250" t="s">
        <v>467</v>
      </c>
      <c r="G78" s="258">
        <v>45836</v>
      </c>
      <c r="H78" s="291">
        <v>45850</v>
      </c>
      <c r="I78" s="250"/>
      <c r="J78" s="250"/>
      <c r="K78" s="252"/>
      <c r="L78" s="269"/>
      <c r="M78" s="269"/>
      <c r="N78" s="252"/>
      <c r="O78" s="252"/>
      <c r="P78" s="252"/>
      <c r="Q78" s="252"/>
      <c r="R78" s="252"/>
      <c r="S78" s="252"/>
      <c r="T78" s="252"/>
      <c r="U78" s="252"/>
    </row>
    <row r="79" spans="1:21" ht="31" x14ac:dyDescent="0.35">
      <c r="A79" s="266">
        <v>9</v>
      </c>
      <c r="B79" s="266" t="s">
        <v>6</v>
      </c>
      <c r="C79" s="268" t="s">
        <v>545</v>
      </c>
      <c r="D79" s="290" t="s">
        <v>560</v>
      </c>
      <c r="E79" s="252" t="s">
        <v>561</v>
      </c>
      <c r="F79" s="250" t="s">
        <v>467</v>
      </c>
      <c r="G79" s="258">
        <v>45840</v>
      </c>
      <c r="H79" s="258">
        <v>45852</v>
      </c>
      <c r="I79" s="250"/>
      <c r="J79" s="250"/>
      <c r="K79" s="252"/>
      <c r="L79" s="269"/>
      <c r="M79" s="269"/>
      <c r="N79" s="252"/>
      <c r="O79" s="252"/>
      <c r="P79" s="252"/>
      <c r="Q79" s="252"/>
      <c r="R79" s="252"/>
      <c r="S79" s="252"/>
      <c r="T79" s="252"/>
      <c r="U79" s="252"/>
    </row>
    <row r="80" spans="1:21" ht="31" x14ac:dyDescent="0.35">
      <c r="A80" s="266">
        <v>10</v>
      </c>
      <c r="B80" s="267" t="s">
        <v>6</v>
      </c>
      <c r="C80" s="268" t="s">
        <v>545</v>
      </c>
      <c r="D80" s="248" t="s">
        <v>562</v>
      </c>
      <c r="E80" s="252" t="s">
        <v>563</v>
      </c>
      <c r="F80" s="250" t="s">
        <v>467</v>
      </c>
      <c r="G80" s="258">
        <v>45843</v>
      </c>
      <c r="H80" s="258">
        <v>45843</v>
      </c>
      <c r="I80" s="250"/>
      <c r="J80" s="250"/>
      <c r="K80" s="252"/>
      <c r="L80" s="269"/>
      <c r="M80" s="269"/>
      <c r="N80" s="252"/>
      <c r="O80" s="252"/>
      <c r="P80" s="252"/>
      <c r="Q80" s="252"/>
      <c r="R80" s="252"/>
      <c r="S80" s="252"/>
      <c r="T80" s="252"/>
      <c r="U80" s="252"/>
    </row>
    <row r="81" spans="1:21" ht="31" x14ac:dyDescent="0.35">
      <c r="A81" s="294">
        <v>11</v>
      </c>
      <c r="B81" s="294" t="s">
        <v>6</v>
      </c>
      <c r="C81" s="295" t="s">
        <v>545</v>
      </c>
      <c r="D81" s="296" t="s">
        <v>852</v>
      </c>
      <c r="E81" s="294" t="s">
        <v>853</v>
      </c>
      <c r="F81" s="294" t="s">
        <v>467</v>
      </c>
      <c r="G81" s="258">
        <v>45869</v>
      </c>
      <c r="H81" s="258"/>
      <c r="I81" s="250"/>
      <c r="J81" s="250"/>
      <c r="K81" s="252"/>
      <c r="L81" s="269"/>
      <c r="M81" s="269"/>
      <c r="N81" s="252"/>
      <c r="O81" s="252"/>
      <c r="P81" s="252"/>
      <c r="Q81" s="252"/>
      <c r="R81" s="252"/>
      <c r="S81" s="252"/>
      <c r="T81" s="252"/>
      <c r="U81" s="252"/>
    </row>
    <row r="82" spans="1:21" ht="31" x14ac:dyDescent="0.35">
      <c r="A82" s="294">
        <v>12</v>
      </c>
      <c r="B82" s="294" t="s">
        <v>6</v>
      </c>
      <c r="C82" s="295" t="s">
        <v>545</v>
      </c>
      <c r="D82" s="296" t="s">
        <v>854</v>
      </c>
      <c r="E82" s="294" t="s">
        <v>855</v>
      </c>
      <c r="F82" s="294" t="s">
        <v>467</v>
      </c>
      <c r="G82" s="258">
        <v>45869</v>
      </c>
      <c r="H82" s="258"/>
      <c r="I82" s="250"/>
      <c r="J82" s="250"/>
      <c r="K82" s="252"/>
      <c r="L82" s="269"/>
      <c r="M82" s="269"/>
      <c r="N82" s="252"/>
      <c r="O82" s="252"/>
      <c r="P82" s="252"/>
      <c r="Q82" s="252"/>
      <c r="R82" s="252"/>
      <c r="S82" s="252"/>
      <c r="T82" s="252"/>
      <c r="U82" s="252"/>
    </row>
    <row r="83" spans="1:21" ht="31" x14ac:dyDescent="0.35">
      <c r="A83" s="266">
        <v>1</v>
      </c>
      <c r="B83" s="266" t="s">
        <v>6</v>
      </c>
      <c r="C83" s="297" t="s">
        <v>564</v>
      </c>
      <c r="D83" s="290" t="s">
        <v>565</v>
      </c>
      <c r="E83" s="252" t="s">
        <v>566</v>
      </c>
      <c r="F83" s="250" t="s">
        <v>477</v>
      </c>
      <c r="G83" s="258">
        <v>45828</v>
      </c>
      <c r="H83" s="258">
        <v>45846</v>
      </c>
      <c r="I83" s="250"/>
      <c r="J83" s="250"/>
      <c r="K83" s="252"/>
      <c r="L83" s="269"/>
      <c r="M83" s="269"/>
      <c r="N83" s="252"/>
      <c r="O83" s="252"/>
      <c r="P83" s="252"/>
      <c r="Q83" s="252"/>
      <c r="R83" s="252"/>
      <c r="S83" s="252"/>
      <c r="T83" s="252"/>
      <c r="U83" s="252"/>
    </row>
    <row r="84" spans="1:21" ht="31" x14ac:dyDescent="0.35">
      <c r="A84" s="266">
        <v>2</v>
      </c>
      <c r="B84" s="266" t="s">
        <v>6</v>
      </c>
      <c r="C84" s="297" t="s">
        <v>564</v>
      </c>
      <c r="D84" s="290" t="s">
        <v>567</v>
      </c>
      <c r="E84" s="252" t="s">
        <v>568</v>
      </c>
      <c r="F84" s="250" t="s">
        <v>477</v>
      </c>
      <c r="G84" s="258">
        <v>45833</v>
      </c>
      <c r="H84" s="258">
        <v>45846</v>
      </c>
      <c r="I84" s="250"/>
      <c r="J84" s="250"/>
      <c r="K84" s="252"/>
      <c r="L84" s="269"/>
      <c r="M84" s="269"/>
      <c r="N84" s="252"/>
      <c r="O84" s="252"/>
      <c r="P84" s="252"/>
      <c r="Q84" s="252"/>
      <c r="R84" s="252"/>
      <c r="S84" s="252"/>
      <c r="T84" s="252"/>
      <c r="U84" s="252"/>
    </row>
    <row r="85" spans="1:21" ht="15.5" x14ac:dyDescent="0.35">
      <c r="A85" s="434">
        <v>3</v>
      </c>
      <c r="B85" s="434" t="s">
        <v>6</v>
      </c>
      <c r="C85" s="445" t="s">
        <v>564</v>
      </c>
      <c r="D85" s="446" t="s">
        <v>569</v>
      </c>
      <c r="E85" s="374" t="s">
        <v>570</v>
      </c>
      <c r="F85" s="429" t="s">
        <v>477</v>
      </c>
      <c r="G85" s="432">
        <v>45738</v>
      </c>
      <c r="H85" s="432">
        <f>L85</f>
        <v>45799</v>
      </c>
      <c r="I85" s="429"/>
      <c r="J85" s="429"/>
      <c r="K85" s="252" t="s">
        <v>468</v>
      </c>
      <c r="L85" s="269">
        <v>45799</v>
      </c>
      <c r="M85" s="269">
        <v>45800</v>
      </c>
      <c r="N85" s="252" t="s">
        <v>478</v>
      </c>
      <c r="O85" s="252">
        <f t="shared" ref="O85:O90" si="2">M85-L85</f>
        <v>1</v>
      </c>
      <c r="P85" s="252">
        <f>L86-M85</f>
        <v>15</v>
      </c>
      <c r="Q85" s="374"/>
      <c r="R85" s="374" t="s">
        <v>499</v>
      </c>
      <c r="S85" s="374" t="str">
        <f>N86</f>
        <v>CAT -IV R</v>
      </c>
      <c r="T85" s="374" t="s">
        <v>474</v>
      </c>
      <c r="U85" s="374">
        <f ca="1">U1-M85</f>
        <v>67</v>
      </c>
    </row>
    <row r="86" spans="1:21" ht="15.5" x14ac:dyDescent="0.35">
      <c r="A86" s="434"/>
      <c r="B86" s="434"/>
      <c r="C86" s="445"/>
      <c r="D86" s="446"/>
      <c r="E86" s="374"/>
      <c r="F86" s="429"/>
      <c r="G86" s="432"/>
      <c r="H86" s="432"/>
      <c r="I86" s="429"/>
      <c r="J86" s="429"/>
      <c r="K86" s="252" t="s">
        <v>470</v>
      </c>
      <c r="L86" s="269">
        <v>45815</v>
      </c>
      <c r="M86" s="269">
        <v>45826</v>
      </c>
      <c r="N86" s="252" t="s">
        <v>478</v>
      </c>
      <c r="O86" s="252">
        <f t="shared" si="2"/>
        <v>11</v>
      </c>
      <c r="P86" s="252">
        <f ca="1">O1-M86</f>
        <v>41</v>
      </c>
      <c r="Q86" s="374"/>
      <c r="R86" s="374"/>
      <c r="S86" s="374"/>
      <c r="T86" s="374"/>
      <c r="U86" s="374"/>
    </row>
    <row r="87" spans="1:21" ht="15.5" x14ac:dyDescent="0.35">
      <c r="A87" s="400">
        <v>4</v>
      </c>
      <c r="B87" s="370" t="s">
        <v>6</v>
      </c>
      <c r="C87" s="412" t="s">
        <v>564</v>
      </c>
      <c r="D87" s="413" t="s">
        <v>571</v>
      </c>
      <c r="E87" s="370" t="s">
        <v>572</v>
      </c>
      <c r="F87" s="370" t="s">
        <v>467</v>
      </c>
      <c r="G87" s="410">
        <v>45719</v>
      </c>
      <c r="H87" s="410">
        <f>L87</f>
        <v>45719</v>
      </c>
      <c r="I87" s="370"/>
      <c r="J87" s="370"/>
      <c r="K87" s="260" t="s">
        <v>468</v>
      </c>
      <c r="L87" s="263">
        <v>45719</v>
      </c>
      <c r="M87" s="263">
        <v>45721</v>
      </c>
      <c r="N87" s="260" t="s">
        <v>469</v>
      </c>
      <c r="O87" s="260">
        <f t="shared" si="2"/>
        <v>2</v>
      </c>
      <c r="P87" s="260">
        <f>L88-M87</f>
        <v>15</v>
      </c>
      <c r="Q87" s="444">
        <f>M89</f>
        <v>45800</v>
      </c>
      <c r="R87" s="370" t="str">
        <f>T87</f>
        <v>Approved</v>
      </c>
      <c r="S87" s="370" t="str">
        <f>N88</f>
        <v>CAT - I</v>
      </c>
      <c r="T87" s="370" t="s">
        <v>398</v>
      </c>
      <c r="U87" s="370">
        <f>M89-L89</f>
        <v>1</v>
      </c>
    </row>
    <row r="88" spans="1:21" ht="15.5" x14ac:dyDescent="0.35">
      <c r="A88" s="400"/>
      <c r="B88" s="370"/>
      <c r="C88" s="412"/>
      <c r="D88" s="413"/>
      <c r="E88" s="370"/>
      <c r="F88" s="370"/>
      <c r="G88" s="410"/>
      <c r="H88" s="410"/>
      <c r="I88" s="370"/>
      <c r="J88" s="370"/>
      <c r="K88" s="260" t="s">
        <v>470</v>
      </c>
      <c r="L88" s="263">
        <v>45736</v>
      </c>
      <c r="M88" s="263">
        <v>45738</v>
      </c>
      <c r="N88" s="260" t="s">
        <v>482</v>
      </c>
      <c r="O88" s="260">
        <f t="shared" si="2"/>
        <v>2</v>
      </c>
      <c r="P88" s="260">
        <f>L89-M88</f>
        <v>61</v>
      </c>
      <c r="Q88" s="444"/>
      <c r="R88" s="370"/>
      <c r="S88" s="370"/>
      <c r="T88" s="370"/>
      <c r="U88" s="370"/>
    </row>
    <row r="89" spans="1:21" ht="15.5" x14ac:dyDescent="0.35">
      <c r="A89" s="400"/>
      <c r="B89" s="370"/>
      <c r="C89" s="412"/>
      <c r="D89" s="413"/>
      <c r="E89" s="370"/>
      <c r="F89" s="370"/>
      <c r="G89" s="410"/>
      <c r="H89" s="410"/>
      <c r="I89" s="370"/>
      <c r="J89" s="370"/>
      <c r="K89" s="260" t="s">
        <v>472</v>
      </c>
      <c r="L89" s="263">
        <v>45799</v>
      </c>
      <c r="M89" s="263">
        <v>45800</v>
      </c>
      <c r="N89" s="260" t="s">
        <v>482</v>
      </c>
      <c r="O89" s="260">
        <f t="shared" si="2"/>
        <v>1</v>
      </c>
      <c r="P89" s="260"/>
      <c r="Q89" s="444"/>
      <c r="R89" s="370"/>
      <c r="S89" s="370"/>
      <c r="T89" s="370"/>
      <c r="U89" s="370"/>
    </row>
    <row r="90" spans="1:21" ht="31" x14ac:dyDescent="0.35">
      <c r="A90" s="266">
        <v>5</v>
      </c>
      <c r="B90" s="267" t="s">
        <v>6</v>
      </c>
      <c r="C90" s="268" t="s">
        <v>564</v>
      </c>
      <c r="D90" s="298" t="s">
        <v>573</v>
      </c>
      <c r="E90" s="252" t="s">
        <v>574</v>
      </c>
      <c r="F90" s="252" t="s">
        <v>467</v>
      </c>
      <c r="G90" s="269">
        <v>45853</v>
      </c>
      <c r="H90" s="269">
        <v>45853</v>
      </c>
      <c r="I90" s="252"/>
      <c r="J90" s="252"/>
      <c r="K90" s="252" t="s">
        <v>468</v>
      </c>
      <c r="L90" s="269">
        <v>45835</v>
      </c>
      <c r="M90" s="269">
        <v>45863</v>
      </c>
      <c r="N90" s="252" t="s">
        <v>491</v>
      </c>
      <c r="O90" s="252">
        <f t="shared" si="2"/>
        <v>28</v>
      </c>
      <c r="P90" s="252"/>
      <c r="Q90" s="252"/>
      <c r="R90" s="252" t="s">
        <v>499</v>
      </c>
      <c r="S90" s="252" t="str">
        <f>N90</f>
        <v>CAT - II</v>
      </c>
      <c r="T90" s="252" t="s">
        <v>474</v>
      </c>
      <c r="U90" s="252"/>
    </row>
    <row r="91" spans="1:21" ht="31" x14ac:dyDescent="0.35">
      <c r="A91" s="266">
        <v>6</v>
      </c>
      <c r="B91" s="267" t="s">
        <v>6</v>
      </c>
      <c r="C91" s="268" t="s">
        <v>564</v>
      </c>
      <c r="D91" s="299" t="s">
        <v>387</v>
      </c>
      <c r="E91" s="252" t="s">
        <v>575</v>
      </c>
      <c r="F91" s="252" t="s">
        <v>467</v>
      </c>
      <c r="G91" s="269">
        <v>45795</v>
      </c>
      <c r="H91" s="269">
        <v>45848</v>
      </c>
      <c r="I91" s="252"/>
      <c r="J91" s="252"/>
      <c r="K91" s="252" t="s">
        <v>468</v>
      </c>
      <c r="L91" s="269">
        <v>45849</v>
      </c>
      <c r="M91" s="269"/>
      <c r="N91" s="252"/>
      <c r="O91" s="252"/>
      <c r="P91" s="252"/>
      <c r="Q91" s="252"/>
      <c r="R91" s="252" t="s">
        <v>492</v>
      </c>
      <c r="S91" s="252"/>
      <c r="T91" s="252" t="s">
        <v>471</v>
      </c>
      <c r="U91" s="252"/>
    </row>
    <row r="92" spans="1:21" ht="31" x14ac:dyDescent="0.35">
      <c r="A92" s="266">
        <v>7</v>
      </c>
      <c r="B92" s="267" t="s">
        <v>6</v>
      </c>
      <c r="C92" s="268" t="s">
        <v>564</v>
      </c>
      <c r="D92" s="248" t="s">
        <v>576</v>
      </c>
      <c r="E92" s="252" t="s">
        <v>577</v>
      </c>
      <c r="F92" s="252" t="s">
        <v>467</v>
      </c>
      <c r="G92" s="269">
        <v>45858</v>
      </c>
      <c r="H92" s="269">
        <v>45848</v>
      </c>
      <c r="I92" s="252"/>
      <c r="J92" s="252"/>
      <c r="K92" s="252"/>
      <c r="L92" s="269"/>
      <c r="M92" s="269"/>
      <c r="N92" s="252"/>
      <c r="O92" s="252"/>
      <c r="P92" s="252"/>
      <c r="Q92" s="252"/>
      <c r="R92" s="252"/>
      <c r="S92" s="252"/>
      <c r="T92" s="252"/>
      <c r="U92" s="252"/>
    </row>
    <row r="93" spans="1:21" ht="31" x14ac:dyDescent="0.35">
      <c r="A93" s="266">
        <v>8</v>
      </c>
      <c r="B93" s="267" t="s">
        <v>6</v>
      </c>
      <c r="C93" s="268" t="s">
        <v>564</v>
      </c>
      <c r="D93" s="248" t="s">
        <v>578</v>
      </c>
      <c r="E93" s="252" t="s">
        <v>579</v>
      </c>
      <c r="F93" s="252" t="s">
        <v>467</v>
      </c>
      <c r="G93" s="269">
        <v>45863</v>
      </c>
      <c r="H93" s="269">
        <v>45853</v>
      </c>
      <c r="I93" s="252"/>
      <c r="J93" s="252"/>
      <c r="K93" s="252"/>
      <c r="L93" s="269"/>
      <c r="M93" s="269"/>
      <c r="N93" s="252"/>
      <c r="O93" s="252"/>
      <c r="P93" s="252"/>
      <c r="Q93" s="252"/>
      <c r="R93" s="252"/>
      <c r="S93" s="252"/>
      <c r="T93" s="252"/>
      <c r="U93" s="252"/>
    </row>
    <row r="94" spans="1:21" ht="31" x14ac:dyDescent="0.35">
      <c r="A94" s="266">
        <v>9</v>
      </c>
      <c r="B94" s="267" t="s">
        <v>6</v>
      </c>
      <c r="C94" s="268" t="s">
        <v>564</v>
      </c>
      <c r="D94" s="248" t="s">
        <v>580</v>
      </c>
      <c r="E94" s="252" t="s">
        <v>581</v>
      </c>
      <c r="F94" s="252" t="s">
        <v>467</v>
      </c>
      <c r="G94" s="269">
        <v>45874</v>
      </c>
      <c r="H94" s="269">
        <v>45853</v>
      </c>
      <c r="I94" s="252"/>
      <c r="J94" s="252"/>
      <c r="K94" s="252"/>
      <c r="L94" s="269"/>
      <c r="M94" s="269"/>
      <c r="N94" s="252"/>
      <c r="O94" s="252"/>
      <c r="P94" s="252"/>
      <c r="Q94" s="252"/>
      <c r="R94" s="252"/>
      <c r="S94" s="252"/>
      <c r="T94" s="252"/>
      <c r="U94" s="252"/>
    </row>
    <row r="95" spans="1:21" ht="31" x14ac:dyDescent="0.35">
      <c r="A95" s="266">
        <v>10</v>
      </c>
      <c r="B95" s="267" t="s">
        <v>6</v>
      </c>
      <c r="C95" s="268" t="s">
        <v>564</v>
      </c>
      <c r="D95" s="248" t="s">
        <v>582</v>
      </c>
      <c r="E95" s="252" t="s">
        <v>583</v>
      </c>
      <c r="F95" s="252" t="s">
        <v>467</v>
      </c>
      <c r="G95" s="269">
        <v>45877</v>
      </c>
      <c r="H95" s="269">
        <v>45853</v>
      </c>
      <c r="I95" s="252"/>
      <c r="J95" s="252"/>
      <c r="K95" s="252"/>
      <c r="L95" s="269"/>
      <c r="M95" s="269"/>
      <c r="N95" s="252"/>
      <c r="O95" s="252"/>
      <c r="P95" s="252"/>
      <c r="Q95" s="252"/>
      <c r="R95" s="252"/>
      <c r="S95" s="252"/>
      <c r="T95" s="252"/>
      <c r="U95" s="252"/>
    </row>
    <row r="96" spans="1:21" ht="31" x14ac:dyDescent="0.35">
      <c r="A96" s="266">
        <v>11</v>
      </c>
      <c r="B96" s="267" t="s">
        <v>6</v>
      </c>
      <c r="C96" s="268" t="s">
        <v>564</v>
      </c>
      <c r="D96" s="248" t="s">
        <v>584</v>
      </c>
      <c r="E96" s="252" t="s">
        <v>585</v>
      </c>
      <c r="F96" s="252" t="s">
        <v>467</v>
      </c>
      <c r="G96" s="269">
        <v>45881</v>
      </c>
      <c r="H96" s="269">
        <v>45860</v>
      </c>
      <c r="I96" s="252"/>
      <c r="J96" s="252"/>
      <c r="K96" s="252"/>
      <c r="L96" s="269"/>
      <c r="M96" s="269"/>
      <c r="N96" s="252"/>
      <c r="O96" s="252"/>
      <c r="P96" s="252"/>
      <c r="Q96" s="252"/>
      <c r="R96" s="252"/>
      <c r="S96" s="252"/>
      <c r="T96" s="252"/>
      <c r="U96" s="252"/>
    </row>
    <row r="97" spans="1:21" ht="31" x14ac:dyDescent="0.35">
      <c r="A97" s="266">
        <v>12</v>
      </c>
      <c r="B97" s="267" t="s">
        <v>6</v>
      </c>
      <c r="C97" s="268" t="s">
        <v>564</v>
      </c>
      <c r="D97" s="248" t="s">
        <v>586</v>
      </c>
      <c r="E97" s="252" t="s">
        <v>587</v>
      </c>
      <c r="F97" s="252" t="s">
        <v>467</v>
      </c>
      <c r="G97" s="269">
        <v>45843</v>
      </c>
      <c r="H97" s="269">
        <v>45860</v>
      </c>
      <c r="I97" s="252"/>
      <c r="J97" s="252"/>
      <c r="K97" s="252"/>
      <c r="L97" s="269"/>
      <c r="M97" s="269"/>
      <c r="N97" s="252"/>
      <c r="O97" s="252"/>
      <c r="P97" s="252"/>
      <c r="Q97" s="252"/>
      <c r="R97" s="252"/>
      <c r="S97" s="252"/>
      <c r="T97" s="252"/>
      <c r="U97" s="252"/>
    </row>
    <row r="98" spans="1:21" ht="31" x14ac:dyDescent="0.35">
      <c r="A98" s="266">
        <v>13</v>
      </c>
      <c r="B98" s="267" t="s">
        <v>6</v>
      </c>
      <c r="C98" s="268" t="s">
        <v>564</v>
      </c>
      <c r="D98" s="248" t="s">
        <v>588</v>
      </c>
      <c r="E98" s="252" t="s">
        <v>589</v>
      </c>
      <c r="F98" s="252" t="s">
        <v>467</v>
      </c>
      <c r="G98" s="269">
        <v>45848</v>
      </c>
      <c r="H98" s="269">
        <v>45864</v>
      </c>
      <c r="I98" s="252"/>
      <c r="J98" s="252"/>
      <c r="K98" s="252"/>
      <c r="L98" s="269"/>
      <c r="M98" s="269"/>
      <c r="N98" s="252"/>
      <c r="O98" s="252"/>
      <c r="P98" s="252"/>
      <c r="Q98" s="252"/>
      <c r="R98" s="252"/>
      <c r="S98" s="252"/>
      <c r="T98" s="252"/>
      <c r="U98" s="252"/>
    </row>
    <row r="99" spans="1:21" ht="46.5" x14ac:dyDescent="0.35">
      <c r="A99" s="266">
        <v>14</v>
      </c>
      <c r="B99" s="267" t="s">
        <v>6</v>
      </c>
      <c r="C99" s="268" t="s">
        <v>564</v>
      </c>
      <c r="D99" s="248" t="s">
        <v>590</v>
      </c>
      <c r="E99" s="252" t="s">
        <v>591</v>
      </c>
      <c r="F99" s="252" t="s">
        <v>467</v>
      </c>
      <c r="G99" s="269">
        <v>45833</v>
      </c>
      <c r="H99" s="269">
        <v>45870</v>
      </c>
      <c r="I99" s="252"/>
      <c r="J99" s="252"/>
      <c r="K99" s="252"/>
      <c r="L99" s="269"/>
      <c r="M99" s="269"/>
      <c r="N99" s="252"/>
      <c r="O99" s="252"/>
      <c r="P99" s="252"/>
      <c r="Q99" s="252"/>
      <c r="R99" s="252"/>
      <c r="S99" s="252"/>
      <c r="T99" s="252"/>
      <c r="U99" s="252"/>
    </row>
    <row r="100" spans="1:21" ht="46.5" x14ac:dyDescent="0.35">
      <c r="A100" s="266">
        <v>15</v>
      </c>
      <c r="B100" s="267" t="s">
        <v>6</v>
      </c>
      <c r="C100" s="268" t="s">
        <v>564</v>
      </c>
      <c r="D100" s="298" t="s">
        <v>592</v>
      </c>
      <c r="E100" s="252" t="s">
        <v>593</v>
      </c>
      <c r="F100" s="252" t="s">
        <v>467</v>
      </c>
      <c r="G100" s="269">
        <v>45838</v>
      </c>
      <c r="H100" s="269">
        <v>45838</v>
      </c>
      <c r="I100" s="252"/>
      <c r="J100" s="252"/>
      <c r="K100" s="252" t="s">
        <v>468</v>
      </c>
      <c r="L100" s="269">
        <v>45838</v>
      </c>
      <c r="M100" s="269"/>
      <c r="N100" s="252"/>
      <c r="O100" s="252">
        <f ca="1">O1-L100</f>
        <v>29</v>
      </c>
      <c r="P100" s="252"/>
      <c r="Q100" s="252"/>
      <c r="R100" s="252" t="s">
        <v>492</v>
      </c>
      <c r="S100" s="252"/>
      <c r="T100" s="252" t="s">
        <v>471</v>
      </c>
      <c r="U100" s="252"/>
    </row>
    <row r="101" spans="1:21" ht="31" x14ac:dyDescent="0.35">
      <c r="A101" s="266">
        <v>16</v>
      </c>
      <c r="B101" s="267" t="s">
        <v>6</v>
      </c>
      <c r="C101" s="268" t="s">
        <v>564</v>
      </c>
      <c r="D101" s="248" t="s">
        <v>594</v>
      </c>
      <c r="E101" s="252" t="s">
        <v>595</v>
      </c>
      <c r="F101" s="252" t="s">
        <v>467</v>
      </c>
      <c r="G101" s="269">
        <v>45843</v>
      </c>
      <c r="H101" s="269">
        <v>45868</v>
      </c>
      <c r="I101" s="252"/>
      <c r="J101" s="252"/>
      <c r="K101" s="252"/>
      <c r="L101" s="269"/>
      <c r="M101" s="269"/>
      <c r="N101" s="252"/>
      <c r="O101" s="252"/>
      <c r="P101" s="252"/>
      <c r="Q101" s="252"/>
      <c r="R101" s="252"/>
      <c r="S101" s="252"/>
      <c r="T101" s="252"/>
      <c r="U101" s="252"/>
    </row>
    <row r="102" spans="1:21" ht="31" x14ac:dyDescent="0.35">
      <c r="A102" s="266">
        <v>17</v>
      </c>
      <c r="B102" s="267" t="s">
        <v>6</v>
      </c>
      <c r="C102" s="268" t="s">
        <v>564</v>
      </c>
      <c r="D102" s="248" t="s">
        <v>596</v>
      </c>
      <c r="E102" s="252" t="s">
        <v>597</v>
      </c>
      <c r="F102" s="252" t="s">
        <v>467</v>
      </c>
      <c r="G102" s="269">
        <v>45846</v>
      </c>
      <c r="H102" s="258">
        <f>H99</f>
        <v>45870</v>
      </c>
      <c r="I102" s="252"/>
      <c r="J102" s="252"/>
      <c r="K102" s="252"/>
      <c r="L102" s="269"/>
      <c r="M102" s="269"/>
      <c r="N102" s="252"/>
      <c r="O102" s="252"/>
      <c r="P102" s="252"/>
      <c r="Q102" s="252"/>
      <c r="R102" s="252"/>
      <c r="S102" s="252"/>
      <c r="T102" s="252"/>
      <c r="U102" s="252"/>
    </row>
    <row r="103" spans="1:21" ht="31" x14ac:dyDescent="0.35">
      <c r="A103" s="266">
        <v>18</v>
      </c>
      <c r="B103" s="267" t="s">
        <v>6</v>
      </c>
      <c r="C103" s="268" t="s">
        <v>564</v>
      </c>
      <c r="D103" s="290" t="s">
        <v>598</v>
      </c>
      <c r="E103" s="252" t="s">
        <v>599</v>
      </c>
      <c r="F103" s="250" t="s">
        <v>477</v>
      </c>
      <c r="G103" s="258">
        <v>45848</v>
      </c>
      <c r="H103" s="258">
        <v>45848</v>
      </c>
      <c r="I103" s="250"/>
      <c r="J103" s="250"/>
      <c r="K103" s="252"/>
      <c r="L103" s="269"/>
      <c r="M103" s="269"/>
      <c r="N103" s="252"/>
      <c r="O103" s="252"/>
      <c r="P103" s="252"/>
      <c r="Q103" s="252"/>
      <c r="R103" s="252"/>
      <c r="S103" s="252"/>
      <c r="T103" s="252"/>
      <c r="U103" s="252"/>
    </row>
    <row r="104" spans="1:21" ht="31" x14ac:dyDescent="0.35">
      <c r="A104" s="260">
        <v>19</v>
      </c>
      <c r="B104" s="260" t="s">
        <v>6</v>
      </c>
      <c r="C104" s="261" t="s">
        <v>564</v>
      </c>
      <c r="D104" s="300" t="s">
        <v>600</v>
      </c>
      <c r="E104" s="260" t="s">
        <v>601</v>
      </c>
      <c r="F104" s="260" t="s">
        <v>477</v>
      </c>
      <c r="G104" s="263">
        <v>45853</v>
      </c>
      <c r="H104" s="263">
        <v>45876</v>
      </c>
      <c r="I104" s="260"/>
      <c r="J104" s="260"/>
      <c r="K104" s="260" t="s">
        <v>468</v>
      </c>
      <c r="L104" s="263">
        <v>45855</v>
      </c>
      <c r="M104" s="263">
        <v>45859</v>
      </c>
      <c r="N104" s="260" t="s">
        <v>521</v>
      </c>
      <c r="O104" s="260"/>
      <c r="P104" s="260"/>
      <c r="Q104" s="260"/>
      <c r="R104" s="260" t="s">
        <v>398</v>
      </c>
      <c r="S104" s="260" t="str">
        <f>N104</f>
        <v xml:space="preserve">CAT -IV </v>
      </c>
      <c r="T104" s="260" t="s">
        <v>398</v>
      </c>
      <c r="U104" s="260"/>
    </row>
    <row r="105" spans="1:21" ht="31" x14ac:dyDescent="0.35">
      <c r="A105" s="266">
        <v>20</v>
      </c>
      <c r="B105" s="267" t="s">
        <v>6</v>
      </c>
      <c r="C105" s="268" t="s">
        <v>564</v>
      </c>
      <c r="D105" s="290" t="s">
        <v>602</v>
      </c>
      <c r="E105" s="252" t="s">
        <v>603</v>
      </c>
      <c r="F105" s="250" t="s">
        <v>467</v>
      </c>
      <c r="G105" s="258">
        <v>45853</v>
      </c>
      <c r="H105" s="258">
        <v>45876</v>
      </c>
      <c r="I105" s="250"/>
      <c r="J105" s="250"/>
      <c r="K105" s="252"/>
      <c r="L105" s="269"/>
      <c r="M105" s="269"/>
      <c r="N105" s="252"/>
      <c r="O105" s="252"/>
      <c r="P105" s="252"/>
      <c r="Q105" s="252"/>
      <c r="R105" s="252"/>
      <c r="S105" s="252"/>
      <c r="T105" s="252"/>
      <c r="U105" s="252"/>
    </row>
    <row r="106" spans="1:21" ht="31" x14ac:dyDescent="0.35">
      <c r="A106" s="266">
        <v>21</v>
      </c>
      <c r="B106" s="267" t="s">
        <v>6</v>
      </c>
      <c r="C106" s="268" t="s">
        <v>564</v>
      </c>
      <c r="D106" s="290" t="s">
        <v>604</v>
      </c>
      <c r="E106" s="252" t="s">
        <v>605</v>
      </c>
      <c r="F106" s="250" t="s">
        <v>477</v>
      </c>
      <c r="G106" s="258">
        <v>45858</v>
      </c>
      <c r="H106" s="258">
        <v>45882</v>
      </c>
      <c r="I106" s="250"/>
      <c r="J106" s="250"/>
      <c r="K106" s="252"/>
      <c r="L106" s="269"/>
      <c r="M106" s="269"/>
      <c r="N106" s="252"/>
      <c r="O106" s="252"/>
      <c r="P106" s="252"/>
      <c r="Q106" s="252"/>
      <c r="R106" s="252"/>
      <c r="S106" s="252"/>
      <c r="T106" s="252"/>
      <c r="U106" s="252"/>
    </row>
    <row r="107" spans="1:21" ht="31" x14ac:dyDescent="0.35">
      <c r="A107" s="266">
        <v>22</v>
      </c>
      <c r="B107" s="267" t="s">
        <v>6</v>
      </c>
      <c r="C107" s="268" t="s">
        <v>564</v>
      </c>
      <c r="D107" s="290" t="s">
        <v>606</v>
      </c>
      <c r="E107" s="252" t="s">
        <v>607</v>
      </c>
      <c r="F107" s="250" t="s">
        <v>467</v>
      </c>
      <c r="G107" s="258">
        <v>45826</v>
      </c>
      <c r="H107" s="258">
        <f>H106</f>
        <v>45882</v>
      </c>
      <c r="I107" s="250"/>
      <c r="J107" s="250"/>
      <c r="K107" s="252"/>
      <c r="L107" s="269"/>
      <c r="M107" s="269"/>
      <c r="N107" s="252"/>
      <c r="O107" s="252"/>
      <c r="P107" s="252"/>
      <c r="Q107" s="252"/>
      <c r="R107" s="252"/>
      <c r="S107" s="252"/>
      <c r="T107" s="252"/>
      <c r="U107" s="252"/>
    </row>
    <row r="108" spans="1:21" ht="31" x14ac:dyDescent="0.35">
      <c r="A108" s="266">
        <v>23</v>
      </c>
      <c r="B108" s="267" t="s">
        <v>6</v>
      </c>
      <c r="C108" s="268" t="s">
        <v>564</v>
      </c>
      <c r="D108" s="290" t="s">
        <v>608</v>
      </c>
      <c r="E108" s="252" t="s">
        <v>609</v>
      </c>
      <c r="F108" s="250" t="s">
        <v>477</v>
      </c>
      <c r="G108" s="258">
        <v>45833</v>
      </c>
      <c r="H108" s="258">
        <v>45887</v>
      </c>
      <c r="I108" s="250"/>
      <c r="J108" s="250"/>
      <c r="K108" s="252"/>
      <c r="L108" s="269"/>
      <c r="M108" s="269"/>
      <c r="N108" s="252"/>
      <c r="O108" s="252"/>
      <c r="P108" s="252"/>
      <c r="Q108" s="252"/>
      <c r="R108" s="252"/>
      <c r="S108" s="252"/>
      <c r="T108" s="252"/>
      <c r="U108" s="252"/>
    </row>
    <row r="109" spans="1:21" ht="31" x14ac:dyDescent="0.35">
      <c r="A109" s="266">
        <v>24</v>
      </c>
      <c r="B109" s="267" t="s">
        <v>6</v>
      </c>
      <c r="C109" s="268" t="s">
        <v>564</v>
      </c>
      <c r="D109" s="290" t="s">
        <v>610</v>
      </c>
      <c r="E109" s="252" t="s">
        <v>611</v>
      </c>
      <c r="F109" s="250" t="s">
        <v>467</v>
      </c>
      <c r="G109" s="258">
        <v>45863</v>
      </c>
      <c r="H109" s="258">
        <v>45887</v>
      </c>
      <c r="I109" s="250"/>
      <c r="J109" s="250"/>
      <c r="K109" s="252"/>
      <c r="L109" s="269"/>
      <c r="M109" s="269"/>
      <c r="N109" s="252"/>
      <c r="O109" s="252"/>
      <c r="P109" s="252"/>
      <c r="Q109" s="252"/>
      <c r="R109" s="252"/>
      <c r="S109" s="252"/>
      <c r="T109" s="252"/>
      <c r="U109" s="252"/>
    </row>
    <row r="110" spans="1:21" ht="15.5" x14ac:dyDescent="0.35">
      <c r="A110" s="434">
        <v>25</v>
      </c>
      <c r="B110" s="436" t="s">
        <v>6</v>
      </c>
      <c r="C110" s="438" t="s">
        <v>564</v>
      </c>
      <c r="D110" s="442" t="s">
        <v>612</v>
      </c>
      <c r="E110" s="374" t="s">
        <v>613</v>
      </c>
      <c r="F110" s="429" t="s">
        <v>467</v>
      </c>
      <c r="G110" s="424">
        <v>45828</v>
      </c>
      <c r="H110" s="432">
        <v>45887</v>
      </c>
      <c r="I110" s="250"/>
      <c r="J110" s="250"/>
      <c r="K110" s="252" t="s">
        <v>468</v>
      </c>
      <c r="L110" s="269">
        <v>45849</v>
      </c>
      <c r="M110" s="269">
        <v>45862</v>
      </c>
      <c r="N110" s="252" t="s">
        <v>469</v>
      </c>
      <c r="O110" s="252"/>
      <c r="P110" s="252"/>
      <c r="Q110" s="252"/>
      <c r="R110" s="374" t="s">
        <v>492</v>
      </c>
      <c r="S110" s="374" t="str">
        <f>N110</f>
        <v>CAT - III</v>
      </c>
      <c r="T110" s="374" t="s">
        <v>471</v>
      </c>
      <c r="U110" s="374"/>
    </row>
    <row r="111" spans="1:21" ht="15.5" x14ac:dyDescent="0.35">
      <c r="A111" s="435"/>
      <c r="B111" s="437"/>
      <c r="C111" s="439"/>
      <c r="D111" s="443"/>
      <c r="E111" s="375"/>
      <c r="F111" s="430"/>
      <c r="G111" s="431"/>
      <c r="H111" s="433"/>
      <c r="I111" s="250"/>
      <c r="J111" s="250"/>
      <c r="K111" s="252" t="s">
        <v>470</v>
      </c>
      <c r="L111" s="269">
        <v>45864</v>
      </c>
      <c r="M111" s="269"/>
      <c r="N111" s="252"/>
      <c r="O111" s="252"/>
      <c r="P111" s="252"/>
      <c r="Q111" s="252"/>
      <c r="R111" s="375"/>
      <c r="S111" s="375"/>
      <c r="T111" s="375"/>
      <c r="U111" s="375"/>
    </row>
    <row r="112" spans="1:21" ht="15.5" x14ac:dyDescent="0.35">
      <c r="A112" s="434">
        <v>26</v>
      </c>
      <c r="B112" s="436" t="s">
        <v>6</v>
      </c>
      <c r="C112" s="438" t="s">
        <v>564</v>
      </c>
      <c r="D112" s="440" t="s">
        <v>614</v>
      </c>
      <c r="E112" s="374" t="s">
        <v>615</v>
      </c>
      <c r="F112" s="429" t="s">
        <v>477</v>
      </c>
      <c r="G112" s="424">
        <v>45833</v>
      </c>
      <c r="H112" s="432">
        <f>H99</f>
        <v>45870</v>
      </c>
      <c r="I112" s="250"/>
      <c r="J112" s="250"/>
      <c r="K112" s="252" t="s">
        <v>468</v>
      </c>
      <c r="L112" s="269">
        <v>45849</v>
      </c>
      <c r="M112" s="269">
        <v>45862</v>
      </c>
      <c r="N112" s="252" t="s">
        <v>469</v>
      </c>
      <c r="O112" s="252"/>
      <c r="P112" s="252"/>
      <c r="Q112" s="252"/>
      <c r="R112" s="374" t="s">
        <v>492</v>
      </c>
      <c r="S112" s="374" t="str">
        <f>N112</f>
        <v>CAT - III</v>
      </c>
      <c r="T112" s="374" t="s">
        <v>471</v>
      </c>
      <c r="U112" s="374"/>
    </row>
    <row r="113" spans="1:21" ht="15.5" x14ac:dyDescent="0.35">
      <c r="A113" s="435"/>
      <c r="B113" s="437"/>
      <c r="C113" s="439"/>
      <c r="D113" s="441"/>
      <c r="E113" s="375"/>
      <c r="F113" s="430"/>
      <c r="G113" s="431"/>
      <c r="H113" s="433"/>
      <c r="I113" s="250"/>
      <c r="J113" s="250"/>
      <c r="K113" s="252" t="s">
        <v>470</v>
      </c>
      <c r="L113" s="269">
        <v>45864</v>
      </c>
      <c r="M113" s="269"/>
      <c r="N113" s="252"/>
      <c r="O113" s="252"/>
      <c r="P113" s="252"/>
      <c r="Q113" s="252"/>
      <c r="R113" s="375"/>
      <c r="S113" s="375"/>
      <c r="T113" s="375"/>
      <c r="U113" s="375"/>
    </row>
    <row r="114" spans="1:21" ht="46.5" x14ac:dyDescent="0.35">
      <c r="A114" s="266">
        <v>27</v>
      </c>
      <c r="B114" s="267" t="s">
        <v>6</v>
      </c>
      <c r="C114" s="268" t="s">
        <v>564</v>
      </c>
      <c r="D114" s="248" t="s">
        <v>616</v>
      </c>
      <c r="E114" s="252" t="s">
        <v>617</v>
      </c>
      <c r="F114" s="250" t="s">
        <v>467</v>
      </c>
      <c r="G114" s="269">
        <v>45836</v>
      </c>
      <c r="H114" s="258">
        <v>45889</v>
      </c>
      <c r="I114" s="250"/>
      <c r="J114" s="250"/>
      <c r="K114" s="252"/>
      <c r="L114" s="269"/>
      <c r="M114" s="269"/>
      <c r="N114" s="252"/>
      <c r="O114" s="252"/>
      <c r="P114" s="252"/>
      <c r="Q114" s="252"/>
      <c r="R114" s="252"/>
      <c r="S114" s="252"/>
      <c r="T114" s="252"/>
      <c r="U114" s="252"/>
    </row>
    <row r="115" spans="1:21" ht="31" x14ac:dyDescent="0.35">
      <c r="A115" s="266">
        <v>28</v>
      </c>
      <c r="B115" s="267" t="s">
        <v>6</v>
      </c>
      <c r="C115" s="268" t="s">
        <v>564</v>
      </c>
      <c r="D115" s="248" t="s">
        <v>618</v>
      </c>
      <c r="E115" s="252" t="s">
        <v>619</v>
      </c>
      <c r="F115" s="252" t="s">
        <v>467</v>
      </c>
      <c r="G115" s="269">
        <v>45858</v>
      </c>
      <c r="H115" s="258">
        <v>45889</v>
      </c>
      <c r="I115" s="252"/>
      <c r="J115" s="252"/>
      <c r="K115" s="252"/>
      <c r="L115" s="269"/>
      <c r="M115" s="269"/>
      <c r="N115" s="252"/>
      <c r="O115" s="252"/>
      <c r="P115" s="252"/>
      <c r="Q115" s="252"/>
      <c r="R115" s="252"/>
      <c r="S115" s="252"/>
      <c r="T115" s="252"/>
      <c r="U115" s="252"/>
    </row>
    <row r="116" spans="1:21" ht="31" x14ac:dyDescent="0.35">
      <c r="A116" s="266">
        <v>29</v>
      </c>
      <c r="B116" s="267" t="s">
        <v>6</v>
      </c>
      <c r="C116" s="268" t="s">
        <v>564</v>
      </c>
      <c r="D116" s="248" t="s">
        <v>620</v>
      </c>
      <c r="E116" s="252" t="s">
        <v>621</v>
      </c>
      <c r="F116" s="252" t="s">
        <v>467</v>
      </c>
      <c r="G116" s="269">
        <v>45863</v>
      </c>
      <c r="H116" s="258">
        <f>G116</f>
        <v>45863</v>
      </c>
      <c r="I116" s="252"/>
      <c r="J116" s="252"/>
      <c r="K116" s="252"/>
      <c r="L116" s="269"/>
      <c r="M116" s="269"/>
      <c r="N116" s="252"/>
      <c r="O116" s="252"/>
      <c r="P116" s="252"/>
      <c r="Q116" s="252"/>
      <c r="R116" s="252"/>
      <c r="S116" s="252"/>
      <c r="T116" s="252"/>
      <c r="U116" s="252"/>
    </row>
    <row r="117" spans="1:21" ht="15.5" x14ac:dyDescent="0.35">
      <c r="A117" s="370">
        <v>1</v>
      </c>
      <c r="B117" s="370" t="s">
        <v>622</v>
      </c>
      <c r="C117" s="412" t="s">
        <v>623</v>
      </c>
      <c r="D117" s="413" t="s">
        <v>624</v>
      </c>
      <c r="E117" s="370" t="s">
        <v>625</v>
      </c>
      <c r="F117" s="370" t="s">
        <v>467</v>
      </c>
      <c r="G117" s="410">
        <v>45719</v>
      </c>
      <c r="H117" s="411">
        <f>L117</f>
        <v>45714</v>
      </c>
      <c r="I117" s="370"/>
      <c r="J117" s="370"/>
      <c r="K117" s="260" t="s">
        <v>468</v>
      </c>
      <c r="L117" s="263">
        <v>45714</v>
      </c>
      <c r="M117" s="263">
        <v>45721</v>
      </c>
      <c r="N117" s="260" t="s">
        <v>469</v>
      </c>
      <c r="O117" s="260">
        <f t="shared" ref="O117:O127" si="3">M117-L117</f>
        <v>7</v>
      </c>
      <c r="P117" s="260">
        <f>L118-M117</f>
        <v>33</v>
      </c>
      <c r="Q117" s="370"/>
      <c r="R117" s="370" t="s">
        <v>398</v>
      </c>
      <c r="S117" s="370" t="str">
        <f>N120</f>
        <v>CAT - I</v>
      </c>
      <c r="T117" s="370" t="s">
        <v>398</v>
      </c>
      <c r="U117" s="370"/>
    </row>
    <row r="118" spans="1:21" ht="15.5" x14ac:dyDescent="0.35">
      <c r="A118" s="370"/>
      <c r="B118" s="370"/>
      <c r="C118" s="412"/>
      <c r="D118" s="413"/>
      <c r="E118" s="370"/>
      <c r="F118" s="370"/>
      <c r="G118" s="410"/>
      <c r="H118" s="411"/>
      <c r="I118" s="370"/>
      <c r="J118" s="370"/>
      <c r="K118" s="260" t="s">
        <v>470</v>
      </c>
      <c r="L118" s="263">
        <v>45754</v>
      </c>
      <c r="M118" s="263">
        <v>45763</v>
      </c>
      <c r="N118" s="260" t="s">
        <v>469</v>
      </c>
      <c r="O118" s="260">
        <f t="shared" si="3"/>
        <v>9</v>
      </c>
      <c r="P118" s="260">
        <f>L119-M118</f>
        <v>4</v>
      </c>
      <c r="Q118" s="370"/>
      <c r="R118" s="370"/>
      <c r="S118" s="370"/>
      <c r="T118" s="370"/>
      <c r="U118" s="370"/>
    </row>
    <row r="119" spans="1:21" ht="15.5" x14ac:dyDescent="0.35">
      <c r="A119" s="370"/>
      <c r="B119" s="370"/>
      <c r="C119" s="412"/>
      <c r="D119" s="413"/>
      <c r="E119" s="370"/>
      <c r="F119" s="370"/>
      <c r="G119" s="410"/>
      <c r="H119" s="411"/>
      <c r="I119" s="370"/>
      <c r="J119" s="370"/>
      <c r="K119" s="260" t="s">
        <v>472</v>
      </c>
      <c r="L119" s="263">
        <v>45767</v>
      </c>
      <c r="M119" s="263">
        <v>45770</v>
      </c>
      <c r="N119" s="260" t="s">
        <v>491</v>
      </c>
      <c r="O119" s="260">
        <f t="shared" si="3"/>
        <v>3</v>
      </c>
      <c r="P119" s="260">
        <f>L120-M119</f>
        <v>1</v>
      </c>
      <c r="Q119" s="370"/>
      <c r="R119" s="370"/>
      <c r="S119" s="370"/>
      <c r="T119" s="370"/>
      <c r="U119" s="370"/>
    </row>
    <row r="120" spans="1:21" ht="15.5" x14ac:dyDescent="0.35">
      <c r="A120" s="370"/>
      <c r="B120" s="370"/>
      <c r="C120" s="412"/>
      <c r="D120" s="413"/>
      <c r="E120" s="370"/>
      <c r="F120" s="370"/>
      <c r="G120" s="410"/>
      <c r="H120" s="411"/>
      <c r="I120" s="370"/>
      <c r="J120" s="370"/>
      <c r="K120" s="260" t="s">
        <v>473</v>
      </c>
      <c r="L120" s="263">
        <v>45771</v>
      </c>
      <c r="M120" s="263">
        <v>45820</v>
      </c>
      <c r="N120" s="260" t="s">
        <v>482</v>
      </c>
      <c r="O120" s="260">
        <f t="shared" si="3"/>
        <v>49</v>
      </c>
      <c r="P120" s="260"/>
      <c r="Q120" s="370"/>
      <c r="R120" s="370"/>
      <c r="S120" s="370"/>
      <c r="T120" s="370"/>
      <c r="U120" s="370"/>
    </row>
    <row r="121" spans="1:21" ht="15.5" x14ac:dyDescent="0.35">
      <c r="A121" s="427">
        <v>2</v>
      </c>
      <c r="B121" s="427" t="s">
        <v>622</v>
      </c>
      <c r="C121" s="428" t="s">
        <v>623</v>
      </c>
      <c r="D121" s="388" t="s">
        <v>836</v>
      </c>
      <c r="E121" s="425" t="s">
        <v>626</v>
      </c>
      <c r="F121" s="425" t="s">
        <v>467</v>
      </c>
      <c r="G121" s="426">
        <v>45755</v>
      </c>
      <c r="H121" s="424">
        <f>L121</f>
        <v>45772</v>
      </c>
      <c r="I121" s="425"/>
      <c r="J121" s="425"/>
      <c r="K121" s="252" t="s">
        <v>468</v>
      </c>
      <c r="L121" s="269">
        <v>45772</v>
      </c>
      <c r="M121" s="269">
        <v>45790</v>
      </c>
      <c r="N121" s="252" t="s">
        <v>469</v>
      </c>
      <c r="O121" s="252">
        <f t="shared" si="3"/>
        <v>18</v>
      </c>
      <c r="P121" s="252">
        <f>L122-M121</f>
        <v>3</v>
      </c>
      <c r="Q121" s="425"/>
      <c r="R121" s="425" t="s">
        <v>492</v>
      </c>
      <c r="S121" s="425" t="str">
        <f>N121</f>
        <v>CAT - III</v>
      </c>
      <c r="T121" s="425" t="s">
        <v>474</v>
      </c>
      <c r="U121" s="425">
        <f ca="1">U1-L122</f>
        <v>74</v>
      </c>
    </row>
    <row r="122" spans="1:21" ht="15.5" x14ac:dyDescent="0.35">
      <c r="A122" s="427"/>
      <c r="B122" s="427"/>
      <c r="C122" s="428"/>
      <c r="D122" s="388"/>
      <c r="E122" s="425"/>
      <c r="F122" s="425"/>
      <c r="G122" s="426"/>
      <c r="H122" s="424"/>
      <c r="I122" s="425"/>
      <c r="J122" s="425"/>
      <c r="K122" s="252" t="s">
        <v>470</v>
      </c>
      <c r="L122" s="269">
        <v>45793</v>
      </c>
      <c r="M122" s="269">
        <v>45827</v>
      </c>
      <c r="N122" s="252"/>
      <c r="O122" s="252">
        <f t="shared" si="3"/>
        <v>34</v>
      </c>
      <c r="P122" s="252">
        <f ca="1">O1-M122</f>
        <v>40</v>
      </c>
      <c r="Q122" s="425"/>
      <c r="R122" s="425"/>
      <c r="S122" s="425"/>
      <c r="T122" s="425"/>
      <c r="U122" s="425"/>
    </row>
    <row r="123" spans="1:21" ht="15.5" x14ac:dyDescent="0.35">
      <c r="A123" s="400">
        <v>3</v>
      </c>
      <c r="B123" s="400" t="s">
        <v>622</v>
      </c>
      <c r="C123" s="416" t="s">
        <v>623</v>
      </c>
      <c r="D123" s="417" t="s">
        <v>627</v>
      </c>
      <c r="E123" s="400" t="s">
        <v>628</v>
      </c>
      <c r="F123" s="400" t="s">
        <v>467</v>
      </c>
      <c r="G123" s="411">
        <v>45762</v>
      </c>
      <c r="H123" s="411">
        <f>L123</f>
        <v>45790</v>
      </c>
      <c r="I123" s="400"/>
      <c r="J123" s="400"/>
      <c r="K123" s="260" t="s">
        <v>468</v>
      </c>
      <c r="L123" s="263">
        <v>45790</v>
      </c>
      <c r="M123" s="263">
        <v>45821</v>
      </c>
      <c r="N123" s="260" t="s">
        <v>469</v>
      </c>
      <c r="O123" s="260">
        <f t="shared" si="3"/>
        <v>31</v>
      </c>
      <c r="P123" s="260">
        <f>L124-M123</f>
        <v>11</v>
      </c>
      <c r="Q123" s="260"/>
      <c r="R123" s="400" t="s">
        <v>398</v>
      </c>
      <c r="S123" s="400" t="str">
        <f>N124</f>
        <v>CAT - I</v>
      </c>
      <c r="T123" s="400" t="s">
        <v>398</v>
      </c>
      <c r="U123" s="260">
        <f ca="1">U1-L123</f>
        <v>77</v>
      </c>
    </row>
    <row r="124" spans="1:21" ht="15.5" x14ac:dyDescent="0.35">
      <c r="A124" s="400"/>
      <c r="B124" s="400"/>
      <c r="C124" s="416"/>
      <c r="D124" s="417"/>
      <c r="E124" s="400"/>
      <c r="F124" s="400"/>
      <c r="G124" s="411"/>
      <c r="H124" s="411"/>
      <c r="I124" s="400"/>
      <c r="J124" s="400"/>
      <c r="K124" s="260" t="s">
        <v>470</v>
      </c>
      <c r="L124" s="263">
        <v>45832</v>
      </c>
      <c r="M124" s="263">
        <v>45840</v>
      </c>
      <c r="N124" s="260" t="s">
        <v>482</v>
      </c>
      <c r="O124" s="260">
        <f t="shared" si="3"/>
        <v>8</v>
      </c>
      <c r="P124" s="260"/>
      <c r="Q124" s="260"/>
      <c r="R124" s="401"/>
      <c r="S124" s="400"/>
      <c r="T124" s="400"/>
      <c r="U124" s="260"/>
    </row>
    <row r="125" spans="1:21" ht="15.5" x14ac:dyDescent="0.35">
      <c r="A125" s="381">
        <v>4</v>
      </c>
      <c r="B125" s="381" t="s">
        <v>622</v>
      </c>
      <c r="C125" s="391" t="s">
        <v>623</v>
      </c>
      <c r="D125" s="397" t="s">
        <v>629</v>
      </c>
      <c r="E125" s="374" t="s">
        <v>630</v>
      </c>
      <c r="F125" s="374" t="s">
        <v>467</v>
      </c>
      <c r="G125" s="424">
        <v>45780</v>
      </c>
      <c r="H125" s="424">
        <f>L125</f>
        <v>45758</v>
      </c>
      <c r="I125" s="425"/>
      <c r="J125" s="425"/>
      <c r="K125" s="252" t="s">
        <v>468</v>
      </c>
      <c r="L125" s="269">
        <v>45758</v>
      </c>
      <c r="M125" s="269">
        <v>45766</v>
      </c>
      <c r="N125" s="252" t="s">
        <v>469</v>
      </c>
      <c r="O125" s="252">
        <f t="shared" si="3"/>
        <v>8</v>
      </c>
      <c r="P125" s="252">
        <f>L126-M125</f>
        <v>27</v>
      </c>
      <c r="Q125" s="374"/>
      <c r="R125" s="374" t="s">
        <v>492</v>
      </c>
      <c r="S125" s="374" t="str">
        <f>N127</f>
        <v>CAT - II</v>
      </c>
      <c r="T125" s="374" t="s">
        <v>471</v>
      </c>
      <c r="U125" s="374">
        <f ca="1">U1-M127</f>
        <v>40</v>
      </c>
    </row>
    <row r="126" spans="1:21" ht="15.5" x14ac:dyDescent="0.35">
      <c r="A126" s="381"/>
      <c r="B126" s="381"/>
      <c r="C126" s="391"/>
      <c r="D126" s="397"/>
      <c r="E126" s="374"/>
      <c r="F126" s="374"/>
      <c r="G126" s="424"/>
      <c r="H126" s="424"/>
      <c r="I126" s="425"/>
      <c r="J126" s="425"/>
      <c r="K126" s="252" t="s">
        <v>470</v>
      </c>
      <c r="L126" s="269">
        <v>45793</v>
      </c>
      <c r="M126" s="269">
        <v>45808</v>
      </c>
      <c r="N126" s="252" t="s">
        <v>469</v>
      </c>
      <c r="O126" s="252">
        <f t="shared" si="3"/>
        <v>15</v>
      </c>
      <c r="P126" s="252">
        <f>L127-M126</f>
        <v>15</v>
      </c>
      <c r="Q126" s="374"/>
      <c r="R126" s="374"/>
      <c r="S126" s="374"/>
      <c r="T126" s="374"/>
      <c r="U126" s="374"/>
    </row>
    <row r="127" spans="1:21" ht="15.5" x14ac:dyDescent="0.35">
      <c r="A127" s="381"/>
      <c r="B127" s="381"/>
      <c r="C127" s="391"/>
      <c r="D127" s="397"/>
      <c r="E127" s="374"/>
      <c r="F127" s="374"/>
      <c r="G127" s="424"/>
      <c r="H127" s="424"/>
      <c r="I127" s="425"/>
      <c r="J127" s="425"/>
      <c r="K127" s="252" t="s">
        <v>472</v>
      </c>
      <c r="L127" s="269">
        <v>45823</v>
      </c>
      <c r="M127" s="269">
        <v>45827</v>
      </c>
      <c r="N127" s="252" t="s">
        <v>491</v>
      </c>
      <c r="O127" s="252">
        <f t="shared" si="3"/>
        <v>4</v>
      </c>
      <c r="P127" s="252"/>
      <c r="Q127" s="374"/>
      <c r="R127" s="374"/>
      <c r="S127" s="374"/>
      <c r="T127" s="374"/>
      <c r="U127" s="374"/>
    </row>
    <row r="128" spans="1:21" ht="15.5" x14ac:dyDescent="0.35">
      <c r="A128" s="381"/>
      <c r="B128" s="381"/>
      <c r="C128" s="391"/>
      <c r="D128" s="397"/>
      <c r="E128" s="374"/>
      <c r="F128" s="374"/>
      <c r="G128" s="424"/>
      <c r="H128" s="424"/>
      <c r="I128" s="252"/>
      <c r="J128" s="252"/>
      <c r="K128" s="252" t="s">
        <v>473</v>
      </c>
      <c r="L128" s="269">
        <v>45851</v>
      </c>
      <c r="M128" s="269"/>
      <c r="N128" s="252"/>
      <c r="O128" s="252"/>
      <c r="P128" s="252"/>
      <c r="Q128" s="374"/>
      <c r="R128" s="374"/>
      <c r="S128" s="374"/>
      <c r="T128" s="374"/>
      <c r="U128" s="374"/>
    </row>
    <row r="129" spans="1:21" ht="31" x14ac:dyDescent="0.35">
      <c r="A129" s="301">
        <v>5</v>
      </c>
      <c r="B129" s="301" t="s">
        <v>622</v>
      </c>
      <c r="C129" s="302" t="s">
        <v>623</v>
      </c>
      <c r="D129" s="305" t="s">
        <v>631</v>
      </c>
      <c r="E129" s="252" t="s">
        <v>632</v>
      </c>
      <c r="F129" s="252" t="s">
        <v>467</v>
      </c>
      <c r="G129" s="269">
        <v>45835</v>
      </c>
      <c r="H129" s="258">
        <v>45848</v>
      </c>
      <c r="I129" s="252"/>
      <c r="J129" s="252"/>
      <c r="K129" s="252" t="s">
        <v>468</v>
      </c>
      <c r="L129" s="269">
        <v>45845</v>
      </c>
      <c r="M129" s="269"/>
      <c r="N129" s="252"/>
      <c r="O129" s="252">
        <f ca="1">O1-L129</f>
        <v>22</v>
      </c>
      <c r="P129" s="252"/>
      <c r="Q129" s="252"/>
      <c r="R129" s="252" t="s">
        <v>492</v>
      </c>
      <c r="S129" s="252"/>
      <c r="T129" s="252" t="s">
        <v>471</v>
      </c>
      <c r="U129" s="252"/>
    </row>
    <row r="130" spans="1:21" ht="31" x14ac:dyDescent="0.35">
      <c r="A130" s="301">
        <v>6</v>
      </c>
      <c r="B130" s="301" t="s">
        <v>622</v>
      </c>
      <c r="C130" s="302" t="s">
        <v>623</v>
      </c>
      <c r="D130" s="305" t="s">
        <v>633</v>
      </c>
      <c r="E130" s="252" t="s">
        <v>634</v>
      </c>
      <c r="F130" s="252" t="s">
        <v>467</v>
      </c>
      <c r="G130" s="269">
        <v>45835</v>
      </c>
      <c r="H130" s="258">
        <v>45848</v>
      </c>
      <c r="I130" s="252"/>
      <c r="J130" s="252"/>
      <c r="K130" s="252" t="s">
        <v>468</v>
      </c>
      <c r="L130" s="269">
        <v>45848</v>
      </c>
      <c r="M130" s="269"/>
      <c r="N130" s="252"/>
      <c r="O130" s="252">
        <f ca="1">O1-L130</f>
        <v>19</v>
      </c>
      <c r="P130" s="252"/>
      <c r="Q130" s="252"/>
      <c r="R130" s="252" t="s">
        <v>492</v>
      </c>
      <c r="S130" s="252"/>
      <c r="T130" s="252" t="s">
        <v>471</v>
      </c>
      <c r="U130" s="252"/>
    </row>
    <row r="131" spans="1:21" ht="15.5" x14ac:dyDescent="0.35">
      <c r="A131" s="301">
        <v>7</v>
      </c>
      <c r="B131" s="301" t="s">
        <v>622</v>
      </c>
      <c r="C131" s="302" t="s">
        <v>623</v>
      </c>
      <c r="D131" s="306" t="s">
        <v>635</v>
      </c>
      <c r="E131" s="252" t="s">
        <v>636</v>
      </c>
      <c r="F131" s="252" t="s">
        <v>467</v>
      </c>
      <c r="G131" s="269">
        <v>45835</v>
      </c>
      <c r="H131" s="258">
        <v>45849</v>
      </c>
      <c r="I131" s="252"/>
      <c r="J131" s="252"/>
      <c r="K131" s="252"/>
      <c r="L131" s="269"/>
      <c r="M131" s="269"/>
      <c r="N131" s="252"/>
      <c r="O131" s="252"/>
      <c r="P131" s="252"/>
      <c r="Q131" s="252"/>
      <c r="R131" s="252"/>
      <c r="S131" s="252"/>
      <c r="T131" s="252"/>
      <c r="U131" s="252"/>
    </row>
    <row r="132" spans="1:21" ht="15.5" x14ac:dyDescent="0.35">
      <c r="A132" s="301">
        <v>8</v>
      </c>
      <c r="B132" s="301" t="s">
        <v>622</v>
      </c>
      <c r="C132" s="302" t="s">
        <v>623</v>
      </c>
      <c r="D132" s="305" t="s">
        <v>637</v>
      </c>
      <c r="E132" s="252" t="s">
        <v>638</v>
      </c>
      <c r="F132" s="252" t="s">
        <v>467</v>
      </c>
      <c r="G132" s="269">
        <v>45835</v>
      </c>
      <c r="H132" s="258">
        <v>45849</v>
      </c>
      <c r="I132" s="252"/>
      <c r="J132" s="252"/>
      <c r="K132" s="252" t="s">
        <v>468</v>
      </c>
      <c r="L132" s="269">
        <v>45845</v>
      </c>
      <c r="M132" s="269"/>
      <c r="N132" s="252"/>
      <c r="O132" s="252">
        <f ca="1">O1-L132</f>
        <v>22</v>
      </c>
      <c r="P132" s="252"/>
      <c r="Q132" s="252"/>
      <c r="R132" s="252" t="s">
        <v>492</v>
      </c>
      <c r="S132" s="252"/>
      <c r="T132" s="252" t="s">
        <v>471</v>
      </c>
      <c r="U132" s="252"/>
    </row>
    <row r="133" spans="1:21" ht="15.5" x14ac:dyDescent="0.35">
      <c r="A133" s="381">
        <v>9</v>
      </c>
      <c r="B133" s="381" t="s">
        <v>622</v>
      </c>
      <c r="C133" s="386" t="s">
        <v>623</v>
      </c>
      <c r="D133" s="388" t="s">
        <v>639</v>
      </c>
      <c r="E133" s="374" t="s">
        <v>640</v>
      </c>
      <c r="F133" s="374" t="s">
        <v>467</v>
      </c>
      <c r="G133" s="424">
        <v>45768</v>
      </c>
      <c r="H133" s="424">
        <f>L133</f>
        <v>45804</v>
      </c>
      <c r="I133" s="374"/>
      <c r="J133" s="374"/>
      <c r="K133" s="252" t="s">
        <v>468</v>
      </c>
      <c r="L133" s="269">
        <v>45804</v>
      </c>
      <c r="M133" s="269">
        <v>45812</v>
      </c>
      <c r="N133" s="252" t="s">
        <v>469</v>
      </c>
      <c r="O133" s="252">
        <f>M133-L133</f>
        <v>8</v>
      </c>
      <c r="P133" s="252">
        <f>L134-M133</f>
        <v>9</v>
      </c>
      <c r="Q133" s="252"/>
      <c r="R133" s="425" t="s">
        <v>499</v>
      </c>
      <c r="S133" s="425" t="str">
        <f>N135</f>
        <v>CAT - II</v>
      </c>
      <c r="T133" s="425" t="s">
        <v>474</v>
      </c>
      <c r="U133" s="374">
        <f ca="1">U1-L133</f>
        <v>63</v>
      </c>
    </row>
    <row r="134" spans="1:21" ht="15.5" x14ac:dyDescent="0.35">
      <c r="A134" s="381"/>
      <c r="B134" s="381"/>
      <c r="C134" s="386"/>
      <c r="D134" s="388"/>
      <c r="E134" s="374"/>
      <c r="F134" s="374"/>
      <c r="G134" s="424"/>
      <c r="H134" s="424"/>
      <c r="I134" s="374"/>
      <c r="J134" s="374"/>
      <c r="K134" s="252" t="s">
        <v>470</v>
      </c>
      <c r="L134" s="269">
        <v>45821</v>
      </c>
      <c r="M134" s="269">
        <v>45825</v>
      </c>
      <c r="N134" s="252" t="s">
        <v>469</v>
      </c>
      <c r="O134" s="252">
        <f>M134-L134</f>
        <v>4</v>
      </c>
      <c r="P134" s="252">
        <f>L135-M134</f>
        <v>1</v>
      </c>
      <c r="Q134" s="252"/>
      <c r="R134" s="425"/>
      <c r="S134" s="425"/>
      <c r="T134" s="425"/>
      <c r="U134" s="374"/>
    </row>
    <row r="135" spans="1:21" ht="15.5" x14ac:dyDescent="0.35">
      <c r="A135" s="381"/>
      <c r="B135" s="381"/>
      <c r="C135" s="386"/>
      <c r="D135" s="388"/>
      <c r="E135" s="374"/>
      <c r="F135" s="374"/>
      <c r="G135" s="424"/>
      <c r="H135" s="424"/>
      <c r="I135" s="374"/>
      <c r="J135" s="374"/>
      <c r="K135" s="252" t="s">
        <v>472</v>
      </c>
      <c r="L135" s="269">
        <v>45826</v>
      </c>
      <c r="M135" s="269">
        <v>45828</v>
      </c>
      <c r="N135" s="252" t="s">
        <v>491</v>
      </c>
      <c r="O135" s="252">
        <f>M135-L135</f>
        <v>2</v>
      </c>
      <c r="P135" s="252"/>
      <c r="Q135" s="252"/>
      <c r="R135" s="425"/>
      <c r="S135" s="425"/>
      <c r="T135" s="425"/>
      <c r="U135" s="374"/>
    </row>
    <row r="136" spans="1:21" ht="31" x14ac:dyDescent="0.35">
      <c r="A136" s="301">
        <v>10</v>
      </c>
      <c r="B136" s="301" t="s">
        <v>622</v>
      </c>
      <c r="C136" s="302" t="s">
        <v>623</v>
      </c>
      <c r="D136" s="305" t="s">
        <v>641</v>
      </c>
      <c r="E136" s="252" t="s">
        <v>642</v>
      </c>
      <c r="F136" s="252" t="s">
        <v>467</v>
      </c>
      <c r="G136" s="269">
        <v>45800</v>
      </c>
      <c r="H136" s="269">
        <f>L136</f>
        <v>45840</v>
      </c>
      <c r="I136" s="252"/>
      <c r="J136" s="252"/>
      <c r="K136" s="252" t="s">
        <v>468</v>
      </c>
      <c r="L136" s="269">
        <v>45840</v>
      </c>
      <c r="M136" s="269">
        <v>45863</v>
      </c>
      <c r="N136" s="260" t="s">
        <v>469</v>
      </c>
      <c r="O136" s="252" t="e">
        <f>#REF!-L136</f>
        <v>#REF!</v>
      </c>
      <c r="P136" s="252"/>
      <c r="Q136" s="252"/>
      <c r="R136" s="252" t="s">
        <v>499</v>
      </c>
      <c r="S136" s="252" t="str">
        <f>N136</f>
        <v>CAT - III</v>
      </c>
      <c r="T136" s="252" t="s">
        <v>474</v>
      </c>
      <c r="U136" s="252">
        <f ca="1">U1-L136</f>
        <v>27</v>
      </c>
    </row>
    <row r="137" spans="1:21" ht="31" x14ac:dyDescent="0.35">
      <c r="A137" s="301">
        <v>11</v>
      </c>
      <c r="B137" s="301" t="s">
        <v>622</v>
      </c>
      <c r="C137" s="302" t="s">
        <v>623</v>
      </c>
      <c r="D137" s="306" t="s">
        <v>643</v>
      </c>
      <c r="E137" s="252" t="s">
        <v>644</v>
      </c>
      <c r="F137" s="252" t="s">
        <v>467</v>
      </c>
      <c r="G137" s="269">
        <v>45826</v>
      </c>
      <c r="H137" s="258">
        <v>45852</v>
      </c>
      <c r="I137" s="252"/>
      <c r="J137" s="252"/>
      <c r="K137" s="252"/>
      <c r="L137" s="269"/>
      <c r="M137" s="269"/>
      <c r="N137" s="252"/>
      <c r="O137" s="252"/>
      <c r="P137" s="252"/>
      <c r="Q137" s="252"/>
      <c r="R137" s="252"/>
      <c r="S137" s="252"/>
      <c r="T137" s="252"/>
      <c r="U137" s="252"/>
    </row>
    <row r="138" spans="1:21" ht="31" x14ac:dyDescent="0.35">
      <c r="A138" s="301">
        <v>12</v>
      </c>
      <c r="B138" s="301" t="s">
        <v>622</v>
      </c>
      <c r="C138" s="302" t="s">
        <v>623</v>
      </c>
      <c r="D138" s="306" t="s">
        <v>645</v>
      </c>
      <c r="E138" s="252" t="s">
        <v>646</v>
      </c>
      <c r="F138" s="252" t="s">
        <v>467</v>
      </c>
      <c r="G138" s="269">
        <v>45826</v>
      </c>
      <c r="H138" s="258">
        <v>45852</v>
      </c>
      <c r="I138" s="252"/>
      <c r="J138" s="252"/>
      <c r="K138" s="252"/>
      <c r="L138" s="269"/>
      <c r="M138" s="269"/>
      <c r="N138" s="252"/>
      <c r="O138" s="252"/>
      <c r="P138" s="252"/>
      <c r="Q138" s="252"/>
      <c r="R138" s="252"/>
      <c r="S138" s="252"/>
      <c r="T138" s="252"/>
      <c r="U138" s="252"/>
    </row>
    <row r="139" spans="1:21" ht="31" x14ac:dyDescent="0.35">
      <c r="A139" s="301">
        <v>13</v>
      </c>
      <c r="B139" s="301" t="s">
        <v>622</v>
      </c>
      <c r="C139" s="302" t="s">
        <v>623</v>
      </c>
      <c r="D139" s="306" t="s">
        <v>647</v>
      </c>
      <c r="E139" s="252" t="s">
        <v>648</v>
      </c>
      <c r="F139" s="252" t="s">
        <v>467</v>
      </c>
      <c r="G139" s="269">
        <v>45826</v>
      </c>
      <c r="H139" s="258">
        <v>45854</v>
      </c>
      <c r="I139" s="252"/>
      <c r="J139" s="252"/>
      <c r="K139" s="252"/>
      <c r="L139" s="308"/>
      <c r="M139" s="269"/>
      <c r="N139" s="252"/>
      <c r="O139" s="252"/>
      <c r="P139" s="252"/>
      <c r="Q139" s="252"/>
      <c r="R139" s="252"/>
      <c r="S139" s="252"/>
      <c r="T139" s="252"/>
      <c r="U139" s="252"/>
    </row>
    <row r="140" spans="1:21" ht="31" x14ac:dyDescent="0.35">
      <c r="A140" s="301">
        <v>14</v>
      </c>
      <c r="B140" s="301" t="s">
        <v>622</v>
      </c>
      <c r="C140" s="302" t="s">
        <v>623</v>
      </c>
      <c r="D140" s="305" t="s">
        <v>649</v>
      </c>
      <c r="E140" s="252" t="s">
        <v>650</v>
      </c>
      <c r="F140" s="252" t="s">
        <v>467</v>
      </c>
      <c r="G140" s="269">
        <v>45794</v>
      </c>
      <c r="H140" s="258">
        <f>L140</f>
        <v>45840</v>
      </c>
      <c r="I140" s="252"/>
      <c r="J140" s="252"/>
      <c r="K140" s="252" t="s">
        <v>468</v>
      </c>
      <c r="L140" s="269">
        <v>45840</v>
      </c>
      <c r="M140" s="269">
        <v>45863</v>
      </c>
      <c r="N140" s="260" t="s">
        <v>469</v>
      </c>
      <c r="O140" s="252">
        <f ca="1">O1-L140</f>
        <v>27</v>
      </c>
      <c r="P140" s="252"/>
      <c r="Q140" s="252"/>
      <c r="R140" s="252" t="s">
        <v>499</v>
      </c>
      <c r="S140" s="252" t="str">
        <f>N140</f>
        <v>CAT - III</v>
      </c>
      <c r="T140" s="252" t="s">
        <v>474</v>
      </c>
      <c r="U140" s="252"/>
    </row>
    <row r="141" spans="1:21" ht="31" x14ac:dyDescent="0.35">
      <c r="A141" s="301">
        <v>15</v>
      </c>
      <c r="B141" s="301" t="s">
        <v>622</v>
      </c>
      <c r="C141" s="302" t="s">
        <v>623</v>
      </c>
      <c r="D141" s="306" t="s">
        <v>651</v>
      </c>
      <c r="E141" s="252" t="s">
        <v>652</v>
      </c>
      <c r="F141" s="252" t="s">
        <v>467</v>
      </c>
      <c r="G141" s="269">
        <v>45821</v>
      </c>
      <c r="H141" s="258">
        <v>45853</v>
      </c>
      <c r="I141" s="252"/>
      <c r="J141" s="252"/>
      <c r="K141" s="252"/>
      <c r="L141" s="269"/>
      <c r="M141" s="269"/>
      <c r="N141" s="252"/>
      <c r="O141" s="252"/>
      <c r="P141" s="252"/>
      <c r="Q141" s="252"/>
      <c r="R141" s="252"/>
      <c r="S141" s="252"/>
      <c r="T141" s="252"/>
      <c r="U141" s="252"/>
    </row>
    <row r="142" spans="1:21" ht="46.5" x14ac:dyDescent="0.35">
      <c r="A142" s="301">
        <v>16</v>
      </c>
      <c r="B142" s="301" t="s">
        <v>622</v>
      </c>
      <c r="C142" s="302" t="s">
        <v>623</v>
      </c>
      <c r="D142" s="306" t="s">
        <v>653</v>
      </c>
      <c r="E142" s="252" t="s">
        <v>654</v>
      </c>
      <c r="F142" s="252" t="s">
        <v>467</v>
      </c>
      <c r="G142" s="269">
        <v>45835</v>
      </c>
      <c r="H142" s="258">
        <v>45848</v>
      </c>
      <c r="I142" s="252"/>
      <c r="J142" s="252"/>
      <c r="K142" s="252"/>
      <c r="L142" s="269"/>
      <c r="M142" s="269"/>
      <c r="N142" s="252"/>
      <c r="O142" s="252"/>
      <c r="P142" s="252"/>
      <c r="Q142" s="252"/>
      <c r="R142" s="252"/>
      <c r="S142" s="252"/>
      <c r="T142" s="252"/>
      <c r="U142" s="252"/>
    </row>
    <row r="143" spans="1:21" ht="31" x14ac:dyDescent="0.35">
      <c r="A143" s="301">
        <v>17</v>
      </c>
      <c r="B143" s="301" t="s">
        <v>622</v>
      </c>
      <c r="C143" s="302" t="s">
        <v>623</v>
      </c>
      <c r="D143" s="306" t="s">
        <v>655</v>
      </c>
      <c r="E143" s="252" t="s">
        <v>656</v>
      </c>
      <c r="F143" s="252" t="s">
        <v>477</v>
      </c>
      <c r="G143" s="269">
        <v>45842</v>
      </c>
      <c r="H143" s="258">
        <v>45853</v>
      </c>
      <c r="I143" s="252"/>
      <c r="J143" s="252"/>
      <c r="K143" s="252"/>
      <c r="L143" s="269"/>
      <c r="M143" s="269"/>
      <c r="N143" s="252"/>
      <c r="O143" s="252"/>
      <c r="P143" s="252"/>
      <c r="Q143" s="252"/>
      <c r="R143" s="252"/>
      <c r="S143" s="252"/>
      <c r="T143" s="252"/>
      <c r="U143" s="252"/>
    </row>
    <row r="144" spans="1:21" ht="31" x14ac:dyDescent="0.35">
      <c r="A144" s="301">
        <v>18</v>
      </c>
      <c r="B144" s="301" t="s">
        <v>622</v>
      </c>
      <c r="C144" s="302" t="s">
        <v>623</v>
      </c>
      <c r="D144" s="306" t="s">
        <v>657</v>
      </c>
      <c r="E144" s="252" t="s">
        <v>658</v>
      </c>
      <c r="F144" s="252" t="s">
        <v>467</v>
      </c>
      <c r="G144" s="269">
        <v>45853</v>
      </c>
      <c r="H144" s="258">
        <f t="shared" ref="H144:H151" si="4">G144</f>
        <v>45853</v>
      </c>
      <c r="I144" s="252"/>
      <c r="J144" s="252"/>
      <c r="K144" s="252"/>
      <c r="L144" s="269"/>
      <c r="M144" s="269"/>
      <c r="N144" s="252"/>
      <c r="O144" s="252"/>
      <c r="P144" s="252"/>
      <c r="Q144" s="252"/>
      <c r="R144" s="252"/>
      <c r="S144" s="252"/>
      <c r="T144" s="252"/>
      <c r="U144" s="252"/>
    </row>
    <row r="145" spans="1:21" ht="31" x14ac:dyDescent="0.35">
      <c r="A145" s="301">
        <v>19</v>
      </c>
      <c r="B145" s="301" t="s">
        <v>622</v>
      </c>
      <c r="C145" s="302" t="s">
        <v>623</v>
      </c>
      <c r="D145" s="306" t="s">
        <v>659</v>
      </c>
      <c r="E145" s="252" t="s">
        <v>660</v>
      </c>
      <c r="F145" s="252" t="s">
        <v>467</v>
      </c>
      <c r="G145" s="269">
        <v>45838</v>
      </c>
      <c r="H145" s="258">
        <v>45853</v>
      </c>
      <c r="I145" s="252"/>
      <c r="J145" s="252"/>
      <c r="K145" s="252"/>
      <c r="L145" s="269"/>
      <c r="M145" s="269"/>
      <c r="N145" s="252"/>
      <c r="O145" s="252"/>
      <c r="P145" s="252"/>
      <c r="Q145" s="252"/>
      <c r="R145" s="252"/>
      <c r="S145" s="252"/>
      <c r="T145" s="252"/>
      <c r="U145" s="252"/>
    </row>
    <row r="146" spans="1:21" ht="31" x14ac:dyDescent="0.35">
      <c r="A146" s="301">
        <v>20</v>
      </c>
      <c r="B146" s="301" t="s">
        <v>622</v>
      </c>
      <c r="C146" s="302" t="s">
        <v>623</v>
      </c>
      <c r="D146" s="306" t="s">
        <v>661</v>
      </c>
      <c r="E146" s="252" t="s">
        <v>662</v>
      </c>
      <c r="F146" s="252" t="s">
        <v>467</v>
      </c>
      <c r="G146" s="269">
        <v>45850</v>
      </c>
      <c r="H146" s="258">
        <v>45858</v>
      </c>
      <c r="I146" s="252"/>
      <c r="J146" s="252"/>
      <c r="K146" s="252"/>
      <c r="L146" s="269"/>
      <c r="M146" s="269"/>
      <c r="N146" s="252"/>
      <c r="O146" s="252"/>
      <c r="P146" s="252"/>
      <c r="Q146" s="252"/>
      <c r="R146" s="252"/>
      <c r="S146" s="252"/>
      <c r="T146" s="252"/>
      <c r="U146" s="252"/>
    </row>
    <row r="147" spans="1:21" ht="31" x14ac:dyDescent="0.35">
      <c r="A147" s="301">
        <v>21</v>
      </c>
      <c r="B147" s="301" t="s">
        <v>622</v>
      </c>
      <c r="C147" s="302" t="s">
        <v>623</v>
      </c>
      <c r="D147" s="306" t="s">
        <v>663</v>
      </c>
      <c r="E147" s="252" t="s">
        <v>664</v>
      </c>
      <c r="F147" s="252" t="s">
        <v>467</v>
      </c>
      <c r="G147" s="269">
        <v>45852</v>
      </c>
      <c r="H147" s="258">
        <v>45860</v>
      </c>
      <c r="I147" s="252"/>
      <c r="J147" s="252"/>
      <c r="K147" s="252"/>
      <c r="L147" s="269"/>
      <c r="M147" s="269"/>
      <c r="N147" s="252"/>
      <c r="O147" s="252"/>
      <c r="P147" s="252"/>
      <c r="Q147" s="252"/>
      <c r="R147" s="252"/>
      <c r="S147" s="252"/>
      <c r="T147" s="252"/>
      <c r="U147" s="252"/>
    </row>
    <row r="148" spans="1:21" ht="15.5" x14ac:dyDescent="0.35">
      <c r="A148" s="301">
        <v>22</v>
      </c>
      <c r="B148" s="301" t="s">
        <v>622</v>
      </c>
      <c r="C148" s="302" t="s">
        <v>623</v>
      </c>
      <c r="D148" s="306" t="s">
        <v>665</v>
      </c>
      <c r="E148" s="252" t="s">
        <v>666</v>
      </c>
      <c r="F148" s="252" t="s">
        <v>467</v>
      </c>
      <c r="G148" s="269">
        <v>45863</v>
      </c>
      <c r="H148" s="258">
        <f t="shared" si="4"/>
        <v>45863</v>
      </c>
      <c r="I148" s="252"/>
      <c r="J148" s="252"/>
      <c r="K148" s="252"/>
      <c r="L148" s="269"/>
      <c r="M148" s="269"/>
      <c r="N148" s="252"/>
      <c r="O148" s="252"/>
      <c r="P148" s="252"/>
      <c r="Q148" s="252"/>
      <c r="R148" s="252"/>
      <c r="S148" s="252"/>
      <c r="T148" s="252"/>
      <c r="U148" s="252"/>
    </row>
    <row r="149" spans="1:21" ht="31" x14ac:dyDescent="0.35">
      <c r="A149" s="301">
        <v>23</v>
      </c>
      <c r="B149" s="301" t="s">
        <v>622</v>
      </c>
      <c r="C149" s="302" t="s">
        <v>623</v>
      </c>
      <c r="D149" s="306" t="s">
        <v>667</v>
      </c>
      <c r="E149" s="252" t="s">
        <v>668</v>
      </c>
      <c r="F149" s="252" t="s">
        <v>467</v>
      </c>
      <c r="G149" s="269">
        <v>45854</v>
      </c>
      <c r="H149" s="258">
        <v>45860</v>
      </c>
      <c r="I149" s="252"/>
      <c r="J149" s="252"/>
      <c r="K149" s="252"/>
      <c r="L149" s="269"/>
      <c r="M149" s="269"/>
      <c r="N149" s="252"/>
      <c r="O149" s="252"/>
      <c r="P149" s="252"/>
      <c r="Q149" s="252"/>
      <c r="R149" s="252"/>
      <c r="S149" s="252"/>
      <c r="T149" s="252"/>
      <c r="U149" s="252"/>
    </row>
    <row r="150" spans="1:21" ht="31" x14ac:dyDescent="0.35">
      <c r="A150" s="301">
        <v>24</v>
      </c>
      <c r="B150" s="301" t="s">
        <v>622</v>
      </c>
      <c r="C150" s="302" t="s">
        <v>623</v>
      </c>
      <c r="D150" s="306" t="s">
        <v>669</v>
      </c>
      <c r="E150" s="252" t="s">
        <v>670</v>
      </c>
      <c r="F150" s="252" t="s">
        <v>467</v>
      </c>
      <c r="G150" s="269">
        <v>45860</v>
      </c>
      <c r="H150" s="258">
        <v>45864</v>
      </c>
      <c r="I150" s="252"/>
      <c r="J150" s="252"/>
      <c r="K150" s="252"/>
      <c r="L150" s="269"/>
      <c r="M150" s="269"/>
      <c r="N150" s="252"/>
      <c r="O150" s="252"/>
      <c r="P150" s="252"/>
      <c r="Q150" s="252"/>
      <c r="R150" s="252"/>
      <c r="S150" s="252"/>
      <c r="T150" s="252"/>
      <c r="U150" s="252"/>
    </row>
    <row r="151" spans="1:21" ht="31" x14ac:dyDescent="0.35">
      <c r="A151" s="301">
        <v>25</v>
      </c>
      <c r="B151" s="301" t="s">
        <v>622</v>
      </c>
      <c r="C151" s="302" t="s">
        <v>623</v>
      </c>
      <c r="D151" s="306" t="s">
        <v>671</v>
      </c>
      <c r="E151" s="252" t="s">
        <v>672</v>
      </c>
      <c r="F151" s="252" t="s">
        <v>467</v>
      </c>
      <c r="G151" s="269">
        <v>45866</v>
      </c>
      <c r="H151" s="258">
        <f t="shared" si="4"/>
        <v>45866</v>
      </c>
      <c r="I151" s="252"/>
      <c r="J151" s="252"/>
      <c r="K151" s="252"/>
      <c r="L151" s="269"/>
      <c r="M151" s="269"/>
      <c r="N151" s="252"/>
      <c r="O151" s="252"/>
      <c r="P151" s="252"/>
      <c r="Q151" s="252"/>
      <c r="R151" s="252"/>
      <c r="S151" s="252"/>
      <c r="T151" s="252"/>
      <c r="U151" s="252"/>
    </row>
    <row r="152" spans="1:21" ht="46.5" x14ac:dyDescent="0.35">
      <c r="A152" s="301">
        <v>1</v>
      </c>
      <c r="B152" s="301" t="s">
        <v>622</v>
      </c>
      <c r="C152" s="302" t="s">
        <v>673</v>
      </c>
      <c r="D152" s="305" t="s">
        <v>674</v>
      </c>
      <c r="E152" s="252" t="s">
        <v>675</v>
      </c>
      <c r="F152" s="252" t="s">
        <v>467</v>
      </c>
      <c r="G152" s="269">
        <v>45714</v>
      </c>
      <c r="H152" s="269">
        <f>L152</f>
        <v>45714</v>
      </c>
      <c r="I152" s="252"/>
      <c r="J152" s="252"/>
      <c r="K152" s="252" t="s">
        <v>468</v>
      </c>
      <c r="L152" s="269">
        <v>45714</v>
      </c>
      <c r="M152" s="269"/>
      <c r="N152" s="252"/>
      <c r="O152" s="252">
        <f ca="1">O1-L152</f>
        <v>153</v>
      </c>
      <c r="P152" s="252"/>
      <c r="Q152" s="252"/>
      <c r="R152" s="252" t="s">
        <v>492</v>
      </c>
      <c r="S152" s="252"/>
      <c r="T152" s="252" t="s">
        <v>471</v>
      </c>
      <c r="U152" s="252">
        <f ca="1">U1-L152</f>
        <v>153</v>
      </c>
    </row>
    <row r="153" spans="1:21" ht="31" x14ac:dyDescent="0.35">
      <c r="A153" s="301">
        <v>2</v>
      </c>
      <c r="B153" s="301" t="s">
        <v>622</v>
      </c>
      <c r="C153" s="302" t="s">
        <v>673</v>
      </c>
      <c r="D153" s="306" t="s">
        <v>676</v>
      </c>
      <c r="E153" s="252" t="s">
        <v>677</v>
      </c>
      <c r="F153" s="252" t="s">
        <v>467</v>
      </c>
      <c r="G153" s="269">
        <v>45877</v>
      </c>
      <c r="H153" s="258">
        <f>G153</f>
        <v>45877</v>
      </c>
      <c r="I153" s="252"/>
      <c r="J153" s="252"/>
      <c r="K153" s="252"/>
      <c r="L153" s="269"/>
      <c r="M153" s="269"/>
      <c r="N153" s="252"/>
      <c r="O153" s="252"/>
      <c r="P153" s="252"/>
      <c r="Q153" s="252"/>
      <c r="R153" s="252"/>
      <c r="S153" s="252"/>
      <c r="T153" s="252"/>
      <c r="U153" s="252"/>
    </row>
    <row r="154" spans="1:21" ht="31" x14ac:dyDescent="0.35">
      <c r="A154" s="301">
        <v>3</v>
      </c>
      <c r="B154" s="301" t="s">
        <v>622</v>
      </c>
      <c r="C154" s="302" t="s">
        <v>673</v>
      </c>
      <c r="D154" s="306" t="s">
        <v>678</v>
      </c>
      <c r="E154" s="252" t="s">
        <v>679</v>
      </c>
      <c r="F154" s="252" t="s">
        <v>467</v>
      </c>
      <c r="G154" s="269">
        <v>45935</v>
      </c>
      <c r="H154" s="258">
        <f>G154</f>
        <v>45935</v>
      </c>
      <c r="I154" s="252"/>
      <c r="J154" s="252"/>
      <c r="K154" s="252"/>
      <c r="L154" s="269"/>
      <c r="M154" s="269"/>
      <c r="N154" s="252"/>
      <c r="O154" s="252"/>
      <c r="P154" s="252"/>
      <c r="Q154" s="252"/>
      <c r="R154" s="252"/>
      <c r="S154" s="252"/>
      <c r="T154" s="252"/>
      <c r="U154" s="252"/>
    </row>
    <row r="155" spans="1:21" ht="15.5" x14ac:dyDescent="0.35">
      <c r="A155" s="370">
        <v>4</v>
      </c>
      <c r="B155" s="370" t="s">
        <v>622</v>
      </c>
      <c r="C155" s="412" t="s">
        <v>673</v>
      </c>
      <c r="D155" s="413" t="s">
        <v>680</v>
      </c>
      <c r="E155" s="370" t="s">
        <v>681</v>
      </c>
      <c r="F155" s="400" t="s">
        <v>467</v>
      </c>
      <c r="G155" s="410">
        <v>45754</v>
      </c>
      <c r="H155" s="411">
        <f>L155</f>
        <v>45773</v>
      </c>
      <c r="I155" s="400"/>
      <c r="J155" s="400"/>
      <c r="K155" s="260" t="s">
        <v>468</v>
      </c>
      <c r="L155" s="263">
        <v>45773</v>
      </c>
      <c r="M155" s="263">
        <v>45777</v>
      </c>
      <c r="N155" s="260" t="s">
        <v>469</v>
      </c>
      <c r="O155" s="260">
        <f t="shared" ref="O155:O160" si="5">M155-L155</f>
        <v>4</v>
      </c>
      <c r="P155" s="260">
        <f>L156-M155</f>
        <v>14</v>
      </c>
      <c r="Q155" s="370"/>
      <c r="R155" s="370" t="s">
        <v>492</v>
      </c>
      <c r="S155" s="370" t="s">
        <v>482</v>
      </c>
      <c r="T155" s="370" t="s">
        <v>398</v>
      </c>
      <c r="U155" s="370">
        <f>M156-L156</f>
        <v>21</v>
      </c>
    </row>
    <row r="156" spans="1:21" ht="15.5" x14ac:dyDescent="0.35">
      <c r="A156" s="370"/>
      <c r="B156" s="370"/>
      <c r="C156" s="412"/>
      <c r="D156" s="413"/>
      <c r="E156" s="370"/>
      <c r="F156" s="400"/>
      <c r="G156" s="410"/>
      <c r="H156" s="411"/>
      <c r="I156" s="400"/>
      <c r="J156" s="400"/>
      <c r="K156" s="260" t="s">
        <v>470</v>
      </c>
      <c r="L156" s="263">
        <v>45791</v>
      </c>
      <c r="M156" s="263">
        <v>45812</v>
      </c>
      <c r="N156" s="260" t="s">
        <v>482</v>
      </c>
      <c r="O156" s="260">
        <f t="shared" si="5"/>
        <v>21</v>
      </c>
      <c r="P156" s="260"/>
      <c r="Q156" s="370"/>
      <c r="R156" s="370"/>
      <c r="S156" s="370"/>
      <c r="T156" s="370"/>
      <c r="U156" s="370"/>
    </row>
    <row r="157" spans="1:21" ht="15.5" x14ac:dyDescent="0.35">
      <c r="A157" s="400">
        <v>5</v>
      </c>
      <c r="B157" s="400" t="s">
        <v>622</v>
      </c>
      <c r="C157" s="416" t="s">
        <v>673</v>
      </c>
      <c r="D157" s="422" t="s">
        <v>682</v>
      </c>
      <c r="E157" s="400" t="s">
        <v>683</v>
      </c>
      <c r="F157" s="400" t="s">
        <v>467</v>
      </c>
      <c r="G157" s="411">
        <v>45754</v>
      </c>
      <c r="H157" s="411">
        <f>L157</f>
        <v>45791</v>
      </c>
      <c r="I157" s="400"/>
      <c r="J157" s="400"/>
      <c r="K157" s="260" t="s">
        <v>468</v>
      </c>
      <c r="L157" s="263">
        <v>45791</v>
      </c>
      <c r="M157" s="263">
        <v>45809</v>
      </c>
      <c r="N157" s="260" t="s">
        <v>469</v>
      </c>
      <c r="O157" s="260">
        <f t="shared" si="5"/>
        <v>18</v>
      </c>
      <c r="P157" s="260">
        <f>L158-M157</f>
        <v>3</v>
      </c>
      <c r="Q157" s="400"/>
      <c r="R157" s="400" t="s">
        <v>499</v>
      </c>
      <c r="S157" s="400" t="str">
        <f>N160</f>
        <v>CAT - II</v>
      </c>
      <c r="T157" s="400" t="s">
        <v>474</v>
      </c>
      <c r="U157" s="400">
        <f ca="1">U1-L157</f>
        <v>76</v>
      </c>
    </row>
    <row r="158" spans="1:21" ht="15.5" x14ac:dyDescent="0.35">
      <c r="A158" s="415"/>
      <c r="B158" s="400"/>
      <c r="C158" s="420"/>
      <c r="D158" s="423"/>
      <c r="E158" s="415"/>
      <c r="F158" s="415"/>
      <c r="G158" s="418"/>
      <c r="H158" s="418"/>
      <c r="I158" s="400"/>
      <c r="J158" s="400"/>
      <c r="K158" s="260" t="s">
        <v>470</v>
      </c>
      <c r="L158" s="263">
        <v>45812</v>
      </c>
      <c r="M158" s="263">
        <v>45820</v>
      </c>
      <c r="N158" s="260" t="s">
        <v>469</v>
      </c>
      <c r="O158" s="260">
        <f t="shared" si="5"/>
        <v>8</v>
      </c>
      <c r="P158" s="260">
        <f>L159-M158</f>
        <v>1</v>
      </c>
      <c r="Q158" s="400"/>
      <c r="R158" s="415"/>
      <c r="S158" s="415"/>
      <c r="T158" s="415"/>
      <c r="U158" s="415"/>
    </row>
    <row r="159" spans="1:21" ht="15.5" x14ac:dyDescent="0.35">
      <c r="A159" s="415"/>
      <c r="B159" s="400"/>
      <c r="C159" s="420"/>
      <c r="D159" s="423"/>
      <c r="E159" s="415"/>
      <c r="F159" s="415"/>
      <c r="G159" s="418"/>
      <c r="H159" s="418"/>
      <c r="I159" s="400"/>
      <c r="J159" s="400"/>
      <c r="K159" s="260" t="s">
        <v>472</v>
      </c>
      <c r="L159" s="263">
        <v>45821</v>
      </c>
      <c r="M159" s="263">
        <v>45830</v>
      </c>
      <c r="N159" s="260" t="s">
        <v>482</v>
      </c>
      <c r="O159" s="260">
        <f t="shared" si="5"/>
        <v>9</v>
      </c>
      <c r="P159" s="260"/>
      <c r="Q159" s="400"/>
      <c r="R159" s="415"/>
      <c r="S159" s="415"/>
      <c r="T159" s="415"/>
      <c r="U159" s="415"/>
    </row>
    <row r="160" spans="1:21" ht="15.5" x14ac:dyDescent="0.35">
      <c r="A160" s="401"/>
      <c r="B160" s="264"/>
      <c r="C160" s="421"/>
      <c r="D160" s="405"/>
      <c r="E160" s="401"/>
      <c r="F160" s="401"/>
      <c r="G160" s="419"/>
      <c r="H160" s="419"/>
      <c r="I160" s="264"/>
      <c r="J160" s="264"/>
      <c r="K160" s="260" t="s">
        <v>473</v>
      </c>
      <c r="L160" s="263">
        <v>45858</v>
      </c>
      <c r="M160" s="263">
        <v>45863</v>
      </c>
      <c r="N160" s="260" t="s">
        <v>491</v>
      </c>
      <c r="O160" s="260">
        <f t="shared" si="5"/>
        <v>5</v>
      </c>
      <c r="P160" s="260"/>
      <c r="Q160" s="264"/>
      <c r="R160" s="401"/>
      <c r="S160" s="401"/>
      <c r="T160" s="401"/>
      <c r="U160" s="401"/>
    </row>
    <row r="161" spans="1:21" ht="31" x14ac:dyDescent="0.35">
      <c r="A161" s="301">
        <v>6</v>
      </c>
      <c r="B161" s="301" t="s">
        <v>622</v>
      </c>
      <c r="C161" s="302" t="s">
        <v>673</v>
      </c>
      <c r="D161" s="306" t="s">
        <v>684</v>
      </c>
      <c r="E161" s="252" t="s">
        <v>685</v>
      </c>
      <c r="F161" s="252" t="s">
        <v>467</v>
      </c>
      <c r="G161" s="269">
        <v>45811</v>
      </c>
      <c r="H161" s="269">
        <v>45852</v>
      </c>
      <c r="I161" s="252"/>
      <c r="J161" s="252"/>
      <c r="K161" s="252"/>
      <c r="L161" s="269"/>
      <c r="M161" s="269"/>
      <c r="N161" s="252"/>
      <c r="O161" s="252"/>
      <c r="P161" s="252"/>
      <c r="Q161" s="252"/>
      <c r="R161" s="252"/>
      <c r="S161" s="252"/>
      <c r="T161" s="252"/>
      <c r="U161" s="252"/>
    </row>
    <row r="162" spans="1:21" ht="31" x14ac:dyDescent="0.35">
      <c r="A162" s="301">
        <v>7</v>
      </c>
      <c r="B162" s="301" t="s">
        <v>622</v>
      </c>
      <c r="C162" s="302" t="s">
        <v>673</v>
      </c>
      <c r="D162" s="305" t="s">
        <v>686</v>
      </c>
      <c r="E162" s="252" t="s">
        <v>687</v>
      </c>
      <c r="F162" s="252" t="s">
        <v>467</v>
      </c>
      <c r="G162" s="269">
        <v>45808</v>
      </c>
      <c r="H162" s="269">
        <v>45852</v>
      </c>
      <c r="I162" s="252"/>
      <c r="J162" s="252"/>
      <c r="K162" s="252" t="s">
        <v>468</v>
      </c>
      <c r="L162" s="269">
        <v>45856</v>
      </c>
      <c r="M162" s="269">
        <v>45863</v>
      </c>
      <c r="N162" s="260" t="s">
        <v>469</v>
      </c>
      <c r="O162" s="252"/>
      <c r="P162" s="252"/>
      <c r="Q162" s="252"/>
      <c r="R162" s="252" t="s">
        <v>499</v>
      </c>
      <c r="S162" s="252" t="str">
        <f>N162</f>
        <v>CAT - III</v>
      </c>
      <c r="T162" s="252" t="s">
        <v>474</v>
      </c>
      <c r="U162" s="252"/>
    </row>
    <row r="163" spans="1:21" ht="31" x14ac:dyDescent="0.35">
      <c r="A163" s="301">
        <v>8</v>
      </c>
      <c r="B163" s="301" t="s">
        <v>622</v>
      </c>
      <c r="C163" s="302" t="s">
        <v>673</v>
      </c>
      <c r="D163" s="306" t="s">
        <v>688</v>
      </c>
      <c r="E163" s="252" t="s">
        <v>689</v>
      </c>
      <c r="F163" s="252" t="s">
        <v>467</v>
      </c>
      <c r="G163" s="269">
        <v>45831</v>
      </c>
      <c r="H163" s="269">
        <v>45854</v>
      </c>
      <c r="I163" s="252"/>
      <c r="J163" s="252"/>
      <c r="K163" s="252"/>
      <c r="L163" s="269"/>
      <c r="M163" s="269"/>
      <c r="N163" s="252"/>
      <c r="O163" s="252"/>
      <c r="P163" s="252"/>
      <c r="Q163" s="252"/>
      <c r="R163" s="252"/>
      <c r="S163" s="252"/>
      <c r="T163" s="252"/>
      <c r="U163" s="252"/>
    </row>
    <row r="164" spans="1:21" ht="46.5" x14ac:dyDescent="0.35">
      <c r="A164" s="301">
        <v>9</v>
      </c>
      <c r="B164" s="301" t="s">
        <v>622</v>
      </c>
      <c r="C164" s="302" t="s">
        <v>673</v>
      </c>
      <c r="D164" s="306" t="s">
        <v>690</v>
      </c>
      <c r="E164" s="252" t="s">
        <v>691</v>
      </c>
      <c r="F164" s="252" t="s">
        <v>477</v>
      </c>
      <c r="G164" s="269">
        <v>45829</v>
      </c>
      <c r="H164" s="269">
        <v>45852</v>
      </c>
      <c r="I164" s="252"/>
      <c r="J164" s="252"/>
      <c r="K164" s="252"/>
      <c r="L164" s="269"/>
      <c r="M164" s="269"/>
      <c r="N164" s="252"/>
      <c r="O164" s="252"/>
      <c r="P164" s="252"/>
      <c r="Q164" s="252"/>
      <c r="R164" s="252"/>
      <c r="S164" s="252"/>
      <c r="T164" s="252"/>
      <c r="U164" s="252"/>
    </row>
    <row r="165" spans="1:21" ht="15.5" x14ac:dyDescent="0.35">
      <c r="A165" s="400">
        <v>10</v>
      </c>
      <c r="B165" s="400" t="s">
        <v>622</v>
      </c>
      <c r="C165" s="416" t="s">
        <v>673</v>
      </c>
      <c r="D165" s="417" t="s">
        <v>692</v>
      </c>
      <c r="E165" s="400" t="s">
        <v>693</v>
      </c>
      <c r="F165" s="400" t="s">
        <v>467</v>
      </c>
      <c r="G165" s="411">
        <v>45783</v>
      </c>
      <c r="H165" s="411">
        <f>L165</f>
        <v>45792</v>
      </c>
      <c r="I165" s="400"/>
      <c r="J165" s="400"/>
      <c r="K165" s="260" t="s">
        <v>468</v>
      </c>
      <c r="L165" s="263">
        <v>45792</v>
      </c>
      <c r="M165" s="263">
        <v>45813</v>
      </c>
      <c r="N165" s="260" t="s">
        <v>469</v>
      </c>
      <c r="O165" s="260">
        <f>M165-L165</f>
        <v>21</v>
      </c>
      <c r="P165" s="260">
        <f>L166-M165</f>
        <v>0</v>
      </c>
      <c r="Q165" s="414">
        <f>M165</f>
        <v>45813</v>
      </c>
      <c r="R165" s="400" t="s">
        <v>492</v>
      </c>
      <c r="S165" s="400" t="str">
        <f>N167</f>
        <v>CAT - I</v>
      </c>
      <c r="T165" s="400" t="s">
        <v>398</v>
      </c>
      <c r="U165" s="260">
        <f ca="1">U1-L165</f>
        <v>75</v>
      </c>
    </row>
    <row r="166" spans="1:21" ht="15.5" x14ac:dyDescent="0.35">
      <c r="A166" s="400"/>
      <c r="B166" s="400"/>
      <c r="C166" s="416"/>
      <c r="D166" s="417"/>
      <c r="E166" s="400"/>
      <c r="F166" s="400"/>
      <c r="G166" s="411"/>
      <c r="H166" s="411"/>
      <c r="I166" s="400"/>
      <c r="J166" s="400"/>
      <c r="K166" s="260" t="s">
        <v>470</v>
      </c>
      <c r="L166" s="263">
        <v>45813</v>
      </c>
      <c r="M166" s="263">
        <v>45821</v>
      </c>
      <c r="N166" s="260" t="s">
        <v>491</v>
      </c>
      <c r="O166" s="260">
        <f>M166-L166</f>
        <v>8</v>
      </c>
      <c r="P166" s="260">
        <f>L167-M166</f>
        <v>6</v>
      </c>
      <c r="Q166" s="414"/>
      <c r="R166" s="400"/>
      <c r="S166" s="400"/>
      <c r="T166" s="400"/>
      <c r="U166" s="260"/>
    </row>
    <row r="167" spans="1:21" ht="15.5" x14ac:dyDescent="0.35">
      <c r="A167" s="400"/>
      <c r="B167" s="400"/>
      <c r="C167" s="416"/>
      <c r="D167" s="417"/>
      <c r="E167" s="400"/>
      <c r="F167" s="400"/>
      <c r="G167" s="411"/>
      <c r="H167" s="411"/>
      <c r="I167" s="400"/>
      <c r="J167" s="400"/>
      <c r="K167" s="260" t="s">
        <v>472</v>
      </c>
      <c r="L167" s="263">
        <v>45827</v>
      </c>
      <c r="M167" s="263">
        <v>45830</v>
      </c>
      <c r="N167" s="260" t="s">
        <v>482</v>
      </c>
      <c r="O167" s="260">
        <f>M167-L167</f>
        <v>3</v>
      </c>
      <c r="P167" s="260"/>
      <c r="Q167" s="414"/>
      <c r="R167" s="400"/>
      <c r="S167" s="400"/>
      <c r="T167" s="400"/>
      <c r="U167" s="260"/>
    </row>
    <row r="168" spans="1:21" ht="31" x14ac:dyDescent="0.35">
      <c r="A168" s="301">
        <v>11</v>
      </c>
      <c r="B168" s="301" t="s">
        <v>622</v>
      </c>
      <c r="C168" s="302" t="s">
        <v>673</v>
      </c>
      <c r="D168" s="306" t="s">
        <v>694</v>
      </c>
      <c r="E168" s="252" t="s">
        <v>695</v>
      </c>
      <c r="F168" s="252" t="s">
        <v>467</v>
      </c>
      <c r="G168" s="269">
        <v>45783</v>
      </c>
      <c r="H168" s="269">
        <f>L168</f>
        <v>45791</v>
      </c>
      <c r="I168" s="252"/>
      <c r="J168" s="252"/>
      <c r="K168" s="252" t="s">
        <v>468</v>
      </c>
      <c r="L168" s="269">
        <v>45791</v>
      </c>
      <c r="M168" s="269">
        <v>45842</v>
      </c>
      <c r="N168" s="252" t="s">
        <v>469</v>
      </c>
      <c r="O168" s="252">
        <f ca="1">O1-L168</f>
        <v>76</v>
      </c>
      <c r="P168" s="252">
        <f ca="1">O1-M168</f>
        <v>25</v>
      </c>
      <c r="Q168" s="252"/>
      <c r="R168" s="252" t="s">
        <v>499</v>
      </c>
      <c r="S168" s="252" t="str">
        <f>N168</f>
        <v>CAT - III</v>
      </c>
      <c r="T168" s="252" t="s">
        <v>474</v>
      </c>
      <c r="U168" s="252">
        <f ca="1">U1-L168</f>
        <v>76</v>
      </c>
    </row>
    <row r="169" spans="1:21" ht="15.5" x14ac:dyDescent="0.35">
      <c r="A169" s="370">
        <v>12</v>
      </c>
      <c r="B169" s="370" t="s">
        <v>622</v>
      </c>
      <c r="C169" s="412" t="s">
        <v>673</v>
      </c>
      <c r="D169" s="413" t="s">
        <v>696</v>
      </c>
      <c r="E169" s="370" t="s">
        <v>697</v>
      </c>
      <c r="F169" s="370" t="s">
        <v>467</v>
      </c>
      <c r="G169" s="410">
        <v>45755</v>
      </c>
      <c r="H169" s="411">
        <f>L169</f>
        <v>45755</v>
      </c>
      <c r="I169" s="370"/>
      <c r="J169" s="370"/>
      <c r="K169" s="260" t="s">
        <v>468</v>
      </c>
      <c r="L169" s="263">
        <v>45755</v>
      </c>
      <c r="M169" s="263">
        <v>45770</v>
      </c>
      <c r="N169" s="260" t="s">
        <v>469</v>
      </c>
      <c r="O169" s="260">
        <f t="shared" ref="O169:O174" si="6">M169-L169</f>
        <v>15</v>
      </c>
      <c r="P169" s="260">
        <f>L171-M169</f>
        <v>55</v>
      </c>
      <c r="Q169" s="370"/>
      <c r="R169" s="370" t="s">
        <v>492</v>
      </c>
      <c r="S169" s="370" t="str">
        <f>N171</f>
        <v>CAT - I</v>
      </c>
      <c r="T169" s="370" t="s">
        <v>398</v>
      </c>
      <c r="U169" s="370">
        <f ca="1">U1-L171</f>
        <v>42</v>
      </c>
    </row>
    <row r="170" spans="1:21" ht="15.5" x14ac:dyDescent="0.35">
      <c r="A170" s="370"/>
      <c r="B170" s="370"/>
      <c r="C170" s="412"/>
      <c r="D170" s="413"/>
      <c r="E170" s="370"/>
      <c r="F170" s="370"/>
      <c r="G170" s="410"/>
      <c r="H170" s="411"/>
      <c r="I170" s="370"/>
      <c r="J170" s="370"/>
      <c r="K170" s="260" t="s">
        <v>470</v>
      </c>
      <c r="L170" s="263">
        <v>45788</v>
      </c>
      <c r="M170" s="263">
        <v>45809</v>
      </c>
      <c r="N170" s="260" t="s">
        <v>469</v>
      </c>
      <c r="O170" s="260">
        <f t="shared" si="6"/>
        <v>21</v>
      </c>
      <c r="P170" s="260">
        <f>L171-M170</f>
        <v>16</v>
      </c>
      <c r="Q170" s="370"/>
      <c r="R170" s="370"/>
      <c r="S170" s="370"/>
      <c r="T170" s="370"/>
      <c r="U170" s="370"/>
    </row>
    <row r="171" spans="1:21" ht="15.5" x14ac:dyDescent="0.35">
      <c r="A171" s="370"/>
      <c r="B171" s="370"/>
      <c r="C171" s="412"/>
      <c r="D171" s="413"/>
      <c r="E171" s="370"/>
      <c r="F171" s="370"/>
      <c r="G171" s="410"/>
      <c r="H171" s="411"/>
      <c r="I171" s="370"/>
      <c r="J171" s="370"/>
      <c r="K171" s="260" t="s">
        <v>470</v>
      </c>
      <c r="L171" s="263">
        <v>45825</v>
      </c>
      <c r="M171" s="263">
        <v>45830</v>
      </c>
      <c r="N171" s="260" t="s">
        <v>482</v>
      </c>
      <c r="O171" s="260">
        <f t="shared" si="6"/>
        <v>5</v>
      </c>
      <c r="P171" s="260">
        <f ca="1">O1-M171</f>
        <v>37</v>
      </c>
      <c r="Q171" s="370"/>
      <c r="R171" s="370"/>
      <c r="S171" s="370"/>
      <c r="T171" s="370"/>
      <c r="U171" s="370"/>
    </row>
    <row r="172" spans="1:21" ht="15.5" x14ac:dyDescent="0.35">
      <c r="A172" s="370">
        <v>13</v>
      </c>
      <c r="B172" s="370" t="s">
        <v>622</v>
      </c>
      <c r="C172" s="412" t="s">
        <v>673</v>
      </c>
      <c r="D172" s="413" t="s">
        <v>395</v>
      </c>
      <c r="E172" s="370" t="s">
        <v>698</v>
      </c>
      <c r="F172" s="370" t="s">
        <v>467</v>
      </c>
      <c r="G172" s="410">
        <v>45755</v>
      </c>
      <c r="H172" s="411">
        <f>L172</f>
        <v>45755</v>
      </c>
      <c r="I172" s="370"/>
      <c r="J172" s="370"/>
      <c r="K172" s="260" t="s">
        <v>468</v>
      </c>
      <c r="L172" s="263">
        <v>45755</v>
      </c>
      <c r="M172" s="263">
        <v>45770</v>
      </c>
      <c r="N172" s="260" t="s">
        <v>469</v>
      </c>
      <c r="O172" s="260">
        <f t="shared" si="6"/>
        <v>15</v>
      </c>
      <c r="P172" s="260">
        <f>L174-M172</f>
        <v>55</v>
      </c>
      <c r="Q172" s="370"/>
      <c r="R172" s="370" t="s">
        <v>492</v>
      </c>
      <c r="S172" s="370" t="str">
        <f>N174</f>
        <v>CAT - I</v>
      </c>
      <c r="T172" s="370" t="s">
        <v>398</v>
      </c>
      <c r="U172" s="370">
        <f ca="1">U1-L174</f>
        <v>42</v>
      </c>
    </row>
    <row r="173" spans="1:21" ht="15.5" x14ac:dyDescent="0.35">
      <c r="A173" s="370"/>
      <c r="B173" s="370"/>
      <c r="C173" s="412"/>
      <c r="D173" s="413"/>
      <c r="E173" s="370"/>
      <c r="F173" s="370"/>
      <c r="G173" s="410"/>
      <c r="H173" s="411"/>
      <c r="I173" s="370"/>
      <c r="J173" s="370"/>
      <c r="K173" s="260" t="s">
        <v>470</v>
      </c>
      <c r="L173" s="263">
        <v>45787</v>
      </c>
      <c r="M173" s="263">
        <v>45809</v>
      </c>
      <c r="N173" s="260" t="s">
        <v>469</v>
      </c>
      <c r="O173" s="260">
        <f t="shared" si="6"/>
        <v>22</v>
      </c>
      <c r="P173" s="260">
        <f>L174-M173</f>
        <v>16</v>
      </c>
      <c r="Q173" s="370"/>
      <c r="R173" s="370"/>
      <c r="S173" s="370"/>
      <c r="T173" s="370"/>
      <c r="U173" s="370"/>
    </row>
    <row r="174" spans="1:21" ht="15.5" x14ac:dyDescent="0.35">
      <c r="A174" s="370"/>
      <c r="B174" s="370"/>
      <c r="C174" s="412"/>
      <c r="D174" s="413"/>
      <c r="E174" s="370"/>
      <c r="F174" s="370"/>
      <c r="G174" s="410"/>
      <c r="H174" s="411"/>
      <c r="I174" s="370"/>
      <c r="J174" s="370"/>
      <c r="K174" s="260" t="s">
        <v>472</v>
      </c>
      <c r="L174" s="263">
        <v>45825</v>
      </c>
      <c r="M174" s="263">
        <v>45830</v>
      </c>
      <c r="N174" s="260" t="s">
        <v>482</v>
      </c>
      <c r="O174" s="260">
        <f t="shared" si="6"/>
        <v>5</v>
      </c>
      <c r="P174" s="260"/>
      <c r="Q174" s="370"/>
      <c r="R174" s="370"/>
      <c r="S174" s="370"/>
      <c r="T174" s="370"/>
      <c r="U174" s="370"/>
    </row>
    <row r="175" spans="1:21" ht="31" x14ac:dyDescent="0.35">
      <c r="A175" s="301">
        <v>14</v>
      </c>
      <c r="B175" s="301" t="s">
        <v>622</v>
      </c>
      <c r="C175" s="302" t="s">
        <v>673</v>
      </c>
      <c r="D175" s="306" t="s">
        <v>699</v>
      </c>
      <c r="E175" s="252" t="s">
        <v>700</v>
      </c>
      <c r="F175" s="252" t="s">
        <v>477</v>
      </c>
      <c r="G175" s="269">
        <v>45807</v>
      </c>
      <c r="H175" s="258">
        <v>45856</v>
      </c>
      <c r="I175" s="252"/>
      <c r="J175" s="252"/>
      <c r="K175" s="252"/>
      <c r="L175" s="269"/>
      <c r="M175" s="269"/>
      <c r="N175" s="252"/>
      <c r="O175" s="252"/>
      <c r="P175" s="252"/>
      <c r="Q175" s="252"/>
      <c r="R175" s="252"/>
      <c r="S175" s="252"/>
      <c r="T175" s="252"/>
      <c r="U175" s="252"/>
    </row>
    <row r="176" spans="1:21" ht="31" x14ac:dyDescent="0.35">
      <c r="A176" s="301">
        <v>15</v>
      </c>
      <c r="B176" s="301" t="s">
        <v>622</v>
      </c>
      <c r="C176" s="302" t="s">
        <v>673</v>
      </c>
      <c r="D176" s="306" t="s">
        <v>701</v>
      </c>
      <c r="E176" s="252" t="s">
        <v>702</v>
      </c>
      <c r="F176" s="252" t="s">
        <v>477</v>
      </c>
      <c r="G176" s="269">
        <v>45845</v>
      </c>
      <c r="H176" s="258">
        <v>45856</v>
      </c>
      <c r="I176" s="252"/>
      <c r="J176" s="252"/>
      <c r="K176" s="252"/>
      <c r="L176" s="269"/>
      <c r="M176" s="269"/>
      <c r="N176" s="252"/>
      <c r="O176" s="252"/>
      <c r="P176" s="252"/>
      <c r="Q176" s="252"/>
      <c r="R176" s="252"/>
      <c r="S176" s="252"/>
      <c r="T176" s="252"/>
      <c r="U176" s="252"/>
    </row>
    <row r="177" spans="1:21" ht="15.5" x14ac:dyDescent="0.35">
      <c r="A177" s="381">
        <v>1</v>
      </c>
      <c r="B177" s="381" t="s">
        <v>703</v>
      </c>
      <c r="C177" s="391" t="s">
        <v>704</v>
      </c>
      <c r="D177" s="397" t="s">
        <v>705</v>
      </c>
      <c r="E177" s="374" t="s">
        <v>706</v>
      </c>
      <c r="F177" s="374" t="s">
        <v>467</v>
      </c>
      <c r="G177" s="398">
        <v>45803</v>
      </c>
      <c r="H177" s="398">
        <f>L177</f>
        <v>45813</v>
      </c>
      <c r="I177" s="374"/>
      <c r="J177" s="374"/>
      <c r="K177" s="252" t="s">
        <v>468</v>
      </c>
      <c r="L177" s="269">
        <v>45813</v>
      </c>
      <c r="M177" s="269">
        <v>45832</v>
      </c>
      <c r="N177" s="252" t="s">
        <v>469</v>
      </c>
      <c r="O177" s="252">
        <f>M177-L177</f>
        <v>19</v>
      </c>
      <c r="P177" s="252">
        <f>L178-M177</f>
        <v>-45832</v>
      </c>
      <c r="Q177" s="374"/>
      <c r="R177" s="374" t="s">
        <v>492</v>
      </c>
      <c r="S177" s="374">
        <f>N178</f>
        <v>0</v>
      </c>
      <c r="T177" s="374" t="s">
        <v>474</v>
      </c>
      <c r="U177" s="374">
        <f ca="1">U1-L177</f>
        <v>54</v>
      </c>
    </row>
    <row r="178" spans="1:21" ht="15.5" x14ac:dyDescent="0.35">
      <c r="A178" s="390"/>
      <c r="B178" s="390"/>
      <c r="C178" s="392"/>
      <c r="D178" s="409"/>
      <c r="E178" s="380"/>
      <c r="F178" s="380"/>
      <c r="G178" s="408"/>
      <c r="H178" s="408"/>
      <c r="I178" s="374"/>
      <c r="J178" s="374"/>
      <c r="K178" s="252"/>
      <c r="L178" s="269"/>
      <c r="M178" s="269"/>
      <c r="N178" s="252"/>
      <c r="O178" s="252">
        <f ca="1">O1-L178</f>
        <v>45867</v>
      </c>
      <c r="P178" s="252"/>
      <c r="Q178" s="380"/>
      <c r="R178" s="380"/>
      <c r="S178" s="380"/>
      <c r="T178" s="380"/>
      <c r="U178" s="380"/>
    </row>
    <row r="179" spans="1:21" ht="15.5" x14ac:dyDescent="0.35">
      <c r="A179" s="382"/>
      <c r="B179" s="382"/>
      <c r="C179" s="393"/>
      <c r="D179" s="389"/>
      <c r="E179" s="375"/>
      <c r="F179" s="375"/>
      <c r="G179" s="399"/>
      <c r="H179" s="399"/>
      <c r="I179" s="270"/>
      <c r="J179" s="270"/>
      <c r="K179" s="252"/>
      <c r="L179" s="269"/>
      <c r="M179" s="269"/>
      <c r="N179" s="252"/>
      <c r="O179" s="252"/>
      <c r="P179" s="252"/>
      <c r="Q179" s="375"/>
      <c r="R179" s="375"/>
      <c r="S179" s="375"/>
      <c r="T179" s="375"/>
      <c r="U179" s="375"/>
    </row>
    <row r="180" spans="1:21" ht="15.5" x14ac:dyDescent="0.35">
      <c r="A180" s="400">
        <v>2</v>
      </c>
      <c r="B180" s="400" t="s">
        <v>703</v>
      </c>
      <c r="C180" s="402" t="s">
        <v>704</v>
      </c>
      <c r="D180" s="404" t="s">
        <v>856</v>
      </c>
      <c r="E180" s="400" t="s">
        <v>707</v>
      </c>
      <c r="F180" s="400" t="s">
        <v>467</v>
      </c>
      <c r="G180" s="406">
        <v>45817</v>
      </c>
      <c r="H180" s="406">
        <f>L180</f>
        <v>45812</v>
      </c>
      <c r="I180" s="400"/>
      <c r="J180" s="400"/>
      <c r="K180" s="260" t="s">
        <v>468</v>
      </c>
      <c r="L180" s="263">
        <v>45812</v>
      </c>
      <c r="M180" s="263">
        <v>45832</v>
      </c>
      <c r="N180" s="260" t="s">
        <v>469</v>
      </c>
      <c r="O180" s="260">
        <f>M180-L180</f>
        <v>20</v>
      </c>
      <c r="P180" s="260">
        <f ca="1">O1-M180</f>
        <v>35</v>
      </c>
      <c r="Q180" s="260"/>
      <c r="R180" s="400" t="s">
        <v>398</v>
      </c>
      <c r="S180" s="400" t="str">
        <f>N181</f>
        <v>CAT - I</v>
      </c>
      <c r="T180" s="400" t="s">
        <v>398</v>
      </c>
      <c r="U180" s="400"/>
    </row>
    <row r="181" spans="1:21" ht="15.5" x14ac:dyDescent="0.35">
      <c r="A181" s="401"/>
      <c r="B181" s="401"/>
      <c r="C181" s="403"/>
      <c r="D181" s="405"/>
      <c r="E181" s="401"/>
      <c r="F181" s="401"/>
      <c r="G181" s="407"/>
      <c r="H181" s="407"/>
      <c r="I181" s="401"/>
      <c r="J181" s="401"/>
      <c r="K181" s="260" t="s">
        <v>470</v>
      </c>
      <c r="L181" s="263">
        <v>45855</v>
      </c>
      <c r="M181" s="263">
        <v>45862</v>
      </c>
      <c r="N181" s="260" t="s">
        <v>482</v>
      </c>
      <c r="O181" s="260"/>
      <c r="P181" s="260"/>
      <c r="Q181" s="260"/>
      <c r="R181" s="401"/>
      <c r="S181" s="401"/>
      <c r="T181" s="401"/>
      <c r="U181" s="401"/>
    </row>
    <row r="182" spans="1:21" ht="31" x14ac:dyDescent="0.35">
      <c r="A182" s="301">
        <v>3</v>
      </c>
      <c r="B182" s="301" t="s">
        <v>703</v>
      </c>
      <c r="C182" s="302" t="s">
        <v>704</v>
      </c>
      <c r="D182" s="306" t="s">
        <v>708</v>
      </c>
      <c r="E182" s="252" t="s">
        <v>709</v>
      </c>
      <c r="F182" s="252" t="s">
        <v>467</v>
      </c>
      <c r="G182" s="311">
        <v>45816</v>
      </c>
      <c r="H182" s="311">
        <v>45854</v>
      </c>
      <c r="I182" s="252"/>
      <c r="J182" s="252"/>
      <c r="K182" s="252"/>
      <c r="L182" s="269"/>
      <c r="M182" s="269"/>
      <c r="N182" s="252"/>
      <c r="O182" s="252"/>
      <c r="P182" s="252"/>
      <c r="Q182" s="252"/>
      <c r="R182" s="252"/>
      <c r="S182" s="252"/>
      <c r="T182" s="252"/>
      <c r="U182" s="252"/>
    </row>
    <row r="183" spans="1:21" ht="15.5" x14ac:dyDescent="0.35">
      <c r="A183" s="381">
        <v>4</v>
      </c>
      <c r="B183" s="381" t="s">
        <v>703</v>
      </c>
      <c r="C183" s="391" t="s">
        <v>704</v>
      </c>
      <c r="D183" s="397" t="s">
        <v>710</v>
      </c>
      <c r="E183" s="374" t="s">
        <v>711</v>
      </c>
      <c r="F183" s="374" t="s">
        <v>467</v>
      </c>
      <c r="G183" s="398">
        <v>45805</v>
      </c>
      <c r="H183" s="398">
        <f>L183</f>
        <v>45817</v>
      </c>
      <c r="I183" s="252"/>
      <c r="J183" s="252"/>
      <c r="K183" s="252" t="s">
        <v>468</v>
      </c>
      <c r="L183" s="269">
        <v>45817</v>
      </c>
      <c r="M183" s="269">
        <v>45834</v>
      </c>
      <c r="N183" s="252" t="s">
        <v>469</v>
      </c>
      <c r="O183" s="252">
        <f>M183-L183</f>
        <v>17</v>
      </c>
      <c r="P183" s="252">
        <f ca="1">O1-M183</f>
        <v>33</v>
      </c>
      <c r="Q183" s="252"/>
      <c r="R183" s="374" t="s">
        <v>492</v>
      </c>
      <c r="S183" s="374" t="str">
        <f>N183</f>
        <v>CAT - III</v>
      </c>
      <c r="T183" s="374" t="s">
        <v>471</v>
      </c>
      <c r="U183" s="374"/>
    </row>
    <row r="184" spans="1:21" ht="15.5" x14ac:dyDescent="0.35">
      <c r="A184" s="382"/>
      <c r="B184" s="382"/>
      <c r="C184" s="393"/>
      <c r="D184" s="396"/>
      <c r="E184" s="375"/>
      <c r="F184" s="375"/>
      <c r="G184" s="399"/>
      <c r="H184" s="399"/>
      <c r="I184" s="252"/>
      <c r="J184" s="252"/>
      <c r="K184" s="252" t="s">
        <v>470</v>
      </c>
      <c r="L184" s="269">
        <v>45856</v>
      </c>
      <c r="M184" s="269"/>
      <c r="N184" s="252"/>
      <c r="O184" s="252"/>
      <c r="P184" s="252"/>
      <c r="Q184" s="270"/>
      <c r="R184" s="375"/>
      <c r="S184" s="375"/>
      <c r="T184" s="375"/>
      <c r="U184" s="375"/>
    </row>
    <row r="185" spans="1:21" ht="15.5" x14ac:dyDescent="0.35">
      <c r="A185" s="381">
        <v>5</v>
      </c>
      <c r="B185" s="381" t="s">
        <v>703</v>
      </c>
      <c r="C185" s="391" t="s">
        <v>704</v>
      </c>
      <c r="D185" s="397" t="s">
        <v>712</v>
      </c>
      <c r="E185" s="374" t="s">
        <v>713</v>
      </c>
      <c r="F185" s="374" t="s">
        <v>467</v>
      </c>
      <c r="G185" s="398">
        <v>45805</v>
      </c>
      <c r="H185" s="398">
        <f>L185</f>
        <v>45817</v>
      </c>
      <c r="I185" s="252"/>
      <c r="J185" s="252"/>
      <c r="K185" s="252" t="s">
        <v>468</v>
      </c>
      <c r="L185" s="269">
        <v>45817</v>
      </c>
      <c r="M185" s="269">
        <v>45835</v>
      </c>
      <c r="N185" s="252" t="s">
        <v>469</v>
      </c>
      <c r="O185" s="252">
        <f>M185-L185</f>
        <v>18</v>
      </c>
      <c r="P185" s="252">
        <f ca="1">O1-M185</f>
        <v>32</v>
      </c>
      <c r="Q185" s="374"/>
      <c r="R185" s="374" t="s">
        <v>492</v>
      </c>
      <c r="S185" s="374" t="str">
        <f>N185</f>
        <v>CAT - III</v>
      </c>
      <c r="T185" s="374" t="s">
        <v>471</v>
      </c>
      <c r="U185" s="374"/>
    </row>
    <row r="186" spans="1:21" ht="15.5" x14ac:dyDescent="0.35">
      <c r="A186" s="382"/>
      <c r="B186" s="382"/>
      <c r="C186" s="393"/>
      <c r="D186" s="396"/>
      <c r="E186" s="375"/>
      <c r="F186" s="375"/>
      <c r="G186" s="399"/>
      <c r="H186" s="399"/>
      <c r="I186" s="252"/>
      <c r="J186" s="252"/>
      <c r="K186" s="252" t="s">
        <v>470</v>
      </c>
      <c r="L186" s="269">
        <v>45856</v>
      </c>
      <c r="M186" s="269"/>
      <c r="N186" s="252"/>
      <c r="O186" s="252"/>
      <c r="P186" s="252"/>
      <c r="Q186" s="375"/>
      <c r="R186" s="375"/>
      <c r="S186" s="375"/>
      <c r="T186" s="375"/>
      <c r="U186" s="375"/>
    </row>
    <row r="187" spans="1:21" ht="31" x14ac:dyDescent="0.35">
      <c r="A187" s="301">
        <v>6</v>
      </c>
      <c r="B187" s="301" t="s">
        <v>703</v>
      </c>
      <c r="C187" s="302" t="s">
        <v>704</v>
      </c>
      <c r="D187" s="306" t="s">
        <v>714</v>
      </c>
      <c r="E187" s="252" t="s">
        <v>715</v>
      </c>
      <c r="F187" s="252" t="s">
        <v>467</v>
      </c>
      <c r="G187" s="311">
        <v>45820</v>
      </c>
      <c r="H187" s="311">
        <v>45848</v>
      </c>
      <c r="I187" s="252"/>
      <c r="J187" s="252"/>
      <c r="K187" s="252"/>
      <c r="L187" s="269"/>
      <c r="M187" s="269"/>
      <c r="N187" s="252"/>
      <c r="O187" s="252"/>
      <c r="P187" s="252"/>
      <c r="Q187" s="252"/>
      <c r="R187" s="252"/>
      <c r="S187" s="252"/>
      <c r="T187" s="252"/>
      <c r="U187" s="252"/>
    </row>
    <row r="188" spans="1:21" ht="31" x14ac:dyDescent="0.35">
      <c r="A188" s="301">
        <v>7</v>
      </c>
      <c r="B188" s="301" t="s">
        <v>703</v>
      </c>
      <c r="C188" s="302" t="s">
        <v>704</v>
      </c>
      <c r="D188" s="306" t="s">
        <v>716</v>
      </c>
      <c r="E188" s="252" t="s">
        <v>717</v>
      </c>
      <c r="F188" s="252" t="s">
        <v>467</v>
      </c>
      <c r="G188" s="311">
        <v>45814</v>
      </c>
      <c r="H188" s="311">
        <v>45848</v>
      </c>
      <c r="I188" s="252"/>
      <c r="J188" s="252"/>
      <c r="K188" s="252"/>
      <c r="L188" s="269"/>
      <c r="M188" s="269"/>
      <c r="N188" s="252"/>
      <c r="O188" s="252"/>
      <c r="P188" s="252"/>
      <c r="Q188" s="252"/>
      <c r="R188" s="252"/>
      <c r="S188" s="252"/>
      <c r="T188" s="252"/>
      <c r="U188" s="252"/>
    </row>
    <row r="189" spans="1:21" ht="31" x14ac:dyDescent="0.35">
      <c r="A189" s="301">
        <v>8</v>
      </c>
      <c r="B189" s="301" t="s">
        <v>703</v>
      </c>
      <c r="C189" s="302" t="s">
        <v>704</v>
      </c>
      <c r="D189" s="306" t="s">
        <v>718</v>
      </c>
      <c r="E189" s="252" t="s">
        <v>719</v>
      </c>
      <c r="F189" s="252" t="s">
        <v>467</v>
      </c>
      <c r="G189" s="311">
        <v>45870</v>
      </c>
      <c r="H189" s="312">
        <v>45870</v>
      </c>
      <c r="I189" s="252"/>
      <c r="J189" s="252"/>
      <c r="K189" s="252"/>
      <c r="L189" s="269"/>
      <c r="M189" s="269"/>
      <c r="N189" s="252"/>
      <c r="O189" s="252"/>
      <c r="P189" s="252"/>
      <c r="Q189" s="252"/>
      <c r="R189" s="252"/>
      <c r="S189" s="252"/>
      <c r="T189" s="252"/>
      <c r="U189" s="252"/>
    </row>
    <row r="190" spans="1:21" ht="46.5" x14ac:dyDescent="0.35">
      <c r="A190" s="301">
        <v>9</v>
      </c>
      <c r="B190" s="301" t="s">
        <v>703</v>
      </c>
      <c r="C190" s="302" t="s">
        <v>704</v>
      </c>
      <c r="D190" s="306" t="s">
        <v>720</v>
      </c>
      <c r="E190" s="252" t="s">
        <v>721</v>
      </c>
      <c r="F190" s="252" t="s">
        <v>467</v>
      </c>
      <c r="G190" s="311">
        <v>45845</v>
      </c>
      <c r="H190" s="312">
        <v>45845</v>
      </c>
      <c r="I190" s="252"/>
      <c r="J190" s="252"/>
      <c r="K190" s="252"/>
      <c r="L190" s="269"/>
      <c r="M190" s="269"/>
      <c r="N190" s="252"/>
      <c r="O190" s="252"/>
      <c r="P190" s="252"/>
      <c r="Q190" s="252"/>
      <c r="R190" s="252"/>
      <c r="S190" s="252"/>
      <c r="T190" s="252"/>
      <c r="U190" s="252"/>
    </row>
    <row r="191" spans="1:21" ht="15.5" x14ac:dyDescent="0.35">
      <c r="A191" s="381">
        <v>10</v>
      </c>
      <c r="B191" s="381" t="s">
        <v>703</v>
      </c>
      <c r="C191" s="391" t="s">
        <v>704</v>
      </c>
      <c r="D191" s="397" t="s">
        <v>722</v>
      </c>
      <c r="E191" s="374" t="s">
        <v>723</v>
      </c>
      <c r="F191" s="374" t="s">
        <v>467</v>
      </c>
      <c r="G191" s="398">
        <v>45788</v>
      </c>
      <c r="H191" s="398">
        <v>45846</v>
      </c>
      <c r="I191" s="252"/>
      <c r="J191" s="252"/>
      <c r="K191" s="252" t="s">
        <v>468</v>
      </c>
      <c r="L191" s="269">
        <v>45846</v>
      </c>
      <c r="M191" s="269">
        <v>45848</v>
      </c>
      <c r="N191" s="252" t="s">
        <v>469</v>
      </c>
      <c r="O191" s="252">
        <f>M191-L191</f>
        <v>2</v>
      </c>
      <c r="P191" s="252">
        <f ca="1">O1-M191</f>
        <v>19</v>
      </c>
      <c r="Q191" s="374"/>
      <c r="R191" s="374" t="s">
        <v>492</v>
      </c>
      <c r="S191" s="374" t="str">
        <f>N191</f>
        <v>CAT - III</v>
      </c>
      <c r="T191" s="374" t="s">
        <v>474</v>
      </c>
      <c r="U191" s="374"/>
    </row>
    <row r="192" spans="1:21" ht="15.5" x14ac:dyDescent="0.35">
      <c r="A192" s="382"/>
      <c r="B192" s="382"/>
      <c r="C192" s="393"/>
      <c r="D192" s="396"/>
      <c r="E192" s="375"/>
      <c r="F192" s="375"/>
      <c r="G192" s="399"/>
      <c r="H192" s="399"/>
      <c r="I192" s="252"/>
      <c r="J192" s="252"/>
      <c r="K192" s="252" t="s">
        <v>470</v>
      </c>
      <c r="L192" s="269">
        <v>45854</v>
      </c>
      <c r="M192" s="269">
        <v>45861</v>
      </c>
      <c r="N192" s="252" t="s">
        <v>469</v>
      </c>
      <c r="O192" s="252"/>
      <c r="P192" s="252"/>
      <c r="Q192" s="375"/>
      <c r="R192" s="375"/>
      <c r="S192" s="375"/>
      <c r="T192" s="375"/>
      <c r="U192" s="375"/>
    </row>
    <row r="193" spans="1:21" ht="31" x14ac:dyDescent="0.35">
      <c r="A193" s="301">
        <v>11</v>
      </c>
      <c r="B193" s="301" t="s">
        <v>703</v>
      </c>
      <c r="C193" s="302" t="s">
        <v>704</v>
      </c>
      <c r="D193" s="306" t="s">
        <v>724</v>
      </c>
      <c r="E193" s="252" t="s">
        <v>725</v>
      </c>
      <c r="F193" s="252" t="s">
        <v>467</v>
      </c>
      <c r="G193" s="311">
        <v>45865</v>
      </c>
      <c r="H193" s="312">
        <v>45865</v>
      </c>
      <c r="I193" s="252"/>
      <c r="J193" s="252"/>
      <c r="K193" s="252" t="s">
        <v>468</v>
      </c>
      <c r="L193" s="269">
        <v>45859</v>
      </c>
      <c r="M193" s="269"/>
      <c r="N193" s="252"/>
      <c r="O193" s="252"/>
      <c r="P193" s="252"/>
      <c r="Q193" s="252"/>
      <c r="R193" s="252" t="s">
        <v>492</v>
      </c>
      <c r="S193" s="252"/>
      <c r="T193" s="252" t="s">
        <v>471</v>
      </c>
      <c r="U193" s="252"/>
    </row>
    <row r="194" spans="1:21" ht="31" x14ac:dyDescent="0.35">
      <c r="A194" s="301">
        <v>12</v>
      </c>
      <c r="B194" s="301" t="s">
        <v>703</v>
      </c>
      <c r="C194" s="302" t="s">
        <v>704</v>
      </c>
      <c r="D194" s="306" t="s">
        <v>726</v>
      </c>
      <c r="E194" s="252" t="s">
        <v>727</v>
      </c>
      <c r="F194" s="252" t="s">
        <v>467</v>
      </c>
      <c r="G194" s="311">
        <v>45843</v>
      </c>
      <c r="H194" s="312">
        <v>45843</v>
      </c>
      <c r="I194" s="252"/>
      <c r="J194" s="252"/>
      <c r="K194" s="252"/>
      <c r="L194" s="269"/>
      <c r="M194" s="269"/>
      <c r="N194" s="252"/>
      <c r="O194" s="252"/>
      <c r="P194" s="252"/>
      <c r="Q194" s="252"/>
      <c r="R194" s="252"/>
      <c r="S194" s="252"/>
      <c r="T194" s="252"/>
      <c r="U194" s="252"/>
    </row>
    <row r="195" spans="1:21" ht="31" x14ac:dyDescent="0.35">
      <c r="A195" s="301">
        <v>13</v>
      </c>
      <c r="B195" s="301" t="s">
        <v>703</v>
      </c>
      <c r="C195" s="302" t="s">
        <v>704</v>
      </c>
      <c r="D195" s="306" t="s">
        <v>728</v>
      </c>
      <c r="E195" s="252" t="s">
        <v>729</v>
      </c>
      <c r="F195" s="252" t="s">
        <v>467</v>
      </c>
      <c r="G195" s="311">
        <v>45840</v>
      </c>
      <c r="H195" s="312">
        <v>45843</v>
      </c>
      <c r="I195" s="252"/>
      <c r="J195" s="252"/>
      <c r="K195" s="252"/>
      <c r="L195" s="269"/>
      <c r="M195" s="269"/>
      <c r="N195" s="252"/>
      <c r="O195" s="252"/>
      <c r="P195" s="252"/>
      <c r="Q195" s="252"/>
      <c r="R195" s="252"/>
      <c r="S195" s="252"/>
      <c r="T195" s="252"/>
      <c r="U195" s="252"/>
    </row>
    <row r="196" spans="1:21" ht="31" x14ac:dyDescent="0.35">
      <c r="A196" s="301">
        <v>14</v>
      </c>
      <c r="B196" s="301" t="s">
        <v>703</v>
      </c>
      <c r="C196" s="302" t="s">
        <v>704</v>
      </c>
      <c r="D196" s="306" t="s">
        <v>730</v>
      </c>
      <c r="E196" s="252" t="s">
        <v>731</v>
      </c>
      <c r="F196" s="252" t="s">
        <v>467</v>
      </c>
      <c r="G196" s="311">
        <v>45822</v>
      </c>
      <c r="H196" s="312">
        <v>45846</v>
      </c>
      <c r="I196" s="252"/>
      <c r="J196" s="252"/>
      <c r="K196" s="252"/>
      <c r="L196" s="269"/>
      <c r="M196" s="269"/>
      <c r="N196" s="252"/>
      <c r="O196" s="252"/>
      <c r="P196" s="252"/>
      <c r="Q196" s="252"/>
      <c r="R196" s="252"/>
      <c r="S196" s="252"/>
      <c r="T196" s="252"/>
      <c r="U196" s="252"/>
    </row>
    <row r="197" spans="1:21" ht="31" x14ac:dyDescent="0.35">
      <c r="A197" s="301">
        <v>15</v>
      </c>
      <c r="B197" s="301" t="s">
        <v>703</v>
      </c>
      <c r="C197" s="302" t="s">
        <v>704</v>
      </c>
      <c r="D197" s="306" t="s">
        <v>732</v>
      </c>
      <c r="E197" s="252" t="s">
        <v>733</v>
      </c>
      <c r="F197" s="252" t="s">
        <v>477</v>
      </c>
      <c r="G197" s="311">
        <v>45840</v>
      </c>
      <c r="H197" s="312">
        <v>45845</v>
      </c>
      <c r="I197" s="252"/>
      <c r="J197" s="252"/>
      <c r="K197" s="252"/>
      <c r="L197" s="269"/>
      <c r="M197" s="269"/>
      <c r="N197" s="252"/>
      <c r="O197" s="252"/>
      <c r="P197" s="252"/>
      <c r="Q197" s="252"/>
      <c r="R197" s="252"/>
      <c r="S197" s="252"/>
      <c r="T197" s="252"/>
      <c r="U197" s="252"/>
    </row>
    <row r="198" spans="1:21" ht="31" x14ac:dyDescent="0.35">
      <c r="A198" s="301">
        <v>16</v>
      </c>
      <c r="B198" s="301" t="s">
        <v>703</v>
      </c>
      <c r="C198" s="302" t="s">
        <v>704</v>
      </c>
      <c r="D198" s="306" t="s">
        <v>734</v>
      </c>
      <c r="E198" s="252" t="s">
        <v>735</v>
      </c>
      <c r="F198" s="252" t="s">
        <v>477</v>
      </c>
      <c r="G198" s="311">
        <v>45847</v>
      </c>
      <c r="H198" s="312">
        <v>45847</v>
      </c>
      <c r="I198" s="252"/>
      <c r="J198" s="252"/>
      <c r="K198" s="252"/>
      <c r="L198" s="269"/>
      <c r="M198" s="269"/>
      <c r="N198" s="252"/>
      <c r="O198" s="252"/>
      <c r="P198" s="252"/>
      <c r="Q198" s="252"/>
      <c r="R198" s="252"/>
      <c r="S198" s="252"/>
      <c r="T198" s="252"/>
      <c r="U198" s="252"/>
    </row>
    <row r="199" spans="1:21" ht="31" x14ac:dyDescent="0.35">
      <c r="A199" s="301">
        <v>17</v>
      </c>
      <c r="B199" s="301" t="s">
        <v>703</v>
      </c>
      <c r="C199" s="302" t="s">
        <v>704</v>
      </c>
      <c r="D199" s="306" t="s">
        <v>736</v>
      </c>
      <c r="E199" s="252" t="s">
        <v>737</v>
      </c>
      <c r="F199" s="252" t="s">
        <v>467</v>
      </c>
      <c r="G199" s="311">
        <v>45894</v>
      </c>
      <c r="H199" s="312">
        <v>45894</v>
      </c>
      <c r="I199" s="252"/>
      <c r="J199" s="252"/>
      <c r="K199" s="252"/>
      <c r="L199" s="269"/>
      <c r="M199" s="269"/>
      <c r="N199" s="252"/>
      <c r="O199" s="252"/>
      <c r="P199" s="252"/>
      <c r="Q199" s="252"/>
      <c r="R199" s="252"/>
      <c r="S199" s="252"/>
      <c r="T199" s="252"/>
      <c r="U199" s="252"/>
    </row>
    <row r="200" spans="1:21" ht="31" x14ac:dyDescent="0.35">
      <c r="A200" s="301">
        <v>18</v>
      </c>
      <c r="B200" s="301" t="s">
        <v>703</v>
      </c>
      <c r="C200" s="302" t="s">
        <v>704</v>
      </c>
      <c r="D200" s="306" t="s">
        <v>738</v>
      </c>
      <c r="E200" s="252" t="s">
        <v>739</v>
      </c>
      <c r="F200" s="252" t="s">
        <v>477</v>
      </c>
      <c r="G200" s="311">
        <v>45813</v>
      </c>
      <c r="H200" s="312">
        <v>45850</v>
      </c>
      <c r="I200" s="252"/>
      <c r="J200" s="252"/>
      <c r="K200" s="252"/>
      <c r="L200" s="269"/>
      <c r="M200" s="269"/>
      <c r="N200" s="252"/>
      <c r="O200" s="252"/>
      <c r="P200" s="252"/>
      <c r="Q200" s="252"/>
      <c r="R200" s="252"/>
      <c r="S200" s="252"/>
      <c r="T200" s="252"/>
      <c r="U200" s="252"/>
    </row>
    <row r="201" spans="1:21" ht="31" x14ac:dyDescent="0.35">
      <c r="A201" s="301">
        <v>19</v>
      </c>
      <c r="B201" s="301" t="s">
        <v>703</v>
      </c>
      <c r="C201" s="302" t="s">
        <v>704</v>
      </c>
      <c r="D201" s="306" t="s">
        <v>740</v>
      </c>
      <c r="E201" s="252" t="s">
        <v>741</v>
      </c>
      <c r="F201" s="252" t="s">
        <v>467</v>
      </c>
      <c r="G201" s="311">
        <v>45858</v>
      </c>
      <c r="H201" s="312">
        <v>45858</v>
      </c>
      <c r="I201" s="252"/>
      <c r="J201" s="252"/>
      <c r="K201" s="252"/>
      <c r="L201" s="269"/>
      <c r="M201" s="269"/>
      <c r="N201" s="252"/>
      <c r="O201" s="252"/>
      <c r="P201" s="252"/>
      <c r="Q201" s="252"/>
      <c r="R201" s="252"/>
      <c r="S201" s="252"/>
      <c r="T201" s="252"/>
      <c r="U201" s="252"/>
    </row>
    <row r="202" spans="1:21" ht="46.5" x14ac:dyDescent="0.35">
      <c r="A202" s="301">
        <v>20</v>
      </c>
      <c r="B202" s="301" t="s">
        <v>703</v>
      </c>
      <c r="C202" s="302" t="s">
        <v>704</v>
      </c>
      <c r="D202" s="306" t="s">
        <v>742</v>
      </c>
      <c r="E202" s="252" t="s">
        <v>743</v>
      </c>
      <c r="F202" s="252" t="s">
        <v>477</v>
      </c>
      <c r="G202" s="311">
        <v>45834</v>
      </c>
      <c r="H202" s="312">
        <v>45853</v>
      </c>
      <c r="I202" s="252"/>
      <c r="J202" s="252"/>
      <c r="K202" s="252"/>
      <c r="L202" s="269"/>
      <c r="M202" s="269"/>
      <c r="N202" s="252"/>
      <c r="O202" s="252"/>
      <c r="P202" s="252"/>
      <c r="Q202" s="252"/>
      <c r="R202" s="252"/>
      <c r="S202" s="252"/>
      <c r="T202" s="252"/>
      <c r="U202" s="252"/>
    </row>
    <row r="203" spans="1:21" ht="31" x14ac:dyDescent="0.35">
      <c r="A203" s="301">
        <v>21</v>
      </c>
      <c r="B203" s="301" t="s">
        <v>703</v>
      </c>
      <c r="C203" s="302" t="s">
        <v>704</v>
      </c>
      <c r="D203" s="306" t="s">
        <v>744</v>
      </c>
      <c r="E203" s="252" t="s">
        <v>745</v>
      </c>
      <c r="F203" s="252" t="s">
        <v>467</v>
      </c>
      <c r="G203" s="311">
        <v>45840</v>
      </c>
      <c r="H203" s="312">
        <v>45846</v>
      </c>
      <c r="I203" s="252"/>
      <c r="J203" s="252"/>
      <c r="K203" s="252"/>
      <c r="L203" s="269"/>
      <c r="M203" s="269"/>
      <c r="N203" s="252"/>
      <c r="O203" s="252"/>
      <c r="P203" s="252"/>
      <c r="Q203" s="252"/>
      <c r="R203" s="252"/>
      <c r="S203" s="252"/>
      <c r="T203" s="252"/>
      <c r="U203" s="252"/>
    </row>
    <row r="204" spans="1:21" ht="31" x14ac:dyDescent="0.35">
      <c r="A204" s="260">
        <v>22</v>
      </c>
      <c r="B204" s="260" t="s">
        <v>703</v>
      </c>
      <c r="C204" s="261" t="s">
        <v>704</v>
      </c>
      <c r="D204" s="300" t="s">
        <v>746</v>
      </c>
      <c r="E204" s="260" t="s">
        <v>747</v>
      </c>
      <c r="F204" s="260" t="s">
        <v>477</v>
      </c>
      <c r="G204" s="313">
        <v>45962</v>
      </c>
      <c r="H204" s="313">
        <v>45962</v>
      </c>
      <c r="I204" s="260"/>
      <c r="J204" s="260"/>
      <c r="K204" s="260" t="s">
        <v>468</v>
      </c>
      <c r="L204" s="263">
        <v>45854</v>
      </c>
      <c r="M204" s="263">
        <v>45859</v>
      </c>
      <c r="N204" s="260" t="s">
        <v>521</v>
      </c>
      <c r="O204" s="260"/>
      <c r="P204" s="260"/>
      <c r="Q204" s="260"/>
      <c r="R204" s="260" t="s">
        <v>398</v>
      </c>
      <c r="S204" s="260" t="str">
        <f>N204</f>
        <v xml:space="preserve">CAT -IV </v>
      </c>
      <c r="T204" s="260" t="s">
        <v>398</v>
      </c>
      <c r="U204" s="260"/>
    </row>
    <row r="205" spans="1:21" ht="31" x14ac:dyDescent="0.35">
      <c r="A205" s="301">
        <v>23</v>
      </c>
      <c r="B205" s="301" t="s">
        <v>703</v>
      </c>
      <c r="C205" s="302" t="s">
        <v>704</v>
      </c>
      <c r="D205" s="306" t="s">
        <v>748</v>
      </c>
      <c r="E205" s="252" t="s">
        <v>749</v>
      </c>
      <c r="F205" s="252" t="s">
        <v>467</v>
      </c>
      <c r="G205" s="311">
        <v>45826</v>
      </c>
      <c r="H205" s="312">
        <v>45846</v>
      </c>
      <c r="I205" s="252"/>
      <c r="J205" s="252"/>
      <c r="K205" s="252"/>
      <c r="L205" s="269"/>
      <c r="M205" s="269"/>
      <c r="N205" s="252"/>
      <c r="O205" s="252"/>
      <c r="P205" s="252"/>
      <c r="Q205" s="252"/>
      <c r="R205" s="252"/>
      <c r="S205" s="252"/>
      <c r="T205" s="252"/>
      <c r="U205" s="252"/>
    </row>
    <row r="206" spans="1:21" ht="31" x14ac:dyDescent="0.35">
      <c r="A206" s="301">
        <v>24</v>
      </c>
      <c r="B206" s="301" t="s">
        <v>703</v>
      </c>
      <c r="C206" s="302" t="s">
        <v>704</v>
      </c>
      <c r="D206" s="306" t="s">
        <v>750</v>
      </c>
      <c r="E206" s="252" t="s">
        <v>751</v>
      </c>
      <c r="F206" s="252" t="s">
        <v>477</v>
      </c>
      <c r="G206" s="311">
        <v>45853</v>
      </c>
      <c r="H206" s="312">
        <v>45853</v>
      </c>
      <c r="I206" s="252"/>
      <c r="J206" s="252"/>
      <c r="K206" s="252"/>
      <c r="L206" s="269"/>
      <c r="M206" s="269"/>
      <c r="N206" s="252"/>
      <c r="O206" s="252"/>
      <c r="P206" s="252"/>
      <c r="Q206" s="252"/>
      <c r="R206" s="252"/>
      <c r="S206" s="252"/>
      <c r="T206" s="252"/>
      <c r="U206" s="252"/>
    </row>
    <row r="207" spans="1:21" ht="31" x14ac:dyDescent="0.35">
      <c r="A207" s="301">
        <v>25</v>
      </c>
      <c r="B207" s="301" t="s">
        <v>703</v>
      </c>
      <c r="C207" s="302" t="s">
        <v>704</v>
      </c>
      <c r="D207" s="306" t="s">
        <v>752</v>
      </c>
      <c r="E207" s="252" t="s">
        <v>753</v>
      </c>
      <c r="F207" s="252" t="s">
        <v>477</v>
      </c>
      <c r="G207" s="311">
        <v>45874</v>
      </c>
      <c r="H207" s="312">
        <v>45874</v>
      </c>
      <c r="I207" s="252"/>
      <c r="J207" s="252"/>
      <c r="K207" s="252"/>
      <c r="L207" s="269"/>
      <c r="M207" s="269"/>
      <c r="N207" s="252"/>
      <c r="O207" s="252"/>
      <c r="P207" s="252"/>
      <c r="Q207" s="252"/>
      <c r="R207" s="252"/>
      <c r="S207" s="252"/>
      <c r="T207" s="252"/>
      <c r="U207" s="252"/>
    </row>
    <row r="208" spans="1:21" ht="93" x14ac:dyDescent="0.35">
      <c r="A208" s="301">
        <v>26</v>
      </c>
      <c r="B208" s="301" t="s">
        <v>703</v>
      </c>
      <c r="C208" s="302" t="s">
        <v>704</v>
      </c>
      <c r="D208" s="306" t="s">
        <v>754</v>
      </c>
      <c r="E208" s="252" t="s">
        <v>755</v>
      </c>
      <c r="F208" s="252" t="s">
        <v>477</v>
      </c>
      <c r="G208" s="311">
        <v>45900</v>
      </c>
      <c r="H208" s="312">
        <v>45900</v>
      </c>
      <c r="I208" s="252"/>
      <c r="J208" s="252"/>
      <c r="K208" s="252"/>
      <c r="L208" s="269"/>
      <c r="M208" s="269"/>
      <c r="N208" s="252"/>
      <c r="O208" s="252"/>
      <c r="P208" s="252"/>
      <c r="Q208" s="252"/>
      <c r="R208" s="252"/>
      <c r="S208" s="252"/>
      <c r="T208" s="252"/>
      <c r="U208" s="252"/>
    </row>
    <row r="209" spans="1:21" ht="31" x14ac:dyDescent="0.35">
      <c r="A209" s="301">
        <v>27</v>
      </c>
      <c r="B209" s="301" t="s">
        <v>703</v>
      </c>
      <c r="C209" s="302" t="s">
        <v>704</v>
      </c>
      <c r="D209" s="306" t="s">
        <v>756</v>
      </c>
      <c r="E209" s="252" t="s">
        <v>757</v>
      </c>
      <c r="F209" s="252" t="s">
        <v>467</v>
      </c>
      <c r="G209" s="311">
        <v>45834</v>
      </c>
      <c r="H209" s="312">
        <v>45856</v>
      </c>
      <c r="I209" s="252"/>
      <c r="J209" s="252"/>
      <c r="K209" s="252"/>
      <c r="L209" s="269"/>
      <c r="M209" s="269"/>
      <c r="N209" s="252"/>
      <c r="O209" s="252"/>
      <c r="P209" s="252"/>
      <c r="Q209" s="252"/>
      <c r="R209" s="252"/>
      <c r="S209" s="252"/>
      <c r="T209" s="252"/>
      <c r="U209" s="252"/>
    </row>
    <row r="210" spans="1:21" ht="31" x14ac:dyDescent="0.35">
      <c r="A210" s="301">
        <v>28</v>
      </c>
      <c r="B210" s="301" t="s">
        <v>703</v>
      </c>
      <c r="C210" s="302" t="s">
        <v>704</v>
      </c>
      <c r="D210" s="306" t="s">
        <v>758</v>
      </c>
      <c r="E210" s="252" t="s">
        <v>759</v>
      </c>
      <c r="F210" s="252" t="s">
        <v>467</v>
      </c>
      <c r="G210" s="311">
        <v>45814</v>
      </c>
      <c r="H210" s="312">
        <v>45856</v>
      </c>
      <c r="I210" s="252"/>
      <c r="J210" s="252"/>
      <c r="K210" s="252"/>
      <c r="L210" s="269"/>
      <c r="M210" s="269"/>
      <c r="N210" s="252"/>
      <c r="O210" s="252"/>
      <c r="P210" s="252"/>
      <c r="Q210" s="252"/>
      <c r="R210" s="252"/>
      <c r="S210" s="252"/>
      <c r="T210" s="252"/>
      <c r="U210" s="252"/>
    </row>
    <row r="211" spans="1:21" ht="31" x14ac:dyDescent="0.35">
      <c r="A211" s="301">
        <v>29</v>
      </c>
      <c r="B211" s="301" t="s">
        <v>703</v>
      </c>
      <c r="C211" s="302" t="s">
        <v>704</v>
      </c>
      <c r="D211" s="306" t="s">
        <v>760</v>
      </c>
      <c r="E211" s="252" t="s">
        <v>761</v>
      </c>
      <c r="F211" s="252" t="s">
        <v>467</v>
      </c>
      <c r="G211" s="311">
        <v>45814</v>
      </c>
      <c r="H211" s="312">
        <v>45860</v>
      </c>
      <c r="I211" s="252"/>
      <c r="J211" s="252"/>
      <c r="K211" s="252"/>
      <c r="L211" s="269"/>
      <c r="M211" s="269"/>
      <c r="N211" s="252"/>
      <c r="O211" s="252"/>
      <c r="P211" s="252"/>
      <c r="Q211" s="252"/>
      <c r="R211" s="252"/>
      <c r="S211" s="252"/>
      <c r="T211" s="252"/>
      <c r="U211" s="252"/>
    </row>
    <row r="212" spans="1:21" ht="31" x14ac:dyDescent="0.35">
      <c r="A212" s="301">
        <v>30</v>
      </c>
      <c r="B212" s="301" t="s">
        <v>703</v>
      </c>
      <c r="C212" s="302" t="s">
        <v>704</v>
      </c>
      <c r="D212" s="306" t="s">
        <v>762</v>
      </c>
      <c r="E212" s="252" t="s">
        <v>763</v>
      </c>
      <c r="F212" s="252" t="s">
        <v>467</v>
      </c>
      <c r="G212" s="311">
        <v>45826</v>
      </c>
      <c r="H212" s="312">
        <v>45860</v>
      </c>
      <c r="I212" s="252"/>
      <c r="J212" s="252"/>
      <c r="K212" s="252"/>
      <c r="L212" s="269"/>
      <c r="M212" s="269"/>
      <c r="N212" s="252"/>
      <c r="O212" s="252"/>
      <c r="P212" s="252"/>
      <c r="Q212" s="252"/>
      <c r="R212" s="252"/>
      <c r="S212" s="252"/>
      <c r="T212" s="252"/>
      <c r="U212" s="252"/>
    </row>
    <row r="213" spans="1:21" ht="31" x14ac:dyDescent="0.35">
      <c r="A213" s="301">
        <v>31</v>
      </c>
      <c r="B213" s="301" t="s">
        <v>703</v>
      </c>
      <c r="C213" s="302" t="s">
        <v>704</v>
      </c>
      <c r="D213" s="306" t="s">
        <v>764</v>
      </c>
      <c r="E213" s="252" t="s">
        <v>765</v>
      </c>
      <c r="F213" s="252" t="s">
        <v>467</v>
      </c>
      <c r="G213" s="311">
        <v>45834</v>
      </c>
      <c r="H213" s="312">
        <v>45860</v>
      </c>
      <c r="I213" s="252"/>
      <c r="J213" s="252"/>
      <c r="K213" s="252"/>
      <c r="L213" s="269"/>
      <c r="M213" s="269"/>
      <c r="N213" s="252"/>
      <c r="O213" s="252"/>
      <c r="P213" s="252"/>
      <c r="Q213" s="252"/>
      <c r="R213" s="252"/>
      <c r="S213" s="252"/>
      <c r="T213" s="252"/>
      <c r="U213" s="252"/>
    </row>
    <row r="214" spans="1:21" ht="31" x14ac:dyDescent="0.35">
      <c r="A214" s="301">
        <v>32</v>
      </c>
      <c r="B214" s="301" t="s">
        <v>703</v>
      </c>
      <c r="C214" s="302" t="s">
        <v>704</v>
      </c>
      <c r="D214" s="306" t="s">
        <v>766</v>
      </c>
      <c r="E214" s="252" t="s">
        <v>767</v>
      </c>
      <c r="F214" s="252" t="s">
        <v>467</v>
      </c>
      <c r="G214" s="311">
        <v>45848</v>
      </c>
      <c r="H214" s="312">
        <v>45856</v>
      </c>
      <c r="I214" s="252"/>
      <c r="J214" s="252"/>
      <c r="K214" s="252"/>
      <c r="L214" s="269"/>
      <c r="M214" s="269"/>
      <c r="N214" s="252"/>
      <c r="O214" s="252"/>
      <c r="P214" s="252"/>
      <c r="Q214" s="252"/>
      <c r="R214" s="252"/>
      <c r="S214" s="252"/>
      <c r="T214" s="252"/>
      <c r="U214" s="252"/>
    </row>
    <row r="215" spans="1:21" ht="31" x14ac:dyDescent="0.35">
      <c r="A215" s="301">
        <f t="shared" ref="A215:A243" si="7">A214+1</f>
        <v>33</v>
      </c>
      <c r="B215" s="301" t="s">
        <v>703</v>
      </c>
      <c r="C215" s="302" t="s">
        <v>704</v>
      </c>
      <c r="D215" s="306" t="s">
        <v>768</v>
      </c>
      <c r="E215" s="252" t="s">
        <v>769</v>
      </c>
      <c r="F215" s="252" t="s">
        <v>467</v>
      </c>
      <c r="G215" s="311">
        <v>45868</v>
      </c>
      <c r="H215" s="312">
        <v>45868</v>
      </c>
      <c r="I215" s="252"/>
      <c r="J215" s="252"/>
      <c r="K215" s="252"/>
      <c r="L215" s="269"/>
      <c r="M215" s="269"/>
      <c r="N215" s="252"/>
      <c r="O215" s="252"/>
      <c r="P215" s="252"/>
      <c r="Q215" s="252"/>
      <c r="R215" s="252"/>
      <c r="S215" s="252"/>
      <c r="T215" s="252"/>
      <c r="U215" s="252"/>
    </row>
    <row r="216" spans="1:21" ht="15.5" x14ac:dyDescent="0.35">
      <c r="A216" s="381">
        <f t="shared" si="7"/>
        <v>34</v>
      </c>
      <c r="B216" s="381" t="s">
        <v>703</v>
      </c>
      <c r="C216" s="391" t="s">
        <v>704</v>
      </c>
      <c r="D216" s="394" t="s">
        <v>770</v>
      </c>
      <c r="E216" s="374" t="s">
        <v>771</v>
      </c>
      <c r="F216" s="374" t="s">
        <v>467</v>
      </c>
      <c r="G216" s="378">
        <v>45797</v>
      </c>
      <c r="H216" s="378">
        <v>45836</v>
      </c>
      <c r="I216" s="374"/>
      <c r="J216" s="374"/>
      <c r="K216" s="252" t="s">
        <v>468</v>
      </c>
      <c r="L216" s="269">
        <v>45790</v>
      </c>
      <c r="M216" s="269">
        <v>45812</v>
      </c>
      <c r="N216" s="252" t="s">
        <v>469</v>
      </c>
      <c r="O216" s="252">
        <f>M216-L216</f>
        <v>22</v>
      </c>
      <c r="P216" s="252">
        <f>L217-M216</f>
        <v>12</v>
      </c>
      <c r="Q216" s="374"/>
      <c r="R216" s="374" t="s">
        <v>492</v>
      </c>
      <c r="S216" s="374" t="str">
        <f>N217</f>
        <v>CAT - II</v>
      </c>
      <c r="T216" s="374" t="s">
        <v>471</v>
      </c>
      <c r="U216" s="374">
        <f ca="1">U1-L216</f>
        <v>77</v>
      </c>
    </row>
    <row r="217" spans="1:21" ht="15.5" x14ac:dyDescent="0.35">
      <c r="A217" s="390"/>
      <c r="B217" s="382"/>
      <c r="C217" s="392"/>
      <c r="D217" s="395"/>
      <c r="E217" s="380"/>
      <c r="F217" s="375"/>
      <c r="G217" s="379"/>
      <c r="H217" s="379"/>
      <c r="I217" s="375"/>
      <c r="J217" s="375"/>
      <c r="K217" s="252" t="s">
        <v>470</v>
      </c>
      <c r="L217" s="269">
        <v>45824</v>
      </c>
      <c r="M217" s="269">
        <v>45842</v>
      </c>
      <c r="N217" s="252" t="s">
        <v>491</v>
      </c>
      <c r="O217" s="252">
        <f>M217-L217</f>
        <v>18</v>
      </c>
      <c r="P217" s="252">
        <f ca="1">O1-M217</f>
        <v>25</v>
      </c>
      <c r="Q217" s="375"/>
      <c r="R217" s="380"/>
      <c r="S217" s="380"/>
      <c r="T217" s="380"/>
      <c r="U217" s="380"/>
    </row>
    <row r="218" spans="1:21" ht="15.5" x14ac:dyDescent="0.35">
      <c r="A218" s="382"/>
      <c r="B218" s="310" t="s">
        <v>703</v>
      </c>
      <c r="C218" s="393"/>
      <c r="D218" s="396"/>
      <c r="E218" s="375"/>
      <c r="F218" s="276"/>
      <c r="G218" s="314"/>
      <c r="H218" s="314"/>
      <c r="I218" s="276"/>
      <c r="J218" s="276"/>
      <c r="K218" s="252" t="s">
        <v>472</v>
      </c>
      <c r="L218" s="269">
        <v>45860</v>
      </c>
      <c r="M218" s="269"/>
      <c r="N218" s="252"/>
      <c r="O218" s="252"/>
      <c r="P218" s="252"/>
      <c r="Q218" s="276"/>
      <c r="R218" s="375"/>
      <c r="S218" s="375"/>
      <c r="T218" s="375"/>
      <c r="U218" s="375"/>
    </row>
    <row r="219" spans="1:21" ht="15.5" x14ac:dyDescent="0.35">
      <c r="A219" s="301">
        <f>A216+1</f>
        <v>35</v>
      </c>
      <c r="B219" s="301" t="s">
        <v>703</v>
      </c>
      <c r="C219" s="302" t="s">
        <v>772</v>
      </c>
      <c r="D219" s="306" t="s">
        <v>773</v>
      </c>
      <c r="E219" s="252" t="s">
        <v>774</v>
      </c>
      <c r="F219" s="252" t="s">
        <v>467</v>
      </c>
      <c r="G219" s="311">
        <v>45826</v>
      </c>
      <c r="H219" s="311">
        <f>L219</f>
        <v>45804</v>
      </c>
      <c r="I219" s="252"/>
      <c r="J219" s="252"/>
      <c r="K219" s="252" t="s">
        <v>468</v>
      </c>
      <c r="L219" s="269">
        <v>45804</v>
      </c>
      <c r="M219" s="269">
        <v>45847</v>
      </c>
      <c r="N219" s="252" t="s">
        <v>469</v>
      </c>
      <c r="O219" s="252">
        <f>M219-L219</f>
        <v>43</v>
      </c>
      <c r="P219" s="252">
        <f ca="1">O1-M219</f>
        <v>20</v>
      </c>
      <c r="Q219" s="252"/>
      <c r="R219" s="252" t="s">
        <v>499</v>
      </c>
      <c r="S219" s="252" t="str">
        <f>N219</f>
        <v>CAT - III</v>
      </c>
      <c r="T219" s="252" t="s">
        <v>474</v>
      </c>
      <c r="U219" s="252">
        <f ca="1">U1-L219</f>
        <v>63</v>
      </c>
    </row>
    <row r="220" spans="1:21" ht="15.5" x14ac:dyDescent="0.35">
      <c r="A220" s="301">
        <f t="shared" si="7"/>
        <v>36</v>
      </c>
      <c r="B220" s="301" t="s">
        <v>703</v>
      </c>
      <c r="C220" s="302" t="s">
        <v>772</v>
      </c>
      <c r="D220" s="306" t="s">
        <v>775</v>
      </c>
      <c r="E220" s="252" t="s">
        <v>776</v>
      </c>
      <c r="F220" s="252" t="s">
        <v>477</v>
      </c>
      <c r="G220" s="311">
        <v>45826</v>
      </c>
      <c r="H220" s="311">
        <f>H182</f>
        <v>45854</v>
      </c>
      <c r="I220" s="252"/>
      <c r="J220" s="252"/>
      <c r="K220" s="252"/>
      <c r="L220" s="269"/>
      <c r="M220" s="269"/>
      <c r="N220" s="252"/>
      <c r="O220" s="252"/>
      <c r="P220" s="252"/>
      <c r="Q220" s="252"/>
      <c r="R220" s="252"/>
      <c r="S220" s="252"/>
      <c r="T220" s="252"/>
      <c r="U220" s="252"/>
    </row>
    <row r="221" spans="1:21" ht="15.5" x14ac:dyDescent="0.35">
      <c r="A221" s="301">
        <f t="shared" si="7"/>
        <v>37</v>
      </c>
      <c r="B221" s="301" t="s">
        <v>703</v>
      </c>
      <c r="C221" s="302" t="s">
        <v>772</v>
      </c>
      <c r="D221" s="306" t="s">
        <v>777</v>
      </c>
      <c r="E221" s="252" t="s">
        <v>778</v>
      </c>
      <c r="F221" s="252" t="s">
        <v>467</v>
      </c>
      <c r="G221" s="311">
        <v>45833</v>
      </c>
      <c r="H221" s="311">
        <f>H183</f>
        <v>45817</v>
      </c>
      <c r="I221" s="252"/>
      <c r="J221" s="252"/>
      <c r="K221" s="252" t="s">
        <v>468</v>
      </c>
      <c r="L221" s="269">
        <v>45817</v>
      </c>
      <c r="M221" s="269">
        <v>45828</v>
      </c>
      <c r="N221" s="252" t="s">
        <v>469</v>
      </c>
      <c r="O221" s="252">
        <f>M221-L221</f>
        <v>11</v>
      </c>
      <c r="P221" s="252">
        <f ca="1">O1-M221</f>
        <v>39</v>
      </c>
      <c r="Q221" s="252"/>
      <c r="R221" s="252" t="s">
        <v>499</v>
      </c>
      <c r="S221" s="252" t="str">
        <f>N221</f>
        <v>CAT - III</v>
      </c>
      <c r="T221" s="252" t="s">
        <v>474</v>
      </c>
      <c r="U221" s="252"/>
    </row>
    <row r="222" spans="1:21" ht="15.5" x14ac:dyDescent="0.35">
      <c r="A222" s="301">
        <f t="shared" si="7"/>
        <v>38</v>
      </c>
      <c r="B222" s="301" t="s">
        <v>703</v>
      </c>
      <c r="C222" s="302" t="s">
        <v>772</v>
      </c>
      <c r="D222" s="306" t="s">
        <v>779</v>
      </c>
      <c r="E222" s="252" t="s">
        <v>780</v>
      </c>
      <c r="F222" s="252" t="s">
        <v>467</v>
      </c>
      <c r="G222" s="311">
        <v>45870</v>
      </c>
      <c r="H222" s="311">
        <f>H185</f>
        <v>45817</v>
      </c>
      <c r="I222" s="252"/>
      <c r="J222" s="252"/>
      <c r="K222" s="252" t="s">
        <v>468</v>
      </c>
      <c r="L222" s="269">
        <v>45817</v>
      </c>
      <c r="M222" s="269">
        <v>45820</v>
      </c>
      <c r="N222" s="252" t="s">
        <v>469</v>
      </c>
      <c r="O222" s="252">
        <f>M222-L222</f>
        <v>3</v>
      </c>
      <c r="P222" s="252">
        <f ca="1">O1-M222</f>
        <v>47</v>
      </c>
      <c r="Q222" s="252"/>
      <c r="R222" s="252" t="s">
        <v>499</v>
      </c>
      <c r="S222" s="252" t="str">
        <f>N222</f>
        <v>CAT - III</v>
      </c>
      <c r="T222" s="252" t="s">
        <v>474</v>
      </c>
      <c r="U222" s="252"/>
    </row>
    <row r="223" spans="1:21" ht="15.5" x14ac:dyDescent="0.35">
      <c r="A223" s="301">
        <f t="shared" si="7"/>
        <v>39</v>
      </c>
      <c r="B223" s="301" t="s">
        <v>703</v>
      </c>
      <c r="C223" s="302" t="s">
        <v>772</v>
      </c>
      <c r="D223" s="306" t="s">
        <v>781</v>
      </c>
      <c r="E223" s="252" t="s">
        <v>782</v>
      </c>
      <c r="F223" s="252" t="s">
        <v>467</v>
      </c>
      <c r="G223" s="311">
        <v>45845</v>
      </c>
      <c r="H223" s="312">
        <v>45845</v>
      </c>
      <c r="I223" s="252"/>
      <c r="J223" s="252"/>
      <c r="K223" s="252"/>
      <c r="L223" s="269"/>
      <c r="M223" s="269"/>
      <c r="N223" s="252"/>
      <c r="O223" s="252"/>
      <c r="P223" s="252"/>
      <c r="Q223" s="252"/>
      <c r="R223" s="252"/>
      <c r="S223" s="252"/>
      <c r="T223" s="252"/>
      <c r="U223" s="252"/>
    </row>
    <row r="224" spans="1:21" ht="15.5" x14ac:dyDescent="0.35">
      <c r="A224" s="301">
        <f t="shared" si="7"/>
        <v>40</v>
      </c>
      <c r="B224" s="301" t="s">
        <v>703</v>
      </c>
      <c r="C224" s="302" t="s">
        <v>772</v>
      </c>
      <c r="D224" s="306" t="s">
        <v>783</v>
      </c>
      <c r="E224" s="252" t="s">
        <v>784</v>
      </c>
      <c r="F224" s="252" t="s">
        <v>477</v>
      </c>
      <c r="G224" s="311">
        <v>45845</v>
      </c>
      <c r="H224" s="312">
        <v>45845</v>
      </c>
      <c r="I224" s="252"/>
      <c r="J224" s="252"/>
      <c r="K224" s="252"/>
      <c r="L224" s="269"/>
      <c r="M224" s="269"/>
      <c r="N224" s="252"/>
      <c r="O224" s="252"/>
      <c r="P224" s="252"/>
      <c r="Q224" s="252"/>
      <c r="R224" s="252"/>
      <c r="S224" s="252"/>
      <c r="T224" s="252"/>
      <c r="U224" s="252"/>
    </row>
    <row r="225" spans="1:21" ht="15.5" x14ac:dyDescent="0.35">
      <c r="A225" s="301">
        <f t="shared" si="7"/>
        <v>41</v>
      </c>
      <c r="B225" s="301" t="s">
        <v>703</v>
      </c>
      <c r="C225" s="302" t="s">
        <v>772</v>
      </c>
      <c r="D225" s="306" t="s">
        <v>785</v>
      </c>
      <c r="E225" s="252" t="s">
        <v>786</v>
      </c>
      <c r="F225" s="252" t="s">
        <v>477</v>
      </c>
      <c r="G225" s="311">
        <v>45865</v>
      </c>
      <c r="H225" s="312">
        <v>45865</v>
      </c>
      <c r="I225" s="252"/>
      <c r="J225" s="252"/>
      <c r="K225" s="252"/>
      <c r="L225" s="269"/>
      <c r="M225" s="269"/>
      <c r="N225" s="252"/>
      <c r="O225" s="252"/>
      <c r="P225" s="252"/>
      <c r="Q225" s="252"/>
      <c r="R225" s="252"/>
      <c r="S225" s="252"/>
      <c r="T225" s="252"/>
      <c r="U225" s="252"/>
    </row>
    <row r="226" spans="1:21" ht="31" x14ac:dyDescent="0.35">
      <c r="A226" s="301">
        <f t="shared" si="7"/>
        <v>42</v>
      </c>
      <c r="B226" s="301" t="s">
        <v>703</v>
      </c>
      <c r="C226" s="302" t="s">
        <v>772</v>
      </c>
      <c r="D226" s="306" t="s">
        <v>787</v>
      </c>
      <c r="E226" s="252" t="s">
        <v>788</v>
      </c>
      <c r="F226" s="252" t="s">
        <v>467</v>
      </c>
      <c r="G226" s="311">
        <v>45843</v>
      </c>
      <c r="H226" s="312">
        <v>45843</v>
      </c>
      <c r="I226" s="252"/>
      <c r="J226" s="252"/>
      <c r="K226" s="252"/>
      <c r="L226" s="269"/>
      <c r="M226" s="269"/>
      <c r="N226" s="252"/>
      <c r="O226" s="252"/>
      <c r="P226" s="252"/>
      <c r="Q226" s="252"/>
      <c r="R226" s="252"/>
      <c r="S226" s="252"/>
      <c r="T226" s="252"/>
      <c r="U226" s="252"/>
    </row>
    <row r="227" spans="1:21" ht="15.5" x14ac:dyDescent="0.35">
      <c r="A227" s="301">
        <f t="shared" si="7"/>
        <v>43</v>
      </c>
      <c r="B227" s="301" t="s">
        <v>703</v>
      </c>
      <c r="C227" s="302" t="s">
        <v>772</v>
      </c>
      <c r="D227" s="306" t="s">
        <v>789</v>
      </c>
      <c r="E227" s="252" t="s">
        <v>790</v>
      </c>
      <c r="F227" s="252" t="s">
        <v>467</v>
      </c>
      <c r="G227" s="311">
        <v>45822</v>
      </c>
      <c r="H227" s="312">
        <v>45852</v>
      </c>
      <c r="I227" s="252"/>
      <c r="J227" s="252"/>
      <c r="K227" s="252"/>
      <c r="L227" s="269"/>
      <c r="M227" s="269"/>
      <c r="N227" s="252"/>
      <c r="O227" s="252"/>
      <c r="P227" s="252"/>
      <c r="Q227" s="252"/>
      <c r="R227" s="252"/>
      <c r="S227" s="252"/>
      <c r="T227" s="252"/>
      <c r="U227" s="252"/>
    </row>
    <row r="228" spans="1:21" ht="15.5" x14ac:dyDescent="0.35">
      <c r="A228" s="301">
        <f t="shared" si="7"/>
        <v>44</v>
      </c>
      <c r="B228" s="301" t="s">
        <v>703</v>
      </c>
      <c r="C228" s="302" t="s">
        <v>772</v>
      </c>
      <c r="D228" s="306" t="s">
        <v>791</v>
      </c>
      <c r="E228" s="252" t="s">
        <v>792</v>
      </c>
      <c r="F228" s="252" t="s">
        <v>467</v>
      </c>
      <c r="G228" s="311">
        <v>45840</v>
      </c>
      <c r="H228" s="312">
        <v>45852</v>
      </c>
      <c r="I228" s="252"/>
      <c r="J228" s="252"/>
      <c r="K228" s="252"/>
      <c r="L228" s="269"/>
      <c r="M228" s="269"/>
      <c r="N228" s="252"/>
      <c r="O228" s="252"/>
      <c r="P228" s="252"/>
      <c r="Q228" s="252"/>
      <c r="R228" s="252"/>
      <c r="S228" s="252"/>
      <c r="T228" s="252"/>
      <c r="U228" s="252"/>
    </row>
    <row r="229" spans="1:21" ht="15.5" x14ac:dyDescent="0.35">
      <c r="A229" s="301">
        <f t="shared" si="7"/>
        <v>45</v>
      </c>
      <c r="B229" s="301" t="s">
        <v>703</v>
      </c>
      <c r="C229" s="302" t="s">
        <v>772</v>
      </c>
      <c r="D229" s="306" t="s">
        <v>793</v>
      </c>
      <c r="E229" s="252" t="s">
        <v>794</v>
      </c>
      <c r="F229" s="252" t="s">
        <v>467</v>
      </c>
      <c r="G229" s="311">
        <v>45870</v>
      </c>
      <c r="H229" s="312">
        <v>45870</v>
      </c>
      <c r="I229" s="252"/>
      <c r="J229" s="252"/>
      <c r="K229" s="252"/>
      <c r="L229" s="269"/>
      <c r="M229" s="269"/>
      <c r="N229" s="252"/>
      <c r="O229" s="252"/>
      <c r="P229" s="252"/>
      <c r="Q229" s="252"/>
      <c r="R229" s="252"/>
      <c r="S229" s="252"/>
      <c r="T229" s="252"/>
      <c r="U229" s="252"/>
    </row>
    <row r="230" spans="1:21" ht="15.5" x14ac:dyDescent="0.35">
      <c r="A230" s="301">
        <f t="shared" si="7"/>
        <v>46</v>
      </c>
      <c r="B230" s="301" t="s">
        <v>703</v>
      </c>
      <c r="C230" s="302" t="s">
        <v>772</v>
      </c>
      <c r="D230" s="306" t="s">
        <v>795</v>
      </c>
      <c r="E230" s="252" t="s">
        <v>796</v>
      </c>
      <c r="F230" s="252" t="s">
        <v>467</v>
      </c>
      <c r="G230" s="311">
        <v>45813</v>
      </c>
      <c r="H230" s="312">
        <v>45852</v>
      </c>
      <c r="I230" s="252"/>
      <c r="J230" s="252"/>
      <c r="K230" s="252"/>
      <c r="L230" s="269"/>
      <c r="M230" s="269"/>
      <c r="N230" s="252"/>
      <c r="O230" s="252"/>
      <c r="P230" s="252"/>
      <c r="Q230" s="252"/>
      <c r="R230" s="252"/>
      <c r="S230" s="252"/>
      <c r="T230" s="252"/>
      <c r="U230" s="252"/>
    </row>
    <row r="231" spans="1:21" ht="31" x14ac:dyDescent="0.35">
      <c r="A231" s="301">
        <f t="shared" si="7"/>
        <v>47</v>
      </c>
      <c r="B231" s="301" t="s">
        <v>703</v>
      </c>
      <c r="C231" s="302" t="s">
        <v>772</v>
      </c>
      <c r="D231" s="306" t="s">
        <v>797</v>
      </c>
      <c r="E231" s="252" t="s">
        <v>798</v>
      </c>
      <c r="F231" s="252" t="s">
        <v>477</v>
      </c>
      <c r="G231" s="311">
        <v>45858</v>
      </c>
      <c r="H231" s="312">
        <v>45858</v>
      </c>
      <c r="I231" s="252"/>
      <c r="J231" s="252"/>
      <c r="K231" s="252"/>
      <c r="L231" s="269"/>
      <c r="M231" s="269"/>
      <c r="N231" s="252"/>
      <c r="O231" s="252"/>
      <c r="P231" s="252"/>
      <c r="Q231" s="252"/>
      <c r="R231" s="252"/>
      <c r="S231" s="252"/>
      <c r="T231" s="252"/>
      <c r="U231" s="252"/>
    </row>
    <row r="232" spans="1:21" ht="15.5" x14ac:dyDescent="0.35">
      <c r="A232" s="301">
        <f t="shared" si="7"/>
        <v>48</v>
      </c>
      <c r="B232" s="301" t="s">
        <v>703</v>
      </c>
      <c r="C232" s="302" t="s">
        <v>772</v>
      </c>
      <c r="D232" s="306" t="s">
        <v>799</v>
      </c>
      <c r="E232" s="252" t="s">
        <v>800</v>
      </c>
      <c r="F232" s="252" t="s">
        <v>477</v>
      </c>
      <c r="G232" s="311">
        <v>45834</v>
      </c>
      <c r="H232" s="311">
        <v>45850</v>
      </c>
      <c r="I232" s="252"/>
      <c r="J232" s="252"/>
      <c r="K232" s="252"/>
      <c r="L232" s="269"/>
      <c r="M232" s="269"/>
      <c r="N232" s="252"/>
      <c r="O232" s="252"/>
      <c r="P232" s="252"/>
      <c r="Q232" s="252"/>
      <c r="R232" s="252"/>
      <c r="S232" s="252"/>
      <c r="T232" s="252"/>
      <c r="U232" s="252"/>
    </row>
    <row r="233" spans="1:21" ht="15.5" x14ac:dyDescent="0.35">
      <c r="A233" s="301">
        <f t="shared" si="7"/>
        <v>49</v>
      </c>
      <c r="B233" s="301" t="s">
        <v>703</v>
      </c>
      <c r="C233" s="302" t="s">
        <v>772</v>
      </c>
      <c r="D233" s="306" t="s">
        <v>801</v>
      </c>
      <c r="E233" s="252" t="s">
        <v>802</v>
      </c>
      <c r="F233" s="252" t="s">
        <v>477</v>
      </c>
      <c r="G233" s="311">
        <v>45840</v>
      </c>
      <c r="H233" s="311">
        <v>45848</v>
      </c>
      <c r="I233" s="252"/>
      <c r="J233" s="252"/>
      <c r="K233" s="252"/>
      <c r="L233" s="269"/>
      <c r="M233" s="269"/>
      <c r="N233" s="252"/>
      <c r="O233" s="252"/>
      <c r="P233" s="252"/>
      <c r="Q233" s="252"/>
      <c r="R233" s="252"/>
      <c r="S233" s="252"/>
      <c r="T233" s="252"/>
      <c r="U233" s="252"/>
    </row>
    <row r="234" spans="1:21" ht="31" x14ac:dyDescent="0.35">
      <c r="A234" s="301">
        <f t="shared" si="7"/>
        <v>50</v>
      </c>
      <c r="B234" s="301" t="s">
        <v>703</v>
      </c>
      <c r="C234" s="302" t="s">
        <v>772</v>
      </c>
      <c r="D234" s="306" t="s">
        <v>803</v>
      </c>
      <c r="E234" s="252" t="s">
        <v>804</v>
      </c>
      <c r="F234" s="252" t="s">
        <v>477</v>
      </c>
      <c r="G234" s="311">
        <v>45826</v>
      </c>
      <c r="H234" s="312">
        <v>45850</v>
      </c>
      <c r="I234" s="252"/>
      <c r="J234" s="252"/>
      <c r="K234" s="315"/>
      <c r="L234" s="269"/>
      <c r="M234" s="269"/>
      <c r="N234" s="315"/>
      <c r="O234" s="252"/>
      <c r="P234" s="252"/>
      <c r="Q234" s="315"/>
      <c r="R234" s="315"/>
      <c r="S234" s="315"/>
      <c r="T234" s="315"/>
      <c r="U234" s="315"/>
    </row>
    <row r="235" spans="1:21" ht="15.5" x14ac:dyDescent="0.35">
      <c r="A235" s="301">
        <f t="shared" si="7"/>
        <v>51</v>
      </c>
      <c r="B235" s="301" t="s">
        <v>703</v>
      </c>
      <c r="C235" s="302" t="s">
        <v>772</v>
      </c>
      <c r="D235" s="306" t="s">
        <v>805</v>
      </c>
      <c r="E235" s="252" t="s">
        <v>806</v>
      </c>
      <c r="F235" s="252" t="s">
        <v>467</v>
      </c>
      <c r="G235" s="311" t="s">
        <v>846</v>
      </c>
      <c r="H235" s="312" t="s">
        <v>846</v>
      </c>
      <c r="I235" s="252"/>
      <c r="J235" s="252"/>
      <c r="K235" s="252"/>
      <c r="L235" s="269"/>
      <c r="M235" s="269"/>
      <c r="N235" s="252"/>
      <c r="O235" s="252"/>
      <c r="P235" s="252"/>
      <c r="Q235" s="252"/>
      <c r="R235" s="252"/>
      <c r="S235" s="252"/>
      <c r="T235" s="252"/>
      <c r="U235" s="252"/>
    </row>
    <row r="236" spans="1:21" ht="15.5" x14ac:dyDescent="0.35">
      <c r="A236" s="301">
        <f t="shared" si="7"/>
        <v>52</v>
      </c>
      <c r="B236" s="301" t="s">
        <v>703</v>
      </c>
      <c r="C236" s="302" t="s">
        <v>772</v>
      </c>
      <c r="D236" s="306" t="s">
        <v>807</v>
      </c>
      <c r="E236" s="252" t="s">
        <v>808</v>
      </c>
      <c r="F236" s="252" t="s">
        <v>467</v>
      </c>
      <c r="G236" s="312">
        <v>45853</v>
      </c>
      <c r="H236" s="312">
        <v>45853</v>
      </c>
      <c r="I236" s="252"/>
      <c r="J236" s="252"/>
      <c r="K236" s="252"/>
      <c r="L236" s="269"/>
      <c r="M236" s="269"/>
      <c r="N236" s="252"/>
      <c r="O236" s="252"/>
      <c r="P236" s="252"/>
      <c r="Q236" s="252"/>
      <c r="R236" s="252"/>
      <c r="S236" s="252"/>
      <c r="T236" s="252"/>
      <c r="U236" s="252"/>
    </row>
    <row r="237" spans="1:21" ht="31" x14ac:dyDescent="0.35">
      <c r="A237" s="301">
        <f t="shared" si="7"/>
        <v>53</v>
      </c>
      <c r="B237" s="301" t="s">
        <v>703</v>
      </c>
      <c r="C237" s="302" t="s">
        <v>772</v>
      </c>
      <c r="D237" s="306" t="s">
        <v>809</v>
      </c>
      <c r="E237" s="252" t="s">
        <v>810</v>
      </c>
      <c r="F237" s="251" t="s">
        <v>477</v>
      </c>
      <c r="G237" s="311">
        <v>45826</v>
      </c>
      <c r="H237" s="312">
        <v>45858</v>
      </c>
      <c r="I237" s="251"/>
      <c r="J237" s="251"/>
      <c r="K237" s="252"/>
      <c r="L237" s="269"/>
      <c r="M237" s="269"/>
      <c r="N237" s="252"/>
      <c r="O237" s="252"/>
      <c r="P237" s="252"/>
      <c r="Q237" s="252"/>
      <c r="R237" s="252"/>
      <c r="S237" s="252"/>
      <c r="T237" s="252"/>
      <c r="U237" s="252"/>
    </row>
    <row r="238" spans="1:21" ht="15.5" x14ac:dyDescent="0.35">
      <c r="A238" s="301">
        <f t="shared" si="7"/>
        <v>54</v>
      </c>
      <c r="B238" s="301" t="s">
        <v>703</v>
      </c>
      <c r="C238" s="302" t="s">
        <v>772</v>
      </c>
      <c r="D238" s="306" t="s">
        <v>811</v>
      </c>
      <c r="E238" s="252" t="s">
        <v>812</v>
      </c>
      <c r="F238" s="252" t="s">
        <v>467</v>
      </c>
      <c r="G238" s="311" t="s">
        <v>846</v>
      </c>
      <c r="H238" s="312" t="s">
        <v>846</v>
      </c>
      <c r="I238" s="252"/>
      <c r="J238" s="252"/>
      <c r="K238" s="252"/>
      <c r="L238" s="269"/>
      <c r="M238" s="269"/>
      <c r="N238" s="252"/>
      <c r="O238" s="252"/>
      <c r="P238" s="252"/>
      <c r="Q238" s="252"/>
      <c r="R238" s="252"/>
      <c r="S238" s="252"/>
      <c r="T238" s="252"/>
      <c r="U238" s="252"/>
    </row>
    <row r="239" spans="1:21" ht="15.5" x14ac:dyDescent="0.35">
      <c r="A239" s="381">
        <f t="shared" si="7"/>
        <v>55</v>
      </c>
      <c r="B239" s="301" t="s">
        <v>703</v>
      </c>
      <c r="C239" s="302" t="s">
        <v>772</v>
      </c>
      <c r="D239" s="306" t="s">
        <v>813</v>
      </c>
      <c r="E239" s="252" t="s">
        <v>814</v>
      </c>
      <c r="F239" s="252" t="s">
        <v>467</v>
      </c>
      <c r="G239" s="311">
        <v>45868</v>
      </c>
      <c r="H239" s="312">
        <v>45868</v>
      </c>
      <c r="I239" s="252"/>
      <c r="J239" s="252"/>
      <c r="K239" s="252"/>
      <c r="L239" s="269"/>
      <c r="M239" s="269"/>
      <c r="N239" s="252"/>
      <c r="O239" s="252"/>
      <c r="P239" s="252"/>
      <c r="Q239" s="252"/>
      <c r="R239" s="252"/>
      <c r="S239" s="252"/>
      <c r="T239" s="252"/>
      <c r="U239" s="252"/>
    </row>
    <row r="240" spans="1:21" ht="15.5" x14ac:dyDescent="0.35">
      <c r="A240" s="382"/>
      <c r="B240" s="301" t="s">
        <v>703</v>
      </c>
      <c r="C240" s="302" t="s">
        <v>772</v>
      </c>
      <c r="D240" s="306" t="s">
        <v>815</v>
      </c>
      <c r="E240" s="252" t="s">
        <v>816</v>
      </c>
      <c r="F240" s="252" t="s">
        <v>477</v>
      </c>
      <c r="G240" s="311">
        <v>45868</v>
      </c>
      <c r="H240" s="312">
        <v>45868</v>
      </c>
      <c r="I240" s="252"/>
      <c r="J240" s="252"/>
      <c r="K240" s="252"/>
      <c r="L240" s="269"/>
      <c r="M240" s="269"/>
      <c r="N240" s="252"/>
      <c r="O240" s="252"/>
      <c r="P240" s="252"/>
      <c r="Q240" s="252"/>
      <c r="R240" s="252"/>
      <c r="S240" s="252"/>
      <c r="T240" s="252"/>
      <c r="U240" s="252"/>
    </row>
    <row r="241" spans="1:21" ht="15.5" x14ac:dyDescent="0.35">
      <c r="A241" s="301">
        <f>A239+1</f>
        <v>56</v>
      </c>
      <c r="B241" s="301" t="s">
        <v>703</v>
      </c>
      <c r="C241" s="302" t="s">
        <v>772</v>
      </c>
      <c r="D241" s="306" t="s">
        <v>817</v>
      </c>
      <c r="E241" s="252" t="s">
        <v>818</v>
      </c>
      <c r="F241" s="252" t="s">
        <v>477</v>
      </c>
      <c r="G241" s="311">
        <v>45899</v>
      </c>
      <c r="H241" s="312">
        <v>45899</v>
      </c>
      <c r="I241" s="252"/>
      <c r="J241" s="252"/>
      <c r="K241" s="252"/>
      <c r="L241" s="269"/>
      <c r="M241" s="269"/>
      <c r="N241" s="252"/>
      <c r="O241" s="252"/>
      <c r="P241" s="252"/>
      <c r="Q241" s="252"/>
      <c r="R241" s="252"/>
      <c r="S241" s="252"/>
      <c r="T241" s="252"/>
      <c r="U241" s="252"/>
    </row>
    <row r="242" spans="1:21" ht="31" x14ac:dyDescent="0.35">
      <c r="A242" s="304">
        <f t="shared" si="7"/>
        <v>57</v>
      </c>
      <c r="B242" s="301" t="s">
        <v>703</v>
      </c>
      <c r="C242" s="302" t="s">
        <v>772</v>
      </c>
      <c r="D242" s="306" t="s">
        <v>819</v>
      </c>
      <c r="E242" s="252" t="s">
        <v>820</v>
      </c>
      <c r="F242" s="252" t="s">
        <v>477</v>
      </c>
      <c r="G242" s="311">
        <v>45899</v>
      </c>
      <c r="H242" s="312">
        <v>45899</v>
      </c>
      <c r="I242" s="252"/>
      <c r="J242" s="252"/>
      <c r="K242" s="252"/>
      <c r="L242" s="269"/>
      <c r="M242" s="269"/>
      <c r="N242" s="252"/>
      <c r="O242" s="252"/>
      <c r="P242" s="252"/>
      <c r="Q242" s="252"/>
      <c r="R242" s="252"/>
      <c r="S242" s="252"/>
      <c r="T242" s="252"/>
      <c r="U242" s="252"/>
    </row>
    <row r="243" spans="1:21" ht="15.5" x14ac:dyDescent="0.35">
      <c r="A243" s="316">
        <f t="shared" si="7"/>
        <v>58</v>
      </c>
      <c r="B243" s="301" t="s">
        <v>703</v>
      </c>
      <c r="C243" s="302" t="s">
        <v>772</v>
      </c>
      <c r="D243" s="306" t="s">
        <v>821</v>
      </c>
      <c r="E243" s="252" t="s">
        <v>822</v>
      </c>
      <c r="F243" s="252" t="s">
        <v>467</v>
      </c>
      <c r="G243" s="311">
        <v>45899</v>
      </c>
      <c r="H243" s="312">
        <v>45899</v>
      </c>
      <c r="I243" s="252"/>
      <c r="J243" s="252"/>
      <c r="K243" s="252"/>
      <c r="L243" s="269"/>
      <c r="M243" s="269"/>
      <c r="N243" s="252"/>
      <c r="O243" s="252"/>
      <c r="P243" s="252"/>
      <c r="Q243" s="252"/>
      <c r="R243" s="252"/>
      <c r="S243" s="252"/>
      <c r="T243" s="252"/>
      <c r="U243" s="252"/>
    </row>
    <row r="244" spans="1:21" ht="15.5" x14ac:dyDescent="0.35">
      <c r="A244" s="383">
        <v>59</v>
      </c>
      <c r="B244" s="384" t="s">
        <v>703</v>
      </c>
      <c r="C244" s="386" t="s">
        <v>772</v>
      </c>
      <c r="D244" s="388" t="s">
        <v>823</v>
      </c>
      <c r="E244" s="374" t="s">
        <v>824</v>
      </c>
      <c r="F244" s="374" t="s">
        <v>467</v>
      </c>
      <c r="G244" s="378">
        <v>45793</v>
      </c>
      <c r="H244" s="378">
        <f>L244</f>
        <v>45793</v>
      </c>
      <c r="I244" s="374"/>
      <c r="J244" s="374"/>
      <c r="K244" s="252" t="s">
        <v>468</v>
      </c>
      <c r="L244" s="269">
        <v>45793</v>
      </c>
      <c r="M244" s="269">
        <v>45807</v>
      </c>
      <c r="N244" s="252" t="s">
        <v>469</v>
      </c>
      <c r="O244" s="252">
        <f>M244-L244</f>
        <v>14</v>
      </c>
      <c r="P244" s="252">
        <f ca="1">O1-M244</f>
        <v>60</v>
      </c>
      <c r="Q244" s="374"/>
      <c r="R244" s="374" t="s">
        <v>492</v>
      </c>
      <c r="S244" s="374" t="str">
        <f>N244</f>
        <v>CAT - III</v>
      </c>
      <c r="T244" s="374" t="s">
        <v>471</v>
      </c>
      <c r="U244" s="374">
        <f ca="1">U1-M244</f>
        <v>60</v>
      </c>
    </row>
    <row r="245" spans="1:21" ht="15.5" x14ac:dyDescent="0.35">
      <c r="A245" s="383"/>
      <c r="B245" s="385"/>
      <c r="C245" s="387"/>
      <c r="D245" s="389"/>
      <c r="E245" s="375"/>
      <c r="F245" s="375"/>
      <c r="G245" s="375"/>
      <c r="H245" s="379"/>
      <c r="I245" s="375"/>
      <c r="J245" s="375"/>
      <c r="K245" s="252" t="s">
        <v>470</v>
      </c>
      <c r="L245" s="269">
        <v>45862</v>
      </c>
      <c r="M245" s="269"/>
      <c r="N245" s="252"/>
      <c r="O245" s="252"/>
      <c r="P245" s="252"/>
      <c r="Q245" s="375"/>
      <c r="R245" s="375"/>
      <c r="S245" s="375"/>
      <c r="T245" s="375"/>
      <c r="U245" s="375"/>
    </row>
    <row r="246" spans="1:21" ht="15.5" x14ac:dyDescent="0.35">
      <c r="A246" s="317">
        <v>60</v>
      </c>
      <c r="B246" s="319" t="s">
        <v>703</v>
      </c>
      <c r="C246" s="302" t="s">
        <v>772</v>
      </c>
      <c r="D246" s="306" t="s">
        <v>825</v>
      </c>
      <c r="E246" s="252" t="s">
        <v>826</v>
      </c>
      <c r="F246" s="320" t="s">
        <v>467</v>
      </c>
      <c r="G246" s="311">
        <v>45900</v>
      </c>
      <c r="H246" s="312">
        <v>45900</v>
      </c>
      <c r="I246" s="320"/>
      <c r="J246" s="320"/>
      <c r="K246" s="252"/>
      <c r="L246" s="269"/>
      <c r="M246" s="269"/>
      <c r="N246" s="252"/>
      <c r="O246" s="252"/>
      <c r="P246" s="252"/>
      <c r="Q246" s="252"/>
      <c r="R246" s="252"/>
      <c r="S246" s="252"/>
      <c r="T246" s="252"/>
      <c r="U246" s="252"/>
    </row>
    <row r="247" spans="1:21" ht="15.5" x14ac:dyDescent="0.35">
      <c r="A247" s="317">
        <v>61</v>
      </c>
      <c r="B247" s="318" t="s">
        <v>703</v>
      </c>
      <c r="C247" s="307" t="s">
        <v>772</v>
      </c>
      <c r="D247" s="303" t="s">
        <v>827</v>
      </c>
      <c r="E247" s="270" t="s">
        <v>828</v>
      </c>
      <c r="F247" s="321" t="s">
        <v>467</v>
      </c>
      <c r="G247" s="309">
        <v>45826</v>
      </c>
      <c r="H247" s="312">
        <v>45853</v>
      </c>
      <c r="I247" s="321"/>
      <c r="J247" s="321"/>
      <c r="K247" s="270"/>
      <c r="L247" s="291"/>
      <c r="M247" s="291"/>
      <c r="N247" s="270"/>
      <c r="O247" s="270"/>
      <c r="P247" s="270"/>
      <c r="Q247" s="270"/>
      <c r="R247" s="270"/>
      <c r="S247" s="270"/>
      <c r="T247" s="270"/>
      <c r="U247" s="270"/>
    </row>
    <row r="248" spans="1:21" ht="15.5" x14ac:dyDescent="0.35">
      <c r="A248" s="373">
        <v>62</v>
      </c>
      <c r="B248" s="371" t="s">
        <v>703</v>
      </c>
      <c r="C248" s="376" t="s">
        <v>772</v>
      </c>
      <c r="D248" s="377" t="s">
        <v>829</v>
      </c>
      <c r="E248" s="373" t="s">
        <v>828</v>
      </c>
      <c r="F248" s="373" t="s">
        <v>467</v>
      </c>
      <c r="G248" s="372">
        <v>45803</v>
      </c>
      <c r="H248" s="372">
        <f>L248</f>
        <v>45803</v>
      </c>
      <c r="I248" s="373"/>
      <c r="J248" s="373"/>
      <c r="K248" s="322" t="s">
        <v>468</v>
      </c>
      <c r="L248" s="285">
        <v>45803</v>
      </c>
      <c r="M248" s="285">
        <v>45810</v>
      </c>
      <c r="N248" s="284" t="s">
        <v>469</v>
      </c>
      <c r="O248" s="284">
        <f>M248-L248</f>
        <v>7</v>
      </c>
      <c r="P248" s="323">
        <f>L249-M248</f>
        <v>8</v>
      </c>
      <c r="Q248" s="373"/>
      <c r="R248" s="370" t="s">
        <v>492</v>
      </c>
      <c r="S248" s="370" t="str">
        <f>N250</f>
        <v>CAT - I</v>
      </c>
      <c r="T248" s="370" t="s">
        <v>398</v>
      </c>
      <c r="U248" s="371">
        <f ca="1">U1-M249</f>
        <v>47</v>
      </c>
    </row>
    <row r="249" spans="1:21" ht="15.5" x14ac:dyDescent="0.35">
      <c r="A249" s="373"/>
      <c r="B249" s="371"/>
      <c r="C249" s="376"/>
      <c r="D249" s="377"/>
      <c r="E249" s="373"/>
      <c r="F249" s="373"/>
      <c r="G249" s="372"/>
      <c r="H249" s="372"/>
      <c r="I249" s="373"/>
      <c r="J249" s="373"/>
      <c r="K249" s="322" t="s">
        <v>470</v>
      </c>
      <c r="L249" s="285">
        <v>45818</v>
      </c>
      <c r="M249" s="285">
        <v>45820</v>
      </c>
      <c r="N249" s="284" t="s">
        <v>469</v>
      </c>
      <c r="O249" s="284">
        <f>M249-L249</f>
        <v>2</v>
      </c>
      <c r="P249" s="323">
        <f ca="1">O1-M249</f>
        <v>47</v>
      </c>
      <c r="Q249" s="373"/>
      <c r="R249" s="370"/>
      <c r="S249" s="370"/>
      <c r="T249" s="370"/>
      <c r="U249" s="371"/>
    </row>
    <row r="250" spans="1:21" ht="15.5" x14ac:dyDescent="0.35">
      <c r="A250" s="373"/>
      <c r="B250" s="371"/>
      <c r="C250" s="376"/>
      <c r="D250" s="377"/>
      <c r="E250" s="373"/>
      <c r="F250" s="373"/>
      <c r="G250" s="372"/>
      <c r="H250" s="372"/>
      <c r="I250" s="373"/>
      <c r="J250" s="373"/>
      <c r="K250" s="284" t="s">
        <v>472</v>
      </c>
      <c r="L250" s="285">
        <v>45835</v>
      </c>
      <c r="M250" s="285">
        <v>45839</v>
      </c>
      <c r="N250" s="284" t="s">
        <v>482</v>
      </c>
      <c r="O250" s="284"/>
      <c r="P250" s="284"/>
      <c r="Q250" s="373"/>
      <c r="R250" s="370"/>
      <c r="S250" s="370"/>
      <c r="T250" s="370"/>
      <c r="U250" s="281"/>
    </row>
  </sheetData>
  <mergeCells count="570">
    <mergeCell ref="A1:G1"/>
    <mergeCell ref="A3:A6"/>
    <mergeCell ref="B3:B6"/>
    <mergeCell ref="C3:C6"/>
    <mergeCell ref="D3:D6"/>
    <mergeCell ref="E3:E6"/>
    <mergeCell ref="F3:F6"/>
    <mergeCell ref="G3:G6"/>
    <mergeCell ref="T3:T6"/>
    <mergeCell ref="U3:U6"/>
    <mergeCell ref="A7:A8"/>
    <mergeCell ref="B7:B8"/>
    <mergeCell ref="C7:C8"/>
    <mergeCell ref="D7:D8"/>
    <mergeCell ref="E7:E8"/>
    <mergeCell ref="F7:F8"/>
    <mergeCell ref="G7:G8"/>
    <mergeCell ref="H7:H8"/>
    <mergeCell ref="H3:H6"/>
    <mergeCell ref="I3:I6"/>
    <mergeCell ref="J3:J6"/>
    <mergeCell ref="Q3:Q6"/>
    <mergeCell ref="R3:R6"/>
    <mergeCell ref="S3:S6"/>
    <mergeCell ref="U10:U11"/>
    <mergeCell ref="U7:U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I7:I8"/>
    <mergeCell ref="J7:J8"/>
    <mergeCell ref="Q7:Q8"/>
    <mergeCell ref="R7:R8"/>
    <mergeCell ref="S7:S8"/>
    <mergeCell ref="T7:T8"/>
    <mergeCell ref="C13:C14"/>
    <mergeCell ref="D13:D14"/>
    <mergeCell ref="E13:E14"/>
    <mergeCell ref="F13:F14"/>
    <mergeCell ref="J10:J11"/>
    <mergeCell ref="Q10:Q11"/>
    <mergeCell ref="R10:R11"/>
    <mergeCell ref="S10:S11"/>
    <mergeCell ref="T10:T11"/>
    <mergeCell ref="I15:I16"/>
    <mergeCell ref="J15:J16"/>
    <mergeCell ref="R15:R16"/>
    <mergeCell ref="S15:S16"/>
    <mergeCell ref="T15:T16"/>
    <mergeCell ref="U15:U16"/>
    <mergeCell ref="T13:T14"/>
    <mergeCell ref="U13:U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R13:R14"/>
    <mergeCell ref="S13:S14"/>
    <mergeCell ref="A13:A14"/>
    <mergeCell ref="B13:B14"/>
    <mergeCell ref="S19:S21"/>
    <mergeCell ref="T19:T21"/>
    <mergeCell ref="U19:U21"/>
    <mergeCell ref="A22:A24"/>
    <mergeCell ref="B22:B24"/>
    <mergeCell ref="C22:C24"/>
    <mergeCell ref="D22:D24"/>
    <mergeCell ref="E22:E24"/>
    <mergeCell ref="F22:F24"/>
    <mergeCell ref="G22:G24"/>
    <mergeCell ref="G19:G21"/>
    <mergeCell ref="H19:H21"/>
    <mergeCell ref="I19:I20"/>
    <mergeCell ref="J19:J20"/>
    <mergeCell ref="Q19:Q20"/>
    <mergeCell ref="R19:R21"/>
    <mergeCell ref="A19:A21"/>
    <mergeCell ref="B19:B21"/>
    <mergeCell ref="C19:C21"/>
    <mergeCell ref="D19:D21"/>
    <mergeCell ref="E19:E21"/>
    <mergeCell ref="F19:F21"/>
    <mergeCell ref="T22:T24"/>
    <mergeCell ref="U22:U24"/>
    <mergeCell ref="A28:A30"/>
    <mergeCell ref="B28:B30"/>
    <mergeCell ref="C28:C30"/>
    <mergeCell ref="D28:D30"/>
    <mergeCell ref="E28:E30"/>
    <mergeCell ref="F28:F30"/>
    <mergeCell ref="G28:G30"/>
    <mergeCell ref="H28:H30"/>
    <mergeCell ref="H22:H24"/>
    <mergeCell ref="I22:I24"/>
    <mergeCell ref="J22:J24"/>
    <mergeCell ref="Q22:Q24"/>
    <mergeCell ref="R22:R24"/>
    <mergeCell ref="S22:S24"/>
    <mergeCell ref="U31:U32"/>
    <mergeCell ref="U28:U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I28:I30"/>
    <mergeCell ref="J28:J30"/>
    <mergeCell ref="Q28:Q30"/>
    <mergeCell ref="R28:R30"/>
    <mergeCell ref="S28:S30"/>
    <mergeCell ref="T28:T30"/>
    <mergeCell ref="C33:C34"/>
    <mergeCell ref="D33:D34"/>
    <mergeCell ref="E33:E34"/>
    <mergeCell ref="F33:F34"/>
    <mergeCell ref="J31:J32"/>
    <mergeCell ref="Q31:Q32"/>
    <mergeCell ref="R31:R32"/>
    <mergeCell ref="S31:S32"/>
    <mergeCell ref="T31:T32"/>
    <mergeCell ref="J35:J39"/>
    <mergeCell ref="Q35:Q40"/>
    <mergeCell ref="R35:R40"/>
    <mergeCell ref="S35:S40"/>
    <mergeCell ref="T35:T40"/>
    <mergeCell ref="U35:U40"/>
    <mergeCell ref="U33:U34"/>
    <mergeCell ref="A35:A40"/>
    <mergeCell ref="B35:B40"/>
    <mergeCell ref="C35:C40"/>
    <mergeCell ref="D35:D40"/>
    <mergeCell ref="E35:E40"/>
    <mergeCell ref="F35:F40"/>
    <mergeCell ref="G35:G40"/>
    <mergeCell ref="H35:H40"/>
    <mergeCell ref="I35:I39"/>
    <mergeCell ref="G33:G34"/>
    <mergeCell ref="H33:H34"/>
    <mergeCell ref="Q33:Q34"/>
    <mergeCell ref="R33:R34"/>
    <mergeCell ref="S33:S34"/>
    <mergeCell ref="T33:T34"/>
    <mergeCell ref="A33:A34"/>
    <mergeCell ref="B33:B34"/>
    <mergeCell ref="S41:S42"/>
    <mergeCell ref="T41:T42"/>
    <mergeCell ref="A43:A44"/>
    <mergeCell ref="B43:B44"/>
    <mergeCell ref="C43:C44"/>
    <mergeCell ref="D43:D44"/>
    <mergeCell ref="E43:E44"/>
    <mergeCell ref="F43:F44"/>
    <mergeCell ref="G43:G44"/>
    <mergeCell ref="H43:H44"/>
    <mergeCell ref="G41:G42"/>
    <mergeCell ref="H41:H42"/>
    <mergeCell ref="I41:I42"/>
    <mergeCell ref="J41:J42"/>
    <mergeCell ref="Q41:Q42"/>
    <mergeCell ref="R41:R42"/>
    <mergeCell ref="A41:A42"/>
    <mergeCell ref="B41:B42"/>
    <mergeCell ref="C41:C42"/>
    <mergeCell ref="D41:D42"/>
    <mergeCell ref="E41:E42"/>
    <mergeCell ref="F41:F42"/>
    <mergeCell ref="U45:U48"/>
    <mergeCell ref="U43:U44"/>
    <mergeCell ref="A45:A50"/>
    <mergeCell ref="B45:B50"/>
    <mergeCell ref="C45:C50"/>
    <mergeCell ref="D45:D50"/>
    <mergeCell ref="E45:E50"/>
    <mergeCell ref="F45:F50"/>
    <mergeCell ref="G45:G50"/>
    <mergeCell ref="H45:H50"/>
    <mergeCell ref="I45:I49"/>
    <mergeCell ref="I43:I44"/>
    <mergeCell ref="J43:J44"/>
    <mergeCell ref="Q43:Q44"/>
    <mergeCell ref="R43:R44"/>
    <mergeCell ref="S43:S44"/>
    <mergeCell ref="T43:T44"/>
    <mergeCell ref="C51:C52"/>
    <mergeCell ref="D51:D52"/>
    <mergeCell ref="E51:E52"/>
    <mergeCell ref="F51:F52"/>
    <mergeCell ref="J45:J49"/>
    <mergeCell ref="Q45:Q49"/>
    <mergeCell ref="R45:R50"/>
    <mergeCell ref="S45:S50"/>
    <mergeCell ref="T45:T50"/>
    <mergeCell ref="I56:I60"/>
    <mergeCell ref="J56:J60"/>
    <mergeCell ref="R56:R60"/>
    <mergeCell ref="S56:S60"/>
    <mergeCell ref="T56:T60"/>
    <mergeCell ref="U56:U60"/>
    <mergeCell ref="S51:S52"/>
    <mergeCell ref="T51:T52"/>
    <mergeCell ref="A56:A60"/>
    <mergeCell ref="B56:B60"/>
    <mergeCell ref="C56:C60"/>
    <mergeCell ref="D56:D60"/>
    <mergeCell ref="E56:E60"/>
    <mergeCell ref="F56:F60"/>
    <mergeCell ref="G56:G60"/>
    <mergeCell ref="H56:H60"/>
    <mergeCell ref="G51:G52"/>
    <mergeCell ref="H51:H52"/>
    <mergeCell ref="I51:I52"/>
    <mergeCell ref="J51:J52"/>
    <mergeCell ref="Q51:Q52"/>
    <mergeCell ref="R51:R52"/>
    <mergeCell ref="A51:A52"/>
    <mergeCell ref="B51:B52"/>
    <mergeCell ref="G69:G70"/>
    <mergeCell ref="H69:H70"/>
    <mergeCell ref="Q69:Q70"/>
    <mergeCell ref="R69:R70"/>
    <mergeCell ref="S69:S70"/>
    <mergeCell ref="T69:T70"/>
    <mergeCell ref="A69:A70"/>
    <mergeCell ref="B69:B70"/>
    <mergeCell ref="C69:C70"/>
    <mergeCell ref="D69:D70"/>
    <mergeCell ref="E69:E70"/>
    <mergeCell ref="F69:F70"/>
    <mergeCell ref="G72:G73"/>
    <mergeCell ref="H72:H73"/>
    <mergeCell ref="R72:R73"/>
    <mergeCell ref="S72:S73"/>
    <mergeCell ref="T72:T73"/>
    <mergeCell ref="A85:A86"/>
    <mergeCell ref="B85:B86"/>
    <mergeCell ref="C85:C86"/>
    <mergeCell ref="D85:D86"/>
    <mergeCell ref="E85:E86"/>
    <mergeCell ref="A72:A73"/>
    <mergeCell ref="B72:B73"/>
    <mergeCell ref="C72:C73"/>
    <mergeCell ref="D72:D73"/>
    <mergeCell ref="E72:E73"/>
    <mergeCell ref="F72:F73"/>
    <mergeCell ref="R85:R86"/>
    <mergeCell ref="S85:S86"/>
    <mergeCell ref="T85:T86"/>
    <mergeCell ref="U85:U86"/>
    <mergeCell ref="A87:A89"/>
    <mergeCell ref="B87:B89"/>
    <mergeCell ref="C87:C89"/>
    <mergeCell ref="D87:D89"/>
    <mergeCell ref="E87:E89"/>
    <mergeCell ref="F87:F89"/>
    <mergeCell ref="F85:F86"/>
    <mergeCell ref="G85:G86"/>
    <mergeCell ref="H85:H86"/>
    <mergeCell ref="I85:I86"/>
    <mergeCell ref="J85:J86"/>
    <mergeCell ref="Q85:Q86"/>
    <mergeCell ref="S87:S89"/>
    <mergeCell ref="T87:T89"/>
    <mergeCell ref="U87:U89"/>
    <mergeCell ref="A110:A111"/>
    <mergeCell ref="B110:B111"/>
    <mergeCell ref="C110:C111"/>
    <mergeCell ref="D110:D111"/>
    <mergeCell ref="E110:E111"/>
    <mergeCell ref="F110:F111"/>
    <mergeCell ref="G110:G111"/>
    <mergeCell ref="G87:G89"/>
    <mergeCell ref="H87:H89"/>
    <mergeCell ref="I87:I89"/>
    <mergeCell ref="J87:J89"/>
    <mergeCell ref="Q87:Q89"/>
    <mergeCell ref="R87:R89"/>
    <mergeCell ref="H110:H111"/>
    <mergeCell ref="R110:R111"/>
    <mergeCell ref="S110:S111"/>
    <mergeCell ref="T110:T111"/>
    <mergeCell ref="U110:U111"/>
    <mergeCell ref="A112:A113"/>
    <mergeCell ref="B112:B113"/>
    <mergeCell ref="C112:C113"/>
    <mergeCell ref="D112:D113"/>
    <mergeCell ref="E112:E113"/>
    <mergeCell ref="J117:J120"/>
    <mergeCell ref="Q117:Q120"/>
    <mergeCell ref="R117:R120"/>
    <mergeCell ref="S117:S120"/>
    <mergeCell ref="T117:T120"/>
    <mergeCell ref="U117:U120"/>
    <mergeCell ref="U112:U113"/>
    <mergeCell ref="A117:A120"/>
    <mergeCell ref="B117:B120"/>
    <mergeCell ref="C117:C120"/>
    <mergeCell ref="D117:D120"/>
    <mergeCell ref="E117:E120"/>
    <mergeCell ref="F117:F120"/>
    <mergeCell ref="G117:G120"/>
    <mergeCell ref="H117:H120"/>
    <mergeCell ref="I117:I120"/>
    <mergeCell ref="F112:F113"/>
    <mergeCell ref="G112:G113"/>
    <mergeCell ref="H112:H113"/>
    <mergeCell ref="R112:R113"/>
    <mergeCell ref="S112:S113"/>
    <mergeCell ref="T112:T113"/>
    <mergeCell ref="A123:A124"/>
    <mergeCell ref="B123:B124"/>
    <mergeCell ref="C123:C124"/>
    <mergeCell ref="D123:D124"/>
    <mergeCell ref="E123:E124"/>
    <mergeCell ref="F123:F124"/>
    <mergeCell ref="G123:G124"/>
    <mergeCell ref="G121:G122"/>
    <mergeCell ref="H121:H122"/>
    <mergeCell ref="A121:A122"/>
    <mergeCell ref="B121:B122"/>
    <mergeCell ref="C121:C122"/>
    <mergeCell ref="D121:D122"/>
    <mergeCell ref="E121:E122"/>
    <mergeCell ref="F121:F122"/>
    <mergeCell ref="H123:H124"/>
    <mergeCell ref="I123:I124"/>
    <mergeCell ref="J123:J124"/>
    <mergeCell ref="R123:R124"/>
    <mergeCell ref="S123:S124"/>
    <mergeCell ref="T123:T124"/>
    <mergeCell ref="S121:S122"/>
    <mergeCell ref="T121:T122"/>
    <mergeCell ref="U121:U122"/>
    <mergeCell ref="I121:I122"/>
    <mergeCell ref="J121:J122"/>
    <mergeCell ref="Q121:Q122"/>
    <mergeCell ref="R121:R122"/>
    <mergeCell ref="S125:S128"/>
    <mergeCell ref="T125:T128"/>
    <mergeCell ref="U125:U128"/>
    <mergeCell ref="A133:A135"/>
    <mergeCell ref="B133:B135"/>
    <mergeCell ref="C133:C135"/>
    <mergeCell ref="D133:D135"/>
    <mergeCell ref="E133:E135"/>
    <mergeCell ref="F133:F135"/>
    <mergeCell ref="G133:G135"/>
    <mergeCell ref="G125:G128"/>
    <mergeCell ref="H125:H128"/>
    <mergeCell ref="I125:I127"/>
    <mergeCell ref="J125:J127"/>
    <mergeCell ref="Q125:Q128"/>
    <mergeCell ref="R125:R128"/>
    <mergeCell ref="A125:A128"/>
    <mergeCell ref="B125:B128"/>
    <mergeCell ref="C125:C128"/>
    <mergeCell ref="D125:D128"/>
    <mergeCell ref="E125:E128"/>
    <mergeCell ref="F125:F128"/>
    <mergeCell ref="J155:J156"/>
    <mergeCell ref="Q155:Q156"/>
    <mergeCell ref="R155:R156"/>
    <mergeCell ref="S155:S156"/>
    <mergeCell ref="T155:T156"/>
    <mergeCell ref="U155:U156"/>
    <mergeCell ref="U133:U135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H133:H135"/>
    <mergeCell ref="I133:I135"/>
    <mergeCell ref="J133:J135"/>
    <mergeCell ref="R133:R135"/>
    <mergeCell ref="S133:S135"/>
    <mergeCell ref="T133:T135"/>
    <mergeCell ref="S157:S160"/>
    <mergeCell ref="T157:T160"/>
    <mergeCell ref="U157:U160"/>
    <mergeCell ref="A165:A167"/>
    <mergeCell ref="B165:B167"/>
    <mergeCell ref="C165:C167"/>
    <mergeCell ref="D165:D167"/>
    <mergeCell ref="E165:E167"/>
    <mergeCell ref="F165:F167"/>
    <mergeCell ref="G165:G167"/>
    <mergeCell ref="G157:G160"/>
    <mergeCell ref="H157:H160"/>
    <mergeCell ref="I157:I159"/>
    <mergeCell ref="J157:J159"/>
    <mergeCell ref="Q157:Q159"/>
    <mergeCell ref="R157:R160"/>
    <mergeCell ref="A157:A160"/>
    <mergeCell ref="B157:B159"/>
    <mergeCell ref="C157:C160"/>
    <mergeCell ref="D157:D160"/>
    <mergeCell ref="E157:E160"/>
    <mergeCell ref="F157:F160"/>
    <mergeCell ref="J169:J171"/>
    <mergeCell ref="Q169:Q171"/>
    <mergeCell ref="R169:R171"/>
    <mergeCell ref="S169:S171"/>
    <mergeCell ref="T169:T171"/>
    <mergeCell ref="U169:U171"/>
    <mergeCell ref="T165:T167"/>
    <mergeCell ref="A169:A171"/>
    <mergeCell ref="B169:B171"/>
    <mergeCell ref="C169:C171"/>
    <mergeCell ref="D169:D171"/>
    <mergeCell ref="E169:E171"/>
    <mergeCell ref="F169:F171"/>
    <mergeCell ref="G169:G171"/>
    <mergeCell ref="H169:H171"/>
    <mergeCell ref="I169:I171"/>
    <mergeCell ref="H165:H167"/>
    <mergeCell ref="I165:I167"/>
    <mergeCell ref="J165:J167"/>
    <mergeCell ref="Q165:Q167"/>
    <mergeCell ref="R165:R167"/>
    <mergeCell ref="S165:S167"/>
    <mergeCell ref="S172:S174"/>
    <mergeCell ref="T172:T174"/>
    <mergeCell ref="U172:U174"/>
    <mergeCell ref="A177:A179"/>
    <mergeCell ref="B177:B179"/>
    <mergeCell ref="C177:C179"/>
    <mergeCell ref="D177:D179"/>
    <mergeCell ref="E177:E179"/>
    <mergeCell ref="F177:F179"/>
    <mergeCell ref="G177:G179"/>
    <mergeCell ref="G172:G174"/>
    <mergeCell ref="H172:H174"/>
    <mergeCell ref="I172:I174"/>
    <mergeCell ref="J172:J174"/>
    <mergeCell ref="Q172:Q174"/>
    <mergeCell ref="R172:R174"/>
    <mergeCell ref="A172:A174"/>
    <mergeCell ref="B172:B174"/>
    <mergeCell ref="C172:C174"/>
    <mergeCell ref="D172:D174"/>
    <mergeCell ref="E172:E174"/>
    <mergeCell ref="F172:F174"/>
    <mergeCell ref="I180:I181"/>
    <mergeCell ref="J180:J181"/>
    <mergeCell ref="R180:R181"/>
    <mergeCell ref="S180:S181"/>
    <mergeCell ref="T180:T181"/>
    <mergeCell ref="U180:U181"/>
    <mergeCell ref="T177:T179"/>
    <mergeCell ref="U177:U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H177:H179"/>
    <mergeCell ref="I177:I178"/>
    <mergeCell ref="J177:J178"/>
    <mergeCell ref="Q177:Q179"/>
    <mergeCell ref="R177:R179"/>
    <mergeCell ref="S177:S179"/>
    <mergeCell ref="G183:G184"/>
    <mergeCell ref="H183:H184"/>
    <mergeCell ref="R183:R184"/>
    <mergeCell ref="S183:S184"/>
    <mergeCell ref="T183:T184"/>
    <mergeCell ref="U183:U184"/>
    <mergeCell ref="A183:A184"/>
    <mergeCell ref="B183:B184"/>
    <mergeCell ref="C183:C184"/>
    <mergeCell ref="D183:D184"/>
    <mergeCell ref="E183:E184"/>
    <mergeCell ref="F183:F184"/>
    <mergeCell ref="U185:U186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Q191:Q192"/>
    <mergeCell ref="G185:G186"/>
    <mergeCell ref="H185:H186"/>
    <mergeCell ref="Q185:Q186"/>
    <mergeCell ref="R185:R186"/>
    <mergeCell ref="S185:S186"/>
    <mergeCell ref="T185:T186"/>
    <mergeCell ref="A185:A186"/>
    <mergeCell ref="B185:B186"/>
    <mergeCell ref="C185:C186"/>
    <mergeCell ref="D185:D186"/>
    <mergeCell ref="E185:E186"/>
    <mergeCell ref="F185:F186"/>
    <mergeCell ref="R191:R192"/>
    <mergeCell ref="S191:S192"/>
    <mergeCell ref="T191:T192"/>
    <mergeCell ref="U191:U192"/>
    <mergeCell ref="A216:A218"/>
    <mergeCell ref="B216:B217"/>
    <mergeCell ref="C216:C218"/>
    <mergeCell ref="D216:D218"/>
    <mergeCell ref="E216:E218"/>
    <mergeCell ref="F216:F217"/>
    <mergeCell ref="S216:S218"/>
    <mergeCell ref="T216:T218"/>
    <mergeCell ref="U216:U218"/>
    <mergeCell ref="A239:A240"/>
    <mergeCell ref="A244:A245"/>
    <mergeCell ref="B244:B245"/>
    <mergeCell ref="C244:C245"/>
    <mergeCell ref="D244:D245"/>
    <mergeCell ref="E244:E245"/>
    <mergeCell ref="F244:F245"/>
    <mergeCell ref="G216:G217"/>
    <mergeCell ref="H216:H217"/>
    <mergeCell ref="I216:I217"/>
    <mergeCell ref="J216:J217"/>
    <mergeCell ref="Q216:Q217"/>
    <mergeCell ref="R216:R218"/>
    <mergeCell ref="A248:A250"/>
    <mergeCell ref="B248:B250"/>
    <mergeCell ref="C248:C250"/>
    <mergeCell ref="D248:D250"/>
    <mergeCell ref="E248:E250"/>
    <mergeCell ref="F248:F250"/>
    <mergeCell ref="G248:G250"/>
    <mergeCell ref="G244:G245"/>
    <mergeCell ref="H244:H245"/>
    <mergeCell ref="T248:T250"/>
    <mergeCell ref="U248:U249"/>
    <mergeCell ref="H248:H250"/>
    <mergeCell ref="I248:I250"/>
    <mergeCell ref="J248:J250"/>
    <mergeCell ref="Q248:Q250"/>
    <mergeCell ref="R248:R250"/>
    <mergeCell ref="S248:S250"/>
    <mergeCell ref="S244:S245"/>
    <mergeCell ref="T244:T245"/>
    <mergeCell ref="U244:U245"/>
    <mergeCell ref="I244:I245"/>
    <mergeCell ref="J244:J245"/>
    <mergeCell ref="Q244:Q245"/>
    <mergeCell ref="R244:R245"/>
  </mergeCells>
  <dataValidations count="1">
    <dataValidation type="list" allowBlank="1" showInputMessage="1" showErrorMessage="1" sqref="F157 F3 F238:F244 F74:F85 F7 F219:F236 F136:F155 F43 F25:F28 F121 F172 F15 F87 I53:J56 F45 F161:F166 F193:F216 F168:F169 F9:F10 F31 F12:F13 F123 F175:F177 F129:F133 Q25 F51 F22 I157:J157 I3:J3 I238:J244 I90:J117 I7:J7 I219:J236 I136:J155 I125:J133 I43:J43 I25:J28 I121:J121 I172:J172 I15:J15 I87:J87 I33:J35 I45:J45 I161:J166 I61:J85 I168:J169 I9:J10 I31:J31 I12:J13 I123:J123 I175:J177 I51:J51 I22:J22 I17:J19 F17:F19 F53:F56 F33 F35 F185 F125 F182:F183 F61:F69 F72 F187:F191 I182:J216 I180:J180 F180 F114:F117 F90:F110 F112" xr:uid="{355A17BB-A868-451C-86D0-493942571EC1}">
      <formula1>"Approval, Information"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9F5C-FADE-4288-81BD-9D57F4232DB8}">
  <dimension ref="A1:U251"/>
  <sheetViews>
    <sheetView topLeftCell="A241" workbookViewId="0">
      <selection activeCell="C253" sqref="C253"/>
    </sheetView>
  </sheetViews>
  <sheetFormatPr defaultRowHeight="14.5" x14ac:dyDescent="0.35"/>
  <cols>
    <col min="1" max="1" width="11.08984375" bestFit="1" customWidth="1"/>
    <col min="2" max="2" width="16.26953125" bestFit="1" customWidth="1"/>
    <col min="3" max="3" width="28.1796875" bestFit="1" customWidth="1"/>
    <col min="4" max="4" width="30.26953125" customWidth="1"/>
    <col min="5" max="5" width="28.54296875" bestFit="1" customWidth="1"/>
    <col min="6" max="6" width="13.81640625" bestFit="1" customWidth="1"/>
    <col min="7" max="7" width="17.90625" bestFit="1" customWidth="1"/>
    <col min="8" max="8" width="22.36328125" bestFit="1" customWidth="1"/>
    <col min="9" max="10" width="0" hidden="1" customWidth="1"/>
    <col min="11" max="11" width="8.453125" bestFit="1" customWidth="1"/>
    <col min="12" max="13" width="17.90625" bestFit="1" customWidth="1"/>
    <col min="14" max="14" width="22.453125" bestFit="1" customWidth="1"/>
    <col min="15" max="17" width="0" hidden="1" customWidth="1"/>
    <col min="18" max="18" width="17.54296875" bestFit="1" customWidth="1"/>
    <col min="19" max="19" width="9.90625" bestFit="1" customWidth="1"/>
    <col min="20" max="20" width="26.26953125" bestFit="1" customWidth="1"/>
    <col min="21" max="21" width="22.81640625" bestFit="1" customWidth="1"/>
  </cols>
  <sheetData>
    <row r="1" spans="1:21" x14ac:dyDescent="0.35">
      <c r="A1" s="495" t="s">
        <v>444</v>
      </c>
      <c r="B1" s="495"/>
      <c r="C1" s="495"/>
      <c r="D1" s="495"/>
      <c r="E1" s="495"/>
      <c r="F1" s="495"/>
      <c r="G1" s="495"/>
      <c r="H1" s="496"/>
      <c r="I1" s="497"/>
      <c r="J1" s="498"/>
      <c r="K1" s="499"/>
      <c r="L1" s="499"/>
      <c r="M1" s="499"/>
      <c r="N1" s="500"/>
      <c r="O1" s="500">
        <f ca="1">TODAY()</f>
        <v>45867</v>
      </c>
      <c r="P1" s="499"/>
      <c r="Q1" s="499"/>
      <c r="R1" s="499"/>
      <c r="S1" s="499"/>
      <c r="T1" s="499"/>
      <c r="U1" s="501">
        <f ca="1">TODAY()</f>
        <v>45867</v>
      </c>
    </row>
    <row r="2" spans="1:21" ht="42" x14ac:dyDescent="0.35">
      <c r="A2" s="502" t="s">
        <v>445</v>
      </c>
      <c r="B2" s="502" t="s">
        <v>446</v>
      </c>
      <c r="C2" s="502" t="s">
        <v>446</v>
      </c>
      <c r="D2" s="502" t="s">
        <v>447</v>
      </c>
      <c r="E2" s="503" t="s">
        <v>448</v>
      </c>
      <c r="F2" s="503" t="s">
        <v>449</v>
      </c>
      <c r="G2" s="503" t="s">
        <v>450</v>
      </c>
      <c r="H2" s="503" t="s">
        <v>830</v>
      </c>
      <c r="I2" s="503" t="s">
        <v>451</v>
      </c>
      <c r="J2" s="503" t="s">
        <v>452</v>
      </c>
      <c r="K2" s="503" t="s">
        <v>453</v>
      </c>
      <c r="L2" s="503" t="s">
        <v>454</v>
      </c>
      <c r="M2" s="503" t="s">
        <v>455</v>
      </c>
      <c r="N2" s="503" t="s">
        <v>456</v>
      </c>
      <c r="O2" s="503" t="s">
        <v>457</v>
      </c>
      <c r="P2" s="503" t="s">
        <v>458</v>
      </c>
      <c r="Q2" s="503" t="s">
        <v>459</v>
      </c>
      <c r="R2" s="503" t="s">
        <v>460</v>
      </c>
      <c r="S2" s="503" t="s">
        <v>461</v>
      </c>
      <c r="T2" s="503" t="s">
        <v>319</v>
      </c>
      <c r="U2" s="503" t="s">
        <v>462</v>
      </c>
    </row>
    <row r="3" spans="1:21" x14ac:dyDescent="0.35">
      <c r="A3" s="504">
        <v>1</v>
      </c>
      <c r="B3" s="504" t="s">
        <v>463</v>
      </c>
      <c r="C3" s="505" t="s">
        <v>464</v>
      </c>
      <c r="D3" s="506" t="s">
        <v>465</v>
      </c>
      <c r="E3" s="504" t="s">
        <v>466</v>
      </c>
      <c r="F3" s="504" t="s">
        <v>467</v>
      </c>
      <c r="G3" s="507">
        <v>45698</v>
      </c>
      <c r="H3" s="507">
        <v>45698</v>
      </c>
      <c r="I3" s="504"/>
      <c r="J3" s="504"/>
      <c r="K3" s="497" t="s">
        <v>468</v>
      </c>
      <c r="L3" s="508">
        <v>45698</v>
      </c>
      <c r="M3" s="508"/>
      <c r="N3" s="497"/>
      <c r="O3" s="497"/>
      <c r="P3" s="497"/>
      <c r="Q3" s="504"/>
      <c r="R3" s="504" t="s">
        <v>398</v>
      </c>
      <c r="S3" s="504" t="s">
        <v>469</v>
      </c>
      <c r="T3" s="504" t="s">
        <v>471</v>
      </c>
      <c r="U3" s="504"/>
    </row>
    <row r="4" spans="1:21" x14ac:dyDescent="0.35">
      <c r="A4" s="504"/>
      <c r="B4" s="504"/>
      <c r="C4" s="505"/>
      <c r="D4" s="509"/>
      <c r="E4" s="504"/>
      <c r="F4" s="504"/>
      <c r="G4" s="507"/>
      <c r="H4" s="507"/>
      <c r="I4" s="504"/>
      <c r="J4" s="504"/>
      <c r="K4" s="497" t="s">
        <v>470</v>
      </c>
      <c r="L4" s="508">
        <v>45700</v>
      </c>
      <c r="M4" s="508">
        <v>45700</v>
      </c>
      <c r="N4" s="497"/>
      <c r="O4" s="497">
        <f>M4-L4</f>
        <v>0</v>
      </c>
      <c r="P4" s="497">
        <f>L5-M4</f>
        <v>2</v>
      </c>
      <c r="Q4" s="504"/>
      <c r="R4" s="504"/>
      <c r="S4" s="504"/>
      <c r="T4" s="504"/>
      <c r="U4" s="504"/>
    </row>
    <row r="5" spans="1:21" x14ac:dyDescent="0.35">
      <c r="A5" s="504"/>
      <c r="B5" s="504"/>
      <c r="C5" s="505"/>
      <c r="D5" s="509"/>
      <c r="E5" s="504"/>
      <c r="F5" s="504"/>
      <c r="G5" s="507"/>
      <c r="H5" s="507"/>
      <c r="I5" s="504"/>
      <c r="J5" s="504"/>
      <c r="K5" s="497" t="s">
        <v>472</v>
      </c>
      <c r="L5" s="508">
        <v>45702</v>
      </c>
      <c r="M5" s="508">
        <v>45705</v>
      </c>
      <c r="N5" s="497"/>
      <c r="O5" s="497">
        <f>M5-L5</f>
        <v>3</v>
      </c>
      <c r="P5" s="497">
        <f>L6-M5</f>
        <v>2</v>
      </c>
      <c r="Q5" s="504"/>
      <c r="R5" s="504"/>
      <c r="S5" s="504"/>
      <c r="T5" s="504"/>
      <c r="U5" s="504"/>
    </row>
    <row r="6" spans="1:21" x14ac:dyDescent="0.35">
      <c r="A6" s="504"/>
      <c r="B6" s="504"/>
      <c r="C6" s="505"/>
      <c r="D6" s="509"/>
      <c r="E6" s="504"/>
      <c r="F6" s="504"/>
      <c r="G6" s="507"/>
      <c r="H6" s="507"/>
      <c r="I6" s="504"/>
      <c r="J6" s="504"/>
      <c r="K6" s="497" t="s">
        <v>473</v>
      </c>
      <c r="L6" s="508">
        <v>45707</v>
      </c>
      <c r="M6" s="508"/>
      <c r="N6" s="497"/>
      <c r="O6" s="497"/>
      <c r="P6" s="497"/>
      <c r="Q6" s="504"/>
      <c r="R6" s="504"/>
      <c r="S6" s="504"/>
      <c r="T6" s="504"/>
      <c r="U6" s="504"/>
    </row>
    <row r="7" spans="1:21" x14ac:dyDescent="0.35">
      <c r="A7" s="510">
        <v>2</v>
      </c>
      <c r="B7" s="510" t="s">
        <v>463</v>
      </c>
      <c r="C7" s="511" t="s">
        <v>464</v>
      </c>
      <c r="D7" s="512" t="s">
        <v>475</v>
      </c>
      <c r="E7" s="510" t="s">
        <v>476</v>
      </c>
      <c r="F7" s="510" t="s">
        <v>477</v>
      </c>
      <c r="G7" s="513">
        <v>45740</v>
      </c>
      <c r="H7" s="513">
        <v>45740</v>
      </c>
      <c r="I7" s="510"/>
      <c r="J7" s="510"/>
      <c r="K7" s="514" t="s">
        <v>468</v>
      </c>
      <c r="L7" s="515">
        <v>45740</v>
      </c>
      <c r="M7" s="515">
        <v>45743</v>
      </c>
      <c r="N7" s="514" t="s">
        <v>478</v>
      </c>
      <c r="O7" s="514">
        <f>M7-L7</f>
        <v>3</v>
      </c>
      <c r="P7" s="514">
        <f>L8-M7</f>
        <v>6</v>
      </c>
      <c r="Q7" s="516">
        <f>M8</f>
        <v>45755</v>
      </c>
      <c r="R7" s="510" t="str">
        <f>T7</f>
        <v>Approved</v>
      </c>
      <c r="S7" s="510" t="str">
        <f>N8</f>
        <v>CAT -IV</v>
      </c>
      <c r="T7" s="510" t="s">
        <v>398</v>
      </c>
      <c r="U7" s="510">
        <f>M8-L8</f>
        <v>6</v>
      </c>
    </row>
    <row r="8" spans="1:21" x14ac:dyDescent="0.35">
      <c r="A8" s="510"/>
      <c r="B8" s="510"/>
      <c r="C8" s="511"/>
      <c r="D8" s="512"/>
      <c r="E8" s="510"/>
      <c r="F8" s="510"/>
      <c r="G8" s="513"/>
      <c r="H8" s="513"/>
      <c r="I8" s="510"/>
      <c r="J8" s="510"/>
      <c r="K8" s="514" t="s">
        <v>470</v>
      </c>
      <c r="L8" s="515">
        <v>45749</v>
      </c>
      <c r="M8" s="515">
        <v>45755</v>
      </c>
      <c r="N8" s="514" t="s">
        <v>479</v>
      </c>
      <c r="O8" s="514">
        <f>M8-L8</f>
        <v>6</v>
      </c>
      <c r="P8" s="514"/>
      <c r="Q8" s="516"/>
      <c r="R8" s="510"/>
      <c r="S8" s="510"/>
      <c r="T8" s="510"/>
      <c r="U8" s="510"/>
    </row>
    <row r="9" spans="1:21" ht="21" x14ac:dyDescent="0.35">
      <c r="A9" s="514">
        <v>3</v>
      </c>
      <c r="B9" s="514" t="s">
        <v>463</v>
      </c>
      <c r="C9" s="517" t="s">
        <v>464</v>
      </c>
      <c r="D9" s="518" t="s">
        <v>480</v>
      </c>
      <c r="E9" s="514" t="s">
        <v>481</v>
      </c>
      <c r="F9" s="514" t="s">
        <v>467</v>
      </c>
      <c r="G9" s="515">
        <v>45740</v>
      </c>
      <c r="H9" s="515"/>
      <c r="I9" s="514"/>
      <c r="J9" s="514"/>
      <c r="K9" s="514" t="s">
        <v>468</v>
      </c>
      <c r="L9" s="515"/>
      <c r="M9" s="515"/>
      <c r="N9" s="514"/>
      <c r="O9" s="514"/>
      <c r="P9" s="514"/>
      <c r="Q9" s="514"/>
      <c r="R9" s="514"/>
      <c r="S9" s="514"/>
      <c r="T9" s="514" t="s">
        <v>398</v>
      </c>
      <c r="U9" s="514"/>
    </row>
    <row r="10" spans="1:21" x14ac:dyDescent="0.35">
      <c r="A10" s="519">
        <v>4</v>
      </c>
      <c r="B10" s="519" t="s">
        <v>463</v>
      </c>
      <c r="C10" s="520" t="s">
        <v>464</v>
      </c>
      <c r="D10" s="521" t="s">
        <v>483</v>
      </c>
      <c r="E10" s="519" t="s">
        <v>484</v>
      </c>
      <c r="F10" s="519" t="s">
        <v>477</v>
      </c>
      <c r="G10" s="522">
        <v>45768</v>
      </c>
      <c r="H10" s="522">
        <v>45768</v>
      </c>
      <c r="I10" s="519"/>
      <c r="J10" s="519"/>
      <c r="K10" s="514" t="s">
        <v>468</v>
      </c>
      <c r="L10" s="515">
        <v>45768</v>
      </c>
      <c r="M10" s="515">
        <v>45776</v>
      </c>
      <c r="N10" s="514" t="s">
        <v>478</v>
      </c>
      <c r="O10" s="514">
        <f>M10-L10</f>
        <v>8</v>
      </c>
      <c r="P10" s="514"/>
      <c r="Q10" s="523">
        <f>M10</f>
        <v>45776</v>
      </c>
      <c r="R10" s="519" t="s">
        <v>492</v>
      </c>
      <c r="S10" s="519" t="str">
        <f>N10</f>
        <v>CAT -IV R</v>
      </c>
      <c r="T10" s="519" t="s">
        <v>474</v>
      </c>
      <c r="U10" s="519"/>
    </row>
    <row r="11" spans="1:21" x14ac:dyDescent="0.35">
      <c r="A11" s="519"/>
      <c r="B11" s="519"/>
      <c r="C11" s="520"/>
      <c r="D11" s="524"/>
      <c r="E11" s="519"/>
      <c r="F11" s="519"/>
      <c r="G11" s="522"/>
      <c r="H11" s="522"/>
      <c r="I11" s="519"/>
      <c r="J11" s="519"/>
      <c r="K11" s="514" t="s">
        <v>470</v>
      </c>
      <c r="L11" s="515">
        <v>45827</v>
      </c>
      <c r="M11" s="515">
        <v>45866</v>
      </c>
      <c r="N11" s="514" t="s">
        <v>478</v>
      </c>
      <c r="O11" s="514">
        <f ca="1">O1-L11</f>
        <v>40</v>
      </c>
      <c r="P11" s="514"/>
      <c r="Q11" s="523"/>
      <c r="R11" s="519"/>
      <c r="S11" s="519"/>
      <c r="T11" s="519"/>
      <c r="U11" s="519"/>
    </row>
    <row r="12" spans="1:21" ht="21" x14ac:dyDescent="0.35">
      <c r="A12" s="525">
        <v>5</v>
      </c>
      <c r="B12" s="526" t="s">
        <v>463</v>
      </c>
      <c r="C12" s="527" t="s">
        <v>464</v>
      </c>
      <c r="D12" s="528" t="s">
        <v>485</v>
      </c>
      <c r="E12" s="499" t="s">
        <v>486</v>
      </c>
      <c r="F12" s="497" t="s">
        <v>477</v>
      </c>
      <c r="G12" s="508">
        <v>45814</v>
      </c>
      <c r="H12" s="508">
        <v>45820</v>
      </c>
      <c r="I12" s="497"/>
      <c r="J12" s="497"/>
      <c r="K12" s="499"/>
      <c r="L12" s="529"/>
      <c r="M12" s="529"/>
      <c r="N12" s="499"/>
      <c r="O12" s="499"/>
      <c r="P12" s="499"/>
      <c r="Q12" s="499"/>
      <c r="R12" s="499"/>
      <c r="S12" s="499"/>
      <c r="T12" s="499"/>
      <c r="U12" s="499"/>
    </row>
    <row r="13" spans="1:21" x14ac:dyDescent="0.35">
      <c r="A13" s="519">
        <v>6</v>
      </c>
      <c r="B13" s="519" t="s">
        <v>463</v>
      </c>
      <c r="C13" s="520" t="s">
        <v>464</v>
      </c>
      <c r="D13" s="524" t="s">
        <v>487</v>
      </c>
      <c r="E13" s="519" t="s">
        <v>488</v>
      </c>
      <c r="F13" s="519" t="s">
        <v>477</v>
      </c>
      <c r="G13" s="522">
        <v>45814</v>
      </c>
      <c r="H13" s="522">
        <v>45815</v>
      </c>
      <c r="I13" s="519"/>
      <c r="J13" s="519"/>
      <c r="K13" s="514" t="s">
        <v>468</v>
      </c>
      <c r="L13" s="515">
        <v>45815</v>
      </c>
      <c r="M13" s="515">
        <v>45828</v>
      </c>
      <c r="N13" s="514" t="s">
        <v>478</v>
      </c>
      <c r="O13" s="514">
        <f>M13-L13</f>
        <v>13</v>
      </c>
      <c r="P13" s="514"/>
      <c r="Q13" s="514"/>
      <c r="R13" s="519" t="s">
        <v>398</v>
      </c>
      <c r="S13" s="519" t="s">
        <v>479</v>
      </c>
      <c r="T13" s="519" t="s">
        <v>398</v>
      </c>
      <c r="U13" s="519">
        <f>M14-L14</f>
        <v>12</v>
      </c>
    </row>
    <row r="14" spans="1:21" x14ac:dyDescent="0.35">
      <c r="A14" s="519"/>
      <c r="B14" s="519"/>
      <c r="C14" s="520"/>
      <c r="D14" s="524"/>
      <c r="E14" s="519"/>
      <c r="F14" s="519"/>
      <c r="G14" s="522"/>
      <c r="H14" s="522"/>
      <c r="I14" s="519"/>
      <c r="J14" s="519"/>
      <c r="K14" s="514" t="s">
        <v>470</v>
      </c>
      <c r="L14" s="515">
        <v>45834</v>
      </c>
      <c r="M14" s="515">
        <v>45846</v>
      </c>
      <c r="N14" s="514" t="s">
        <v>479</v>
      </c>
      <c r="O14" s="514">
        <f ca="1">O1-L14</f>
        <v>33</v>
      </c>
      <c r="P14" s="514"/>
      <c r="Q14" s="514"/>
      <c r="R14" s="519"/>
      <c r="S14" s="519"/>
      <c r="T14" s="519"/>
      <c r="U14" s="519"/>
    </row>
    <row r="15" spans="1:21" x14ac:dyDescent="0.35">
      <c r="A15" s="510">
        <v>7</v>
      </c>
      <c r="B15" s="510" t="s">
        <v>463</v>
      </c>
      <c r="C15" s="511" t="s">
        <v>464</v>
      </c>
      <c r="D15" s="512" t="s">
        <v>489</v>
      </c>
      <c r="E15" s="510" t="s">
        <v>490</v>
      </c>
      <c r="F15" s="510" t="s">
        <v>467</v>
      </c>
      <c r="G15" s="513">
        <v>45742</v>
      </c>
      <c r="H15" s="513">
        <v>45742</v>
      </c>
      <c r="I15" s="510"/>
      <c r="J15" s="510"/>
      <c r="K15" s="514" t="s">
        <v>468</v>
      </c>
      <c r="L15" s="515">
        <v>45742</v>
      </c>
      <c r="M15" s="515">
        <v>45751</v>
      </c>
      <c r="N15" s="514" t="s">
        <v>491</v>
      </c>
      <c r="O15" s="514">
        <f>M15-L15</f>
        <v>9</v>
      </c>
      <c r="P15" s="514">
        <f>L16-M15</f>
        <v>0</v>
      </c>
      <c r="Q15" s="514"/>
      <c r="R15" s="510" t="s">
        <v>398</v>
      </c>
      <c r="S15" s="510" t="str">
        <f>N16</f>
        <v>CAT - I</v>
      </c>
      <c r="T15" s="510" t="s">
        <v>398</v>
      </c>
      <c r="U15" s="510">
        <f ca="1">U1-L16</f>
        <v>116</v>
      </c>
    </row>
    <row r="16" spans="1:21" x14ac:dyDescent="0.35">
      <c r="A16" s="510"/>
      <c r="B16" s="510"/>
      <c r="C16" s="511"/>
      <c r="D16" s="512"/>
      <c r="E16" s="510"/>
      <c r="F16" s="510"/>
      <c r="G16" s="513"/>
      <c r="H16" s="513"/>
      <c r="I16" s="510"/>
      <c r="J16" s="510"/>
      <c r="K16" s="514" t="s">
        <v>470</v>
      </c>
      <c r="L16" s="515">
        <v>45751</v>
      </c>
      <c r="M16" s="515">
        <v>45833</v>
      </c>
      <c r="N16" s="514" t="s">
        <v>482</v>
      </c>
      <c r="O16" s="514">
        <f>M16-L16</f>
        <v>82</v>
      </c>
      <c r="P16" s="514"/>
      <c r="Q16" s="514"/>
      <c r="R16" s="510"/>
      <c r="S16" s="510"/>
      <c r="T16" s="510"/>
      <c r="U16" s="510"/>
    </row>
    <row r="17" spans="1:21" x14ac:dyDescent="0.35">
      <c r="A17" s="525">
        <v>8</v>
      </c>
      <c r="B17" s="526" t="s">
        <v>463</v>
      </c>
      <c r="C17" s="527" t="s">
        <v>464</v>
      </c>
      <c r="D17" s="528" t="s">
        <v>493</v>
      </c>
      <c r="E17" s="499" t="s">
        <v>494</v>
      </c>
      <c r="F17" s="499" t="s">
        <v>477</v>
      </c>
      <c r="G17" s="529">
        <v>45771</v>
      </c>
      <c r="H17" s="529">
        <v>45771</v>
      </c>
      <c r="I17" s="499"/>
      <c r="J17" s="499"/>
      <c r="K17" s="499" t="s">
        <v>468</v>
      </c>
      <c r="L17" s="529">
        <v>45772</v>
      </c>
      <c r="M17" s="529">
        <v>45833</v>
      </c>
      <c r="N17" s="499" t="s">
        <v>478</v>
      </c>
      <c r="O17" s="499">
        <f>M17-L17</f>
        <v>61</v>
      </c>
      <c r="P17" s="499">
        <f ca="1">O1-M17</f>
        <v>34</v>
      </c>
      <c r="Q17" s="499"/>
      <c r="R17" s="499" t="s">
        <v>499</v>
      </c>
      <c r="S17" s="499" t="str">
        <f>N17</f>
        <v>CAT -IV R</v>
      </c>
      <c r="T17" s="499" t="s">
        <v>474</v>
      </c>
      <c r="U17" s="499">
        <f ca="1">U1-L17</f>
        <v>95</v>
      </c>
    </row>
    <row r="18" spans="1:21" x14ac:dyDescent="0.35">
      <c r="A18" s="497">
        <v>9</v>
      </c>
      <c r="B18" s="497" t="s">
        <v>463</v>
      </c>
      <c r="C18" s="530" t="s">
        <v>464</v>
      </c>
      <c r="D18" s="531" t="s">
        <v>495</v>
      </c>
      <c r="E18" s="497" t="s">
        <v>496</v>
      </c>
      <c r="F18" s="497" t="s">
        <v>477</v>
      </c>
      <c r="G18" s="508"/>
      <c r="H18" s="508"/>
      <c r="I18" s="497"/>
      <c r="J18" s="497"/>
      <c r="K18" s="497"/>
      <c r="L18" s="508"/>
      <c r="M18" s="508"/>
      <c r="N18" s="497"/>
      <c r="O18" s="497"/>
      <c r="P18" s="497"/>
      <c r="Q18" s="497"/>
      <c r="R18" s="497"/>
      <c r="S18" s="497"/>
      <c r="T18" s="497"/>
      <c r="U18" s="497"/>
    </row>
    <row r="19" spans="1:21" x14ac:dyDescent="0.35">
      <c r="A19" s="532">
        <v>10</v>
      </c>
      <c r="B19" s="533" t="s">
        <v>463</v>
      </c>
      <c r="C19" s="534" t="s">
        <v>464</v>
      </c>
      <c r="D19" s="535" t="s">
        <v>497</v>
      </c>
      <c r="E19" s="536" t="s">
        <v>498</v>
      </c>
      <c r="F19" s="537" t="s">
        <v>477</v>
      </c>
      <c r="G19" s="538">
        <v>45772</v>
      </c>
      <c r="H19" s="538">
        <v>45772</v>
      </c>
      <c r="I19" s="537"/>
      <c r="J19" s="537"/>
      <c r="K19" s="499" t="s">
        <v>468</v>
      </c>
      <c r="L19" s="529">
        <v>45772</v>
      </c>
      <c r="M19" s="529">
        <v>45778</v>
      </c>
      <c r="N19" s="499" t="s">
        <v>478</v>
      </c>
      <c r="O19" s="499">
        <f>M19-L19</f>
        <v>6</v>
      </c>
      <c r="P19" s="499">
        <f>L20-M19</f>
        <v>70</v>
      </c>
      <c r="Q19" s="536"/>
      <c r="R19" s="536" t="s">
        <v>492</v>
      </c>
      <c r="S19" s="536" t="str">
        <f>N21</f>
        <v>CAT -IV R</v>
      </c>
      <c r="T19" s="536" t="s">
        <v>471</v>
      </c>
      <c r="U19" s="536">
        <f ca="1">U1-M19</f>
        <v>89</v>
      </c>
    </row>
    <row r="20" spans="1:21" x14ac:dyDescent="0.35">
      <c r="A20" s="539"/>
      <c r="B20" s="540"/>
      <c r="C20" s="541"/>
      <c r="D20" s="542"/>
      <c r="E20" s="543"/>
      <c r="F20" s="544"/>
      <c r="G20" s="545"/>
      <c r="H20" s="545"/>
      <c r="I20" s="537"/>
      <c r="J20" s="537"/>
      <c r="K20" s="499" t="s">
        <v>470</v>
      </c>
      <c r="L20" s="529">
        <v>45848</v>
      </c>
      <c r="M20" s="529">
        <v>45850</v>
      </c>
      <c r="N20" s="499" t="s">
        <v>478</v>
      </c>
      <c r="O20" s="499">
        <f ca="1">O1-L20</f>
        <v>19</v>
      </c>
      <c r="P20" s="499"/>
      <c r="Q20" s="536"/>
      <c r="R20" s="543"/>
      <c r="S20" s="543"/>
      <c r="T20" s="543"/>
      <c r="U20" s="543"/>
    </row>
    <row r="21" spans="1:21" x14ac:dyDescent="0.35">
      <c r="A21" s="539"/>
      <c r="B21" s="540"/>
      <c r="C21" s="541"/>
      <c r="D21" s="542"/>
      <c r="E21" s="543"/>
      <c r="F21" s="544"/>
      <c r="G21" s="545"/>
      <c r="H21" s="545"/>
      <c r="I21" s="546"/>
      <c r="J21" s="546"/>
      <c r="K21" s="499" t="s">
        <v>472</v>
      </c>
      <c r="L21" s="529">
        <v>45862</v>
      </c>
      <c r="M21" s="529">
        <v>45863</v>
      </c>
      <c r="N21" s="499" t="s">
        <v>478</v>
      </c>
      <c r="O21" s="499"/>
      <c r="P21" s="499"/>
      <c r="Q21" s="547"/>
      <c r="R21" s="543"/>
      <c r="S21" s="543"/>
      <c r="T21" s="543"/>
      <c r="U21" s="543"/>
    </row>
    <row r="22" spans="1:21" x14ac:dyDescent="0.35">
      <c r="A22" s="548"/>
      <c r="B22" s="549"/>
      <c r="C22" s="550"/>
      <c r="D22" s="551"/>
      <c r="E22" s="552"/>
      <c r="F22" s="553"/>
      <c r="G22" s="554"/>
      <c r="H22" s="554"/>
      <c r="I22" s="546"/>
      <c r="J22" s="546"/>
      <c r="K22" s="499" t="s">
        <v>473</v>
      </c>
      <c r="L22" s="529">
        <v>45866</v>
      </c>
      <c r="M22" s="529"/>
      <c r="N22" s="499"/>
      <c r="O22" s="499"/>
      <c r="P22" s="499"/>
      <c r="Q22" s="547"/>
      <c r="R22" s="552"/>
      <c r="S22" s="552"/>
      <c r="T22" s="552"/>
      <c r="U22" s="552"/>
    </row>
    <row r="23" spans="1:21" x14ac:dyDescent="0.35">
      <c r="A23" s="510">
        <v>11</v>
      </c>
      <c r="B23" s="510" t="s">
        <v>463</v>
      </c>
      <c r="C23" s="511" t="s">
        <v>464</v>
      </c>
      <c r="D23" s="512" t="s">
        <v>500</v>
      </c>
      <c r="E23" s="510" t="s">
        <v>501</v>
      </c>
      <c r="F23" s="510" t="s">
        <v>467</v>
      </c>
      <c r="G23" s="513">
        <v>45769</v>
      </c>
      <c r="H23" s="513">
        <f>L23</f>
        <v>45769</v>
      </c>
      <c r="I23" s="510"/>
      <c r="J23" s="510"/>
      <c r="K23" s="514" t="s">
        <v>468</v>
      </c>
      <c r="L23" s="515">
        <v>45769</v>
      </c>
      <c r="M23" s="515">
        <v>45771</v>
      </c>
      <c r="N23" s="514" t="s">
        <v>469</v>
      </c>
      <c r="O23" s="514">
        <f>M23-L23</f>
        <v>2</v>
      </c>
      <c r="P23" s="514">
        <f>L24-M23</f>
        <v>6</v>
      </c>
      <c r="Q23" s="516">
        <f>M25</f>
        <v>45793</v>
      </c>
      <c r="R23" s="510" t="s">
        <v>492</v>
      </c>
      <c r="S23" s="510" t="str">
        <f>N25</f>
        <v>CAT - I</v>
      </c>
      <c r="T23" s="510" t="s">
        <v>398</v>
      </c>
      <c r="U23" s="510">
        <f>M25-L25</f>
        <v>7</v>
      </c>
    </row>
    <row r="24" spans="1:21" x14ac:dyDescent="0.35">
      <c r="A24" s="510"/>
      <c r="B24" s="510"/>
      <c r="C24" s="511"/>
      <c r="D24" s="512"/>
      <c r="E24" s="510"/>
      <c r="F24" s="510"/>
      <c r="G24" s="513"/>
      <c r="H24" s="513"/>
      <c r="I24" s="510"/>
      <c r="J24" s="510"/>
      <c r="K24" s="514" t="s">
        <v>470</v>
      </c>
      <c r="L24" s="515">
        <v>45777</v>
      </c>
      <c r="M24" s="515">
        <v>45778</v>
      </c>
      <c r="N24" s="514" t="s">
        <v>491</v>
      </c>
      <c r="O24" s="514">
        <f>M24-L24</f>
        <v>1</v>
      </c>
      <c r="P24" s="514">
        <f>L25-M24</f>
        <v>8</v>
      </c>
      <c r="Q24" s="516"/>
      <c r="R24" s="510"/>
      <c r="S24" s="510"/>
      <c r="T24" s="510"/>
      <c r="U24" s="510"/>
    </row>
    <row r="25" spans="1:21" x14ac:dyDescent="0.35">
      <c r="A25" s="510"/>
      <c r="B25" s="510"/>
      <c r="C25" s="511"/>
      <c r="D25" s="512"/>
      <c r="E25" s="510"/>
      <c r="F25" s="510"/>
      <c r="G25" s="513"/>
      <c r="H25" s="513"/>
      <c r="I25" s="510"/>
      <c r="J25" s="510"/>
      <c r="K25" s="514" t="s">
        <v>472</v>
      </c>
      <c r="L25" s="515">
        <v>45786</v>
      </c>
      <c r="M25" s="515">
        <v>45793</v>
      </c>
      <c r="N25" s="514" t="s">
        <v>482</v>
      </c>
      <c r="O25" s="514">
        <f>M25-L25</f>
        <v>7</v>
      </c>
      <c r="P25" s="514"/>
      <c r="Q25" s="516"/>
      <c r="R25" s="510"/>
      <c r="S25" s="510"/>
      <c r="T25" s="510"/>
      <c r="U25" s="510"/>
    </row>
    <row r="26" spans="1:21" x14ac:dyDescent="0.35">
      <c r="A26" s="514">
        <v>12</v>
      </c>
      <c r="B26" s="514" t="s">
        <v>463</v>
      </c>
      <c r="C26" s="517" t="s">
        <v>464</v>
      </c>
      <c r="D26" s="518" t="s">
        <v>502</v>
      </c>
      <c r="E26" s="514" t="s">
        <v>503</v>
      </c>
      <c r="F26" s="514" t="s">
        <v>477</v>
      </c>
      <c r="G26" s="515">
        <v>45801</v>
      </c>
      <c r="H26" s="515">
        <v>45843</v>
      </c>
      <c r="I26" s="514"/>
      <c r="J26" s="514"/>
      <c r="K26" s="514" t="s">
        <v>468</v>
      </c>
      <c r="L26" s="515">
        <v>45843</v>
      </c>
      <c r="M26" s="515">
        <v>45845</v>
      </c>
      <c r="N26" s="514" t="s">
        <v>479</v>
      </c>
      <c r="O26" s="514">
        <f>M26-L26</f>
        <v>2</v>
      </c>
      <c r="P26" s="514"/>
      <c r="Q26" s="514"/>
      <c r="R26" s="514" t="s">
        <v>492</v>
      </c>
      <c r="S26" s="514" t="str">
        <f>S23</f>
        <v>CAT - I</v>
      </c>
      <c r="T26" s="514" t="s">
        <v>398</v>
      </c>
      <c r="U26" s="514"/>
    </row>
    <row r="27" spans="1:21" x14ac:dyDescent="0.35">
      <c r="A27" s="525">
        <v>13</v>
      </c>
      <c r="B27" s="526" t="s">
        <v>463</v>
      </c>
      <c r="C27" s="527" t="s">
        <v>464</v>
      </c>
      <c r="D27" s="528" t="s">
        <v>504</v>
      </c>
      <c r="E27" s="499" t="s">
        <v>505</v>
      </c>
      <c r="F27" s="497" t="s">
        <v>477</v>
      </c>
      <c r="G27" s="508">
        <v>45741</v>
      </c>
      <c r="H27" s="508"/>
      <c r="I27" s="497"/>
      <c r="J27" s="497"/>
      <c r="K27" s="499"/>
      <c r="L27" s="529"/>
      <c r="M27" s="529"/>
      <c r="N27" s="499"/>
      <c r="O27" s="499"/>
      <c r="P27" s="499"/>
      <c r="Q27" s="499"/>
      <c r="R27" s="499"/>
      <c r="S27" s="499"/>
      <c r="T27" s="499"/>
      <c r="U27" s="499"/>
    </row>
    <row r="28" spans="1:21" x14ac:dyDescent="0.35">
      <c r="A28" s="525">
        <v>14</v>
      </c>
      <c r="B28" s="526" t="s">
        <v>463</v>
      </c>
      <c r="C28" s="527" t="s">
        <v>464</v>
      </c>
      <c r="D28" s="528" t="s">
        <v>506</v>
      </c>
      <c r="E28" s="499" t="s">
        <v>507</v>
      </c>
      <c r="F28" s="497" t="s">
        <v>467</v>
      </c>
      <c r="G28" s="508">
        <v>45741</v>
      </c>
      <c r="H28" s="508"/>
      <c r="I28" s="497"/>
      <c r="J28" s="497"/>
      <c r="K28" s="499"/>
      <c r="L28" s="529"/>
      <c r="M28" s="529"/>
      <c r="N28" s="499"/>
      <c r="O28" s="499"/>
      <c r="P28" s="499"/>
      <c r="Q28" s="499"/>
      <c r="R28" s="499"/>
      <c r="S28" s="499"/>
      <c r="T28" s="499"/>
      <c r="U28" s="499"/>
    </row>
    <row r="29" spans="1:21" x14ac:dyDescent="0.35">
      <c r="A29" s="519">
        <v>1</v>
      </c>
      <c r="B29" s="519" t="s">
        <v>6</v>
      </c>
      <c r="C29" s="520" t="s">
        <v>508</v>
      </c>
      <c r="D29" s="524" t="s">
        <v>509</v>
      </c>
      <c r="E29" s="519" t="s">
        <v>510</v>
      </c>
      <c r="F29" s="519" t="s">
        <v>467</v>
      </c>
      <c r="G29" s="522">
        <v>45727</v>
      </c>
      <c r="H29" s="522">
        <f>L29</f>
        <v>45727</v>
      </c>
      <c r="I29" s="519"/>
      <c r="J29" s="519"/>
      <c r="K29" s="514" t="s">
        <v>468</v>
      </c>
      <c r="L29" s="515">
        <v>45727</v>
      </c>
      <c r="M29" s="515">
        <v>45736</v>
      </c>
      <c r="N29" s="514" t="s">
        <v>469</v>
      </c>
      <c r="O29" s="514">
        <f>M29-L29</f>
        <v>9</v>
      </c>
      <c r="P29" s="514">
        <f>L30-M29</f>
        <v>19</v>
      </c>
      <c r="Q29" s="519"/>
      <c r="R29" s="519" t="s">
        <v>398</v>
      </c>
      <c r="S29" s="519" t="str">
        <f>N31</f>
        <v>CAT - I</v>
      </c>
      <c r="T29" s="519" t="s">
        <v>398</v>
      </c>
      <c r="U29" s="519">
        <f ca="1">U1-L31</f>
        <v>62</v>
      </c>
    </row>
    <row r="30" spans="1:21" x14ac:dyDescent="0.35">
      <c r="A30" s="519"/>
      <c r="B30" s="519"/>
      <c r="C30" s="520"/>
      <c r="D30" s="524"/>
      <c r="E30" s="519"/>
      <c r="F30" s="519"/>
      <c r="G30" s="522"/>
      <c r="H30" s="522"/>
      <c r="I30" s="519"/>
      <c r="J30" s="519"/>
      <c r="K30" s="514" t="s">
        <v>470</v>
      </c>
      <c r="L30" s="515">
        <v>45755</v>
      </c>
      <c r="M30" s="515">
        <v>45758</v>
      </c>
      <c r="N30" s="514" t="s">
        <v>491</v>
      </c>
      <c r="O30" s="514">
        <f>M30-L30</f>
        <v>3</v>
      </c>
      <c r="P30" s="514">
        <f>L31-M30</f>
        <v>47</v>
      </c>
      <c r="Q30" s="519"/>
      <c r="R30" s="519"/>
      <c r="S30" s="519"/>
      <c r="T30" s="519"/>
      <c r="U30" s="519"/>
    </row>
    <row r="31" spans="1:21" x14ac:dyDescent="0.35">
      <c r="A31" s="519"/>
      <c r="B31" s="519"/>
      <c r="C31" s="520"/>
      <c r="D31" s="524"/>
      <c r="E31" s="519"/>
      <c r="F31" s="519"/>
      <c r="G31" s="522"/>
      <c r="H31" s="522"/>
      <c r="I31" s="519"/>
      <c r="J31" s="519"/>
      <c r="K31" s="514" t="s">
        <v>472</v>
      </c>
      <c r="L31" s="515">
        <v>45805</v>
      </c>
      <c r="M31" s="515">
        <v>45810</v>
      </c>
      <c r="N31" s="514" t="s">
        <v>482</v>
      </c>
      <c r="O31" s="514">
        <f>M31-L31</f>
        <v>5</v>
      </c>
      <c r="P31" s="514"/>
      <c r="Q31" s="519"/>
      <c r="R31" s="519"/>
      <c r="S31" s="519"/>
      <c r="T31" s="519"/>
      <c r="U31" s="519"/>
    </row>
    <row r="32" spans="1:21" x14ac:dyDescent="0.35">
      <c r="A32" s="519">
        <v>2</v>
      </c>
      <c r="B32" s="519" t="s">
        <v>6</v>
      </c>
      <c r="C32" s="520" t="s">
        <v>508</v>
      </c>
      <c r="D32" s="524" t="s">
        <v>831</v>
      </c>
      <c r="E32" s="519" t="s">
        <v>511</v>
      </c>
      <c r="F32" s="519" t="s">
        <v>467</v>
      </c>
      <c r="G32" s="522">
        <v>45805</v>
      </c>
      <c r="H32" s="522">
        <f>L32</f>
        <v>45811</v>
      </c>
      <c r="I32" s="519"/>
      <c r="J32" s="519"/>
      <c r="K32" s="514" t="s">
        <v>468</v>
      </c>
      <c r="L32" s="515">
        <v>45811</v>
      </c>
      <c r="M32" s="515">
        <v>45818</v>
      </c>
      <c r="N32" s="514" t="s">
        <v>469</v>
      </c>
      <c r="O32" s="514">
        <f>M32-L32</f>
        <v>7</v>
      </c>
      <c r="P32" s="514">
        <f>L33-M32</f>
        <v>15</v>
      </c>
      <c r="Q32" s="519"/>
      <c r="R32" s="519" t="s">
        <v>492</v>
      </c>
      <c r="S32" s="519" t="str">
        <f>N33</f>
        <v>CAT - I</v>
      </c>
      <c r="T32" s="519" t="s">
        <v>398</v>
      </c>
      <c r="U32" s="519">
        <f ca="1">U1-L32</f>
        <v>56</v>
      </c>
    </row>
    <row r="33" spans="1:21" x14ac:dyDescent="0.35">
      <c r="A33" s="519"/>
      <c r="B33" s="519"/>
      <c r="C33" s="520"/>
      <c r="D33" s="524"/>
      <c r="E33" s="519"/>
      <c r="F33" s="519"/>
      <c r="G33" s="522"/>
      <c r="H33" s="522"/>
      <c r="I33" s="519"/>
      <c r="J33" s="519"/>
      <c r="K33" s="514" t="s">
        <v>470</v>
      </c>
      <c r="L33" s="515">
        <v>45833</v>
      </c>
      <c r="M33" s="515">
        <v>45846</v>
      </c>
      <c r="N33" s="514" t="s">
        <v>482</v>
      </c>
      <c r="O33" s="514">
        <f ca="1">O1-L33</f>
        <v>34</v>
      </c>
      <c r="P33" s="514"/>
      <c r="Q33" s="519"/>
      <c r="R33" s="519"/>
      <c r="S33" s="519"/>
      <c r="T33" s="519"/>
      <c r="U33" s="519"/>
    </row>
    <row r="34" spans="1:21" x14ac:dyDescent="0.35">
      <c r="A34" s="532">
        <v>3</v>
      </c>
      <c r="B34" s="533" t="s">
        <v>6</v>
      </c>
      <c r="C34" s="555" t="s">
        <v>508</v>
      </c>
      <c r="D34" s="556" t="s">
        <v>512</v>
      </c>
      <c r="E34" s="536" t="s">
        <v>513</v>
      </c>
      <c r="F34" s="537" t="s">
        <v>467</v>
      </c>
      <c r="G34" s="538">
        <v>45795</v>
      </c>
      <c r="H34" s="538">
        <f>L34</f>
        <v>45813</v>
      </c>
      <c r="I34" s="497"/>
      <c r="J34" s="497"/>
      <c r="K34" s="499" t="s">
        <v>468</v>
      </c>
      <c r="L34" s="529">
        <v>45813</v>
      </c>
      <c r="M34" s="529">
        <v>45828</v>
      </c>
      <c r="N34" s="499" t="s">
        <v>469</v>
      </c>
      <c r="O34" s="499">
        <f t="shared" ref="O34:O40" si="0">M34-L34</f>
        <v>15</v>
      </c>
      <c r="P34" s="499">
        <f>L35-M34</f>
        <v>21</v>
      </c>
      <c r="Q34" s="536"/>
      <c r="R34" s="536" t="s">
        <v>492</v>
      </c>
      <c r="S34" s="536" t="str">
        <f>N34</f>
        <v>CAT - III</v>
      </c>
      <c r="T34" s="536" t="s">
        <v>471</v>
      </c>
      <c r="U34" s="536">
        <f ca="1">U1-L34</f>
        <v>54</v>
      </c>
    </row>
    <row r="35" spans="1:21" x14ac:dyDescent="0.35">
      <c r="A35" s="532"/>
      <c r="B35" s="533"/>
      <c r="C35" s="555"/>
      <c r="D35" s="556"/>
      <c r="E35" s="536"/>
      <c r="F35" s="537"/>
      <c r="G35" s="538"/>
      <c r="H35" s="538"/>
      <c r="I35" s="546"/>
      <c r="J35" s="546"/>
      <c r="K35" s="499" t="s">
        <v>470</v>
      </c>
      <c r="L35" s="529">
        <v>45849</v>
      </c>
      <c r="M35" s="529"/>
      <c r="N35" s="499"/>
      <c r="O35" s="499">
        <f ca="1">O1-L35</f>
        <v>18</v>
      </c>
      <c r="P35" s="499"/>
      <c r="Q35" s="536"/>
      <c r="R35" s="536"/>
      <c r="S35" s="536"/>
      <c r="T35" s="536"/>
      <c r="U35" s="536"/>
    </row>
    <row r="36" spans="1:21" x14ac:dyDescent="0.35">
      <c r="A36" s="519">
        <v>4</v>
      </c>
      <c r="B36" s="519" t="s">
        <v>6</v>
      </c>
      <c r="C36" s="557" t="s">
        <v>508</v>
      </c>
      <c r="D36" s="521" t="s">
        <v>514</v>
      </c>
      <c r="E36" s="519" t="s">
        <v>515</v>
      </c>
      <c r="F36" s="519" t="s">
        <v>467</v>
      </c>
      <c r="G36" s="522">
        <v>45751</v>
      </c>
      <c r="H36" s="522">
        <f>L36</f>
        <v>45727</v>
      </c>
      <c r="I36" s="519"/>
      <c r="J36" s="519"/>
      <c r="K36" s="514" t="s">
        <v>468</v>
      </c>
      <c r="L36" s="515">
        <v>45727</v>
      </c>
      <c r="M36" s="515">
        <v>45736</v>
      </c>
      <c r="N36" s="514" t="s">
        <v>491</v>
      </c>
      <c r="O36" s="514">
        <f t="shared" si="0"/>
        <v>9</v>
      </c>
      <c r="P36" s="514">
        <f>L37-M36</f>
        <v>19</v>
      </c>
      <c r="Q36" s="558">
        <f>M40</f>
        <v>45825</v>
      </c>
      <c r="R36" s="519" t="s">
        <v>492</v>
      </c>
      <c r="S36" s="519" t="str">
        <f>N41</f>
        <v>CAT - I</v>
      </c>
      <c r="T36" s="519" t="s">
        <v>398</v>
      </c>
      <c r="U36" s="519">
        <f>M38-L38</f>
        <v>1</v>
      </c>
    </row>
    <row r="37" spans="1:21" x14ac:dyDescent="0.35">
      <c r="A37" s="519"/>
      <c r="B37" s="519"/>
      <c r="C37" s="557"/>
      <c r="D37" s="524"/>
      <c r="E37" s="519"/>
      <c r="F37" s="519"/>
      <c r="G37" s="522"/>
      <c r="H37" s="522"/>
      <c r="I37" s="519"/>
      <c r="J37" s="519"/>
      <c r="K37" s="514" t="s">
        <v>470</v>
      </c>
      <c r="L37" s="515">
        <v>45755</v>
      </c>
      <c r="M37" s="515">
        <v>45758</v>
      </c>
      <c r="N37" s="514" t="s">
        <v>482</v>
      </c>
      <c r="O37" s="514">
        <f t="shared" si="0"/>
        <v>3</v>
      </c>
      <c r="P37" s="514">
        <f>L38-M37</f>
        <v>25</v>
      </c>
      <c r="Q37" s="558"/>
      <c r="R37" s="519"/>
      <c r="S37" s="519"/>
      <c r="T37" s="519"/>
      <c r="U37" s="519"/>
    </row>
    <row r="38" spans="1:21" x14ac:dyDescent="0.35">
      <c r="A38" s="519"/>
      <c r="B38" s="519"/>
      <c r="C38" s="557"/>
      <c r="D38" s="524"/>
      <c r="E38" s="519"/>
      <c r="F38" s="519"/>
      <c r="G38" s="522"/>
      <c r="H38" s="522"/>
      <c r="I38" s="519"/>
      <c r="J38" s="519"/>
      <c r="K38" s="514" t="s">
        <v>472</v>
      </c>
      <c r="L38" s="515">
        <v>45783</v>
      </c>
      <c r="M38" s="515">
        <v>45784</v>
      </c>
      <c r="N38" s="514" t="s">
        <v>482</v>
      </c>
      <c r="O38" s="514">
        <f t="shared" si="0"/>
        <v>1</v>
      </c>
      <c r="P38" s="514">
        <f>L39-M38</f>
        <v>21</v>
      </c>
      <c r="Q38" s="558"/>
      <c r="R38" s="519"/>
      <c r="S38" s="519"/>
      <c r="T38" s="519"/>
      <c r="U38" s="519"/>
    </row>
    <row r="39" spans="1:21" x14ac:dyDescent="0.35">
      <c r="A39" s="519"/>
      <c r="B39" s="519"/>
      <c r="C39" s="557"/>
      <c r="D39" s="524"/>
      <c r="E39" s="519"/>
      <c r="F39" s="519"/>
      <c r="G39" s="522"/>
      <c r="H39" s="522"/>
      <c r="I39" s="519"/>
      <c r="J39" s="519"/>
      <c r="K39" s="514" t="s">
        <v>473</v>
      </c>
      <c r="L39" s="515">
        <v>45805</v>
      </c>
      <c r="M39" s="515">
        <v>45807</v>
      </c>
      <c r="N39" s="514" t="s">
        <v>491</v>
      </c>
      <c r="O39" s="514">
        <f t="shared" si="0"/>
        <v>2</v>
      </c>
      <c r="P39" s="514"/>
      <c r="Q39" s="558"/>
      <c r="R39" s="519"/>
      <c r="S39" s="519"/>
      <c r="T39" s="519"/>
      <c r="U39" s="519"/>
    </row>
    <row r="40" spans="1:21" x14ac:dyDescent="0.35">
      <c r="A40" s="519"/>
      <c r="B40" s="519"/>
      <c r="C40" s="557"/>
      <c r="D40" s="524"/>
      <c r="E40" s="519"/>
      <c r="F40" s="519"/>
      <c r="G40" s="522"/>
      <c r="H40" s="522"/>
      <c r="I40" s="519"/>
      <c r="J40" s="519"/>
      <c r="K40" s="514" t="s">
        <v>834</v>
      </c>
      <c r="L40" s="515">
        <v>45825</v>
      </c>
      <c r="M40" s="515">
        <v>45825</v>
      </c>
      <c r="N40" s="514" t="s">
        <v>482</v>
      </c>
      <c r="O40" s="514">
        <f t="shared" si="0"/>
        <v>0</v>
      </c>
      <c r="P40" s="514"/>
      <c r="Q40" s="558"/>
      <c r="R40" s="519"/>
      <c r="S40" s="519"/>
      <c r="T40" s="519"/>
      <c r="U40" s="519"/>
    </row>
    <row r="41" spans="1:21" x14ac:dyDescent="0.35">
      <c r="A41" s="519"/>
      <c r="B41" s="519"/>
      <c r="C41" s="557"/>
      <c r="D41" s="524"/>
      <c r="E41" s="519"/>
      <c r="F41" s="519"/>
      <c r="G41" s="522"/>
      <c r="H41" s="522"/>
      <c r="I41" s="559"/>
      <c r="J41" s="559"/>
      <c r="K41" s="514" t="s">
        <v>841</v>
      </c>
      <c r="L41" s="515">
        <v>45855</v>
      </c>
      <c r="M41" s="515">
        <v>45859</v>
      </c>
      <c r="N41" s="514" t="s">
        <v>482</v>
      </c>
      <c r="O41" s="514">
        <f>M41-L41</f>
        <v>4</v>
      </c>
      <c r="P41" s="514"/>
      <c r="Q41" s="558"/>
      <c r="R41" s="519"/>
      <c r="S41" s="519"/>
      <c r="T41" s="519"/>
      <c r="U41" s="519"/>
    </row>
    <row r="42" spans="1:21" x14ac:dyDescent="0.35">
      <c r="A42" s="519">
        <v>5</v>
      </c>
      <c r="B42" s="519" t="s">
        <v>6</v>
      </c>
      <c r="C42" s="520" t="s">
        <v>508</v>
      </c>
      <c r="D42" s="524" t="s">
        <v>516</v>
      </c>
      <c r="E42" s="519" t="s">
        <v>518</v>
      </c>
      <c r="F42" s="519" t="s">
        <v>467</v>
      </c>
      <c r="G42" s="522">
        <v>45811</v>
      </c>
      <c r="H42" s="522">
        <f>L42</f>
        <v>45811</v>
      </c>
      <c r="I42" s="519"/>
      <c r="J42" s="519"/>
      <c r="K42" s="514" t="s">
        <v>468</v>
      </c>
      <c r="L42" s="515">
        <v>45811</v>
      </c>
      <c r="M42" s="515">
        <v>45818</v>
      </c>
      <c r="N42" s="514" t="s">
        <v>469</v>
      </c>
      <c r="O42" s="514">
        <f>M42-L42</f>
        <v>7</v>
      </c>
      <c r="P42" s="514">
        <f>L43-M42</f>
        <v>15</v>
      </c>
      <c r="Q42" s="519"/>
      <c r="R42" s="519" t="s">
        <v>492</v>
      </c>
      <c r="S42" s="519" t="str">
        <f>N43</f>
        <v>CAT - I</v>
      </c>
      <c r="T42" s="519" t="s">
        <v>398</v>
      </c>
      <c r="U42" s="514">
        <f ca="1">U1-L42</f>
        <v>56</v>
      </c>
    </row>
    <row r="43" spans="1:21" x14ac:dyDescent="0.35">
      <c r="A43" s="519"/>
      <c r="B43" s="519"/>
      <c r="C43" s="520"/>
      <c r="D43" s="524"/>
      <c r="E43" s="519"/>
      <c r="F43" s="519"/>
      <c r="G43" s="522"/>
      <c r="H43" s="522"/>
      <c r="I43" s="519"/>
      <c r="J43" s="519"/>
      <c r="K43" s="514" t="s">
        <v>470</v>
      </c>
      <c r="L43" s="515">
        <v>45833</v>
      </c>
      <c r="M43" s="515">
        <v>45846</v>
      </c>
      <c r="N43" s="514" t="s">
        <v>482</v>
      </c>
      <c r="O43" s="514">
        <f>M43-L43</f>
        <v>13</v>
      </c>
      <c r="P43" s="514"/>
      <c r="Q43" s="519"/>
      <c r="R43" s="519"/>
      <c r="S43" s="519"/>
      <c r="T43" s="519"/>
      <c r="U43" s="514"/>
    </row>
    <row r="44" spans="1:21" x14ac:dyDescent="0.35">
      <c r="A44" s="510">
        <v>6</v>
      </c>
      <c r="B44" s="510" t="s">
        <v>6</v>
      </c>
      <c r="C44" s="511" t="s">
        <v>508</v>
      </c>
      <c r="D44" s="512" t="s">
        <v>517</v>
      </c>
      <c r="E44" s="510" t="s">
        <v>518</v>
      </c>
      <c r="F44" s="510" t="s">
        <v>467</v>
      </c>
      <c r="G44" s="513">
        <v>45751</v>
      </c>
      <c r="H44" s="513">
        <f>L44</f>
        <v>45727</v>
      </c>
      <c r="I44" s="510"/>
      <c r="J44" s="510"/>
      <c r="K44" s="514" t="s">
        <v>468</v>
      </c>
      <c r="L44" s="515">
        <v>45727</v>
      </c>
      <c r="M44" s="515">
        <v>45736</v>
      </c>
      <c r="N44" s="514" t="s">
        <v>469</v>
      </c>
      <c r="O44" s="514">
        <f t="shared" ref="O44:O61" si="1">M44-L44</f>
        <v>9</v>
      </c>
      <c r="P44" s="514">
        <f>L45-M44</f>
        <v>19</v>
      </c>
      <c r="Q44" s="560">
        <v>45758</v>
      </c>
      <c r="R44" s="510" t="s">
        <v>499</v>
      </c>
      <c r="S44" s="510" t="str">
        <f>N45</f>
        <v>CAT - I</v>
      </c>
      <c r="T44" s="510" t="s">
        <v>398</v>
      </c>
      <c r="U44" s="510"/>
    </row>
    <row r="45" spans="1:21" x14ac:dyDescent="0.35">
      <c r="A45" s="510"/>
      <c r="B45" s="510"/>
      <c r="C45" s="511"/>
      <c r="D45" s="512"/>
      <c r="E45" s="510"/>
      <c r="F45" s="510"/>
      <c r="G45" s="513"/>
      <c r="H45" s="513"/>
      <c r="I45" s="510"/>
      <c r="J45" s="510"/>
      <c r="K45" s="514" t="s">
        <v>470</v>
      </c>
      <c r="L45" s="515">
        <v>45755</v>
      </c>
      <c r="M45" s="515">
        <v>45758</v>
      </c>
      <c r="N45" s="514" t="s">
        <v>482</v>
      </c>
      <c r="O45" s="514">
        <f t="shared" si="1"/>
        <v>3</v>
      </c>
      <c r="P45" s="514"/>
      <c r="Q45" s="560"/>
      <c r="R45" s="510"/>
      <c r="S45" s="510"/>
      <c r="T45" s="510"/>
      <c r="U45" s="510"/>
    </row>
    <row r="46" spans="1:21" x14ac:dyDescent="0.35">
      <c r="A46" s="519">
        <v>7</v>
      </c>
      <c r="B46" s="519" t="s">
        <v>6</v>
      </c>
      <c r="C46" s="557" t="s">
        <v>508</v>
      </c>
      <c r="D46" s="561" t="s">
        <v>519</v>
      </c>
      <c r="E46" s="519" t="s">
        <v>520</v>
      </c>
      <c r="F46" s="519" t="s">
        <v>477</v>
      </c>
      <c r="G46" s="522">
        <v>45769</v>
      </c>
      <c r="H46" s="522">
        <f>L46</f>
        <v>45769</v>
      </c>
      <c r="I46" s="519"/>
      <c r="J46" s="519"/>
      <c r="K46" s="514" t="s">
        <v>468</v>
      </c>
      <c r="L46" s="515">
        <v>45769</v>
      </c>
      <c r="M46" s="515">
        <v>45779</v>
      </c>
      <c r="N46" s="514" t="s">
        <v>521</v>
      </c>
      <c r="O46" s="514">
        <f t="shared" si="1"/>
        <v>10</v>
      </c>
      <c r="P46" s="514">
        <f>L47-M46</f>
        <v>3</v>
      </c>
      <c r="Q46" s="523">
        <f>M46</f>
        <v>45779</v>
      </c>
      <c r="R46" s="519" t="s">
        <v>492</v>
      </c>
      <c r="S46" s="519" t="str">
        <f>N47</f>
        <v xml:space="preserve">CAT -IV </v>
      </c>
      <c r="T46" s="562" t="s">
        <v>471</v>
      </c>
      <c r="U46" s="519"/>
    </row>
    <row r="47" spans="1:21" x14ac:dyDescent="0.35">
      <c r="A47" s="563"/>
      <c r="B47" s="563"/>
      <c r="C47" s="564"/>
      <c r="D47" s="565"/>
      <c r="E47" s="563"/>
      <c r="F47" s="563"/>
      <c r="G47" s="566"/>
      <c r="H47" s="566"/>
      <c r="I47" s="519"/>
      <c r="J47" s="519"/>
      <c r="K47" s="514" t="s">
        <v>470</v>
      </c>
      <c r="L47" s="515">
        <v>45782</v>
      </c>
      <c r="M47" s="515">
        <v>45784</v>
      </c>
      <c r="N47" s="514" t="s">
        <v>521</v>
      </c>
      <c r="O47" s="514">
        <f t="shared" si="1"/>
        <v>2</v>
      </c>
      <c r="P47" s="514">
        <f>L49-M47</f>
        <v>41</v>
      </c>
      <c r="Q47" s="523"/>
      <c r="R47" s="563"/>
      <c r="S47" s="563"/>
      <c r="T47" s="567"/>
      <c r="U47" s="519"/>
    </row>
    <row r="48" spans="1:21" x14ac:dyDescent="0.35">
      <c r="A48" s="563"/>
      <c r="B48" s="563"/>
      <c r="C48" s="564"/>
      <c r="D48" s="565"/>
      <c r="E48" s="563"/>
      <c r="F48" s="563"/>
      <c r="G48" s="566"/>
      <c r="H48" s="566"/>
      <c r="I48" s="519"/>
      <c r="J48" s="519"/>
      <c r="K48" s="514" t="s">
        <v>472</v>
      </c>
      <c r="L48" s="515">
        <v>45805</v>
      </c>
      <c r="M48" s="515">
        <v>45807</v>
      </c>
      <c r="N48" s="514" t="s">
        <v>521</v>
      </c>
      <c r="O48" s="514">
        <f t="shared" si="1"/>
        <v>2</v>
      </c>
      <c r="P48" s="514">
        <f>L49-M48</f>
        <v>18</v>
      </c>
      <c r="Q48" s="523"/>
      <c r="R48" s="563"/>
      <c r="S48" s="563"/>
      <c r="T48" s="567"/>
      <c r="U48" s="519"/>
    </row>
    <row r="49" spans="1:21" x14ac:dyDescent="0.35">
      <c r="A49" s="563"/>
      <c r="B49" s="563"/>
      <c r="C49" s="564"/>
      <c r="D49" s="565"/>
      <c r="E49" s="563"/>
      <c r="F49" s="563"/>
      <c r="G49" s="566"/>
      <c r="H49" s="566"/>
      <c r="I49" s="519"/>
      <c r="J49" s="519"/>
      <c r="K49" s="514" t="s">
        <v>473</v>
      </c>
      <c r="L49" s="515">
        <v>45825</v>
      </c>
      <c r="M49" s="515">
        <v>45825</v>
      </c>
      <c r="N49" s="514" t="s">
        <v>521</v>
      </c>
      <c r="O49" s="514">
        <f t="shared" si="1"/>
        <v>0</v>
      </c>
      <c r="P49" s="514"/>
      <c r="Q49" s="523"/>
      <c r="R49" s="563"/>
      <c r="S49" s="563"/>
      <c r="T49" s="567"/>
      <c r="U49" s="519"/>
    </row>
    <row r="50" spans="1:21" x14ac:dyDescent="0.35">
      <c r="A50" s="563"/>
      <c r="B50" s="563"/>
      <c r="C50" s="564"/>
      <c r="D50" s="565"/>
      <c r="E50" s="563"/>
      <c r="F50" s="563"/>
      <c r="G50" s="566"/>
      <c r="H50" s="566"/>
      <c r="I50" s="519"/>
      <c r="J50" s="519"/>
      <c r="K50" s="568" t="s">
        <v>834</v>
      </c>
      <c r="L50" s="569">
        <v>45838</v>
      </c>
      <c r="M50" s="569">
        <v>45838</v>
      </c>
      <c r="N50" s="568" t="s">
        <v>521</v>
      </c>
      <c r="O50" s="568">
        <f t="shared" si="1"/>
        <v>0</v>
      </c>
      <c r="P50" s="568"/>
      <c r="Q50" s="523"/>
      <c r="R50" s="563"/>
      <c r="S50" s="563"/>
      <c r="T50" s="567"/>
      <c r="U50" s="570"/>
    </row>
    <row r="51" spans="1:21" x14ac:dyDescent="0.35">
      <c r="A51" s="571"/>
      <c r="B51" s="571"/>
      <c r="C51" s="572"/>
      <c r="D51" s="573"/>
      <c r="E51" s="571"/>
      <c r="F51" s="571"/>
      <c r="G51" s="574"/>
      <c r="H51" s="574"/>
      <c r="I51" s="568"/>
      <c r="J51" s="568"/>
      <c r="K51" s="514" t="s">
        <v>841</v>
      </c>
      <c r="L51" s="569">
        <v>45866</v>
      </c>
      <c r="M51" s="514"/>
      <c r="N51" s="514"/>
      <c r="O51" s="575"/>
      <c r="P51" s="575"/>
      <c r="Q51" s="576"/>
      <c r="R51" s="571"/>
      <c r="S51" s="571"/>
      <c r="T51" s="577"/>
      <c r="U51" s="570"/>
    </row>
    <row r="52" spans="1:21" x14ac:dyDescent="0.35">
      <c r="A52" s="519">
        <v>8</v>
      </c>
      <c r="B52" s="519" t="s">
        <v>6</v>
      </c>
      <c r="C52" s="520" t="s">
        <v>508</v>
      </c>
      <c r="D52" s="524" t="s">
        <v>522</v>
      </c>
      <c r="E52" s="519" t="s">
        <v>523</v>
      </c>
      <c r="F52" s="519" t="s">
        <v>477</v>
      </c>
      <c r="G52" s="522">
        <v>45811</v>
      </c>
      <c r="H52" s="522">
        <f>L52</f>
        <v>45811</v>
      </c>
      <c r="I52" s="519"/>
      <c r="J52" s="519"/>
      <c r="K52" s="578" t="s">
        <v>468</v>
      </c>
      <c r="L52" s="579">
        <v>45811</v>
      </c>
      <c r="M52" s="579">
        <v>45818</v>
      </c>
      <c r="N52" s="578" t="s">
        <v>478</v>
      </c>
      <c r="O52" s="578">
        <f t="shared" si="1"/>
        <v>7</v>
      </c>
      <c r="P52" s="578">
        <f>L53-M52</f>
        <v>15</v>
      </c>
      <c r="Q52" s="580"/>
      <c r="R52" s="519" t="s">
        <v>492</v>
      </c>
      <c r="S52" s="519" t="str">
        <f>N53</f>
        <v xml:space="preserve">CAT -IV </v>
      </c>
      <c r="T52" s="519" t="s">
        <v>398</v>
      </c>
      <c r="U52" s="514"/>
    </row>
    <row r="53" spans="1:21" x14ac:dyDescent="0.35">
      <c r="A53" s="519"/>
      <c r="B53" s="519"/>
      <c r="C53" s="520"/>
      <c r="D53" s="524"/>
      <c r="E53" s="519"/>
      <c r="F53" s="519"/>
      <c r="G53" s="522"/>
      <c r="H53" s="522"/>
      <c r="I53" s="519"/>
      <c r="J53" s="519"/>
      <c r="K53" s="578" t="s">
        <v>470</v>
      </c>
      <c r="L53" s="579">
        <v>45833</v>
      </c>
      <c r="M53" s="579">
        <v>45846</v>
      </c>
      <c r="N53" s="578" t="s">
        <v>521</v>
      </c>
      <c r="O53" s="578">
        <f t="shared" si="1"/>
        <v>13</v>
      </c>
      <c r="P53" s="578"/>
      <c r="Q53" s="580"/>
      <c r="R53" s="519"/>
      <c r="S53" s="519"/>
      <c r="T53" s="519"/>
      <c r="U53" s="514"/>
    </row>
    <row r="54" spans="1:21" x14ac:dyDescent="0.35">
      <c r="A54" s="514">
        <v>9</v>
      </c>
      <c r="B54" s="514" t="s">
        <v>6</v>
      </c>
      <c r="C54" s="517" t="s">
        <v>508</v>
      </c>
      <c r="D54" s="518" t="s">
        <v>524</v>
      </c>
      <c r="E54" s="514" t="s">
        <v>525</v>
      </c>
      <c r="F54" s="514" t="s">
        <v>477</v>
      </c>
      <c r="G54" s="515">
        <v>45824</v>
      </c>
      <c r="H54" s="515">
        <v>45842</v>
      </c>
      <c r="I54" s="514"/>
      <c r="J54" s="514"/>
      <c r="K54" s="570" t="s">
        <v>468</v>
      </c>
      <c r="L54" s="581">
        <v>45842</v>
      </c>
      <c r="M54" s="581">
        <v>45845</v>
      </c>
      <c r="N54" s="570" t="s">
        <v>521</v>
      </c>
      <c r="O54" s="570">
        <f t="shared" si="1"/>
        <v>3</v>
      </c>
      <c r="P54" s="570"/>
      <c r="Q54" s="582">
        <v>45845</v>
      </c>
      <c r="R54" s="514" t="s">
        <v>492</v>
      </c>
      <c r="S54" s="514" t="s">
        <v>521</v>
      </c>
      <c r="T54" s="514" t="s">
        <v>398</v>
      </c>
      <c r="U54" s="514"/>
    </row>
    <row r="55" spans="1:21" x14ac:dyDescent="0.35">
      <c r="A55" s="547">
        <v>10</v>
      </c>
      <c r="B55" s="499" t="s">
        <v>6</v>
      </c>
      <c r="C55" s="583" t="s">
        <v>508</v>
      </c>
      <c r="D55" s="584" t="s">
        <v>842</v>
      </c>
      <c r="E55" s="499" t="s">
        <v>843</v>
      </c>
      <c r="F55" s="499" t="s">
        <v>477</v>
      </c>
      <c r="G55" s="529">
        <v>45824</v>
      </c>
      <c r="H55" s="529">
        <f>L55</f>
        <v>45848</v>
      </c>
      <c r="I55" s="499"/>
      <c r="J55" s="499"/>
      <c r="K55" s="585" t="s">
        <v>468</v>
      </c>
      <c r="L55" s="586">
        <v>45848</v>
      </c>
      <c r="M55" s="586">
        <v>45850</v>
      </c>
      <c r="N55" s="585" t="s">
        <v>478</v>
      </c>
      <c r="O55" s="585">
        <f t="shared" si="1"/>
        <v>2</v>
      </c>
      <c r="P55" s="585"/>
      <c r="Q55" s="587"/>
      <c r="R55" s="499" t="s">
        <v>499</v>
      </c>
      <c r="S55" s="499" t="str">
        <f>N55</f>
        <v>CAT -IV R</v>
      </c>
      <c r="T55" s="499" t="s">
        <v>474</v>
      </c>
      <c r="U55" s="547"/>
    </row>
    <row r="56" spans="1:21" x14ac:dyDescent="0.35">
      <c r="A56" s="568">
        <v>11</v>
      </c>
      <c r="B56" s="514" t="s">
        <v>6</v>
      </c>
      <c r="C56" s="517" t="s">
        <v>508</v>
      </c>
      <c r="D56" s="518" t="s">
        <v>844</v>
      </c>
      <c r="E56" s="514" t="s">
        <v>845</v>
      </c>
      <c r="F56" s="514" t="s">
        <v>477</v>
      </c>
      <c r="G56" s="515">
        <v>45824</v>
      </c>
      <c r="H56" s="515">
        <f>L56</f>
        <v>45848</v>
      </c>
      <c r="I56" s="514"/>
      <c r="J56" s="514"/>
      <c r="K56" s="570" t="s">
        <v>468</v>
      </c>
      <c r="L56" s="581">
        <v>45848</v>
      </c>
      <c r="M56" s="581">
        <v>45850</v>
      </c>
      <c r="N56" s="568" t="s">
        <v>521</v>
      </c>
      <c r="O56" s="570">
        <f t="shared" si="1"/>
        <v>2</v>
      </c>
      <c r="P56" s="570"/>
      <c r="Q56" s="582"/>
      <c r="R56" s="514" t="s">
        <v>492</v>
      </c>
      <c r="S56" s="514" t="s">
        <v>521</v>
      </c>
      <c r="T56" s="514" t="s">
        <v>398</v>
      </c>
      <c r="U56" s="568"/>
    </row>
    <row r="57" spans="1:21" x14ac:dyDescent="0.35">
      <c r="A57" s="532">
        <v>1</v>
      </c>
      <c r="B57" s="588" t="s">
        <v>6</v>
      </c>
      <c r="C57" s="589" t="s">
        <v>526</v>
      </c>
      <c r="D57" s="590" t="s">
        <v>527</v>
      </c>
      <c r="E57" s="591" t="s">
        <v>528</v>
      </c>
      <c r="F57" s="591" t="s">
        <v>467</v>
      </c>
      <c r="G57" s="592">
        <v>45763</v>
      </c>
      <c r="H57" s="592">
        <f>L57</f>
        <v>45763</v>
      </c>
      <c r="I57" s="591"/>
      <c r="J57" s="591"/>
      <c r="K57" s="499" t="s">
        <v>468</v>
      </c>
      <c r="L57" s="529">
        <v>45763</v>
      </c>
      <c r="M57" s="529">
        <v>45784</v>
      </c>
      <c r="N57" s="499" t="s">
        <v>469</v>
      </c>
      <c r="O57" s="499">
        <f t="shared" si="1"/>
        <v>21</v>
      </c>
      <c r="P57" s="499">
        <f>L61-M57</f>
        <v>69</v>
      </c>
      <c r="Q57" s="499"/>
      <c r="R57" s="536" t="s">
        <v>499</v>
      </c>
      <c r="S57" s="536" t="str">
        <f>N61</f>
        <v>CAT - II</v>
      </c>
      <c r="T57" s="536" t="s">
        <v>471</v>
      </c>
      <c r="U57" s="536"/>
    </row>
    <row r="58" spans="1:21" x14ac:dyDescent="0.35">
      <c r="A58" s="532"/>
      <c r="B58" s="588"/>
      <c r="C58" s="589"/>
      <c r="D58" s="590"/>
      <c r="E58" s="591"/>
      <c r="F58" s="591"/>
      <c r="G58" s="592"/>
      <c r="H58" s="592"/>
      <c r="I58" s="591"/>
      <c r="J58" s="591"/>
      <c r="K58" s="499" t="s">
        <v>470</v>
      </c>
      <c r="L58" s="529">
        <v>45791</v>
      </c>
      <c r="M58" s="529">
        <v>45800</v>
      </c>
      <c r="N58" s="499" t="s">
        <v>469</v>
      </c>
      <c r="O58" s="499">
        <f t="shared" si="1"/>
        <v>9</v>
      </c>
      <c r="P58" s="499">
        <f>L59-M58</f>
        <v>16</v>
      </c>
      <c r="Q58" s="499"/>
      <c r="R58" s="536"/>
      <c r="S58" s="536"/>
      <c r="T58" s="536"/>
      <c r="U58" s="536"/>
    </row>
    <row r="59" spans="1:21" x14ac:dyDescent="0.35">
      <c r="A59" s="532"/>
      <c r="B59" s="588"/>
      <c r="C59" s="589"/>
      <c r="D59" s="590"/>
      <c r="E59" s="591"/>
      <c r="F59" s="591"/>
      <c r="G59" s="592"/>
      <c r="H59" s="592"/>
      <c r="I59" s="591"/>
      <c r="J59" s="591"/>
      <c r="K59" s="499" t="s">
        <v>472</v>
      </c>
      <c r="L59" s="529">
        <v>45816</v>
      </c>
      <c r="M59" s="529">
        <v>45821</v>
      </c>
      <c r="N59" s="499" t="s">
        <v>469</v>
      </c>
      <c r="O59" s="499">
        <f t="shared" si="1"/>
        <v>5</v>
      </c>
      <c r="P59" s="499">
        <f>L61-M59</f>
        <v>32</v>
      </c>
      <c r="Q59" s="499"/>
      <c r="R59" s="536"/>
      <c r="S59" s="536"/>
      <c r="T59" s="536"/>
      <c r="U59" s="536"/>
    </row>
    <row r="60" spans="1:21" x14ac:dyDescent="0.35">
      <c r="A60" s="532"/>
      <c r="B60" s="588"/>
      <c r="C60" s="589"/>
      <c r="D60" s="590"/>
      <c r="E60" s="591"/>
      <c r="F60" s="591"/>
      <c r="G60" s="592"/>
      <c r="H60" s="592"/>
      <c r="I60" s="591"/>
      <c r="J60" s="591"/>
      <c r="K60" s="499" t="s">
        <v>473</v>
      </c>
      <c r="L60" s="529">
        <v>45825</v>
      </c>
      <c r="M60" s="529">
        <v>45827</v>
      </c>
      <c r="N60" s="499" t="s">
        <v>491</v>
      </c>
      <c r="O60" s="499">
        <f>M60-L60</f>
        <v>2</v>
      </c>
      <c r="P60" s="499"/>
      <c r="Q60" s="499"/>
      <c r="R60" s="536"/>
      <c r="S60" s="536"/>
      <c r="T60" s="536"/>
      <c r="U60" s="536"/>
    </row>
    <row r="61" spans="1:21" x14ac:dyDescent="0.35">
      <c r="A61" s="532"/>
      <c r="B61" s="588"/>
      <c r="C61" s="589"/>
      <c r="D61" s="590"/>
      <c r="E61" s="591"/>
      <c r="F61" s="591"/>
      <c r="G61" s="592"/>
      <c r="H61" s="592"/>
      <c r="I61" s="591"/>
      <c r="J61" s="591"/>
      <c r="K61" s="499" t="s">
        <v>834</v>
      </c>
      <c r="L61" s="529">
        <v>45853</v>
      </c>
      <c r="M61" s="529"/>
      <c r="N61" s="499" t="s">
        <v>491</v>
      </c>
      <c r="O61" s="499">
        <f t="shared" si="1"/>
        <v>-45853</v>
      </c>
      <c r="P61" s="499"/>
      <c r="Q61" s="499"/>
      <c r="R61" s="536"/>
      <c r="S61" s="536"/>
      <c r="T61" s="536"/>
      <c r="U61" s="536"/>
    </row>
    <row r="62" spans="1:21" ht="21" x14ac:dyDescent="0.35">
      <c r="A62" s="525">
        <v>2</v>
      </c>
      <c r="B62" s="526" t="s">
        <v>6</v>
      </c>
      <c r="C62" s="527" t="s">
        <v>526</v>
      </c>
      <c r="D62" s="528" t="s">
        <v>529</v>
      </c>
      <c r="E62" s="499" t="s">
        <v>530</v>
      </c>
      <c r="F62" s="497" t="s">
        <v>467</v>
      </c>
      <c r="G62" s="508">
        <v>45868</v>
      </c>
      <c r="H62" s="508">
        <v>45868</v>
      </c>
      <c r="I62" s="497"/>
      <c r="J62" s="497"/>
      <c r="K62" s="499"/>
      <c r="L62" s="529"/>
      <c r="M62" s="529"/>
      <c r="N62" s="499"/>
      <c r="O62" s="499"/>
      <c r="P62" s="499"/>
      <c r="Q62" s="499"/>
      <c r="R62" s="499"/>
      <c r="S62" s="499"/>
      <c r="T62" s="499"/>
      <c r="U62" s="499"/>
    </row>
    <row r="63" spans="1:21" ht="21" x14ac:dyDescent="0.35">
      <c r="A63" s="525">
        <v>3</v>
      </c>
      <c r="B63" s="526" t="s">
        <v>6</v>
      </c>
      <c r="C63" s="527" t="s">
        <v>526</v>
      </c>
      <c r="D63" s="528" t="s">
        <v>531</v>
      </c>
      <c r="E63" s="499" t="s">
        <v>532</v>
      </c>
      <c r="F63" s="499" t="s">
        <v>467</v>
      </c>
      <c r="G63" s="529">
        <v>45843</v>
      </c>
      <c r="H63" s="529">
        <v>45856</v>
      </c>
      <c r="I63" s="499"/>
      <c r="J63" s="499"/>
      <c r="K63" s="499"/>
      <c r="L63" s="529"/>
      <c r="M63" s="529"/>
      <c r="N63" s="499"/>
      <c r="O63" s="499"/>
      <c r="P63" s="499"/>
      <c r="Q63" s="499"/>
      <c r="R63" s="499"/>
      <c r="S63" s="499"/>
      <c r="T63" s="499"/>
      <c r="U63" s="499"/>
    </row>
    <row r="64" spans="1:21" x14ac:dyDescent="0.35">
      <c r="A64" s="525">
        <v>4</v>
      </c>
      <c r="B64" s="526" t="s">
        <v>6</v>
      </c>
      <c r="C64" s="527" t="s">
        <v>526</v>
      </c>
      <c r="D64" s="528" t="s">
        <v>533</v>
      </c>
      <c r="E64" s="499" t="s">
        <v>534</v>
      </c>
      <c r="F64" s="499" t="s">
        <v>467</v>
      </c>
      <c r="G64" s="529">
        <v>45838</v>
      </c>
      <c r="H64" s="529">
        <v>45856</v>
      </c>
      <c r="I64" s="499"/>
      <c r="J64" s="499"/>
      <c r="K64" s="499"/>
      <c r="L64" s="529"/>
      <c r="M64" s="529"/>
      <c r="N64" s="499"/>
      <c r="O64" s="499"/>
      <c r="P64" s="499"/>
      <c r="Q64" s="499"/>
      <c r="R64" s="499"/>
      <c r="S64" s="499"/>
      <c r="T64" s="499"/>
      <c r="U64" s="499"/>
    </row>
    <row r="65" spans="1:21" ht="21" x14ac:dyDescent="0.35">
      <c r="A65" s="525">
        <v>5</v>
      </c>
      <c r="B65" s="526" t="s">
        <v>6</v>
      </c>
      <c r="C65" s="527" t="s">
        <v>526</v>
      </c>
      <c r="D65" s="528" t="s">
        <v>535</v>
      </c>
      <c r="E65" s="499" t="s">
        <v>536</v>
      </c>
      <c r="F65" s="499" t="s">
        <v>467</v>
      </c>
      <c r="G65" s="529">
        <v>45874</v>
      </c>
      <c r="H65" s="529">
        <v>45874</v>
      </c>
      <c r="I65" s="499"/>
      <c r="J65" s="499"/>
      <c r="K65" s="499"/>
      <c r="L65" s="529"/>
      <c r="M65" s="529"/>
      <c r="N65" s="499"/>
      <c r="O65" s="499"/>
      <c r="P65" s="499"/>
      <c r="Q65" s="499"/>
      <c r="R65" s="499"/>
      <c r="S65" s="499"/>
      <c r="T65" s="499"/>
      <c r="U65" s="499"/>
    </row>
    <row r="66" spans="1:21" x14ac:dyDescent="0.35">
      <c r="A66" s="525">
        <v>6</v>
      </c>
      <c r="B66" s="526" t="s">
        <v>6</v>
      </c>
      <c r="C66" s="527" t="s">
        <v>526</v>
      </c>
      <c r="D66" s="528" t="s">
        <v>537</v>
      </c>
      <c r="E66" s="499" t="s">
        <v>538</v>
      </c>
      <c r="F66" s="499" t="s">
        <v>467</v>
      </c>
      <c r="G66" s="529">
        <v>45905</v>
      </c>
      <c r="H66" s="529">
        <v>45905</v>
      </c>
      <c r="I66" s="499"/>
      <c r="J66" s="499"/>
      <c r="K66" s="499"/>
      <c r="L66" s="529"/>
      <c r="M66" s="529"/>
      <c r="N66" s="499"/>
      <c r="O66" s="499"/>
      <c r="P66" s="499"/>
      <c r="Q66" s="499"/>
      <c r="R66" s="499"/>
      <c r="S66" s="499"/>
      <c r="T66" s="499"/>
      <c r="U66" s="499"/>
    </row>
    <row r="67" spans="1:21" x14ac:dyDescent="0.35">
      <c r="A67" s="525">
        <v>7</v>
      </c>
      <c r="B67" s="526" t="s">
        <v>6</v>
      </c>
      <c r="C67" s="527" t="s">
        <v>526</v>
      </c>
      <c r="D67" s="528" t="s">
        <v>539</v>
      </c>
      <c r="E67" s="499" t="s">
        <v>540</v>
      </c>
      <c r="F67" s="499" t="s">
        <v>467</v>
      </c>
      <c r="G67" s="529">
        <v>45908</v>
      </c>
      <c r="H67" s="529">
        <v>45908</v>
      </c>
      <c r="I67" s="499"/>
      <c r="J67" s="499"/>
      <c r="K67" s="499"/>
      <c r="L67" s="529"/>
      <c r="M67" s="529"/>
      <c r="N67" s="499"/>
      <c r="O67" s="499"/>
      <c r="P67" s="499"/>
      <c r="Q67" s="499"/>
      <c r="R67" s="499"/>
      <c r="S67" s="499"/>
      <c r="T67" s="499"/>
      <c r="U67" s="499"/>
    </row>
    <row r="68" spans="1:21" x14ac:dyDescent="0.35">
      <c r="A68" s="525">
        <v>8</v>
      </c>
      <c r="B68" s="526" t="s">
        <v>6</v>
      </c>
      <c r="C68" s="527" t="s">
        <v>526</v>
      </c>
      <c r="D68" s="528" t="s">
        <v>541</v>
      </c>
      <c r="E68" s="499" t="s">
        <v>542</v>
      </c>
      <c r="F68" s="499" t="s">
        <v>467</v>
      </c>
      <c r="G68" s="529">
        <v>45858</v>
      </c>
      <c r="H68" s="529">
        <v>45858</v>
      </c>
      <c r="I68" s="499"/>
      <c r="J68" s="499"/>
      <c r="K68" s="499"/>
      <c r="L68" s="529"/>
      <c r="M68" s="529"/>
      <c r="N68" s="499"/>
      <c r="O68" s="499"/>
      <c r="P68" s="499"/>
      <c r="Q68" s="499"/>
      <c r="R68" s="499"/>
      <c r="S68" s="499"/>
      <c r="T68" s="499"/>
      <c r="U68" s="499"/>
    </row>
    <row r="69" spans="1:21" x14ac:dyDescent="0.35">
      <c r="A69" s="525">
        <v>9</v>
      </c>
      <c r="B69" s="526" t="s">
        <v>6</v>
      </c>
      <c r="C69" s="527" t="s">
        <v>526</v>
      </c>
      <c r="D69" s="528" t="s">
        <v>543</v>
      </c>
      <c r="E69" s="499" t="s">
        <v>544</v>
      </c>
      <c r="F69" s="499" t="s">
        <v>467</v>
      </c>
      <c r="G69" s="529">
        <v>45868</v>
      </c>
      <c r="H69" s="529">
        <v>45868</v>
      </c>
      <c r="I69" s="499"/>
      <c r="J69" s="499"/>
      <c r="K69" s="499"/>
      <c r="L69" s="529"/>
      <c r="M69" s="529"/>
      <c r="N69" s="499"/>
      <c r="O69" s="499"/>
      <c r="P69" s="499"/>
      <c r="Q69" s="499"/>
      <c r="R69" s="499"/>
      <c r="S69" s="499"/>
      <c r="T69" s="499"/>
      <c r="U69" s="499"/>
    </row>
    <row r="70" spans="1:21" x14ac:dyDescent="0.35">
      <c r="A70" s="532">
        <v>1</v>
      </c>
      <c r="B70" s="533" t="s">
        <v>6</v>
      </c>
      <c r="C70" s="534" t="s">
        <v>545</v>
      </c>
      <c r="D70" s="556" t="s">
        <v>546</v>
      </c>
      <c r="E70" s="536" t="s">
        <v>547</v>
      </c>
      <c r="F70" s="536" t="s">
        <v>467</v>
      </c>
      <c r="G70" s="592">
        <v>45825</v>
      </c>
      <c r="H70" s="592">
        <f>L70</f>
        <v>45835</v>
      </c>
      <c r="I70" s="499"/>
      <c r="J70" s="499"/>
      <c r="K70" s="499" t="s">
        <v>468</v>
      </c>
      <c r="L70" s="529">
        <v>45835</v>
      </c>
      <c r="M70" s="529">
        <v>45845</v>
      </c>
      <c r="N70" s="499" t="s">
        <v>469</v>
      </c>
      <c r="O70" s="499">
        <f>M70-L70</f>
        <v>10</v>
      </c>
      <c r="P70" s="499">
        <f ca="1">O1-M70</f>
        <v>22</v>
      </c>
      <c r="Q70" s="536"/>
      <c r="R70" s="536" t="s">
        <v>492</v>
      </c>
      <c r="S70" s="536" t="str">
        <f>N70</f>
        <v>CAT - III</v>
      </c>
      <c r="T70" s="536" t="s">
        <v>471</v>
      </c>
      <c r="U70" s="499"/>
    </row>
    <row r="71" spans="1:21" x14ac:dyDescent="0.35">
      <c r="A71" s="548"/>
      <c r="B71" s="549"/>
      <c r="C71" s="550"/>
      <c r="D71" s="593"/>
      <c r="E71" s="552"/>
      <c r="F71" s="552"/>
      <c r="G71" s="594"/>
      <c r="H71" s="594"/>
      <c r="I71" s="499"/>
      <c r="J71" s="499"/>
      <c r="K71" s="499" t="s">
        <v>470</v>
      </c>
      <c r="L71" s="529">
        <v>45856</v>
      </c>
      <c r="M71" s="529"/>
      <c r="N71" s="499"/>
      <c r="O71" s="499"/>
      <c r="P71" s="499"/>
      <c r="Q71" s="552"/>
      <c r="R71" s="552"/>
      <c r="S71" s="552"/>
      <c r="T71" s="552"/>
      <c r="U71" s="499"/>
    </row>
    <row r="72" spans="1:21" x14ac:dyDescent="0.35">
      <c r="A72" s="595">
        <v>2</v>
      </c>
      <c r="B72" s="596"/>
      <c r="C72" s="597" t="s">
        <v>545</v>
      </c>
      <c r="D72" s="598" t="s">
        <v>546</v>
      </c>
      <c r="E72" s="599" t="s">
        <v>851</v>
      </c>
      <c r="F72" s="599"/>
      <c r="G72" s="600"/>
      <c r="H72" s="600"/>
      <c r="I72" s="499"/>
      <c r="J72" s="499"/>
      <c r="K72" s="499" t="s">
        <v>468</v>
      </c>
      <c r="L72" s="529">
        <v>45861</v>
      </c>
      <c r="M72" s="529">
        <v>45862</v>
      </c>
      <c r="N72" s="499" t="s">
        <v>469</v>
      </c>
      <c r="O72" s="499"/>
      <c r="P72" s="499"/>
      <c r="Q72" s="499"/>
      <c r="R72" s="499" t="s">
        <v>499</v>
      </c>
      <c r="S72" s="499" t="str">
        <f>N72</f>
        <v>CAT - III</v>
      </c>
      <c r="T72" s="499" t="s">
        <v>474</v>
      </c>
      <c r="U72" s="499"/>
    </row>
    <row r="73" spans="1:21" x14ac:dyDescent="0.35">
      <c r="A73" s="532">
        <v>3</v>
      </c>
      <c r="B73" s="533" t="s">
        <v>6</v>
      </c>
      <c r="C73" s="534" t="s">
        <v>545</v>
      </c>
      <c r="D73" s="556" t="s">
        <v>548</v>
      </c>
      <c r="E73" s="536" t="s">
        <v>549</v>
      </c>
      <c r="F73" s="536" t="s">
        <v>467</v>
      </c>
      <c r="G73" s="592">
        <v>45825</v>
      </c>
      <c r="H73" s="592">
        <f>L73</f>
        <v>45835</v>
      </c>
      <c r="I73" s="499"/>
      <c r="J73" s="499"/>
      <c r="K73" s="499" t="s">
        <v>468</v>
      </c>
      <c r="L73" s="529">
        <v>45835</v>
      </c>
      <c r="M73" s="529"/>
      <c r="N73" s="499"/>
      <c r="O73" s="499">
        <f ca="1">O1-L73</f>
        <v>32</v>
      </c>
      <c r="P73" s="499"/>
      <c r="Q73" s="499"/>
      <c r="R73" s="536" t="s">
        <v>492</v>
      </c>
      <c r="S73" s="536" t="s">
        <v>469</v>
      </c>
      <c r="T73" s="536" t="s">
        <v>471</v>
      </c>
      <c r="U73" s="499"/>
    </row>
    <row r="74" spans="1:21" x14ac:dyDescent="0.35">
      <c r="A74" s="548"/>
      <c r="B74" s="549"/>
      <c r="C74" s="550"/>
      <c r="D74" s="593"/>
      <c r="E74" s="552"/>
      <c r="F74" s="552"/>
      <c r="G74" s="594"/>
      <c r="H74" s="594"/>
      <c r="I74" s="499"/>
      <c r="J74" s="499"/>
      <c r="K74" s="499" t="s">
        <v>470</v>
      </c>
      <c r="L74" s="529">
        <v>45856</v>
      </c>
      <c r="M74" s="529"/>
      <c r="N74" s="499"/>
      <c r="O74" s="499"/>
      <c r="P74" s="499"/>
      <c r="Q74" s="499"/>
      <c r="R74" s="552"/>
      <c r="S74" s="552"/>
      <c r="T74" s="552"/>
      <c r="U74" s="499"/>
    </row>
    <row r="75" spans="1:21" ht="21" x14ac:dyDescent="0.35">
      <c r="A75" s="525">
        <v>4</v>
      </c>
      <c r="B75" s="526" t="s">
        <v>6</v>
      </c>
      <c r="C75" s="527" t="s">
        <v>545</v>
      </c>
      <c r="D75" s="528" t="s">
        <v>550</v>
      </c>
      <c r="E75" s="499" t="s">
        <v>551</v>
      </c>
      <c r="F75" s="499" t="s">
        <v>467</v>
      </c>
      <c r="G75" s="529">
        <v>45828</v>
      </c>
      <c r="H75" s="529">
        <v>45843</v>
      </c>
      <c r="I75" s="499"/>
      <c r="J75" s="499"/>
      <c r="K75" s="499" t="s">
        <v>468</v>
      </c>
      <c r="L75" s="529">
        <v>45861</v>
      </c>
      <c r="M75" s="529"/>
      <c r="N75" s="499"/>
      <c r="O75" s="499"/>
      <c r="P75" s="499"/>
      <c r="Q75" s="499"/>
      <c r="R75" s="499" t="s">
        <v>492</v>
      </c>
      <c r="S75" s="499"/>
      <c r="T75" s="499" t="s">
        <v>471</v>
      </c>
      <c r="U75" s="499"/>
    </row>
    <row r="76" spans="1:21" ht="21" x14ac:dyDescent="0.35">
      <c r="A76" s="525">
        <v>5</v>
      </c>
      <c r="B76" s="526" t="s">
        <v>6</v>
      </c>
      <c r="C76" s="527" t="s">
        <v>545</v>
      </c>
      <c r="D76" s="528" t="s">
        <v>552</v>
      </c>
      <c r="E76" s="499" t="s">
        <v>553</v>
      </c>
      <c r="F76" s="499" t="s">
        <v>467</v>
      </c>
      <c r="G76" s="529">
        <v>45823</v>
      </c>
      <c r="H76" s="529">
        <v>45853</v>
      </c>
      <c r="I76" s="499"/>
      <c r="J76" s="499"/>
      <c r="K76" s="499" t="s">
        <v>468</v>
      </c>
      <c r="L76" s="529">
        <v>45861</v>
      </c>
      <c r="M76" s="529"/>
      <c r="N76" s="499"/>
      <c r="O76" s="499"/>
      <c r="P76" s="499"/>
      <c r="Q76" s="499"/>
      <c r="R76" s="499" t="s">
        <v>492</v>
      </c>
      <c r="S76" s="499"/>
      <c r="T76" s="499" t="s">
        <v>471</v>
      </c>
      <c r="U76" s="499"/>
    </row>
    <row r="77" spans="1:21" x14ac:dyDescent="0.35">
      <c r="A77" s="525">
        <v>6</v>
      </c>
      <c r="B77" s="526" t="s">
        <v>6</v>
      </c>
      <c r="C77" s="527" t="s">
        <v>545</v>
      </c>
      <c r="D77" s="528" t="s">
        <v>554</v>
      </c>
      <c r="E77" s="499" t="s">
        <v>555</v>
      </c>
      <c r="F77" s="499" t="s">
        <v>467</v>
      </c>
      <c r="G77" s="529">
        <v>45833</v>
      </c>
      <c r="H77" s="529">
        <v>45853</v>
      </c>
      <c r="I77" s="499"/>
      <c r="J77" s="499"/>
      <c r="K77" s="499" t="s">
        <v>468</v>
      </c>
      <c r="L77" s="529">
        <v>45861</v>
      </c>
      <c r="M77" s="529"/>
      <c r="N77" s="499"/>
      <c r="O77" s="499"/>
      <c r="P77" s="499"/>
      <c r="Q77" s="499"/>
      <c r="R77" s="499" t="s">
        <v>492</v>
      </c>
      <c r="S77" s="499"/>
      <c r="T77" s="499" t="s">
        <v>471</v>
      </c>
      <c r="U77" s="499"/>
    </row>
    <row r="78" spans="1:21" x14ac:dyDescent="0.35">
      <c r="A78" s="525">
        <v>7</v>
      </c>
      <c r="B78" s="526" t="s">
        <v>6</v>
      </c>
      <c r="C78" s="527" t="s">
        <v>545</v>
      </c>
      <c r="D78" s="528" t="s">
        <v>556</v>
      </c>
      <c r="E78" s="499" t="s">
        <v>557</v>
      </c>
      <c r="F78" s="499" t="s">
        <v>467</v>
      </c>
      <c r="G78" s="529">
        <v>45840</v>
      </c>
      <c r="H78" s="601">
        <v>45843</v>
      </c>
      <c r="I78" s="499"/>
      <c r="J78" s="499"/>
      <c r="K78" s="499"/>
      <c r="L78" s="529"/>
      <c r="M78" s="529"/>
      <c r="N78" s="499"/>
      <c r="O78" s="499"/>
      <c r="P78" s="499"/>
      <c r="Q78" s="499"/>
      <c r="R78" s="499"/>
      <c r="S78" s="499"/>
      <c r="T78" s="499"/>
      <c r="U78" s="499"/>
    </row>
    <row r="79" spans="1:21" x14ac:dyDescent="0.35">
      <c r="A79" s="525">
        <v>8</v>
      </c>
      <c r="B79" s="525" t="s">
        <v>6</v>
      </c>
      <c r="C79" s="527" t="s">
        <v>545</v>
      </c>
      <c r="D79" s="602" t="s">
        <v>558</v>
      </c>
      <c r="E79" s="499" t="s">
        <v>559</v>
      </c>
      <c r="F79" s="497" t="s">
        <v>467</v>
      </c>
      <c r="G79" s="508">
        <v>45836</v>
      </c>
      <c r="H79" s="601">
        <v>45850</v>
      </c>
      <c r="I79" s="497"/>
      <c r="J79" s="497"/>
      <c r="K79" s="499"/>
      <c r="L79" s="529"/>
      <c r="M79" s="529"/>
      <c r="N79" s="499"/>
      <c r="O79" s="499"/>
      <c r="P79" s="499"/>
      <c r="Q79" s="499"/>
      <c r="R79" s="499"/>
      <c r="S79" s="499"/>
      <c r="T79" s="499"/>
      <c r="U79" s="499"/>
    </row>
    <row r="80" spans="1:21" ht="21" x14ac:dyDescent="0.35">
      <c r="A80" s="525">
        <v>9</v>
      </c>
      <c r="B80" s="525" t="s">
        <v>6</v>
      </c>
      <c r="C80" s="527" t="s">
        <v>545</v>
      </c>
      <c r="D80" s="602" t="s">
        <v>560</v>
      </c>
      <c r="E80" s="499" t="s">
        <v>561</v>
      </c>
      <c r="F80" s="497" t="s">
        <v>467</v>
      </c>
      <c r="G80" s="508">
        <v>45840</v>
      </c>
      <c r="H80" s="508">
        <v>45852</v>
      </c>
      <c r="I80" s="497"/>
      <c r="J80" s="497"/>
      <c r="K80" s="499"/>
      <c r="L80" s="529"/>
      <c r="M80" s="529"/>
      <c r="N80" s="499"/>
      <c r="O80" s="499"/>
      <c r="P80" s="499"/>
      <c r="Q80" s="499"/>
      <c r="R80" s="499"/>
      <c r="S80" s="499"/>
      <c r="T80" s="499"/>
      <c r="U80" s="499"/>
    </row>
    <row r="81" spans="1:21" x14ac:dyDescent="0.35">
      <c r="A81" s="525">
        <v>10</v>
      </c>
      <c r="B81" s="526" t="s">
        <v>6</v>
      </c>
      <c r="C81" s="527" t="s">
        <v>545</v>
      </c>
      <c r="D81" s="528" t="s">
        <v>562</v>
      </c>
      <c r="E81" s="499" t="s">
        <v>563</v>
      </c>
      <c r="F81" s="497" t="s">
        <v>467</v>
      </c>
      <c r="G81" s="508">
        <v>45843</v>
      </c>
      <c r="H81" s="508">
        <v>45843</v>
      </c>
      <c r="I81" s="497"/>
      <c r="J81" s="497"/>
      <c r="K81" s="499"/>
      <c r="L81" s="529"/>
      <c r="M81" s="529"/>
      <c r="N81" s="499"/>
      <c r="O81" s="499"/>
      <c r="P81" s="499"/>
      <c r="Q81" s="499"/>
      <c r="R81" s="499"/>
      <c r="S81" s="499"/>
      <c r="T81" s="499"/>
      <c r="U81" s="499"/>
    </row>
    <row r="82" spans="1:21" x14ac:dyDescent="0.35">
      <c r="A82" s="603">
        <v>11</v>
      </c>
      <c r="B82" s="603" t="s">
        <v>6</v>
      </c>
      <c r="C82" s="604" t="s">
        <v>545</v>
      </c>
      <c r="D82" s="605" t="s">
        <v>852</v>
      </c>
      <c r="E82" s="603" t="s">
        <v>853</v>
      </c>
      <c r="F82" s="603" t="s">
        <v>467</v>
      </c>
      <c r="G82" s="508">
        <v>45869</v>
      </c>
      <c r="H82" s="508"/>
      <c r="I82" s="497"/>
      <c r="J82" s="497"/>
      <c r="K82" s="499"/>
      <c r="L82" s="529"/>
      <c r="M82" s="529"/>
      <c r="N82" s="499"/>
      <c r="O82" s="499"/>
      <c r="P82" s="499"/>
      <c r="Q82" s="499"/>
      <c r="R82" s="499"/>
      <c r="S82" s="499"/>
      <c r="T82" s="499"/>
      <c r="U82" s="499"/>
    </row>
    <row r="83" spans="1:21" x14ac:dyDescent="0.35">
      <c r="A83" s="603">
        <v>12</v>
      </c>
      <c r="B83" s="603" t="s">
        <v>6</v>
      </c>
      <c r="C83" s="604" t="s">
        <v>545</v>
      </c>
      <c r="D83" s="605" t="s">
        <v>854</v>
      </c>
      <c r="E83" s="603" t="s">
        <v>855</v>
      </c>
      <c r="F83" s="603" t="s">
        <v>467</v>
      </c>
      <c r="G83" s="508">
        <v>45869</v>
      </c>
      <c r="H83" s="508"/>
      <c r="I83" s="497"/>
      <c r="J83" s="497"/>
      <c r="K83" s="499"/>
      <c r="L83" s="529"/>
      <c r="M83" s="529"/>
      <c r="N83" s="499"/>
      <c r="O83" s="499"/>
      <c r="P83" s="499"/>
      <c r="Q83" s="499"/>
      <c r="R83" s="499"/>
      <c r="S83" s="499"/>
      <c r="T83" s="499"/>
      <c r="U83" s="499"/>
    </row>
    <row r="84" spans="1:21" x14ac:dyDescent="0.35">
      <c r="A84" s="525">
        <v>1</v>
      </c>
      <c r="B84" s="525" t="s">
        <v>6</v>
      </c>
      <c r="C84" s="606" t="s">
        <v>564</v>
      </c>
      <c r="D84" s="602" t="s">
        <v>565</v>
      </c>
      <c r="E84" s="499" t="s">
        <v>566</v>
      </c>
      <c r="F84" s="497" t="s">
        <v>477</v>
      </c>
      <c r="G84" s="508">
        <v>45828</v>
      </c>
      <c r="H84" s="508">
        <v>45846</v>
      </c>
      <c r="I84" s="497"/>
      <c r="J84" s="497"/>
      <c r="K84" s="499"/>
      <c r="L84" s="529"/>
      <c r="M84" s="529"/>
      <c r="N84" s="499"/>
      <c r="O84" s="499"/>
      <c r="P84" s="499"/>
      <c r="Q84" s="499"/>
      <c r="R84" s="499"/>
      <c r="S84" s="499"/>
      <c r="T84" s="499"/>
      <c r="U84" s="499"/>
    </row>
    <row r="85" spans="1:21" x14ac:dyDescent="0.35">
      <c r="A85" s="525">
        <v>2</v>
      </c>
      <c r="B85" s="525" t="s">
        <v>6</v>
      </c>
      <c r="C85" s="606" t="s">
        <v>564</v>
      </c>
      <c r="D85" s="602" t="s">
        <v>567</v>
      </c>
      <c r="E85" s="499" t="s">
        <v>568</v>
      </c>
      <c r="F85" s="497" t="s">
        <v>477</v>
      </c>
      <c r="G85" s="508">
        <v>45833</v>
      </c>
      <c r="H85" s="508">
        <v>45846</v>
      </c>
      <c r="I85" s="497"/>
      <c r="J85" s="497"/>
      <c r="K85" s="499"/>
      <c r="L85" s="529"/>
      <c r="M85" s="529"/>
      <c r="N85" s="499"/>
      <c r="O85" s="499"/>
      <c r="P85" s="499"/>
      <c r="Q85" s="499"/>
      <c r="R85" s="499"/>
      <c r="S85" s="499"/>
      <c r="T85" s="499"/>
      <c r="U85" s="499"/>
    </row>
    <row r="86" spans="1:21" x14ac:dyDescent="0.35">
      <c r="A86" s="532">
        <v>3</v>
      </c>
      <c r="B86" s="532" t="s">
        <v>6</v>
      </c>
      <c r="C86" s="607" t="s">
        <v>564</v>
      </c>
      <c r="D86" s="608" t="s">
        <v>569</v>
      </c>
      <c r="E86" s="536" t="s">
        <v>570</v>
      </c>
      <c r="F86" s="537" t="s">
        <v>477</v>
      </c>
      <c r="G86" s="538">
        <v>45738</v>
      </c>
      <c r="H86" s="538">
        <f>L86</f>
        <v>45799</v>
      </c>
      <c r="I86" s="537"/>
      <c r="J86" s="537"/>
      <c r="K86" s="499" t="s">
        <v>468</v>
      </c>
      <c r="L86" s="529">
        <v>45799</v>
      </c>
      <c r="M86" s="529">
        <v>45800</v>
      </c>
      <c r="N86" s="499" t="s">
        <v>478</v>
      </c>
      <c r="O86" s="499">
        <f t="shared" ref="O86:O91" si="2">M86-L86</f>
        <v>1</v>
      </c>
      <c r="P86" s="499">
        <f>L87-M86</f>
        <v>15</v>
      </c>
      <c r="Q86" s="536"/>
      <c r="R86" s="536" t="s">
        <v>499</v>
      </c>
      <c r="S86" s="536" t="str">
        <f>N87</f>
        <v>CAT -IV R</v>
      </c>
      <c r="T86" s="536" t="s">
        <v>474</v>
      </c>
      <c r="U86" s="536">
        <f ca="1">U1-M86</f>
        <v>67</v>
      </c>
    </row>
    <row r="87" spans="1:21" x14ac:dyDescent="0.35">
      <c r="A87" s="532"/>
      <c r="B87" s="532"/>
      <c r="C87" s="607"/>
      <c r="D87" s="608"/>
      <c r="E87" s="536"/>
      <c r="F87" s="537"/>
      <c r="G87" s="538"/>
      <c r="H87" s="538"/>
      <c r="I87" s="537"/>
      <c r="J87" s="537"/>
      <c r="K87" s="499" t="s">
        <v>470</v>
      </c>
      <c r="L87" s="529">
        <v>45815</v>
      </c>
      <c r="M87" s="529">
        <v>45826</v>
      </c>
      <c r="N87" s="499" t="s">
        <v>478</v>
      </c>
      <c r="O87" s="499">
        <f t="shared" si="2"/>
        <v>11</v>
      </c>
      <c r="P87" s="499">
        <f ca="1">O1-M87</f>
        <v>41</v>
      </c>
      <c r="Q87" s="536"/>
      <c r="R87" s="536"/>
      <c r="S87" s="536"/>
      <c r="T87" s="536"/>
      <c r="U87" s="536"/>
    </row>
    <row r="88" spans="1:21" x14ac:dyDescent="0.35">
      <c r="A88" s="519">
        <v>4</v>
      </c>
      <c r="B88" s="510" t="s">
        <v>6</v>
      </c>
      <c r="C88" s="511" t="s">
        <v>564</v>
      </c>
      <c r="D88" s="512" t="s">
        <v>571</v>
      </c>
      <c r="E88" s="510" t="s">
        <v>572</v>
      </c>
      <c r="F88" s="510" t="s">
        <v>467</v>
      </c>
      <c r="G88" s="513">
        <v>45719</v>
      </c>
      <c r="H88" s="513">
        <f>L88</f>
        <v>45719</v>
      </c>
      <c r="I88" s="510"/>
      <c r="J88" s="510"/>
      <c r="K88" s="514" t="s">
        <v>468</v>
      </c>
      <c r="L88" s="515">
        <v>45719</v>
      </c>
      <c r="M88" s="515">
        <v>45721</v>
      </c>
      <c r="N88" s="514" t="s">
        <v>469</v>
      </c>
      <c r="O88" s="514">
        <f t="shared" si="2"/>
        <v>2</v>
      </c>
      <c r="P88" s="514">
        <f>L89-M88</f>
        <v>15</v>
      </c>
      <c r="Q88" s="516">
        <f>M90</f>
        <v>45800</v>
      </c>
      <c r="R88" s="510" t="str">
        <f>T88</f>
        <v>Approved</v>
      </c>
      <c r="S88" s="510" t="str">
        <f>N89</f>
        <v>CAT - I</v>
      </c>
      <c r="T88" s="510" t="s">
        <v>398</v>
      </c>
      <c r="U88" s="510">
        <f>M90-L90</f>
        <v>1</v>
      </c>
    </row>
    <row r="89" spans="1:21" x14ac:dyDescent="0.35">
      <c r="A89" s="519"/>
      <c r="B89" s="510"/>
      <c r="C89" s="511"/>
      <c r="D89" s="512"/>
      <c r="E89" s="510"/>
      <c r="F89" s="510"/>
      <c r="G89" s="513"/>
      <c r="H89" s="513"/>
      <c r="I89" s="510"/>
      <c r="J89" s="510"/>
      <c r="K89" s="514" t="s">
        <v>470</v>
      </c>
      <c r="L89" s="515">
        <v>45736</v>
      </c>
      <c r="M89" s="515">
        <v>45738</v>
      </c>
      <c r="N89" s="514" t="s">
        <v>482</v>
      </c>
      <c r="O89" s="514">
        <f t="shared" si="2"/>
        <v>2</v>
      </c>
      <c r="P89" s="514">
        <f>L90-M89</f>
        <v>61</v>
      </c>
      <c r="Q89" s="516"/>
      <c r="R89" s="510"/>
      <c r="S89" s="510"/>
      <c r="T89" s="510"/>
      <c r="U89" s="510"/>
    </row>
    <row r="90" spans="1:21" x14ac:dyDescent="0.35">
      <c r="A90" s="519"/>
      <c r="B90" s="510"/>
      <c r="C90" s="511"/>
      <c r="D90" s="512"/>
      <c r="E90" s="510"/>
      <c r="F90" s="510"/>
      <c r="G90" s="513"/>
      <c r="H90" s="513"/>
      <c r="I90" s="510"/>
      <c r="J90" s="510"/>
      <c r="K90" s="514" t="s">
        <v>472</v>
      </c>
      <c r="L90" s="515">
        <v>45799</v>
      </c>
      <c r="M90" s="515">
        <v>45800</v>
      </c>
      <c r="N90" s="514" t="s">
        <v>482</v>
      </c>
      <c r="O90" s="514">
        <f t="shared" si="2"/>
        <v>1</v>
      </c>
      <c r="P90" s="514"/>
      <c r="Q90" s="516"/>
      <c r="R90" s="510"/>
      <c r="S90" s="510"/>
      <c r="T90" s="510"/>
      <c r="U90" s="510"/>
    </row>
    <row r="91" spans="1:21" x14ac:dyDescent="0.35">
      <c r="A91" s="525">
        <v>5</v>
      </c>
      <c r="B91" s="526" t="s">
        <v>6</v>
      </c>
      <c r="C91" s="527" t="s">
        <v>564</v>
      </c>
      <c r="D91" s="609" t="s">
        <v>573</v>
      </c>
      <c r="E91" s="499" t="s">
        <v>574</v>
      </c>
      <c r="F91" s="499" t="s">
        <v>467</v>
      </c>
      <c r="G91" s="529">
        <v>45853</v>
      </c>
      <c r="H91" s="529">
        <v>45853</v>
      </c>
      <c r="I91" s="499"/>
      <c r="J91" s="499"/>
      <c r="K91" s="499" t="s">
        <v>468</v>
      </c>
      <c r="L91" s="529">
        <v>45835</v>
      </c>
      <c r="M91" s="529">
        <v>45863</v>
      </c>
      <c r="N91" s="499" t="s">
        <v>491</v>
      </c>
      <c r="O91" s="499">
        <f t="shared" si="2"/>
        <v>28</v>
      </c>
      <c r="P91" s="499"/>
      <c r="Q91" s="499"/>
      <c r="R91" s="499" t="s">
        <v>499</v>
      </c>
      <c r="S91" s="499" t="str">
        <f>N91</f>
        <v>CAT - II</v>
      </c>
      <c r="T91" s="499" t="s">
        <v>474</v>
      </c>
      <c r="U91" s="499"/>
    </row>
    <row r="92" spans="1:21" x14ac:dyDescent="0.35">
      <c r="A92" s="525">
        <v>6</v>
      </c>
      <c r="B92" s="526" t="s">
        <v>6</v>
      </c>
      <c r="C92" s="527" t="s">
        <v>564</v>
      </c>
      <c r="D92" s="610" t="s">
        <v>387</v>
      </c>
      <c r="E92" s="499" t="s">
        <v>575</v>
      </c>
      <c r="F92" s="499" t="s">
        <v>467</v>
      </c>
      <c r="G92" s="529">
        <v>45795</v>
      </c>
      <c r="H92" s="529">
        <v>45848</v>
      </c>
      <c r="I92" s="499"/>
      <c r="J92" s="499"/>
      <c r="K92" s="499" t="s">
        <v>468</v>
      </c>
      <c r="L92" s="529">
        <v>45849</v>
      </c>
      <c r="M92" s="529"/>
      <c r="N92" s="499"/>
      <c r="O92" s="499"/>
      <c r="P92" s="499"/>
      <c r="Q92" s="499"/>
      <c r="R92" s="499" t="s">
        <v>492</v>
      </c>
      <c r="S92" s="499"/>
      <c r="T92" s="499" t="s">
        <v>471</v>
      </c>
      <c r="U92" s="499"/>
    </row>
    <row r="93" spans="1:21" x14ac:dyDescent="0.35">
      <c r="A93" s="525">
        <v>7</v>
      </c>
      <c r="B93" s="526" t="s">
        <v>6</v>
      </c>
      <c r="C93" s="527" t="s">
        <v>564</v>
      </c>
      <c r="D93" s="528" t="s">
        <v>576</v>
      </c>
      <c r="E93" s="499" t="s">
        <v>577</v>
      </c>
      <c r="F93" s="499" t="s">
        <v>467</v>
      </c>
      <c r="G93" s="529">
        <v>45858</v>
      </c>
      <c r="H93" s="529">
        <v>45848</v>
      </c>
      <c r="I93" s="499"/>
      <c r="J93" s="499"/>
      <c r="K93" s="499"/>
      <c r="L93" s="529"/>
      <c r="M93" s="529"/>
      <c r="N93" s="499"/>
      <c r="O93" s="499"/>
      <c r="P93" s="499"/>
      <c r="Q93" s="499"/>
      <c r="R93" s="499"/>
      <c r="S93" s="499"/>
      <c r="T93" s="499"/>
      <c r="U93" s="499"/>
    </row>
    <row r="94" spans="1:21" x14ac:dyDescent="0.35">
      <c r="A94" s="525">
        <v>8</v>
      </c>
      <c r="B94" s="526" t="s">
        <v>6</v>
      </c>
      <c r="C94" s="527" t="s">
        <v>564</v>
      </c>
      <c r="D94" s="528" t="s">
        <v>578</v>
      </c>
      <c r="E94" s="499" t="s">
        <v>579</v>
      </c>
      <c r="F94" s="499" t="s">
        <v>467</v>
      </c>
      <c r="G94" s="529">
        <v>45863</v>
      </c>
      <c r="H94" s="529">
        <v>45853</v>
      </c>
      <c r="I94" s="499"/>
      <c r="J94" s="499"/>
      <c r="K94" s="499"/>
      <c r="L94" s="529"/>
      <c r="M94" s="529"/>
      <c r="N94" s="499"/>
      <c r="O94" s="499"/>
      <c r="P94" s="499"/>
      <c r="Q94" s="499"/>
      <c r="R94" s="499"/>
      <c r="S94" s="499"/>
      <c r="T94" s="499"/>
      <c r="U94" s="499"/>
    </row>
    <row r="95" spans="1:21" x14ac:dyDescent="0.35">
      <c r="A95" s="525">
        <v>9</v>
      </c>
      <c r="B95" s="526" t="s">
        <v>6</v>
      </c>
      <c r="C95" s="527" t="s">
        <v>564</v>
      </c>
      <c r="D95" s="528" t="s">
        <v>580</v>
      </c>
      <c r="E95" s="499" t="s">
        <v>581</v>
      </c>
      <c r="F95" s="499" t="s">
        <v>467</v>
      </c>
      <c r="G95" s="529">
        <v>45874</v>
      </c>
      <c r="H95" s="529">
        <v>45853</v>
      </c>
      <c r="I95" s="499"/>
      <c r="J95" s="499"/>
      <c r="K95" s="499"/>
      <c r="L95" s="529"/>
      <c r="M95" s="529"/>
      <c r="N95" s="499"/>
      <c r="O95" s="499"/>
      <c r="P95" s="499"/>
      <c r="Q95" s="499"/>
      <c r="R95" s="499"/>
      <c r="S95" s="499"/>
      <c r="T95" s="499"/>
      <c r="U95" s="499"/>
    </row>
    <row r="96" spans="1:21" x14ac:dyDescent="0.35">
      <c r="A96" s="525">
        <v>10</v>
      </c>
      <c r="B96" s="526" t="s">
        <v>6</v>
      </c>
      <c r="C96" s="527" t="s">
        <v>564</v>
      </c>
      <c r="D96" s="528" t="s">
        <v>582</v>
      </c>
      <c r="E96" s="499" t="s">
        <v>583</v>
      </c>
      <c r="F96" s="499" t="s">
        <v>467</v>
      </c>
      <c r="G96" s="529">
        <v>45877</v>
      </c>
      <c r="H96" s="529">
        <v>45853</v>
      </c>
      <c r="I96" s="499"/>
      <c r="J96" s="499"/>
      <c r="K96" s="499"/>
      <c r="L96" s="529"/>
      <c r="M96" s="529"/>
      <c r="N96" s="499"/>
      <c r="O96" s="499"/>
      <c r="P96" s="499"/>
      <c r="Q96" s="499"/>
      <c r="R96" s="499"/>
      <c r="S96" s="499"/>
      <c r="T96" s="499"/>
      <c r="U96" s="499"/>
    </row>
    <row r="97" spans="1:21" x14ac:dyDescent="0.35">
      <c r="A97" s="525">
        <v>11</v>
      </c>
      <c r="B97" s="526" t="s">
        <v>6</v>
      </c>
      <c r="C97" s="527" t="s">
        <v>564</v>
      </c>
      <c r="D97" s="528" t="s">
        <v>584</v>
      </c>
      <c r="E97" s="499" t="s">
        <v>585</v>
      </c>
      <c r="F97" s="499" t="s">
        <v>467</v>
      </c>
      <c r="G97" s="529">
        <v>45881</v>
      </c>
      <c r="H97" s="529">
        <v>45860</v>
      </c>
      <c r="I97" s="499"/>
      <c r="J97" s="499"/>
      <c r="K97" s="499"/>
      <c r="L97" s="529"/>
      <c r="M97" s="529"/>
      <c r="N97" s="499"/>
      <c r="O97" s="499"/>
      <c r="P97" s="499"/>
      <c r="Q97" s="499"/>
      <c r="R97" s="499"/>
      <c r="S97" s="499"/>
      <c r="T97" s="499"/>
      <c r="U97" s="499"/>
    </row>
    <row r="98" spans="1:21" x14ac:dyDescent="0.35">
      <c r="A98" s="525">
        <v>12</v>
      </c>
      <c r="B98" s="526" t="s">
        <v>6</v>
      </c>
      <c r="C98" s="527" t="s">
        <v>564</v>
      </c>
      <c r="D98" s="528" t="s">
        <v>586</v>
      </c>
      <c r="E98" s="499" t="s">
        <v>587</v>
      </c>
      <c r="F98" s="499" t="s">
        <v>467</v>
      </c>
      <c r="G98" s="529">
        <v>45843</v>
      </c>
      <c r="H98" s="529">
        <v>45860</v>
      </c>
      <c r="I98" s="499"/>
      <c r="J98" s="499"/>
      <c r="K98" s="499"/>
      <c r="L98" s="529"/>
      <c r="M98" s="529"/>
      <c r="N98" s="499"/>
      <c r="O98" s="499"/>
      <c r="P98" s="499"/>
      <c r="Q98" s="499"/>
      <c r="R98" s="499"/>
      <c r="S98" s="499"/>
      <c r="T98" s="499"/>
      <c r="U98" s="499"/>
    </row>
    <row r="99" spans="1:21" x14ac:dyDescent="0.35">
      <c r="A99" s="525">
        <v>13</v>
      </c>
      <c r="B99" s="526" t="s">
        <v>6</v>
      </c>
      <c r="C99" s="527" t="s">
        <v>564</v>
      </c>
      <c r="D99" s="528" t="s">
        <v>588</v>
      </c>
      <c r="E99" s="499" t="s">
        <v>589</v>
      </c>
      <c r="F99" s="499" t="s">
        <v>467</v>
      </c>
      <c r="G99" s="529">
        <v>45848</v>
      </c>
      <c r="H99" s="529">
        <v>45864</v>
      </c>
      <c r="I99" s="499"/>
      <c r="J99" s="499"/>
      <c r="K99" s="499"/>
      <c r="L99" s="529"/>
      <c r="M99" s="529"/>
      <c r="N99" s="499"/>
      <c r="O99" s="499"/>
      <c r="P99" s="499"/>
      <c r="Q99" s="499"/>
      <c r="R99" s="499"/>
      <c r="S99" s="499"/>
      <c r="T99" s="499"/>
      <c r="U99" s="499"/>
    </row>
    <row r="100" spans="1:21" ht="21" x14ac:dyDescent="0.35">
      <c r="A100" s="525">
        <v>14</v>
      </c>
      <c r="B100" s="526" t="s">
        <v>6</v>
      </c>
      <c r="C100" s="527" t="s">
        <v>564</v>
      </c>
      <c r="D100" s="528" t="s">
        <v>590</v>
      </c>
      <c r="E100" s="499" t="s">
        <v>591</v>
      </c>
      <c r="F100" s="499" t="s">
        <v>467</v>
      </c>
      <c r="G100" s="529">
        <v>45833</v>
      </c>
      <c r="H100" s="529">
        <v>45870</v>
      </c>
      <c r="I100" s="499"/>
      <c r="J100" s="499"/>
      <c r="K100" s="499"/>
      <c r="L100" s="529"/>
      <c r="M100" s="529"/>
      <c r="N100" s="499"/>
      <c r="O100" s="499"/>
      <c r="P100" s="499"/>
      <c r="Q100" s="499"/>
      <c r="R100" s="499"/>
      <c r="S100" s="499"/>
      <c r="T100" s="499"/>
      <c r="U100" s="499"/>
    </row>
    <row r="101" spans="1:21" ht="21" x14ac:dyDescent="0.35">
      <c r="A101" s="525">
        <v>15</v>
      </c>
      <c r="B101" s="526" t="s">
        <v>6</v>
      </c>
      <c r="C101" s="527" t="s">
        <v>564</v>
      </c>
      <c r="D101" s="609" t="s">
        <v>592</v>
      </c>
      <c r="E101" s="499" t="s">
        <v>593</v>
      </c>
      <c r="F101" s="499" t="s">
        <v>467</v>
      </c>
      <c r="G101" s="529">
        <v>45838</v>
      </c>
      <c r="H101" s="529">
        <v>45838</v>
      </c>
      <c r="I101" s="499"/>
      <c r="J101" s="499"/>
      <c r="K101" s="499" t="s">
        <v>468</v>
      </c>
      <c r="L101" s="529">
        <v>45838</v>
      </c>
      <c r="M101" s="529"/>
      <c r="N101" s="499"/>
      <c r="O101" s="499">
        <f ca="1">O1-L101</f>
        <v>29</v>
      </c>
      <c r="P101" s="499"/>
      <c r="Q101" s="499"/>
      <c r="R101" s="499" t="s">
        <v>492</v>
      </c>
      <c r="S101" s="499"/>
      <c r="T101" s="499" t="s">
        <v>471</v>
      </c>
      <c r="U101" s="499"/>
    </row>
    <row r="102" spans="1:21" x14ac:dyDescent="0.35">
      <c r="A102" s="525">
        <v>16</v>
      </c>
      <c r="B102" s="526" t="s">
        <v>6</v>
      </c>
      <c r="C102" s="527" t="s">
        <v>564</v>
      </c>
      <c r="D102" s="528" t="s">
        <v>594</v>
      </c>
      <c r="E102" s="499" t="s">
        <v>595</v>
      </c>
      <c r="F102" s="499" t="s">
        <v>467</v>
      </c>
      <c r="G102" s="529">
        <v>45843</v>
      </c>
      <c r="H102" s="529">
        <v>45868</v>
      </c>
      <c r="I102" s="499"/>
      <c r="J102" s="499"/>
      <c r="K102" s="499"/>
      <c r="L102" s="529"/>
      <c r="M102" s="529"/>
      <c r="N102" s="499"/>
      <c r="O102" s="499"/>
      <c r="P102" s="499"/>
      <c r="Q102" s="499"/>
      <c r="R102" s="499"/>
      <c r="S102" s="499"/>
      <c r="T102" s="499"/>
      <c r="U102" s="499"/>
    </row>
    <row r="103" spans="1:21" x14ac:dyDescent="0.35">
      <c r="A103" s="525">
        <v>17</v>
      </c>
      <c r="B103" s="526" t="s">
        <v>6</v>
      </c>
      <c r="C103" s="527" t="s">
        <v>564</v>
      </c>
      <c r="D103" s="528" t="s">
        <v>596</v>
      </c>
      <c r="E103" s="499" t="s">
        <v>597</v>
      </c>
      <c r="F103" s="499" t="s">
        <v>467</v>
      </c>
      <c r="G103" s="529">
        <v>45846</v>
      </c>
      <c r="H103" s="508">
        <f>H100</f>
        <v>45870</v>
      </c>
      <c r="I103" s="499"/>
      <c r="J103" s="499"/>
      <c r="K103" s="499"/>
      <c r="L103" s="529"/>
      <c r="M103" s="529"/>
      <c r="N103" s="499"/>
      <c r="O103" s="499"/>
      <c r="P103" s="499"/>
      <c r="Q103" s="499"/>
      <c r="R103" s="499"/>
      <c r="S103" s="499"/>
      <c r="T103" s="499"/>
      <c r="U103" s="499"/>
    </row>
    <row r="104" spans="1:21" x14ac:dyDescent="0.35">
      <c r="A104" s="525">
        <v>18</v>
      </c>
      <c r="B104" s="526" t="s">
        <v>6</v>
      </c>
      <c r="C104" s="527" t="s">
        <v>564</v>
      </c>
      <c r="D104" s="602" t="s">
        <v>598</v>
      </c>
      <c r="E104" s="499" t="s">
        <v>599</v>
      </c>
      <c r="F104" s="497" t="s">
        <v>477</v>
      </c>
      <c r="G104" s="508">
        <v>45848</v>
      </c>
      <c r="H104" s="508">
        <v>45848</v>
      </c>
      <c r="I104" s="497"/>
      <c r="J104" s="497"/>
      <c r="K104" s="499"/>
      <c r="L104" s="529"/>
      <c r="M104" s="529"/>
      <c r="N104" s="499"/>
      <c r="O104" s="499"/>
      <c r="P104" s="499"/>
      <c r="Q104" s="499"/>
      <c r="R104" s="499"/>
      <c r="S104" s="499"/>
      <c r="T104" s="499"/>
      <c r="U104" s="499"/>
    </row>
    <row r="105" spans="1:21" x14ac:dyDescent="0.35">
      <c r="A105" s="514">
        <v>19</v>
      </c>
      <c r="B105" s="514" t="s">
        <v>6</v>
      </c>
      <c r="C105" s="517" t="s">
        <v>564</v>
      </c>
      <c r="D105" s="611" t="s">
        <v>600</v>
      </c>
      <c r="E105" s="514" t="s">
        <v>601</v>
      </c>
      <c r="F105" s="514" t="s">
        <v>477</v>
      </c>
      <c r="G105" s="515">
        <v>45853</v>
      </c>
      <c r="H105" s="515">
        <v>45876</v>
      </c>
      <c r="I105" s="514"/>
      <c r="J105" s="514"/>
      <c r="K105" s="514" t="s">
        <v>468</v>
      </c>
      <c r="L105" s="515">
        <v>45855</v>
      </c>
      <c r="M105" s="515">
        <v>45859</v>
      </c>
      <c r="N105" s="514" t="s">
        <v>521</v>
      </c>
      <c r="O105" s="514"/>
      <c r="P105" s="514"/>
      <c r="Q105" s="514"/>
      <c r="R105" s="514" t="s">
        <v>398</v>
      </c>
      <c r="S105" s="514" t="str">
        <f>N105</f>
        <v xml:space="preserve">CAT -IV </v>
      </c>
      <c r="T105" s="514" t="s">
        <v>398</v>
      </c>
      <c r="U105" s="514"/>
    </row>
    <row r="106" spans="1:21" x14ac:dyDescent="0.35">
      <c r="A106" s="525">
        <v>20</v>
      </c>
      <c r="B106" s="526" t="s">
        <v>6</v>
      </c>
      <c r="C106" s="527" t="s">
        <v>564</v>
      </c>
      <c r="D106" s="602" t="s">
        <v>602</v>
      </c>
      <c r="E106" s="499" t="s">
        <v>603</v>
      </c>
      <c r="F106" s="497" t="s">
        <v>467</v>
      </c>
      <c r="G106" s="508">
        <v>45853</v>
      </c>
      <c r="H106" s="508">
        <v>45876</v>
      </c>
      <c r="I106" s="497"/>
      <c r="J106" s="497"/>
      <c r="K106" s="499"/>
      <c r="L106" s="529"/>
      <c r="M106" s="529"/>
      <c r="N106" s="499"/>
      <c r="O106" s="499"/>
      <c r="P106" s="499"/>
      <c r="Q106" s="499"/>
      <c r="R106" s="499"/>
      <c r="S106" s="499"/>
      <c r="T106" s="499"/>
      <c r="U106" s="499"/>
    </row>
    <row r="107" spans="1:21" x14ac:dyDescent="0.35">
      <c r="A107" s="525">
        <v>21</v>
      </c>
      <c r="B107" s="526" t="s">
        <v>6</v>
      </c>
      <c r="C107" s="527" t="s">
        <v>564</v>
      </c>
      <c r="D107" s="602" t="s">
        <v>604</v>
      </c>
      <c r="E107" s="499" t="s">
        <v>605</v>
      </c>
      <c r="F107" s="497" t="s">
        <v>477</v>
      </c>
      <c r="G107" s="508">
        <v>45858</v>
      </c>
      <c r="H107" s="508">
        <v>45882</v>
      </c>
      <c r="I107" s="497"/>
      <c r="J107" s="497"/>
      <c r="K107" s="499"/>
      <c r="L107" s="529"/>
      <c r="M107" s="529"/>
      <c r="N107" s="499"/>
      <c r="O107" s="499"/>
      <c r="P107" s="499"/>
      <c r="Q107" s="499"/>
      <c r="R107" s="499"/>
      <c r="S107" s="499"/>
      <c r="T107" s="499"/>
      <c r="U107" s="499"/>
    </row>
    <row r="108" spans="1:21" x14ac:dyDescent="0.35">
      <c r="A108" s="525">
        <v>22</v>
      </c>
      <c r="B108" s="526" t="s">
        <v>6</v>
      </c>
      <c r="C108" s="527" t="s">
        <v>564</v>
      </c>
      <c r="D108" s="602" t="s">
        <v>606</v>
      </c>
      <c r="E108" s="499" t="s">
        <v>607</v>
      </c>
      <c r="F108" s="497" t="s">
        <v>467</v>
      </c>
      <c r="G108" s="508">
        <v>45826</v>
      </c>
      <c r="H108" s="508">
        <f>H107</f>
        <v>45882</v>
      </c>
      <c r="I108" s="497"/>
      <c r="J108" s="497"/>
      <c r="K108" s="499"/>
      <c r="L108" s="529"/>
      <c r="M108" s="529"/>
      <c r="N108" s="499"/>
      <c r="O108" s="499"/>
      <c r="P108" s="499"/>
      <c r="Q108" s="499"/>
      <c r="R108" s="499"/>
      <c r="S108" s="499"/>
      <c r="T108" s="499"/>
      <c r="U108" s="499"/>
    </row>
    <row r="109" spans="1:21" x14ac:dyDescent="0.35">
      <c r="A109" s="525">
        <v>23</v>
      </c>
      <c r="B109" s="526" t="s">
        <v>6</v>
      </c>
      <c r="C109" s="527" t="s">
        <v>564</v>
      </c>
      <c r="D109" s="602" t="s">
        <v>608</v>
      </c>
      <c r="E109" s="499" t="s">
        <v>609</v>
      </c>
      <c r="F109" s="497" t="s">
        <v>477</v>
      </c>
      <c r="G109" s="508">
        <v>45833</v>
      </c>
      <c r="H109" s="508">
        <v>45887</v>
      </c>
      <c r="I109" s="497"/>
      <c r="J109" s="497"/>
      <c r="K109" s="499"/>
      <c r="L109" s="529"/>
      <c r="M109" s="529"/>
      <c r="N109" s="499"/>
      <c r="O109" s="499"/>
      <c r="P109" s="499"/>
      <c r="Q109" s="499"/>
      <c r="R109" s="499"/>
      <c r="S109" s="499"/>
      <c r="T109" s="499"/>
      <c r="U109" s="499"/>
    </row>
    <row r="110" spans="1:21" ht="21" x14ac:dyDescent="0.35">
      <c r="A110" s="525">
        <v>24</v>
      </c>
      <c r="B110" s="526" t="s">
        <v>6</v>
      </c>
      <c r="C110" s="527" t="s">
        <v>564</v>
      </c>
      <c r="D110" s="602" t="s">
        <v>610</v>
      </c>
      <c r="E110" s="499" t="s">
        <v>611</v>
      </c>
      <c r="F110" s="497" t="s">
        <v>467</v>
      </c>
      <c r="G110" s="508">
        <v>45863</v>
      </c>
      <c r="H110" s="508">
        <v>45887</v>
      </c>
      <c r="I110" s="497"/>
      <c r="J110" s="497"/>
      <c r="K110" s="499"/>
      <c r="L110" s="529"/>
      <c r="M110" s="529"/>
      <c r="N110" s="499"/>
      <c r="O110" s="499"/>
      <c r="P110" s="499"/>
      <c r="Q110" s="499"/>
      <c r="R110" s="499"/>
      <c r="S110" s="499"/>
      <c r="T110" s="499"/>
      <c r="U110" s="499"/>
    </row>
    <row r="111" spans="1:21" x14ac:dyDescent="0.35">
      <c r="A111" s="532">
        <v>25</v>
      </c>
      <c r="B111" s="533" t="s">
        <v>6</v>
      </c>
      <c r="C111" s="534" t="s">
        <v>564</v>
      </c>
      <c r="D111" s="535" t="s">
        <v>612</v>
      </c>
      <c r="E111" s="536" t="s">
        <v>613</v>
      </c>
      <c r="F111" s="537" t="s">
        <v>467</v>
      </c>
      <c r="G111" s="592">
        <v>45828</v>
      </c>
      <c r="H111" s="538">
        <v>45887</v>
      </c>
      <c r="I111" s="497"/>
      <c r="J111" s="497"/>
      <c r="K111" s="499" t="s">
        <v>468</v>
      </c>
      <c r="L111" s="529">
        <v>45849</v>
      </c>
      <c r="M111" s="529">
        <v>45862</v>
      </c>
      <c r="N111" s="499" t="s">
        <v>469</v>
      </c>
      <c r="O111" s="499"/>
      <c r="P111" s="499"/>
      <c r="Q111" s="499"/>
      <c r="R111" s="536" t="s">
        <v>492</v>
      </c>
      <c r="S111" s="536" t="str">
        <f>N111</f>
        <v>CAT - III</v>
      </c>
      <c r="T111" s="536" t="s">
        <v>471</v>
      </c>
      <c r="U111" s="536"/>
    </row>
    <row r="112" spans="1:21" x14ac:dyDescent="0.35">
      <c r="A112" s="548"/>
      <c r="B112" s="549"/>
      <c r="C112" s="550"/>
      <c r="D112" s="551"/>
      <c r="E112" s="552"/>
      <c r="F112" s="553"/>
      <c r="G112" s="594"/>
      <c r="H112" s="554"/>
      <c r="I112" s="497"/>
      <c r="J112" s="497"/>
      <c r="K112" s="499" t="s">
        <v>470</v>
      </c>
      <c r="L112" s="529">
        <v>45864</v>
      </c>
      <c r="M112" s="529"/>
      <c r="N112" s="499"/>
      <c r="O112" s="499"/>
      <c r="P112" s="499"/>
      <c r="Q112" s="499"/>
      <c r="R112" s="552"/>
      <c r="S112" s="552"/>
      <c r="T112" s="552"/>
      <c r="U112" s="552"/>
    </row>
    <row r="113" spans="1:21" x14ac:dyDescent="0.35">
      <c r="A113" s="532">
        <v>26</v>
      </c>
      <c r="B113" s="533" t="s">
        <v>6</v>
      </c>
      <c r="C113" s="534" t="s">
        <v>564</v>
      </c>
      <c r="D113" s="612" t="s">
        <v>614</v>
      </c>
      <c r="E113" s="536" t="s">
        <v>615</v>
      </c>
      <c r="F113" s="537" t="s">
        <v>477</v>
      </c>
      <c r="G113" s="592">
        <v>45833</v>
      </c>
      <c r="H113" s="538">
        <f>H100</f>
        <v>45870</v>
      </c>
      <c r="I113" s="497"/>
      <c r="J113" s="497"/>
      <c r="K113" s="499" t="s">
        <v>468</v>
      </c>
      <c r="L113" s="529">
        <v>45849</v>
      </c>
      <c r="M113" s="529">
        <v>45862</v>
      </c>
      <c r="N113" s="499" t="s">
        <v>469</v>
      </c>
      <c r="O113" s="499"/>
      <c r="P113" s="499"/>
      <c r="Q113" s="499"/>
      <c r="R113" s="536" t="s">
        <v>492</v>
      </c>
      <c r="S113" s="536" t="str">
        <f>N113</f>
        <v>CAT - III</v>
      </c>
      <c r="T113" s="536" t="s">
        <v>471</v>
      </c>
      <c r="U113" s="536"/>
    </row>
    <row r="114" spans="1:21" x14ac:dyDescent="0.35">
      <c r="A114" s="548"/>
      <c r="B114" s="549"/>
      <c r="C114" s="550"/>
      <c r="D114" s="613"/>
      <c r="E114" s="552"/>
      <c r="F114" s="553"/>
      <c r="G114" s="594"/>
      <c r="H114" s="554"/>
      <c r="I114" s="497"/>
      <c r="J114" s="497"/>
      <c r="K114" s="499" t="s">
        <v>470</v>
      </c>
      <c r="L114" s="529">
        <v>45864</v>
      </c>
      <c r="M114" s="529"/>
      <c r="N114" s="499"/>
      <c r="O114" s="499"/>
      <c r="P114" s="499"/>
      <c r="Q114" s="499"/>
      <c r="R114" s="552"/>
      <c r="S114" s="552"/>
      <c r="T114" s="552"/>
      <c r="U114" s="552"/>
    </row>
    <row r="115" spans="1:21" ht="21" x14ac:dyDescent="0.35">
      <c r="A115" s="525">
        <v>27</v>
      </c>
      <c r="B115" s="526" t="s">
        <v>6</v>
      </c>
      <c r="C115" s="527" t="s">
        <v>564</v>
      </c>
      <c r="D115" s="528" t="s">
        <v>616</v>
      </c>
      <c r="E115" s="499" t="s">
        <v>617</v>
      </c>
      <c r="F115" s="497" t="s">
        <v>467</v>
      </c>
      <c r="G115" s="529">
        <v>45836</v>
      </c>
      <c r="H115" s="508">
        <v>45889</v>
      </c>
      <c r="I115" s="497"/>
      <c r="J115" s="497"/>
      <c r="K115" s="499"/>
      <c r="L115" s="529"/>
      <c r="M115" s="529"/>
      <c r="N115" s="499"/>
      <c r="O115" s="499"/>
      <c r="P115" s="499"/>
      <c r="Q115" s="499"/>
      <c r="R115" s="499"/>
      <c r="S115" s="499"/>
      <c r="T115" s="499"/>
      <c r="U115" s="499"/>
    </row>
    <row r="116" spans="1:21" x14ac:dyDescent="0.35">
      <c r="A116" s="525">
        <v>28</v>
      </c>
      <c r="B116" s="526" t="s">
        <v>6</v>
      </c>
      <c r="C116" s="527" t="s">
        <v>564</v>
      </c>
      <c r="D116" s="528" t="s">
        <v>618</v>
      </c>
      <c r="E116" s="499" t="s">
        <v>619</v>
      </c>
      <c r="F116" s="499" t="s">
        <v>467</v>
      </c>
      <c r="G116" s="529">
        <v>45858</v>
      </c>
      <c r="H116" s="508">
        <v>45889</v>
      </c>
      <c r="I116" s="499"/>
      <c r="J116" s="499"/>
      <c r="K116" s="499"/>
      <c r="L116" s="529"/>
      <c r="M116" s="529"/>
      <c r="N116" s="499"/>
      <c r="O116" s="499"/>
      <c r="P116" s="499"/>
      <c r="Q116" s="499"/>
      <c r="R116" s="499"/>
      <c r="S116" s="499"/>
      <c r="T116" s="499"/>
      <c r="U116" s="499"/>
    </row>
    <row r="117" spans="1:21" x14ac:dyDescent="0.35">
      <c r="A117" s="525">
        <v>29</v>
      </c>
      <c r="B117" s="526" t="s">
        <v>6</v>
      </c>
      <c r="C117" s="527" t="s">
        <v>564</v>
      </c>
      <c r="D117" s="528" t="s">
        <v>620</v>
      </c>
      <c r="E117" s="499" t="s">
        <v>621</v>
      </c>
      <c r="F117" s="499" t="s">
        <v>467</v>
      </c>
      <c r="G117" s="529">
        <v>45863</v>
      </c>
      <c r="H117" s="508">
        <f>G117</f>
        <v>45863</v>
      </c>
      <c r="I117" s="499"/>
      <c r="J117" s="499"/>
      <c r="K117" s="499"/>
      <c r="L117" s="529"/>
      <c r="M117" s="529"/>
      <c r="N117" s="499"/>
      <c r="O117" s="499"/>
      <c r="P117" s="499"/>
      <c r="Q117" s="499"/>
      <c r="R117" s="499"/>
      <c r="S117" s="499"/>
      <c r="T117" s="499"/>
      <c r="U117" s="499"/>
    </row>
    <row r="118" spans="1:21" x14ac:dyDescent="0.35">
      <c r="A118" s="510">
        <v>1</v>
      </c>
      <c r="B118" s="510" t="s">
        <v>622</v>
      </c>
      <c r="C118" s="511" t="s">
        <v>623</v>
      </c>
      <c r="D118" s="512" t="s">
        <v>624</v>
      </c>
      <c r="E118" s="510" t="s">
        <v>625</v>
      </c>
      <c r="F118" s="510" t="s">
        <v>467</v>
      </c>
      <c r="G118" s="513">
        <v>45719</v>
      </c>
      <c r="H118" s="522">
        <f>L118</f>
        <v>45714</v>
      </c>
      <c r="I118" s="510"/>
      <c r="J118" s="510"/>
      <c r="K118" s="514" t="s">
        <v>468</v>
      </c>
      <c r="L118" s="515">
        <v>45714</v>
      </c>
      <c r="M118" s="515">
        <v>45721</v>
      </c>
      <c r="N118" s="514" t="s">
        <v>469</v>
      </c>
      <c r="O118" s="514">
        <f t="shared" ref="O118:O128" si="3">M118-L118</f>
        <v>7</v>
      </c>
      <c r="P118" s="514">
        <f>L119-M118</f>
        <v>33</v>
      </c>
      <c r="Q118" s="510"/>
      <c r="R118" s="510" t="s">
        <v>398</v>
      </c>
      <c r="S118" s="510" t="str">
        <f>N121</f>
        <v>CAT - I</v>
      </c>
      <c r="T118" s="510" t="s">
        <v>398</v>
      </c>
      <c r="U118" s="510"/>
    </row>
    <row r="119" spans="1:21" x14ac:dyDescent="0.35">
      <c r="A119" s="510"/>
      <c r="B119" s="510"/>
      <c r="C119" s="511"/>
      <c r="D119" s="512"/>
      <c r="E119" s="510"/>
      <c r="F119" s="510"/>
      <c r="G119" s="513"/>
      <c r="H119" s="522"/>
      <c r="I119" s="510"/>
      <c r="J119" s="510"/>
      <c r="K119" s="514" t="s">
        <v>470</v>
      </c>
      <c r="L119" s="515">
        <v>45754</v>
      </c>
      <c r="M119" s="515">
        <v>45763</v>
      </c>
      <c r="N119" s="514" t="s">
        <v>469</v>
      </c>
      <c r="O119" s="514">
        <f t="shared" si="3"/>
        <v>9</v>
      </c>
      <c r="P119" s="514">
        <f>L120-M119</f>
        <v>4</v>
      </c>
      <c r="Q119" s="510"/>
      <c r="R119" s="510"/>
      <c r="S119" s="510"/>
      <c r="T119" s="510"/>
      <c r="U119" s="510"/>
    </row>
    <row r="120" spans="1:21" x14ac:dyDescent="0.35">
      <c r="A120" s="510"/>
      <c r="B120" s="510"/>
      <c r="C120" s="511"/>
      <c r="D120" s="512"/>
      <c r="E120" s="510"/>
      <c r="F120" s="510"/>
      <c r="G120" s="513"/>
      <c r="H120" s="522"/>
      <c r="I120" s="510"/>
      <c r="J120" s="510"/>
      <c r="K120" s="514" t="s">
        <v>472</v>
      </c>
      <c r="L120" s="515">
        <v>45767</v>
      </c>
      <c r="M120" s="515">
        <v>45770</v>
      </c>
      <c r="N120" s="514" t="s">
        <v>491</v>
      </c>
      <c r="O120" s="514">
        <f t="shared" si="3"/>
        <v>3</v>
      </c>
      <c r="P120" s="514">
        <f>L121-M120</f>
        <v>1</v>
      </c>
      <c r="Q120" s="510"/>
      <c r="R120" s="510"/>
      <c r="S120" s="510"/>
      <c r="T120" s="510"/>
      <c r="U120" s="510"/>
    </row>
    <row r="121" spans="1:21" x14ac:dyDescent="0.35">
      <c r="A121" s="510"/>
      <c r="B121" s="510"/>
      <c r="C121" s="511"/>
      <c r="D121" s="512"/>
      <c r="E121" s="510"/>
      <c r="F121" s="510"/>
      <c r="G121" s="513"/>
      <c r="H121" s="522"/>
      <c r="I121" s="510"/>
      <c r="J121" s="510"/>
      <c r="K121" s="514" t="s">
        <v>473</v>
      </c>
      <c r="L121" s="515">
        <v>45771</v>
      </c>
      <c r="M121" s="515">
        <v>45820</v>
      </c>
      <c r="N121" s="514" t="s">
        <v>482</v>
      </c>
      <c r="O121" s="514">
        <f t="shared" si="3"/>
        <v>49</v>
      </c>
      <c r="P121" s="514"/>
      <c r="Q121" s="510"/>
      <c r="R121" s="510"/>
      <c r="S121" s="510"/>
      <c r="T121" s="510"/>
      <c r="U121" s="510"/>
    </row>
    <row r="122" spans="1:21" x14ac:dyDescent="0.35">
      <c r="A122" s="614">
        <v>2</v>
      </c>
      <c r="B122" s="614" t="s">
        <v>622</v>
      </c>
      <c r="C122" s="615" t="s">
        <v>623</v>
      </c>
      <c r="D122" s="616" t="s">
        <v>836</v>
      </c>
      <c r="E122" s="591" t="s">
        <v>626</v>
      </c>
      <c r="F122" s="591" t="s">
        <v>467</v>
      </c>
      <c r="G122" s="617">
        <v>45755</v>
      </c>
      <c r="H122" s="592">
        <f>L122</f>
        <v>45772</v>
      </c>
      <c r="I122" s="591"/>
      <c r="J122" s="591"/>
      <c r="K122" s="499" t="s">
        <v>468</v>
      </c>
      <c r="L122" s="529">
        <v>45772</v>
      </c>
      <c r="M122" s="529">
        <v>45790</v>
      </c>
      <c r="N122" s="499" t="s">
        <v>469</v>
      </c>
      <c r="O122" s="499">
        <f t="shared" si="3"/>
        <v>18</v>
      </c>
      <c r="P122" s="499">
        <f>L123-M122</f>
        <v>3</v>
      </c>
      <c r="Q122" s="591"/>
      <c r="R122" s="591" t="s">
        <v>492</v>
      </c>
      <c r="S122" s="591" t="str">
        <f>N122</f>
        <v>CAT - III</v>
      </c>
      <c r="T122" s="591" t="s">
        <v>474</v>
      </c>
      <c r="U122" s="591">
        <f ca="1">U1-L123</f>
        <v>74</v>
      </c>
    </row>
    <row r="123" spans="1:21" x14ac:dyDescent="0.35">
      <c r="A123" s="614"/>
      <c r="B123" s="614"/>
      <c r="C123" s="615"/>
      <c r="D123" s="616"/>
      <c r="E123" s="591"/>
      <c r="F123" s="591"/>
      <c r="G123" s="617"/>
      <c r="H123" s="592"/>
      <c r="I123" s="591"/>
      <c r="J123" s="591"/>
      <c r="K123" s="499" t="s">
        <v>470</v>
      </c>
      <c r="L123" s="529">
        <v>45793</v>
      </c>
      <c r="M123" s="529">
        <v>45827</v>
      </c>
      <c r="N123" s="499"/>
      <c r="O123" s="499">
        <f t="shared" si="3"/>
        <v>34</v>
      </c>
      <c r="P123" s="499">
        <f ca="1">O1-M123</f>
        <v>40</v>
      </c>
      <c r="Q123" s="591"/>
      <c r="R123" s="591"/>
      <c r="S123" s="591"/>
      <c r="T123" s="591"/>
      <c r="U123" s="591"/>
    </row>
    <row r="124" spans="1:21" x14ac:dyDescent="0.35">
      <c r="A124" s="519">
        <v>3</v>
      </c>
      <c r="B124" s="519" t="s">
        <v>622</v>
      </c>
      <c r="C124" s="520" t="s">
        <v>623</v>
      </c>
      <c r="D124" s="524" t="s">
        <v>627</v>
      </c>
      <c r="E124" s="519" t="s">
        <v>628</v>
      </c>
      <c r="F124" s="519" t="s">
        <v>467</v>
      </c>
      <c r="G124" s="522">
        <v>45762</v>
      </c>
      <c r="H124" s="522">
        <f>L124</f>
        <v>45790</v>
      </c>
      <c r="I124" s="519"/>
      <c r="J124" s="519"/>
      <c r="K124" s="514" t="s">
        <v>468</v>
      </c>
      <c r="L124" s="515">
        <v>45790</v>
      </c>
      <c r="M124" s="515">
        <v>45821</v>
      </c>
      <c r="N124" s="514" t="s">
        <v>469</v>
      </c>
      <c r="O124" s="514">
        <f t="shared" si="3"/>
        <v>31</v>
      </c>
      <c r="P124" s="514">
        <f>L125-M124</f>
        <v>11</v>
      </c>
      <c r="Q124" s="514"/>
      <c r="R124" s="519" t="s">
        <v>398</v>
      </c>
      <c r="S124" s="519" t="str">
        <f>N125</f>
        <v>CAT - I</v>
      </c>
      <c r="T124" s="519" t="s">
        <v>398</v>
      </c>
      <c r="U124" s="514">
        <f ca="1">U1-L124</f>
        <v>77</v>
      </c>
    </row>
    <row r="125" spans="1:21" x14ac:dyDescent="0.35">
      <c r="A125" s="519"/>
      <c r="B125" s="519"/>
      <c r="C125" s="520"/>
      <c r="D125" s="524"/>
      <c r="E125" s="519"/>
      <c r="F125" s="519"/>
      <c r="G125" s="522"/>
      <c r="H125" s="522"/>
      <c r="I125" s="519"/>
      <c r="J125" s="519"/>
      <c r="K125" s="514" t="s">
        <v>470</v>
      </c>
      <c r="L125" s="515">
        <v>45832</v>
      </c>
      <c r="M125" s="515">
        <v>45840</v>
      </c>
      <c r="N125" s="514" t="s">
        <v>482</v>
      </c>
      <c r="O125" s="514">
        <f t="shared" si="3"/>
        <v>8</v>
      </c>
      <c r="P125" s="514"/>
      <c r="Q125" s="514"/>
      <c r="R125" s="571"/>
      <c r="S125" s="519"/>
      <c r="T125" s="519"/>
      <c r="U125" s="514"/>
    </row>
    <row r="126" spans="1:21" x14ac:dyDescent="0.35">
      <c r="A126" s="618">
        <v>4</v>
      </c>
      <c r="B126" s="618" t="s">
        <v>622</v>
      </c>
      <c r="C126" s="619" t="s">
        <v>623</v>
      </c>
      <c r="D126" s="620" t="s">
        <v>629</v>
      </c>
      <c r="E126" s="536" t="s">
        <v>630</v>
      </c>
      <c r="F126" s="536" t="s">
        <v>467</v>
      </c>
      <c r="G126" s="592">
        <v>45780</v>
      </c>
      <c r="H126" s="592">
        <f>L126</f>
        <v>45758</v>
      </c>
      <c r="I126" s="591"/>
      <c r="J126" s="591"/>
      <c r="K126" s="499" t="s">
        <v>468</v>
      </c>
      <c r="L126" s="529">
        <v>45758</v>
      </c>
      <c r="M126" s="529">
        <v>45766</v>
      </c>
      <c r="N126" s="499" t="s">
        <v>469</v>
      </c>
      <c r="O126" s="499">
        <f t="shared" si="3"/>
        <v>8</v>
      </c>
      <c r="P126" s="499">
        <f>L127-M126</f>
        <v>27</v>
      </c>
      <c r="Q126" s="536"/>
      <c r="R126" s="536" t="s">
        <v>492</v>
      </c>
      <c r="S126" s="536" t="str">
        <f>N128</f>
        <v>CAT - II</v>
      </c>
      <c r="T126" s="536" t="s">
        <v>471</v>
      </c>
      <c r="U126" s="536">
        <f ca="1">U1-M128</f>
        <v>40</v>
      </c>
    </row>
    <row r="127" spans="1:21" x14ac:dyDescent="0.35">
      <c r="A127" s="618"/>
      <c r="B127" s="618"/>
      <c r="C127" s="619"/>
      <c r="D127" s="620"/>
      <c r="E127" s="536"/>
      <c r="F127" s="536"/>
      <c r="G127" s="592"/>
      <c r="H127" s="592"/>
      <c r="I127" s="591"/>
      <c r="J127" s="591"/>
      <c r="K127" s="499" t="s">
        <v>470</v>
      </c>
      <c r="L127" s="529">
        <v>45793</v>
      </c>
      <c r="M127" s="529">
        <v>45808</v>
      </c>
      <c r="N127" s="499" t="s">
        <v>469</v>
      </c>
      <c r="O127" s="499">
        <f t="shared" si="3"/>
        <v>15</v>
      </c>
      <c r="P127" s="499">
        <f>L128-M127</f>
        <v>15</v>
      </c>
      <c r="Q127" s="536"/>
      <c r="R127" s="536"/>
      <c r="S127" s="536"/>
      <c r="T127" s="536"/>
      <c r="U127" s="536"/>
    </row>
    <row r="128" spans="1:21" x14ac:dyDescent="0.35">
      <c r="A128" s="618"/>
      <c r="B128" s="618"/>
      <c r="C128" s="619"/>
      <c r="D128" s="620"/>
      <c r="E128" s="536"/>
      <c r="F128" s="536"/>
      <c r="G128" s="592"/>
      <c r="H128" s="592"/>
      <c r="I128" s="591"/>
      <c r="J128" s="591"/>
      <c r="K128" s="499" t="s">
        <v>472</v>
      </c>
      <c r="L128" s="529">
        <v>45823</v>
      </c>
      <c r="M128" s="529">
        <v>45827</v>
      </c>
      <c r="N128" s="499" t="s">
        <v>491</v>
      </c>
      <c r="O128" s="499">
        <f t="shared" si="3"/>
        <v>4</v>
      </c>
      <c r="P128" s="499"/>
      <c r="Q128" s="536"/>
      <c r="R128" s="536"/>
      <c r="S128" s="536"/>
      <c r="T128" s="536"/>
      <c r="U128" s="536"/>
    </row>
    <row r="129" spans="1:21" x14ac:dyDescent="0.35">
      <c r="A129" s="618"/>
      <c r="B129" s="618"/>
      <c r="C129" s="619"/>
      <c r="D129" s="620"/>
      <c r="E129" s="536"/>
      <c r="F129" s="536"/>
      <c r="G129" s="592"/>
      <c r="H129" s="592"/>
      <c r="I129" s="499"/>
      <c r="J129" s="499"/>
      <c r="K129" s="499" t="s">
        <v>473</v>
      </c>
      <c r="L129" s="529">
        <v>45851</v>
      </c>
      <c r="M129" s="529"/>
      <c r="N129" s="499"/>
      <c r="O129" s="499"/>
      <c r="P129" s="499"/>
      <c r="Q129" s="536"/>
      <c r="R129" s="536"/>
      <c r="S129" s="536"/>
      <c r="T129" s="536"/>
      <c r="U129" s="536"/>
    </row>
    <row r="130" spans="1:21" x14ac:dyDescent="0.35">
      <c r="A130" s="621">
        <v>5</v>
      </c>
      <c r="B130" s="621" t="s">
        <v>622</v>
      </c>
      <c r="C130" s="622" t="s">
        <v>623</v>
      </c>
      <c r="D130" s="623" t="s">
        <v>631</v>
      </c>
      <c r="E130" s="499" t="s">
        <v>632</v>
      </c>
      <c r="F130" s="499" t="s">
        <v>467</v>
      </c>
      <c r="G130" s="529">
        <v>45835</v>
      </c>
      <c r="H130" s="508">
        <v>45848</v>
      </c>
      <c r="I130" s="499"/>
      <c r="J130" s="499"/>
      <c r="K130" s="499" t="s">
        <v>468</v>
      </c>
      <c r="L130" s="529">
        <v>45845</v>
      </c>
      <c r="M130" s="529"/>
      <c r="N130" s="499"/>
      <c r="O130" s="499">
        <f ca="1">O1-L130</f>
        <v>22</v>
      </c>
      <c r="P130" s="499"/>
      <c r="Q130" s="499"/>
      <c r="R130" s="499" t="s">
        <v>492</v>
      </c>
      <c r="S130" s="499"/>
      <c r="T130" s="499" t="s">
        <v>471</v>
      </c>
      <c r="U130" s="499"/>
    </row>
    <row r="131" spans="1:21" x14ac:dyDescent="0.35">
      <c r="A131" s="621">
        <v>6</v>
      </c>
      <c r="B131" s="621" t="s">
        <v>622</v>
      </c>
      <c r="C131" s="622" t="s">
        <v>623</v>
      </c>
      <c r="D131" s="623" t="s">
        <v>633</v>
      </c>
      <c r="E131" s="499" t="s">
        <v>634</v>
      </c>
      <c r="F131" s="499" t="s">
        <v>467</v>
      </c>
      <c r="G131" s="529">
        <v>45835</v>
      </c>
      <c r="H131" s="508">
        <v>45848</v>
      </c>
      <c r="I131" s="499"/>
      <c r="J131" s="499"/>
      <c r="K131" s="499" t="s">
        <v>468</v>
      </c>
      <c r="L131" s="529">
        <v>45848</v>
      </c>
      <c r="M131" s="529"/>
      <c r="N131" s="499"/>
      <c r="O131" s="499">
        <f ca="1">O1-L131</f>
        <v>19</v>
      </c>
      <c r="P131" s="499"/>
      <c r="Q131" s="499"/>
      <c r="R131" s="499" t="s">
        <v>492</v>
      </c>
      <c r="S131" s="499"/>
      <c r="T131" s="499" t="s">
        <v>471</v>
      </c>
      <c r="U131" s="499"/>
    </row>
    <row r="132" spans="1:21" x14ac:dyDescent="0.35">
      <c r="A132" s="621">
        <v>7</v>
      </c>
      <c r="B132" s="621" t="s">
        <v>622</v>
      </c>
      <c r="C132" s="622" t="s">
        <v>623</v>
      </c>
      <c r="D132" s="624" t="s">
        <v>635</v>
      </c>
      <c r="E132" s="499" t="s">
        <v>636</v>
      </c>
      <c r="F132" s="499" t="s">
        <v>467</v>
      </c>
      <c r="G132" s="529">
        <v>45835</v>
      </c>
      <c r="H132" s="508">
        <v>45849</v>
      </c>
      <c r="I132" s="499"/>
      <c r="J132" s="499"/>
      <c r="K132" s="499"/>
      <c r="L132" s="529"/>
      <c r="M132" s="529"/>
      <c r="N132" s="499"/>
      <c r="O132" s="499"/>
      <c r="P132" s="499"/>
      <c r="Q132" s="499"/>
      <c r="R132" s="499"/>
      <c r="S132" s="499"/>
      <c r="T132" s="499"/>
      <c r="U132" s="499"/>
    </row>
    <row r="133" spans="1:21" x14ac:dyDescent="0.35">
      <c r="A133" s="621">
        <v>8</v>
      </c>
      <c r="B133" s="621" t="s">
        <v>622</v>
      </c>
      <c r="C133" s="622" t="s">
        <v>623</v>
      </c>
      <c r="D133" s="623" t="s">
        <v>637</v>
      </c>
      <c r="E133" s="499" t="s">
        <v>638</v>
      </c>
      <c r="F133" s="499" t="s">
        <v>467</v>
      </c>
      <c r="G133" s="529">
        <v>45835</v>
      </c>
      <c r="H133" s="508">
        <v>45849</v>
      </c>
      <c r="I133" s="499"/>
      <c r="J133" s="499"/>
      <c r="K133" s="499" t="s">
        <v>468</v>
      </c>
      <c r="L133" s="529">
        <v>45845</v>
      </c>
      <c r="M133" s="529"/>
      <c r="N133" s="499"/>
      <c r="O133" s="499">
        <f ca="1">O1-L133</f>
        <v>22</v>
      </c>
      <c r="P133" s="499"/>
      <c r="Q133" s="499"/>
      <c r="R133" s="499" t="s">
        <v>492</v>
      </c>
      <c r="S133" s="499"/>
      <c r="T133" s="499" t="s">
        <v>471</v>
      </c>
      <c r="U133" s="499"/>
    </row>
    <row r="134" spans="1:21" x14ac:dyDescent="0.35">
      <c r="A134" s="618">
        <v>9</v>
      </c>
      <c r="B134" s="618" t="s">
        <v>622</v>
      </c>
      <c r="C134" s="625" t="s">
        <v>623</v>
      </c>
      <c r="D134" s="616" t="s">
        <v>639</v>
      </c>
      <c r="E134" s="536" t="s">
        <v>640</v>
      </c>
      <c r="F134" s="536" t="s">
        <v>467</v>
      </c>
      <c r="G134" s="592">
        <v>45768</v>
      </c>
      <c r="H134" s="592">
        <f>L134</f>
        <v>45804</v>
      </c>
      <c r="I134" s="536"/>
      <c r="J134" s="536"/>
      <c r="K134" s="499" t="s">
        <v>468</v>
      </c>
      <c r="L134" s="529">
        <v>45804</v>
      </c>
      <c r="M134" s="529">
        <v>45812</v>
      </c>
      <c r="N134" s="499" t="s">
        <v>469</v>
      </c>
      <c r="O134" s="499">
        <f>M134-L134</f>
        <v>8</v>
      </c>
      <c r="P134" s="499">
        <f>L135-M134</f>
        <v>9</v>
      </c>
      <c r="Q134" s="499"/>
      <c r="R134" s="591" t="s">
        <v>499</v>
      </c>
      <c r="S134" s="591" t="str">
        <f>N136</f>
        <v>CAT - II</v>
      </c>
      <c r="T134" s="591" t="s">
        <v>474</v>
      </c>
      <c r="U134" s="536">
        <f ca="1">U1-L134</f>
        <v>63</v>
      </c>
    </row>
    <row r="135" spans="1:21" x14ac:dyDescent="0.35">
      <c r="A135" s="618"/>
      <c r="B135" s="618"/>
      <c r="C135" s="625"/>
      <c r="D135" s="616"/>
      <c r="E135" s="536"/>
      <c r="F135" s="536"/>
      <c r="G135" s="592"/>
      <c r="H135" s="592"/>
      <c r="I135" s="536"/>
      <c r="J135" s="536"/>
      <c r="K135" s="499" t="s">
        <v>470</v>
      </c>
      <c r="L135" s="529">
        <v>45821</v>
      </c>
      <c r="M135" s="529">
        <v>45825</v>
      </c>
      <c r="N135" s="499" t="s">
        <v>469</v>
      </c>
      <c r="O135" s="499">
        <f>M135-L135</f>
        <v>4</v>
      </c>
      <c r="P135" s="499">
        <f>L136-M135</f>
        <v>1</v>
      </c>
      <c r="Q135" s="499"/>
      <c r="R135" s="591"/>
      <c r="S135" s="591"/>
      <c r="T135" s="591"/>
      <c r="U135" s="536"/>
    </row>
    <row r="136" spans="1:21" x14ac:dyDescent="0.35">
      <c r="A136" s="618"/>
      <c r="B136" s="618"/>
      <c r="C136" s="625"/>
      <c r="D136" s="616"/>
      <c r="E136" s="536"/>
      <c r="F136" s="536"/>
      <c r="G136" s="592"/>
      <c r="H136" s="592"/>
      <c r="I136" s="536"/>
      <c r="J136" s="536"/>
      <c r="K136" s="499" t="s">
        <v>472</v>
      </c>
      <c r="L136" s="529">
        <v>45826</v>
      </c>
      <c r="M136" s="529">
        <v>45828</v>
      </c>
      <c r="N136" s="499" t="s">
        <v>491</v>
      </c>
      <c r="O136" s="499">
        <f>M136-L136</f>
        <v>2</v>
      </c>
      <c r="P136" s="499"/>
      <c r="Q136" s="499"/>
      <c r="R136" s="591"/>
      <c r="S136" s="591"/>
      <c r="T136" s="591"/>
      <c r="U136" s="536"/>
    </row>
    <row r="137" spans="1:21" x14ac:dyDescent="0.35">
      <c r="A137" s="621">
        <v>10</v>
      </c>
      <c r="B137" s="621" t="s">
        <v>622</v>
      </c>
      <c r="C137" s="622" t="s">
        <v>623</v>
      </c>
      <c r="D137" s="623" t="s">
        <v>641</v>
      </c>
      <c r="E137" s="499" t="s">
        <v>642</v>
      </c>
      <c r="F137" s="499" t="s">
        <v>467</v>
      </c>
      <c r="G137" s="529">
        <v>45800</v>
      </c>
      <c r="H137" s="529">
        <f>L137</f>
        <v>45840</v>
      </c>
      <c r="I137" s="499"/>
      <c r="J137" s="499"/>
      <c r="K137" s="499" t="s">
        <v>468</v>
      </c>
      <c r="L137" s="529">
        <v>45840</v>
      </c>
      <c r="M137" s="529">
        <v>45863</v>
      </c>
      <c r="N137" s="514" t="s">
        <v>469</v>
      </c>
      <c r="O137" s="499" t="e">
        <f>#REF!-L137</f>
        <v>#REF!</v>
      </c>
      <c r="P137" s="499"/>
      <c r="Q137" s="499"/>
      <c r="R137" s="499" t="s">
        <v>499</v>
      </c>
      <c r="S137" s="499" t="str">
        <f>N137</f>
        <v>CAT - III</v>
      </c>
      <c r="T137" s="499" t="s">
        <v>474</v>
      </c>
      <c r="U137" s="499">
        <f ca="1">U1-L137</f>
        <v>27</v>
      </c>
    </row>
    <row r="138" spans="1:21" ht="21" x14ac:dyDescent="0.35">
      <c r="A138" s="621">
        <v>11</v>
      </c>
      <c r="B138" s="621" t="s">
        <v>622</v>
      </c>
      <c r="C138" s="622" t="s">
        <v>623</v>
      </c>
      <c r="D138" s="624" t="s">
        <v>643</v>
      </c>
      <c r="E138" s="499" t="s">
        <v>644</v>
      </c>
      <c r="F138" s="499" t="s">
        <v>467</v>
      </c>
      <c r="G138" s="529">
        <v>45826</v>
      </c>
      <c r="H138" s="508">
        <v>45852</v>
      </c>
      <c r="I138" s="499"/>
      <c r="J138" s="499"/>
      <c r="K138" s="499"/>
      <c r="L138" s="529"/>
      <c r="M138" s="529"/>
      <c r="N138" s="499"/>
      <c r="O138" s="499"/>
      <c r="P138" s="499"/>
      <c r="Q138" s="499"/>
      <c r="R138" s="499"/>
      <c r="S138" s="499"/>
      <c r="T138" s="499"/>
      <c r="U138" s="499"/>
    </row>
    <row r="139" spans="1:21" x14ac:dyDescent="0.35">
      <c r="A139" s="621">
        <v>12</v>
      </c>
      <c r="B139" s="621" t="s">
        <v>622</v>
      </c>
      <c r="C139" s="622" t="s">
        <v>623</v>
      </c>
      <c r="D139" s="624" t="s">
        <v>645</v>
      </c>
      <c r="E139" s="499" t="s">
        <v>646</v>
      </c>
      <c r="F139" s="499" t="s">
        <v>467</v>
      </c>
      <c r="G139" s="529">
        <v>45826</v>
      </c>
      <c r="H139" s="508">
        <v>45852</v>
      </c>
      <c r="I139" s="499"/>
      <c r="J139" s="499"/>
      <c r="K139" s="499"/>
      <c r="L139" s="529"/>
      <c r="M139" s="529"/>
      <c r="N139" s="499"/>
      <c r="O139" s="499"/>
      <c r="P139" s="499"/>
      <c r="Q139" s="499"/>
      <c r="R139" s="499"/>
      <c r="S139" s="499"/>
      <c r="T139" s="499"/>
      <c r="U139" s="499"/>
    </row>
    <row r="140" spans="1:21" x14ac:dyDescent="0.35">
      <c r="A140" s="621">
        <v>13</v>
      </c>
      <c r="B140" s="621" t="s">
        <v>622</v>
      </c>
      <c r="C140" s="622" t="s">
        <v>623</v>
      </c>
      <c r="D140" s="624" t="s">
        <v>647</v>
      </c>
      <c r="E140" s="499" t="s">
        <v>648</v>
      </c>
      <c r="F140" s="499" t="s">
        <v>467</v>
      </c>
      <c r="G140" s="529">
        <v>45826</v>
      </c>
      <c r="H140" s="508">
        <v>45854</v>
      </c>
      <c r="I140" s="499"/>
      <c r="J140" s="499"/>
      <c r="K140" s="499"/>
      <c r="L140" s="626"/>
      <c r="M140" s="529"/>
      <c r="N140" s="499"/>
      <c r="O140" s="499"/>
      <c r="P140" s="499"/>
      <c r="Q140" s="499"/>
      <c r="R140" s="499"/>
      <c r="S140" s="499"/>
      <c r="T140" s="499"/>
      <c r="U140" s="499"/>
    </row>
    <row r="141" spans="1:21" x14ac:dyDescent="0.35">
      <c r="A141" s="621">
        <v>14</v>
      </c>
      <c r="B141" s="621" t="s">
        <v>622</v>
      </c>
      <c r="C141" s="622" t="s">
        <v>623</v>
      </c>
      <c r="D141" s="623" t="s">
        <v>649</v>
      </c>
      <c r="E141" s="499" t="s">
        <v>650</v>
      </c>
      <c r="F141" s="499" t="s">
        <v>467</v>
      </c>
      <c r="G141" s="529">
        <v>45794</v>
      </c>
      <c r="H141" s="508">
        <f>L141</f>
        <v>45840</v>
      </c>
      <c r="I141" s="499"/>
      <c r="J141" s="499"/>
      <c r="K141" s="499" t="s">
        <v>468</v>
      </c>
      <c r="L141" s="529">
        <v>45840</v>
      </c>
      <c r="M141" s="529">
        <v>45863</v>
      </c>
      <c r="N141" s="514" t="s">
        <v>469</v>
      </c>
      <c r="O141" s="499">
        <f ca="1">O1-L141</f>
        <v>27</v>
      </c>
      <c r="P141" s="499"/>
      <c r="Q141" s="499"/>
      <c r="R141" s="499" t="s">
        <v>499</v>
      </c>
      <c r="S141" s="499" t="str">
        <f>N141</f>
        <v>CAT - III</v>
      </c>
      <c r="T141" s="499" t="s">
        <v>474</v>
      </c>
      <c r="U141" s="499"/>
    </row>
    <row r="142" spans="1:21" x14ac:dyDescent="0.35">
      <c r="A142" s="621">
        <v>15</v>
      </c>
      <c r="B142" s="621" t="s">
        <v>622</v>
      </c>
      <c r="C142" s="622" t="s">
        <v>623</v>
      </c>
      <c r="D142" s="624" t="s">
        <v>651</v>
      </c>
      <c r="E142" s="499" t="s">
        <v>652</v>
      </c>
      <c r="F142" s="499" t="s">
        <v>467</v>
      </c>
      <c r="G142" s="529">
        <v>45821</v>
      </c>
      <c r="H142" s="508">
        <v>45853</v>
      </c>
      <c r="I142" s="499"/>
      <c r="J142" s="499"/>
      <c r="K142" s="499"/>
      <c r="L142" s="529"/>
      <c r="M142" s="529"/>
      <c r="N142" s="499"/>
      <c r="O142" s="499"/>
      <c r="P142" s="499"/>
      <c r="Q142" s="499"/>
      <c r="R142" s="499"/>
      <c r="S142" s="499"/>
      <c r="T142" s="499"/>
      <c r="U142" s="499"/>
    </row>
    <row r="143" spans="1:21" ht="21" x14ac:dyDescent="0.35">
      <c r="A143" s="621">
        <v>16</v>
      </c>
      <c r="B143" s="621" t="s">
        <v>622</v>
      </c>
      <c r="C143" s="622" t="s">
        <v>623</v>
      </c>
      <c r="D143" s="624" t="s">
        <v>653</v>
      </c>
      <c r="E143" s="499" t="s">
        <v>654</v>
      </c>
      <c r="F143" s="499" t="s">
        <v>467</v>
      </c>
      <c r="G143" s="529">
        <v>45835</v>
      </c>
      <c r="H143" s="508">
        <v>45848</v>
      </c>
      <c r="I143" s="499"/>
      <c r="J143" s="499"/>
      <c r="K143" s="499"/>
      <c r="L143" s="529"/>
      <c r="M143" s="529"/>
      <c r="N143" s="499"/>
      <c r="O143" s="499"/>
      <c r="P143" s="499"/>
      <c r="Q143" s="499"/>
      <c r="R143" s="499"/>
      <c r="S143" s="499"/>
      <c r="T143" s="499"/>
      <c r="U143" s="499"/>
    </row>
    <row r="144" spans="1:21" x14ac:dyDescent="0.35">
      <c r="A144" s="621">
        <v>17</v>
      </c>
      <c r="B144" s="621" t="s">
        <v>622</v>
      </c>
      <c r="C144" s="622" t="s">
        <v>623</v>
      </c>
      <c r="D144" s="624" t="s">
        <v>655</v>
      </c>
      <c r="E144" s="499" t="s">
        <v>656</v>
      </c>
      <c r="F144" s="499" t="s">
        <v>477</v>
      </c>
      <c r="G144" s="529">
        <v>45842</v>
      </c>
      <c r="H144" s="508">
        <v>45853</v>
      </c>
      <c r="I144" s="499"/>
      <c r="J144" s="499"/>
      <c r="K144" s="499"/>
      <c r="L144" s="529"/>
      <c r="M144" s="529"/>
      <c r="N144" s="499"/>
      <c r="O144" s="499"/>
      <c r="P144" s="499"/>
      <c r="Q144" s="499"/>
      <c r="R144" s="499"/>
      <c r="S144" s="499"/>
      <c r="T144" s="499"/>
      <c r="U144" s="499"/>
    </row>
    <row r="145" spans="1:21" x14ac:dyDescent="0.35">
      <c r="A145" s="621">
        <v>18</v>
      </c>
      <c r="B145" s="621" t="s">
        <v>622</v>
      </c>
      <c r="C145" s="622" t="s">
        <v>623</v>
      </c>
      <c r="D145" s="624" t="s">
        <v>657</v>
      </c>
      <c r="E145" s="499" t="s">
        <v>658</v>
      </c>
      <c r="F145" s="499" t="s">
        <v>467</v>
      </c>
      <c r="G145" s="529">
        <v>45853</v>
      </c>
      <c r="H145" s="508">
        <f t="shared" ref="H145:H152" si="4">G145</f>
        <v>45853</v>
      </c>
      <c r="I145" s="499"/>
      <c r="J145" s="499"/>
      <c r="K145" s="499"/>
      <c r="L145" s="529"/>
      <c r="M145" s="529"/>
      <c r="N145" s="499"/>
      <c r="O145" s="499"/>
      <c r="P145" s="499"/>
      <c r="Q145" s="499"/>
      <c r="R145" s="499"/>
      <c r="S145" s="499"/>
      <c r="T145" s="499"/>
      <c r="U145" s="499"/>
    </row>
    <row r="146" spans="1:21" x14ac:dyDescent="0.35">
      <c r="A146" s="621">
        <v>19</v>
      </c>
      <c r="B146" s="621" t="s">
        <v>622</v>
      </c>
      <c r="C146" s="622" t="s">
        <v>623</v>
      </c>
      <c r="D146" s="624" t="s">
        <v>659</v>
      </c>
      <c r="E146" s="499" t="s">
        <v>660</v>
      </c>
      <c r="F146" s="499" t="s">
        <v>467</v>
      </c>
      <c r="G146" s="529">
        <v>45838</v>
      </c>
      <c r="H146" s="508">
        <v>45853</v>
      </c>
      <c r="I146" s="499"/>
      <c r="J146" s="499"/>
      <c r="K146" s="499"/>
      <c r="L146" s="529"/>
      <c r="M146" s="529"/>
      <c r="N146" s="499"/>
      <c r="O146" s="499"/>
      <c r="P146" s="499"/>
      <c r="Q146" s="499"/>
      <c r="R146" s="499"/>
      <c r="S146" s="499"/>
      <c r="T146" s="499"/>
      <c r="U146" s="499"/>
    </row>
    <row r="147" spans="1:21" x14ac:dyDescent="0.35">
      <c r="A147" s="621">
        <v>20</v>
      </c>
      <c r="B147" s="621" t="s">
        <v>622</v>
      </c>
      <c r="C147" s="622" t="s">
        <v>623</v>
      </c>
      <c r="D147" s="624" t="s">
        <v>661</v>
      </c>
      <c r="E147" s="499" t="s">
        <v>662</v>
      </c>
      <c r="F147" s="499" t="s">
        <v>467</v>
      </c>
      <c r="G147" s="529">
        <v>45850</v>
      </c>
      <c r="H147" s="508">
        <v>45858</v>
      </c>
      <c r="I147" s="499"/>
      <c r="J147" s="499"/>
      <c r="K147" s="499"/>
      <c r="L147" s="529"/>
      <c r="M147" s="529"/>
      <c r="N147" s="499"/>
      <c r="O147" s="499"/>
      <c r="P147" s="499"/>
      <c r="Q147" s="499"/>
      <c r="R147" s="499"/>
      <c r="S147" s="499"/>
      <c r="T147" s="499"/>
      <c r="U147" s="499"/>
    </row>
    <row r="148" spans="1:21" x14ac:dyDescent="0.35">
      <c r="A148" s="621">
        <v>21</v>
      </c>
      <c r="B148" s="621" t="s">
        <v>622</v>
      </c>
      <c r="C148" s="622" t="s">
        <v>623</v>
      </c>
      <c r="D148" s="624" t="s">
        <v>663</v>
      </c>
      <c r="E148" s="499" t="s">
        <v>664</v>
      </c>
      <c r="F148" s="499" t="s">
        <v>467</v>
      </c>
      <c r="G148" s="529">
        <v>45852</v>
      </c>
      <c r="H148" s="508">
        <v>45860</v>
      </c>
      <c r="I148" s="499"/>
      <c r="J148" s="499"/>
      <c r="K148" s="499"/>
      <c r="L148" s="529"/>
      <c r="M148" s="529"/>
      <c r="N148" s="499"/>
      <c r="O148" s="499"/>
      <c r="P148" s="499"/>
      <c r="Q148" s="499"/>
      <c r="R148" s="499"/>
      <c r="S148" s="499"/>
      <c r="T148" s="499"/>
      <c r="U148" s="499"/>
    </row>
    <row r="149" spans="1:21" x14ac:dyDescent="0.35">
      <c r="A149" s="621">
        <v>22</v>
      </c>
      <c r="B149" s="621" t="s">
        <v>622</v>
      </c>
      <c r="C149" s="622" t="s">
        <v>623</v>
      </c>
      <c r="D149" s="624" t="s">
        <v>665</v>
      </c>
      <c r="E149" s="499" t="s">
        <v>666</v>
      </c>
      <c r="F149" s="499" t="s">
        <v>467</v>
      </c>
      <c r="G149" s="529">
        <v>45863</v>
      </c>
      <c r="H149" s="508">
        <f t="shared" si="4"/>
        <v>45863</v>
      </c>
      <c r="I149" s="499"/>
      <c r="J149" s="499"/>
      <c r="K149" s="499"/>
      <c r="L149" s="529"/>
      <c r="M149" s="529"/>
      <c r="N149" s="499"/>
      <c r="O149" s="499"/>
      <c r="P149" s="499"/>
      <c r="Q149" s="499"/>
      <c r="R149" s="499"/>
      <c r="S149" s="499"/>
      <c r="T149" s="499"/>
      <c r="U149" s="499"/>
    </row>
    <row r="150" spans="1:21" x14ac:dyDescent="0.35">
      <c r="A150" s="621">
        <v>23</v>
      </c>
      <c r="B150" s="621" t="s">
        <v>622</v>
      </c>
      <c r="C150" s="622" t="s">
        <v>623</v>
      </c>
      <c r="D150" s="624" t="s">
        <v>667</v>
      </c>
      <c r="E150" s="499" t="s">
        <v>668</v>
      </c>
      <c r="F150" s="499" t="s">
        <v>467</v>
      </c>
      <c r="G150" s="529">
        <v>45854</v>
      </c>
      <c r="H150" s="508">
        <v>45860</v>
      </c>
      <c r="I150" s="499"/>
      <c r="J150" s="499"/>
      <c r="K150" s="499"/>
      <c r="L150" s="529"/>
      <c r="M150" s="529"/>
      <c r="N150" s="499"/>
      <c r="O150" s="499"/>
      <c r="P150" s="499"/>
      <c r="Q150" s="499"/>
      <c r="R150" s="499"/>
      <c r="S150" s="499"/>
      <c r="T150" s="499"/>
      <c r="U150" s="499"/>
    </row>
    <row r="151" spans="1:21" x14ac:dyDescent="0.35">
      <c r="A151" s="621">
        <v>24</v>
      </c>
      <c r="B151" s="621" t="s">
        <v>622</v>
      </c>
      <c r="C151" s="622" t="s">
        <v>623</v>
      </c>
      <c r="D151" s="624" t="s">
        <v>669</v>
      </c>
      <c r="E151" s="499" t="s">
        <v>670</v>
      </c>
      <c r="F151" s="499" t="s">
        <v>467</v>
      </c>
      <c r="G151" s="529">
        <v>45860</v>
      </c>
      <c r="H151" s="508">
        <v>45864</v>
      </c>
      <c r="I151" s="499"/>
      <c r="J151" s="499"/>
      <c r="K151" s="499"/>
      <c r="L151" s="529"/>
      <c r="M151" s="529"/>
      <c r="N151" s="499"/>
      <c r="O151" s="499"/>
      <c r="P151" s="499"/>
      <c r="Q151" s="499"/>
      <c r="R151" s="499"/>
      <c r="S151" s="499"/>
      <c r="T151" s="499"/>
      <c r="U151" s="499"/>
    </row>
    <row r="152" spans="1:21" x14ac:dyDescent="0.35">
      <c r="A152" s="621">
        <v>25</v>
      </c>
      <c r="B152" s="621" t="s">
        <v>622</v>
      </c>
      <c r="C152" s="622" t="s">
        <v>623</v>
      </c>
      <c r="D152" s="624" t="s">
        <v>671</v>
      </c>
      <c r="E152" s="499" t="s">
        <v>672</v>
      </c>
      <c r="F152" s="499" t="s">
        <v>467</v>
      </c>
      <c r="G152" s="529">
        <v>45866</v>
      </c>
      <c r="H152" s="508">
        <f t="shared" si="4"/>
        <v>45866</v>
      </c>
      <c r="I152" s="499"/>
      <c r="J152" s="499"/>
      <c r="K152" s="499"/>
      <c r="L152" s="529"/>
      <c r="M152" s="529"/>
      <c r="N152" s="499"/>
      <c r="O152" s="499"/>
      <c r="P152" s="499"/>
      <c r="Q152" s="499"/>
      <c r="R152" s="499"/>
      <c r="S152" s="499"/>
      <c r="T152" s="499"/>
      <c r="U152" s="499"/>
    </row>
    <row r="153" spans="1:21" ht="21" x14ac:dyDescent="0.35">
      <c r="A153" s="621">
        <v>1</v>
      </c>
      <c r="B153" s="621" t="s">
        <v>622</v>
      </c>
      <c r="C153" s="622" t="s">
        <v>673</v>
      </c>
      <c r="D153" s="623" t="s">
        <v>674</v>
      </c>
      <c r="E153" s="499" t="s">
        <v>675</v>
      </c>
      <c r="F153" s="499" t="s">
        <v>467</v>
      </c>
      <c r="G153" s="529">
        <v>45714</v>
      </c>
      <c r="H153" s="529">
        <f>L153</f>
        <v>45714</v>
      </c>
      <c r="I153" s="499"/>
      <c r="J153" s="499"/>
      <c r="K153" s="499" t="s">
        <v>468</v>
      </c>
      <c r="L153" s="529">
        <v>45714</v>
      </c>
      <c r="M153" s="529"/>
      <c r="N153" s="499"/>
      <c r="O153" s="499">
        <f ca="1">O1-L153</f>
        <v>153</v>
      </c>
      <c r="P153" s="499"/>
      <c r="Q153" s="499"/>
      <c r="R153" s="499" t="s">
        <v>492</v>
      </c>
      <c r="S153" s="499"/>
      <c r="T153" s="499" t="s">
        <v>471</v>
      </c>
      <c r="U153" s="499">
        <f ca="1">U1-L153</f>
        <v>153</v>
      </c>
    </row>
    <row r="154" spans="1:21" ht="21" x14ac:dyDescent="0.35">
      <c r="A154" s="621">
        <v>2</v>
      </c>
      <c r="B154" s="621" t="s">
        <v>622</v>
      </c>
      <c r="C154" s="622" t="s">
        <v>673</v>
      </c>
      <c r="D154" s="624" t="s">
        <v>676</v>
      </c>
      <c r="E154" s="499" t="s">
        <v>677</v>
      </c>
      <c r="F154" s="499" t="s">
        <v>467</v>
      </c>
      <c r="G154" s="529">
        <v>45877</v>
      </c>
      <c r="H154" s="508">
        <f>G154</f>
        <v>45877</v>
      </c>
      <c r="I154" s="499"/>
      <c r="J154" s="499"/>
      <c r="K154" s="499"/>
      <c r="L154" s="529"/>
      <c r="M154" s="529"/>
      <c r="N154" s="499"/>
      <c r="O154" s="499"/>
      <c r="P154" s="499"/>
      <c r="Q154" s="499"/>
      <c r="R154" s="499"/>
      <c r="S154" s="499"/>
      <c r="T154" s="499"/>
      <c r="U154" s="499"/>
    </row>
    <row r="155" spans="1:21" ht="21" x14ac:dyDescent="0.35">
      <c r="A155" s="621">
        <v>3</v>
      </c>
      <c r="B155" s="621" t="s">
        <v>622</v>
      </c>
      <c r="C155" s="622" t="s">
        <v>673</v>
      </c>
      <c r="D155" s="624" t="s">
        <v>678</v>
      </c>
      <c r="E155" s="499" t="s">
        <v>679</v>
      </c>
      <c r="F155" s="499" t="s">
        <v>467</v>
      </c>
      <c r="G155" s="529">
        <v>45935</v>
      </c>
      <c r="H155" s="508">
        <f>G155</f>
        <v>45935</v>
      </c>
      <c r="I155" s="499"/>
      <c r="J155" s="499"/>
      <c r="K155" s="499"/>
      <c r="L155" s="529"/>
      <c r="M155" s="529"/>
      <c r="N155" s="499"/>
      <c r="O155" s="499"/>
      <c r="P155" s="499"/>
      <c r="Q155" s="499"/>
      <c r="R155" s="499"/>
      <c r="S155" s="499"/>
      <c r="T155" s="499"/>
      <c r="U155" s="499"/>
    </row>
    <row r="156" spans="1:21" x14ac:dyDescent="0.35">
      <c r="A156" s="510">
        <v>4</v>
      </c>
      <c r="B156" s="510" t="s">
        <v>622</v>
      </c>
      <c r="C156" s="511" t="s">
        <v>673</v>
      </c>
      <c r="D156" s="512" t="s">
        <v>680</v>
      </c>
      <c r="E156" s="510" t="s">
        <v>681</v>
      </c>
      <c r="F156" s="519" t="s">
        <v>467</v>
      </c>
      <c r="G156" s="513">
        <v>45754</v>
      </c>
      <c r="H156" s="522">
        <f>L156</f>
        <v>45773</v>
      </c>
      <c r="I156" s="519"/>
      <c r="J156" s="519"/>
      <c r="K156" s="514" t="s">
        <v>468</v>
      </c>
      <c r="L156" s="515">
        <v>45773</v>
      </c>
      <c r="M156" s="515">
        <v>45777</v>
      </c>
      <c r="N156" s="514" t="s">
        <v>469</v>
      </c>
      <c r="O156" s="514">
        <f t="shared" ref="O156:O161" si="5">M156-L156</f>
        <v>4</v>
      </c>
      <c r="P156" s="514">
        <f>L157-M156</f>
        <v>14</v>
      </c>
      <c r="Q156" s="510"/>
      <c r="R156" s="510" t="s">
        <v>492</v>
      </c>
      <c r="S156" s="510" t="s">
        <v>482</v>
      </c>
      <c r="T156" s="510" t="s">
        <v>398</v>
      </c>
      <c r="U156" s="510">
        <f>M157-L157</f>
        <v>21</v>
      </c>
    </row>
    <row r="157" spans="1:21" x14ac:dyDescent="0.35">
      <c r="A157" s="510"/>
      <c r="B157" s="510"/>
      <c r="C157" s="511"/>
      <c r="D157" s="512"/>
      <c r="E157" s="510"/>
      <c r="F157" s="519"/>
      <c r="G157" s="513"/>
      <c r="H157" s="522"/>
      <c r="I157" s="519"/>
      <c r="J157" s="519"/>
      <c r="K157" s="514" t="s">
        <v>470</v>
      </c>
      <c r="L157" s="515">
        <v>45791</v>
      </c>
      <c r="M157" s="515">
        <v>45812</v>
      </c>
      <c r="N157" s="514" t="s">
        <v>482</v>
      </c>
      <c r="O157" s="514">
        <f t="shared" si="5"/>
        <v>21</v>
      </c>
      <c r="P157" s="514"/>
      <c r="Q157" s="510"/>
      <c r="R157" s="510"/>
      <c r="S157" s="510"/>
      <c r="T157" s="510"/>
      <c r="U157" s="510"/>
    </row>
    <row r="158" spans="1:21" x14ac:dyDescent="0.35">
      <c r="A158" s="519">
        <v>5</v>
      </c>
      <c r="B158" s="519" t="s">
        <v>622</v>
      </c>
      <c r="C158" s="520" t="s">
        <v>673</v>
      </c>
      <c r="D158" s="521" t="s">
        <v>682</v>
      </c>
      <c r="E158" s="519" t="s">
        <v>683</v>
      </c>
      <c r="F158" s="519" t="s">
        <v>467</v>
      </c>
      <c r="G158" s="522">
        <v>45754</v>
      </c>
      <c r="H158" s="522">
        <f>L158</f>
        <v>45791</v>
      </c>
      <c r="I158" s="519"/>
      <c r="J158" s="519"/>
      <c r="K158" s="514" t="s">
        <v>468</v>
      </c>
      <c r="L158" s="515">
        <v>45791</v>
      </c>
      <c r="M158" s="515">
        <v>45809</v>
      </c>
      <c r="N158" s="514" t="s">
        <v>469</v>
      </c>
      <c r="O158" s="514">
        <f t="shared" si="5"/>
        <v>18</v>
      </c>
      <c r="P158" s="514">
        <f>L159-M158</f>
        <v>3</v>
      </c>
      <c r="Q158" s="519"/>
      <c r="R158" s="519" t="s">
        <v>499</v>
      </c>
      <c r="S158" s="519" t="str">
        <f>N161</f>
        <v>CAT - II</v>
      </c>
      <c r="T158" s="519" t="s">
        <v>474</v>
      </c>
      <c r="U158" s="519">
        <f ca="1">U1-L158</f>
        <v>76</v>
      </c>
    </row>
    <row r="159" spans="1:21" x14ac:dyDescent="0.35">
      <c r="A159" s="563"/>
      <c r="B159" s="519"/>
      <c r="C159" s="627"/>
      <c r="D159" s="565"/>
      <c r="E159" s="563"/>
      <c r="F159" s="563"/>
      <c r="G159" s="566"/>
      <c r="H159" s="566"/>
      <c r="I159" s="519"/>
      <c r="J159" s="519"/>
      <c r="K159" s="514" t="s">
        <v>470</v>
      </c>
      <c r="L159" s="515">
        <v>45812</v>
      </c>
      <c r="M159" s="515">
        <v>45820</v>
      </c>
      <c r="N159" s="514" t="s">
        <v>469</v>
      </c>
      <c r="O159" s="514">
        <f t="shared" si="5"/>
        <v>8</v>
      </c>
      <c r="P159" s="514">
        <f>L160-M159</f>
        <v>1</v>
      </c>
      <c r="Q159" s="519"/>
      <c r="R159" s="563"/>
      <c r="S159" s="563"/>
      <c r="T159" s="563"/>
      <c r="U159" s="563"/>
    </row>
    <row r="160" spans="1:21" x14ac:dyDescent="0.35">
      <c r="A160" s="563"/>
      <c r="B160" s="519"/>
      <c r="C160" s="627"/>
      <c r="D160" s="565"/>
      <c r="E160" s="563"/>
      <c r="F160" s="563"/>
      <c r="G160" s="566"/>
      <c r="H160" s="566"/>
      <c r="I160" s="519"/>
      <c r="J160" s="519"/>
      <c r="K160" s="514" t="s">
        <v>472</v>
      </c>
      <c r="L160" s="515">
        <v>45821</v>
      </c>
      <c r="M160" s="515">
        <v>45830</v>
      </c>
      <c r="N160" s="514" t="s">
        <v>482</v>
      </c>
      <c r="O160" s="514">
        <f t="shared" si="5"/>
        <v>9</v>
      </c>
      <c r="P160" s="514"/>
      <c r="Q160" s="519"/>
      <c r="R160" s="563"/>
      <c r="S160" s="563"/>
      <c r="T160" s="563"/>
      <c r="U160" s="563"/>
    </row>
    <row r="161" spans="1:21" x14ac:dyDescent="0.35">
      <c r="A161" s="571"/>
      <c r="B161" s="568"/>
      <c r="C161" s="628"/>
      <c r="D161" s="573"/>
      <c r="E161" s="571"/>
      <c r="F161" s="571"/>
      <c r="G161" s="574"/>
      <c r="H161" s="574"/>
      <c r="I161" s="568"/>
      <c r="J161" s="568"/>
      <c r="K161" s="514" t="s">
        <v>473</v>
      </c>
      <c r="L161" s="515">
        <v>45858</v>
      </c>
      <c r="M161" s="515">
        <v>45863</v>
      </c>
      <c r="N161" s="514" t="s">
        <v>491</v>
      </c>
      <c r="O161" s="514">
        <f t="shared" si="5"/>
        <v>5</v>
      </c>
      <c r="P161" s="514"/>
      <c r="Q161" s="568"/>
      <c r="R161" s="571"/>
      <c r="S161" s="571"/>
      <c r="T161" s="571"/>
      <c r="U161" s="571"/>
    </row>
    <row r="162" spans="1:21" ht="21" x14ac:dyDescent="0.35">
      <c r="A162" s="621">
        <v>6</v>
      </c>
      <c r="B162" s="621" t="s">
        <v>622</v>
      </c>
      <c r="C162" s="622" t="s">
        <v>673</v>
      </c>
      <c r="D162" s="624" t="s">
        <v>684</v>
      </c>
      <c r="E162" s="499" t="s">
        <v>685</v>
      </c>
      <c r="F162" s="499" t="s">
        <v>467</v>
      </c>
      <c r="G162" s="529">
        <v>45811</v>
      </c>
      <c r="H162" s="529">
        <v>45852</v>
      </c>
      <c r="I162" s="499"/>
      <c r="J162" s="499"/>
      <c r="K162" s="499"/>
      <c r="L162" s="529"/>
      <c r="M162" s="529"/>
      <c r="N162" s="499"/>
      <c r="O162" s="499"/>
      <c r="P162" s="499"/>
      <c r="Q162" s="499"/>
      <c r="R162" s="499"/>
      <c r="S162" s="499"/>
      <c r="T162" s="499"/>
      <c r="U162" s="499"/>
    </row>
    <row r="163" spans="1:21" ht="21" x14ac:dyDescent="0.35">
      <c r="A163" s="621">
        <v>7</v>
      </c>
      <c r="B163" s="621" t="s">
        <v>622</v>
      </c>
      <c r="C163" s="622" t="s">
        <v>673</v>
      </c>
      <c r="D163" s="623" t="s">
        <v>686</v>
      </c>
      <c r="E163" s="499" t="s">
        <v>687</v>
      </c>
      <c r="F163" s="499" t="s">
        <v>467</v>
      </c>
      <c r="G163" s="529">
        <v>45808</v>
      </c>
      <c r="H163" s="529">
        <v>45852</v>
      </c>
      <c r="I163" s="499"/>
      <c r="J163" s="499"/>
      <c r="K163" s="499" t="s">
        <v>468</v>
      </c>
      <c r="L163" s="529">
        <v>45856</v>
      </c>
      <c r="M163" s="529">
        <v>45863</v>
      </c>
      <c r="N163" s="514" t="s">
        <v>469</v>
      </c>
      <c r="O163" s="499"/>
      <c r="P163" s="499"/>
      <c r="Q163" s="499"/>
      <c r="R163" s="499" t="s">
        <v>499</v>
      </c>
      <c r="S163" s="499" t="str">
        <f>N163</f>
        <v>CAT - III</v>
      </c>
      <c r="T163" s="499" t="s">
        <v>474</v>
      </c>
      <c r="U163" s="499"/>
    </row>
    <row r="164" spans="1:21" ht="21" x14ac:dyDescent="0.35">
      <c r="A164" s="621">
        <v>8</v>
      </c>
      <c r="B164" s="621" t="s">
        <v>622</v>
      </c>
      <c r="C164" s="622" t="s">
        <v>673</v>
      </c>
      <c r="D164" s="624" t="s">
        <v>688</v>
      </c>
      <c r="E164" s="499" t="s">
        <v>689</v>
      </c>
      <c r="F164" s="499" t="s">
        <v>467</v>
      </c>
      <c r="G164" s="529">
        <v>45831</v>
      </c>
      <c r="H164" s="529">
        <v>45854</v>
      </c>
      <c r="I164" s="499"/>
      <c r="J164" s="499"/>
      <c r="K164" s="499"/>
      <c r="L164" s="529"/>
      <c r="M164" s="529"/>
      <c r="N164" s="499"/>
      <c r="O164" s="499"/>
      <c r="P164" s="499"/>
      <c r="Q164" s="499"/>
      <c r="R164" s="499"/>
      <c r="S164" s="499"/>
      <c r="T164" s="499"/>
      <c r="U164" s="499"/>
    </row>
    <row r="165" spans="1:21" ht="21" x14ac:dyDescent="0.35">
      <c r="A165" s="621">
        <v>9</v>
      </c>
      <c r="B165" s="621" t="s">
        <v>622</v>
      </c>
      <c r="C165" s="622" t="s">
        <v>673</v>
      </c>
      <c r="D165" s="624" t="s">
        <v>690</v>
      </c>
      <c r="E165" s="499" t="s">
        <v>691</v>
      </c>
      <c r="F165" s="499" t="s">
        <v>477</v>
      </c>
      <c r="G165" s="529">
        <v>45829</v>
      </c>
      <c r="H165" s="529">
        <v>45852</v>
      </c>
      <c r="I165" s="499"/>
      <c r="J165" s="499"/>
      <c r="K165" s="499"/>
      <c r="L165" s="529"/>
      <c r="M165" s="529"/>
      <c r="N165" s="499"/>
      <c r="O165" s="499"/>
      <c r="P165" s="499"/>
      <c r="Q165" s="499"/>
      <c r="R165" s="499"/>
      <c r="S165" s="499"/>
      <c r="T165" s="499"/>
      <c r="U165" s="499"/>
    </row>
    <row r="166" spans="1:21" x14ac:dyDescent="0.35">
      <c r="A166" s="519">
        <v>10</v>
      </c>
      <c r="B166" s="519" t="s">
        <v>622</v>
      </c>
      <c r="C166" s="520" t="s">
        <v>673</v>
      </c>
      <c r="D166" s="524" t="s">
        <v>692</v>
      </c>
      <c r="E166" s="519" t="s">
        <v>693</v>
      </c>
      <c r="F166" s="519" t="s">
        <v>467</v>
      </c>
      <c r="G166" s="522">
        <v>45783</v>
      </c>
      <c r="H166" s="522">
        <f>L166</f>
        <v>45792</v>
      </c>
      <c r="I166" s="519"/>
      <c r="J166" s="519"/>
      <c r="K166" s="514" t="s">
        <v>468</v>
      </c>
      <c r="L166" s="515">
        <v>45792</v>
      </c>
      <c r="M166" s="515">
        <v>45813</v>
      </c>
      <c r="N166" s="514" t="s">
        <v>469</v>
      </c>
      <c r="O166" s="514">
        <f>M166-L166</f>
        <v>21</v>
      </c>
      <c r="P166" s="514">
        <f>L167-M166</f>
        <v>0</v>
      </c>
      <c r="Q166" s="523">
        <f>M166</f>
        <v>45813</v>
      </c>
      <c r="R166" s="519" t="s">
        <v>492</v>
      </c>
      <c r="S166" s="519" t="str">
        <f>N168</f>
        <v>CAT - I</v>
      </c>
      <c r="T166" s="519" t="s">
        <v>398</v>
      </c>
      <c r="U166" s="514">
        <f ca="1">U1-L166</f>
        <v>75</v>
      </c>
    </row>
    <row r="167" spans="1:21" x14ac:dyDescent="0.35">
      <c r="A167" s="519"/>
      <c r="B167" s="519"/>
      <c r="C167" s="520"/>
      <c r="D167" s="524"/>
      <c r="E167" s="519"/>
      <c r="F167" s="519"/>
      <c r="G167" s="522"/>
      <c r="H167" s="522"/>
      <c r="I167" s="519"/>
      <c r="J167" s="519"/>
      <c r="K167" s="514" t="s">
        <v>470</v>
      </c>
      <c r="L167" s="515">
        <v>45813</v>
      </c>
      <c r="M167" s="515">
        <v>45821</v>
      </c>
      <c r="N167" s="514" t="s">
        <v>491</v>
      </c>
      <c r="O167" s="514">
        <f>M167-L167</f>
        <v>8</v>
      </c>
      <c r="P167" s="514">
        <f>L168-M167</f>
        <v>6</v>
      </c>
      <c r="Q167" s="523"/>
      <c r="R167" s="519"/>
      <c r="S167" s="519"/>
      <c r="T167" s="519"/>
      <c r="U167" s="514"/>
    </row>
    <row r="168" spans="1:21" x14ac:dyDescent="0.35">
      <c r="A168" s="519"/>
      <c r="B168" s="519"/>
      <c r="C168" s="520"/>
      <c r="D168" s="524"/>
      <c r="E168" s="519"/>
      <c r="F168" s="519"/>
      <c r="G168" s="522"/>
      <c r="H168" s="522"/>
      <c r="I168" s="519"/>
      <c r="J168" s="519"/>
      <c r="K168" s="514" t="s">
        <v>472</v>
      </c>
      <c r="L168" s="515">
        <v>45827</v>
      </c>
      <c r="M168" s="515">
        <v>45830</v>
      </c>
      <c r="N168" s="514" t="s">
        <v>482</v>
      </c>
      <c r="O168" s="514">
        <f>M168-L168</f>
        <v>3</v>
      </c>
      <c r="P168" s="514"/>
      <c r="Q168" s="523"/>
      <c r="R168" s="519"/>
      <c r="S168" s="519"/>
      <c r="T168" s="519"/>
      <c r="U168" s="514"/>
    </row>
    <row r="169" spans="1:21" ht="21" x14ac:dyDescent="0.35">
      <c r="A169" s="621">
        <v>11</v>
      </c>
      <c r="B169" s="621" t="s">
        <v>622</v>
      </c>
      <c r="C169" s="622" t="s">
        <v>673</v>
      </c>
      <c r="D169" s="624" t="s">
        <v>694</v>
      </c>
      <c r="E169" s="499" t="s">
        <v>695</v>
      </c>
      <c r="F169" s="499" t="s">
        <v>467</v>
      </c>
      <c r="G169" s="529">
        <v>45783</v>
      </c>
      <c r="H169" s="529">
        <f>L169</f>
        <v>45791</v>
      </c>
      <c r="I169" s="499"/>
      <c r="J169" s="499"/>
      <c r="K169" s="499" t="s">
        <v>468</v>
      </c>
      <c r="L169" s="529">
        <v>45791</v>
      </c>
      <c r="M169" s="529">
        <v>45842</v>
      </c>
      <c r="N169" s="499" t="s">
        <v>469</v>
      </c>
      <c r="O169" s="499">
        <f ca="1">O1-L169</f>
        <v>76</v>
      </c>
      <c r="P169" s="499">
        <f ca="1">O1-M169</f>
        <v>25</v>
      </c>
      <c r="Q169" s="499"/>
      <c r="R169" s="499" t="s">
        <v>499</v>
      </c>
      <c r="S169" s="499" t="str">
        <f>N169</f>
        <v>CAT - III</v>
      </c>
      <c r="T169" s="499" t="s">
        <v>474</v>
      </c>
      <c r="U169" s="499">
        <f ca="1">U1-L169</f>
        <v>76</v>
      </c>
    </row>
    <row r="170" spans="1:21" x14ac:dyDescent="0.35">
      <c r="A170" s="510">
        <v>12</v>
      </c>
      <c r="B170" s="510" t="s">
        <v>622</v>
      </c>
      <c r="C170" s="511" t="s">
        <v>673</v>
      </c>
      <c r="D170" s="512" t="s">
        <v>696</v>
      </c>
      <c r="E170" s="510" t="s">
        <v>697</v>
      </c>
      <c r="F170" s="510" t="s">
        <v>467</v>
      </c>
      <c r="G170" s="513">
        <v>45755</v>
      </c>
      <c r="H170" s="522">
        <f>L170</f>
        <v>45755</v>
      </c>
      <c r="I170" s="510"/>
      <c r="J170" s="510"/>
      <c r="K170" s="514" t="s">
        <v>468</v>
      </c>
      <c r="L170" s="515">
        <v>45755</v>
      </c>
      <c r="M170" s="515">
        <v>45770</v>
      </c>
      <c r="N170" s="514" t="s">
        <v>469</v>
      </c>
      <c r="O170" s="514">
        <f t="shared" ref="O170:O175" si="6">M170-L170</f>
        <v>15</v>
      </c>
      <c r="P170" s="514">
        <f>L172-M170</f>
        <v>55</v>
      </c>
      <c r="Q170" s="510"/>
      <c r="R170" s="510" t="s">
        <v>492</v>
      </c>
      <c r="S170" s="510" t="str">
        <f>N172</f>
        <v>CAT - I</v>
      </c>
      <c r="T170" s="510" t="s">
        <v>398</v>
      </c>
      <c r="U170" s="510">
        <f ca="1">U1-L172</f>
        <v>42</v>
      </c>
    </row>
    <row r="171" spans="1:21" x14ac:dyDescent="0.35">
      <c r="A171" s="510"/>
      <c r="B171" s="510"/>
      <c r="C171" s="511"/>
      <c r="D171" s="512"/>
      <c r="E171" s="510"/>
      <c r="F171" s="510"/>
      <c r="G171" s="513"/>
      <c r="H171" s="522"/>
      <c r="I171" s="510"/>
      <c r="J171" s="510"/>
      <c r="K171" s="514" t="s">
        <v>470</v>
      </c>
      <c r="L171" s="515">
        <v>45788</v>
      </c>
      <c r="M171" s="515">
        <v>45809</v>
      </c>
      <c r="N171" s="514" t="s">
        <v>469</v>
      </c>
      <c r="O171" s="514">
        <f t="shared" si="6"/>
        <v>21</v>
      </c>
      <c r="P171" s="514">
        <f>L172-M171</f>
        <v>16</v>
      </c>
      <c r="Q171" s="510"/>
      <c r="R171" s="510"/>
      <c r="S171" s="510"/>
      <c r="T171" s="510"/>
      <c r="U171" s="510"/>
    </row>
    <row r="172" spans="1:21" x14ac:dyDescent="0.35">
      <c r="A172" s="510"/>
      <c r="B172" s="510"/>
      <c r="C172" s="511"/>
      <c r="D172" s="512"/>
      <c r="E172" s="510"/>
      <c r="F172" s="510"/>
      <c r="G172" s="513"/>
      <c r="H172" s="522"/>
      <c r="I172" s="510"/>
      <c r="J172" s="510"/>
      <c r="K172" s="514" t="s">
        <v>470</v>
      </c>
      <c r="L172" s="515">
        <v>45825</v>
      </c>
      <c r="M172" s="515">
        <v>45830</v>
      </c>
      <c r="N172" s="514" t="s">
        <v>482</v>
      </c>
      <c r="O172" s="514">
        <f t="shared" si="6"/>
        <v>5</v>
      </c>
      <c r="P172" s="514">
        <f ca="1">O1-M172</f>
        <v>37</v>
      </c>
      <c r="Q172" s="510"/>
      <c r="R172" s="510"/>
      <c r="S172" s="510"/>
      <c r="T172" s="510"/>
      <c r="U172" s="510"/>
    </row>
    <row r="173" spans="1:21" x14ac:dyDescent="0.35">
      <c r="A173" s="510">
        <v>13</v>
      </c>
      <c r="B173" s="510" t="s">
        <v>622</v>
      </c>
      <c r="C173" s="511" t="s">
        <v>673</v>
      </c>
      <c r="D173" s="512" t="s">
        <v>395</v>
      </c>
      <c r="E173" s="510" t="s">
        <v>698</v>
      </c>
      <c r="F173" s="510" t="s">
        <v>467</v>
      </c>
      <c r="G173" s="513">
        <v>45755</v>
      </c>
      <c r="H173" s="522">
        <f>L173</f>
        <v>45755</v>
      </c>
      <c r="I173" s="510"/>
      <c r="J173" s="510"/>
      <c r="K173" s="514" t="s">
        <v>468</v>
      </c>
      <c r="L173" s="515">
        <v>45755</v>
      </c>
      <c r="M173" s="515">
        <v>45770</v>
      </c>
      <c r="N173" s="514" t="s">
        <v>469</v>
      </c>
      <c r="O173" s="514">
        <f t="shared" si="6"/>
        <v>15</v>
      </c>
      <c r="P173" s="514">
        <f>L175-M173</f>
        <v>55</v>
      </c>
      <c r="Q173" s="510"/>
      <c r="R173" s="510" t="s">
        <v>492</v>
      </c>
      <c r="S173" s="510" t="str">
        <f>N175</f>
        <v>CAT - I</v>
      </c>
      <c r="T173" s="510" t="s">
        <v>398</v>
      </c>
      <c r="U173" s="510">
        <f ca="1">U1-L175</f>
        <v>42</v>
      </c>
    </row>
    <row r="174" spans="1:21" x14ac:dyDescent="0.35">
      <c r="A174" s="510"/>
      <c r="B174" s="510"/>
      <c r="C174" s="511"/>
      <c r="D174" s="512"/>
      <c r="E174" s="510"/>
      <c r="F174" s="510"/>
      <c r="G174" s="513"/>
      <c r="H174" s="522"/>
      <c r="I174" s="510"/>
      <c r="J174" s="510"/>
      <c r="K174" s="514" t="s">
        <v>470</v>
      </c>
      <c r="L174" s="515">
        <v>45787</v>
      </c>
      <c r="M174" s="515">
        <v>45809</v>
      </c>
      <c r="N174" s="514" t="s">
        <v>469</v>
      </c>
      <c r="O174" s="514">
        <f t="shared" si="6"/>
        <v>22</v>
      </c>
      <c r="P174" s="514">
        <f>L175-M174</f>
        <v>16</v>
      </c>
      <c r="Q174" s="510"/>
      <c r="R174" s="510"/>
      <c r="S174" s="510"/>
      <c r="T174" s="510"/>
      <c r="U174" s="510"/>
    </row>
    <row r="175" spans="1:21" x14ac:dyDescent="0.35">
      <c r="A175" s="510"/>
      <c r="B175" s="510"/>
      <c r="C175" s="511"/>
      <c r="D175" s="512"/>
      <c r="E175" s="510"/>
      <c r="F175" s="510"/>
      <c r="G175" s="513"/>
      <c r="H175" s="522"/>
      <c r="I175" s="510"/>
      <c r="J175" s="510"/>
      <c r="K175" s="514" t="s">
        <v>472</v>
      </c>
      <c r="L175" s="515">
        <v>45825</v>
      </c>
      <c r="M175" s="515">
        <v>45830</v>
      </c>
      <c r="N175" s="514" t="s">
        <v>482</v>
      </c>
      <c r="O175" s="514">
        <f t="shared" si="6"/>
        <v>5</v>
      </c>
      <c r="P175" s="514"/>
      <c r="Q175" s="510"/>
      <c r="R175" s="510"/>
      <c r="S175" s="510"/>
      <c r="T175" s="510"/>
      <c r="U175" s="510"/>
    </row>
    <row r="176" spans="1:21" ht="21" x14ac:dyDescent="0.35">
      <c r="A176" s="621">
        <v>14</v>
      </c>
      <c r="B176" s="621" t="s">
        <v>622</v>
      </c>
      <c r="C176" s="622" t="s">
        <v>673</v>
      </c>
      <c r="D176" s="624" t="s">
        <v>699</v>
      </c>
      <c r="E176" s="499" t="s">
        <v>700</v>
      </c>
      <c r="F176" s="499" t="s">
        <v>477</v>
      </c>
      <c r="G176" s="529">
        <v>45807</v>
      </c>
      <c r="H176" s="508">
        <v>45856</v>
      </c>
      <c r="I176" s="499"/>
      <c r="J176" s="499"/>
      <c r="K176" s="499"/>
      <c r="L176" s="529"/>
      <c r="M176" s="529"/>
      <c r="N176" s="499"/>
      <c r="O176" s="499"/>
      <c r="P176" s="499"/>
      <c r="Q176" s="499"/>
      <c r="R176" s="499"/>
      <c r="S176" s="499"/>
      <c r="T176" s="499"/>
      <c r="U176" s="499"/>
    </row>
    <row r="177" spans="1:21" ht="21" x14ac:dyDescent="0.35">
      <c r="A177" s="621">
        <v>15</v>
      </c>
      <c r="B177" s="621" t="s">
        <v>622</v>
      </c>
      <c r="C177" s="622" t="s">
        <v>673</v>
      </c>
      <c r="D177" s="624" t="s">
        <v>701</v>
      </c>
      <c r="E177" s="499" t="s">
        <v>702</v>
      </c>
      <c r="F177" s="499" t="s">
        <v>477</v>
      </c>
      <c r="G177" s="529">
        <v>45845</v>
      </c>
      <c r="H177" s="508">
        <v>45856</v>
      </c>
      <c r="I177" s="499"/>
      <c r="J177" s="499"/>
      <c r="K177" s="499"/>
      <c r="L177" s="529"/>
      <c r="M177" s="529"/>
      <c r="N177" s="499"/>
      <c r="O177" s="499"/>
      <c r="P177" s="499"/>
      <c r="Q177" s="499"/>
      <c r="R177" s="499"/>
      <c r="S177" s="499"/>
      <c r="T177" s="499"/>
      <c r="U177" s="499"/>
    </row>
    <row r="178" spans="1:21" x14ac:dyDescent="0.35">
      <c r="A178" s="618">
        <v>1</v>
      </c>
      <c r="B178" s="618" t="s">
        <v>703</v>
      </c>
      <c r="C178" s="619" t="s">
        <v>704</v>
      </c>
      <c r="D178" s="620" t="s">
        <v>705</v>
      </c>
      <c r="E178" s="536" t="s">
        <v>706</v>
      </c>
      <c r="F178" s="536" t="s">
        <v>467</v>
      </c>
      <c r="G178" s="629">
        <v>45803</v>
      </c>
      <c r="H178" s="629">
        <f>L178</f>
        <v>45813</v>
      </c>
      <c r="I178" s="536"/>
      <c r="J178" s="536"/>
      <c r="K178" s="499" t="s">
        <v>468</v>
      </c>
      <c r="L178" s="529">
        <v>45813</v>
      </c>
      <c r="M178" s="529">
        <v>45832</v>
      </c>
      <c r="N178" s="499" t="s">
        <v>469</v>
      </c>
      <c r="O178" s="499">
        <f>M178-L178</f>
        <v>19</v>
      </c>
      <c r="P178" s="499">
        <f>L179-M178</f>
        <v>-45832</v>
      </c>
      <c r="Q178" s="536"/>
      <c r="R178" s="536" t="s">
        <v>492</v>
      </c>
      <c r="S178" s="536">
        <f>N179</f>
        <v>0</v>
      </c>
      <c r="T178" s="536" t="s">
        <v>474</v>
      </c>
      <c r="U178" s="536">
        <f ca="1">U1-L178</f>
        <v>54</v>
      </c>
    </row>
    <row r="179" spans="1:21" x14ac:dyDescent="0.35">
      <c r="A179" s="630"/>
      <c r="B179" s="630"/>
      <c r="C179" s="631"/>
      <c r="D179" s="632"/>
      <c r="E179" s="543"/>
      <c r="F179" s="543"/>
      <c r="G179" s="633"/>
      <c r="H179" s="633"/>
      <c r="I179" s="536"/>
      <c r="J179" s="536"/>
      <c r="K179" s="499"/>
      <c r="L179" s="529"/>
      <c r="M179" s="529"/>
      <c r="N179" s="499"/>
      <c r="O179" s="499">
        <f ca="1">O1-L179</f>
        <v>45867</v>
      </c>
      <c r="P179" s="499"/>
      <c r="Q179" s="543"/>
      <c r="R179" s="543"/>
      <c r="S179" s="543"/>
      <c r="T179" s="543"/>
      <c r="U179" s="543"/>
    </row>
    <row r="180" spans="1:21" x14ac:dyDescent="0.35">
      <c r="A180" s="634"/>
      <c r="B180" s="634"/>
      <c r="C180" s="635"/>
      <c r="D180" s="636"/>
      <c r="E180" s="552"/>
      <c r="F180" s="552"/>
      <c r="G180" s="637"/>
      <c r="H180" s="637"/>
      <c r="I180" s="547"/>
      <c r="J180" s="547"/>
      <c r="K180" s="499"/>
      <c r="L180" s="529"/>
      <c r="M180" s="529"/>
      <c r="N180" s="499"/>
      <c r="O180" s="499"/>
      <c r="P180" s="499"/>
      <c r="Q180" s="552"/>
      <c r="R180" s="552"/>
      <c r="S180" s="552"/>
      <c r="T180" s="552"/>
      <c r="U180" s="552"/>
    </row>
    <row r="181" spans="1:21" x14ac:dyDescent="0.35">
      <c r="A181" s="519">
        <v>2</v>
      </c>
      <c r="B181" s="519" t="s">
        <v>703</v>
      </c>
      <c r="C181" s="557" t="s">
        <v>704</v>
      </c>
      <c r="D181" s="561" t="s">
        <v>856</v>
      </c>
      <c r="E181" s="519" t="s">
        <v>707</v>
      </c>
      <c r="F181" s="519" t="s">
        <v>467</v>
      </c>
      <c r="G181" s="638">
        <v>45817</v>
      </c>
      <c r="H181" s="638">
        <f>L181</f>
        <v>45812</v>
      </c>
      <c r="I181" s="519"/>
      <c r="J181" s="519"/>
      <c r="K181" s="514" t="s">
        <v>468</v>
      </c>
      <c r="L181" s="515">
        <v>45812</v>
      </c>
      <c r="M181" s="515">
        <v>45832</v>
      </c>
      <c r="N181" s="514" t="s">
        <v>469</v>
      </c>
      <c r="O181" s="514">
        <f>M181-L181</f>
        <v>20</v>
      </c>
      <c r="P181" s="514">
        <f ca="1">O1-M181</f>
        <v>35</v>
      </c>
      <c r="Q181" s="514"/>
      <c r="R181" s="519" t="s">
        <v>398</v>
      </c>
      <c r="S181" s="519" t="str">
        <f>N182</f>
        <v>CAT - I</v>
      </c>
      <c r="T181" s="519" t="s">
        <v>398</v>
      </c>
      <c r="U181" s="519"/>
    </row>
    <row r="182" spans="1:21" x14ac:dyDescent="0.35">
      <c r="A182" s="571"/>
      <c r="B182" s="571"/>
      <c r="C182" s="572"/>
      <c r="D182" s="573"/>
      <c r="E182" s="571"/>
      <c r="F182" s="571"/>
      <c r="G182" s="639"/>
      <c r="H182" s="639"/>
      <c r="I182" s="571"/>
      <c r="J182" s="571"/>
      <c r="K182" s="514" t="s">
        <v>470</v>
      </c>
      <c r="L182" s="515">
        <v>45855</v>
      </c>
      <c r="M182" s="515">
        <v>45862</v>
      </c>
      <c r="N182" s="514" t="s">
        <v>482</v>
      </c>
      <c r="O182" s="514"/>
      <c r="P182" s="514"/>
      <c r="Q182" s="514"/>
      <c r="R182" s="571"/>
      <c r="S182" s="571"/>
      <c r="T182" s="571"/>
      <c r="U182" s="571"/>
    </row>
    <row r="183" spans="1:21" ht="21" x14ac:dyDescent="0.35">
      <c r="A183" s="621">
        <v>3</v>
      </c>
      <c r="B183" s="621" t="s">
        <v>703</v>
      </c>
      <c r="C183" s="622" t="s">
        <v>704</v>
      </c>
      <c r="D183" s="624" t="s">
        <v>708</v>
      </c>
      <c r="E183" s="499" t="s">
        <v>709</v>
      </c>
      <c r="F183" s="499" t="s">
        <v>467</v>
      </c>
      <c r="G183" s="640">
        <v>45816</v>
      </c>
      <c r="H183" s="640">
        <v>45854</v>
      </c>
      <c r="I183" s="499"/>
      <c r="J183" s="499"/>
      <c r="K183" s="499"/>
      <c r="L183" s="529"/>
      <c r="M183" s="529"/>
      <c r="N183" s="499"/>
      <c r="O183" s="499"/>
      <c r="P183" s="499"/>
      <c r="Q183" s="499"/>
      <c r="R183" s="499"/>
      <c r="S183" s="499"/>
      <c r="T183" s="499"/>
      <c r="U183" s="499"/>
    </row>
    <row r="184" spans="1:21" x14ac:dyDescent="0.35">
      <c r="A184" s="618">
        <v>4</v>
      </c>
      <c r="B184" s="618" t="s">
        <v>703</v>
      </c>
      <c r="C184" s="619" t="s">
        <v>704</v>
      </c>
      <c r="D184" s="620" t="s">
        <v>710</v>
      </c>
      <c r="E184" s="536" t="s">
        <v>711</v>
      </c>
      <c r="F184" s="536" t="s">
        <v>467</v>
      </c>
      <c r="G184" s="629">
        <v>45805</v>
      </c>
      <c r="H184" s="629">
        <f>L184</f>
        <v>45817</v>
      </c>
      <c r="I184" s="499"/>
      <c r="J184" s="499"/>
      <c r="K184" s="499" t="s">
        <v>468</v>
      </c>
      <c r="L184" s="529">
        <v>45817</v>
      </c>
      <c r="M184" s="529">
        <v>45834</v>
      </c>
      <c r="N184" s="499" t="s">
        <v>469</v>
      </c>
      <c r="O184" s="499">
        <f>M184-L184</f>
        <v>17</v>
      </c>
      <c r="P184" s="499">
        <f ca="1">O1-M184</f>
        <v>33</v>
      </c>
      <c r="Q184" s="499"/>
      <c r="R184" s="536" t="s">
        <v>492</v>
      </c>
      <c r="S184" s="536" t="str">
        <f>N184</f>
        <v>CAT - III</v>
      </c>
      <c r="T184" s="536" t="s">
        <v>471</v>
      </c>
      <c r="U184" s="536"/>
    </row>
    <row r="185" spans="1:21" x14ac:dyDescent="0.35">
      <c r="A185" s="634"/>
      <c r="B185" s="634"/>
      <c r="C185" s="635"/>
      <c r="D185" s="641"/>
      <c r="E185" s="552"/>
      <c r="F185" s="552"/>
      <c r="G185" s="637"/>
      <c r="H185" s="637"/>
      <c r="I185" s="499"/>
      <c r="J185" s="499"/>
      <c r="K185" s="499" t="s">
        <v>470</v>
      </c>
      <c r="L185" s="529">
        <v>45856</v>
      </c>
      <c r="M185" s="529"/>
      <c r="N185" s="499"/>
      <c r="O185" s="499"/>
      <c r="P185" s="499"/>
      <c r="Q185" s="547"/>
      <c r="R185" s="552"/>
      <c r="S185" s="552"/>
      <c r="T185" s="552"/>
      <c r="U185" s="552"/>
    </row>
    <row r="186" spans="1:21" x14ac:dyDescent="0.35">
      <c r="A186" s="618">
        <v>5</v>
      </c>
      <c r="B186" s="618" t="s">
        <v>703</v>
      </c>
      <c r="C186" s="619" t="s">
        <v>704</v>
      </c>
      <c r="D186" s="620" t="s">
        <v>712</v>
      </c>
      <c r="E186" s="536" t="s">
        <v>713</v>
      </c>
      <c r="F186" s="536" t="s">
        <v>467</v>
      </c>
      <c r="G186" s="629">
        <v>45805</v>
      </c>
      <c r="H186" s="629">
        <f>L186</f>
        <v>45817</v>
      </c>
      <c r="I186" s="499"/>
      <c r="J186" s="499"/>
      <c r="K186" s="499" t="s">
        <v>468</v>
      </c>
      <c r="L186" s="529">
        <v>45817</v>
      </c>
      <c r="M186" s="529">
        <v>45835</v>
      </c>
      <c r="N186" s="499" t="s">
        <v>469</v>
      </c>
      <c r="O186" s="499">
        <f>M186-L186</f>
        <v>18</v>
      </c>
      <c r="P186" s="499">
        <f ca="1">O1-M186</f>
        <v>32</v>
      </c>
      <c r="Q186" s="536"/>
      <c r="R186" s="536" t="s">
        <v>492</v>
      </c>
      <c r="S186" s="536" t="str">
        <f>N186</f>
        <v>CAT - III</v>
      </c>
      <c r="T186" s="536" t="s">
        <v>471</v>
      </c>
      <c r="U186" s="536"/>
    </row>
    <row r="187" spans="1:21" x14ac:dyDescent="0.35">
      <c r="A187" s="634"/>
      <c r="B187" s="634"/>
      <c r="C187" s="635"/>
      <c r="D187" s="641"/>
      <c r="E187" s="552"/>
      <c r="F187" s="552"/>
      <c r="G187" s="637"/>
      <c r="H187" s="637"/>
      <c r="I187" s="499"/>
      <c r="J187" s="499"/>
      <c r="K187" s="499" t="s">
        <v>470</v>
      </c>
      <c r="L187" s="529">
        <v>45856</v>
      </c>
      <c r="M187" s="529"/>
      <c r="N187" s="499"/>
      <c r="O187" s="499"/>
      <c r="P187" s="499"/>
      <c r="Q187" s="552"/>
      <c r="R187" s="552"/>
      <c r="S187" s="552"/>
      <c r="T187" s="552"/>
      <c r="U187" s="552"/>
    </row>
    <row r="188" spans="1:21" ht="21" x14ac:dyDescent="0.35">
      <c r="A188" s="621">
        <v>6</v>
      </c>
      <c r="B188" s="621" t="s">
        <v>703</v>
      </c>
      <c r="C188" s="622" t="s">
        <v>704</v>
      </c>
      <c r="D188" s="624" t="s">
        <v>714</v>
      </c>
      <c r="E188" s="499" t="s">
        <v>715</v>
      </c>
      <c r="F188" s="499" t="s">
        <v>467</v>
      </c>
      <c r="G188" s="640">
        <v>45820</v>
      </c>
      <c r="H188" s="640">
        <v>45848</v>
      </c>
      <c r="I188" s="499"/>
      <c r="J188" s="499"/>
      <c r="K188" s="499"/>
      <c r="L188" s="529"/>
      <c r="M188" s="529"/>
      <c r="N188" s="499"/>
      <c r="O188" s="499"/>
      <c r="P188" s="499"/>
      <c r="Q188" s="499"/>
      <c r="R188" s="499"/>
      <c r="S188" s="499"/>
      <c r="T188" s="499"/>
      <c r="U188" s="499"/>
    </row>
    <row r="189" spans="1:21" ht="21" x14ac:dyDescent="0.35">
      <c r="A189" s="621">
        <v>7</v>
      </c>
      <c r="B189" s="621" t="s">
        <v>703</v>
      </c>
      <c r="C189" s="622" t="s">
        <v>704</v>
      </c>
      <c r="D189" s="624" t="s">
        <v>716</v>
      </c>
      <c r="E189" s="499" t="s">
        <v>717</v>
      </c>
      <c r="F189" s="499" t="s">
        <v>467</v>
      </c>
      <c r="G189" s="640">
        <v>45814</v>
      </c>
      <c r="H189" s="640">
        <v>45848</v>
      </c>
      <c r="I189" s="499"/>
      <c r="J189" s="499"/>
      <c r="K189" s="499"/>
      <c r="L189" s="529"/>
      <c r="M189" s="529"/>
      <c r="N189" s="499"/>
      <c r="O189" s="499"/>
      <c r="P189" s="499"/>
      <c r="Q189" s="499"/>
      <c r="R189" s="499"/>
      <c r="S189" s="499"/>
      <c r="T189" s="499"/>
      <c r="U189" s="499"/>
    </row>
    <row r="190" spans="1:21" ht="21" x14ac:dyDescent="0.35">
      <c r="A190" s="621">
        <v>8</v>
      </c>
      <c r="B190" s="621" t="s">
        <v>703</v>
      </c>
      <c r="C190" s="622" t="s">
        <v>704</v>
      </c>
      <c r="D190" s="624" t="s">
        <v>718</v>
      </c>
      <c r="E190" s="499" t="s">
        <v>719</v>
      </c>
      <c r="F190" s="499" t="s">
        <v>467</v>
      </c>
      <c r="G190" s="640">
        <v>45870</v>
      </c>
      <c r="H190" s="642">
        <v>45870</v>
      </c>
      <c r="I190" s="499"/>
      <c r="J190" s="499"/>
      <c r="K190" s="499"/>
      <c r="L190" s="529"/>
      <c r="M190" s="529"/>
      <c r="N190" s="499"/>
      <c r="O190" s="499"/>
      <c r="P190" s="499"/>
      <c r="Q190" s="499"/>
      <c r="R190" s="499"/>
      <c r="S190" s="499"/>
      <c r="T190" s="499"/>
      <c r="U190" s="499"/>
    </row>
    <row r="191" spans="1:21" ht="21" x14ac:dyDescent="0.35">
      <c r="A191" s="621">
        <v>9</v>
      </c>
      <c r="B191" s="621" t="s">
        <v>703</v>
      </c>
      <c r="C191" s="622" t="s">
        <v>704</v>
      </c>
      <c r="D191" s="624" t="s">
        <v>720</v>
      </c>
      <c r="E191" s="499" t="s">
        <v>721</v>
      </c>
      <c r="F191" s="499" t="s">
        <v>467</v>
      </c>
      <c r="G191" s="640">
        <v>45845</v>
      </c>
      <c r="H191" s="642">
        <v>45845</v>
      </c>
      <c r="I191" s="499"/>
      <c r="J191" s="499"/>
      <c r="K191" s="499"/>
      <c r="L191" s="529"/>
      <c r="M191" s="529"/>
      <c r="N191" s="499"/>
      <c r="O191" s="499"/>
      <c r="P191" s="499"/>
      <c r="Q191" s="499"/>
      <c r="R191" s="499"/>
      <c r="S191" s="499"/>
      <c r="T191" s="499"/>
      <c r="U191" s="499"/>
    </row>
    <row r="192" spans="1:21" x14ac:dyDescent="0.35">
      <c r="A192" s="618">
        <v>10</v>
      </c>
      <c r="B192" s="618" t="s">
        <v>703</v>
      </c>
      <c r="C192" s="619" t="s">
        <v>704</v>
      </c>
      <c r="D192" s="620" t="s">
        <v>722</v>
      </c>
      <c r="E192" s="536" t="s">
        <v>723</v>
      </c>
      <c r="F192" s="536" t="s">
        <v>467</v>
      </c>
      <c r="G192" s="629">
        <v>45788</v>
      </c>
      <c r="H192" s="629">
        <v>45846</v>
      </c>
      <c r="I192" s="499"/>
      <c r="J192" s="499"/>
      <c r="K192" s="499" t="s">
        <v>468</v>
      </c>
      <c r="L192" s="529">
        <v>45846</v>
      </c>
      <c r="M192" s="529">
        <v>45848</v>
      </c>
      <c r="N192" s="499" t="s">
        <v>469</v>
      </c>
      <c r="O192" s="499">
        <f>M192-L192</f>
        <v>2</v>
      </c>
      <c r="P192" s="499">
        <f ca="1">O1-M192</f>
        <v>19</v>
      </c>
      <c r="Q192" s="536"/>
      <c r="R192" s="536" t="s">
        <v>492</v>
      </c>
      <c r="S192" s="536" t="str">
        <f>N192</f>
        <v>CAT - III</v>
      </c>
      <c r="T192" s="536" t="s">
        <v>474</v>
      </c>
      <c r="U192" s="536"/>
    </row>
    <row r="193" spans="1:21" x14ac:dyDescent="0.35">
      <c r="A193" s="634"/>
      <c r="B193" s="634"/>
      <c r="C193" s="635"/>
      <c r="D193" s="641"/>
      <c r="E193" s="552"/>
      <c r="F193" s="552"/>
      <c r="G193" s="637"/>
      <c r="H193" s="637"/>
      <c r="I193" s="499"/>
      <c r="J193" s="499"/>
      <c r="K193" s="499" t="s">
        <v>470</v>
      </c>
      <c r="L193" s="529">
        <v>45854</v>
      </c>
      <c r="M193" s="529">
        <v>45861</v>
      </c>
      <c r="N193" s="499" t="s">
        <v>469</v>
      </c>
      <c r="O193" s="499"/>
      <c r="P193" s="499"/>
      <c r="Q193" s="552"/>
      <c r="R193" s="552"/>
      <c r="S193" s="552"/>
      <c r="T193" s="552"/>
      <c r="U193" s="552"/>
    </row>
    <row r="194" spans="1:21" ht="21" x14ac:dyDescent="0.35">
      <c r="A194" s="621">
        <v>11</v>
      </c>
      <c r="B194" s="621" t="s">
        <v>703</v>
      </c>
      <c r="C194" s="622" t="s">
        <v>704</v>
      </c>
      <c r="D194" s="624" t="s">
        <v>724</v>
      </c>
      <c r="E194" s="499" t="s">
        <v>725</v>
      </c>
      <c r="F194" s="499" t="s">
        <v>467</v>
      </c>
      <c r="G194" s="640">
        <v>45865</v>
      </c>
      <c r="H194" s="642">
        <v>45865</v>
      </c>
      <c r="I194" s="499"/>
      <c r="J194" s="499"/>
      <c r="K194" s="499" t="s">
        <v>468</v>
      </c>
      <c r="L194" s="529">
        <v>45859</v>
      </c>
      <c r="M194" s="529"/>
      <c r="N194" s="499"/>
      <c r="O194" s="499"/>
      <c r="P194" s="499"/>
      <c r="Q194" s="499"/>
      <c r="R194" s="499" t="s">
        <v>492</v>
      </c>
      <c r="S194" s="499"/>
      <c r="T194" s="499" t="s">
        <v>471</v>
      </c>
      <c r="U194" s="499"/>
    </row>
    <row r="195" spans="1:21" ht="21" x14ac:dyDescent="0.35">
      <c r="A195" s="621">
        <v>12</v>
      </c>
      <c r="B195" s="621" t="s">
        <v>703</v>
      </c>
      <c r="C195" s="622" t="s">
        <v>704</v>
      </c>
      <c r="D195" s="624" t="s">
        <v>726</v>
      </c>
      <c r="E195" s="499" t="s">
        <v>727</v>
      </c>
      <c r="F195" s="499" t="s">
        <v>467</v>
      </c>
      <c r="G195" s="640">
        <v>45843</v>
      </c>
      <c r="H195" s="642">
        <v>45843</v>
      </c>
      <c r="I195" s="499"/>
      <c r="J195" s="499"/>
      <c r="K195" s="499"/>
      <c r="L195" s="529"/>
      <c r="M195" s="529"/>
      <c r="N195" s="499"/>
      <c r="O195" s="499"/>
      <c r="P195" s="499"/>
      <c r="Q195" s="499"/>
      <c r="R195" s="499"/>
      <c r="S195" s="499"/>
      <c r="T195" s="499"/>
      <c r="U195" s="499"/>
    </row>
    <row r="196" spans="1:21" ht="21" x14ac:dyDescent="0.35">
      <c r="A196" s="621">
        <v>13</v>
      </c>
      <c r="B196" s="621" t="s">
        <v>703</v>
      </c>
      <c r="C196" s="622" t="s">
        <v>704</v>
      </c>
      <c r="D196" s="624" t="s">
        <v>728</v>
      </c>
      <c r="E196" s="499" t="s">
        <v>729</v>
      </c>
      <c r="F196" s="499" t="s">
        <v>467</v>
      </c>
      <c r="G196" s="640">
        <v>45840</v>
      </c>
      <c r="H196" s="642">
        <v>45843</v>
      </c>
      <c r="I196" s="499"/>
      <c r="J196" s="499"/>
      <c r="K196" s="499"/>
      <c r="L196" s="529"/>
      <c r="M196" s="529"/>
      <c r="N196" s="499"/>
      <c r="O196" s="499"/>
      <c r="P196" s="499"/>
      <c r="Q196" s="499"/>
      <c r="R196" s="499"/>
      <c r="S196" s="499"/>
      <c r="T196" s="499"/>
      <c r="U196" s="499"/>
    </row>
    <row r="197" spans="1:21" ht="21" x14ac:dyDescent="0.35">
      <c r="A197" s="621">
        <v>14</v>
      </c>
      <c r="B197" s="621" t="s">
        <v>703</v>
      </c>
      <c r="C197" s="622" t="s">
        <v>704</v>
      </c>
      <c r="D197" s="624" t="s">
        <v>730</v>
      </c>
      <c r="E197" s="499" t="s">
        <v>731</v>
      </c>
      <c r="F197" s="499" t="s">
        <v>467</v>
      </c>
      <c r="G197" s="640">
        <v>45822</v>
      </c>
      <c r="H197" s="642">
        <v>45846</v>
      </c>
      <c r="I197" s="499"/>
      <c r="J197" s="499"/>
      <c r="K197" s="499"/>
      <c r="L197" s="529"/>
      <c r="M197" s="529"/>
      <c r="N197" s="499"/>
      <c r="O197" s="499"/>
      <c r="P197" s="499"/>
      <c r="Q197" s="499"/>
      <c r="R197" s="499"/>
      <c r="S197" s="499"/>
      <c r="T197" s="499"/>
      <c r="U197" s="499"/>
    </row>
    <row r="198" spans="1:21" ht="21" x14ac:dyDescent="0.35">
      <c r="A198" s="621">
        <v>15</v>
      </c>
      <c r="B198" s="621" t="s">
        <v>703</v>
      </c>
      <c r="C198" s="622" t="s">
        <v>704</v>
      </c>
      <c r="D198" s="624" t="s">
        <v>732</v>
      </c>
      <c r="E198" s="499" t="s">
        <v>733</v>
      </c>
      <c r="F198" s="499" t="s">
        <v>477</v>
      </c>
      <c r="G198" s="640">
        <v>45840</v>
      </c>
      <c r="H198" s="642">
        <v>45845</v>
      </c>
      <c r="I198" s="499"/>
      <c r="J198" s="499"/>
      <c r="K198" s="499"/>
      <c r="L198" s="529"/>
      <c r="M198" s="529"/>
      <c r="N198" s="499"/>
      <c r="O198" s="499"/>
      <c r="P198" s="499"/>
      <c r="Q198" s="499"/>
      <c r="R198" s="499"/>
      <c r="S198" s="499"/>
      <c r="T198" s="499"/>
      <c r="U198" s="499"/>
    </row>
    <row r="199" spans="1:21" ht="21" x14ac:dyDescent="0.35">
      <c r="A199" s="621">
        <v>16</v>
      </c>
      <c r="B199" s="621" t="s">
        <v>703</v>
      </c>
      <c r="C199" s="622" t="s">
        <v>704</v>
      </c>
      <c r="D199" s="624" t="s">
        <v>734</v>
      </c>
      <c r="E199" s="499" t="s">
        <v>735</v>
      </c>
      <c r="F199" s="499" t="s">
        <v>477</v>
      </c>
      <c r="G199" s="640">
        <v>45847</v>
      </c>
      <c r="H199" s="642">
        <v>45847</v>
      </c>
      <c r="I199" s="499"/>
      <c r="J199" s="499"/>
      <c r="K199" s="499"/>
      <c r="L199" s="529"/>
      <c r="M199" s="529"/>
      <c r="N199" s="499"/>
      <c r="O199" s="499"/>
      <c r="P199" s="499"/>
      <c r="Q199" s="499"/>
      <c r="R199" s="499"/>
      <c r="S199" s="499"/>
      <c r="T199" s="499"/>
      <c r="U199" s="499"/>
    </row>
    <row r="200" spans="1:21" ht="21" x14ac:dyDescent="0.35">
      <c r="A200" s="621">
        <v>17</v>
      </c>
      <c r="B200" s="621" t="s">
        <v>703</v>
      </c>
      <c r="C200" s="622" t="s">
        <v>704</v>
      </c>
      <c r="D200" s="624" t="s">
        <v>736</v>
      </c>
      <c r="E200" s="499" t="s">
        <v>737</v>
      </c>
      <c r="F200" s="499" t="s">
        <v>467</v>
      </c>
      <c r="G200" s="640">
        <v>45894</v>
      </c>
      <c r="H200" s="642">
        <v>45894</v>
      </c>
      <c r="I200" s="499"/>
      <c r="J200" s="499"/>
      <c r="K200" s="499"/>
      <c r="L200" s="529"/>
      <c r="M200" s="529"/>
      <c r="N200" s="499"/>
      <c r="O200" s="499"/>
      <c r="P200" s="499"/>
      <c r="Q200" s="499"/>
      <c r="R200" s="499"/>
      <c r="S200" s="499"/>
      <c r="T200" s="499"/>
      <c r="U200" s="499"/>
    </row>
    <row r="201" spans="1:21" ht="21" x14ac:dyDescent="0.35">
      <c r="A201" s="621">
        <v>18</v>
      </c>
      <c r="B201" s="621" t="s">
        <v>703</v>
      </c>
      <c r="C201" s="622" t="s">
        <v>704</v>
      </c>
      <c r="D201" s="624" t="s">
        <v>738</v>
      </c>
      <c r="E201" s="499" t="s">
        <v>739</v>
      </c>
      <c r="F201" s="499" t="s">
        <v>477</v>
      </c>
      <c r="G201" s="640">
        <v>45813</v>
      </c>
      <c r="H201" s="642">
        <v>45850</v>
      </c>
      <c r="I201" s="499"/>
      <c r="J201" s="499"/>
      <c r="K201" s="499"/>
      <c r="L201" s="529"/>
      <c r="M201" s="529"/>
      <c r="N201" s="499"/>
      <c r="O201" s="499"/>
      <c r="P201" s="499"/>
      <c r="Q201" s="499"/>
      <c r="R201" s="499"/>
      <c r="S201" s="499"/>
      <c r="T201" s="499"/>
      <c r="U201" s="499"/>
    </row>
    <row r="202" spans="1:21" ht="21" x14ac:dyDescent="0.35">
      <c r="A202" s="621">
        <v>19</v>
      </c>
      <c r="B202" s="621" t="s">
        <v>703</v>
      </c>
      <c r="C202" s="622" t="s">
        <v>704</v>
      </c>
      <c r="D202" s="624" t="s">
        <v>740</v>
      </c>
      <c r="E202" s="499" t="s">
        <v>741</v>
      </c>
      <c r="F202" s="499" t="s">
        <v>467</v>
      </c>
      <c r="G202" s="640">
        <v>45858</v>
      </c>
      <c r="H202" s="642">
        <v>45858</v>
      </c>
      <c r="I202" s="499"/>
      <c r="J202" s="499"/>
      <c r="K202" s="499"/>
      <c r="L202" s="529"/>
      <c r="M202" s="529"/>
      <c r="N202" s="499"/>
      <c r="O202" s="499"/>
      <c r="P202" s="499"/>
      <c r="Q202" s="499"/>
      <c r="R202" s="499"/>
      <c r="S202" s="499"/>
      <c r="T202" s="499"/>
      <c r="U202" s="499"/>
    </row>
    <row r="203" spans="1:21" ht="21" x14ac:dyDescent="0.35">
      <c r="A203" s="621">
        <v>20</v>
      </c>
      <c r="B203" s="621" t="s">
        <v>703</v>
      </c>
      <c r="C203" s="622" t="s">
        <v>704</v>
      </c>
      <c r="D203" s="624" t="s">
        <v>742</v>
      </c>
      <c r="E203" s="499" t="s">
        <v>743</v>
      </c>
      <c r="F203" s="499" t="s">
        <v>477</v>
      </c>
      <c r="G203" s="640">
        <v>45834</v>
      </c>
      <c r="H203" s="642">
        <v>45853</v>
      </c>
      <c r="I203" s="499"/>
      <c r="J203" s="499"/>
      <c r="K203" s="499"/>
      <c r="L203" s="529"/>
      <c r="M203" s="529"/>
      <c r="N203" s="499"/>
      <c r="O203" s="499"/>
      <c r="P203" s="499"/>
      <c r="Q203" s="499"/>
      <c r="R203" s="499"/>
      <c r="S203" s="499"/>
      <c r="T203" s="499"/>
      <c r="U203" s="499"/>
    </row>
    <row r="204" spans="1:21" ht="21" x14ac:dyDescent="0.35">
      <c r="A204" s="621">
        <v>21</v>
      </c>
      <c r="B204" s="621" t="s">
        <v>703</v>
      </c>
      <c r="C204" s="622" t="s">
        <v>704</v>
      </c>
      <c r="D204" s="624" t="s">
        <v>744</v>
      </c>
      <c r="E204" s="499" t="s">
        <v>745</v>
      </c>
      <c r="F204" s="499" t="s">
        <v>467</v>
      </c>
      <c r="G204" s="640">
        <v>45840</v>
      </c>
      <c r="H204" s="642">
        <v>45846</v>
      </c>
      <c r="I204" s="499"/>
      <c r="J204" s="499"/>
      <c r="K204" s="499"/>
      <c r="L204" s="529"/>
      <c r="M204" s="529"/>
      <c r="N204" s="499"/>
      <c r="O204" s="499"/>
      <c r="P204" s="499"/>
      <c r="Q204" s="499"/>
      <c r="R204" s="499"/>
      <c r="S204" s="499"/>
      <c r="T204" s="499"/>
      <c r="U204" s="499"/>
    </row>
    <row r="205" spans="1:21" ht="21" x14ac:dyDescent="0.35">
      <c r="A205" s="514">
        <v>22</v>
      </c>
      <c r="B205" s="514" t="s">
        <v>703</v>
      </c>
      <c r="C205" s="517" t="s">
        <v>704</v>
      </c>
      <c r="D205" s="611" t="s">
        <v>746</v>
      </c>
      <c r="E205" s="514" t="s">
        <v>747</v>
      </c>
      <c r="F205" s="514" t="s">
        <v>477</v>
      </c>
      <c r="G205" s="643">
        <v>45962</v>
      </c>
      <c r="H205" s="643">
        <v>45962</v>
      </c>
      <c r="I205" s="514"/>
      <c r="J205" s="514"/>
      <c r="K205" s="514" t="s">
        <v>468</v>
      </c>
      <c r="L205" s="515">
        <v>45854</v>
      </c>
      <c r="M205" s="515">
        <v>45859</v>
      </c>
      <c r="N205" s="514" t="s">
        <v>521</v>
      </c>
      <c r="O205" s="514"/>
      <c r="P205" s="514"/>
      <c r="Q205" s="514"/>
      <c r="R205" s="514" t="s">
        <v>398</v>
      </c>
      <c r="S205" s="514" t="str">
        <f>N205</f>
        <v xml:space="preserve">CAT -IV </v>
      </c>
      <c r="T205" s="514" t="s">
        <v>398</v>
      </c>
      <c r="U205" s="514"/>
    </row>
    <row r="206" spans="1:21" ht="21" x14ac:dyDescent="0.35">
      <c r="A206" s="621">
        <v>23</v>
      </c>
      <c r="B206" s="621" t="s">
        <v>703</v>
      </c>
      <c r="C206" s="622" t="s">
        <v>704</v>
      </c>
      <c r="D206" s="624" t="s">
        <v>748</v>
      </c>
      <c r="E206" s="499" t="s">
        <v>749</v>
      </c>
      <c r="F206" s="499" t="s">
        <v>467</v>
      </c>
      <c r="G206" s="640">
        <v>45826</v>
      </c>
      <c r="H206" s="642">
        <v>45846</v>
      </c>
      <c r="I206" s="499"/>
      <c r="J206" s="499"/>
      <c r="K206" s="499"/>
      <c r="L206" s="529"/>
      <c r="M206" s="529"/>
      <c r="N206" s="499"/>
      <c r="O206" s="499"/>
      <c r="P206" s="499"/>
      <c r="Q206" s="499"/>
      <c r="R206" s="499"/>
      <c r="S206" s="499"/>
      <c r="T206" s="499"/>
      <c r="U206" s="499"/>
    </row>
    <row r="207" spans="1:21" ht="21" x14ac:dyDescent="0.35">
      <c r="A207" s="621">
        <v>24</v>
      </c>
      <c r="B207" s="621" t="s">
        <v>703</v>
      </c>
      <c r="C207" s="622" t="s">
        <v>704</v>
      </c>
      <c r="D207" s="624" t="s">
        <v>750</v>
      </c>
      <c r="E207" s="499" t="s">
        <v>751</v>
      </c>
      <c r="F207" s="499" t="s">
        <v>477</v>
      </c>
      <c r="G207" s="640">
        <v>45853</v>
      </c>
      <c r="H207" s="642">
        <v>45853</v>
      </c>
      <c r="I207" s="499"/>
      <c r="J207" s="499"/>
      <c r="K207" s="499"/>
      <c r="L207" s="529"/>
      <c r="M207" s="529"/>
      <c r="N207" s="499"/>
      <c r="O207" s="499"/>
      <c r="P207" s="499"/>
      <c r="Q207" s="499"/>
      <c r="R207" s="499"/>
      <c r="S207" s="499"/>
      <c r="T207" s="499"/>
      <c r="U207" s="499"/>
    </row>
    <row r="208" spans="1:21" ht="21" x14ac:dyDescent="0.35">
      <c r="A208" s="621">
        <v>25</v>
      </c>
      <c r="B208" s="621" t="s">
        <v>703</v>
      </c>
      <c r="C208" s="622" t="s">
        <v>704</v>
      </c>
      <c r="D208" s="624" t="s">
        <v>752</v>
      </c>
      <c r="E208" s="499" t="s">
        <v>753</v>
      </c>
      <c r="F208" s="499" t="s">
        <v>477</v>
      </c>
      <c r="G208" s="640">
        <v>45874</v>
      </c>
      <c r="H208" s="642">
        <v>45874</v>
      </c>
      <c r="I208" s="499"/>
      <c r="J208" s="499"/>
      <c r="K208" s="499"/>
      <c r="L208" s="529"/>
      <c r="M208" s="529"/>
      <c r="N208" s="499"/>
      <c r="O208" s="499"/>
      <c r="P208" s="499"/>
      <c r="Q208" s="499"/>
      <c r="R208" s="499"/>
      <c r="S208" s="499"/>
      <c r="T208" s="499"/>
      <c r="U208" s="499"/>
    </row>
    <row r="209" spans="1:21" ht="42" x14ac:dyDescent="0.35">
      <c r="A209" s="621">
        <v>26</v>
      </c>
      <c r="B209" s="621" t="s">
        <v>703</v>
      </c>
      <c r="C209" s="622" t="s">
        <v>704</v>
      </c>
      <c r="D209" s="624" t="s">
        <v>754</v>
      </c>
      <c r="E209" s="499" t="s">
        <v>755</v>
      </c>
      <c r="F209" s="499" t="s">
        <v>477</v>
      </c>
      <c r="G209" s="640">
        <v>45900</v>
      </c>
      <c r="H209" s="642">
        <v>45900</v>
      </c>
      <c r="I209" s="499"/>
      <c r="J209" s="499"/>
      <c r="K209" s="499"/>
      <c r="L209" s="529"/>
      <c r="M209" s="529"/>
      <c r="N209" s="499"/>
      <c r="O209" s="499"/>
      <c r="P209" s="499"/>
      <c r="Q209" s="499"/>
      <c r="R209" s="499"/>
      <c r="S209" s="499"/>
      <c r="T209" s="499"/>
      <c r="U209" s="499"/>
    </row>
    <row r="210" spans="1:21" ht="21" x14ac:dyDescent="0.35">
      <c r="A210" s="621">
        <v>27</v>
      </c>
      <c r="B210" s="621" t="s">
        <v>703</v>
      </c>
      <c r="C210" s="622" t="s">
        <v>704</v>
      </c>
      <c r="D210" s="624" t="s">
        <v>756</v>
      </c>
      <c r="E210" s="499" t="s">
        <v>757</v>
      </c>
      <c r="F210" s="499" t="s">
        <v>467</v>
      </c>
      <c r="G210" s="640">
        <v>45834</v>
      </c>
      <c r="H210" s="642">
        <v>45856</v>
      </c>
      <c r="I210" s="499"/>
      <c r="J210" s="499"/>
      <c r="K210" s="499"/>
      <c r="L210" s="529"/>
      <c r="M210" s="529"/>
      <c r="N210" s="499"/>
      <c r="O210" s="499"/>
      <c r="P210" s="499"/>
      <c r="Q210" s="499"/>
      <c r="R210" s="499"/>
      <c r="S210" s="499"/>
      <c r="T210" s="499"/>
      <c r="U210" s="499"/>
    </row>
    <row r="211" spans="1:21" ht="21" x14ac:dyDescent="0.35">
      <c r="A211" s="621">
        <v>28</v>
      </c>
      <c r="B211" s="621" t="s">
        <v>703</v>
      </c>
      <c r="C211" s="622" t="s">
        <v>704</v>
      </c>
      <c r="D211" s="624" t="s">
        <v>758</v>
      </c>
      <c r="E211" s="499" t="s">
        <v>759</v>
      </c>
      <c r="F211" s="499" t="s">
        <v>467</v>
      </c>
      <c r="G211" s="640">
        <v>45814</v>
      </c>
      <c r="H211" s="642">
        <v>45856</v>
      </c>
      <c r="I211" s="499"/>
      <c r="J211" s="499"/>
      <c r="K211" s="499"/>
      <c r="L211" s="529"/>
      <c r="M211" s="529"/>
      <c r="N211" s="499"/>
      <c r="O211" s="499"/>
      <c r="P211" s="499"/>
      <c r="Q211" s="499"/>
      <c r="R211" s="499"/>
      <c r="S211" s="499"/>
      <c r="T211" s="499"/>
      <c r="U211" s="499"/>
    </row>
    <row r="212" spans="1:21" ht="21" x14ac:dyDescent="0.35">
      <c r="A212" s="621">
        <v>29</v>
      </c>
      <c r="B212" s="621" t="s">
        <v>703</v>
      </c>
      <c r="C212" s="622" t="s">
        <v>704</v>
      </c>
      <c r="D212" s="624" t="s">
        <v>760</v>
      </c>
      <c r="E212" s="499" t="s">
        <v>761</v>
      </c>
      <c r="F212" s="499" t="s">
        <v>467</v>
      </c>
      <c r="G212" s="640">
        <v>45814</v>
      </c>
      <c r="H212" s="642">
        <v>45860</v>
      </c>
      <c r="I212" s="499"/>
      <c r="J212" s="499"/>
      <c r="K212" s="499"/>
      <c r="L212" s="529"/>
      <c r="M212" s="529"/>
      <c r="N212" s="499"/>
      <c r="O212" s="499"/>
      <c r="P212" s="499"/>
      <c r="Q212" s="499"/>
      <c r="R212" s="499"/>
      <c r="S212" s="499"/>
      <c r="T212" s="499"/>
      <c r="U212" s="499"/>
    </row>
    <row r="213" spans="1:21" ht="21" x14ac:dyDescent="0.35">
      <c r="A213" s="621">
        <v>30</v>
      </c>
      <c r="B213" s="621" t="s">
        <v>703</v>
      </c>
      <c r="C213" s="622" t="s">
        <v>704</v>
      </c>
      <c r="D213" s="624" t="s">
        <v>762</v>
      </c>
      <c r="E213" s="499" t="s">
        <v>763</v>
      </c>
      <c r="F213" s="499" t="s">
        <v>467</v>
      </c>
      <c r="G213" s="640">
        <v>45826</v>
      </c>
      <c r="H213" s="642">
        <v>45860</v>
      </c>
      <c r="I213" s="499"/>
      <c r="J213" s="499"/>
      <c r="K213" s="499"/>
      <c r="L213" s="529"/>
      <c r="M213" s="529"/>
      <c r="N213" s="499"/>
      <c r="O213" s="499"/>
      <c r="P213" s="499"/>
      <c r="Q213" s="499"/>
      <c r="R213" s="499"/>
      <c r="S213" s="499"/>
      <c r="T213" s="499"/>
      <c r="U213" s="499"/>
    </row>
    <row r="214" spans="1:21" ht="21" x14ac:dyDescent="0.35">
      <c r="A214" s="621">
        <v>31</v>
      </c>
      <c r="B214" s="621" t="s">
        <v>703</v>
      </c>
      <c r="C214" s="622" t="s">
        <v>704</v>
      </c>
      <c r="D214" s="624" t="s">
        <v>764</v>
      </c>
      <c r="E214" s="499" t="s">
        <v>765</v>
      </c>
      <c r="F214" s="499" t="s">
        <v>467</v>
      </c>
      <c r="G214" s="640">
        <v>45834</v>
      </c>
      <c r="H214" s="642">
        <v>45860</v>
      </c>
      <c r="I214" s="499"/>
      <c r="J214" s="499"/>
      <c r="K214" s="499"/>
      <c r="L214" s="529"/>
      <c r="M214" s="529"/>
      <c r="N214" s="499"/>
      <c r="O214" s="499"/>
      <c r="P214" s="499"/>
      <c r="Q214" s="499"/>
      <c r="R214" s="499"/>
      <c r="S214" s="499"/>
      <c r="T214" s="499"/>
      <c r="U214" s="499"/>
    </row>
    <row r="215" spans="1:21" ht="21" x14ac:dyDescent="0.35">
      <c r="A215" s="621">
        <v>32</v>
      </c>
      <c r="B215" s="621" t="s">
        <v>703</v>
      </c>
      <c r="C215" s="622" t="s">
        <v>704</v>
      </c>
      <c r="D215" s="624" t="s">
        <v>766</v>
      </c>
      <c r="E215" s="499" t="s">
        <v>767</v>
      </c>
      <c r="F215" s="499" t="s">
        <v>467</v>
      </c>
      <c r="G215" s="640">
        <v>45848</v>
      </c>
      <c r="H215" s="642">
        <v>45856</v>
      </c>
      <c r="I215" s="499"/>
      <c r="J215" s="499"/>
      <c r="K215" s="499"/>
      <c r="L215" s="529"/>
      <c r="M215" s="529"/>
      <c r="N215" s="499"/>
      <c r="O215" s="499"/>
      <c r="P215" s="499"/>
      <c r="Q215" s="499"/>
      <c r="R215" s="499"/>
      <c r="S215" s="499"/>
      <c r="T215" s="499"/>
      <c r="U215" s="499"/>
    </row>
    <row r="216" spans="1:21" ht="21" x14ac:dyDescent="0.35">
      <c r="A216" s="621">
        <f t="shared" ref="A216:A244" si="7">A215+1</f>
        <v>33</v>
      </c>
      <c r="B216" s="621" t="s">
        <v>703</v>
      </c>
      <c r="C216" s="622" t="s">
        <v>704</v>
      </c>
      <c r="D216" s="624" t="s">
        <v>768</v>
      </c>
      <c r="E216" s="499" t="s">
        <v>769</v>
      </c>
      <c r="F216" s="499" t="s">
        <v>467</v>
      </c>
      <c r="G216" s="640">
        <v>45868</v>
      </c>
      <c r="H216" s="642">
        <v>45868</v>
      </c>
      <c r="I216" s="499"/>
      <c r="J216" s="499"/>
      <c r="K216" s="499"/>
      <c r="L216" s="529"/>
      <c r="M216" s="529"/>
      <c r="N216" s="499"/>
      <c r="O216" s="499"/>
      <c r="P216" s="499"/>
      <c r="Q216" s="499"/>
      <c r="R216" s="499"/>
      <c r="S216" s="499"/>
      <c r="T216" s="499"/>
      <c r="U216" s="499"/>
    </row>
    <row r="217" spans="1:21" x14ac:dyDescent="0.35">
      <c r="A217" s="618">
        <f t="shared" si="7"/>
        <v>34</v>
      </c>
      <c r="B217" s="618" t="s">
        <v>703</v>
      </c>
      <c r="C217" s="619" t="s">
        <v>704</v>
      </c>
      <c r="D217" s="644" t="s">
        <v>770</v>
      </c>
      <c r="E217" s="536" t="s">
        <v>771</v>
      </c>
      <c r="F217" s="536" t="s">
        <v>467</v>
      </c>
      <c r="G217" s="645">
        <v>45797</v>
      </c>
      <c r="H217" s="645">
        <v>45836</v>
      </c>
      <c r="I217" s="536"/>
      <c r="J217" s="536"/>
      <c r="K217" s="499" t="s">
        <v>468</v>
      </c>
      <c r="L217" s="529">
        <v>45790</v>
      </c>
      <c r="M217" s="529">
        <v>45812</v>
      </c>
      <c r="N217" s="499" t="s">
        <v>469</v>
      </c>
      <c r="O217" s="499">
        <f>M217-L217</f>
        <v>22</v>
      </c>
      <c r="P217" s="499">
        <f>L218-M217</f>
        <v>12</v>
      </c>
      <c r="Q217" s="536"/>
      <c r="R217" s="536" t="s">
        <v>492</v>
      </c>
      <c r="S217" s="536" t="str">
        <f>N218</f>
        <v>CAT - II</v>
      </c>
      <c r="T217" s="536" t="s">
        <v>471</v>
      </c>
      <c r="U217" s="536">
        <f ca="1">U1-L217</f>
        <v>77</v>
      </c>
    </row>
    <row r="218" spans="1:21" x14ac:dyDescent="0.35">
      <c r="A218" s="630"/>
      <c r="B218" s="634"/>
      <c r="C218" s="631"/>
      <c r="D218" s="646"/>
      <c r="E218" s="543"/>
      <c r="F218" s="552"/>
      <c r="G218" s="647"/>
      <c r="H218" s="647"/>
      <c r="I218" s="552"/>
      <c r="J218" s="552"/>
      <c r="K218" s="499" t="s">
        <v>470</v>
      </c>
      <c r="L218" s="529">
        <v>45824</v>
      </c>
      <c r="M218" s="529">
        <v>45842</v>
      </c>
      <c r="N218" s="499" t="s">
        <v>491</v>
      </c>
      <c r="O218" s="499">
        <f>M218-L218</f>
        <v>18</v>
      </c>
      <c r="P218" s="499">
        <f ca="1">O1-M218</f>
        <v>25</v>
      </c>
      <c r="Q218" s="552"/>
      <c r="R218" s="543"/>
      <c r="S218" s="543"/>
      <c r="T218" s="543"/>
      <c r="U218" s="543"/>
    </row>
    <row r="219" spans="1:21" x14ac:dyDescent="0.35">
      <c r="A219" s="634"/>
      <c r="B219" s="648" t="s">
        <v>703</v>
      </c>
      <c r="C219" s="635"/>
      <c r="D219" s="641"/>
      <c r="E219" s="552"/>
      <c r="F219" s="585"/>
      <c r="G219" s="649"/>
      <c r="H219" s="649"/>
      <c r="I219" s="585"/>
      <c r="J219" s="585"/>
      <c r="K219" s="499" t="s">
        <v>472</v>
      </c>
      <c r="L219" s="529">
        <v>45860</v>
      </c>
      <c r="M219" s="529"/>
      <c r="N219" s="499"/>
      <c r="O219" s="499"/>
      <c r="P219" s="499"/>
      <c r="Q219" s="585"/>
      <c r="R219" s="552"/>
      <c r="S219" s="552"/>
      <c r="T219" s="552"/>
      <c r="U219" s="552"/>
    </row>
    <row r="220" spans="1:21" x14ac:dyDescent="0.35">
      <c r="A220" s="621">
        <f>A217+1</f>
        <v>35</v>
      </c>
      <c r="B220" s="621" t="s">
        <v>703</v>
      </c>
      <c r="C220" s="622" t="s">
        <v>772</v>
      </c>
      <c r="D220" s="624" t="s">
        <v>773</v>
      </c>
      <c r="E220" s="499" t="s">
        <v>774</v>
      </c>
      <c r="F220" s="499" t="s">
        <v>467</v>
      </c>
      <c r="G220" s="640">
        <v>45826</v>
      </c>
      <c r="H220" s="640">
        <f>L220</f>
        <v>45804</v>
      </c>
      <c r="I220" s="499"/>
      <c r="J220" s="499"/>
      <c r="K220" s="499" t="s">
        <v>468</v>
      </c>
      <c r="L220" s="529">
        <v>45804</v>
      </c>
      <c r="M220" s="529">
        <v>45847</v>
      </c>
      <c r="N220" s="499" t="s">
        <v>469</v>
      </c>
      <c r="O220" s="499">
        <f>M220-L220</f>
        <v>43</v>
      </c>
      <c r="P220" s="499">
        <f ca="1">O1-M220</f>
        <v>20</v>
      </c>
      <c r="Q220" s="499"/>
      <c r="R220" s="499" t="s">
        <v>499</v>
      </c>
      <c r="S220" s="499" t="str">
        <f>N220</f>
        <v>CAT - III</v>
      </c>
      <c r="T220" s="499" t="s">
        <v>474</v>
      </c>
      <c r="U220" s="499">
        <f ca="1">U1-L220</f>
        <v>63</v>
      </c>
    </row>
    <row r="221" spans="1:21" x14ac:dyDescent="0.35">
      <c r="A221" s="621">
        <f t="shared" si="7"/>
        <v>36</v>
      </c>
      <c r="B221" s="621" t="s">
        <v>703</v>
      </c>
      <c r="C221" s="622" t="s">
        <v>772</v>
      </c>
      <c r="D221" s="624" t="s">
        <v>775</v>
      </c>
      <c r="E221" s="499" t="s">
        <v>776</v>
      </c>
      <c r="F221" s="499" t="s">
        <v>477</v>
      </c>
      <c r="G221" s="640">
        <v>45826</v>
      </c>
      <c r="H221" s="640">
        <f>H183</f>
        <v>45854</v>
      </c>
      <c r="I221" s="499"/>
      <c r="J221" s="499"/>
      <c r="K221" s="499"/>
      <c r="L221" s="529"/>
      <c r="M221" s="529"/>
      <c r="N221" s="499"/>
      <c r="O221" s="499"/>
      <c r="P221" s="499"/>
      <c r="Q221" s="499"/>
      <c r="R221" s="499"/>
      <c r="S221" s="499"/>
      <c r="T221" s="499"/>
      <c r="U221" s="499"/>
    </row>
    <row r="222" spans="1:21" x14ac:dyDescent="0.35">
      <c r="A222" s="621">
        <f t="shared" si="7"/>
        <v>37</v>
      </c>
      <c r="B222" s="621" t="s">
        <v>703</v>
      </c>
      <c r="C222" s="622" t="s">
        <v>772</v>
      </c>
      <c r="D222" s="624" t="s">
        <v>777</v>
      </c>
      <c r="E222" s="499" t="s">
        <v>778</v>
      </c>
      <c r="F222" s="499" t="s">
        <v>467</v>
      </c>
      <c r="G222" s="640">
        <v>45833</v>
      </c>
      <c r="H222" s="640">
        <f>H184</f>
        <v>45817</v>
      </c>
      <c r="I222" s="499"/>
      <c r="J222" s="499"/>
      <c r="K222" s="499" t="s">
        <v>468</v>
      </c>
      <c r="L222" s="529">
        <v>45817</v>
      </c>
      <c r="M222" s="529">
        <v>45828</v>
      </c>
      <c r="N222" s="499" t="s">
        <v>469</v>
      </c>
      <c r="O222" s="499">
        <f>M222-L222</f>
        <v>11</v>
      </c>
      <c r="P222" s="499">
        <f ca="1">O1-M222</f>
        <v>39</v>
      </c>
      <c r="Q222" s="499"/>
      <c r="R222" s="499" t="s">
        <v>499</v>
      </c>
      <c r="S222" s="499" t="str">
        <f>N222</f>
        <v>CAT - III</v>
      </c>
      <c r="T222" s="499" t="s">
        <v>474</v>
      </c>
      <c r="U222" s="499"/>
    </row>
    <row r="223" spans="1:21" x14ac:dyDescent="0.35">
      <c r="A223" s="621">
        <f t="shared" si="7"/>
        <v>38</v>
      </c>
      <c r="B223" s="621" t="s">
        <v>703</v>
      </c>
      <c r="C223" s="622" t="s">
        <v>772</v>
      </c>
      <c r="D223" s="624" t="s">
        <v>779</v>
      </c>
      <c r="E223" s="499" t="s">
        <v>780</v>
      </c>
      <c r="F223" s="499" t="s">
        <v>467</v>
      </c>
      <c r="G223" s="640">
        <v>45870</v>
      </c>
      <c r="H223" s="640">
        <f>H186</f>
        <v>45817</v>
      </c>
      <c r="I223" s="499"/>
      <c r="J223" s="499"/>
      <c r="K223" s="499" t="s">
        <v>468</v>
      </c>
      <c r="L223" s="529">
        <v>45817</v>
      </c>
      <c r="M223" s="529">
        <v>45820</v>
      </c>
      <c r="N223" s="499" t="s">
        <v>469</v>
      </c>
      <c r="O223" s="499">
        <f>M223-L223</f>
        <v>3</v>
      </c>
      <c r="P223" s="499">
        <f ca="1">O1-M223</f>
        <v>47</v>
      </c>
      <c r="Q223" s="499"/>
      <c r="R223" s="499" t="s">
        <v>499</v>
      </c>
      <c r="S223" s="499" t="str">
        <f>N223</f>
        <v>CAT - III</v>
      </c>
      <c r="T223" s="499" t="s">
        <v>474</v>
      </c>
      <c r="U223" s="499"/>
    </row>
    <row r="224" spans="1:21" x14ac:dyDescent="0.35">
      <c r="A224" s="621">
        <f t="shared" si="7"/>
        <v>39</v>
      </c>
      <c r="B224" s="621" t="s">
        <v>703</v>
      </c>
      <c r="C224" s="622" t="s">
        <v>772</v>
      </c>
      <c r="D224" s="624" t="s">
        <v>781</v>
      </c>
      <c r="E224" s="499" t="s">
        <v>782</v>
      </c>
      <c r="F224" s="499" t="s">
        <v>467</v>
      </c>
      <c r="G224" s="640">
        <v>45845</v>
      </c>
      <c r="H224" s="642">
        <v>45845</v>
      </c>
      <c r="I224" s="499"/>
      <c r="J224" s="499"/>
      <c r="K224" s="499"/>
      <c r="L224" s="529"/>
      <c r="M224" s="529"/>
      <c r="N224" s="499"/>
      <c r="O224" s="499"/>
      <c r="P224" s="499"/>
      <c r="Q224" s="499"/>
      <c r="R224" s="499"/>
      <c r="S224" s="499"/>
      <c r="T224" s="499"/>
      <c r="U224" s="499"/>
    </row>
    <row r="225" spans="1:21" x14ac:dyDescent="0.35">
      <c r="A225" s="621">
        <f t="shared" si="7"/>
        <v>40</v>
      </c>
      <c r="B225" s="621" t="s">
        <v>703</v>
      </c>
      <c r="C225" s="622" t="s">
        <v>772</v>
      </c>
      <c r="D225" s="624" t="s">
        <v>783</v>
      </c>
      <c r="E225" s="499" t="s">
        <v>784</v>
      </c>
      <c r="F225" s="499" t="s">
        <v>477</v>
      </c>
      <c r="G225" s="640">
        <v>45845</v>
      </c>
      <c r="H225" s="642">
        <v>45845</v>
      </c>
      <c r="I225" s="499"/>
      <c r="J225" s="499"/>
      <c r="K225" s="499"/>
      <c r="L225" s="529"/>
      <c r="M225" s="529"/>
      <c r="N225" s="499"/>
      <c r="O225" s="499"/>
      <c r="P225" s="499"/>
      <c r="Q225" s="499"/>
      <c r="R225" s="499"/>
      <c r="S225" s="499"/>
      <c r="T225" s="499"/>
      <c r="U225" s="499"/>
    </row>
    <row r="226" spans="1:21" x14ac:dyDescent="0.35">
      <c r="A226" s="621">
        <f t="shared" si="7"/>
        <v>41</v>
      </c>
      <c r="B226" s="621" t="s">
        <v>703</v>
      </c>
      <c r="C226" s="622" t="s">
        <v>772</v>
      </c>
      <c r="D226" s="624" t="s">
        <v>785</v>
      </c>
      <c r="E226" s="499" t="s">
        <v>786</v>
      </c>
      <c r="F226" s="499" t="s">
        <v>477</v>
      </c>
      <c r="G226" s="640">
        <v>45865</v>
      </c>
      <c r="H226" s="642">
        <v>45865</v>
      </c>
      <c r="I226" s="499"/>
      <c r="J226" s="499"/>
      <c r="K226" s="499"/>
      <c r="L226" s="529"/>
      <c r="M226" s="529"/>
      <c r="N226" s="499"/>
      <c r="O226" s="499"/>
      <c r="P226" s="499"/>
      <c r="Q226" s="499"/>
      <c r="R226" s="499"/>
      <c r="S226" s="499"/>
      <c r="T226" s="499"/>
      <c r="U226" s="499"/>
    </row>
    <row r="227" spans="1:21" x14ac:dyDescent="0.35">
      <c r="A227" s="621">
        <f t="shared" si="7"/>
        <v>42</v>
      </c>
      <c r="B227" s="621" t="s">
        <v>703</v>
      </c>
      <c r="C227" s="622" t="s">
        <v>772</v>
      </c>
      <c r="D227" s="624" t="s">
        <v>787</v>
      </c>
      <c r="E227" s="499" t="s">
        <v>788</v>
      </c>
      <c r="F227" s="499" t="s">
        <v>467</v>
      </c>
      <c r="G227" s="640">
        <v>45843</v>
      </c>
      <c r="H227" s="642">
        <v>45843</v>
      </c>
      <c r="I227" s="499"/>
      <c r="J227" s="499"/>
      <c r="K227" s="499"/>
      <c r="L227" s="529"/>
      <c r="M227" s="529"/>
      <c r="N227" s="499"/>
      <c r="O227" s="499"/>
      <c r="P227" s="499"/>
      <c r="Q227" s="499"/>
      <c r="R227" s="499"/>
      <c r="S227" s="499"/>
      <c r="T227" s="499"/>
      <c r="U227" s="499"/>
    </row>
    <row r="228" spans="1:21" x14ac:dyDescent="0.35">
      <c r="A228" s="621">
        <f t="shared" si="7"/>
        <v>43</v>
      </c>
      <c r="B228" s="621" t="s">
        <v>703</v>
      </c>
      <c r="C228" s="622" t="s">
        <v>772</v>
      </c>
      <c r="D228" s="624" t="s">
        <v>789</v>
      </c>
      <c r="E228" s="499" t="s">
        <v>790</v>
      </c>
      <c r="F228" s="499" t="s">
        <v>467</v>
      </c>
      <c r="G228" s="640">
        <v>45822</v>
      </c>
      <c r="H228" s="642">
        <v>45852</v>
      </c>
      <c r="I228" s="499"/>
      <c r="J228" s="499"/>
      <c r="K228" s="499"/>
      <c r="L228" s="529"/>
      <c r="M228" s="529"/>
      <c r="N228" s="499"/>
      <c r="O228" s="499"/>
      <c r="P228" s="499"/>
      <c r="Q228" s="499"/>
      <c r="R228" s="499"/>
      <c r="S228" s="499"/>
      <c r="T228" s="499"/>
      <c r="U228" s="499"/>
    </row>
    <row r="229" spans="1:21" x14ac:dyDescent="0.35">
      <c r="A229" s="621">
        <f t="shared" si="7"/>
        <v>44</v>
      </c>
      <c r="B229" s="621" t="s">
        <v>703</v>
      </c>
      <c r="C229" s="622" t="s">
        <v>772</v>
      </c>
      <c r="D229" s="624" t="s">
        <v>791</v>
      </c>
      <c r="E229" s="499" t="s">
        <v>792</v>
      </c>
      <c r="F229" s="499" t="s">
        <v>467</v>
      </c>
      <c r="G229" s="640">
        <v>45840</v>
      </c>
      <c r="H229" s="642">
        <v>45852</v>
      </c>
      <c r="I229" s="499"/>
      <c r="J229" s="499"/>
      <c r="K229" s="499"/>
      <c r="L229" s="529"/>
      <c r="M229" s="529"/>
      <c r="N229" s="499"/>
      <c r="O229" s="499"/>
      <c r="P229" s="499"/>
      <c r="Q229" s="499"/>
      <c r="R229" s="499"/>
      <c r="S229" s="499"/>
      <c r="T229" s="499"/>
      <c r="U229" s="499"/>
    </row>
    <row r="230" spans="1:21" x14ac:dyDescent="0.35">
      <c r="A230" s="621">
        <f t="shared" si="7"/>
        <v>45</v>
      </c>
      <c r="B230" s="621" t="s">
        <v>703</v>
      </c>
      <c r="C230" s="622" t="s">
        <v>772</v>
      </c>
      <c r="D230" s="624" t="s">
        <v>793</v>
      </c>
      <c r="E230" s="499" t="s">
        <v>794</v>
      </c>
      <c r="F230" s="499" t="s">
        <v>467</v>
      </c>
      <c r="G230" s="640">
        <v>45870</v>
      </c>
      <c r="H230" s="642">
        <v>45870</v>
      </c>
      <c r="I230" s="499"/>
      <c r="J230" s="499"/>
      <c r="K230" s="499"/>
      <c r="L230" s="529"/>
      <c r="M230" s="529"/>
      <c r="N230" s="499"/>
      <c r="O230" s="499"/>
      <c r="P230" s="499"/>
      <c r="Q230" s="499"/>
      <c r="R230" s="499"/>
      <c r="S230" s="499"/>
      <c r="T230" s="499"/>
      <c r="U230" s="499"/>
    </row>
    <row r="231" spans="1:21" x14ac:dyDescent="0.35">
      <c r="A231" s="621">
        <f t="shared" si="7"/>
        <v>46</v>
      </c>
      <c r="B231" s="621" t="s">
        <v>703</v>
      </c>
      <c r="C231" s="622" t="s">
        <v>772</v>
      </c>
      <c r="D231" s="624" t="s">
        <v>795</v>
      </c>
      <c r="E231" s="499" t="s">
        <v>796</v>
      </c>
      <c r="F231" s="499" t="s">
        <v>467</v>
      </c>
      <c r="G231" s="640">
        <v>45813</v>
      </c>
      <c r="H231" s="642">
        <v>45852</v>
      </c>
      <c r="I231" s="499"/>
      <c r="J231" s="499"/>
      <c r="K231" s="499"/>
      <c r="L231" s="529"/>
      <c r="M231" s="529"/>
      <c r="N231" s="499"/>
      <c r="O231" s="499"/>
      <c r="P231" s="499"/>
      <c r="Q231" s="499"/>
      <c r="R231" s="499"/>
      <c r="S231" s="499"/>
      <c r="T231" s="499"/>
      <c r="U231" s="499"/>
    </row>
    <row r="232" spans="1:21" x14ac:dyDescent="0.35">
      <c r="A232" s="621">
        <f t="shared" si="7"/>
        <v>47</v>
      </c>
      <c r="B232" s="621" t="s">
        <v>703</v>
      </c>
      <c r="C232" s="622" t="s">
        <v>772</v>
      </c>
      <c r="D232" s="624" t="s">
        <v>797</v>
      </c>
      <c r="E232" s="499" t="s">
        <v>798</v>
      </c>
      <c r="F232" s="499" t="s">
        <v>477</v>
      </c>
      <c r="G232" s="640">
        <v>45858</v>
      </c>
      <c r="H232" s="642">
        <v>45858</v>
      </c>
      <c r="I232" s="499"/>
      <c r="J232" s="499"/>
      <c r="K232" s="499"/>
      <c r="L232" s="529"/>
      <c r="M232" s="529"/>
      <c r="N232" s="499"/>
      <c r="O232" s="499"/>
      <c r="P232" s="499"/>
      <c r="Q232" s="499"/>
      <c r="R232" s="499"/>
      <c r="S232" s="499"/>
      <c r="T232" s="499"/>
      <c r="U232" s="499"/>
    </row>
    <row r="233" spans="1:21" x14ac:dyDescent="0.35">
      <c r="A233" s="621">
        <f t="shared" si="7"/>
        <v>48</v>
      </c>
      <c r="B233" s="621" t="s">
        <v>703</v>
      </c>
      <c r="C233" s="622" t="s">
        <v>772</v>
      </c>
      <c r="D233" s="624" t="s">
        <v>799</v>
      </c>
      <c r="E233" s="499" t="s">
        <v>800</v>
      </c>
      <c r="F233" s="499" t="s">
        <v>477</v>
      </c>
      <c r="G233" s="640">
        <v>45834</v>
      </c>
      <c r="H233" s="640">
        <v>45850</v>
      </c>
      <c r="I233" s="499"/>
      <c r="J233" s="499"/>
      <c r="K233" s="499"/>
      <c r="L233" s="529"/>
      <c r="M233" s="529"/>
      <c r="N233" s="499"/>
      <c r="O233" s="499"/>
      <c r="P233" s="499"/>
      <c r="Q233" s="499"/>
      <c r="R233" s="499"/>
      <c r="S233" s="499"/>
      <c r="T233" s="499"/>
      <c r="U233" s="499"/>
    </row>
    <row r="234" spans="1:21" x14ac:dyDescent="0.35">
      <c r="A234" s="621">
        <f t="shared" si="7"/>
        <v>49</v>
      </c>
      <c r="B234" s="621" t="s">
        <v>703</v>
      </c>
      <c r="C234" s="622" t="s">
        <v>772</v>
      </c>
      <c r="D234" s="624" t="s">
        <v>801</v>
      </c>
      <c r="E234" s="499" t="s">
        <v>802</v>
      </c>
      <c r="F234" s="499" t="s">
        <v>477</v>
      </c>
      <c r="G234" s="640">
        <v>45840</v>
      </c>
      <c r="H234" s="640">
        <v>45848</v>
      </c>
      <c r="I234" s="499"/>
      <c r="J234" s="499"/>
      <c r="K234" s="499"/>
      <c r="L234" s="529"/>
      <c r="M234" s="529"/>
      <c r="N234" s="499"/>
      <c r="O234" s="499"/>
      <c r="P234" s="499"/>
      <c r="Q234" s="499"/>
      <c r="R234" s="499"/>
      <c r="S234" s="499"/>
      <c r="T234" s="499"/>
      <c r="U234" s="499"/>
    </row>
    <row r="235" spans="1:21" x14ac:dyDescent="0.35">
      <c r="A235" s="621">
        <f t="shared" si="7"/>
        <v>50</v>
      </c>
      <c r="B235" s="621" t="s">
        <v>703</v>
      </c>
      <c r="C235" s="622" t="s">
        <v>772</v>
      </c>
      <c r="D235" s="624" t="s">
        <v>803</v>
      </c>
      <c r="E235" s="499" t="s">
        <v>804</v>
      </c>
      <c r="F235" s="499" t="s">
        <v>477</v>
      </c>
      <c r="G235" s="640">
        <v>45826</v>
      </c>
      <c r="H235" s="642">
        <v>45850</v>
      </c>
      <c r="I235" s="499"/>
      <c r="J235" s="499"/>
      <c r="K235" s="650"/>
      <c r="L235" s="529"/>
      <c r="M235" s="529"/>
      <c r="N235" s="650"/>
      <c r="O235" s="499"/>
      <c r="P235" s="499"/>
      <c r="Q235" s="650"/>
      <c r="R235" s="650"/>
      <c r="S235" s="650"/>
      <c r="T235" s="650"/>
      <c r="U235" s="650"/>
    </row>
    <row r="236" spans="1:21" x14ac:dyDescent="0.35">
      <c r="A236" s="621">
        <f t="shared" si="7"/>
        <v>51</v>
      </c>
      <c r="B236" s="621" t="s">
        <v>703</v>
      </c>
      <c r="C236" s="622" t="s">
        <v>772</v>
      </c>
      <c r="D236" s="624" t="s">
        <v>805</v>
      </c>
      <c r="E236" s="499" t="s">
        <v>806</v>
      </c>
      <c r="F236" s="499" t="s">
        <v>467</v>
      </c>
      <c r="G236" s="640" t="s">
        <v>846</v>
      </c>
      <c r="H236" s="642" t="s">
        <v>846</v>
      </c>
      <c r="I236" s="499"/>
      <c r="J236" s="499"/>
      <c r="K236" s="499"/>
      <c r="L236" s="529"/>
      <c r="M236" s="529"/>
      <c r="N236" s="499"/>
      <c r="O236" s="499"/>
      <c r="P236" s="499"/>
      <c r="Q236" s="499"/>
      <c r="R236" s="499"/>
      <c r="S236" s="499"/>
      <c r="T236" s="499"/>
      <c r="U236" s="499"/>
    </row>
    <row r="237" spans="1:21" x14ac:dyDescent="0.35">
      <c r="A237" s="621">
        <f t="shared" si="7"/>
        <v>52</v>
      </c>
      <c r="B237" s="621" t="s">
        <v>703</v>
      </c>
      <c r="C237" s="622" t="s">
        <v>772</v>
      </c>
      <c r="D237" s="624" t="s">
        <v>807</v>
      </c>
      <c r="E237" s="499" t="s">
        <v>808</v>
      </c>
      <c r="F237" s="499" t="s">
        <v>467</v>
      </c>
      <c r="G237" s="642">
        <v>45853</v>
      </c>
      <c r="H237" s="642">
        <v>45853</v>
      </c>
      <c r="I237" s="499"/>
      <c r="J237" s="499"/>
      <c r="K237" s="499"/>
      <c r="L237" s="529"/>
      <c r="M237" s="529"/>
      <c r="N237" s="499"/>
      <c r="O237" s="499"/>
      <c r="P237" s="499"/>
      <c r="Q237" s="499"/>
      <c r="R237" s="499"/>
      <c r="S237" s="499"/>
      <c r="T237" s="499"/>
      <c r="U237" s="499"/>
    </row>
    <row r="238" spans="1:21" x14ac:dyDescent="0.35">
      <c r="A238" s="621">
        <f t="shared" si="7"/>
        <v>53</v>
      </c>
      <c r="B238" s="621" t="s">
        <v>703</v>
      </c>
      <c r="C238" s="622" t="s">
        <v>772</v>
      </c>
      <c r="D238" s="624" t="s">
        <v>809</v>
      </c>
      <c r="E238" s="499" t="s">
        <v>810</v>
      </c>
      <c r="F238" s="498" t="s">
        <v>477</v>
      </c>
      <c r="G238" s="640">
        <v>45826</v>
      </c>
      <c r="H238" s="642">
        <v>45858</v>
      </c>
      <c r="I238" s="498"/>
      <c r="J238" s="498"/>
      <c r="K238" s="499"/>
      <c r="L238" s="529"/>
      <c r="M238" s="529"/>
      <c r="N238" s="499"/>
      <c r="O238" s="499"/>
      <c r="P238" s="499"/>
      <c r="Q238" s="499"/>
      <c r="R238" s="499"/>
      <c r="S238" s="499"/>
      <c r="T238" s="499"/>
      <c r="U238" s="499"/>
    </row>
    <row r="239" spans="1:21" x14ac:dyDescent="0.35">
      <c r="A239" s="621">
        <f t="shared" si="7"/>
        <v>54</v>
      </c>
      <c r="B239" s="621" t="s">
        <v>703</v>
      </c>
      <c r="C239" s="622" t="s">
        <v>772</v>
      </c>
      <c r="D239" s="624" t="s">
        <v>811</v>
      </c>
      <c r="E239" s="499" t="s">
        <v>812</v>
      </c>
      <c r="F239" s="499" t="s">
        <v>467</v>
      </c>
      <c r="G239" s="640" t="s">
        <v>846</v>
      </c>
      <c r="H239" s="642" t="s">
        <v>846</v>
      </c>
      <c r="I239" s="499"/>
      <c r="J239" s="499"/>
      <c r="K239" s="499"/>
      <c r="L239" s="529"/>
      <c r="M239" s="529"/>
      <c r="N239" s="499"/>
      <c r="O239" s="499"/>
      <c r="P239" s="499"/>
      <c r="Q239" s="499"/>
      <c r="R239" s="499"/>
      <c r="S239" s="499"/>
      <c r="T239" s="499"/>
      <c r="U239" s="499"/>
    </row>
    <row r="240" spans="1:21" x14ac:dyDescent="0.35">
      <c r="A240" s="618">
        <f t="shared" si="7"/>
        <v>55</v>
      </c>
      <c r="B240" s="621" t="s">
        <v>703</v>
      </c>
      <c r="C240" s="622" t="s">
        <v>772</v>
      </c>
      <c r="D240" s="624" t="s">
        <v>813</v>
      </c>
      <c r="E240" s="499" t="s">
        <v>814</v>
      </c>
      <c r="F240" s="499" t="s">
        <v>467</v>
      </c>
      <c r="G240" s="640">
        <v>45868</v>
      </c>
      <c r="H240" s="642">
        <v>45868</v>
      </c>
      <c r="I240" s="499"/>
      <c r="J240" s="499"/>
      <c r="K240" s="499"/>
      <c r="L240" s="529"/>
      <c r="M240" s="529"/>
      <c r="N240" s="499"/>
      <c r="O240" s="499"/>
      <c r="P240" s="499"/>
      <c r="Q240" s="499"/>
      <c r="R240" s="499"/>
      <c r="S240" s="499"/>
      <c r="T240" s="499"/>
      <c r="U240" s="499"/>
    </row>
    <row r="241" spans="1:21" x14ac:dyDescent="0.35">
      <c r="A241" s="634"/>
      <c r="B241" s="621" t="s">
        <v>703</v>
      </c>
      <c r="C241" s="622" t="s">
        <v>772</v>
      </c>
      <c r="D241" s="624" t="s">
        <v>815</v>
      </c>
      <c r="E241" s="499" t="s">
        <v>816</v>
      </c>
      <c r="F241" s="499" t="s">
        <v>477</v>
      </c>
      <c r="G241" s="640">
        <v>45868</v>
      </c>
      <c r="H241" s="642">
        <v>45868</v>
      </c>
      <c r="I241" s="499"/>
      <c r="J241" s="499"/>
      <c r="K241" s="499"/>
      <c r="L241" s="529"/>
      <c r="M241" s="529"/>
      <c r="N241" s="499"/>
      <c r="O241" s="499"/>
      <c r="P241" s="499"/>
      <c r="Q241" s="499"/>
      <c r="R241" s="499"/>
      <c r="S241" s="499"/>
      <c r="T241" s="499"/>
      <c r="U241" s="499"/>
    </row>
    <row r="242" spans="1:21" x14ac:dyDescent="0.35">
      <c r="A242" s="621">
        <f>A240+1</f>
        <v>56</v>
      </c>
      <c r="B242" s="621" t="s">
        <v>703</v>
      </c>
      <c r="C242" s="622" t="s">
        <v>772</v>
      </c>
      <c r="D242" s="624" t="s">
        <v>817</v>
      </c>
      <c r="E242" s="499" t="s">
        <v>818</v>
      </c>
      <c r="F242" s="499" t="s">
        <v>477</v>
      </c>
      <c r="G242" s="640">
        <v>45899</v>
      </c>
      <c r="H242" s="642">
        <v>45899</v>
      </c>
      <c r="I242" s="499"/>
      <c r="J242" s="499"/>
      <c r="K242" s="499"/>
      <c r="L242" s="529"/>
      <c r="M242" s="529"/>
      <c r="N242" s="499"/>
      <c r="O242" s="499"/>
      <c r="P242" s="499"/>
      <c r="Q242" s="499"/>
      <c r="R242" s="499"/>
      <c r="S242" s="499"/>
      <c r="T242" s="499"/>
      <c r="U242" s="499"/>
    </row>
    <row r="243" spans="1:21" x14ac:dyDescent="0.35">
      <c r="A243" s="651">
        <f t="shared" si="7"/>
        <v>57</v>
      </c>
      <c r="B243" s="621" t="s">
        <v>703</v>
      </c>
      <c r="C243" s="622" t="s">
        <v>772</v>
      </c>
      <c r="D243" s="624" t="s">
        <v>819</v>
      </c>
      <c r="E243" s="499" t="s">
        <v>820</v>
      </c>
      <c r="F243" s="499" t="s">
        <v>477</v>
      </c>
      <c r="G243" s="640">
        <v>45899</v>
      </c>
      <c r="H243" s="642">
        <v>45899</v>
      </c>
      <c r="I243" s="499"/>
      <c r="J243" s="499"/>
      <c r="K243" s="499"/>
      <c r="L243" s="529"/>
      <c r="M243" s="529"/>
      <c r="N243" s="499"/>
      <c r="O243" s="499"/>
      <c r="P243" s="499"/>
      <c r="Q243" s="499"/>
      <c r="R243" s="499"/>
      <c r="S243" s="499"/>
      <c r="T243" s="499"/>
      <c r="U243" s="499"/>
    </row>
    <row r="244" spans="1:21" x14ac:dyDescent="0.35">
      <c r="A244" s="652">
        <f t="shared" si="7"/>
        <v>58</v>
      </c>
      <c r="B244" s="621" t="s">
        <v>703</v>
      </c>
      <c r="C244" s="622" t="s">
        <v>772</v>
      </c>
      <c r="D244" s="624" t="s">
        <v>821</v>
      </c>
      <c r="E244" s="499" t="s">
        <v>822</v>
      </c>
      <c r="F244" s="499" t="s">
        <v>467</v>
      </c>
      <c r="G244" s="640">
        <v>45899</v>
      </c>
      <c r="H244" s="642">
        <v>45899</v>
      </c>
      <c r="I244" s="499"/>
      <c r="J244" s="499"/>
      <c r="K244" s="499"/>
      <c r="L244" s="529"/>
      <c r="M244" s="529"/>
      <c r="N244" s="499"/>
      <c r="O244" s="499"/>
      <c r="P244" s="499"/>
      <c r="Q244" s="499"/>
      <c r="R244" s="499"/>
      <c r="S244" s="499"/>
      <c r="T244" s="499"/>
      <c r="U244" s="499"/>
    </row>
    <row r="245" spans="1:21" x14ac:dyDescent="0.35">
      <c r="A245" s="653">
        <v>59</v>
      </c>
      <c r="B245" s="654" t="s">
        <v>703</v>
      </c>
      <c r="C245" s="625" t="s">
        <v>772</v>
      </c>
      <c r="D245" s="616" t="s">
        <v>823</v>
      </c>
      <c r="E245" s="536" t="s">
        <v>824</v>
      </c>
      <c r="F245" s="536" t="s">
        <v>467</v>
      </c>
      <c r="G245" s="645">
        <v>45793</v>
      </c>
      <c r="H245" s="645">
        <f>L245</f>
        <v>45793</v>
      </c>
      <c r="I245" s="536"/>
      <c r="J245" s="536"/>
      <c r="K245" s="499" t="s">
        <v>468</v>
      </c>
      <c r="L245" s="529">
        <v>45793</v>
      </c>
      <c r="M245" s="529">
        <v>45807</v>
      </c>
      <c r="N245" s="499" t="s">
        <v>469</v>
      </c>
      <c r="O245" s="499">
        <f>M245-L245</f>
        <v>14</v>
      </c>
      <c r="P245" s="499">
        <f ca="1">O1-M245</f>
        <v>60</v>
      </c>
      <c r="Q245" s="536"/>
      <c r="R245" s="536" t="s">
        <v>492</v>
      </c>
      <c r="S245" s="536" t="str">
        <f>N245</f>
        <v>CAT - III</v>
      </c>
      <c r="T245" s="536" t="s">
        <v>471</v>
      </c>
      <c r="U245" s="536">
        <f ca="1">U1-M245</f>
        <v>60</v>
      </c>
    </row>
    <row r="246" spans="1:21" x14ac:dyDescent="0.35">
      <c r="A246" s="653"/>
      <c r="B246" s="655"/>
      <c r="C246" s="656"/>
      <c r="D246" s="636"/>
      <c r="E246" s="552"/>
      <c r="F246" s="552"/>
      <c r="G246" s="552"/>
      <c r="H246" s="647"/>
      <c r="I246" s="552"/>
      <c r="J246" s="552"/>
      <c r="K246" s="499" t="s">
        <v>470</v>
      </c>
      <c r="L246" s="529">
        <v>45862</v>
      </c>
      <c r="M246" s="529"/>
      <c r="N246" s="499"/>
      <c r="O246" s="499"/>
      <c r="P246" s="499"/>
      <c r="Q246" s="552"/>
      <c r="R246" s="552"/>
      <c r="S246" s="552"/>
      <c r="T246" s="552"/>
      <c r="U246" s="552"/>
    </row>
    <row r="247" spans="1:21" x14ac:dyDescent="0.35">
      <c r="A247" s="657">
        <v>60</v>
      </c>
      <c r="B247" s="658" t="s">
        <v>703</v>
      </c>
      <c r="C247" s="622" t="s">
        <v>772</v>
      </c>
      <c r="D247" s="624" t="s">
        <v>825</v>
      </c>
      <c r="E247" s="499" t="s">
        <v>826</v>
      </c>
      <c r="F247" s="659" t="s">
        <v>467</v>
      </c>
      <c r="G247" s="640">
        <v>45900</v>
      </c>
      <c r="H247" s="642">
        <v>45900</v>
      </c>
      <c r="I247" s="659"/>
      <c r="J247" s="659"/>
      <c r="K247" s="499"/>
      <c r="L247" s="529"/>
      <c r="M247" s="529"/>
      <c r="N247" s="499"/>
      <c r="O247" s="499"/>
      <c r="P247" s="499"/>
      <c r="Q247" s="499"/>
      <c r="R247" s="499"/>
      <c r="S247" s="499"/>
      <c r="T247" s="499"/>
      <c r="U247" s="499"/>
    </row>
    <row r="248" spans="1:21" x14ac:dyDescent="0.35">
      <c r="A248" s="657">
        <v>61</v>
      </c>
      <c r="B248" s="660" t="s">
        <v>703</v>
      </c>
      <c r="C248" s="661" t="s">
        <v>772</v>
      </c>
      <c r="D248" s="662" t="s">
        <v>827</v>
      </c>
      <c r="E248" s="547" t="s">
        <v>828</v>
      </c>
      <c r="F248" s="663" t="s">
        <v>467</v>
      </c>
      <c r="G248" s="664">
        <v>45826</v>
      </c>
      <c r="H248" s="642">
        <v>45853</v>
      </c>
      <c r="I248" s="663"/>
      <c r="J248" s="663"/>
      <c r="K248" s="547"/>
      <c r="L248" s="601"/>
      <c r="M248" s="601"/>
      <c r="N248" s="547"/>
      <c r="O248" s="547"/>
      <c r="P248" s="547"/>
      <c r="Q248" s="547"/>
      <c r="R248" s="547"/>
      <c r="S248" s="547"/>
      <c r="T248" s="547"/>
      <c r="U248" s="547"/>
    </row>
    <row r="249" spans="1:21" x14ac:dyDescent="0.35">
      <c r="A249" s="665">
        <v>62</v>
      </c>
      <c r="B249" s="666" t="s">
        <v>703</v>
      </c>
      <c r="C249" s="667" t="s">
        <v>772</v>
      </c>
      <c r="D249" s="668" t="s">
        <v>829</v>
      </c>
      <c r="E249" s="665" t="s">
        <v>828</v>
      </c>
      <c r="F249" s="665" t="s">
        <v>467</v>
      </c>
      <c r="G249" s="669">
        <v>45803</v>
      </c>
      <c r="H249" s="669">
        <f>L249</f>
        <v>45803</v>
      </c>
      <c r="I249" s="665"/>
      <c r="J249" s="665"/>
      <c r="K249" s="670" t="s">
        <v>468</v>
      </c>
      <c r="L249" s="579">
        <v>45803</v>
      </c>
      <c r="M249" s="579">
        <v>45810</v>
      </c>
      <c r="N249" s="578" t="s">
        <v>469</v>
      </c>
      <c r="O249" s="578">
        <f>M249-L249</f>
        <v>7</v>
      </c>
      <c r="P249" s="671">
        <f>L250-M249</f>
        <v>8</v>
      </c>
      <c r="Q249" s="665"/>
      <c r="R249" s="510" t="s">
        <v>492</v>
      </c>
      <c r="S249" s="510" t="str">
        <f>N251</f>
        <v>CAT - I</v>
      </c>
      <c r="T249" s="510" t="s">
        <v>398</v>
      </c>
      <c r="U249" s="666">
        <f ca="1">U1-M250</f>
        <v>47</v>
      </c>
    </row>
    <row r="250" spans="1:21" x14ac:dyDescent="0.35">
      <c r="A250" s="665"/>
      <c r="B250" s="666"/>
      <c r="C250" s="667"/>
      <c r="D250" s="668"/>
      <c r="E250" s="665"/>
      <c r="F250" s="665"/>
      <c r="G250" s="669"/>
      <c r="H250" s="669"/>
      <c r="I250" s="665"/>
      <c r="J250" s="665"/>
      <c r="K250" s="670" t="s">
        <v>470</v>
      </c>
      <c r="L250" s="579">
        <v>45818</v>
      </c>
      <c r="M250" s="579">
        <v>45820</v>
      </c>
      <c r="N250" s="578" t="s">
        <v>469</v>
      </c>
      <c r="O250" s="578">
        <f>M250-L250</f>
        <v>2</v>
      </c>
      <c r="P250" s="671">
        <f ca="1">O1-M250</f>
        <v>47</v>
      </c>
      <c r="Q250" s="665"/>
      <c r="R250" s="510"/>
      <c r="S250" s="510"/>
      <c r="T250" s="510"/>
      <c r="U250" s="666"/>
    </row>
    <row r="251" spans="1:21" x14ac:dyDescent="0.35">
      <c r="A251" s="665"/>
      <c r="B251" s="666"/>
      <c r="C251" s="667"/>
      <c r="D251" s="668"/>
      <c r="E251" s="665"/>
      <c r="F251" s="665"/>
      <c r="G251" s="669"/>
      <c r="H251" s="669"/>
      <c r="I251" s="665"/>
      <c r="J251" s="665"/>
      <c r="K251" s="578" t="s">
        <v>472</v>
      </c>
      <c r="L251" s="579">
        <v>45835</v>
      </c>
      <c r="M251" s="579">
        <v>45839</v>
      </c>
      <c r="N251" s="578" t="s">
        <v>482</v>
      </c>
      <c r="O251" s="578"/>
      <c r="P251" s="578"/>
      <c r="Q251" s="665"/>
      <c r="R251" s="510"/>
      <c r="S251" s="510"/>
      <c r="T251" s="510"/>
      <c r="U251" s="575"/>
    </row>
  </sheetData>
  <mergeCells count="570">
    <mergeCell ref="T249:T251"/>
    <mergeCell ref="U249:U250"/>
    <mergeCell ref="H249:H251"/>
    <mergeCell ref="I249:I251"/>
    <mergeCell ref="J249:J251"/>
    <mergeCell ref="Q249:Q251"/>
    <mergeCell ref="R249:R251"/>
    <mergeCell ref="S249:S251"/>
    <mergeCell ref="S245:S246"/>
    <mergeCell ref="T245:T246"/>
    <mergeCell ref="U245:U246"/>
    <mergeCell ref="A249:A251"/>
    <mergeCell ref="B249:B251"/>
    <mergeCell ref="C249:C251"/>
    <mergeCell ref="D249:D251"/>
    <mergeCell ref="E249:E251"/>
    <mergeCell ref="F249:F251"/>
    <mergeCell ref="G249:G251"/>
    <mergeCell ref="G245:G246"/>
    <mergeCell ref="H245:H246"/>
    <mergeCell ref="I245:I246"/>
    <mergeCell ref="J245:J246"/>
    <mergeCell ref="Q245:Q246"/>
    <mergeCell ref="R245:R246"/>
    <mergeCell ref="S217:S219"/>
    <mergeCell ref="T217:T219"/>
    <mergeCell ref="U217:U219"/>
    <mergeCell ref="A240:A241"/>
    <mergeCell ref="A245:A246"/>
    <mergeCell ref="B245:B246"/>
    <mergeCell ref="C245:C246"/>
    <mergeCell ref="D245:D246"/>
    <mergeCell ref="E245:E246"/>
    <mergeCell ref="F245:F246"/>
    <mergeCell ref="G217:G218"/>
    <mergeCell ref="H217:H218"/>
    <mergeCell ref="I217:I218"/>
    <mergeCell ref="J217:J218"/>
    <mergeCell ref="Q217:Q218"/>
    <mergeCell ref="R217:R219"/>
    <mergeCell ref="R192:R193"/>
    <mergeCell ref="S192:S193"/>
    <mergeCell ref="T192:T193"/>
    <mergeCell ref="U192:U193"/>
    <mergeCell ref="A217:A219"/>
    <mergeCell ref="B217:B218"/>
    <mergeCell ref="C217:C219"/>
    <mergeCell ref="D217:D219"/>
    <mergeCell ref="E217:E219"/>
    <mergeCell ref="F217:F218"/>
    <mergeCell ref="U186:U187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Q192:Q193"/>
    <mergeCell ref="G186:G187"/>
    <mergeCell ref="H186:H187"/>
    <mergeCell ref="Q186:Q187"/>
    <mergeCell ref="R186:R187"/>
    <mergeCell ref="S186:S187"/>
    <mergeCell ref="T186:T187"/>
    <mergeCell ref="A186:A187"/>
    <mergeCell ref="B186:B187"/>
    <mergeCell ref="C186:C187"/>
    <mergeCell ref="D186:D187"/>
    <mergeCell ref="E186:E187"/>
    <mergeCell ref="F186:F187"/>
    <mergeCell ref="G184:G185"/>
    <mergeCell ref="H184:H185"/>
    <mergeCell ref="R184:R185"/>
    <mergeCell ref="S184:S185"/>
    <mergeCell ref="T184:T185"/>
    <mergeCell ref="U184:U185"/>
    <mergeCell ref="A184:A185"/>
    <mergeCell ref="B184:B185"/>
    <mergeCell ref="C184:C185"/>
    <mergeCell ref="D184:D185"/>
    <mergeCell ref="E184:E185"/>
    <mergeCell ref="F184:F185"/>
    <mergeCell ref="I181:I182"/>
    <mergeCell ref="J181:J182"/>
    <mergeCell ref="R181:R182"/>
    <mergeCell ref="S181:S182"/>
    <mergeCell ref="T181:T182"/>
    <mergeCell ref="U181:U182"/>
    <mergeCell ref="T178:T180"/>
    <mergeCell ref="U178:U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H178:H180"/>
    <mergeCell ref="I178:I179"/>
    <mergeCell ref="J178:J179"/>
    <mergeCell ref="Q178:Q180"/>
    <mergeCell ref="R178:R180"/>
    <mergeCell ref="S178:S180"/>
    <mergeCell ref="S173:S175"/>
    <mergeCell ref="T173:T175"/>
    <mergeCell ref="U173:U175"/>
    <mergeCell ref="A178:A180"/>
    <mergeCell ref="B178:B180"/>
    <mergeCell ref="C178:C180"/>
    <mergeCell ref="D178:D180"/>
    <mergeCell ref="E178:E180"/>
    <mergeCell ref="F178:F180"/>
    <mergeCell ref="G178:G180"/>
    <mergeCell ref="G173:G175"/>
    <mergeCell ref="H173:H175"/>
    <mergeCell ref="I173:I175"/>
    <mergeCell ref="J173:J175"/>
    <mergeCell ref="Q173:Q175"/>
    <mergeCell ref="R173:R175"/>
    <mergeCell ref="A173:A175"/>
    <mergeCell ref="B173:B175"/>
    <mergeCell ref="C173:C175"/>
    <mergeCell ref="D173:D175"/>
    <mergeCell ref="E173:E175"/>
    <mergeCell ref="F173:F175"/>
    <mergeCell ref="J170:J172"/>
    <mergeCell ref="Q170:Q172"/>
    <mergeCell ref="R170:R172"/>
    <mergeCell ref="S170:S172"/>
    <mergeCell ref="T170:T172"/>
    <mergeCell ref="U170:U172"/>
    <mergeCell ref="T166:T168"/>
    <mergeCell ref="A170:A172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H166:H168"/>
    <mergeCell ref="I166:I168"/>
    <mergeCell ref="J166:J168"/>
    <mergeCell ref="Q166:Q168"/>
    <mergeCell ref="R166:R168"/>
    <mergeCell ref="S166:S168"/>
    <mergeCell ref="S158:S161"/>
    <mergeCell ref="T158:T161"/>
    <mergeCell ref="U158:U161"/>
    <mergeCell ref="A166:A168"/>
    <mergeCell ref="B166:B168"/>
    <mergeCell ref="C166:C168"/>
    <mergeCell ref="D166:D168"/>
    <mergeCell ref="E166:E168"/>
    <mergeCell ref="F166:F168"/>
    <mergeCell ref="G166:G168"/>
    <mergeCell ref="G158:G161"/>
    <mergeCell ref="H158:H161"/>
    <mergeCell ref="I158:I160"/>
    <mergeCell ref="J158:J160"/>
    <mergeCell ref="Q158:Q160"/>
    <mergeCell ref="R158:R161"/>
    <mergeCell ref="A158:A161"/>
    <mergeCell ref="B158:B160"/>
    <mergeCell ref="C158:C161"/>
    <mergeCell ref="D158:D161"/>
    <mergeCell ref="E158:E161"/>
    <mergeCell ref="F158:F161"/>
    <mergeCell ref="J156:J157"/>
    <mergeCell ref="Q156:Q157"/>
    <mergeCell ref="R156:R157"/>
    <mergeCell ref="S156:S157"/>
    <mergeCell ref="T156:T157"/>
    <mergeCell ref="U156:U157"/>
    <mergeCell ref="U134:U136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H134:H136"/>
    <mergeCell ref="I134:I136"/>
    <mergeCell ref="J134:J136"/>
    <mergeCell ref="R134:R136"/>
    <mergeCell ref="S134:S136"/>
    <mergeCell ref="T134:T136"/>
    <mergeCell ref="S126:S129"/>
    <mergeCell ref="T126:T129"/>
    <mergeCell ref="U126:U129"/>
    <mergeCell ref="A134:A136"/>
    <mergeCell ref="B134:B136"/>
    <mergeCell ref="C134:C136"/>
    <mergeCell ref="D134:D136"/>
    <mergeCell ref="E134:E136"/>
    <mergeCell ref="F134:F136"/>
    <mergeCell ref="G134:G136"/>
    <mergeCell ref="G126:G129"/>
    <mergeCell ref="H126:H129"/>
    <mergeCell ref="I126:I128"/>
    <mergeCell ref="J126:J128"/>
    <mergeCell ref="Q126:Q129"/>
    <mergeCell ref="R126:R129"/>
    <mergeCell ref="A126:A129"/>
    <mergeCell ref="B126:B129"/>
    <mergeCell ref="C126:C129"/>
    <mergeCell ref="D126:D129"/>
    <mergeCell ref="E126:E129"/>
    <mergeCell ref="F126:F129"/>
    <mergeCell ref="H124:H125"/>
    <mergeCell ref="I124:I125"/>
    <mergeCell ref="J124:J125"/>
    <mergeCell ref="R124:R125"/>
    <mergeCell ref="S124:S125"/>
    <mergeCell ref="T124:T125"/>
    <mergeCell ref="S122:S123"/>
    <mergeCell ref="T122:T123"/>
    <mergeCell ref="U122:U123"/>
    <mergeCell ref="A124:A125"/>
    <mergeCell ref="B124:B125"/>
    <mergeCell ref="C124:C125"/>
    <mergeCell ref="D124:D125"/>
    <mergeCell ref="E124:E125"/>
    <mergeCell ref="F124:F125"/>
    <mergeCell ref="G124:G125"/>
    <mergeCell ref="G122:G123"/>
    <mergeCell ref="H122:H123"/>
    <mergeCell ref="I122:I123"/>
    <mergeCell ref="J122:J123"/>
    <mergeCell ref="Q122:Q123"/>
    <mergeCell ref="R122:R123"/>
    <mergeCell ref="A122:A123"/>
    <mergeCell ref="B122:B123"/>
    <mergeCell ref="C122:C123"/>
    <mergeCell ref="D122:D123"/>
    <mergeCell ref="E122:E123"/>
    <mergeCell ref="F122:F123"/>
    <mergeCell ref="J118:J121"/>
    <mergeCell ref="Q118:Q121"/>
    <mergeCell ref="R118:R121"/>
    <mergeCell ref="S118:S121"/>
    <mergeCell ref="T118:T121"/>
    <mergeCell ref="U118:U121"/>
    <mergeCell ref="U113:U114"/>
    <mergeCell ref="A118:A121"/>
    <mergeCell ref="B118:B121"/>
    <mergeCell ref="C118:C121"/>
    <mergeCell ref="D118:D121"/>
    <mergeCell ref="E118:E121"/>
    <mergeCell ref="F118:F121"/>
    <mergeCell ref="G118:G121"/>
    <mergeCell ref="H118:H121"/>
    <mergeCell ref="I118:I121"/>
    <mergeCell ref="F113:F114"/>
    <mergeCell ref="G113:G114"/>
    <mergeCell ref="H113:H114"/>
    <mergeCell ref="R113:R114"/>
    <mergeCell ref="S113:S114"/>
    <mergeCell ref="T113:T114"/>
    <mergeCell ref="H111:H112"/>
    <mergeCell ref="R111:R112"/>
    <mergeCell ref="S111:S112"/>
    <mergeCell ref="T111:T112"/>
    <mergeCell ref="U111:U112"/>
    <mergeCell ref="A113:A114"/>
    <mergeCell ref="B113:B114"/>
    <mergeCell ref="C113:C114"/>
    <mergeCell ref="D113:D114"/>
    <mergeCell ref="E113:E114"/>
    <mergeCell ref="S88:S90"/>
    <mergeCell ref="T88:T90"/>
    <mergeCell ref="U88:U90"/>
    <mergeCell ref="A111:A112"/>
    <mergeCell ref="B111:B112"/>
    <mergeCell ref="C111:C112"/>
    <mergeCell ref="D111:D112"/>
    <mergeCell ref="E111:E112"/>
    <mergeCell ref="F111:F112"/>
    <mergeCell ref="G111:G112"/>
    <mergeCell ref="G88:G90"/>
    <mergeCell ref="H88:H90"/>
    <mergeCell ref="I88:I90"/>
    <mergeCell ref="J88:J90"/>
    <mergeCell ref="Q88:Q90"/>
    <mergeCell ref="R88:R90"/>
    <mergeCell ref="R86:R87"/>
    <mergeCell ref="S86:S87"/>
    <mergeCell ref="T86:T87"/>
    <mergeCell ref="U86:U87"/>
    <mergeCell ref="A88:A90"/>
    <mergeCell ref="B88:B90"/>
    <mergeCell ref="C88:C90"/>
    <mergeCell ref="D88:D90"/>
    <mergeCell ref="E88:E90"/>
    <mergeCell ref="F88:F90"/>
    <mergeCell ref="F86:F87"/>
    <mergeCell ref="G86:G87"/>
    <mergeCell ref="H86:H87"/>
    <mergeCell ref="I86:I87"/>
    <mergeCell ref="J86:J87"/>
    <mergeCell ref="Q86:Q87"/>
    <mergeCell ref="G73:G74"/>
    <mergeCell ref="H73:H74"/>
    <mergeCell ref="R73:R74"/>
    <mergeCell ref="S73:S74"/>
    <mergeCell ref="T73:T74"/>
    <mergeCell ref="A86:A87"/>
    <mergeCell ref="B86:B87"/>
    <mergeCell ref="C86:C87"/>
    <mergeCell ref="D86:D87"/>
    <mergeCell ref="E86:E87"/>
    <mergeCell ref="A73:A74"/>
    <mergeCell ref="B73:B74"/>
    <mergeCell ref="C73:C74"/>
    <mergeCell ref="D73:D74"/>
    <mergeCell ref="E73:E74"/>
    <mergeCell ref="F73:F74"/>
    <mergeCell ref="G70:G71"/>
    <mergeCell ref="H70:H71"/>
    <mergeCell ref="Q70:Q71"/>
    <mergeCell ref="R70:R71"/>
    <mergeCell ref="S70:S71"/>
    <mergeCell ref="T70:T71"/>
    <mergeCell ref="A70:A71"/>
    <mergeCell ref="B70:B71"/>
    <mergeCell ref="C70:C71"/>
    <mergeCell ref="D70:D71"/>
    <mergeCell ref="E70:E71"/>
    <mergeCell ref="F70:F71"/>
    <mergeCell ref="I57:I61"/>
    <mergeCell ref="J57:J61"/>
    <mergeCell ref="R57:R61"/>
    <mergeCell ref="S57:S61"/>
    <mergeCell ref="T57:T61"/>
    <mergeCell ref="U57:U61"/>
    <mergeCell ref="S52:S53"/>
    <mergeCell ref="T52:T53"/>
    <mergeCell ref="A57:A61"/>
    <mergeCell ref="B57:B61"/>
    <mergeCell ref="C57:C61"/>
    <mergeCell ref="D57:D61"/>
    <mergeCell ref="E57:E61"/>
    <mergeCell ref="F57:F61"/>
    <mergeCell ref="G57:G61"/>
    <mergeCell ref="H57:H61"/>
    <mergeCell ref="G52:G53"/>
    <mergeCell ref="H52:H53"/>
    <mergeCell ref="I52:I53"/>
    <mergeCell ref="J52:J53"/>
    <mergeCell ref="Q52:Q53"/>
    <mergeCell ref="R52:R53"/>
    <mergeCell ref="A52:A53"/>
    <mergeCell ref="B52:B53"/>
    <mergeCell ref="C52:C53"/>
    <mergeCell ref="D52:D53"/>
    <mergeCell ref="E52:E53"/>
    <mergeCell ref="F52:F53"/>
    <mergeCell ref="J46:J50"/>
    <mergeCell ref="Q46:Q50"/>
    <mergeCell ref="R46:R51"/>
    <mergeCell ref="S46:S51"/>
    <mergeCell ref="T46:T51"/>
    <mergeCell ref="U46:U49"/>
    <mergeCell ref="U44:U45"/>
    <mergeCell ref="A46:A51"/>
    <mergeCell ref="B46:B51"/>
    <mergeCell ref="C46:C51"/>
    <mergeCell ref="D46:D51"/>
    <mergeCell ref="E46:E51"/>
    <mergeCell ref="F46:F51"/>
    <mergeCell ref="G46:G51"/>
    <mergeCell ref="H46:H51"/>
    <mergeCell ref="I46:I50"/>
    <mergeCell ref="I44:I45"/>
    <mergeCell ref="J44:J45"/>
    <mergeCell ref="Q44:Q45"/>
    <mergeCell ref="R44:R45"/>
    <mergeCell ref="S44:S45"/>
    <mergeCell ref="T44:T45"/>
    <mergeCell ref="S42:S43"/>
    <mergeCell ref="T42:T43"/>
    <mergeCell ref="A44:A45"/>
    <mergeCell ref="B44:B45"/>
    <mergeCell ref="C44:C45"/>
    <mergeCell ref="D44:D45"/>
    <mergeCell ref="E44:E45"/>
    <mergeCell ref="F44:F45"/>
    <mergeCell ref="G44:G45"/>
    <mergeCell ref="H44:H45"/>
    <mergeCell ref="G42:G43"/>
    <mergeCell ref="H42:H43"/>
    <mergeCell ref="I42:I43"/>
    <mergeCell ref="J42:J43"/>
    <mergeCell ref="Q42:Q43"/>
    <mergeCell ref="R42:R43"/>
    <mergeCell ref="A42:A43"/>
    <mergeCell ref="B42:B43"/>
    <mergeCell ref="C42:C43"/>
    <mergeCell ref="D42:D43"/>
    <mergeCell ref="E42:E43"/>
    <mergeCell ref="F42:F43"/>
    <mergeCell ref="J36:J40"/>
    <mergeCell ref="Q36:Q41"/>
    <mergeCell ref="R36:R41"/>
    <mergeCell ref="S36:S41"/>
    <mergeCell ref="T36:T41"/>
    <mergeCell ref="U36:U41"/>
    <mergeCell ref="U34:U35"/>
    <mergeCell ref="A36:A41"/>
    <mergeCell ref="B36:B41"/>
    <mergeCell ref="C36:C41"/>
    <mergeCell ref="D36:D41"/>
    <mergeCell ref="E36:E41"/>
    <mergeCell ref="F36:F41"/>
    <mergeCell ref="G36:G41"/>
    <mergeCell ref="H36:H41"/>
    <mergeCell ref="I36:I40"/>
    <mergeCell ref="G34:G35"/>
    <mergeCell ref="H34:H35"/>
    <mergeCell ref="Q34:Q35"/>
    <mergeCell ref="R34:R35"/>
    <mergeCell ref="S34:S35"/>
    <mergeCell ref="T34:T35"/>
    <mergeCell ref="A34:A35"/>
    <mergeCell ref="B34:B35"/>
    <mergeCell ref="C34:C35"/>
    <mergeCell ref="D34:D35"/>
    <mergeCell ref="E34:E35"/>
    <mergeCell ref="F34:F35"/>
    <mergeCell ref="J32:J33"/>
    <mergeCell ref="Q32:Q33"/>
    <mergeCell ref="R32:R33"/>
    <mergeCell ref="S32:S33"/>
    <mergeCell ref="T32:T33"/>
    <mergeCell ref="U32:U33"/>
    <mergeCell ref="U29:U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I29:I31"/>
    <mergeCell ref="J29:J31"/>
    <mergeCell ref="Q29:Q31"/>
    <mergeCell ref="R29:R31"/>
    <mergeCell ref="S29:S31"/>
    <mergeCell ref="T29:T31"/>
    <mergeCell ref="T23:T25"/>
    <mergeCell ref="U23:U25"/>
    <mergeCell ref="A29:A31"/>
    <mergeCell ref="B29:B31"/>
    <mergeCell ref="C29:C31"/>
    <mergeCell ref="D29:D31"/>
    <mergeCell ref="E29:E31"/>
    <mergeCell ref="F29:F31"/>
    <mergeCell ref="G29:G31"/>
    <mergeCell ref="H29:H31"/>
    <mergeCell ref="H23:H25"/>
    <mergeCell ref="I23:I25"/>
    <mergeCell ref="J23:J25"/>
    <mergeCell ref="Q23:Q25"/>
    <mergeCell ref="R23:R25"/>
    <mergeCell ref="S23:S25"/>
    <mergeCell ref="S19:S22"/>
    <mergeCell ref="T19:T22"/>
    <mergeCell ref="U19:U22"/>
    <mergeCell ref="A23:A25"/>
    <mergeCell ref="B23:B25"/>
    <mergeCell ref="C23:C25"/>
    <mergeCell ref="D23:D25"/>
    <mergeCell ref="E23:E25"/>
    <mergeCell ref="F23:F25"/>
    <mergeCell ref="G23:G25"/>
    <mergeCell ref="G19:G22"/>
    <mergeCell ref="H19:H22"/>
    <mergeCell ref="I19:I20"/>
    <mergeCell ref="J19:J20"/>
    <mergeCell ref="Q19:Q20"/>
    <mergeCell ref="R19:R22"/>
    <mergeCell ref="A19:A22"/>
    <mergeCell ref="B19:B22"/>
    <mergeCell ref="C19:C22"/>
    <mergeCell ref="D19:D22"/>
    <mergeCell ref="E19:E22"/>
    <mergeCell ref="F19:F22"/>
    <mergeCell ref="I15:I16"/>
    <mergeCell ref="J15:J16"/>
    <mergeCell ref="R15:R16"/>
    <mergeCell ref="S15:S16"/>
    <mergeCell ref="T15:T16"/>
    <mergeCell ref="U15:U16"/>
    <mergeCell ref="T13:T14"/>
    <mergeCell ref="U13:U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R13:R14"/>
    <mergeCell ref="S13:S14"/>
    <mergeCell ref="A13:A14"/>
    <mergeCell ref="B13:B14"/>
    <mergeCell ref="C13:C14"/>
    <mergeCell ref="D13:D14"/>
    <mergeCell ref="E13:E14"/>
    <mergeCell ref="F13:F14"/>
    <mergeCell ref="J10:J11"/>
    <mergeCell ref="Q10:Q11"/>
    <mergeCell ref="R10:R11"/>
    <mergeCell ref="S10:S11"/>
    <mergeCell ref="T10:T11"/>
    <mergeCell ref="U10:U11"/>
    <mergeCell ref="U7:U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I7:I8"/>
    <mergeCell ref="J7:J8"/>
    <mergeCell ref="Q7:Q8"/>
    <mergeCell ref="R7:R8"/>
    <mergeCell ref="S7:S8"/>
    <mergeCell ref="T7:T8"/>
    <mergeCell ref="T3:T6"/>
    <mergeCell ref="U3:U6"/>
    <mergeCell ref="A7:A8"/>
    <mergeCell ref="B7:B8"/>
    <mergeCell ref="C7:C8"/>
    <mergeCell ref="D7:D8"/>
    <mergeCell ref="E7:E8"/>
    <mergeCell ref="F7:F8"/>
    <mergeCell ref="G7:G8"/>
    <mergeCell ref="H7:H8"/>
    <mergeCell ref="H3:H6"/>
    <mergeCell ref="I3:I6"/>
    <mergeCell ref="J3:J6"/>
    <mergeCell ref="Q3:Q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58 F3 F239:F245 F75:F86 F7 F220:F237 F137:F156 F44 F26:F29 F122 F173 F15 F88 I54:J57 F46 F162:F167 F194:F217 F169:F170 F9:F10 F32 F12:F13 F124 F176:F178 F130:F134 Q26 F52 F23 I158:J158 I3:J3 I239:J245 I91:J118 I7:J7 I220:J237 I137:J156 I126:J134 I44:J44 I26:J29 I122:J122 I173:J173 I15:J15 I88:J88 I34:J36 I46:J46 I162:J167 I62:J86 I169:J170 I9:J10 I32:J32 I12:J13 I124:J124 I176:J178 I52:J52 I23:J23 I17:J19 F17:F19 F54:F57 F34 F36 F186 F126 F183:F184 F62:F70 F73 F188:F192 I183:J217 I181:J181 F181 F115:F118 F91:F111 F113" xr:uid="{F3497428-C0D0-46BC-9AE1-8476CC2B7138}">
      <formula1>"Approval, Information"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abSelected="1" topLeftCell="B1" zoomScale="80" zoomScaleNormal="130" workbookViewId="0">
      <pane xSplit="16" ySplit="3" topLeftCell="DW14" activePane="bottomRight" state="frozen"/>
      <selection activeCell="B1" sqref="B1"/>
      <selection pane="topRight" activeCell="Q1" sqref="Q1"/>
      <selection pane="bottomLeft" activeCell="B4" sqref="B4"/>
      <selection pane="bottomRight" activeCell="EA9" sqref="EA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32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228">
        <f>'Construction DASHBOARD'!B6</f>
        <v>45867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477" t="s">
        <v>96</v>
      </c>
      <c r="C2" s="478" t="s">
        <v>97</v>
      </c>
      <c r="D2" s="479" t="s">
        <v>98</v>
      </c>
      <c r="E2" s="474" t="s">
        <v>306</v>
      </c>
      <c r="F2" s="474" t="s">
        <v>307</v>
      </c>
      <c r="G2" s="484" t="s">
        <v>432</v>
      </c>
      <c r="H2" s="474" t="s">
        <v>427</v>
      </c>
      <c r="I2" s="474" t="s">
        <v>428</v>
      </c>
      <c r="J2" s="478" t="s">
        <v>3</v>
      </c>
      <c r="K2" s="472" t="s">
        <v>1</v>
      </c>
      <c r="L2" s="476" t="s">
        <v>100</v>
      </c>
      <c r="M2" s="482" t="s">
        <v>404</v>
      </c>
      <c r="N2" s="474" t="s">
        <v>102</v>
      </c>
      <c r="O2" s="474" t="s">
        <v>103</v>
      </c>
      <c r="P2" s="474" t="s">
        <v>255</v>
      </c>
      <c r="Q2" s="472" t="s">
        <v>104</v>
      </c>
      <c r="R2" s="472" t="s">
        <v>105</v>
      </c>
      <c r="S2" s="473" t="s">
        <v>254</v>
      </c>
      <c r="T2" s="488" t="s">
        <v>409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477"/>
      <c r="C3" s="478"/>
      <c r="D3" s="479"/>
      <c r="E3" s="474"/>
      <c r="F3" s="474"/>
      <c r="G3" s="485"/>
      <c r="H3" s="474"/>
      <c r="I3" s="474"/>
      <c r="J3" s="478"/>
      <c r="K3" s="472"/>
      <c r="L3" s="476"/>
      <c r="M3" s="483"/>
      <c r="N3" s="474"/>
      <c r="O3" s="474"/>
      <c r="P3" s="474"/>
      <c r="Q3" s="472"/>
      <c r="R3" s="472"/>
      <c r="S3" s="473"/>
      <c r="T3" s="488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475" t="s">
        <v>106</v>
      </c>
      <c r="C4" s="60">
        <v>1</v>
      </c>
      <c r="D4" s="229" t="s">
        <v>405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0.8470474346563408</v>
      </c>
      <c r="Q4" s="205">
        <f>S4</f>
        <v>875</v>
      </c>
      <c r="R4" s="205">
        <f t="shared" ref="R4:R27" si="5">K4-Q4</f>
        <v>158</v>
      </c>
      <c r="S4" s="158">
        <f t="shared" ref="S4:S27" si="6">SUM(U4:XFD4)</f>
        <v>875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</row>
    <row r="5" spans="2:147" s="23" customFormat="1" x14ac:dyDescent="0.35">
      <c r="B5" s="475"/>
      <c r="C5" s="60">
        <v>2</v>
      </c>
      <c r="D5" s="229" t="s">
        <v>406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</row>
    <row r="6" spans="2:147" x14ac:dyDescent="0.4">
      <c r="B6" s="475" t="s">
        <v>19</v>
      </c>
      <c r="C6" s="60">
        <v>3</v>
      </c>
      <c r="D6" s="230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</row>
    <row r="7" spans="2:147" x14ac:dyDescent="0.4">
      <c r="B7" s="475"/>
      <c r="C7" s="60">
        <v>4</v>
      </c>
      <c r="D7" s="230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</row>
    <row r="8" spans="2:147" x14ac:dyDescent="0.4">
      <c r="B8" s="475"/>
      <c r="C8" s="60">
        <v>5</v>
      </c>
      <c r="D8" s="230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</row>
    <row r="9" spans="2:147" x14ac:dyDescent="0.4">
      <c r="B9" s="475"/>
      <c r="C9" s="60">
        <v>6</v>
      </c>
      <c r="D9" s="230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</row>
    <row r="10" spans="2:147" x14ac:dyDescent="0.4">
      <c r="B10" s="475"/>
      <c r="C10" s="60">
        <v>7</v>
      </c>
      <c r="D10" s="230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</row>
    <row r="11" spans="2:147" x14ac:dyDescent="0.4">
      <c r="B11" s="475"/>
      <c r="C11" s="60">
        <v>8</v>
      </c>
      <c r="D11" s="230" t="s">
        <v>833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180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0.88888888888888884</v>
      </c>
      <c r="Q11" s="205">
        <f>S11</f>
        <v>160</v>
      </c>
      <c r="R11" s="205">
        <f t="shared" si="5"/>
        <v>20</v>
      </c>
      <c r="S11" s="158">
        <f t="shared" si="6"/>
        <v>160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</row>
    <row r="12" spans="2:147" x14ac:dyDescent="0.4">
      <c r="B12" s="475" t="s">
        <v>109</v>
      </c>
      <c r="C12" s="60">
        <v>9</v>
      </c>
      <c r="D12" s="230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13</v>
      </c>
      <c r="K12" s="201">
        <v>116500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7.002575107296137E-2</v>
      </c>
      <c r="Q12" s="205">
        <f>S12</f>
        <v>8158</v>
      </c>
      <c r="R12" s="205">
        <f t="shared" si="5"/>
        <v>108342</v>
      </c>
      <c r="S12" s="65">
        <f>SUM(U12:XFD12)</f>
        <v>8158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</row>
    <row r="13" spans="2:147" x14ac:dyDescent="0.4">
      <c r="B13" s="475"/>
      <c r="C13" s="60">
        <v>10</v>
      </c>
      <c r="D13" s="230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13</v>
      </c>
      <c r="K13" s="201">
        <v>116500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>Q13/K13</f>
        <v>3.4128755364806869E-2</v>
      </c>
      <c r="Q13" s="205">
        <f t="shared" ref="Q13:Q14" si="10">S13</f>
        <v>3976</v>
      </c>
      <c r="R13" s="205">
        <f t="shared" si="5"/>
        <v>112524</v>
      </c>
      <c r="S13" s="65">
        <f t="shared" si="6"/>
        <v>3976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</row>
    <row r="14" spans="2:147" x14ac:dyDescent="0.4">
      <c r="B14" s="475"/>
      <c r="C14" s="60">
        <v>11</v>
      </c>
      <c r="D14" s="230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1">E14</f>
        <v>45858</v>
      </c>
      <c r="I14" s="207">
        <f t="shared" ref="I14:I15" si="12">F14</f>
        <v>45986</v>
      </c>
      <c r="J14" s="200" t="s">
        <v>13</v>
      </c>
      <c r="K14" s="201">
        <v>116500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ref="P14:P33" si="13">IFERROR(SUMIF($U$2:$AT$2,"&lt;="&amp;$D$1,U14:BN14)/K14,"-")</f>
        <v>0</v>
      </c>
      <c r="Q14" s="205">
        <f t="shared" si="10"/>
        <v>311</v>
      </c>
      <c r="R14" s="205">
        <f t="shared" si="5"/>
        <v>116189</v>
      </c>
      <c r="S14" s="65">
        <f t="shared" si="6"/>
        <v>311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</row>
    <row r="15" spans="2:147" x14ac:dyDescent="0.4">
      <c r="B15" s="475"/>
      <c r="C15" s="60">
        <v>12</v>
      </c>
      <c r="D15" s="230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1"/>
        <v>45863</v>
      </c>
      <c r="I15" s="207">
        <f t="shared" si="12"/>
        <v>45995</v>
      </c>
      <c r="J15" s="200" t="s">
        <v>13</v>
      </c>
      <c r="K15" s="201">
        <v>116500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3"/>
        <v>0</v>
      </c>
      <c r="Q15" s="205">
        <f t="shared" ref="Q14:Q40" si="14">S15</f>
        <v>0</v>
      </c>
      <c r="R15" s="205">
        <f t="shared" si="5"/>
        <v>116500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</row>
    <row r="16" spans="2:147" x14ac:dyDescent="0.4">
      <c r="B16" s="475" t="s">
        <v>114</v>
      </c>
      <c r="C16" s="60">
        <v>13</v>
      </c>
      <c r="D16" s="230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1"/>
        <v>45821</v>
      </c>
      <c r="I16" s="207">
        <f t="shared" si="11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3"/>
        <v>0</v>
      </c>
      <c r="Q16" s="205">
        <f t="shared" si="14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</row>
    <row r="17" spans="2:138" x14ac:dyDescent="0.4">
      <c r="B17" s="475"/>
      <c r="C17" s="60">
        <v>14</v>
      </c>
      <c r="D17" s="230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1"/>
        <v>45840</v>
      </c>
      <c r="I17" s="207">
        <f t="shared" si="11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3"/>
        <v>0</v>
      </c>
      <c r="Q17" s="205">
        <f t="shared" si="14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</row>
    <row r="18" spans="2:138" x14ac:dyDescent="0.4">
      <c r="B18" s="475"/>
      <c r="C18" s="60">
        <v>15</v>
      </c>
      <c r="D18" s="230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1"/>
        <v>45847</v>
      </c>
      <c r="I18" s="207">
        <f t="shared" si="11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3"/>
        <v>0</v>
      </c>
      <c r="Q18" s="205">
        <f t="shared" si="14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</row>
    <row r="19" spans="2:138" x14ac:dyDescent="0.4">
      <c r="B19" s="475"/>
      <c r="C19" s="60">
        <v>16</v>
      </c>
      <c r="D19" s="230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1"/>
        <v>45862</v>
      </c>
      <c r="I19" s="207">
        <f t="shared" si="11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3"/>
        <v>0</v>
      </c>
      <c r="Q19" s="205">
        <f t="shared" si="14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</row>
    <row r="20" spans="2:138" x14ac:dyDescent="0.4">
      <c r="B20" s="475"/>
      <c r="C20" s="60">
        <v>17</v>
      </c>
      <c r="D20" s="230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1"/>
        <v>45883</v>
      </c>
      <c r="I20" s="207">
        <f t="shared" si="11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3"/>
        <v>0</v>
      </c>
      <c r="Q20" s="205">
        <f t="shared" si="14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</row>
    <row r="21" spans="2:138" x14ac:dyDescent="0.4">
      <c r="B21" s="475"/>
      <c r="C21" s="60">
        <v>18</v>
      </c>
      <c r="D21" s="230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5">E21</f>
        <v>45838</v>
      </c>
      <c r="I21" s="207">
        <f t="shared" ref="I21:I27" si="16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3"/>
        <v>0</v>
      </c>
      <c r="Q21" s="205">
        <f t="shared" si="14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</row>
    <row r="22" spans="2:138" x14ac:dyDescent="0.4">
      <c r="B22" s="475"/>
      <c r="C22" s="60">
        <v>19</v>
      </c>
      <c r="D22" s="230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5"/>
        <v>45840</v>
      </c>
      <c r="I22" s="207">
        <f t="shared" si="16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3"/>
        <v>0</v>
      </c>
      <c r="Q22" s="205">
        <f t="shared" si="14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</row>
    <row r="23" spans="2:138" x14ac:dyDescent="0.4">
      <c r="B23" s="475"/>
      <c r="C23" s="60">
        <v>20</v>
      </c>
      <c r="D23" s="230" t="s">
        <v>128</v>
      </c>
      <c r="E23" s="207">
        <f t="shared" ref="E23:F25" si="17">E22+7</f>
        <v>45847</v>
      </c>
      <c r="F23" s="207">
        <f t="shared" si="17"/>
        <v>45934</v>
      </c>
      <c r="G23" s="199">
        <f t="shared" si="8"/>
        <v>87</v>
      </c>
      <c r="H23" s="207">
        <f t="shared" si="15"/>
        <v>45847</v>
      </c>
      <c r="I23" s="207">
        <f t="shared" si="16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3"/>
        <v>0</v>
      </c>
      <c r="Q23" s="205">
        <f t="shared" si="14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</row>
    <row r="24" spans="2:138" x14ac:dyDescent="0.4">
      <c r="B24" s="475"/>
      <c r="C24" s="60">
        <v>21</v>
      </c>
      <c r="D24" s="230" t="s">
        <v>129</v>
      </c>
      <c r="E24" s="207">
        <f t="shared" si="17"/>
        <v>45854</v>
      </c>
      <c r="F24" s="207">
        <f t="shared" si="17"/>
        <v>45941</v>
      </c>
      <c r="G24" s="199">
        <f t="shared" si="8"/>
        <v>87</v>
      </c>
      <c r="H24" s="207">
        <f t="shared" si="15"/>
        <v>45854</v>
      </c>
      <c r="I24" s="207">
        <f t="shared" si="16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3"/>
        <v>0</v>
      </c>
      <c r="Q24" s="205">
        <f t="shared" si="14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</row>
    <row r="25" spans="2:138" x14ac:dyDescent="0.4">
      <c r="B25" s="475"/>
      <c r="C25" s="60">
        <v>22</v>
      </c>
      <c r="D25" s="230" t="s">
        <v>130</v>
      </c>
      <c r="E25" s="207">
        <f t="shared" si="17"/>
        <v>45861</v>
      </c>
      <c r="F25" s="207">
        <f t="shared" si="17"/>
        <v>45948</v>
      </c>
      <c r="G25" s="199">
        <f t="shared" si="8"/>
        <v>87</v>
      </c>
      <c r="H25" s="207">
        <f t="shared" si="15"/>
        <v>45861</v>
      </c>
      <c r="I25" s="207">
        <f t="shared" si="16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3"/>
        <v>0</v>
      </c>
      <c r="Q25" s="205">
        <f t="shared" si="14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</row>
    <row r="26" spans="2:138" x14ac:dyDescent="0.4">
      <c r="B26" s="475"/>
      <c r="C26" s="60">
        <v>23</v>
      </c>
      <c r="D26" s="235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5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3"/>
        <v>0</v>
      </c>
      <c r="Q26" s="205">
        <f t="shared" si="14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</row>
    <row r="27" spans="2:138" x14ac:dyDescent="0.4">
      <c r="B27" s="475"/>
      <c r="C27" s="233">
        <v>24</v>
      </c>
      <c r="D27" s="237" t="s">
        <v>132</v>
      </c>
      <c r="E27" s="234">
        <f>F27-30</f>
        <v>45942</v>
      </c>
      <c r="F27" s="207">
        <v>45972</v>
      </c>
      <c r="G27" s="199">
        <f t="shared" si="8"/>
        <v>30</v>
      </c>
      <c r="H27" s="207">
        <f t="shared" si="15"/>
        <v>45942</v>
      </c>
      <c r="I27" s="207">
        <f t="shared" si="16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3"/>
        <v>0</v>
      </c>
      <c r="Q27" s="205">
        <f t="shared" si="14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</row>
    <row r="28" spans="2:138" x14ac:dyDescent="0.4">
      <c r="B28" s="486" t="s">
        <v>152</v>
      </c>
      <c r="C28" s="233">
        <v>49</v>
      </c>
      <c r="D28" s="237" t="s">
        <v>159</v>
      </c>
      <c r="E28" s="234">
        <v>45858</v>
      </c>
      <c r="F28" s="207">
        <v>45945</v>
      </c>
      <c r="G28" s="199">
        <f t="shared" ref="G28:G91" si="18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9">IF(OR(M28="",L28=""),"",INT(M28-L28+1))</f>
        <v/>
      </c>
      <c r="O28" s="203" t="str">
        <f t="shared" ref="O28:O42" si="20">IFERROR(K28/N28,"-")</f>
        <v>-</v>
      </c>
      <c r="P28" s="206" t="str">
        <f t="shared" si="13"/>
        <v>-</v>
      </c>
      <c r="Q28" s="205">
        <f t="shared" si="14"/>
        <v>0</v>
      </c>
      <c r="R28" s="205">
        <f t="shared" ref="R28:R42" si="21">K28-Q28</f>
        <v>0</v>
      </c>
      <c r="S28" s="65">
        <f t="shared" ref="S28:S42" si="22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</row>
    <row r="29" spans="2:138" x14ac:dyDescent="0.4">
      <c r="B29" s="487"/>
      <c r="C29" s="233">
        <v>50</v>
      </c>
      <c r="D29" s="237" t="s">
        <v>160</v>
      </c>
      <c r="E29" s="234">
        <v>45863</v>
      </c>
      <c r="F29" s="207">
        <v>45950</v>
      </c>
      <c r="G29" s="199">
        <f t="shared" si="18"/>
        <v>87</v>
      </c>
      <c r="H29" s="207">
        <f t="shared" ref="H29:H33" si="23">E29</f>
        <v>45863</v>
      </c>
      <c r="I29" s="207">
        <f t="shared" ref="I29:I33" si="24">F29</f>
        <v>45950</v>
      </c>
      <c r="J29" s="200" t="s">
        <v>154</v>
      </c>
      <c r="K29" s="201"/>
      <c r="L29" s="202"/>
      <c r="M29" s="202"/>
      <c r="N29" s="199" t="str">
        <f t="shared" si="19"/>
        <v/>
      </c>
      <c r="O29" s="203" t="str">
        <f t="shared" si="20"/>
        <v>-</v>
      </c>
      <c r="P29" s="206" t="str">
        <f t="shared" si="13"/>
        <v>-</v>
      </c>
      <c r="Q29" s="205">
        <f t="shared" si="14"/>
        <v>0</v>
      </c>
      <c r="R29" s="205">
        <f t="shared" si="21"/>
        <v>0</v>
      </c>
      <c r="S29" s="65">
        <f t="shared" si="22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</row>
    <row r="30" spans="2:138" x14ac:dyDescent="0.4">
      <c r="B30" s="487"/>
      <c r="C30" s="233">
        <v>51</v>
      </c>
      <c r="D30" s="237" t="s">
        <v>161</v>
      </c>
      <c r="E30" s="234">
        <v>45966</v>
      </c>
      <c r="F30" s="207">
        <v>46001</v>
      </c>
      <c r="G30" s="199">
        <f t="shared" si="18"/>
        <v>35</v>
      </c>
      <c r="H30" s="207">
        <f t="shared" si="23"/>
        <v>45966</v>
      </c>
      <c r="I30" s="207">
        <f t="shared" si="24"/>
        <v>46001</v>
      </c>
      <c r="J30" s="200" t="s">
        <v>154</v>
      </c>
      <c r="K30" s="201"/>
      <c r="L30" s="202"/>
      <c r="M30" s="202"/>
      <c r="N30" s="199" t="str">
        <f t="shared" si="19"/>
        <v/>
      </c>
      <c r="O30" s="203" t="str">
        <f t="shared" si="20"/>
        <v>-</v>
      </c>
      <c r="P30" s="206" t="str">
        <f t="shared" si="13"/>
        <v>-</v>
      </c>
      <c r="Q30" s="205">
        <f t="shared" si="14"/>
        <v>0</v>
      </c>
      <c r="R30" s="205">
        <f t="shared" si="21"/>
        <v>0</v>
      </c>
      <c r="S30" s="65">
        <f t="shared" si="22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</row>
    <row r="31" spans="2:138" x14ac:dyDescent="0.4">
      <c r="B31" s="487"/>
      <c r="C31" s="233">
        <v>52</v>
      </c>
      <c r="D31" s="237" t="s">
        <v>162</v>
      </c>
      <c r="E31" s="234">
        <v>45981</v>
      </c>
      <c r="F31" s="207">
        <v>46009</v>
      </c>
      <c r="G31" s="199">
        <f t="shared" si="18"/>
        <v>28</v>
      </c>
      <c r="H31" s="207">
        <f t="shared" si="23"/>
        <v>45981</v>
      </c>
      <c r="I31" s="207">
        <f t="shared" si="24"/>
        <v>46009</v>
      </c>
      <c r="J31" s="200" t="s">
        <v>154</v>
      </c>
      <c r="K31" s="201"/>
      <c r="L31" s="202"/>
      <c r="M31" s="202"/>
      <c r="N31" s="199" t="str">
        <f t="shared" si="19"/>
        <v/>
      </c>
      <c r="O31" s="203" t="str">
        <f t="shared" si="20"/>
        <v>-</v>
      </c>
      <c r="P31" s="206" t="str">
        <f t="shared" si="13"/>
        <v>-</v>
      </c>
      <c r="Q31" s="205">
        <f t="shared" si="14"/>
        <v>0</v>
      </c>
      <c r="R31" s="205">
        <f t="shared" si="21"/>
        <v>0</v>
      </c>
      <c r="S31" s="65">
        <f t="shared" si="22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</row>
    <row r="32" spans="2:138" x14ac:dyDescent="0.4">
      <c r="B32" s="487"/>
      <c r="C32" s="60">
        <v>53</v>
      </c>
      <c r="D32" s="236" t="s">
        <v>163</v>
      </c>
      <c r="E32" s="207">
        <v>45971</v>
      </c>
      <c r="F32" s="207">
        <v>46006</v>
      </c>
      <c r="G32" s="199">
        <f t="shared" si="18"/>
        <v>35</v>
      </c>
      <c r="H32" s="207">
        <f t="shared" si="23"/>
        <v>45971</v>
      </c>
      <c r="I32" s="207">
        <f t="shared" si="24"/>
        <v>46006</v>
      </c>
      <c r="J32" s="200" t="s">
        <v>154</v>
      </c>
      <c r="K32" s="201"/>
      <c r="L32" s="202"/>
      <c r="M32" s="202"/>
      <c r="N32" s="199" t="str">
        <f t="shared" si="19"/>
        <v/>
      </c>
      <c r="O32" s="203" t="str">
        <f t="shared" si="20"/>
        <v>-</v>
      </c>
      <c r="P32" s="206" t="str">
        <f t="shared" si="13"/>
        <v>-</v>
      </c>
      <c r="Q32" s="205">
        <f t="shared" si="14"/>
        <v>0</v>
      </c>
      <c r="R32" s="205">
        <f t="shared" si="21"/>
        <v>0</v>
      </c>
      <c r="S32" s="65">
        <f t="shared" si="22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</row>
    <row r="33" spans="2:138" x14ac:dyDescent="0.4">
      <c r="B33" s="487"/>
      <c r="C33" s="60">
        <v>54</v>
      </c>
      <c r="D33" s="230" t="s">
        <v>164</v>
      </c>
      <c r="E33" s="207">
        <v>45996</v>
      </c>
      <c r="F33" s="207">
        <v>46008</v>
      </c>
      <c r="G33" s="199">
        <f t="shared" si="18"/>
        <v>12</v>
      </c>
      <c r="H33" s="207">
        <f t="shared" si="23"/>
        <v>45996</v>
      </c>
      <c r="I33" s="207">
        <f t="shared" si="24"/>
        <v>46008</v>
      </c>
      <c r="J33" s="200" t="s">
        <v>154</v>
      </c>
      <c r="K33" s="201"/>
      <c r="L33" s="202"/>
      <c r="M33" s="202"/>
      <c r="N33" s="199" t="str">
        <f t="shared" si="19"/>
        <v/>
      </c>
      <c r="O33" s="203" t="str">
        <f t="shared" si="20"/>
        <v>-</v>
      </c>
      <c r="P33" s="206" t="str">
        <f t="shared" si="13"/>
        <v>-</v>
      </c>
      <c r="Q33" s="205">
        <f t="shared" si="14"/>
        <v>0</v>
      </c>
      <c r="R33" s="205">
        <f t="shared" si="21"/>
        <v>0</v>
      </c>
      <c r="S33" s="65">
        <f t="shared" si="22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</row>
    <row r="34" spans="2:138" x14ac:dyDescent="0.4">
      <c r="B34" s="487"/>
      <c r="C34" s="60">
        <v>55</v>
      </c>
      <c r="D34" s="230" t="s">
        <v>169</v>
      </c>
      <c r="E34" s="207">
        <v>45772</v>
      </c>
      <c r="F34" s="207">
        <v>45823</v>
      </c>
      <c r="G34" s="209">
        <f t="shared" si="18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9"/>
        <v/>
      </c>
      <c r="O34" s="203" t="str">
        <f t="shared" si="20"/>
        <v>-</v>
      </c>
      <c r="P34" s="206">
        <f>Q34/K34</f>
        <v>0.1489047619047619</v>
      </c>
      <c r="Q34" s="205">
        <f t="shared" si="14"/>
        <v>3127</v>
      </c>
      <c r="R34" s="205">
        <f t="shared" si="21"/>
        <v>17873</v>
      </c>
      <c r="S34" s="65">
        <f t="shared" si="22"/>
        <v>3127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0</v>
      </c>
      <c r="DQ34" s="56">
        <v>0</v>
      </c>
      <c r="DR34" s="56">
        <v>0</v>
      </c>
      <c r="DS34" s="56">
        <v>0</v>
      </c>
      <c r="DT34" s="56">
        <v>0</v>
      </c>
      <c r="DU34" s="56">
        <v>0</v>
      </c>
      <c r="DV34" s="56">
        <v>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</row>
    <row r="35" spans="2:138" x14ac:dyDescent="0.4">
      <c r="B35" s="487"/>
      <c r="C35" s="60">
        <v>56</v>
      </c>
      <c r="D35" s="230" t="s">
        <v>170</v>
      </c>
      <c r="E35" s="207">
        <v>45773</v>
      </c>
      <c r="F35" s="207">
        <v>45824</v>
      </c>
      <c r="G35" s="209">
        <f t="shared" si="18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9"/>
        <v/>
      </c>
      <c r="O35" s="203" t="str">
        <f t="shared" si="20"/>
        <v>-</v>
      </c>
      <c r="P35" s="206">
        <f t="shared" ref="P35:P37" si="25">Q35/K35</f>
        <v>6.8523809523809528E-2</v>
      </c>
      <c r="Q35" s="205">
        <f t="shared" si="14"/>
        <v>1439</v>
      </c>
      <c r="R35" s="205">
        <f t="shared" si="21"/>
        <v>19561</v>
      </c>
      <c r="S35" s="65">
        <f t="shared" si="22"/>
        <v>1439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125</v>
      </c>
      <c r="EF35" s="23">
        <v>155</v>
      </c>
      <c r="EG35" s="23">
        <v>0</v>
      </c>
      <c r="EH35" s="23">
        <v>0</v>
      </c>
    </row>
    <row r="36" spans="2:138" x14ac:dyDescent="0.4">
      <c r="B36" s="487"/>
      <c r="C36" s="60">
        <v>57</v>
      </c>
      <c r="D36" s="230" t="s">
        <v>437</v>
      </c>
      <c r="E36" s="207">
        <v>45797</v>
      </c>
      <c r="F36" s="207">
        <v>45828</v>
      </c>
      <c r="G36" s="209">
        <f t="shared" si="18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9"/>
        <v/>
      </c>
      <c r="O36" s="203" t="str">
        <f t="shared" si="20"/>
        <v>-</v>
      </c>
      <c r="P36" s="206">
        <f t="shared" si="25"/>
        <v>0</v>
      </c>
      <c r="Q36" s="205">
        <f t="shared" si="14"/>
        <v>0</v>
      </c>
      <c r="R36" s="205">
        <f t="shared" si="21"/>
        <v>21000</v>
      </c>
      <c r="S36" s="65">
        <f t="shared" si="22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</row>
    <row r="37" spans="2:138" x14ac:dyDescent="0.4">
      <c r="B37" s="487"/>
      <c r="C37" s="60">
        <v>58</v>
      </c>
      <c r="D37" s="230" t="s">
        <v>429</v>
      </c>
      <c r="E37" s="207">
        <v>45802</v>
      </c>
      <c r="F37" s="207">
        <v>45832</v>
      </c>
      <c r="G37" s="209">
        <f t="shared" si="18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9"/>
        <v/>
      </c>
      <c r="O37" s="203" t="str">
        <f t="shared" si="20"/>
        <v>-</v>
      </c>
      <c r="P37" s="206">
        <f t="shared" si="25"/>
        <v>0</v>
      </c>
      <c r="Q37" s="205">
        <f t="shared" si="14"/>
        <v>0</v>
      </c>
      <c r="R37" s="205">
        <f t="shared" si="21"/>
        <v>21000</v>
      </c>
      <c r="S37" s="65">
        <f t="shared" si="22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</row>
    <row r="38" spans="2:138" x14ac:dyDescent="0.4">
      <c r="B38" s="487"/>
      <c r="C38" s="60">
        <v>59</v>
      </c>
      <c r="D38" s="230" t="s">
        <v>173</v>
      </c>
      <c r="E38" s="207">
        <v>45874</v>
      </c>
      <c r="F38" s="207">
        <v>45950</v>
      </c>
      <c r="G38" s="209">
        <f t="shared" si="18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9"/>
        <v/>
      </c>
      <c r="O38" s="203" t="str">
        <f t="shared" si="20"/>
        <v>-</v>
      </c>
      <c r="P38" s="206" t="str">
        <f t="shared" ref="P38:P42" si="26">IFERROR(SUMIF($U$2:$AT$2,"&lt;="&amp;$D$1,U38:BN38)/K38,"-")</f>
        <v>-</v>
      </c>
      <c r="Q38" s="205">
        <f t="shared" si="14"/>
        <v>0</v>
      </c>
      <c r="R38" s="205">
        <f t="shared" si="21"/>
        <v>0</v>
      </c>
      <c r="S38" s="65">
        <f t="shared" si="22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</row>
    <row r="39" spans="2:138" x14ac:dyDescent="0.4">
      <c r="B39" s="487"/>
      <c r="C39" s="60">
        <v>60</v>
      </c>
      <c r="D39" s="230" t="s">
        <v>174</v>
      </c>
      <c r="E39" s="207">
        <v>45885</v>
      </c>
      <c r="F39" s="207">
        <v>45958</v>
      </c>
      <c r="G39" s="209">
        <f t="shared" si="18"/>
        <v>73</v>
      </c>
      <c r="H39" s="207">
        <f t="shared" ref="H39:H61" si="27">E39</f>
        <v>45885</v>
      </c>
      <c r="I39" s="207">
        <f t="shared" ref="I39:I61" si="28">F39</f>
        <v>45958</v>
      </c>
      <c r="J39" s="200" t="s">
        <v>154</v>
      </c>
      <c r="K39" s="201"/>
      <c r="L39" s="202"/>
      <c r="M39" s="202"/>
      <c r="N39" s="199" t="str">
        <f t="shared" si="19"/>
        <v/>
      </c>
      <c r="O39" s="203" t="str">
        <f t="shared" si="20"/>
        <v>-</v>
      </c>
      <c r="P39" s="206" t="str">
        <f t="shared" si="26"/>
        <v>-</v>
      </c>
      <c r="Q39" s="205">
        <f t="shared" si="14"/>
        <v>0</v>
      </c>
      <c r="R39" s="205">
        <f t="shared" si="21"/>
        <v>0</v>
      </c>
      <c r="S39" s="65">
        <f t="shared" si="22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</row>
    <row r="40" spans="2:138" x14ac:dyDescent="0.4">
      <c r="B40" s="487"/>
      <c r="C40" s="60">
        <v>61</v>
      </c>
      <c r="D40" s="230" t="s">
        <v>175</v>
      </c>
      <c r="E40" s="207">
        <v>45905</v>
      </c>
      <c r="F40" s="207">
        <v>45976</v>
      </c>
      <c r="G40" s="209">
        <f t="shared" si="18"/>
        <v>71</v>
      </c>
      <c r="H40" s="207">
        <f t="shared" si="27"/>
        <v>45905</v>
      </c>
      <c r="I40" s="207">
        <f t="shared" si="28"/>
        <v>45976</v>
      </c>
      <c r="J40" s="200" t="s">
        <v>154</v>
      </c>
      <c r="K40" s="201"/>
      <c r="L40" s="202"/>
      <c r="M40" s="202"/>
      <c r="N40" s="199" t="str">
        <f t="shared" si="19"/>
        <v/>
      </c>
      <c r="O40" s="203" t="str">
        <f t="shared" si="20"/>
        <v>-</v>
      </c>
      <c r="P40" s="206" t="str">
        <f t="shared" si="26"/>
        <v>-</v>
      </c>
      <c r="Q40" s="205">
        <f t="shared" si="14"/>
        <v>0</v>
      </c>
      <c r="R40" s="205">
        <f t="shared" si="21"/>
        <v>0</v>
      </c>
      <c r="S40" s="65">
        <f t="shared" si="22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</row>
    <row r="41" spans="2:138" ht="29" x14ac:dyDescent="0.4">
      <c r="B41" s="475" t="s">
        <v>176</v>
      </c>
      <c r="C41" s="60">
        <v>66</v>
      </c>
      <c r="D41" s="231" t="s">
        <v>439</v>
      </c>
      <c r="E41" s="196">
        <v>45879</v>
      </c>
      <c r="F41" s="196">
        <v>46006</v>
      </c>
      <c r="G41" s="197">
        <f t="shared" si="18"/>
        <v>127</v>
      </c>
      <c r="H41" s="207">
        <f t="shared" si="27"/>
        <v>45879</v>
      </c>
      <c r="I41" s="207">
        <f t="shared" si="28"/>
        <v>46006</v>
      </c>
      <c r="J41" s="200" t="s">
        <v>17</v>
      </c>
      <c r="K41" s="201">
        <v>1360</v>
      </c>
      <c r="L41" s="202"/>
      <c r="M41" s="202"/>
      <c r="N41" s="199" t="str">
        <f t="shared" si="19"/>
        <v/>
      </c>
      <c r="O41" s="203" t="str">
        <f t="shared" si="20"/>
        <v>-</v>
      </c>
      <c r="P41" s="206">
        <f t="shared" si="26"/>
        <v>0</v>
      </c>
      <c r="Q41" s="208">
        <f t="shared" ref="Q41:Q42" si="29">SUMIF($U$2:$AT$2,"&lt;="&amp;$D$1,U41:AT41)</f>
        <v>0</v>
      </c>
      <c r="R41" s="205">
        <f t="shared" si="21"/>
        <v>1360</v>
      </c>
      <c r="S41" s="65">
        <f t="shared" si="22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38" x14ac:dyDescent="0.4">
      <c r="B42" s="475"/>
      <c r="C42" s="60">
        <v>67</v>
      </c>
      <c r="D42" s="231" t="s">
        <v>259</v>
      </c>
      <c r="E42" s="196">
        <v>45887</v>
      </c>
      <c r="F42" s="196">
        <v>46016</v>
      </c>
      <c r="G42" s="197">
        <f t="shared" si="18"/>
        <v>129</v>
      </c>
      <c r="H42" s="207">
        <f t="shared" si="27"/>
        <v>45887</v>
      </c>
      <c r="I42" s="207">
        <f t="shared" si="28"/>
        <v>46016</v>
      </c>
      <c r="J42" s="200" t="s">
        <v>17</v>
      </c>
      <c r="K42" s="201">
        <v>1360</v>
      </c>
      <c r="L42" s="202"/>
      <c r="M42" s="202"/>
      <c r="N42" s="199" t="str">
        <f t="shared" si="19"/>
        <v/>
      </c>
      <c r="O42" s="203" t="str">
        <f t="shared" si="20"/>
        <v>-</v>
      </c>
      <c r="P42" s="206">
        <f t="shared" si="26"/>
        <v>0</v>
      </c>
      <c r="Q42" s="208">
        <f t="shared" si="29"/>
        <v>0</v>
      </c>
      <c r="R42" s="205">
        <f t="shared" si="21"/>
        <v>1360</v>
      </c>
      <c r="S42" s="65">
        <f t="shared" si="22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38" x14ac:dyDescent="0.4">
      <c r="B43" s="475"/>
      <c r="C43" s="60">
        <v>68</v>
      </c>
      <c r="D43" s="231" t="s">
        <v>258</v>
      </c>
      <c r="E43" s="196">
        <v>45849</v>
      </c>
      <c r="F43" s="196">
        <v>46010</v>
      </c>
      <c r="G43" s="197">
        <f t="shared" si="18"/>
        <v>161</v>
      </c>
      <c r="H43" s="207">
        <f t="shared" si="27"/>
        <v>45849</v>
      </c>
      <c r="I43" s="207">
        <f t="shared" si="28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30">IF(OR(M43="",L43=""),"",INT(M43-L43+1))</f>
        <v/>
      </c>
      <c r="O43" s="203" t="str">
        <f t="shared" ref="O43:O73" si="31">IFERROR(K43/N43,"-")</f>
        <v>-</v>
      </c>
      <c r="P43" s="206">
        <f t="shared" ref="P43:P73" si="32">IFERROR(SUMIF($U$2:$AT$2,"&lt;="&amp;$D$1,U43:BN43)/K43,"-")</f>
        <v>0</v>
      </c>
      <c r="Q43" s="208">
        <f t="shared" ref="Q43:Q73" si="33">SUMIF($U$2:$AT$2,"&lt;="&amp;$D$1,U43:AT43)</f>
        <v>0</v>
      </c>
      <c r="R43" s="205">
        <f t="shared" ref="R43:R73" si="34">K43-Q43</f>
        <v>1360</v>
      </c>
      <c r="S43" s="65">
        <f t="shared" ref="S43:S55" si="35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38" x14ac:dyDescent="0.4">
      <c r="B44" s="475"/>
      <c r="C44" s="60">
        <v>69</v>
      </c>
      <c r="D44" s="231" t="s">
        <v>263</v>
      </c>
      <c r="E44" s="196">
        <v>45888</v>
      </c>
      <c r="F44" s="196">
        <v>46043</v>
      </c>
      <c r="G44" s="197">
        <f t="shared" si="18"/>
        <v>155</v>
      </c>
      <c r="H44" s="207">
        <f t="shared" si="27"/>
        <v>45888</v>
      </c>
      <c r="I44" s="207">
        <f t="shared" si="28"/>
        <v>46043</v>
      </c>
      <c r="J44" s="200" t="s">
        <v>17</v>
      </c>
      <c r="K44" s="201">
        <v>1360</v>
      </c>
      <c r="L44" s="202"/>
      <c r="M44" s="202"/>
      <c r="N44" s="199" t="str">
        <f t="shared" si="30"/>
        <v/>
      </c>
      <c r="O44" s="203" t="str">
        <f t="shared" si="31"/>
        <v>-</v>
      </c>
      <c r="P44" s="206">
        <f t="shared" si="32"/>
        <v>0</v>
      </c>
      <c r="Q44" s="208">
        <f t="shared" si="33"/>
        <v>0</v>
      </c>
      <c r="R44" s="205">
        <f t="shared" si="34"/>
        <v>1360</v>
      </c>
      <c r="S44" s="65">
        <f t="shared" si="35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38" ht="29" x14ac:dyDescent="0.4">
      <c r="B45" s="475"/>
      <c r="C45" s="60">
        <v>70</v>
      </c>
      <c r="D45" s="231" t="s">
        <v>264</v>
      </c>
      <c r="E45" s="196">
        <f>E44+45</f>
        <v>45933</v>
      </c>
      <c r="F45" s="196">
        <f>F44+7</f>
        <v>46050</v>
      </c>
      <c r="G45" s="197">
        <f t="shared" si="18"/>
        <v>117</v>
      </c>
      <c r="H45" s="207">
        <f t="shared" si="27"/>
        <v>45933</v>
      </c>
      <c r="I45" s="207">
        <f t="shared" si="28"/>
        <v>46050</v>
      </c>
      <c r="J45" s="200" t="s">
        <v>17</v>
      </c>
      <c r="K45" s="201">
        <v>1360</v>
      </c>
      <c r="L45" s="202"/>
      <c r="M45" s="202"/>
      <c r="N45" s="199" t="str">
        <f t="shared" si="30"/>
        <v/>
      </c>
      <c r="O45" s="203" t="str">
        <f t="shared" si="31"/>
        <v>-</v>
      </c>
      <c r="P45" s="206">
        <f t="shared" si="32"/>
        <v>0</v>
      </c>
      <c r="Q45" s="208">
        <f t="shared" si="33"/>
        <v>0</v>
      </c>
      <c r="R45" s="205">
        <f t="shared" si="34"/>
        <v>1360</v>
      </c>
      <c r="S45" s="65">
        <f t="shared" si="35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38" ht="29" x14ac:dyDescent="0.4">
      <c r="B46" s="475"/>
      <c r="C46" s="60">
        <v>71</v>
      </c>
      <c r="D46" s="231" t="s">
        <v>438</v>
      </c>
      <c r="E46" s="196">
        <f>E44+40</f>
        <v>45928</v>
      </c>
      <c r="F46" s="196">
        <v>46051</v>
      </c>
      <c r="G46" s="197">
        <f t="shared" si="18"/>
        <v>123</v>
      </c>
      <c r="H46" s="207">
        <f t="shared" si="27"/>
        <v>45928</v>
      </c>
      <c r="I46" s="207">
        <f t="shared" si="28"/>
        <v>46051</v>
      </c>
      <c r="J46" s="200" t="s">
        <v>17</v>
      </c>
      <c r="K46" s="201">
        <v>1360</v>
      </c>
      <c r="L46" s="202"/>
      <c r="M46" s="202"/>
      <c r="N46" s="199" t="str">
        <f t="shared" si="30"/>
        <v/>
      </c>
      <c r="O46" s="203" t="str">
        <f t="shared" si="31"/>
        <v>-</v>
      </c>
      <c r="P46" s="206">
        <f t="shared" si="32"/>
        <v>0</v>
      </c>
      <c r="Q46" s="208">
        <f t="shared" si="33"/>
        <v>0</v>
      </c>
      <c r="R46" s="205">
        <f t="shared" si="34"/>
        <v>1360</v>
      </c>
      <c r="S46" s="65">
        <f t="shared" si="35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38" x14ac:dyDescent="0.4">
      <c r="B47" s="475"/>
      <c r="C47" s="60">
        <v>72</v>
      </c>
      <c r="D47" s="231" t="s">
        <v>260</v>
      </c>
      <c r="E47" s="196">
        <v>45856</v>
      </c>
      <c r="F47" s="196">
        <v>46011</v>
      </c>
      <c r="G47" s="197">
        <f t="shared" si="18"/>
        <v>155</v>
      </c>
      <c r="H47" s="207">
        <f t="shared" si="27"/>
        <v>45856</v>
      </c>
      <c r="I47" s="207">
        <f t="shared" si="28"/>
        <v>46011</v>
      </c>
      <c r="J47" s="200" t="s">
        <v>17</v>
      </c>
      <c r="K47" s="201">
        <v>1360</v>
      </c>
      <c r="L47" s="202"/>
      <c r="M47" s="202"/>
      <c r="N47" s="199" t="str">
        <f t="shared" si="30"/>
        <v/>
      </c>
      <c r="O47" s="203" t="str">
        <f t="shared" si="31"/>
        <v>-</v>
      </c>
      <c r="P47" s="206">
        <f t="shared" si="32"/>
        <v>0</v>
      </c>
      <c r="Q47" s="208">
        <f t="shared" si="33"/>
        <v>0</v>
      </c>
      <c r="R47" s="205">
        <f t="shared" si="34"/>
        <v>1360</v>
      </c>
      <c r="S47" s="65">
        <f t="shared" si="35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38" x14ac:dyDescent="0.4">
      <c r="B48" s="475"/>
      <c r="C48" s="60">
        <v>73</v>
      </c>
      <c r="D48" s="231" t="s">
        <v>261</v>
      </c>
      <c r="E48" s="196">
        <v>45859</v>
      </c>
      <c r="F48" s="196">
        <v>45996</v>
      </c>
      <c r="G48" s="197">
        <f t="shared" si="18"/>
        <v>137</v>
      </c>
      <c r="H48" s="207">
        <f t="shared" si="27"/>
        <v>45859</v>
      </c>
      <c r="I48" s="207">
        <f t="shared" si="28"/>
        <v>45996</v>
      </c>
      <c r="J48" s="200" t="s">
        <v>17</v>
      </c>
      <c r="K48" s="201">
        <v>1360</v>
      </c>
      <c r="L48" s="202"/>
      <c r="M48" s="202"/>
      <c r="N48" s="199" t="str">
        <f t="shared" si="30"/>
        <v/>
      </c>
      <c r="O48" s="203" t="str">
        <f t="shared" si="31"/>
        <v>-</v>
      </c>
      <c r="P48" s="206">
        <f t="shared" si="32"/>
        <v>0</v>
      </c>
      <c r="Q48" s="208">
        <f t="shared" si="33"/>
        <v>0</v>
      </c>
      <c r="R48" s="205">
        <f t="shared" si="34"/>
        <v>1360</v>
      </c>
      <c r="S48" s="65">
        <f t="shared" si="35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475"/>
      <c r="C49" s="60">
        <v>74</v>
      </c>
      <c r="D49" s="231" t="s">
        <v>179</v>
      </c>
      <c r="E49" s="196">
        <f>E48+45</f>
        <v>45904</v>
      </c>
      <c r="F49" s="196">
        <v>46001</v>
      </c>
      <c r="G49" s="197">
        <f t="shared" si="18"/>
        <v>97</v>
      </c>
      <c r="H49" s="207">
        <f t="shared" si="27"/>
        <v>45904</v>
      </c>
      <c r="I49" s="207">
        <f t="shared" si="28"/>
        <v>46001</v>
      </c>
      <c r="J49" s="200" t="s">
        <v>17</v>
      </c>
      <c r="K49" s="201">
        <v>1360</v>
      </c>
      <c r="L49" s="202"/>
      <c r="M49" s="202"/>
      <c r="N49" s="199" t="str">
        <f t="shared" si="30"/>
        <v/>
      </c>
      <c r="O49" s="203" t="str">
        <f t="shared" si="31"/>
        <v>-</v>
      </c>
      <c r="P49" s="206">
        <f t="shared" si="32"/>
        <v>0</v>
      </c>
      <c r="Q49" s="208">
        <f t="shared" si="33"/>
        <v>0</v>
      </c>
      <c r="R49" s="205">
        <f t="shared" si="34"/>
        <v>1360</v>
      </c>
      <c r="S49" s="65">
        <f t="shared" si="35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475"/>
      <c r="C50" s="60">
        <v>75</v>
      </c>
      <c r="D50" s="231" t="s">
        <v>262</v>
      </c>
      <c r="E50" s="196">
        <v>45889</v>
      </c>
      <c r="F50" s="196">
        <v>46017</v>
      </c>
      <c r="G50" s="197">
        <f t="shared" si="18"/>
        <v>128</v>
      </c>
      <c r="H50" s="207">
        <f t="shared" si="27"/>
        <v>45889</v>
      </c>
      <c r="I50" s="207">
        <f t="shared" si="28"/>
        <v>46017</v>
      </c>
      <c r="J50" s="200" t="s">
        <v>17</v>
      </c>
      <c r="K50" s="201">
        <v>1360</v>
      </c>
      <c r="L50" s="202"/>
      <c r="M50" s="202"/>
      <c r="N50" s="199" t="str">
        <f t="shared" si="30"/>
        <v/>
      </c>
      <c r="O50" s="203" t="str">
        <f t="shared" si="31"/>
        <v>-</v>
      </c>
      <c r="P50" s="206">
        <f t="shared" si="32"/>
        <v>0</v>
      </c>
      <c r="Q50" s="208">
        <f t="shared" si="33"/>
        <v>0</v>
      </c>
      <c r="R50" s="205">
        <f t="shared" si="34"/>
        <v>1360</v>
      </c>
      <c r="S50" s="65">
        <f t="shared" si="35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475" t="s">
        <v>180</v>
      </c>
      <c r="C51" s="60">
        <v>76</v>
      </c>
      <c r="D51" s="231" t="s">
        <v>265</v>
      </c>
      <c r="E51" s="196">
        <v>45912</v>
      </c>
      <c r="F51" s="196">
        <v>45982</v>
      </c>
      <c r="G51" s="197">
        <f t="shared" si="18"/>
        <v>70</v>
      </c>
      <c r="H51" s="207">
        <f t="shared" si="27"/>
        <v>45912</v>
      </c>
      <c r="I51" s="207">
        <f t="shared" si="28"/>
        <v>45982</v>
      </c>
      <c r="J51" s="200" t="s">
        <v>107</v>
      </c>
      <c r="K51" s="201">
        <v>74</v>
      </c>
      <c r="L51" s="202"/>
      <c r="M51" s="202"/>
      <c r="N51" s="199" t="str">
        <f t="shared" si="30"/>
        <v/>
      </c>
      <c r="O51" s="203" t="str">
        <f t="shared" si="31"/>
        <v>-</v>
      </c>
      <c r="P51" s="206">
        <f t="shared" si="32"/>
        <v>0</v>
      </c>
      <c r="Q51" s="208">
        <f t="shared" si="33"/>
        <v>0</v>
      </c>
      <c r="R51" s="205">
        <f t="shared" si="34"/>
        <v>74</v>
      </c>
      <c r="S51" s="65">
        <f t="shared" si="35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475"/>
      <c r="C52" s="60">
        <v>77</v>
      </c>
      <c r="D52" s="231" t="s">
        <v>181</v>
      </c>
      <c r="E52" s="196">
        <v>45912</v>
      </c>
      <c r="F52" s="196">
        <v>45982</v>
      </c>
      <c r="G52" s="197">
        <f t="shared" si="18"/>
        <v>70</v>
      </c>
      <c r="H52" s="207">
        <f t="shared" si="27"/>
        <v>45912</v>
      </c>
      <c r="I52" s="207">
        <f t="shared" si="28"/>
        <v>45982</v>
      </c>
      <c r="J52" s="200" t="s">
        <v>107</v>
      </c>
      <c r="K52" s="201">
        <v>26</v>
      </c>
      <c r="L52" s="202"/>
      <c r="M52" s="202"/>
      <c r="N52" s="199" t="str">
        <f t="shared" si="30"/>
        <v/>
      </c>
      <c r="O52" s="203" t="str">
        <f t="shared" si="31"/>
        <v>-</v>
      </c>
      <c r="P52" s="206">
        <f t="shared" si="32"/>
        <v>0</v>
      </c>
      <c r="Q52" s="208">
        <f t="shared" si="33"/>
        <v>0</v>
      </c>
      <c r="R52" s="205">
        <f t="shared" si="34"/>
        <v>26</v>
      </c>
      <c r="S52" s="65">
        <f t="shared" si="35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475"/>
      <c r="C53" s="60">
        <v>78</v>
      </c>
      <c r="D53" s="231" t="s">
        <v>182</v>
      </c>
      <c r="E53" s="196">
        <v>45919</v>
      </c>
      <c r="F53" s="196">
        <v>45994</v>
      </c>
      <c r="G53" s="197">
        <f t="shared" si="18"/>
        <v>75</v>
      </c>
      <c r="H53" s="207">
        <f t="shared" si="27"/>
        <v>45919</v>
      </c>
      <c r="I53" s="207">
        <f t="shared" si="28"/>
        <v>45994</v>
      </c>
      <c r="J53" s="200" t="s">
        <v>107</v>
      </c>
      <c r="K53" s="201">
        <v>26</v>
      </c>
      <c r="L53" s="202"/>
      <c r="M53" s="202"/>
      <c r="N53" s="199" t="str">
        <f t="shared" si="30"/>
        <v/>
      </c>
      <c r="O53" s="203" t="str">
        <f t="shared" si="31"/>
        <v>-</v>
      </c>
      <c r="P53" s="206">
        <f t="shared" si="32"/>
        <v>0</v>
      </c>
      <c r="Q53" s="208">
        <f t="shared" si="33"/>
        <v>0</v>
      </c>
      <c r="R53" s="205">
        <f t="shared" si="34"/>
        <v>26</v>
      </c>
      <c r="S53" s="65">
        <f t="shared" si="35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475"/>
      <c r="C54" s="60">
        <v>79</v>
      </c>
      <c r="D54" s="231" t="s">
        <v>183</v>
      </c>
      <c r="E54" s="196">
        <v>45919</v>
      </c>
      <c r="F54" s="196">
        <v>45959</v>
      </c>
      <c r="G54" s="197">
        <f t="shared" si="18"/>
        <v>40</v>
      </c>
      <c r="H54" s="207">
        <f t="shared" si="27"/>
        <v>45919</v>
      </c>
      <c r="I54" s="207">
        <f t="shared" si="28"/>
        <v>45959</v>
      </c>
      <c r="J54" s="200" t="s">
        <v>107</v>
      </c>
      <c r="K54" s="201">
        <v>26</v>
      </c>
      <c r="L54" s="202"/>
      <c r="M54" s="202"/>
      <c r="N54" s="199" t="str">
        <f t="shared" si="30"/>
        <v/>
      </c>
      <c r="O54" s="203" t="str">
        <f t="shared" si="31"/>
        <v>-</v>
      </c>
      <c r="P54" s="206">
        <f t="shared" si="32"/>
        <v>0</v>
      </c>
      <c r="Q54" s="208">
        <f t="shared" si="33"/>
        <v>0</v>
      </c>
      <c r="R54" s="205">
        <f t="shared" si="34"/>
        <v>26</v>
      </c>
      <c r="S54" s="65">
        <f t="shared" si="35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475"/>
      <c r="C55" s="60">
        <v>80</v>
      </c>
      <c r="D55" s="231" t="s">
        <v>184</v>
      </c>
      <c r="E55" s="196">
        <v>45913</v>
      </c>
      <c r="F55" s="196">
        <v>45943</v>
      </c>
      <c r="G55" s="197">
        <f t="shared" si="18"/>
        <v>30</v>
      </c>
      <c r="H55" s="207">
        <f t="shared" si="27"/>
        <v>45913</v>
      </c>
      <c r="I55" s="207">
        <f t="shared" si="28"/>
        <v>45943</v>
      </c>
      <c r="J55" s="200" t="s">
        <v>107</v>
      </c>
      <c r="K55" s="201">
        <v>26</v>
      </c>
      <c r="L55" s="202"/>
      <c r="M55" s="202"/>
      <c r="N55" s="199" t="str">
        <f t="shared" si="30"/>
        <v/>
      </c>
      <c r="O55" s="203" t="str">
        <f t="shared" si="31"/>
        <v>-</v>
      </c>
      <c r="P55" s="206">
        <f t="shared" si="32"/>
        <v>0</v>
      </c>
      <c r="Q55" s="208">
        <f t="shared" si="33"/>
        <v>0</v>
      </c>
      <c r="R55" s="205">
        <f t="shared" si="34"/>
        <v>26</v>
      </c>
      <c r="S55" s="65">
        <f t="shared" si="35"/>
        <v>0</v>
      </c>
      <c r="T55" s="158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475"/>
      <c r="C56" s="60">
        <v>82</v>
      </c>
      <c r="D56" s="231" t="s">
        <v>266</v>
      </c>
      <c r="E56" s="196">
        <v>45912</v>
      </c>
      <c r="F56" s="196">
        <v>45942</v>
      </c>
      <c r="G56" s="197">
        <f t="shared" si="18"/>
        <v>30</v>
      </c>
      <c r="H56" s="207">
        <f t="shared" si="27"/>
        <v>45912</v>
      </c>
      <c r="I56" s="207">
        <f t="shared" si="28"/>
        <v>45942</v>
      </c>
      <c r="J56" s="200" t="s">
        <v>107</v>
      </c>
      <c r="K56" s="201">
        <v>26</v>
      </c>
      <c r="L56" s="202"/>
      <c r="M56" s="202"/>
      <c r="N56" s="199" t="str">
        <f t="shared" si="30"/>
        <v/>
      </c>
      <c r="O56" s="203" t="str">
        <f t="shared" si="31"/>
        <v>-</v>
      </c>
      <c r="P56" s="206">
        <f t="shared" si="32"/>
        <v>0</v>
      </c>
      <c r="Q56" s="208">
        <f t="shared" si="33"/>
        <v>0</v>
      </c>
      <c r="R56" s="205">
        <f t="shared" si="34"/>
        <v>26</v>
      </c>
      <c r="S56" s="65">
        <f t="shared" ref="S56:S73" si="37">SUM(U56:XFD56)</f>
        <v>0</v>
      </c>
      <c r="T56" s="158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475"/>
      <c r="C57" s="60">
        <v>83</v>
      </c>
      <c r="D57" s="231" t="s">
        <v>186</v>
      </c>
      <c r="E57" s="196">
        <v>45940</v>
      </c>
      <c r="F57" s="196">
        <v>45991</v>
      </c>
      <c r="G57" s="197">
        <f t="shared" si="18"/>
        <v>51</v>
      </c>
      <c r="H57" s="207">
        <f t="shared" si="27"/>
        <v>45940</v>
      </c>
      <c r="I57" s="207">
        <f t="shared" si="28"/>
        <v>45991</v>
      </c>
      <c r="J57" s="200" t="s">
        <v>2</v>
      </c>
      <c r="K57" s="201">
        <v>26</v>
      </c>
      <c r="L57" s="202"/>
      <c r="M57" s="202"/>
      <c r="N57" s="199" t="str">
        <f t="shared" si="30"/>
        <v/>
      </c>
      <c r="O57" s="203" t="str">
        <f t="shared" si="31"/>
        <v>-</v>
      </c>
      <c r="P57" s="206">
        <f t="shared" si="32"/>
        <v>0</v>
      </c>
      <c r="Q57" s="208">
        <f t="shared" si="33"/>
        <v>0</v>
      </c>
      <c r="R57" s="205">
        <f t="shared" si="34"/>
        <v>26</v>
      </c>
      <c r="S57" s="65">
        <f t="shared" si="37"/>
        <v>0</v>
      </c>
      <c r="T57" s="158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475"/>
      <c r="C58" s="60">
        <v>84</v>
      </c>
      <c r="D58" s="231" t="s">
        <v>187</v>
      </c>
      <c r="E58" s="196">
        <v>45945</v>
      </c>
      <c r="F58" s="196">
        <v>45996</v>
      </c>
      <c r="G58" s="197">
        <f t="shared" si="18"/>
        <v>51</v>
      </c>
      <c r="H58" s="207">
        <f t="shared" si="27"/>
        <v>45945</v>
      </c>
      <c r="I58" s="207">
        <f t="shared" si="28"/>
        <v>45996</v>
      </c>
      <c r="J58" s="200" t="s">
        <v>2</v>
      </c>
      <c r="K58" s="201">
        <v>26</v>
      </c>
      <c r="L58" s="202"/>
      <c r="M58" s="202"/>
      <c r="N58" s="199" t="str">
        <f t="shared" si="30"/>
        <v/>
      </c>
      <c r="O58" s="203" t="str">
        <f t="shared" si="31"/>
        <v>-</v>
      </c>
      <c r="P58" s="206">
        <f t="shared" si="32"/>
        <v>0</v>
      </c>
      <c r="Q58" s="208">
        <f t="shared" si="33"/>
        <v>0</v>
      </c>
      <c r="R58" s="205">
        <f t="shared" si="34"/>
        <v>26</v>
      </c>
      <c r="S58" s="65">
        <f t="shared" si="37"/>
        <v>0</v>
      </c>
      <c r="T58" s="158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475"/>
      <c r="C59" s="60">
        <v>85</v>
      </c>
      <c r="D59" s="231" t="s">
        <v>188</v>
      </c>
      <c r="E59" s="196">
        <v>45931</v>
      </c>
      <c r="F59" s="196">
        <v>45979</v>
      </c>
      <c r="G59" s="197">
        <f t="shared" si="18"/>
        <v>48</v>
      </c>
      <c r="H59" s="196">
        <f t="shared" si="27"/>
        <v>45931</v>
      </c>
      <c r="I59" s="196">
        <f t="shared" si="28"/>
        <v>45979</v>
      </c>
      <c r="J59" s="200" t="s">
        <v>2</v>
      </c>
      <c r="K59" s="201">
        <v>26</v>
      </c>
      <c r="L59" s="202"/>
      <c r="M59" s="202"/>
      <c r="N59" s="199" t="str">
        <f t="shared" si="30"/>
        <v/>
      </c>
      <c r="O59" s="203" t="str">
        <f t="shared" si="31"/>
        <v>-</v>
      </c>
      <c r="P59" s="206">
        <f t="shared" si="32"/>
        <v>0</v>
      </c>
      <c r="Q59" s="208">
        <f t="shared" si="33"/>
        <v>0</v>
      </c>
      <c r="R59" s="205">
        <f t="shared" si="34"/>
        <v>26</v>
      </c>
      <c r="S59" s="65">
        <f t="shared" si="37"/>
        <v>0</v>
      </c>
      <c r="T59" s="158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475"/>
      <c r="C60" s="60">
        <v>86</v>
      </c>
      <c r="D60" s="231" t="s">
        <v>16</v>
      </c>
      <c r="E60" s="196">
        <v>45935</v>
      </c>
      <c r="F60" s="196">
        <v>46021</v>
      </c>
      <c r="G60" s="197">
        <f t="shared" si="18"/>
        <v>86</v>
      </c>
      <c r="H60" s="196">
        <f t="shared" si="27"/>
        <v>45935</v>
      </c>
      <c r="I60" s="196">
        <f t="shared" si="28"/>
        <v>46021</v>
      </c>
      <c r="J60" s="200" t="s">
        <v>2</v>
      </c>
      <c r="K60" s="201">
        <v>26</v>
      </c>
      <c r="L60" s="202"/>
      <c r="M60" s="202"/>
      <c r="N60" s="199" t="str">
        <f t="shared" si="30"/>
        <v/>
      </c>
      <c r="O60" s="203" t="str">
        <f t="shared" si="31"/>
        <v>-</v>
      </c>
      <c r="P60" s="206">
        <f t="shared" si="32"/>
        <v>0</v>
      </c>
      <c r="Q60" s="208">
        <f t="shared" si="33"/>
        <v>0</v>
      </c>
      <c r="R60" s="205">
        <f t="shared" si="34"/>
        <v>26</v>
      </c>
      <c r="S60" s="65">
        <f t="shared" si="37"/>
        <v>0</v>
      </c>
      <c r="T60" s="158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475"/>
      <c r="C61" s="60">
        <v>87</v>
      </c>
      <c r="D61" s="231" t="s">
        <v>189</v>
      </c>
      <c r="E61" s="196">
        <v>45940</v>
      </c>
      <c r="F61" s="196">
        <v>46021</v>
      </c>
      <c r="G61" s="197">
        <f t="shared" si="18"/>
        <v>81</v>
      </c>
      <c r="H61" s="196">
        <f t="shared" si="27"/>
        <v>45940</v>
      </c>
      <c r="I61" s="196">
        <f t="shared" si="28"/>
        <v>46021</v>
      </c>
      <c r="J61" s="200" t="s">
        <v>2</v>
      </c>
      <c r="K61" s="201">
        <v>26</v>
      </c>
      <c r="L61" s="202"/>
      <c r="M61" s="202"/>
      <c r="N61" s="199" t="str">
        <f t="shared" si="30"/>
        <v/>
      </c>
      <c r="O61" s="203" t="str">
        <f t="shared" si="31"/>
        <v>-</v>
      </c>
      <c r="P61" s="206">
        <f t="shared" si="32"/>
        <v>0</v>
      </c>
      <c r="Q61" s="208">
        <f t="shared" si="33"/>
        <v>0</v>
      </c>
      <c r="R61" s="205">
        <f t="shared" si="34"/>
        <v>26</v>
      </c>
      <c r="S61" s="65">
        <f t="shared" si="37"/>
        <v>0</v>
      </c>
      <c r="T61" s="158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475"/>
      <c r="C62" s="60">
        <v>88</v>
      </c>
      <c r="D62" s="231" t="s">
        <v>179</v>
      </c>
      <c r="E62" s="196">
        <v>45986</v>
      </c>
      <c r="F62" s="196">
        <v>46027</v>
      </c>
      <c r="G62" s="197">
        <f t="shared" si="18"/>
        <v>41</v>
      </c>
      <c r="H62" s="196">
        <f t="shared" ref="H62:H91" si="38">E62</f>
        <v>45986</v>
      </c>
      <c r="I62" s="196">
        <f t="shared" ref="I62:I91" si="39">F62</f>
        <v>46027</v>
      </c>
      <c r="J62" s="200" t="s">
        <v>2</v>
      </c>
      <c r="K62" s="201">
        <v>26</v>
      </c>
      <c r="L62" s="202"/>
      <c r="M62" s="202"/>
      <c r="N62" s="199" t="str">
        <f t="shared" si="30"/>
        <v/>
      </c>
      <c r="O62" s="203" t="str">
        <f t="shared" si="31"/>
        <v>-</v>
      </c>
      <c r="P62" s="206">
        <f t="shared" si="32"/>
        <v>0</v>
      </c>
      <c r="Q62" s="208">
        <f t="shared" si="33"/>
        <v>0</v>
      </c>
      <c r="R62" s="205">
        <f t="shared" si="34"/>
        <v>26</v>
      </c>
      <c r="S62" s="65">
        <f t="shared" si="37"/>
        <v>0</v>
      </c>
      <c r="T62" s="158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475" t="s">
        <v>190</v>
      </c>
      <c r="C63" s="60">
        <v>89</v>
      </c>
      <c r="D63" s="231" t="s">
        <v>191</v>
      </c>
      <c r="E63" s="196">
        <v>45950</v>
      </c>
      <c r="F63" s="196">
        <v>45976</v>
      </c>
      <c r="G63" s="197">
        <f t="shared" si="18"/>
        <v>26</v>
      </c>
      <c r="H63" s="196">
        <f t="shared" si="38"/>
        <v>45950</v>
      </c>
      <c r="I63" s="196">
        <f t="shared" si="39"/>
        <v>45976</v>
      </c>
      <c r="J63" s="200" t="s">
        <v>11</v>
      </c>
      <c r="K63" s="201">
        <v>1</v>
      </c>
      <c r="L63" s="202"/>
      <c r="M63" s="202"/>
      <c r="N63" s="199" t="str">
        <f t="shared" si="30"/>
        <v/>
      </c>
      <c r="O63" s="203" t="str">
        <f t="shared" si="31"/>
        <v>-</v>
      </c>
      <c r="P63" s="206">
        <f t="shared" si="32"/>
        <v>0</v>
      </c>
      <c r="Q63" s="208">
        <f t="shared" si="33"/>
        <v>0</v>
      </c>
      <c r="R63" s="205">
        <f t="shared" si="34"/>
        <v>1</v>
      </c>
      <c r="S63" s="65">
        <f t="shared" si="37"/>
        <v>0</v>
      </c>
      <c r="T63" s="158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475"/>
      <c r="C64" s="60">
        <v>90</v>
      </c>
      <c r="D64" s="231" t="s">
        <v>192</v>
      </c>
      <c r="E64" s="196">
        <v>45919</v>
      </c>
      <c r="F64" s="196">
        <v>45959</v>
      </c>
      <c r="G64" s="197">
        <f t="shared" si="18"/>
        <v>40</v>
      </c>
      <c r="H64" s="196">
        <f t="shared" si="38"/>
        <v>45919</v>
      </c>
      <c r="I64" s="196">
        <f t="shared" si="39"/>
        <v>45959</v>
      </c>
      <c r="J64" s="200" t="s">
        <v>11</v>
      </c>
      <c r="K64" s="201">
        <v>1</v>
      </c>
      <c r="L64" s="202"/>
      <c r="M64" s="202"/>
      <c r="N64" s="199" t="str">
        <f t="shared" si="30"/>
        <v/>
      </c>
      <c r="O64" s="203" t="str">
        <f t="shared" si="31"/>
        <v>-</v>
      </c>
      <c r="P64" s="206">
        <f t="shared" si="32"/>
        <v>0</v>
      </c>
      <c r="Q64" s="208">
        <f t="shared" si="33"/>
        <v>0</v>
      </c>
      <c r="R64" s="205">
        <f t="shared" si="34"/>
        <v>1</v>
      </c>
      <c r="S64" s="65">
        <f t="shared" si="37"/>
        <v>0</v>
      </c>
      <c r="T64" s="158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475"/>
      <c r="C65" s="60">
        <v>91</v>
      </c>
      <c r="D65" s="231" t="s">
        <v>193</v>
      </c>
      <c r="E65" s="196">
        <v>45935</v>
      </c>
      <c r="F65" s="196">
        <v>45971</v>
      </c>
      <c r="G65" s="197">
        <f t="shared" si="18"/>
        <v>36</v>
      </c>
      <c r="H65" s="196">
        <f t="shared" si="38"/>
        <v>45935</v>
      </c>
      <c r="I65" s="196">
        <f t="shared" si="39"/>
        <v>45971</v>
      </c>
      <c r="J65" s="200" t="s">
        <v>11</v>
      </c>
      <c r="K65" s="201">
        <v>1</v>
      </c>
      <c r="L65" s="202"/>
      <c r="M65" s="202"/>
      <c r="N65" s="199" t="str">
        <f t="shared" si="30"/>
        <v/>
      </c>
      <c r="O65" s="203" t="str">
        <f t="shared" si="31"/>
        <v>-</v>
      </c>
      <c r="P65" s="206">
        <f t="shared" si="32"/>
        <v>0</v>
      </c>
      <c r="Q65" s="208">
        <f t="shared" si="33"/>
        <v>0</v>
      </c>
      <c r="R65" s="205">
        <f t="shared" si="34"/>
        <v>1</v>
      </c>
      <c r="S65" s="65">
        <f t="shared" si="37"/>
        <v>0</v>
      </c>
      <c r="T65" s="158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475"/>
      <c r="C66" s="60">
        <v>92</v>
      </c>
      <c r="D66" s="231" t="s">
        <v>194</v>
      </c>
      <c r="E66" s="196">
        <v>45996</v>
      </c>
      <c r="F66" s="196">
        <v>46027</v>
      </c>
      <c r="G66" s="197">
        <f t="shared" si="18"/>
        <v>31</v>
      </c>
      <c r="H66" s="196">
        <f t="shared" si="38"/>
        <v>45996</v>
      </c>
      <c r="I66" s="196">
        <f t="shared" si="39"/>
        <v>46027</v>
      </c>
      <c r="J66" s="200" t="s">
        <v>11</v>
      </c>
      <c r="K66" s="201">
        <v>1</v>
      </c>
      <c r="L66" s="202"/>
      <c r="M66" s="202"/>
      <c r="N66" s="199" t="str">
        <f t="shared" si="30"/>
        <v/>
      </c>
      <c r="O66" s="203" t="str">
        <f t="shared" si="31"/>
        <v>-</v>
      </c>
      <c r="P66" s="206">
        <f t="shared" si="32"/>
        <v>0</v>
      </c>
      <c r="Q66" s="208">
        <f t="shared" si="33"/>
        <v>0</v>
      </c>
      <c r="R66" s="205">
        <f t="shared" si="34"/>
        <v>1</v>
      </c>
      <c r="S66" s="65">
        <f t="shared" si="37"/>
        <v>0</v>
      </c>
      <c r="T66" s="158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475"/>
      <c r="C67" s="60">
        <v>93</v>
      </c>
      <c r="D67" s="231" t="s">
        <v>430</v>
      </c>
      <c r="E67" s="196">
        <v>46024</v>
      </c>
      <c r="F67" s="196">
        <v>46042</v>
      </c>
      <c r="G67" s="197">
        <f t="shared" si="18"/>
        <v>18</v>
      </c>
      <c r="H67" s="196">
        <f t="shared" si="38"/>
        <v>46024</v>
      </c>
      <c r="I67" s="196">
        <f t="shared" si="39"/>
        <v>46042</v>
      </c>
      <c r="J67" s="200" t="s">
        <v>11</v>
      </c>
      <c r="K67" s="201">
        <v>1</v>
      </c>
      <c r="L67" s="202"/>
      <c r="M67" s="202"/>
      <c r="N67" s="199" t="str">
        <f t="shared" si="30"/>
        <v/>
      </c>
      <c r="O67" s="203" t="str">
        <f t="shared" si="31"/>
        <v>-</v>
      </c>
      <c r="P67" s="206">
        <f t="shared" si="32"/>
        <v>0</v>
      </c>
      <c r="Q67" s="208">
        <f t="shared" si="33"/>
        <v>0</v>
      </c>
      <c r="R67" s="205">
        <f t="shared" si="34"/>
        <v>1</v>
      </c>
      <c r="S67" s="65">
        <f t="shared" si="37"/>
        <v>0</v>
      </c>
      <c r="T67" s="158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475"/>
      <c r="C68" s="60">
        <v>94</v>
      </c>
      <c r="D68" s="231" t="s">
        <v>196</v>
      </c>
      <c r="E68" s="196">
        <v>46016</v>
      </c>
      <c r="F68" s="196">
        <f>E68+8</f>
        <v>46024</v>
      </c>
      <c r="G68" s="197">
        <f t="shared" si="18"/>
        <v>8</v>
      </c>
      <c r="H68" s="196">
        <f t="shared" si="38"/>
        <v>46016</v>
      </c>
      <c r="I68" s="196">
        <f t="shared" si="39"/>
        <v>46024</v>
      </c>
      <c r="J68" s="200" t="s">
        <v>11</v>
      </c>
      <c r="K68" s="201">
        <v>1</v>
      </c>
      <c r="L68" s="202"/>
      <c r="M68" s="202"/>
      <c r="N68" s="199" t="str">
        <f t="shared" si="30"/>
        <v/>
      </c>
      <c r="O68" s="203" t="str">
        <f t="shared" si="31"/>
        <v>-</v>
      </c>
      <c r="P68" s="206">
        <f t="shared" si="32"/>
        <v>0</v>
      </c>
      <c r="Q68" s="208">
        <f t="shared" si="33"/>
        <v>0</v>
      </c>
      <c r="R68" s="205">
        <f t="shared" si="34"/>
        <v>1</v>
      </c>
      <c r="S68" s="65">
        <f t="shared" si="37"/>
        <v>0</v>
      </c>
      <c r="T68" s="158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475"/>
      <c r="C69" s="60">
        <v>95</v>
      </c>
      <c r="D69" s="231" t="s">
        <v>197</v>
      </c>
      <c r="E69" s="196">
        <v>46011</v>
      </c>
      <c r="F69" s="196">
        <f>E69+8</f>
        <v>46019</v>
      </c>
      <c r="G69" s="197">
        <f t="shared" si="18"/>
        <v>8</v>
      </c>
      <c r="H69" s="196">
        <f t="shared" si="38"/>
        <v>46011</v>
      </c>
      <c r="I69" s="196">
        <f t="shared" si="39"/>
        <v>46019</v>
      </c>
      <c r="J69" s="200" t="s">
        <v>11</v>
      </c>
      <c r="K69" s="201">
        <v>1</v>
      </c>
      <c r="L69" s="202"/>
      <c r="M69" s="202"/>
      <c r="N69" s="199" t="str">
        <f t="shared" si="30"/>
        <v/>
      </c>
      <c r="O69" s="203" t="str">
        <f t="shared" si="31"/>
        <v>-</v>
      </c>
      <c r="P69" s="206">
        <f t="shared" si="32"/>
        <v>0</v>
      </c>
      <c r="Q69" s="208">
        <f t="shared" si="33"/>
        <v>0</v>
      </c>
      <c r="R69" s="205">
        <f t="shared" si="34"/>
        <v>1</v>
      </c>
      <c r="S69" s="65">
        <f t="shared" si="37"/>
        <v>0</v>
      </c>
      <c r="T69" s="158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475"/>
      <c r="C70" s="60">
        <v>96</v>
      </c>
      <c r="D70" s="231" t="s">
        <v>198</v>
      </c>
      <c r="E70" s="196">
        <f>F69</f>
        <v>46019</v>
      </c>
      <c r="F70" s="196">
        <f>E70+8</f>
        <v>46027</v>
      </c>
      <c r="G70" s="197">
        <f t="shared" si="18"/>
        <v>8</v>
      </c>
      <c r="H70" s="196">
        <f t="shared" si="38"/>
        <v>46019</v>
      </c>
      <c r="I70" s="196">
        <f t="shared" si="39"/>
        <v>46027</v>
      </c>
      <c r="J70" s="200" t="s">
        <v>11</v>
      </c>
      <c r="K70" s="201">
        <v>1</v>
      </c>
      <c r="L70" s="202"/>
      <c r="M70" s="202"/>
      <c r="N70" s="199" t="str">
        <f t="shared" si="30"/>
        <v/>
      </c>
      <c r="O70" s="203" t="str">
        <f t="shared" si="31"/>
        <v>-</v>
      </c>
      <c r="P70" s="206">
        <f t="shared" si="32"/>
        <v>0</v>
      </c>
      <c r="Q70" s="208">
        <f t="shared" si="33"/>
        <v>0</v>
      </c>
      <c r="R70" s="205">
        <f t="shared" si="34"/>
        <v>1</v>
      </c>
      <c r="S70" s="65">
        <f t="shared" si="37"/>
        <v>0</v>
      </c>
      <c r="T70" s="158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475"/>
      <c r="C71" s="60">
        <v>97</v>
      </c>
      <c r="D71" s="231" t="s">
        <v>199</v>
      </c>
      <c r="E71" s="196">
        <v>46016</v>
      </c>
      <c r="F71" s="196">
        <v>46027</v>
      </c>
      <c r="G71" s="197">
        <f t="shared" si="18"/>
        <v>11</v>
      </c>
      <c r="H71" s="196">
        <f t="shared" si="38"/>
        <v>46016</v>
      </c>
      <c r="I71" s="196">
        <f t="shared" si="39"/>
        <v>46027</v>
      </c>
      <c r="J71" s="200" t="s">
        <v>11</v>
      </c>
      <c r="K71" s="201">
        <v>1</v>
      </c>
      <c r="L71" s="202"/>
      <c r="M71" s="202"/>
      <c r="N71" s="199" t="str">
        <f t="shared" si="30"/>
        <v/>
      </c>
      <c r="O71" s="203" t="str">
        <f t="shared" si="31"/>
        <v>-</v>
      </c>
      <c r="P71" s="206">
        <f t="shared" si="32"/>
        <v>0</v>
      </c>
      <c r="Q71" s="208">
        <f t="shared" si="33"/>
        <v>0</v>
      </c>
      <c r="R71" s="205">
        <f t="shared" si="34"/>
        <v>1</v>
      </c>
      <c r="S71" s="65">
        <f t="shared" si="37"/>
        <v>0</v>
      </c>
      <c r="T71" s="158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475"/>
      <c r="C72" s="60">
        <v>98</v>
      </c>
      <c r="D72" s="231" t="s">
        <v>200</v>
      </c>
      <c r="E72" s="196">
        <f>F75</f>
        <v>46029</v>
      </c>
      <c r="F72" s="196">
        <f>E72+2</f>
        <v>46031</v>
      </c>
      <c r="G72" s="197">
        <f t="shared" si="18"/>
        <v>2</v>
      </c>
      <c r="H72" s="196">
        <f t="shared" si="38"/>
        <v>46029</v>
      </c>
      <c r="I72" s="196">
        <f t="shared" si="39"/>
        <v>46031</v>
      </c>
      <c r="J72" s="200" t="s">
        <v>11</v>
      </c>
      <c r="K72" s="201">
        <v>1</v>
      </c>
      <c r="L72" s="202"/>
      <c r="M72" s="202"/>
      <c r="N72" s="199" t="str">
        <f t="shared" si="30"/>
        <v/>
      </c>
      <c r="O72" s="203" t="str">
        <f t="shared" si="31"/>
        <v>-</v>
      </c>
      <c r="P72" s="206">
        <f t="shared" si="32"/>
        <v>0</v>
      </c>
      <c r="Q72" s="208">
        <f t="shared" si="33"/>
        <v>0</v>
      </c>
      <c r="R72" s="205">
        <f t="shared" si="34"/>
        <v>1</v>
      </c>
      <c r="S72" s="65">
        <f t="shared" si="37"/>
        <v>0</v>
      </c>
      <c r="T72" s="158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475"/>
      <c r="C73" s="60">
        <v>99</v>
      </c>
      <c r="D73" s="231" t="s">
        <v>186</v>
      </c>
      <c r="E73" s="196">
        <v>45966</v>
      </c>
      <c r="F73" s="196">
        <v>45996</v>
      </c>
      <c r="G73" s="197">
        <f t="shared" si="18"/>
        <v>30</v>
      </c>
      <c r="H73" s="196">
        <f t="shared" si="38"/>
        <v>45966</v>
      </c>
      <c r="I73" s="196">
        <f t="shared" si="39"/>
        <v>45996</v>
      </c>
      <c r="J73" s="200" t="s">
        <v>11</v>
      </c>
      <c r="K73" s="201">
        <v>1</v>
      </c>
      <c r="L73" s="202"/>
      <c r="M73" s="202"/>
      <c r="N73" s="199" t="str">
        <f t="shared" si="30"/>
        <v/>
      </c>
      <c r="O73" s="203" t="str">
        <f t="shared" si="31"/>
        <v>-</v>
      </c>
      <c r="P73" s="206">
        <f t="shared" si="32"/>
        <v>0</v>
      </c>
      <c r="Q73" s="208">
        <f t="shared" si="33"/>
        <v>0</v>
      </c>
      <c r="R73" s="205">
        <f t="shared" si="34"/>
        <v>1</v>
      </c>
      <c r="S73" s="65">
        <f t="shared" si="37"/>
        <v>0</v>
      </c>
      <c r="T73" s="158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475"/>
      <c r="C74" s="60">
        <v>100</v>
      </c>
      <c r="D74" s="231" t="s">
        <v>179</v>
      </c>
      <c r="E74" s="196">
        <v>46016</v>
      </c>
      <c r="F74" s="196">
        <f>E74+12</f>
        <v>46028</v>
      </c>
      <c r="G74" s="197">
        <f t="shared" si="18"/>
        <v>12</v>
      </c>
      <c r="H74" s="196">
        <f t="shared" si="38"/>
        <v>46016</v>
      </c>
      <c r="I74" s="196">
        <f t="shared" si="39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40">IF(OR(M74="",L74=""),"",INT(M74-L74+1))</f>
        <v/>
      </c>
      <c r="O74" s="203" t="str">
        <f t="shared" ref="O74:O104" si="41">IFERROR(K74/N74,"-")</f>
        <v>-</v>
      </c>
      <c r="P74" s="206">
        <f t="shared" ref="P74:P104" si="42">IFERROR(SUMIF($U$2:$AT$2,"&lt;="&amp;$D$1,U74:BN74)/K74,"-")</f>
        <v>0</v>
      </c>
      <c r="Q74" s="208">
        <f t="shared" ref="Q74:Q104" si="43">SUMIF($U$2:$AT$2,"&lt;="&amp;$D$1,U74:AT74)</f>
        <v>0</v>
      </c>
      <c r="R74" s="205">
        <f t="shared" ref="R74:R104" si="44">K74-Q74</f>
        <v>1</v>
      </c>
      <c r="S74" s="65">
        <f t="shared" ref="S74:S99" si="45">SUM(U74:XFD74)</f>
        <v>0</v>
      </c>
      <c r="T74" s="158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475"/>
      <c r="C75" s="60">
        <v>101</v>
      </c>
      <c r="D75" s="231" t="s">
        <v>201</v>
      </c>
      <c r="E75" s="196">
        <f>E74+1</f>
        <v>46017</v>
      </c>
      <c r="F75" s="196">
        <f>F74+1</f>
        <v>46029</v>
      </c>
      <c r="G75" s="197">
        <f t="shared" si="18"/>
        <v>12</v>
      </c>
      <c r="H75" s="196">
        <f t="shared" si="38"/>
        <v>46017</v>
      </c>
      <c r="I75" s="196">
        <f t="shared" si="39"/>
        <v>46029</v>
      </c>
      <c r="J75" s="200" t="s">
        <v>11</v>
      </c>
      <c r="K75" s="201">
        <v>1</v>
      </c>
      <c r="L75" s="202"/>
      <c r="M75" s="202"/>
      <c r="N75" s="199" t="str">
        <f t="shared" si="40"/>
        <v/>
      </c>
      <c r="O75" s="203" t="str">
        <f t="shared" si="41"/>
        <v>-</v>
      </c>
      <c r="P75" s="206">
        <f t="shared" si="42"/>
        <v>0</v>
      </c>
      <c r="Q75" s="208">
        <f t="shared" si="43"/>
        <v>0</v>
      </c>
      <c r="R75" s="205">
        <f t="shared" si="44"/>
        <v>1</v>
      </c>
      <c r="S75" s="65">
        <f t="shared" si="45"/>
        <v>0</v>
      </c>
      <c r="T75" s="158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475" t="s">
        <v>202</v>
      </c>
      <c r="C76" s="60">
        <v>102</v>
      </c>
      <c r="D76" s="231" t="s">
        <v>203</v>
      </c>
      <c r="E76" s="196">
        <v>45924</v>
      </c>
      <c r="F76" s="196">
        <v>45950</v>
      </c>
      <c r="G76" s="197">
        <f t="shared" si="18"/>
        <v>26</v>
      </c>
      <c r="H76" s="196">
        <f t="shared" si="38"/>
        <v>45924</v>
      </c>
      <c r="I76" s="196">
        <f t="shared" si="39"/>
        <v>45950</v>
      </c>
      <c r="J76" s="200" t="s">
        <v>2</v>
      </c>
      <c r="K76" s="201">
        <v>26</v>
      </c>
      <c r="L76" s="202"/>
      <c r="M76" s="202"/>
      <c r="N76" s="199" t="str">
        <f t="shared" si="40"/>
        <v/>
      </c>
      <c r="O76" s="203" t="str">
        <f t="shared" si="41"/>
        <v>-</v>
      </c>
      <c r="P76" s="206">
        <f t="shared" si="42"/>
        <v>0</v>
      </c>
      <c r="Q76" s="208">
        <f t="shared" si="43"/>
        <v>0</v>
      </c>
      <c r="R76" s="205">
        <f t="shared" si="44"/>
        <v>26</v>
      </c>
      <c r="S76" s="65">
        <f t="shared" si="45"/>
        <v>0</v>
      </c>
      <c r="T76" s="158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475"/>
      <c r="C77" s="60">
        <v>103</v>
      </c>
      <c r="D77" s="231" t="s">
        <v>205</v>
      </c>
      <c r="E77" s="196">
        <f>E76+5</f>
        <v>45929</v>
      </c>
      <c r="F77" s="196">
        <v>45981</v>
      </c>
      <c r="G77" s="197">
        <f t="shared" si="18"/>
        <v>52</v>
      </c>
      <c r="H77" s="196">
        <f t="shared" si="38"/>
        <v>45929</v>
      </c>
      <c r="I77" s="196">
        <f t="shared" si="39"/>
        <v>45981</v>
      </c>
      <c r="J77" s="200" t="s">
        <v>2</v>
      </c>
      <c r="K77" s="201">
        <v>26</v>
      </c>
      <c r="L77" s="202"/>
      <c r="M77" s="202"/>
      <c r="N77" s="199" t="str">
        <f t="shared" si="40"/>
        <v/>
      </c>
      <c r="O77" s="203" t="str">
        <f t="shared" si="41"/>
        <v>-</v>
      </c>
      <c r="P77" s="206">
        <f t="shared" si="42"/>
        <v>0</v>
      </c>
      <c r="Q77" s="208">
        <f t="shared" si="43"/>
        <v>0</v>
      </c>
      <c r="R77" s="205">
        <f t="shared" si="44"/>
        <v>26</v>
      </c>
      <c r="S77" s="65">
        <f t="shared" si="45"/>
        <v>0</v>
      </c>
      <c r="T77" s="158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475"/>
      <c r="C78" s="60">
        <v>104</v>
      </c>
      <c r="D78" s="231" t="s">
        <v>206</v>
      </c>
      <c r="E78" s="196">
        <f>E77+2</f>
        <v>45931</v>
      </c>
      <c r="F78" s="196">
        <f>F77+2</f>
        <v>45983</v>
      </c>
      <c r="G78" s="197">
        <f t="shared" si="18"/>
        <v>52</v>
      </c>
      <c r="H78" s="196">
        <f t="shared" si="38"/>
        <v>45931</v>
      </c>
      <c r="I78" s="196">
        <f t="shared" si="39"/>
        <v>45983</v>
      </c>
      <c r="J78" s="200" t="s">
        <v>2</v>
      </c>
      <c r="K78" s="201">
        <v>26</v>
      </c>
      <c r="L78" s="202"/>
      <c r="M78" s="202"/>
      <c r="N78" s="199" t="str">
        <f t="shared" si="40"/>
        <v/>
      </c>
      <c r="O78" s="203" t="str">
        <f t="shared" si="41"/>
        <v>-</v>
      </c>
      <c r="P78" s="206">
        <f t="shared" si="42"/>
        <v>0</v>
      </c>
      <c r="Q78" s="208">
        <f t="shared" si="43"/>
        <v>0</v>
      </c>
      <c r="R78" s="205">
        <f t="shared" si="44"/>
        <v>26</v>
      </c>
      <c r="S78" s="65">
        <f t="shared" si="45"/>
        <v>0</v>
      </c>
      <c r="T78" s="158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475" t="s">
        <v>207</v>
      </c>
      <c r="C79" s="60">
        <v>105</v>
      </c>
      <c r="D79" s="231" t="s">
        <v>208</v>
      </c>
      <c r="E79" s="196">
        <v>45889</v>
      </c>
      <c r="F79" s="196">
        <v>46047</v>
      </c>
      <c r="G79" s="197">
        <f t="shared" si="18"/>
        <v>158</v>
      </c>
      <c r="H79" s="196">
        <f t="shared" si="38"/>
        <v>45889</v>
      </c>
      <c r="I79" s="196">
        <f t="shared" si="39"/>
        <v>46047</v>
      </c>
      <c r="J79" s="200" t="s">
        <v>2</v>
      </c>
      <c r="K79" s="201">
        <v>26</v>
      </c>
      <c r="L79" s="202"/>
      <c r="M79" s="202"/>
      <c r="N79" s="199" t="str">
        <f t="shared" si="40"/>
        <v/>
      </c>
      <c r="O79" s="203" t="str">
        <f t="shared" si="41"/>
        <v>-</v>
      </c>
      <c r="P79" s="206">
        <f t="shared" si="42"/>
        <v>0</v>
      </c>
      <c r="Q79" s="208">
        <f t="shared" si="43"/>
        <v>0</v>
      </c>
      <c r="R79" s="205">
        <f t="shared" si="44"/>
        <v>26</v>
      </c>
      <c r="S79" s="65">
        <f t="shared" si="45"/>
        <v>0</v>
      </c>
      <c r="T79" s="158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475"/>
      <c r="C80" s="60">
        <v>106</v>
      </c>
      <c r="D80" s="231" t="s">
        <v>209</v>
      </c>
      <c r="E80" s="196">
        <f>E79</f>
        <v>45889</v>
      </c>
      <c r="F80" s="196">
        <f>F79</f>
        <v>46047</v>
      </c>
      <c r="G80" s="197">
        <f t="shared" si="18"/>
        <v>158</v>
      </c>
      <c r="H80" s="196">
        <f t="shared" si="38"/>
        <v>45889</v>
      </c>
      <c r="I80" s="196">
        <f t="shared" si="39"/>
        <v>46047</v>
      </c>
      <c r="J80" s="200" t="s">
        <v>2</v>
      </c>
      <c r="K80" s="201">
        <v>26</v>
      </c>
      <c r="L80" s="202"/>
      <c r="M80" s="202"/>
      <c r="N80" s="199" t="str">
        <f t="shared" si="40"/>
        <v/>
      </c>
      <c r="O80" s="203" t="str">
        <f t="shared" si="41"/>
        <v>-</v>
      </c>
      <c r="P80" s="206">
        <f t="shared" si="42"/>
        <v>0</v>
      </c>
      <c r="Q80" s="208">
        <f t="shared" si="43"/>
        <v>0</v>
      </c>
      <c r="R80" s="205">
        <f t="shared" si="44"/>
        <v>26</v>
      </c>
      <c r="S80" s="65">
        <f t="shared" si="45"/>
        <v>0</v>
      </c>
      <c r="T80" s="158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475"/>
      <c r="C81" s="60">
        <v>107</v>
      </c>
      <c r="D81" s="231" t="s">
        <v>210</v>
      </c>
      <c r="E81" s="196">
        <f>E80</f>
        <v>45889</v>
      </c>
      <c r="F81" s="196">
        <f>F80</f>
        <v>46047</v>
      </c>
      <c r="G81" s="197">
        <f t="shared" si="18"/>
        <v>158</v>
      </c>
      <c r="H81" s="196">
        <f t="shared" si="38"/>
        <v>45889</v>
      </c>
      <c r="I81" s="196">
        <f t="shared" si="39"/>
        <v>46047</v>
      </c>
      <c r="J81" s="200" t="s">
        <v>2</v>
      </c>
      <c r="K81" s="201">
        <v>26</v>
      </c>
      <c r="L81" s="202"/>
      <c r="M81" s="202"/>
      <c r="N81" s="199" t="str">
        <f t="shared" si="40"/>
        <v/>
      </c>
      <c r="O81" s="203" t="str">
        <f t="shared" si="41"/>
        <v>-</v>
      </c>
      <c r="P81" s="206">
        <f t="shared" si="42"/>
        <v>0</v>
      </c>
      <c r="Q81" s="208">
        <f t="shared" si="43"/>
        <v>0</v>
      </c>
      <c r="R81" s="205">
        <f t="shared" si="44"/>
        <v>26</v>
      </c>
      <c r="S81" s="65">
        <f t="shared" si="45"/>
        <v>0</v>
      </c>
      <c r="T81" s="158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475" t="s">
        <v>211</v>
      </c>
      <c r="C82" s="60">
        <v>108</v>
      </c>
      <c r="D82" s="231" t="s">
        <v>212</v>
      </c>
      <c r="E82" s="196">
        <v>45950</v>
      </c>
      <c r="F82" s="196">
        <f>F81</f>
        <v>46047</v>
      </c>
      <c r="G82" s="197">
        <f t="shared" si="18"/>
        <v>97</v>
      </c>
      <c r="H82" s="196">
        <f t="shared" si="38"/>
        <v>45950</v>
      </c>
      <c r="I82" s="196">
        <f t="shared" si="39"/>
        <v>46047</v>
      </c>
      <c r="J82" s="200" t="s">
        <v>2</v>
      </c>
      <c r="K82" s="201">
        <v>26</v>
      </c>
      <c r="L82" s="202"/>
      <c r="M82" s="202"/>
      <c r="N82" s="199" t="str">
        <f t="shared" si="40"/>
        <v/>
      </c>
      <c r="O82" s="203" t="str">
        <f t="shared" si="41"/>
        <v>-</v>
      </c>
      <c r="P82" s="206">
        <f t="shared" si="42"/>
        <v>0</v>
      </c>
      <c r="Q82" s="208">
        <f t="shared" si="43"/>
        <v>0</v>
      </c>
      <c r="R82" s="205">
        <f t="shared" si="44"/>
        <v>26</v>
      </c>
      <c r="S82" s="65">
        <f t="shared" si="45"/>
        <v>0</v>
      </c>
      <c r="T82" s="158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475"/>
      <c r="C83" s="60">
        <v>109</v>
      </c>
      <c r="D83" s="231" t="s">
        <v>213</v>
      </c>
      <c r="E83" s="196">
        <v>45971</v>
      </c>
      <c r="F83" s="196">
        <v>46011</v>
      </c>
      <c r="G83" s="197">
        <f t="shared" si="18"/>
        <v>40</v>
      </c>
      <c r="H83" s="196">
        <f t="shared" si="38"/>
        <v>45971</v>
      </c>
      <c r="I83" s="196">
        <f t="shared" si="39"/>
        <v>46011</v>
      </c>
      <c r="J83" s="200" t="s">
        <v>2</v>
      </c>
      <c r="K83" s="201">
        <v>26</v>
      </c>
      <c r="L83" s="202"/>
      <c r="M83" s="202"/>
      <c r="N83" s="199" t="str">
        <f t="shared" si="40"/>
        <v/>
      </c>
      <c r="O83" s="203" t="str">
        <f t="shared" si="41"/>
        <v>-</v>
      </c>
      <c r="P83" s="206">
        <f t="shared" si="42"/>
        <v>0</v>
      </c>
      <c r="Q83" s="208">
        <f t="shared" si="43"/>
        <v>0</v>
      </c>
      <c r="R83" s="205">
        <f t="shared" si="44"/>
        <v>26</v>
      </c>
      <c r="S83" s="65">
        <f t="shared" si="45"/>
        <v>0</v>
      </c>
      <c r="T83" s="158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475"/>
      <c r="C84" s="60">
        <v>110</v>
      </c>
      <c r="D84" s="231" t="s">
        <v>214</v>
      </c>
      <c r="E84" s="196">
        <v>45971</v>
      </c>
      <c r="F84" s="196">
        <v>46011</v>
      </c>
      <c r="G84" s="197">
        <f t="shared" si="18"/>
        <v>40</v>
      </c>
      <c r="H84" s="196">
        <f t="shared" si="38"/>
        <v>45971</v>
      </c>
      <c r="I84" s="196">
        <f t="shared" si="39"/>
        <v>46011</v>
      </c>
      <c r="J84" s="200" t="s">
        <v>2</v>
      </c>
      <c r="K84" s="201">
        <v>26</v>
      </c>
      <c r="L84" s="202"/>
      <c r="M84" s="202"/>
      <c r="N84" s="199" t="str">
        <f t="shared" si="40"/>
        <v/>
      </c>
      <c r="O84" s="203" t="str">
        <f t="shared" si="41"/>
        <v>-</v>
      </c>
      <c r="P84" s="206">
        <f t="shared" si="42"/>
        <v>0</v>
      </c>
      <c r="Q84" s="208">
        <f t="shared" si="43"/>
        <v>0</v>
      </c>
      <c r="R84" s="205">
        <f t="shared" si="44"/>
        <v>26</v>
      </c>
      <c r="S84" s="65">
        <f t="shared" si="45"/>
        <v>0</v>
      </c>
      <c r="T84" s="158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475"/>
      <c r="C85" s="60">
        <v>111</v>
      </c>
      <c r="D85" s="231" t="s">
        <v>215</v>
      </c>
      <c r="E85" s="196">
        <v>45971</v>
      </c>
      <c r="F85" s="196">
        <v>46011</v>
      </c>
      <c r="G85" s="197">
        <f t="shared" si="18"/>
        <v>40</v>
      </c>
      <c r="H85" s="196">
        <f t="shared" si="38"/>
        <v>45971</v>
      </c>
      <c r="I85" s="196">
        <f t="shared" si="39"/>
        <v>46011</v>
      </c>
      <c r="J85" s="200" t="s">
        <v>2</v>
      </c>
      <c r="K85" s="201">
        <v>26</v>
      </c>
      <c r="L85" s="202"/>
      <c r="M85" s="202"/>
      <c r="N85" s="199" t="str">
        <f t="shared" si="40"/>
        <v/>
      </c>
      <c r="O85" s="203" t="str">
        <f t="shared" si="41"/>
        <v>-</v>
      </c>
      <c r="P85" s="206">
        <f t="shared" si="42"/>
        <v>0</v>
      </c>
      <c r="Q85" s="208">
        <f t="shared" si="43"/>
        <v>0</v>
      </c>
      <c r="R85" s="205">
        <f t="shared" si="44"/>
        <v>26</v>
      </c>
      <c r="S85" s="65">
        <f t="shared" si="45"/>
        <v>0</v>
      </c>
      <c r="T85" s="158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475"/>
      <c r="C86" s="60">
        <v>112</v>
      </c>
      <c r="D86" s="231" t="s">
        <v>216</v>
      </c>
      <c r="E86" s="196">
        <v>45971</v>
      </c>
      <c r="F86" s="196">
        <v>46011</v>
      </c>
      <c r="G86" s="197">
        <f t="shared" si="18"/>
        <v>40</v>
      </c>
      <c r="H86" s="196">
        <f t="shared" si="38"/>
        <v>45971</v>
      </c>
      <c r="I86" s="196">
        <f t="shared" si="39"/>
        <v>46011</v>
      </c>
      <c r="J86" s="200" t="s">
        <v>2</v>
      </c>
      <c r="K86" s="201">
        <v>26</v>
      </c>
      <c r="L86" s="202"/>
      <c r="M86" s="202"/>
      <c r="N86" s="199" t="str">
        <f t="shared" si="40"/>
        <v/>
      </c>
      <c r="O86" s="203" t="str">
        <f t="shared" si="41"/>
        <v>-</v>
      </c>
      <c r="P86" s="206">
        <f t="shared" si="42"/>
        <v>0</v>
      </c>
      <c r="Q86" s="208">
        <f t="shared" si="43"/>
        <v>0</v>
      </c>
      <c r="R86" s="205">
        <f t="shared" si="44"/>
        <v>26</v>
      </c>
      <c r="S86" s="65">
        <f t="shared" si="45"/>
        <v>0</v>
      </c>
      <c r="T86" s="158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475"/>
      <c r="C87" s="60">
        <v>113</v>
      </c>
      <c r="D87" s="231" t="s">
        <v>217</v>
      </c>
      <c r="E87" s="196">
        <v>45971</v>
      </c>
      <c r="F87" s="196">
        <v>46011</v>
      </c>
      <c r="G87" s="197">
        <f t="shared" si="18"/>
        <v>40</v>
      </c>
      <c r="H87" s="196">
        <f t="shared" si="38"/>
        <v>45971</v>
      </c>
      <c r="I87" s="196">
        <f t="shared" si="39"/>
        <v>46011</v>
      </c>
      <c r="J87" s="200" t="s">
        <v>2</v>
      </c>
      <c r="K87" s="201">
        <v>26</v>
      </c>
      <c r="L87" s="202"/>
      <c r="M87" s="202"/>
      <c r="N87" s="199" t="str">
        <f t="shared" si="40"/>
        <v/>
      </c>
      <c r="O87" s="203" t="str">
        <f t="shared" si="41"/>
        <v>-</v>
      </c>
      <c r="P87" s="206">
        <f t="shared" si="42"/>
        <v>0</v>
      </c>
      <c r="Q87" s="208">
        <f t="shared" si="43"/>
        <v>0</v>
      </c>
      <c r="R87" s="205">
        <f t="shared" si="44"/>
        <v>26</v>
      </c>
      <c r="S87" s="65">
        <f t="shared" si="45"/>
        <v>0</v>
      </c>
      <c r="T87" s="158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475"/>
      <c r="C88" s="60">
        <v>114</v>
      </c>
      <c r="D88" s="231" t="s">
        <v>218</v>
      </c>
      <c r="E88" s="196">
        <v>45971</v>
      </c>
      <c r="F88" s="196">
        <v>46011</v>
      </c>
      <c r="G88" s="197">
        <f t="shared" si="18"/>
        <v>40</v>
      </c>
      <c r="H88" s="196">
        <f t="shared" si="38"/>
        <v>45971</v>
      </c>
      <c r="I88" s="196">
        <f t="shared" si="39"/>
        <v>46011</v>
      </c>
      <c r="J88" s="200" t="s">
        <v>2</v>
      </c>
      <c r="K88" s="201">
        <v>26</v>
      </c>
      <c r="L88" s="202"/>
      <c r="M88" s="202"/>
      <c r="N88" s="199" t="str">
        <f t="shared" si="40"/>
        <v/>
      </c>
      <c r="O88" s="203" t="str">
        <f t="shared" si="41"/>
        <v>-</v>
      </c>
      <c r="P88" s="206">
        <f t="shared" si="42"/>
        <v>0</v>
      </c>
      <c r="Q88" s="208">
        <f t="shared" si="43"/>
        <v>0</v>
      </c>
      <c r="R88" s="205">
        <f t="shared" si="44"/>
        <v>26</v>
      </c>
      <c r="S88" s="65">
        <f t="shared" si="45"/>
        <v>0</v>
      </c>
      <c r="T88" s="158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475" t="s">
        <v>219</v>
      </c>
      <c r="C89" s="60">
        <v>115</v>
      </c>
      <c r="D89" s="231" t="s">
        <v>220</v>
      </c>
      <c r="E89" s="196">
        <f>E68+2</f>
        <v>46018</v>
      </c>
      <c r="F89" s="196">
        <f>F68+2</f>
        <v>46026</v>
      </c>
      <c r="G89" s="197">
        <f t="shared" si="18"/>
        <v>8</v>
      </c>
      <c r="H89" s="196">
        <f t="shared" si="38"/>
        <v>46018</v>
      </c>
      <c r="I89" s="196">
        <f t="shared" si="39"/>
        <v>46026</v>
      </c>
      <c r="J89" s="200" t="s">
        <v>11</v>
      </c>
      <c r="K89" s="201">
        <v>1</v>
      </c>
      <c r="L89" s="202"/>
      <c r="M89" s="202"/>
      <c r="N89" s="199" t="str">
        <f t="shared" si="40"/>
        <v/>
      </c>
      <c r="O89" s="203" t="str">
        <f t="shared" si="41"/>
        <v>-</v>
      </c>
      <c r="P89" s="206">
        <f t="shared" si="42"/>
        <v>0</v>
      </c>
      <c r="Q89" s="208">
        <f t="shared" si="43"/>
        <v>0</v>
      </c>
      <c r="R89" s="205">
        <f t="shared" si="44"/>
        <v>1</v>
      </c>
      <c r="S89" s="65">
        <f t="shared" si="45"/>
        <v>0</v>
      </c>
      <c r="T89" s="158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475"/>
      <c r="C90" s="60">
        <v>116</v>
      </c>
      <c r="D90" s="231" t="s">
        <v>221</v>
      </c>
      <c r="E90" s="196">
        <f>E89</f>
        <v>46018</v>
      </c>
      <c r="F90" s="196">
        <f>F89</f>
        <v>46026</v>
      </c>
      <c r="G90" s="197">
        <f t="shared" si="18"/>
        <v>8</v>
      </c>
      <c r="H90" s="196">
        <f t="shared" si="38"/>
        <v>46018</v>
      </c>
      <c r="I90" s="196">
        <f t="shared" si="39"/>
        <v>46026</v>
      </c>
      <c r="J90" s="200" t="s">
        <v>11</v>
      </c>
      <c r="K90" s="201">
        <v>1</v>
      </c>
      <c r="L90" s="202"/>
      <c r="M90" s="202"/>
      <c r="N90" s="199" t="str">
        <f t="shared" si="40"/>
        <v/>
      </c>
      <c r="O90" s="203" t="str">
        <f t="shared" si="41"/>
        <v>-</v>
      </c>
      <c r="P90" s="206">
        <f t="shared" si="42"/>
        <v>0</v>
      </c>
      <c r="Q90" s="208">
        <f t="shared" si="43"/>
        <v>0</v>
      </c>
      <c r="R90" s="205">
        <f t="shared" si="44"/>
        <v>1</v>
      </c>
      <c r="S90" s="65">
        <f t="shared" si="45"/>
        <v>0</v>
      </c>
      <c r="T90" s="158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475"/>
      <c r="C91" s="60">
        <v>117</v>
      </c>
      <c r="D91" s="231" t="s">
        <v>222</v>
      </c>
      <c r="E91" s="196">
        <f>E90</f>
        <v>46018</v>
      </c>
      <c r="F91" s="196">
        <f>F90</f>
        <v>46026</v>
      </c>
      <c r="G91" s="197">
        <f t="shared" si="18"/>
        <v>8</v>
      </c>
      <c r="H91" s="196">
        <f t="shared" si="38"/>
        <v>46018</v>
      </c>
      <c r="I91" s="196">
        <f t="shared" si="39"/>
        <v>46026</v>
      </c>
      <c r="J91" s="200" t="s">
        <v>11</v>
      </c>
      <c r="K91" s="201">
        <v>1</v>
      </c>
      <c r="L91" s="202"/>
      <c r="M91" s="202"/>
      <c r="N91" s="199" t="str">
        <f t="shared" si="40"/>
        <v/>
      </c>
      <c r="O91" s="203" t="str">
        <f t="shared" si="41"/>
        <v>-</v>
      </c>
      <c r="P91" s="206">
        <f t="shared" si="42"/>
        <v>0</v>
      </c>
      <c r="Q91" s="208">
        <f t="shared" si="43"/>
        <v>0</v>
      </c>
      <c r="R91" s="205">
        <f t="shared" si="44"/>
        <v>1</v>
      </c>
      <c r="S91" s="65">
        <f t="shared" si="45"/>
        <v>0</v>
      </c>
      <c r="T91" s="158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475"/>
      <c r="C92" s="60">
        <v>118</v>
      </c>
      <c r="D92" s="231" t="s">
        <v>217</v>
      </c>
      <c r="E92" s="196">
        <v>45919</v>
      </c>
      <c r="F92" s="196">
        <v>46009</v>
      </c>
      <c r="G92" s="197">
        <f t="shared" ref="G92:G120" si="46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40"/>
        <v/>
      </c>
      <c r="O92" s="203" t="str">
        <f t="shared" si="41"/>
        <v>-</v>
      </c>
      <c r="P92" s="206">
        <f t="shared" si="42"/>
        <v>0</v>
      </c>
      <c r="Q92" s="208">
        <f t="shared" si="43"/>
        <v>0</v>
      </c>
      <c r="R92" s="205">
        <f t="shared" si="44"/>
        <v>1</v>
      </c>
      <c r="S92" s="65">
        <f t="shared" si="45"/>
        <v>0</v>
      </c>
      <c r="T92" s="158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475"/>
      <c r="C93" s="60">
        <v>119</v>
      </c>
      <c r="D93" s="231" t="s">
        <v>218</v>
      </c>
      <c r="E93" s="196">
        <v>45919</v>
      </c>
      <c r="F93" s="196">
        <v>46011</v>
      </c>
      <c r="G93" s="197">
        <f t="shared" si="46"/>
        <v>92</v>
      </c>
      <c r="H93" s="196">
        <f t="shared" ref="H93:H120" si="47">E93</f>
        <v>45919</v>
      </c>
      <c r="I93" s="196">
        <f t="shared" ref="I93:I120" si="48">F93</f>
        <v>46011</v>
      </c>
      <c r="J93" s="200" t="s">
        <v>11</v>
      </c>
      <c r="K93" s="201">
        <v>1</v>
      </c>
      <c r="L93" s="202"/>
      <c r="M93" s="202"/>
      <c r="N93" s="199" t="str">
        <f t="shared" si="40"/>
        <v/>
      </c>
      <c r="O93" s="203" t="str">
        <f t="shared" si="41"/>
        <v>-</v>
      </c>
      <c r="P93" s="206">
        <f t="shared" si="42"/>
        <v>0</v>
      </c>
      <c r="Q93" s="208">
        <f t="shared" si="43"/>
        <v>0</v>
      </c>
      <c r="R93" s="205">
        <f t="shared" si="44"/>
        <v>1</v>
      </c>
      <c r="S93" s="65">
        <f t="shared" si="45"/>
        <v>0</v>
      </c>
      <c r="T93" s="158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475" t="s">
        <v>223</v>
      </c>
      <c r="C94" s="60">
        <v>120</v>
      </c>
      <c r="D94" s="231" t="s">
        <v>224</v>
      </c>
      <c r="E94" s="196">
        <v>45940</v>
      </c>
      <c r="F94" s="196">
        <v>46006</v>
      </c>
      <c r="G94" s="197">
        <f t="shared" si="46"/>
        <v>66</v>
      </c>
      <c r="H94" s="196">
        <f t="shared" si="47"/>
        <v>45940</v>
      </c>
      <c r="I94" s="196">
        <f t="shared" si="48"/>
        <v>46006</v>
      </c>
      <c r="J94" s="200" t="s">
        <v>2</v>
      </c>
      <c r="K94" s="201">
        <v>26</v>
      </c>
      <c r="L94" s="202"/>
      <c r="M94" s="202"/>
      <c r="N94" s="199" t="str">
        <f t="shared" si="40"/>
        <v/>
      </c>
      <c r="O94" s="203" t="str">
        <f t="shared" si="41"/>
        <v>-</v>
      </c>
      <c r="P94" s="206">
        <f t="shared" si="42"/>
        <v>0</v>
      </c>
      <c r="Q94" s="208">
        <f t="shared" si="43"/>
        <v>0</v>
      </c>
      <c r="R94" s="205">
        <f t="shared" si="44"/>
        <v>26</v>
      </c>
      <c r="S94" s="65">
        <f t="shared" si="45"/>
        <v>0</v>
      </c>
      <c r="T94" s="158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475"/>
      <c r="C95" s="60">
        <v>121</v>
      </c>
      <c r="D95" s="231" t="s">
        <v>225</v>
      </c>
      <c r="E95" s="196">
        <v>45992</v>
      </c>
      <c r="F95" s="196">
        <v>46011</v>
      </c>
      <c r="G95" s="197">
        <f t="shared" si="46"/>
        <v>19</v>
      </c>
      <c r="H95" s="196">
        <f t="shared" si="47"/>
        <v>45992</v>
      </c>
      <c r="I95" s="196">
        <f t="shared" si="48"/>
        <v>46011</v>
      </c>
      <c r="J95" s="200" t="s">
        <v>2</v>
      </c>
      <c r="K95" s="201">
        <v>26</v>
      </c>
      <c r="L95" s="202"/>
      <c r="M95" s="202"/>
      <c r="N95" s="199" t="str">
        <f t="shared" si="40"/>
        <v/>
      </c>
      <c r="O95" s="203" t="str">
        <f t="shared" si="41"/>
        <v>-</v>
      </c>
      <c r="P95" s="206">
        <f t="shared" si="42"/>
        <v>0</v>
      </c>
      <c r="Q95" s="208">
        <f t="shared" si="43"/>
        <v>0</v>
      </c>
      <c r="R95" s="205">
        <f t="shared" si="44"/>
        <v>26</v>
      </c>
      <c r="S95" s="65">
        <f t="shared" si="45"/>
        <v>0</v>
      </c>
      <c r="T95" s="158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475"/>
      <c r="C96" s="60">
        <v>122</v>
      </c>
      <c r="D96" s="231" t="s">
        <v>430</v>
      </c>
      <c r="E96" s="196">
        <v>45962</v>
      </c>
      <c r="F96" s="196">
        <v>45996</v>
      </c>
      <c r="G96" s="197">
        <f t="shared" si="46"/>
        <v>34</v>
      </c>
      <c r="H96" s="196">
        <f t="shared" si="47"/>
        <v>45962</v>
      </c>
      <c r="I96" s="196">
        <f t="shared" si="48"/>
        <v>45996</v>
      </c>
      <c r="J96" s="200" t="s">
        <v>2</v>
      </c>
      <c r="K96" s="201">
        <v>26</v>
      </c>
      <c r="L96" s="202"/>
      <c r="M96" s="202"/>
      <c r="N96" s="199" t="str">
        <f t="shared" si="40"/>
        <v/>
      </c>
      <c r="O96" s="203" t="str">
        <f t="shared" si="41"/>
        <v>-</v>
      </c>
      <c r="P96" s="206">
        <f t="shared" si="42"/>
        <v>0</v>
      </c>
      <c r="Q96" s="208">
        <f t="shared" si="43"/>
        <v>0</v>
      </c>
      <c r="R96" s="205">
        <f t="shared" si="44"/>
        <v>26</v>
      </c>
      <c r="S96" s="65">
        <f t="shared" si="45"/>
        <v>0</v>
      </c>
      <c r="T96" s="158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489" t="s">
        <v>226</v>
      </c>
      <c r="C97" s="60">
        <v>123</v>
      </c>
      <c r="D97" s="231" t="s">
        <v>227</v>
      </c>
      <c r="E97" s="196">
        <v>45986</v>
      </c>
      <c r="F97" s="196">
        <v>46016</v>
      </c>
      <c r="G97" s="197">
        <f t="shared" si="46"/>
        <v>30</v>
      </c>
      <c r="H97" s="196">
        <f t="shared" si="47"/>
        <v>45986</v>
      </c>
      <c r="I97" s="196">
        <f t="shared" si="48"/>
        <v>46016</v>
      </c>
      <c r="J97" s="200" t="s">
        <v>2</v>
      </c>
      <c r="K97" s="201">
        <v>26</v>
      </c>
      <c r="L97" s="202"/>
      <c r="M97" s="202"/>
      <c r="N97" s="199" t="str">
        <f t="shared" si="40"/>
        <v/>
      </c>
      <c r="O97" s="203" t="str">
        <f t="shared" si="41"/>
        <v>-</v>
      </c>
      <c r="P97" s="206">
        <f t="shared" si="42"/>
        <v>0</v>
      </c>
      <c r="Q97" s="208">
        <f t="shared" si="43"/>
        <v>0</v>
      </c>
      <c r="R97" s="205">
        <f t="shared" si="44"/>
        <v>26</v>
      </c>
      <c r="S97" s="65">
        <f t="shared" si="45"/>
        <v>0</v>
      </c>
      <c r="T97" s="158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489"/>
      <c r="C98" s="60">
        <v>124</v>
      </c>
      <c r="D98" s="231" t="s">
        <v>228</v>
      </c>
      <c r="E98" s="196">
        <v>45984</v>
      </c>
      <c r="F98" s="196">
        <v>46008</v>
      </c>
      <c r="G98" s="197">
        <f t="shared" si="46"/>
        <v>24</v>
      </c>
      <c r="H98" s="196">
        <f t="shared" si="47"/>
        <v>45984</v>
      </c>
      <c r="I98" s="196">
        <f t="shared" si="48"/>
        <v>46008</v>
      </c>
      <c r="J98" s="200" t="s">
        <v>2</v>
      </c>
      <c r="K98" s="201">
        <v>26</v>
      </c>
      <c r="L98" s="202"/>
      <c r="M98" s="202"/>
      <c r="N98" s="199" t="str">
        <f t="shared" si="40"/>
        <v/>
      </c>
      <c r="O98" s="203" t="str">
        <f t="shared" si="41"/>
        <v>-</v>
      </c>
      <c r="P98" s="206">
        <f t="shared" si="42"/>
        <v>0</v>
      </c>
      <c r="Q98" s="208">
        <f t="shared" si="43"/>
        <v>0</v>
      </c>
      <c r="R98" s="205">
        <f t="shared" si="44"/>
        <v>26</v>
      </c>
      <c r="S98" s="65">
        <f t="shared" si="45"/>
        <v>0</v>
      </c>
      <c r="T98" s="158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489"/>
      <c r="C99" s="60">
        <v>125</v>
      </c>
      <c r="D99" s="231" t="s">
        <v>434</v>
      </c>
      <c r="E99" s="196">
        <v>45988</v>
      </c>
      <c r="F99" s="196">
        <v>46007</v>
      </c>
      <c r="G99" s="197">
        <f t="shared" si="46"/>
        <v>19</v>
      </c>
      <c r="H99" s="196">
        <f t="shared" si="47"/>
        <v>45988</v>
      </c>
      <c r="I99" s="196">
        <f t="shared" si="48"/>
        <v>46007</v>
      </c>
      <c r="J99" s="200" t="s">
        <v>2</v>
      </c>
      <c r="K99" s="201">
        <v>26</v>
      </c>
      <c r="L99" s="202"/>
      <c r="M99" s="202"/>
      <c r="N99" s="199" t="str">
        <f t="shared" si="40"/>
        <v/>
      </c>
      <c r="O99" s="203" t="str">
        <f t="shared" si="41"/>
        <v>-</v>
      </c>
      <c r="P99" s="206">
        <f t="shared" si="42"/>
        <v>0</v>
      </c>
      <c r="Q99" s="208">
        <f t="shared" si="43"/>
        <v>0</v>
      </c>
      <c r="R99" s="205">
        <f t="shared" si="44"/>
        <v>26</v>
      </c>
      <c r="S99" s="65">
        <f t="shared" si="45"/>
        <v>0</v>
      </c>
      <c r="T99" s="158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489"/>
      <c r="C100" s="60">
        <v>127</v>
      </c>
      <c r="D100" s="231" t="s">
        <v>231</v>
      </c>
      <c r="E100" s="196">
        <v>45978</v>
      </c>
      <c r="F100" s="196">
        <v>45984</v>
      </c>
      <c r="G100" s="197">
        <f t="shared" si="46"/>
        <v>6</v>
      </c>
      <c r="H100" s="196">
        <f t="shared" si="47"/>
        <v>45978</v>
      </c>
      <c r="I100" s="196">
        <f t="shared" si="48"/>
        <v>45984</v>
      </c>
      <c r="J100" s="200" t="s">
        <v>2</v>
      </c>
      <c r="K100" s="201">
        <v>26</v>
      </c>
      <c r="L100" s="202"/>
      <c r="M100" s="202"/>
      <c r="N100" s="199" t="str">
        <f t="shared" si="40"/>
        <v/>
      </c>
      <c r="O100" s="203" t="str">
        <f t="shared" si="41"/>
        <v>-</v>
      </c>
      <c r="P100" s="206">
        <f t="shared" si="42"/>
        <v>0</v>
      </c>
      <c r="Q100" s="208">
        <f t="shared" si="43"/>
        <v>0</v>
      </c>
      <c r="R100" s="205">
        <f t="shared" si="44"/>
        <v>26</v>
      </c>
      <c r="S100" s="65">
        <f t="shared" ref="S100:S120" si="49">SUM(U100:XFD100)</f>
        <v>0</v>
      </c>
      <c r="T100" s="158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489"/>
      <c r="C101" s="60">
        <v>128</v>
      </c>
      <c r="D101" s="231" t="s">
        <v>435</v>
      </c>
      <c r="E101" s="196">
        <v>45985</v>
      </c>
      <c r="F101" s="196">
        <v>45989</v>
      </c>
      <c r="G101" s="197">
        <f t="shared" si="46"/>
        <v>4</v>
      </c>
      <c r="H101" s="196">
        <f t="shared" si="47"/>
        <v>45985</v>
      </c>
      <c r="I101" s="196">
        <f t="shared" si="48"/>
        <v>45989</v>
      </c>
      <c r="J101" s="200" t="s">
        <v>2</v>
      </c>
      <c r="K101" s="201">
        <v>26</v>
      </c>
      <c r="L101" s="202"/>
      <c r="M101" s="202"/>
      <c r="N101" s="199" t="str">
        <f t="shared" si="40"/>
        <v/>
      </c>
      <c r="O101" s="203" t="str">
        <f t="shared" si="41"/>
        <v>-</v>
      </c>
      <c r="P101" s="206">
        <f t="shared" si="42"/>
        <v>0</v>
      </c>
      <c r="Q101" s="208">
        <f t="shared" si="43"/>
        <v>0</v>
      </c>
      <c r="R101" s="205">
        <f t="shared" si="44"/>
        <v>26</v>
      </c>
      <c r="S101" s="65">
        <f t="shared" si="49"/>
        <v>0</v>
      </c>
      <c r="T101" s="158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489"/>
      <c r="C102" s="60">
        <v>129</v>
      </c>
      <c r="D102" s="231" t="s">
        <v>436</v>
      </c>
      <c r="E102" s="196">
        <v>45985</v>
      </c>
      <c r="F102" s="196">
        <v>45992</v>
      </c>
      <c r="G102" s="197">
        <f t="shared" si="46"/>
        <v>7</v>
      </c>
      <c r="H102" s="196">
        <f t="shared" si="47"/>
        <v>45985</v>
      </c>
      <c r="I102" s="196">
        <f t="shared" si="48"/>
        <v>45992</v>
      </c>
      <c r="J102" s="200" t="s">
        <v>2</v>
      </c>
      <c r="K102" s="201">
        <v>26</v>
      </c>
      <c r="L102" s="202"/>
      <c r="M102" s="202"/>
      <c r="N102" s="199" t="str">
        <f t="shared" si="40"/>
        <v/>
      </c>
      <c r="O102" s="203" t="str">
        <f t="shared" si="41"/>
        <v>-</v>
      </c>
      <c r="P102" s="206">
        <f t="shared" si="42"/>
        <v>0</v>
      </c>
      <c r="Q102" s="208">
        <f t="shared" si="43"/>
        <v>0</v>
      </c>
      <c r="R102" s="205">
        <f t="shared" si="44"/>
        <v>26</v>
      </c>
      <c r="S102" s="65">
        <f t="shared" si="49"/>
        <v>0</v>
      </c>
      <c r="T102" s="158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489"/>
      <c r="C103" s="60">
        <v>130</v>
      </c>
      <c r="D103" s="231" t="s">
        <v>234</v>
      </c>
      <c r="E103" s="196">
        <v>45988</v>
      </c>
      <c r="F103" s="196">
        <v>46017</v>
      </c>
      <c r="G103" s="197">
        <f t="shared" si="46"/>
        <v>29</v>
      </c>
      <c r="H103" s="196">
        <f t="shared" si="47"/>
        <v>45988</v>
      </c>
      <c r="I103" s="196">
        <f t="shared" si="48"/>
        <v>46017</v>
      </c>
      <c r="J103" s="200" t="s">
        <v>2</v>
      </c>
      <c r="K103" s="201">
        <v>26</v>
      </c>
      <c r="L103" s="202"/>
      <c r="M103" s="202"/>
      <c r="N103" s="199" t="str">
        <f t="shared" si="40"/>
        <v/>
      </c>
      <c r="O103" s="203" t="str">
        <f t="shared" si="41"/>
        <v>-</v>
      </c>
      <c r="P103" s="206">
        <f t="shared" si="42"/>
        <v>0</v>
      </c>
      <c r="Q103" s="208">
        <f t="shared" si="43"/>
        <v>0</v>
      </c>
      <c r="R103" s="205">
        <f t="shared" si="44"/>
        <v>26</v>
      </c>
      <c r="S103" s="65">
        <f t="shared" si="49"/>
        <v>0</v>
      </c>
      <c r="T103" s="158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489"/>
      <c r="C104" s="60">
        <v>131</v>
      </c>
      <c r="D104" s="231" t="s">
        <v>431</v>
      </c>
      <c r="E104" s="196">
        <v>45997</v>
      </c>
      <c r="F104" s="196">
        <v>46028</v>
      </c>
      <c r="G104" s="197">
        <f t="shared" si="46"/>
        <v>31</v>
      </c>
      <c r="H104" s="196">
        <f t="shared" si="47"/>
        <v>45997</v>
      </c>
      <c r="I104" s="196">
        <f t="shared" si="48"/>
        <v>46028</v>
      </c>
      <c r="J104" s="200" t="s">
        <v>2</v>
      </c>
      <c r="K104" s="201">
        <v>26</v>
      </c>
      <c r="L104" s="202"/>
      <c r="M104" s="202"/>
      <c r="N104" s="199" t="str">
        <f t="shared" si="40"/>
        <v/>
      </c>
      <c r="O104" s="203" t="str">
        <f t="shared" si="41"/>
        <v>-</v>
      </c>
      <c r="P104" s="206">
        <f t="shared" si="42"/>
        <v>0</v>
      </c>
      <c r="Q104" s="208">
        <f t="shared" si="43"/>
        <v>0</v>
      </c>
      <c r="R104" s="205">
        <f t="shared" si="44"/>
        <v>26</v>
      </c>
      <c r="S104" s="65">
        <f t="shared" si="49"/>
        <v>0</v>
      </c>
      <c r="T104" s="158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489"/>
      <c r="C105" s="60">
        <v>132</v>
      </c>
      <c r="D105" s="231" t="s">
        <v>236</v>
      </c>
      <c r="E105" s="196">
        <v>46006</v>
      </c>
      <c r="F105" s="196">
        <v>46004</v>
      </c>
      <c r="G105" s="197">
        <f t="shared" si="46"/>
        <v>-2</v>
      </c>
      <c r="H105" s="196">
        <f t="shared" si="47"/>
        <v>46006</v>
      </c>
      <c r="I105" s="196">
        <f t="shared" si="48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50">IF(OR(M105="",L105=""),"",INT(M105-L105+1))</f>
        <v/>
      </c>
      <c r="O105" s="203" t="str">
        <f t="shared" ref="O105:O120" si="51">IFERROR(K105/N105,"-")</f>
        <v>-</v>
      </c>
      <c r="P105" s="206">
        <f t="shared" ref="P105:P120" si="52">IFERROR(SUMIF($U$2:$AT$2,"&lt;="&amp;$D$1,U105:BN105)/K105,"-")</f>
        <v>0</v>
      </c>
      <c r="Q105" s="208">
        <f t="shared" ref="Q105:Q120" si="53">SUMIF($U$2:$AT$2,"&lt;="&amp;$D$1,U105:AT105)</f>
        <v>0</v>
      </c>
      <c r="R105" s="205">
        <f t="shared" ref="R105:R115" si="54">K105-Q105</f>
        <v>26</v>
      </c>
      <c r="S105" s="65">
        <f t="shared" si="49"/>
        <v>0</v>
      </c>
      <c r="T105" s="158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489"/>
      <c r="C106" s="60">
        <v>133</v>
      </c>
      <c r="D106" s="231" t="s">
        <v>237</v>
      </c>
      <c r="E106" s="196">
        <v>46016</v>
      </c>
      <c r="F106" s="196">
        <v>46032</v>
      </c>
      <c r="G106" s="197">
        <f t="shared" si="46"/>
        <v>16</v>
      </c>
      <c r="H106" s="196">
        <f t="shared" si="47"/>
        <v>46016</v>
      </c>
      <c r="I106" s="196">
        <f t="shared" si="48"/>
        <v>46032</v>
      </c>
      <c r="J106" s="200" t="s">
        <v>2</v>
      </c>
      <c r="K106" s="201">
        <v>26</v>
      </c>
      <c r="L106" s="202"/>
      <c r="M106" s="202"/>
      <c r="N106" s="199" t="str">
        <f t="shared" si="50"/>
        <v/>
      </c>
      <c r="O106" s="203" t="str">
        <f t="shared" si="51"/>
        <v>-</v>
      </c>
      <c r="P106" s="206">
        <f t="shared" si="52"/>
        <v>0</v>
      </c>
      <c r="Q106" s="208">
        <f t="shared" si="53"/>
        <v>0</v>
      </c>
      <c r="R106" s="205">
        <f t="shared" si="54"/>
        <v>26</v>
      </c>
      <c r="S106" s="65">
        <f t="shared" si="49"/>
        <v>0</v>
      </c>
      <c r="T106" s="158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489" t="s">
        <v>238</v>
      </c>
      <c r="C107" s="60">
        <v>134</v>
      </c>
      <c r="D107" s="231" t="s">
        <v>239</v>
      </c>
      <c r="E107" s="196">
        <v>45914</v>
      </c>
      <c r="F107" s="196">
        <v>45966</v>
      </c>
      <c r="G107" s="197">
        <f t="shared" si="46"/>
        <v>52</v>
      </c>
      <c r="H107" s="196">
        <f t="shared" si="47"/>
        <v>45914</v>
      </c>
      <c r="I107" s="196">
        <f t="shared" si="48"/>
        <v>45966</v>
      </c>
      <c r="J107" s="210" t="s">
        <v>13</v>
      </c>
      <c r="K107" s="201">
        <v>1173</v>
      </c>
      <c r="L107" s="202"/>
      <c r="M107" s="202"/>
      <c r="N107" s="199" t="str">
        <f t="shared" si="50"/>
        <v/>
      </c>
      <c r="O107" s="203" t="str">
        <f t="shared" si="51"/>
        <v>-</v>
      </c>
      <c r="P107" s="206">
        <f t="shared" si="52"/>
        <v>0</v>
      </c>
      <c r="Q107" s="208">
        <f t="shared" si="53"/>
        <v>0</v>
      </c>
      <c r="R107" s="205">
        <f t="shared" si="54"/>
        <v>1173</v>
      </c>
      <c r="S107" s="65">
        <f t="shared" si="49"/>
        <v>0</v>
      </c>
      <c r="T107" s="158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489"/>
      <c r="C108" s="60">
        <v>135</v>
      </c>
      <c r="D108" s="231" t="s">
        <v>240</v>
      </c>
      <c r="E108" s="196">
        <v>45935</v>
      </c>
      <c r="F108" s="196">
        <v>45974</v>
      </c>
      <c r="G108" s="197">
        <f t="shared" si="46"/>
        <v>39</v>
      </c>
      <c r="H108" s="196">
        <f t="shared" si="47"/>
        <v>45935</v>
      </c>
      <c r="I108" s="196">
        <f t="shared" si="48"/>
        <v>45974</v>
      </c>
      <c r="J108" s="210" t="s">
        <v>13</v>
      </c>
      <c r="K108" s="201">
        <v>1173</v>
      </c>
      <c r="L108" s="202"/>
      <c r="M108" s="202"/>
      <c r="N108" s="199" t="str">
        <f t="shared" si="50"/>
        <v/>
      </c>
      <c r="O108" s="203" t="str">
        <f t="shared" si="51"/>
        <v>-</v>
      </c>
      <c r="P108" s="206">
        <f t="shared" si="52"/>
        <v>0</v>
      </c>
      <c r="Q108" s="208">
        <f t="shared" si="53"/>
        <v>0</v>
      </c>
      <c r="R108" s="205">
        <f t="shared" si="54"/>
        <v>1173</v>
      </c>
      <c r="S108" s="65">
        <f t="shared" si="49"/>
        <v>0</v>
      </c>
      <c r="T108" s="158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489"/>
      <c r="C109" s="60">
        <v>136</v>
      </c>
      <c r="D109" s="231" t="s">
        <v>241</v>
      </c>
      <c r="E109" s="196">
        <v>45976</v>
      </c>
      <c r="F109" s="196">
        <v>45996</v>
      </c>
      <c r="G109" s="197">
        <f t="shared" si="46"/>
        <v>20</v>
      </c>
      <c r="H109" s="196">
        <f t="shared" si="47"/>
        <v>45976</v>
      </c>
      <c r="I109" s="196">
        <f t="shared" si="48"/>
        <v>45996</v>
      </c>
      <c r="J109" s="210" t="s">
        <v>13</v>
      </c>
      <c r="K109" s="201">
        <v>1173</v>
      </c>
      <c r="L109" s="202"/>
      <c r="M109" s="202"/>
      <c r="N109" s="199" t="str">
        <f t="shared" si="50"/>
        <v/>
      </c>
      <c r="O109" s="203" t="str">
        <f t="shared" si="51"/>
        <v>-</v>
      </c>
      <c r="P109" s="206">
        <f t="shared" si="52"/>
        <v>0</v>
      </c>
      <c r="Q109" s="208">
        <f t="shared" si="53"/>
        <v>0</v>
      </c>
      <c r="R109" s="205">
        <f t="shared" si="54"/>
        <v>1173</v>
      </c>
      <c r="S109" s="65">
        <f t="shared" si="49"/>
        <v>0</v>
      </c>
      <c r="T109" s="158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489"/>
      <c r="C110" s="60">
        <v>137</v>
      </c>
      <c r="D110" s="231" t="s">
        <v>242</v>
      </c>
      <c r="E110" s="196">
        <v>45979</v>
      </c>
      <c r="F110" s="196">
        <v>46001</v>
      </c>
      <c r="G110" s="197">
        <f t="shared" si="46"/>
        <v>22</v>
      </c>
      <c r="H110" s="196">
        <f t="shared" si="47"/>
        <v>45979</v>
      </c>
      <c r="I110" s="196">
        <f t="shared" si="48"/>
        <v>46001</v>
      </c>
      <c r="J110" s="210" t="s">
        <v>13</v>
      </c>
      <c r="K110" s="201">
        <v>1173</v>
      </c>
      <c r="L110" s="202"/>
      <c r="M110" s="202"/>
      <c r="N110" s="199" t="str">
        <f t="shared" si="50"/>
        <v/>
      </c>
      <c r="O110" s="203" t="str">
        <f t="shared" si="51"/>
        <v>-</v>
      </c>
      <c r="P110" s="206">
        <f t="shared" si="52"/>
        <v>0</v>
      </c>
      <c r="Q110" s="208">
        <f t="shared" si="53"/>
        <v>0</v>
      </c>
      <c r="R110" s="205">
        <f t="shared" si="54"/>
        <v>1173</v>
      </c>
      <c r="S110" s="65">
        <f t="shared" si="49"/>
        <v>0</v>
      </c>
      <c r="T110" s="158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489"/>
      <c r="C111" s="60">
        <v>138</v>
      </c>
      <c r="D111" s="231" t="s">
        <v>243</v>
      </c>
      <c r="E111" s="196">
        <v>45986</v>
      </c>
      <c r="F111" s="196">
        <v>45981</v>
      </c>
      <c r="G111" s="197">
        <f t="shared" si="46"/>
        <v>-5</v>
      </c>
      <c r="H111" s="196">
        <f t="shared" si="47"/>
        <v>45986</v>
      </c>
      <c r="I111" s="196">
        <f t="shared" si="48"/>
        <v>45981</v>
      </c>
      <c r="J111" s="210" t="s">
        <v>13</v>
      </c>
      <c r="K111" s="201">
        <v>1173</v>
      </c>
      <c r="L111" s="202"/>
      <c r="M111" s="202"/>
      <c r="N111" s="199" t="str">
        <f t="shared" si="50"/>
        <v/>
      </c>
      <c r="O111" s="203" t="str">
        <f t="shared" si="51"/>
        <v>-</v>
      </c>
      <c r="P111" s="206">
        <f t="shared" si="52"/>
        <v>0</v>
      </c>
      <c r="Q111" s="208">
        <f t="shared" si="53"/>
        <v>0</v>
      </c>
      <c r="R111" s="205">
        <f t="shared" si="54"/>
        <v>1173</v>
      </c>
      <c r="S111" s="65">
        <f t="shared" si="49"/>
        <v>0</v>
      </c>
      <c r="T111" s="158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489"/>
      <c r="C112" s="60">
        <v>139</v>
      </c>
      <c r="D112" s="231" t="s">
        <v>244</v>
      </c>
      <c r="E112" s="196">
        <v>45859</v>
      </c>
      <c r="F112" s="196">
        <v>46021</v>
      </c>
      <c r="G112" s="197">
        <f t="shared" si="46"/>
        <v>162</v>
      </c>
      <c r="H112" s="196">
        <f t="shared" si="47"/>
        <v>45859</v>
      </c>
      <c r="I112" s="196">
        <f t="shared" si="48"/>
        <v>46021</v>
      </c>
      <c r="J112" s="200" t="s">
        <v>2</v>
      </c>
      <c r="K112" s="201">
        <v>26</v>
      </c>
      <c r="L112" s="202"/>
      <c r="M112" s="202"/>
      <c r="N112" s="199" t="str">
        <f t="shared" si="50"/>
        <v/>
      </c>
      <c r="O112" s="203" t="str">
        <f t="shared" si="51"/>
        <v>-</v>
      </c>
      <c r="P112" s="206">
        <f t="shared" si="52"/>
        <v>0</v>
      </c>
      <c r="Q112" s="208">
        <f t="shared" si="53"/>
        <v>0</v>
      </c>
      <c r="R112" s="205">
        <f t="shared" si="54"/>
        <v>26</v>
      </c>
      <c r="S112" s="65">
        <f t="shared" si="49"/>
        <v>0</v>
      </c>
      <c r="T112" s="158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489" t="s">
        <v>245</v>
      </c>
      <c r="C113" s="60">
        <v>140</v>
      </c>
      <c r="D113" s="231" t="s">
        <v>268</v>
      </c>
      <c r="E113" s="196">
        <v>45926</v>
      </c>
      <c r="F113" s="196">
        <v>45941</v>
      </c>
      <c r="G113" s="197">
        <f t="shared" si="46"/>
        <v>15</v>
      </c>
      <c r="H113" s="196">
        <f t="shared" si="47"/>
        <v>45926</v>
      </c>
      <c r="I113" s="196">
        <f t="shared" si="48"/>
        <v>45941</v>
      </c>
      <c r="J113" s="200" t="s">
        <v>2</v>
      </c>
      <c r="K113" s="201">
        <v>26</v>
      </c>
      <c r="L113" s="202"/>
      <c r="M113" s="202"/>
      <c r="N113" s="199" t="str">
        <f t="shared" si="50"/>
        <v/>
      </c>
      <c r="O113" s="203" t="str">
        <f t="shared" si="51"/>
        <v>-</v>
      </c>
      <c r="P113" s="206">
        <f t="shared" si="52"/>
        <v>0</v>
      </c>
      <c r="Q113" s="208">
        <f t="shared" si="53"/>
        <v>0</v>
      </c>
      <c r="R113" s="205">
        <f t="shared" si="54"/>
        <v>26</v>
      </c>
      <c r="S113" s="65">
        <f t="shared" si="49"/>
        <v>0</v>
      </c>
      <c r="T113" s="158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489"/>
      <c r="C114" s="60">
        <v>141</v>
      </c>
      <c r="D114" s="231" t="s">
        <v>267</v>
      </c>
      <c r="E114" s="196">
        <v>45929</v>
      </c>
      <c r="F114" s="196">
        <v>46029</v>
      </c>
      <c r="G114" s="197">
        <f t="shared" si="46"/>
        <v>100</v>
      </c>
      <c r="H114" s="196">
        <f t="shared" si="47"/>
        <v>45929</v>
      </c>
      <c r="I114" s="196">
        <f t="shared" si="48"/>
        <v>46029</v>
      </c>
      <c r="J114" s="200" t="s">
        <v>2</v>
      </c>
      <c r="K114" s="201">
        <v>26</v>
      </c>
      <c r="L114" s="202"/>
      <c r="M114" s="202"/>
      <c r="N114" s="199" t="str">
        <f t="shared" si="50"/>
        <v/>
      </c>
      <c r="O114" s="203" t="str">
        <f t="shared" si="51"/>
        <v>-</v>
      </c>
      <c r="P114" s="206">
        <f t="shared" si="52"/>
        <v>0</v>
      </c>
      <c r="Q114" s="208">
        <f t="shared" si="53"/>
        <v>0</v>
      </c>
      <c r="R114" s="205">
        <f t="shared" si="54"/>
        <v>26</v>
      </c>
      <c r="S114" s="65">
        <f t="shared" si="49"/>
        <v>0</v>
      </c>
      <c r="T114" s="158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489"/>
      <c r="C115" s="60">
        <v>143</v>
      </c>
      <c r="D115" s="231" t="s">
        <v>42</v>
      </c>
      <c r="E115" s="196">
        <v>45940</v>
      </c>
      <c r="F115" s="196">
        <v>46042</v>
      </c>
      <c r="G115" s="197">
        <f t="shared" si="46"/>
        <v>102</v>
      </c>
      <c r="H115" s="196">
        <f t="shared" si="47"/>
        <v>45940</v>
      </c>
      <c r="I115" s="196">
        <f t="shared" si="48"/>
        <v>46042</v>
      </c>
      <c r="J115" s="200" t="s">
        <v>2</v>
      </c>
      <c r="K115" s="201">
        <v>26</v>
      </c>
      <c r="L115" s="202"/>
      <c r="M115" s="202"/>
      <c r="N115" s="199" t="str">
        <f t="shared" si="50"/>
        <v/>
      </c>
      <c r="O115" s="203" t="str">
        <f t="shared" si="51"/>
        <v>-</v>
      </c>
      <c r="P115" s="206">
        <f t="shared" si="52"/>
        <v>0</v>
      </c>
      <c r="Q115" s="208">
        <f t="shared" si="53"/>
        <v>0</v>
      </c>
      <c r="R115" s="205">
        <f t="shared" si="54"/>
        <v>26</v>
      </c>
      <c r="S115" s="65">
        <f t="shared" si="49"/>
        <v>0</v>
      </c>
      <c r="T115" s="158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489" t="s">
        <v>247</v>
      </c>
      <c r="C116" s="60">
        <v>144</v>
      </c>
      <c r="D116" s="231" t="s">
        <v>248</v>
      </c>
      <c r="E116" s="196">
        <v>45966</v>
      </c>
      <c r="F116" s="196">
        <v>46032</v>
      </c>
      <c r="G116" s="197">
        <f t="shared" si="46"/>
        <v>66</v>
      </c>
      <c r="H116" s="196">
        <f t="shared" si="47"/>
        <v>45966</v>
      </c>
      <c r="I116" s="196">
        <f t="shared" si="48"/>
        <v>46032</v>
      </c>
      <c r="J116" s="200" t="s">
        <v>12</v>
      </c>
      <c r="K116" s="201">
        <v>100</v>
      </c>
      <c r="L116" s="202"/>
      <c r="M116" s="202"/>
      <c r="N116" s="199" t="str">
        <f t="shared" si="50"/>
        <v/>
      </c>
      <c r="O116" s="203" t="str">
        <f t="shared" si="51"/>
        <v>-</v>
      </c>
      <c r="P116" s="206">
        <f t="shared" si="52"/>
        <v>0</v>
      </c>
      <c r="Q116" s="208">
        <f t="shared" si="53"/>
        <v>0</v>
      </c>
      <c r="R116" s="205">
        <f>K116-Q116%</f>
        <v>100</v>
      </c>
      <c r="S116" s="65">
        <f t="shared" si="49"/>
        <v>0</v>
      </c>
      <c r="T116" s="158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489"/>
      <c r="C117" s="60">
        <v>145</v>
      </c>
      <c r="D117" s="231" t="s">
        <v>433</v>
      </c>
      <c r="E117" s="196">
        <v>46011</v>
      </c>
      <c r="F117" s="196">
        <v>46040</v>
      </c>
      <c r="G117" s="197">
        <f t="shared" si="46"/>
        <v>29</v>
      </c>
      <c r="H117" s="196">
        <f t="shared" si="47"/>
        <v>46011</v>
      </c>
      <c r="I117" s="196">
        <f t="shared" si="48"/>
        <v>46040</v>
      </c>
      <c r="J117" s="200" t="s">
        <v>12</v>
      </c>
      <c r="K117" s="201">
        <v>100</v>
      </c>
      <c r="L117" s="202"/>
      <c r="M117" s="202"/>
      <c r="N117" s="199" t="str">
        <f t="shared" si="50"/>
        <v/>
      </c>
      <c r="O117" s="203" t="str">
        <f t="shared" si="51"/>
        <v>-</v>
      </c>
      <c r="P117" s="206">
        <f t="shared" si="52"/>
        <v>0</v>
      </c>
      <c r="Q117" s="208">
        <f t="shared" si="53"/>
        <v>0</v>
      </c>
      <c r="R117" s="205">
        <f>K117-Q117</f>
        <v>100</v>
      </c>
      <c r="S117" s="65">
        <f t="shared" si="49"/>
        <v>0</v>
      </c>
      <c r="T117" s="158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489"/>
      <c r="C118" s="60">
        <v>146</v>
      </c>
      <c r="D118" s="231" t="s">
        <v>250</v>
      </c>
      <c r="E118" s="196">
        <v>46012</v>
      </c>
      <c r="F118" s="196">
        <v>46031</v>
      </c>
      <c r="G118" s="197">
        <f t="shared" si="46"/>
        <v>19</v>
      </c>
      <c r="H118" s="196">
        <f t="shared" si="47"/>
        <v>46012</v>
      </c>
      <c r="I118" s="196">
        <f t="shared" si="48"/>
        <v>46031</v>
      </c>
      <c r="J118" s="200" t="s">
        <v>12</v>
      </c>
      <c r="K118" s="201">
        <v>100</v>
      </c>
      <c r="L118" s="202"/>
      <c r="M118" s="202"/>
      <c r="N118" s="199" t="str">
        <f t="shared" si="50"/>
        <v/>
      </c>
      <c r="O118" s="203" t="str">
        <f t="shared" si="51"/>
        <v>-</v>
      </c>
      <c r="P118" s="206">
        <f t="shared" si="52"/>
        <v>0</v>
      </c>
      <c r="Q118" s="208">
        <f t="shared" si="53"/>
        <v>0</v>
      </c>
      <c r="R118" s="205">
        <f>K118-Q118</f>
        <v>100</v>
      </c>
      <c r="S118" s="65">
        <f t="shared" si="49"/>
        <v>0</v>
      </c>
      <c r="T118" s="158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489"/>
      <c r="C119" s="60">
        <v>147</v>
      </c>
      <c r="D119" s="231" t="s">
        <v>251</v>
      </c>
      <c r="E119" s="196">
        <v>46032</v>
      </c>
      <c r="F119" s="196">
        <v>46047</v>
      </c>
      <c r="G119" s="197">
        <f t="shared" si="46"/>
        <v>15</v>
      </c>
      <c r="H119" s="196">
        <f t="shared" si="47"/>
        <v>46032</v>
      </c>
      <c r="I119" s="196">
        <f t="shared" si="48"/>
        <v>46047</v>
      </c>
      <c r="J119" s="200" t="s">
        <v>12</v>
      </c>
      <c r="K119" s="201">
        <v>100</v>
      </c>
      <c r="L119" s="202"/>
      <c r="M119" s="202"/>
      <c r="N119" s="199" t="str">
        <f t="shared" si="50"/>
        <v/>
      </c>
      <c r="O119" s="203" t="str">
        <f t="shared" si="51"/>
        <v>-</v>
      </c>
      <c r="P119" s="206">
        <f t="shared" si="52"/>
        <v>0</v>
      </c>
      <c r="Q119" s="208">
        <f t="shared" si="53"/>
        <v>0</v>
      </c>
      <c r="R119" s="205">
        <f>K119-Q119</f>
        <v>100</v>
      </c>
      <c r="S119" s="65">
        <f t="shared" si="49"/>
        <v>0</v>
      </c>
      <c r="T119" s="158">
        <f t="shared" ref="T119:T120" si="55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489"/>
      <c r="C120" s="60">
        <v>148</v>
      </c>
      <c r="D120" s="231" t="s">
        <v>54</v>
      </c>
      <c r="E120" s="196">
        <v>46048</v>
      </c>
      <c r="F120" s="196">
        <v>46058</v>
      </c>
      <c r="G120" s="197">
        <f t="shared" si="46"/>
        <v>10</v>
      </c>
      <c r="H120" s="196">
        <f t="shared" si="47"/>
        <v>46048</v>
      </c>
      <c r="I120" s="196">
        <f t="shared" si="48"/>
        <v>46058</v>
      </c>
      <c r="J120" s="200" t="s">
        <v>12</v>
      </c>
      <c r="K120" s="201">
        <v>100</v>
      </c>
      <c r="L120" s="202"/>
      <c r="M120" s="202"/>
      <c r="N120" s="199" t="str">
        <f t="shared" si="50"/>
        <v/>
      </c>
      <c r="O120" s="203" t="str">
        <f t="shared" si="51"/>
        <v>-</v>
      </c>
      <c r="P120" s="206">
        <f t="shared" si="52"/>
        <v>0</v>
      </c>
      <c r="Q120" s="208">
        <f t="shared" si="53"/>
        <v>0</v>
      </c>
      <c r="R120" s="205">
        <f>K120-Q120</f>
        <v>100</v>
      </c>
      <c r="S120" s="65">
        <f t="shared" si="49"/>
        <v>0</v>
      </c>
      <c r="T120" s="158">
        <f t="shared" si="55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480"/>
    </row>
    <row r="122" spans="2:110" x14ac:dyDescent="0.4">
      <c r="B122" s="481"/>
    </row>
    <row r="123" spans="2:110" x14ac:dyDescent="0.4">
      <c r="B123" s="481"/>
    </row>
    <row r="124" spans="2:110" x14ac:dyDescent="0.4">
      <c r="B124" s="481"/>
    </row>
    <row r="125" spans="2:110" x14ac:dyDescent="0.4">
      <c r="B125" s="481"/>
    </row>
    <row r="126" spans="2:110" x14ac:dyDescent="0.4">
      <c r="B126" s="481"/>
    </row>
    <row r="127" spans="2:110" x14ac:dyDescent="0.4">
      <c r="B127" s="481"/>
    </row>
    <row r="128" spans="2:110" x14ac:dyDescent="0.4">
      <c r="B128" s="481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8">
        <f>C2</f>
        <v>45783</v>
      </c>
      <c r="E2" s="189" t="s">
        <v>420</v>
      </c>
    </row>
    <row r="3" spans="1:9" x14ac:dyDescent="0.4">
      <c r="A3" s="135">
        <v>2</v>
      </c>
      <c r="B3" s="133" t="s">
        <v>343</v>
      </c>
      <c r="C3" s="134">
        <v>45803</v>
      </c>
      <c r="D3" s="188">
        <v>45807</v>
      </c>
      <c r="E3" s="189" t="s">
        <v>422</v>
      </c>
    </row>
    <row r="4" spans="1:9" x14ac:dyDescent="0.4">
      <c r="A4" s="124">
        <v>3</v>
      </c>
      <c r="B4" s="125" t="s">
        <v>344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345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346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347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348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349</v>
      </c>
      <c r="C9" s="134">
        <v>45797</v>
      </c>
      <c r="D9" s="188">
        <v>45790</v>
      </c>
      <c r="E9" s="189" t="s">
        <v>422</v>
      </c>
    </row>
    <row r="10" spans="1:9" x14ac:dyDescent="0.4">
      <c r="A10" s="124">
        <v>9</v>
      </c>
      <c r="B10" s="125" t="s">
        <v>351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352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353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355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356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357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358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359</v>
      </c>
      <c r="C18" s="126">
        <v>45813</v>
      </c>
      <c r="D18" s="184">
        <f>Ordering!E19+7</f>
        <v>45864</v>
      </c>
      <c r="E18" s="140"/>
    </row>
    <row r="19" spans="1:5" x14ac:dyDescent="0.4">
      <c r="A19" s="124">
        <v>18</v>
      </c>
      <c r="B19" s="125" t="s">
        <v>360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361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366</v>
      </c>
      <c r="C23" s="138">
        <v>45701</v>
      </c>
      <c r="D23" s="137" t="s">
        <v>367</v>
      </c>
      <c r="E23" s="152" t="s">
        <v>367</v>
      </c>
    </row>
    <row r="24" spans="1:5" s="131" customFormat="1" x14ac:dyDescent="0.35">
      <c r="A24" s="144">
        <v>2</v>
      </c>
      <c r="B24" s="145" t="s">
        <v>368</v>
      </c>
      <c r="C24" s="146">
        <v>45780</v>
      </c>
      <c r="D24" s="146">
        <f>C24</f>
        <v>45780</v>
      </c>
      <c r="E24" s="152" t="s">
        <v>440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1" t="s">
        <v>441</v>
      </c>
    </row>
    <row r="26" spans="1:5" s="131" customFormat="1" x14ac:dyDescent="0.35">
      <c r="A26" s="137">
        <v>4</v>
      </c>
      <c r="B26" s="139" t="s">
        <v>370</v>
      </c>
      <c r="C26" s="137" t="s">
        <v>371</v>
      </c>
      <c r="D26" s="138" t="s">
        <v>367</v>
      </c>
      <c r="E26" s="152" t="s">
        <v>398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1" t="s">
        <v>442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3" t="s">
        <v>443</v>
      </c>
    </row>
    <row r="33" spans="1:5" s="131" customFormat="1" x14ac:dyDescent="0.35">
      <c r="A33" s="192">
        <v>11</v>
      </c>
      <c r="B33" s="193" t="s">
        <v>378</v>
      </c>
      <c r="C33" s="194">
        <v>45772</v>
      </c>
      <c r="D33" s="194">
        <v>45773</v>
      </c>
      <c r="E33" s="152" t="s">
        <v>423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2" t="s">
        <v>425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383</v>
      </c>
      <c r="C38" s="138">
        <v>45719</v>
      </c>
      <c r="D38" s="138" t="s">
        <v>367</v>
      </c>
      <c r="E38" s="152" t="s">
        <v>419</v>
      </c>
    </row>
    <row r="39" spans="1:5" s="131" customFormat="1" x14ac:dyDescent="0.35">
      <c r="A39" s="144">
        <v>17</v>
      </c>
      <c r="B39" s="145" t="s">
        <v>384</v>
      </c>
      <c r="C39" s="146">
        <v>45762</v>
      </c>
      <c r="D39" s="146"/>
      <c r="E39" s="183" t="s">
        <v>418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3" t="s">
        <v>421</v>
      </c>
    </row>
    <row r="41" spans="1:5" s="131" customFormat="1" ht="32" x14ac:dyDescent="0.35">
      <c r="A41" s="144">
        <v>19</v>
      </c>
      <c r="B41" s="145" t="s">
        <v>386</v>
      </c>
      <c r="C41" s="146">
        <v>45772</v>
      </c>
      <c r="D41" s="146"/>
      <c r="E41" s="183" t="s">
        <v>426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395</v>
      </c>
      <c r="C43" s="130"/>
      <c r="D43" s="130"/>
      <c r="E43" s="183" t="s">
        <v>440</v>
      </c>
    </row>
    <row r="44" spans="1:5" s="131" customFormat="1" ht="32" x14ac:dyDescent="0.35">
      <c r="A44" s="128">
        <v>20</v>
      </c>
      <c r="B44" s="129" t="s">
        <v>396</v>
      </c>
      <c r="C44" s="130"/>
      <c r="D44" s="130"/>
      <c r="E44" s="183" t="s">
        <v>440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490" t="s">
        <v>297</v>
      </c>
      <c r="B1" s="491"/>
      <c r="C1" s="491"/>
      <c r="D1" s="491"/>
      <c r="E1" s="491"/>
      <c r="F1" s="492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45867</v>
      </c>
      <c r="E1" s="121"/>
      <c r="F1" s="121"/>
      <c r="G1" s="121"/>
      <c r="H1" s="121"/>
      <c r="S1" s="159" t="s">
        <v>400</v>
      </c>
    </row>
    <row r="2" spans="2:64" s="22" customFormat="1" ht="72" customHeight="1" x14ac:dyDescent="0.35">
      <c r="B2" s="477" t="s">
        <v>96</v>
      </c>
      <c r="C2" s="478" t="s">
        <v>97</v>
      </c>
      <c r="D2" s="474" t="s">
        <v>98</v>
      </c>
      <c r="E2" s="484" t="s">
        <v>306</v>
      </c>
      <c r="F2" s="484" t="s">
        <v>307</v>
      </c>
      <c r="G2" s="484" t="s">
        <v>308</v>
      </c>
      <c r="H2" s="484" t="s">
        <v>309</v>
      </c>
      <c r="I2" s="478" t="s">
        <v>99</v>
      </c>
      <c r="J2" s="472" t="s">
        <v>1</v>
      </c>
      <c r="K2" s="493" t="s">
        <v>100</v>
      </c>
      <c r="L2" s="493" t="s">
        <v>101</v>
      </c>
      <c r="M2" s="474" t="s">
        <v>102</v>
      </c>
      <c r="N2" s="474" t="s">
        <v>103</v>
      </c>
      <c r="O2" s="474" t="s">
        <v>255</v>
      </c>
      <c r="P2" s="472" t="s">
        <v>104</v>
      </c>
      <c r="Q2" s="472" t="s">
        <v>105</v>
      </c>
      <c r="R2" s="473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77"/>
      <c r="C3" s="478"/>
      <c r="D3" s="474"/>
      <c r="E3" s="485"/>
      <c r="F3" s="485"/>
      <c r="G3" s="485"/>
      <c r="H3" s="485"/>
      <c r="I3" s="478"/>
      <c r="J3" s="472"/>
      <c r="K3" s="494"/>
      <c r="L3" s="494"/>
      <c r="M3" s="474"/>
      <c r="N3" s="474"/>
      <c r="O3" s="474"/>
      <c r="P3" s="472"/>
      <c r="Q3" s="472"/>
      <c r="R3" s="473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475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75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75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75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75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75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75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75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75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75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75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75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75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75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75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75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75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75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75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75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75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75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75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75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75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75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75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75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75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75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75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75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75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75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75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75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75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75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75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75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75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75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75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75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75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75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75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75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75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75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75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75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75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75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75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75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75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75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75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75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75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75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75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75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75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75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75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75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75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75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75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75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75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75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75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75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75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75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75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75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75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75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75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75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75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75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75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75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75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75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75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75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75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75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75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75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75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75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75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75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75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75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75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75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75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75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75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75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75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75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75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475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75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75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75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75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75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75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75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75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75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75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75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75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75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89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89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89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89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89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89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89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89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89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89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89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89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89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89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89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89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89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89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89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89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89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89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89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89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89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89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89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Construction DASHBOARD</vt:lpstr>
      <vt:lpstr>Sheet1</vt:lpstr>
      <vt:lpstr>Ordering</vt:lpstr>
      <vt:lpstr>Preliminary Activity</vt:lpstr>
      <vt:lpstr>Manpower</vt:lpstr>
      <vt:lpstr>Machinery</vt:lpstr>
      <vt:lpstr>MDL</vt:lpstr>
      <vt:lpstr>Sheet2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2025-07-29T04:23:30Z</dcterms:modified>
</cp:coreProperties>
</file>